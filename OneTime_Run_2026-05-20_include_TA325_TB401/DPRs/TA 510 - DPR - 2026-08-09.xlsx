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Progress Report/DPR/DPR AOTL/"/>
    </mc:Choice>
  </mc:AlternateContent>
  <xr:revisionPtr revIDLastSave="86" documentId="14_{9FA55210-43DE-4DA2-97A9-69128F749094}" xr6:coauthVersionLast="47" xr6:coauthVersionMax="47" xr10:uidLastSave="{82B17C00-D945-4112-A20E-2FAE637CE32D}"/>
  <bookViews>
    <workbookView xWindow="-110" yWindow="-110" windowWidth="19420" windowHeight="1030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Sheet5" sheetId="56" state="hidden" r:id="rId4"/>
    <sheet name="Sheet3" sheetId="53" state="hidden" r:id="rId5"/>
    <sheet name="Sheet1" sheetId="51" state="hidden" r:id="rId6"/>
    <sheet name="AOTL - KEC" sheetId="6" r:id="rId7"/>
    <sheet name="DPR Sheet" sheetId="7" r:id="rId8"/>
    <sheet name="Survey Anx" sheetId="38" r:id="rId9"/>
    <sheet name="Survey" sheetId="19" r:id="rId10"/>
    <sheet name="Soil Inv." sheetId="6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FDN!$A$2:$N$308</definedName>
    <definedName name="_xlnm._FilterDatabase" localSheetId="4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10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10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8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8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10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10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10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8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10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10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10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10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10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10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10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10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10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10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10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10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10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10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10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10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6">'AOTL - KEC'!$A$1:$M$19</definedName>
    <definedName name="_xlnm.Print_Area" localSheetId="7">'DPR Sheet'!$A$1:$G$33</definedName>
    <definedName name="_xlnm.Print_Area" localSheetId="12">'Erection '!$A$1:$P$169</definedName>
    <definedName name="_xlnm.Print_Area" localSheetId="11">FDN!$A$1:$N$270</definedName>
    <definedName name="_xlnm.Print_Area" localSheetId="18">'Stringing Compiled'!$A$1:$Q$5</definedName>
    <definedName name="_xlnm.Print_Area" localSheetId="13">'Visual chart 1 '!$A$1:$AF$283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10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10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10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10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10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8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10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10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10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10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10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6" l="1"/>
  <c r="E16" i="6"/>
  <c r="I19" i="64"/>
  <c r="D13" i="19"/>
  <c r="D12" i="19"/>
  <c r="D9" i="19"/>
  <c r="AE5" i="61"/>
  <c r="N1" i="30"/>
  <c r="F9" i="64" l="1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0" i="61"/>
  <c r="BM208" i="61"/>
  <c r="BV107" i="61"/>
  <c r="BV61" i="61"/>
  <c r="BV49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5" i="61"/>
  <c r="AI135" i="61"/>
  <c r="AJ134" i="61"/>
  <c r="AI134" i="61"/>
  <c r="AJ87" i="61"/>
  <c r="AI87" i="61"/>
  <c r="AJ68" i="61"/>
  <c r="AL68" i="61" s="1"/>
  <c r="AI68" i="61"/>
  <c r="AN66" i="61"/>
  <c r="AJ66" i="61"/>
  <c r="AL66" i="61" s="1"/>
  <c r="AI66" i="61"/>
  <c r="AJ54" i="61"/>
  <c r="AL54" i="61" s="1"/>
  <c r="AI5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<sst xmlns="http://schemas.openxmlformats.org/spreadsheetml/2006/main" count="5680" uniqueCount="1187">
  <si>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</si>
  <si>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</si>
  <si>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</si>
  <si>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</si>
  <si>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</si>
  <si>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</si>
  <si>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</si>
  <si>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</si>
  <si>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</si>
  <si>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</si>
  <si>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</si>
  <si>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</si>
  <si>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</si>
  <si>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</si>
  <si>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</si>
  <si>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</si>
  <si>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</si>
  <si>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</si>
  <si>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</si>
  <si>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</si>
  <si>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</si>
  <si>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</si>
  <si>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</si>
  <si>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</si>
  <si>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</si>
  <si>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</si>
  <si>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</si>
  <si>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</si>
  <si>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</si>
  <si>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</si>
  <si>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</si>
  <si>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</si>
  <si>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</si>
  <si>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</si>
  <si>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</si>
  <si>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</si>
  <si>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</si>
  <si>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</si>
  <si>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</si>
  <si>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</si>
  <si>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</si>
  <si>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</si>
  <si>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</si>
  <si>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</si>
  <si>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</si>
  <si>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</si>
  <si>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</si>
  <si>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</si>
  <si>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</si>
  <si>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</si>
  <si>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</si>
  <si>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</si>
  <si>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</si>
  <si>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</si>
  <si>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</si>
  <si>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</si>
  <si>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</si>
  <si>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</si>
  <si>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</si>
  <si>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</si>
  <si>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</si>
  <si>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</si>
  <si>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</si>
  <si>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</si>
  <si>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</si>
  <si>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</si>
  <si>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</si>
  <si>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</si>
  <si>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</si>
  <si>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</si>
  <si>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</si>
  <si>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</si>
  <si>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</si>
  <si>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</si>
  <si>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</si>
  <si>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</si>
  <si>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</si>
  <si>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</si>
  <si>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</si>
  <si>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</si>
  <si>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</si>
  <si>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</si>
  <si>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</si>
  <si>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</si>
  <si>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</si>
  <si>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</si>
  <si>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</si>
  <si>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</si>
  <si>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</si>
  <si>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</si>
  <si>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</si>
  <si>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</si>
  <si>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</si>
  <si>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</si>
  <si>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</si>
  <si>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</si>
  <si>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</si>
  <si>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</si>
  <si>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</si>
  <si>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</si>
  <si>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</si>
  <si>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</si>
  <si>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</si>
  <si>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</si>
  <si>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</si>
  <si>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</si>
  <si>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</si>
  <si>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</si>
  <si>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</si>
  <si>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</si>
  <si>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</si>
  <si>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</si>
  <si>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</si>
  <si>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</si>
  <si>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</si>
  <si>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</si>
  <si>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</si>
  <si>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</si>
  <si>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</si>
  <si>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</si>
  <si>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</si>
  <si>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</si>
  <si>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</si>
  <si>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</si>
  <si>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</si>
  <si>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</si>
  <si>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</si>
  <si>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</si>
  <si>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</si>
  <si>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</si>
  <si>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</si>
  <si>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</si>
  <si>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</si>
  <si>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</si>
  <si>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</si>
  <si>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</si>
  <si>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</si>
  <si>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</si>
  <si>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</si>
  <si>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</si>
  <si>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</si>
  <si>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</si>
  <si>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</si>
  <si>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</si>
  <si>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</si>
  <si>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</si>
  <si>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</si>
  <si>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</si>
  <si>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</si>
  <si>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</si>
  <si>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</si>
  <si>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</si>
  <si>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</si>
  <si>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</si>
  <si>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</si>
  <si>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</si>
  <si>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</si>
  <si>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</si>
  <si>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</si>
  <si>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</si>
  <si>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</si>
  <si>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</si>
  <si>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</si>
  <si>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</si>
  <si>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</si>
  <si>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</si>
  <si>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</si>
  <si>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</si>
  <si>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</si>
  <si>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</si>
  <si>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</si>
  <si>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</si>
  <si>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</si>
  <si>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</si>
  <si>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</si>
  <si>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</si>
  <si>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</si>
  <si>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</si>
  <si>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</si>
  <si>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</si>
  <si>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</si>
  <si>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</si>
  <si>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</si>
  <si>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</si>
  <si>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</si>
  <si>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</si>
  <si>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</si>
  <si>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</si>
  <si>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</si>
  <si>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</si>
  <si>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</si>
  <si>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</si>
  <si>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</si>
  <si>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</si>
  <si>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</si>
  <si>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</si>
  <si>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</si>
  <si>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</si>
  <si>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</si>
  <si>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</si>
  <si>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</si>
  <si>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</si>
  <si>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</si>
  <si>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</si>
  <si>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</si>
  <si>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</si>
  <si>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</si>
  <si>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</si>
  <si>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</si>
  <si>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</si>
  <si>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</si>
  <si>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</si>
  <si>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</si>
  <si>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</si>
  <si>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</si>
  <si>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</si>
  <si>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</si>
  <si>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</si>
  <si>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</si>
  <si>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</si>
  <si>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</si>
  <si>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</si>
  <si>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</si>
  <si>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</si>
  <si>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</si>
  <si>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</si>
  <si>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</si>
  <si>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</si>
  <si>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</si>
  <si>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</si>
  <si>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</si>
  <si>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</si>
  <si>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</si>
  <si>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</si>
  <si>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</si>
  <si>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</si>
  <si>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</si>
  <si>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</si>
  <si>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</si>
  <si>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</si>
  <si>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</si>
  <si>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</si>
  <si>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</si>
  <si>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</si>
  <si>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</si>
  <si>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</si>
  <si>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</si>
  <si>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</si>
  <si>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</si>
  <si>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</si>
  <si>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</si>
  <si>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</si>
  <si>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</si>
  <si>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</si>
  <si>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</si>
  <si>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</si>
  <si>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</si>
  <si>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</si>
  <si>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</si>
  <si>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</si>
  <si>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</si>
  <si>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</si>
  <si>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</si>
  <si>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</si>
  <si>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</si>
  <si>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</si>
  <si>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</si>
  <si>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</si>
  <si>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</si>
  <si>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</si>
  <si>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</si>
  <si>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</si>
  <si>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</si>
  <si>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</si>
  <si>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</si>
  <si>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</si>
  <si>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</si>
  <si>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</si>
  <si>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</si>
  <si>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</si>
  <si>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</si>
  <si>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</si>
  <si>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</si>
  <si>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</si>
  <si>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</si>
  <si>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</si>
  <si>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</si>
  <si>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</si>
  <si>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</si>
  <si>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</si>
  <si>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</si>
  <si>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</si>
  <si>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</si>
  <si>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</si>
  <si>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</si>
  <si>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</si>
  <si>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</si>
  <si>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</si>
  <si>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</si>
  <si>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</si>
  <si>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</si>
  <si>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</si>
  <si>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</si>
  <si>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</si>
  <si>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</si>
  <si>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</si>
  <si>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</si>
  <si>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</si>
  <si>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</si>
  <si>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</si>
  <si>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</si>
  <si>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</si>
  <si>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</si>
  <si>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</si>
  <si>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</si>
  <si>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</si>
  <si>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</si>
  <si>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</si>
  <si>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</si>
  <si>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</si>
  <si>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</si>
  <si>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</si>
  <si>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</si>
  <si>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</si>
  <si>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</si>
  <si>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</si>
  <si>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</si>
  <si>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</si>
  <si>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</si>
  <si>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</si>
  <si>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</si>
  <si>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</si>
  <si>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</si>
  <si>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</si>
  <si>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</si>
  <si>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</si>
  <si>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</si>
  <si>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</si>
  <si>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</si>
  <si>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</si>
  <si>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</si>
  <si>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</si>
  <si>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</si>
  <si>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</si>
  <si>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</si>
  <si>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</si>
  <si>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</si>
  <si>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</si>
  <si>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</si>
  <si>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</si>
  <si>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</si>
  <si>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</si>
  <si>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</si>
  <si>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</si>
  <si>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</si>
  <si>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</si>
  <si>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</si>
  <si>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</si>
  <si>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</si>
  <si>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</si>
  <si>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</si>
  <si>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</si>
  <si>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</si>
  <si>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</si>
  <si>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</si>
  <si>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</si>
  <si>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</si>
  <si>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</si>
  <si>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</si>
  <si>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</si>
  <si>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</si>
  <si>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</si>
  <si>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</si>
  <si>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</si>
  <si>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</si>
  <si>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</si>
  <si>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</si>
  <si>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</si>
  <si>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</si>
  <si>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</si>
  <si>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</si>
  <si>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</si>
  <si>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</si>
  <si>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</si>
  <si>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</si>
  <si>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</si>
  <si>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</si>
  <si>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</si>
  <si>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</si>
  <si>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</si>
  <si>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</si>
  <si>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</si>
  <si>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</si>
  <si>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</si>
  <si>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</si>
  <si>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</si>
  <si>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</si>
  <si>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</si>
  <si>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</si>
  <si>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</si>
  <si>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</si>
  <si>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</si>
  <si>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</si>
  <si>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</si>
  <si>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</si>
  <si>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</si>
  <si>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</si>
  <si>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</si>
  <si>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</si>
  <si>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</si>
  <si>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</si>
  <si>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</si>
  <si>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</si>
  <si>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</si>
  <si>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</si>
  <si>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</si>
  <si>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</si>
  <si>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</si>
  <si>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</si>
  <si>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</si>
  <si>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</si>
  <si>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</si>
  <si>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</si>
  <si>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</si>
  <si>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</si>
  <si>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</si>
  <si>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</si>
  <si>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</si>
  <si>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</si>
  <si>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</si>
  <si>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</si>
  <si>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</si>
  <si>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</si>
  <si>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</si>
  <si>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</si>
  <si>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</si>
  <si>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</si>
  <si>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</si>
  <si>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</si>
  <si>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</si>
  <si>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</si>
  <si>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</si>
  <si>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</si>
  <si>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</si>
  <si>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</si>
  <si>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</si>
  <si>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</si>
  <si>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</si>
  <si>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</si>
  <si>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</si>
  <si>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</si>
  <si>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</si>
  <si>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</si>
  <si>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</si>
  <si>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</si>
  <si>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</si>
  <si>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</si>
  <si>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</si>
  <si>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</si>
  <si>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</si>
  <si>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</si>
  <si>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</si>
  <si>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</si>
  <si>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</si>
  <si>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</si>
  <si>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</si>
  <si>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</si>
  <si>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</si>
  <si>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</si>
  <si>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</si>
  <si>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</si>
  <si>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</si>
  <si>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</si>
  <si>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</si>
  <si>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</si>
  <si>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</si>
  <si>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</si>
  <si>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</si>
  <si>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</si>
  <si>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</si>
  <si>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</si>
  <si>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</si>
  <si>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</si>
  <si>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</si>
  <si>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</si>
  <si>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</si>
  <si>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</si>
  <si>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</si>
  <si>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</si>
  <si>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</si>
  <si>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</si>
  <si>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</si>
  <si>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</si>
  <si>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</si>
  <si>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</si>
  <si>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</si>
  <si>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</si>
  <si>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</si>
  <si>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</si>
  <si>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</si>
  <si>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</si>
  <si>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</si>
  <si>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</si>
  <si>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</si>
  <si>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</si>
  <si>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</si>
  <si>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</si>
  <si>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</si>
  <si>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</si>
  <si>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</si>
  <si>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</si>
  <si>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</si>
  <si>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</si>
  <si>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</si>
  <si>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</si>
  <si>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</si>
  <si>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</si>
  <si>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</si>
  <si>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</si>
  <si>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</si>
  <si>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</si>
  <si>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</si>
  <si>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</si>
  <si>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</si>
  <si>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</si>
  <si>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</si>
  <si>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</si>
  <si>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</si>
  <si>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</si>
  <si>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</si>
  <si>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</si>
  <si>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</si>
  <si>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</si>
  <si>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</si>
  <si>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</si>
  <si>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</si>
  <si>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</si>
  <si>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</si>
  <si>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</si>
  <si>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</si>
  <si>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</si>
  <si>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</si>
  <si>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</si>
  <si>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</si>
  <si>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</si>
  <si>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</si>
  <si>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</si>
  <si>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</si>
  <si>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</si>
  <si>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</si>
  <si>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</si>
  <si>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</si>
  <si>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</si>
  <si>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</si>
  <si>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</si>
  <si>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</si>
  <si>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</si>
  <si>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</si>
  <si>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</si>
  <si>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</si>
  <si>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</si>
  <si>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</si>
  <si>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</si>
  <si>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</si>
  <si>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</si>
  <si>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</si>
  <si>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</si>
  <si>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</si>
  <si>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</si>
  <si>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</si>
  <si>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</si>
  <si>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</si>
  <si>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</si>
  <si>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</si>
  <si>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</si>
  <si>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</si>
  <si>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</si>
  <si>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</si>
  <si>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</si>
  <si>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</si>
  <si>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</si>
  <si>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</si>
  <si>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</si>
  <si>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</si>
  <si>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</si>
  <si>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</si>
  <si>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</si>
  <si>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</si>
  <si>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</si>
  <si>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</si>
  <si>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</si>
  <si>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</si>
  <si>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</si>
  <si>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</si>
  <si>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</si>
  <si>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</si>
  <si>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</si>
  <si>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</si>
  <si>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</si>
  <si>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</si>
  <si>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</si>
  <si>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</si>
  <si>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</si>
  <si>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</si>
  <si>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</si>
  <si>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</si>
  <si>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</si>
  <si>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</si>
  <si>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</si>
  <si>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</si>
  <si>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</si>
  <si>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</si>
  <si>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</si>
  <si>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</si>
  <si>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</si>
  <si>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</si>
  <si>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</si>
  <si>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</si>
  <si>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</si>
  <si>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</si>
  <si>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</si>
  <si>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</si>
  <si>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</si>
  <si>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</si>
  <si>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</si>
  <si>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</si>
  <si>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</si>
  <si>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</si>
  <si>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</si>
  <si>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</si>
  <si>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</si>
  <si>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</si>
  <si>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</si>
  <si>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</si>
  <si>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</si>
  <si>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</si>
  <si>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</si>
  <si>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</si>
  <si>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</si>
  <si>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</si>
  <si>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</si>
  <si>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</si>
  <si>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</si>
  <si>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</si>
  <si>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</si>
  <si>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</si>
  <si>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</si>
  <si>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</si>
  <si>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</si>
  <si>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</si>
  <si>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</si>
  <si>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</si>
  <si>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</si>
  <si>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</si>
  <si>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</si>
  <si>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</si>
  <si>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</si>
  <si>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</si>
  <si>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</si>
  <si>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</si>
  <si>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</si>
  <si>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</si>
  <si>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</si>
  <si>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</si>
  <si>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</si>
  <si>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</si>
  <si>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</si>
  <si>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</si>
  <si>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</si>
  <si>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</si>
  <si>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</si>
  <si>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</si>
  <si>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</si>
  <si>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</si>
  <si>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</si>
  <si>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</si>
  <si>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</si>
  <si>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</si>
  <si>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</si>
  <si>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</si>
  <si>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</si>
  <si>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</si>
  <si>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</si>
  <si>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</si>
  <si>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</si>
  <si>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</si>
  <si>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</si>
  <si>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</si>
  <si>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</si>
  <si>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</si>
  <si>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</si>
  <si>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</si>
  <si>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</si>
  <si>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</si>
  <si>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</si>
  <si>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</si>
  <si>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</si>
  <si>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</si>
  <si>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</si>
  <si>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</si>
  <si>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</si>
  <si>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</si>
  <si>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</si>
  <si>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</si>
  <si>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</si>
  <si>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</si>
  <si>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</si>
  <si>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</si>
  <si>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</si>
  <si>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</si>
  <si>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</si>
  <si>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</si>
  <si>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</si>
  <si>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</si>
  <si>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</si>
  <si>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</si>
  <si>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</si>
  <si>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</si>
  <si>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</si>
  <si>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</si>
  <si>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</si>
  <si>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</si>
  <si>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</si>
  <si>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</si>
  <si>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</si>
  <si>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</si>
  <si>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</si>
  <si>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</si>
  <si>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</si>
  <si>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</si>
  <si>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</si>
  <si>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</si>
  <si>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</si>
  <si>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</si>
  <si>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</si>
  <si>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</si>
  <si>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</si>
  <si>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</si>
  <si>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</si>
  <si>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</si>
  <si>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</si>
  <si>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</si>
  <si>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</si>
  <si>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</si>
  <si>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</si>
  <si>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</si>
  <si>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</si>
  <si>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</si>
  <si>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</si>
  <si>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</si>
  <si>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</si>
  <si>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</si>
  <si>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</si>
  <si>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</si>
  <si>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</si>
  <si>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</si>
  <si>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</si>
  <si>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</si>
  <si>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</si>
  <si>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</si>
  <si>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</si>
  <si>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</si>
  <si>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</si>
  <si>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</si>
  <si>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</si>
  <si>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</si>
  <si>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</si>
  <si>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</si>
  <si>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</si>
  <si>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</si>
  <si>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</si>
  <si>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</si>
  <si>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</si>
  <si>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</si>
  <si>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</si>
  <si>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</si>
  <si>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</si>
  <si>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</si>
  <si>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</si>
  <si>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</si>
  <si>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</si>
  <si>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</si>
  <si>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</si>
  <si>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</si>
  <si>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</si>
  <si>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</si>
  <si>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</si>
  <si>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</si>
  <si>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</si>
  <si>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</si>
  <si>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</si>
  <si>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</si>
  <si>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</si>
  <si>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</si>
  <si>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</si>
  <si>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</si>
  <si>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</si>
  <si>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</si>
  <si>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</si>
  <si>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</si>
  <si>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</si>
  <si>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</si>
  <si>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</si>
  <si>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</si>
  <si>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</si>
  <si>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</si>
  <si>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</si>
  <si>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</si>
  <si>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</si>
  <si>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</si>
  <si>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</si>
  <si>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</si>
  <si>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</si>
  <si>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</si>
  <si>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</si>
  <si>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</si>
  <si>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</si>
  <si>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</si>
  <si>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</si>
  <si>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</si>
  <si>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</si>
  <si>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</si>
  <si>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</si>
  <si>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</si>
  <si>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</si>
  <si>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</si>
  <si>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</si>
  <si>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</si>
  <si>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</si>
  <si>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</si>
  <si>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</si>
  <si>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</si>
  <si>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</si>
  <si>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</si>
  <si>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</si>
  <si>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</si>
  <si>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</si>
  <si>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</si>
  <si>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</si>
  <si>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</si>
  <si>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</si>
  <si>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</si>
  <si>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</si>
  <si>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</si>
  <si>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</si>
  <si>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</si>
  <si>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</si>
  <si>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</si>
  <si>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</si>
  <si>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</si>
  <si>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</si>
  <si>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</si>
  <si>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</si>
  <si>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</si>
  <si>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</si>
  <si>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</si>
  <si>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</si>
  <si>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</si>
  <si>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</si>
  <si>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</si>
  <si>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</si>
  <si>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</si>
  <si>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</si>
  <si>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</si>
  <si>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</si>
  <si>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</si>
  <si>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</si>
  <si>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</si>
  <si>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</si>
  <si>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</si>
  <si>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</si>
  <si>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</si>
  <si>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</si>
  <si>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</si>
  <si>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</si>
  <si>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</si>
  <si>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</si>
  <si>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</si>
  <si>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</si>
  <si>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</si>
  <si>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</si>
  <si>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</si>
  <si>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</si>
  <si>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</si>
  <si>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</si>
  <si>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</si>
  <si>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</si>
  <si>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</si>
  <si>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</si>
  <si>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</si>
  <si>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</si>
  <si>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</si>
  <si>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</si>
  <si>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</si>
  <si>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</si>
  <si>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</si>
  <si>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</si>
  <si>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</si>
  <si>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</si>
  <si>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</si>
  <si>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</si>
  <si>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</si>
  <si>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</si>
  <si>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</si>
  <si>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</si>
  <si>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</si>
  <si>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</si>
  <si>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</si>
  <si>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</si>
  <si>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</si>
  <si>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</si>
  <si>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</si>
  <si>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</si>
  <si>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</si>
  <si>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</si>
  <si>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</si>
  <si>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</si>
  <si>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</si>
  <si>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</si>
  <si>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</si>
  <si>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</si>
  <si>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</si>
  <si>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</si>
  <si>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</si>
  <si>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</si>
  <si>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</si>
  <si>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</si>
  <si>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</si>
  <si>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</si>
  <si>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</si>
  <si>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</si>
  <si>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</si>
  <si>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</si>
  <si>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</si>
  <si>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</si>
  <si>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</si>
  <si>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</si>
  <si>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</si>
  <si>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</si>
  <si>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</si>
  <si>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</si>
  <si>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</si>
  <si>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</si>
  <si>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</si>
  <si>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</si>
  <si>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</si>
  <si>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</si>
  <si>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</si>
  <si>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</si>
  <si>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</si>
  <si>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</si>
  <si>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</si>
  <si>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</si>
  <si>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</si>
  <si>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</si>
  <si>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</si>
  <si>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</si>
  <si>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</si>
  <si>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</si>
  <si>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</si>
  <si>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</si>
  <si>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</si>
  <si>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</si>
  <si>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</si>
  <si>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</si>
  <si>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</si>
  <si>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</si>
  <si>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</si>
  <si>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</si>
  <si>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</si>
  <si>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</si>
  <si>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</si>
  <si>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</si>
  <si>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</si>
  <si>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</si>
  <si>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</si>
  <si>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</si>
  <si>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</si>
  <si>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</si>
  <si>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</si>
  <si>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</si>
  <si>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</si>
  <si>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</si>
  <si>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</si>
  <si>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</si>
  <si>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</si>
  <si>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</si>
  <si>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</si>
  <si>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</si>
  <si>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</si>
  <si>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</si>
  <si>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</si>
  <si>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</si>
  <si>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</si>
  <si>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</si>
  <si>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</si>
  <si>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</si>
  <si>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</si>
  <si>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</si>
  <si>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</si>
  <si>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</si>
  <si>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</si>
  <si>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</si>
  <si>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</si>
  <si>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</si>
  <si>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</si>
  <si>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</si>
  <si>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</si>
  <si>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</si>
  <si>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</si>
  <si>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</si>
  <si>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</si>
  <si>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</si>
  <si>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</si>
  <si>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</si>
  <si>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</si>
  <si>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</si>
  <si>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</si>
  <si>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</si>
  <si>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</si>
  <si>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</si>
  <si>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</si>
  <si>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</si>
  <si>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</si>
  <si>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</si>
  <si>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</si>
  <si>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</si>
  <si>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</si>
  <si>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</si>
  <si>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</si>
  <si>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</si>
  <si>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</si>
  <si>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</si>
  <si>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</si>
  <si>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</si>
  <si>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</si>
  <si>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</si>
  <si>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</si>
  <si>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</si>
  <si>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</si>
  <si>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</si>
  <si>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</si>
  <si>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</si>
  <si>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</si>
  <si>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</si>
  <si>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</si>
  <si>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</si>
  <si>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</si>
  <si>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</si>
  <si>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</si>
  <si>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</si>
  <si>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</si>
  <si>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</si>
  <si>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</si>
  <si>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</si>
  <si>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</si>
  <si>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</si>
  <si>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</si>
  <si>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</si>
  <si>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</si>
  <si>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</si>
  <si>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</si>
  <si>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</si>
  <si>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</si>
  <si>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</si>
  <si>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</si>
  <si>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</si>
  <si>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</si>
  <si>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</si>
  <si>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</si>
  <si>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</si>
  <si>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</si>
  <si>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</si>
  <si>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</si>
  <si>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</si>
  <si>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</si>
  <si>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</si>
  <si>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</si>
  <si>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</si>
  <si>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</si>
  <si>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</si>
  <si>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</si>
  <si>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</si>
  <si>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</si>
  <si>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</si>
  <si>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</si>
  <si>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</si>
  <si>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</si>
  <si>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</si>
  <si>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</si>
  <si>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</si>
  <si>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</si>
  <si>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</si>
  <si>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</si>
  <si>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</si>
  <si>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</si>
  <si>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</si>
  <si>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</si>
  <si>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</si>
  <si>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</si>
  <si>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</si>
  <si>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</si>
  <si>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</si>
  <si>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</si>
  <si>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</si>
  <si>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</si>
  <si>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</si>
  <si>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</si>
  <si>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</si>
  <si>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</si>
  <si>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</si>
  <si>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</si>
  <si>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</si>
  <si>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</si>
  <si>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</si>
  <si>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</si>
  <si>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</si>
  <si>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</si>
  <si>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</si>
  <si>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</si>
  <si>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</si>
  <si>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</si>
  <si>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</si>
  <si>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</si>
  <si>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</si>
  <si>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</si>
  <si>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</si>
  <si>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</si>
  <si>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</si>
  <si>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</si>
  <si>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</si>
  <si>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</si>
  <si>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</si>
  <si>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</si>
  <si>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</si>
  <si>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</si>
  <si>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</si>
  <si>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</si>
  <si>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</si>
  <si>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</si>
  <si>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</si>
  <si>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</si>
  <si>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</si>
  <si>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</si>
  <si>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</si>
  <si>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</si>
  <si>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</si>
  <si>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</si>
  <si>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</si>
  <si>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</si>
  <si>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</si>
  <si>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</si>
  <si>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</si>
  <si>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</si>
  <si>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</si>
  <si>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</si>
  <si>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</si>
  <si>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</si>
  <si>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</si>
  <si>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</si>
  <si>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</si>
  <si>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</si>
  <si>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</si>
  <si>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</si>
  <si>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</si>
  <si>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</si>
  <si>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</si>
  <si>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</si>
  <si>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</si>
  <si>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</si>
  <si>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</si>
  <si>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</si>
  <si>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</si>
  <si>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</si>
  <si>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</si>
  <si>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</si>
  <si>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</si>
  <si>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</si>
  <si>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</si>
  <si>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</si>
  <si>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to ROW</t>
  </si>
  <si>
    <t>133/7</t>
  </si>
  <si>
    <t>Work hampered due to water logged location</t>
  </si>
  <si>
    <t>Tower Erection Complete</t>
  </si>
  <si>
    <t>Work stopped due to water logged area</t>
  </si>
  <si>
    <t>Water logged location</t>
  </si>
  <si>
    <t>Tower 2nd Section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</si>
</sst>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9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\-mmm\-yy;@"/>
    <numFmt numFmtId="197" formatCode="[$-14009]dd/mm/yyyy;@"/>
    <numFmt numFmtId="198" formatCode="0.0"/>
    <numFmt numFmtId="199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1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8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7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6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7" fontId="124" fillId="5" borderId="0" xfId="230" applyNumberFormat="1" applyFont="1" applyFill="1" applyAlignment="1">
      <alignment horizontal="center" vertical="center" wrapText="1"/>
    </xf>
    <xf numFmtId="197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4" fillId="0" borderId="0" xfId="0" applyFont="1" applyAlignment="1">
      <alignment horizontal="center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7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7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199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7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7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199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3" borderId="9" xfId="0" applyNumberFormat="1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7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center"/>
    </xf>
    <xf numFmtId="0" fontId="123" fillId="3" borderId="9" xfId="0" applyFont="1" applyFill="1" applyBorder="1" applyAlignment="1">
      <alignment horizontal="center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34"/>
      <tableStyleElement type="headerRow" dxfId="233"/>
      <tableStyleElement type="totalRow" dxfId="232"/>
      <tableStyleElement type="firstColumn" dxfId="231"/>
      <tableStyleElement type="lastColumn" dxfId="230"/>
      <tableStyleElement type="firstRowStripe" dxfId="229"/>
      <tableStyleElement type="firstColumnStripe" dxfId="228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45</xdr:row>
      <xdr:rowOff>7056</xdr:rowOff>
    </xdr:from>
    <xdr:to>
      <xdr:col>2</xdr:col>
      <xdr:colOff>42332</xdr:colOff>
      <xdr:row>48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45</xdr:row>
      <xdr:rowOff>9380</xdr:rowOff>
    </xdr:from>
    <xdr:to>
      <xdr:col>4</xdr:col>
      <xdr:colOff>39510</xdr:colOff>
      <xdr:row>48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45</xdr:row>
      <xdr:rowOff>7056</xdr:rowOff>
    </xdr:from>
    <xdr:to>
      <xdr:col>6</xdr:col>
      <xdr:colOff>42332</xdr:colOff>
      <xdr:row>48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45</xdr:row>
      <xdr:rowOff>18345</xdr:rowOff>
    </xdr:from>
    <xdr:to>
      <xdr:col>8</xdr:col>
      <xdr:colOff>39510</xdr:colOff>
      <xdr:row>48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45</xdr:row>
      <xdr:rowOff>5135</xdr:rowOff>
    </xdr:from>
    <xdr:to>
      <xdr:col>10</xdr:col>
      <xdr:colOff>42332</xdr:colOff>
      <xdr:row>47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45</xdr:row>
      <xdr:rowOff>9380</xdr:rowOff>
    </xdr:from>
    <xdr:to>
      <xdr:col>12</xdr:col>
      <xdr:colOff>39510</xdr:colOff>
      <xdr:row>48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45</xdr:row>
      <xdr:rowOff>18345</xdr:rowOff>
    </xdr:from>
    <xdr:to>
      <xdr:col>24</xdr:col>
      <xdr:colOff>86228</xdr:colOff>
      <xdr:row>48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45</xdr:row>
      <xdr:rowOff>7056</xdr:rowOff>
    </xdr:from>
    <xdr:to>
      <xdr:col>26</xdr:col>
      <xdr:colOff>42332</xdr:colOff>
      <xdr:row>48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45</xdr:row>
      <xdr:rowOff>18345</xdr:rowOff>
    </xdr:from>
    <xdr:to>
      <xdr:col>28</xdr:col>
      <xdr:colOff>39510</xdr:colOff>
      <xdr:row>48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45</xdr:row>
      <xdr:rowOff>7056</xdr:rowOff>
    </xdr:from>
    <xdr:to>
      <xdr:col>30</xdr:col>
      <xdr:colOff>42332</xdr:colOff>
      <xdr:row>48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4233</xdr:rowOff>
    </xdr:from>
    <xdr:to>
      <xdr:col>6</xdr:col>
      <xdr:colOff>46570</xdr:colOff>
      <xdr:row>59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57</xdr:row>
      <xdr:rowOff>13304</xdr:rowOff>
    </xdr:from>
    <xdr:to>
      <xdr:col>10</xdr:col>
      <xdr:colOff>46570</xdr:colOff>
      <xdr:row>60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57</xdr:row>
      <xdr:rowOff>13304</xdr:rowOff>
    </xdr:from>
    <xdr:to>
      <xdr:col>6</xdr:col>
      <xdr:colOff>46569</xdr:colOff>
      <xdr:row>60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57</xdr:row>
      <xdr:rowOff>15522</xdr:rowOff>
    </xdr:from>
    <xdr:to>
      <xdr:col>8</xdr:col>
      <xdr:colOff>43746</xdr:colOff>
      <xdr:row>60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57</xdr:row>
      <xdr:rowOff>7056</xdr:rowOff>
    </xdr:from>
    <xdr:to>
      <xdr:col>12</xdr:col>
      <xdr:colOff>42332</xdr:colOff>
      <xdr:row>60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57</xdr:row>
      <xdr:rowOff>7056</xdr:rowOff>
    </xdr:from>
    <xdr:to>
      <xdr:col>16</xdr:col>
      <xdr:colOff>42332</xdr:colOff>
      <xdr:row>60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57</xdr:row>
      <xdr:rowOff>18345</xdr:rowOff>
    </xdr:from>
    <xdr:to>
      <xdr:col>18</xdr:col>
      <xdr:colOff>39510</xdr:colOff>
      <xdr:row>60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57</xdr:row>
      <xdr:rowOff>7056</xdr:rowOff>
    </xdr:from>
    <xdr:to>
      <xdr:col>20</xdr:col>
      <xdr:colOff>42332</xdr:colOff>
      <xdr:row>60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57</xdr:row>
      <xdr:rowOff>18345</xdr:rowOff>
    </xdr:from>
    <xdr:to>
      <xdr:col>22</xdr:col>
      <xdr:colOff>39510</xdr:colOff>
      <xdr:row>60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57</xdr:row>
      <xdr:rowOff>22838</xdr:rowOff>
    </xdr:from>
    <xdr:to>
      <xdr:col>24</xdr:col>
      <xdr:colOff>93199</xdr:colOff>
      <xdr:row>60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4233</xdr:rowOff>
    </xdr:from>
    <xdr:to>
      <xdr:col>26</xdr:col>
      <xdr:colOff>46570</xdr:colOff>
      <xdr:row>59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57</xdr:row>
      <xdr:rowOff>13304</xdr:rowOff>
    </xdr:from>
    <xdr:to>
      <xdr:col>30</xdr:col>
      <xdr:colOff>46570</xdr:colOff>
      <xdr:row>60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57</xdr:row>
      <xdr:rowOff>13304</xdr:rowOff>
    </xdr:from>
    <xdr:to>
      <xdr:col>26</xdr:col>
      <xdr:colOff>46569</xdr:colOff>
      <xdr:row>60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57</xdr:row>
      <xdr:rowOff>15522</xdr:rowOff>
    </xdr:from>
    <xdr:to>
      <xdr:col>28</xdr:col>
      <xdr:colOff>43746</xdr:colOff>
      <xdr:row>60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70</xdr:row>
      <xdr:rowOff>7056</xdr:rowOff>
    </xdr:from>
    <xdr:to>
      <xdr:col>2</xdr:col>
      <xdr:colOff>42332</xdr:colOff>
      <xdr:row>73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70</xdr:row>
      <xdr:rowOff>18345</xdr:rowOff>
    </xdr:from>
    <xdr:to>
      <xdr:col>4</xdr:col>
      <xdr:colOff>39510</xdr:colOff>
      <xdr:row>73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70</xdr:row>
      <xdr:rowOff>7056</xdr:rowOff>
    </xdr:from>
    <xdr:to>
      <xdr:col>6</xdr:col>
      <xdr:colOff>42332</xdr:colOff>
      <xdr:row>73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70</xdr:row>
      <xdr:rowOff>18345</xdr:rowOff>
    </xdr:from>
    <xdr:to>
      <xdr:col>8</xdr:col>
      <xdr:colOff>39510</xdr:colOff>
      <xdr:row>73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70</xdr:row>
      <xdr:rowOff>7056</xdr:rowOff>
    </xdr:from>
    <xdr:to>
      <xdr:col>10</xdr:col>
      <xdr:colOff>42332</xdr:colOff>
      <xdr:row>73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70</xdr:row>
      <xdr:rowOff>18345</xdr:rowOff>
    </xdr:from>
    <xdr:to>
      <xdr:col>12</xdr:col>
      <xdr:colOff>39510</xdr:colOff>
      <xdr:row>73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70</xdr:row>
      <xdr:rowOff>7055</xdr:rowOff>
    </xdr:from>
    <xdr:to>
      <xdr:col>14</xdr:col>
      <xdr:colOff>49391</xdr:colOff>
      <xdr:row>73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4233</xdr:rowOff>
    </xdr:from>
    <xdr:to>
      <xdr:col>16</xdr:col>
      <xdr:colOff>46570</xdr:colOff>
      <xdr:row>72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70</xdr:row>
      <xdr:rowOff>13304</xdr:rowOff>
    </xdr:from>
    <xdr:to>
      <xdr:col>20</xdr:col>
      <xdr:colOff>33870</xdr:colOff>
      <xdr:row>73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70</xdr:row>
      <xdr:rowOff>13304</xdr:rowOff>
    </xdr:from>
    <xdr:to>
      <xdr:col>16</xdr:col>
      <xdr:colOff>46569</xdr:colOff>
      <xdr:row>73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70</xdr:row>
      <xdr:rowOff>15522</xdr:rowOff>
    </xdr:from>
    <xdr:to>
      <xdr:col>18</xdr:col>
      <xdr:colOff>43746</xdr:colOff>
      <xdr:row>73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70</xdr:row>
      <xdr:rowOff>28827</xdr:rowOff>
    </xdr:from>
    <xdr:to>
      <xdr:col>22</xdr:col>
      <xdr:colOff>20561</xdr:colOff>
      <xdr:row>73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70</xdr:row>
      <xdr:rowOff>18345</xdr:rowOff>
    </xdr:from>
    <xdr:to>
      <xdr:col>24</xdr:col>
      <xdr:colOff>87135</xdr:colOff>
      <xdr:row>73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70</xdr:row>
      <xdr:rowOff>7056</xdr:rowOff>
    </xdr:from>
    <xdr:to>
      <xdr:col>26</xdr:col>
      <xdr:colOff>42332</xdr:colOff>
      <xdr:row>73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70</xdr:row>
      <xdr:rowOff>18345</xdr:rowOff>
    </xdr:from>
    <xdr:to>
      <xdr:col>28</xdr:col>
      <xdr:colOff>39510</xdr:colOff>
      <xdr:row>73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70</xdr:row>
      <xdr:rowOff>7056</xdr:rowOff>
    </xdr:from>
    <xdr:to>
      <xdr:col>30</xdr:col>
      <xdr:colOff>42332</xdr:colOff>
      <xdr:row>73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81</xdr:row>
      <xdr:rowOff>18345</xdr:rowOff>
    </xdr:from>
    <xdr:to>
      <xdr:col>2</xdr:col>
      <xdr:colOff>39510</xdr:colOff>
      <xdr:row>84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81</xdr:row>
      <xdr:rowOff>7055</xdr:rowOff>
    </xdr:from>
    <xdr:to>
      <xdr:col>24</xdr:col>
      <xdr:colOff>64358</xdr:colOff>
      <xdr:row>84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4233</xdr:rowOff>
    </xdr:from>
    <xdr:to>
      <xdr:col>26</xdr:col>
      <xdr:colOff>46570</xdr:colOff>
      <xdr:row>83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81</xdr:row>
      <xdr:rowOff>13304</xdr:rowOff>
    </xdr:from>
    <xdr:to>
      <xdr:col>30</xdr:col>
      <xdr:colOff>46570</xdr:colOff>
      <xdr:row>84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81</xdr:row>
      <xdr:rowOff>13304</xdr:rowOff>
    </xdr:from>
    <xdr:to>
      <xdr:col>26</xdr:col>
      <xdr:colOff>46569</xdr:colOff>
      <xdr:row>84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81</xdr:row>
      <xdr:rowOff>15522</xdr:rowOff>
    </xdr:from>
    <xdr:to>
      <xdr:col>28</xdr:col>
      <xdr:colOff>43746</xdr:colOff>
      <xdr:row>84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92</xdr:row>
      <xdr:rowOff>7056</xdr:rowOff>
    </xdr:from>
    <xdr:to>
      <xdr:col>2</xdr:col>
      <xdr:colOff>42332</xdr:colOff>
      <xdr:row>95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92</xdr:row>
      <xdr:rowOff>18345</xdr:rowOff>
    </xdr:from>
    <xdr:to>
      <xdr:col>4</xdr:col>
      <xdr:colOff>39510</xdr:colOff>
      <xdr:row>95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92</xdr:row>
      <xdr:rowOff>7056</xdr:rowOff>
    </xdr:from>
    <xdr:to>
      <xdr:col>6</xdr:col>
      <xdr:colOff>42332</xdr:colOff>
      <xdr:row>95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92</xdr:row>
      <xdr:rowOff>18345</xdr:rowOff>
    </xdr:from>
    <xdr:to>
      <xdr:col>8</xdr:col>
      <xdr:colOff>39510</xdr:colOff>
      <xdr:row>95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92</xdr:row>
      <xdr:rowOff>7056</xdr:rowOff>
    </xdr:from>
    <xdr:to>
      <xdr:col>10</xdr:col>
      <xdr:colOff>42332</xdr:colOff>
      <xdr:row>95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92</xdr:row>
      <xdr:rowOff>18345</xdr:rowOff>
    </xdr:from>
    <xdr:to>
      <xdr:col>12</xdr:col>
      <xdr:colOff>39510</xdr:colOff>
      <xdr:row>95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92</xdr:row>
      <xdr:rowOff>7055</xdr:rowOff>
    </xdr:from>
    <xdr:to>
      <xdr:col>14</xdr:col>
      <xdr:colOff>49392</xdr:colOff>
      <xdr:row>94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4233</xdr:rowOff>
    </xdr:from>
    <xdr:to>
      <xdr:col>16</xdr:col>
      <xdr:colOff>46570</xdr:colOff>
      <xdr:row>94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92</xdr:row>
      <xdr:rowOff>13304</xdr:rowOff>
    </xdr:from>
    <xdr:to>
      <xdr:col>20</xdr:col>
      <xdr:colOff>46570</xdr:colOff>
      <xdr:row>95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92</xdr:row>
      <xdr:rowOff>13304</xdr:rowOff>
    </xdr:from>
    <xdr:to>
      <xdr:col>16</xdr:col>
      <xdr:colOff>46569</xdr:colOff>
      <xdr:row>95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92</xdr:row>
      <xdr:rowOff>15522</xdr:rowOff>
    </xdr:from>
    <xdr:to>
      <xdr:col>18</xdr:col>
      <xdr:colOff>43746</xdr:colOff>
      <xdr:row>95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92</xdr:row>
      <xdr:rowOff>7056</xdr:rowOff>
    </xdr:from>
    <xdr:to>
      <xdr:col>22</xdr:col>
      <xdr:colOff>42332</xdr:colOff>
      <xdr:row>95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92</xdr:row>
      <xdr:rowOff>18345</xdr:rowOff>
    </xdr:from>
    <xdr:to>
      <xdr:col>24</xdr:col>
      <xdr:colOff>54477</xdr:colOff>
      <xdr:row>95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92</xdr:row>
      <xdr:rowOff>7056</xdr:rowOff>
    </xdr:from>
    <xdr:to>
      <xdr:col>26</xdr:col>
      <xdr:colOff>42332</xdr:colOff>
      <xdr:row>95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92</xdr:row>
      <xdr:rowOff>18345</xdr:rowOff>
    </xdr:from>
    <xdr:to>
      <xdr:col>28</xdr:col>
      <xdr:colOff>39510</xdr:colOff>
      <xdr:row>95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92</xdr:row>
      <xdr:rowOff>7056</xdr:rowOff>
    </xdr:from>
    <xdr:to>
      <xdr:col>30</xdr:col>
      <xdr:colOff>42332</xdr:colOff>
      <xdr:row>95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103</xdr:row>
      <xdr:rowOff>18345</xdr:rowOff>
    </xdr:from>
    <xdr:to>
      <xdr:col>2</xdr:col>
      <xdr:colOff>39510</xdr:colOff>
      <xdr:row>106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103</xdr:row>
      <xdr:rowOff>7055</xdr:rowOff>
    </xdr:from>
    <xdr:to>
      <xdr:col>4</xdr:col>
      <xdr:colOff>49392</xdr:colOff>
      <xdr:row>106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103</xdr:row>
      <xdr:rowOff>13304</xdr:rowOff>
    </xdr:from>
    <xdr:to>
      <xdr:col>10</xdr:col>
      <xdr:colOff>46570</xdr:colOff>
      <xdr:row>106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103</xdr:row>
      <xdr:rowOff>35455</xdr:rowOff>
    </xdr:from>
    <xdr:to>
      <xdr:col>6</xdr:col>
      <xdr:colOff>35494</xdr:colOff>
      <xdr:row>106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103</xdr:row>
      <xdr:rowOff>15522</xdr:rowOff>
    </xdr:from>
    <xdr:to>
      <xdr:col>8</xdr:col>
      <xdr:colOff>43746</xdr:colOff>
      <xdr:row>106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103</xdr:row>
      <xdr:rowOff>7056</xdr:rowOff>
    </xdr:from>
    <xdr:to>
      <xdr:col>12</xdr:col>
      <xdr:colOff>42332</xdr:colOff>
      <xdr:row>106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103</xdr:row>
      <xdr:rowOff>18345</xdr:rowOff>
    </xdr:from>
    <xdr:to>
      <xdr:col>14</xdr:col>
      <xdr:colOff>39510</xdr:colOff>
      <xdr:row>106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103</xdr:row>
      <xdr:rowOff>7056</xdr:rowOff>
    </xdr:from>
    <xdr:to>
      <xdr:col>16</xdr:col>
      <xdr:colOff>42332</xdr:colOff>
      <xdr:row>106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103</xdr:row>
      <xdr:rowOff>18345</xdr:rowOff>
    </xdr:from>
    <xdr:to>
      <xdr:col>18</xdr:col>
      <xdr:colOff>39510</xdr:colOff>
      <xdr:row>106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103</xdr:row>
      <xdr:rowOff>7056</xdr:rowOff>
    </xdr:from>
    <xdr:to>
      <xdr:col>20</xdr:col>
      <xdr:colOff>42332</xdr:colOff>
      <xdr:row>106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103</xdr:row>
      <xdr:rowOff>18345</xdr:rowOff>
    </xdr:from>
    <xdr:to>
      <xdr:col>22</xdr:col>
      <xdr:colOff>39510</xdr:colOff>
      <xdr:row>106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103</xdr:row>
      <xdr:rowOff>13304</xdr:rowOff>
    </xdr:from>
    <xdr:to>
      <xdr:col>30</xdr:col>
      <xdr:colOff>46570</xdr:colOff>
      <xdr:row>106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103</xdr:row>
      <xdr:rowOff>15522</xdr:rowOff>
    </xdr:from>
    <xdr:to>
      <xdr:col>28</xdr:col>
      <xdr:colOff>43746</xdr:colOff>
      <xdr:row>106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114</xdr:row>
      <xdr:rowOff>18345</xdr:rowOff>
    </xdr:from>
    <xdr:to>
      <xdr:col>12</xdr:col>
      <xdr:colOff>26095</xdr:colOff>
      <xdr:row>117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114</xdr:row>
      <xdr:rowOff>7055</xdr:rowOff>
    </xdr:from>
    <xdr:to>
      <xdr:col>14</xdr:col>
      <xdr:colOff>49392</xdr:colOff>
      <xdr:row>117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4233</xdr:rowOff>
    </xdr:from>
    <xdr:to>
      <xdr:col>16</xdr:col>
      <xdr:colOff>46570</xdr:colOff>
      <xdr:row>116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114</xdr:row>
      <xdr:rowOff>13304</xdr:rowOff>
    </xdr:from>
    <xdr:to>
      <xdr:col>20</xdr:col>
      <xdr:colOff>46570</xdr:colOff>
      <xdr:row>117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114</xdr:row>
      <xdr:rowOff>13304</xdr:rowOff>
    </xdr:from>
    <xdr:to>
      <xdr:col>16</xdr:col>
      <xdr:colOff>46569</xdr:colOff>
      <xdr:row>117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114</xdr:row>
      <xdr:rowOff>15522</xdr:rowOff>
    </xdr:from>
    <xdr:to>
      <xdr:col>18</xdr:col>
      <xdr:colOff>43746</xdr:colOff>
      <xdr:row>117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114</xdr:row>
      <xdr:rowOff>7056</xdr:rowOff>
    </xdr:from>
    <xdr:to>
      <xdr:col>22</xdr:col>
      <xdr:colOff>42332</xdr:colOff>
      <xdr:row>117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113</xdr:row>
      <xdr:rowOff>159859</xdr:rowOff>
    </xdr:from>
    <xdr:to>
      <xdr:col>24</xdr:col>
      <xdr:colOff>65364</xdr:colOff>
      <xdr:row>116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114</xdr:row>
      <xdr:rowOff>7056</xdr:rowOff>
    </xdr:from>
    <xdr:to>
      <xdr:col>26</xdr:col>
      <xdr:colOff>42332</xdr:colOff>
      <xdr:row>117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114</xdr:row>
      <xdr:rowOff>18345</xdr:rowOff>
    </xdr:from>
    <xdr:to>
      <xdr:col>28</xdr:col>
      <xdr:colOff>39510</xdr:colOff>
      <xdr:row>117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114</xdr:row>
      <xdr:rowOff>7056</xdr:rowOff>
    </xdr:from>
    <xdr:to>
      <xdr:col>30</xdr:col>
      <xdr:colOff>42332</xdr:colOff>
      <xdr:row>117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125</xdr:row>
      <xdr:rowOff>18345</xdr:rowOff>
    </xdr:from>
    <xdr:to>
      <xdr:col>2</xdr:col>
      <xdr:colOff>7760</xdr:colOff>
      <xdr:row>128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125</xdr:row>
      <xdr:rowOff>7055</xdr:rowOff>
    </xdr:from>
    <xdr:to>
      <xdr:col>4</xdr:col>
      <xdr:colOff>49392</xdr:colOff>
      <xdr:row>128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4233</xdr:rowOff>
    </xdr:from>
    <xdr:to>
      <xdr:col>6</xdr:col>
      <xdr:colOff>46570</xdr:colOff>
      <xdr:row>127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125</xdr:row>
      <xdr:rowOff>13304</xdr:rowOff>
    </xdr:from>
    <xdr:to>
      <xdr:col>10</xdr:col>
      <xdr:colOff>46570</xdr:colOff>
      <xdr:row>128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125</xdr:row>
      <xdr:rowOff>13304</xdr:rowOff>
    </xdr:from>
    <xdr:to>
      <xdr:col>6</xdr:col>
      <xdr:colOff>46569</xdr:colOff>
      <xdr:row>128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125</xdr:row>
      <xdr:rowOff>15522</xdr:rowOff>
    </xdr:from>
    <xdr:to>
      <xdr:col>8</xdr:col>
      <xdr:colOff>43746</xdr:colOff>
      <xdr:row>128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125</xdr:row>
      <xdr:rowOff>7056</xdr:rowOff>
    </xdr:from>
    <xdr:to>
      <xdr:col>12</xdr:col>
      <xdr:colOff>42332</xdr:colOff>
      <xdr:row>128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125</xdr:row>
      <xdr:rowOff>18345</xdr:rowOff>
    </xdr:from>
    <xdr:to>
      <xdr:col>14</xdr:col>
      <xdr:colOff>39510</xdr:colOff>
      <xdr:row>128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125</xdr:row>
      <xdr:rowOff>7056</xdr:rowOff>
    </xdr:from>
    <xdr:to>
      <xdr:col>16</xdr:col>
      <xdr:colOff>42332</xdr:colOff>
      <xdr:row>128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125</xdr:row>
      <xdr:rowOff>18345</xdr:rowOff>
    </xdr:from>
    <xdr:to>
      <xdr:col>18</xdr:col>
      <xdr:colOff>39510</xdr:colOff>
      <xdr:row>128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125</xdr:row>
      <xdr:rowOff>7056</xdr:rowOff>
    </xdr:from>
    <xdr:to>
      <xdr:col>20</xdr:col>
      <xdr:colOff>42332</xdr:colOff>
      <xdr:row>128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125</xdr:row>
      <xdr:rowOff>18345</xdr:rowOff>
    </xdr:from>
    <xdr:to>
      <xdr:col>22</xdr:col>
      <xdr:colOff>39510</xdr:colOff>
      <xdr:row>128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125</xdr:row>
      <xdr:rowOff>7055</xdr:rowOff>
    </xdr:from>
    <xdr:to>
      <xdr:col>24</xdr:col>
      <xdr:colOff>75246</xdr:colOff>
      <xdr:row>128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4233</xdr:rowOff>
    </xdr:from>
    <xdr:to>
      <xdr:col>26</xdr:col>
      <xdr:colOff>46570</xdr:colOff>
      <xdr:row>127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125</xdr:row>
      <xdr:rowOff>13304</xdr:rowOff>
    </xdr:from>
    <xdr:to>
      <xdr:col>30</xdr:col>
      <xdr:colOff>46570</xdr:colOff>
      <xdr:row>128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125</xdr:row>
      <xdr:rowOff>13304</xdr:rowOff>
    </xdr:from>
    <xdr:to>
      <xdr:col>26</xdr:col>
      <xdr:colOff>46569</xdr:colOff>
      <xdr:row>128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125</xdr:row>
      <xdr:rowOff>15522</xdr:rowOff>
    </xdr:from>
    <xdr:to>
      <xdr:col>28</xdr:col>
      <xdr:colOff>43746</xdr:colOff>
      <xdr:row>128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138</xdr:row>
      <xdr:rowOff>7056</xdr:rowOff>
    </xdr:from>
    <xdr:to>
      <xdr:col>2</xdr:col>
      <xdr:colOff>42332</xdr:colOff>
      <xdr:row>141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138</xdr:row>
      <xdr:rowOff>18345</xdr:rowOff>
    </xdr:from>
    <xdr:to>
      <xdr:col>4</xdr:col>
      <xdr:colOff>39510</xdr:colOff>
      <xdr:row>141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138</xdr:row>
      <xdr:rowOff>7056</xdr:rowOff>
    </xdr:from>
    <xdr:to>
      <xdr:col>6</xdr:col>
      <xdr:colOff>42332</xdr:colOff>
      <xdr:row>141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138</xdr:row>
      <xdr:rowOff>18345</xdr:rowOff>
    </xdr:from>
    <xdr:to>
      <xdr:col>8</xdr:col>
      <xdr:colOff>39510</xdr:colOff>
      <xdr:row>141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138</xdr:row>
      <xdr:rowOff>7056</xdr:rowOff>
    </xdr:from>
    <xdr:to>
      <xdr:col>10</xdr:col>
      <xdr:colOff>42332</xdr:colOff>
      <xdr:row>141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138</xdr:row>
      <xdr:rowOff>18345</xdr:rowOff>
    </xdr:from>
    <xdr:to>
      <xdr:col>12</xdr:col>
      <xdr:colOff>21579</xdr:colOff>
      <xdr:row>141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138</xdr:row>
      <xdr:rowOff>7055</xdr:rowOff>
    </xdr:from>
    <xdr:to>
      <xdr:col>14</xdr:col>
      <xdr:colOff>49392</xdr:colOff>
      <xdr:row>141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4233</xdr:rowOff>
    </xdr:from>
    <xdr:to>
      <xdr:col>16</xdr:col>
      <xdr:colOff>46570</xdr:colOff>
      <xdr:row>140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138</xdr:row>
      <xdr:rowOff>13304</xdr:rowOff>
    </xdr:from>
    <xdr:to>
      <xdr:col>20</xdr:col>
      <xdr:colOff>46570</xdr:colOff>
      <xdr:row>141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138</xdr:row>
      <xdr:rowOff>13304</xdr:rowOff>
    </xdr:from>
    <xdr:to>
      <xdr:col>16</xdr:col>
      <xdr:colOff>46569</xdr:colOff>
      <xdr:row>141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138</xdr:row>
      <xdr:rowOff>15522</xdr:rowOff>
    </xdr:from>
    <xdr:to>
      <xdr:col>18</xdr:col>
      <xdr:colOff>43746</xdr:colOff>
      <xdr:row>141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138</xdr:row>
      <xdr:rowOff>7056</xdr:rowOff>
    </xdr:from>
    <xdr:to>
      <xdr:col>22</xdr:col>
      <xdr:colOff>42332</xdr:colOff>
      <xdr:row>141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138</xdr:row>
      <xdr:rowOff>18345</xdr:rowOff>
    </xdr:from>
    <xdr:to>
      <xdr:col>24</xdr:col>
      <xdr:colOff>65363</xdr:colOff>
      <xdr:row>141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138</xdr:row>
      <xdr:rowOff>7056</xdr:rowOff>
    </xdr:from>
    <xdr:to>
      <xdr:col>26</xdr:col>
      <xdr:colOff>42332</xdr:colOff>
      <xdr:row>141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90</xdr:row>
      <xdr:rowOff>40825</xdr:rowOff>
    </xdr:from>
    <xdr:to>
      <xdr:col>36</xdr:col>
      <xdr:colOff>218619</xdr:colOff>
      <xdr:row>91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44</xdr:row>
      <xdr:rowOff>173181</xdr:rowOff>
    </xdr:from>
    <xdr:to>
      <xdr:col>7</xdr:col>
      <xdr:colOff>294410</xdr:colOff>
      <xdr:row>45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45</xdr:row>
      <xdr:rowOff>30305</xdr:rowOff>
    </xdr:from>
    <xdr:to>
      <xdr:col>9</xdr:col>
      <xdr:colOff>294410</xdr:colOff>
      <xdr:row>45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44</xdr:row>
      <xdr:rowOff>173181</xdr:rowOff>
    </xdr:from>
    <xdr:to>
      <xdr:col>11</xdr:col>
      <xdr:colOff>294410</xdr:colOff>
      <xdr:row>45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44</xdr:row>
      <xdr:rowOff>173181</xdr:rowOff>
    </xdr:from>
    <xdr:to>
      <xdr:col>13</xdr:col>
      <xdr:colOff>294410</xdr:colOff>
      <xdr:row>45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44</xdr:row>
      <xdr:rowOff>173181</xdr:rowOff>
    </xdr:from>
    <xdr:to>
      <xdr:col>3</xdr:col>
      <xdr:colOff>294410</xdr:colOff>
      <xdr:row>45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44</xdr:row>
      <xdr:rowOff>173181</xdr:rowOff>
    </xdr:from>
    <xdr:to>
      <xdr:col>5</xdr:col>
      <xdr:colOff>294410</xdr:colOff>
      <xdr:row>45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44</xdr:row>
      <xdr:rowOff>173181</xdr:rowOff>
    </xdr:from>
    <xdr:to>
      <xdr:col>25</xdr:col>
      <xdr:colOff>294410</xdr:colOff>
      <xdr:row>45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44</xdr:row>
      <xdr:rowOff>173181</xdr:rowOff>
    </xdr:from>
    <xdr:to>
      <xdr:col>27</xdr:col>
      <xdr:colOff>294410</xdr:colOff>
      <xdr:row>45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44</xdr:row>
      <xdr:rowOff>173181</xdr:rowOff>
    </xdr:from>
    <xdr:to>
      <xdr:col>29</xdr:col>
      <xdr:colOff>294410</xdr:colOff>
      <xdr:row>45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44</xdr:row>
      <xdr:rowOff>173181</xdr:rowOff>
    </xdr:from>
    <xdr:to>
      <xdr:col>31</xdr:col>
      <xdr:colOff>294410</xdr:colOff>
      <xdr:row>45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56</xdr:row>
      <xdr:rowOff>173181</xdr:rowOff>
    </xdr:from>
    <xdr:to>
      <xdr:col>3</xdr:col>
      <xdr:colOff>294410</xdr:colOff>
      <xdr:row>57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56</xdr:row>
      <xdr:rowOff>173181</xdr:rowOff>
    </xdr:from>
    <xdr:to>
      <xdr:col>5</xdr:col>
      <xdr:colOff>294410</xdr:colOff>
      <xdr:row>57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56</xdr:row>
      <xdr:rowOff>173181</xdr:rowOff>
    </xdr:from>
    <xdr:to>
      <xdr:col>7</xdr:col>
      <xdr:colOff>294410</xdr:colOff>
      <xdr:row>57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56</xdr:row>
      <xdr:rowOff>173181</xdr:rowOff>
    </xdr:from>
    <xdr:to>
      <xdr:col>9</xdr:col>
      <xdr:colOff>294410</xdr:colOff>
      <xdr:row>57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56</xdr:row>
      <xdr:rowOff>173181</xdr:rowOff>
    </xdr:from>
    <xdr:to>
      <xdr:col>11</xdr:col>
      <xdr:colOff>294410</xdr:colOff>
      <xdr:row>57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56</xdr:row>
      <xdr:rowOff>173181</xdr:rowOff>
    </xdr:from>
    <xdr:to>
      <xdr:col>13</xdr:col>
      <xdr:colOff>294410</xdr:colOff>
      <xdr:row>57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56</xdr:row>
      <xdr:rowOff>173181</xdr:rowOff>
    </xdr:from>
    <xdr:to>
      <xdr:col>15</xdr:col>
      <xdr:colOff>294410</xdr:colOff>
      <xdr:row>57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56</xdr:row>
      <xdr:rowOff>173181</xdr:rowOff>
    </xdr:from>
    <xdr:to>
      <xdr:col>17</xdr:col>
      <xdr:colOff>294410</xdr:colOff>
      <xdr:row>57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56</xdr:row>
      <xdr:rowOff>173181</xdr:rowOff>
    </xdr:from>
    <xdr:to>
      <xdr:col>19</xdr:col>
      <xdr:colOff>294410</xdr:colOff>
      <xdr:row>57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56</xdr:row>
      <xdr:rowOff>173181</xdr:rowOff>
    </xdr:from>
    <xdr:to>
      <xdr:col>21</xdr:col>
      <xdr:colOff>294410</xdr:colOff>
      <xdr:row>57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56</xdr:row>
      <xdr:rowOff>173181</xdr:rowOff>
    </xdr:from>
    <xdr:to>
      <xdr:col>23</xdr:col>
      <xdr:colOff>294410</xdr:colOff>
      <xdr:row>57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56</xdr:row>
      <xdr:rowOff>173181</xdr:rowOff>
    </xdr:from>
    <xdr:to>
      <xdr:col>25</xdr:col>
      <xdr:colOff>294410</xdr:colOff>
      <xdr:row>57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56</xdr:row>
      <xdr:rowOff>173181</xdr:rowOff>
    </xdr:from>
    <xdr:to>
      <xdr:col>27</xdr:col>
      <xdr:colOff>294410</xdr:colOff>
      <xdr:row>57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56</xdr:row>
      <xdr:rowOff>173181</xdr:rowOff>
    </xdr:from>
    <xdr:to>
      <xdr:col>29</xdr:col>
      <xdr:colOff>294410</xdr:colOff>
      <xdr:row>57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69</xdr:row>
      <xdr:rowOff>173181</xdr:rowOff>
    </xdr:from>
    <xdr:to>
      <xdr:col>15</xdr:col>
      <xdr:colOff>294410</xdr:colOff>
      <xdr:row>70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69</xdr:row>
      <xdr:rowOff>173181</xdr:rowOff>
    </xdr:from>
    <xdr:to>
      <xdr:col>17</xdr:col>
      <xdr:colOff>294410</xdr:colOff>
      <xdr:row>70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69</xdr:row>
      <xdr:rowOff>173181</xdr:rowOff>
    </xdr:from>
    <xdr:to>
      <xdr:col>19</xdr:col>
      <xdr:colOff>294410</xdr:colOff>
      <xdr:row>70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69</xdr:row>
      <xdr:rowOff>173181</xdr:rowOff>
    </xdr:from>
    <xdr:to>
      <xdr:col>21</xdr:col>
      <xdr:colOff>294410</xdr:colOff>
      <xdr:row>70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69</xdr:row>
      <xdr:rowOff>173181</xdr:rowOff>
    </xdr:from>
    <xdr:to>
      <xdr:col>23</xdr:col>
      <xdr:colOff>294410</xdr:colOff>
      <xdr:row>70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69</xdr:row>
      <xdr:rowOff>173181</xdr:rowOff>
    </xdr:from>
    <xdr:to>
      <xdr:col>25</xdr:col>
      <xdr:colOff>294410</xdr:colOff>
      <xdr:row>70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69</xdr:row>
      <xdr:rowOff>173181</xdr:rowOff>
    </xdr:from>
    <xdr:to>
      <xdr:col>27</xdr:col>
      <xdr:colOff>294410</xdr:colOff>
      <xdr:row>70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69</xdr:row>
      <xdr:rowOff>173181</xdr:rowOff>
    </xdr:from>
    <xdr:to>
      <xdr:col>29</xdr:col>
      <xdr:colOff>294410</xdr:colOff>
      <xdr:row>70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69</xdr:row>
      <xdr:rowOff>173181</xdr:rowOff>
    </xdr:from>
    <xdr:to>
      <xdr:col>31</xdr:col>
      <xdr:colOff>294410</xdr:colOff>
      <xdr:row>70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80</xdr:row>
      <xdr:rowOff>173181</xdr:rowOff>
    </xdr:from>
    <xdr:to>
      <xdr:col>3</xdr:col>
      <xdr:colOff>294410</xdr:colOff>
      <xdr:row>81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80</xdr:row>
      <xdr:rowOff>173181</xdr:rowOff>
    </xdr:from>
    <xdr:to>
      <xdr:col>25</xdr:col>
      <xdr:colOff>294410</xdr:colOff>
      <xdr:row>81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80</xdr:row>
      <xdr:rowOff>173181</xdr:rowOff>
    </xdr:from>
    <xdr:to>
      <xdr:col>27</xdr:col>
      <xdr:colOff>294410</xdr:colOff>
      <xdr:row>81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80</xdr:row>
      <xdr:rowOff>173181</xdr:rowOff>
    </xdr:from>
    <xdr:to>
      <xdr:col>29</xdr:col>
      <xdr:colOff>294410</xdr:colOff>
      <xdr:row>81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80</xdr:row>
      <xdr:rowOff>173181</xdr:rowOff>
    </xdr:from>
    <xdr:to>
      <xdr:col>31</xdr:col>
      <xdr:colOff>294410</xdr:colOff>
      <xdr:row>81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91</xdr:row>
      <xdr:rowOff>173181</xdr:rowOff>
    </xdr:from>
    <xdr:to>
      <xdr:col>3</xdr:col>
      <xdr:colOff>294410</xdr:colOff>
      <xdr:row>92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91</xdr:row>
      <xdr:rowOff>173181</xdr:rowOff>
    </xdr:from>
    <xdr:to>
      <xdr:col>5</xdr:col>
      <xdr:colOff>294410</xdr:colOff>
      <xdr:row>92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91</xdr:row>
      <xdr:rowOff>173181</xdr:rowOff>
    </xdr:from>
    <xdr:to>
      <xdr:col>7</xdr:col>
      <xdr:colOff>294410</xdr:colOff>
      <xdr:row>92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91</xdr:row>
      <xdr:rowOff>173181</xdr:rowOff>
    </xdr:from>
    <xdr:to>
      <xdr:col>9</xdr:col>
      <xdr:colOff>294410</xdr:colOff>
      <xdr:row>92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91</xdr:row>
      <xdr:rowOff>173181</xdr:rowOff>
    </xdr:from>
    <xdr:to>
      <xdr:col>11</xdr:col>
      <xdr:colOff>294410</xdr:colOff>
      <xdr:row>92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91</xdr:row>
      <xdr:rowOff>173181</xdr:rowOff>
    </xdr:from>
    <xdr:to>
      <xdr:col>13</xdr:col>
      <xdr:colOff>294410</xdr:colOff>
      <xdr:row>92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91</xdr:row>
      <xdr:rowOff>173181</xdr:rowOff>
    </xdr:from>
    <xdr:to>
      <xdr:col>15</xdr:col>
      <xdr:colOff>294410</xdr:colOff>
      <xdr:row>92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91</xdr:row>
      <xdr:rowOff>173181</xdr:rowOff>
    </xdr:from>
    <xdr:to>
      <xdr:col>17</xdr:col>
      <xdr:colOff>294410</xdr:colOff>
      <xdr:row>92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91</xdr:row>
      <xdr:rowOff>173181</xdr:rowOff>
    </xdr:from>
    <xdr:to>
      <xdr:col>19</xdr:col>
      <xdr:colOff>294410</xdr:colOff>
      <xdr:row>92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91</xdr:row>
      <xdr:rowOff>173181</xdr:rowOff>
    </xdr:from>
    <xdr:to>
      <xdr:col>21</xdr:col>
      <xdr:colOff>294410</xdr:colOff>
      <xdr:row>92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91</xdr:row>
      <xdr:rowOff>173181</xdr:rowOff>
    </xdr:from>
    <xdr:to>
      <xdr:col>23</xdr:col>
      <xdr:colOff>294410</xdr:colOff>
      <xdr:row>92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91</xdr:row>
      <xdr:rowOff>173181</xdr:rowOff>
    </xdr:from>
    <xdr:to>
      <xdr:col>25</xdr:col>
      <xdr:colOff>294410</xdr:colOff>
      <xdr:row>92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91</xdr:row>
      <xdr:rowOff>173181</xdr:rowOff>
    </xdr:from>
    <xdr:to>
      <xdr:col>27</xdr:col>
      <xdr:colOff>294410</xdr:colOff>
      <xdr:row>92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91</xdr:row>
      <xdr:rowOff>173181</xdr:rowOff>
    </xdr:from>
    <xdr:to>
      <xdr:col>29</xdr:col>
      <xdr:colOff>294410</xdr:colOff>
      <xdr:row>92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91</xdr:row>
      <xdr:rowOff>173181</xdr:rowOff>
    </xdr:from>
    <xdr:to>
      <xdr:col>31</xdr:col>
      <xdr:colOff>294410</xdr:colOff>
      <xdr:row>92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102</xdr:row>
      <xdr:rowOff>173181</xdr:rowOff>
    </xdr:from>
    <xdr:to>
      <xdr:col>3</xdr:col>
      <xdr:colOff>294410</xdr:colOff>
      <xdr:row>103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102</xdr:row>
      <xdr:rowOff>173181</xdr:rowOff>
    </xdr:from>
    <xdr:to>
      <xdr:col>5</xdr:col>
      <xdr:colOff>294410</xdr:colOff>
      <xdr:row>103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102</xdr:row>
      <xdr:rowOff>173181</xdr:rowOff>
    </xdr:from>
    <xdr:to>
      <xdr:col>25</xdr:col>
      <xdr:colOff>294410</xdr:colOff>
      <xdr:row>103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102</xdr:row>
      <xdr:rowOff>173181</xdr:rowOff>
    </xdr:from>
    <xdr:to>
      <xdr:col>27</xdr:col>
      <xdr:colOff>294410</xdr:colOff>
      <xdr:row>103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102</xdr:row>
      <xdr:rowOff>173181</xdr:rowOff>
    </xdr:from>
    <xdr:to>
      <xdr:col>7</xdr:col>
      <xdr:colOff>294410</xdr:colOff>
      <xdr:row>103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102</xdr:row>
      <xdr:rowOff>173181</xdr:rowOff>
    </xdr:from>
    <xdr:to>
      <xdr:col>9</xdr:col>
      <xdr:colOff>294410</xdr:colOff>
      <xdr:row>103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102</xdr:row>
      <xdr:rowOff>173181</xdr:rowOff>
    </xdr:from>
    <xdr:to>
      <xdr:col>29</xdr:col>
      <xdr:colOff>294410</xdr:colOff>
      <xdr:row>103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102</xdr:row>
      <xdr:rowOff>173181</xdr:rowOff>
    </xdr:from>
    <xdr:to>
      <xdr:col>11</xdr:col>
      <xdr:colOff>294410</xdr:colOff>
      <xdr:row>103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102</xdr:row>
      <xdr:rowOff>173181</xdr:rowOff>
    </xdr:from>
    <xdr:to>
      <xdr:col>31</xdr:col>
      <xdr:colOff>294410</xdr:colOff>
      <xdr:row>103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102</xdr:row>
      <xdr:rowOff>173181</xdr:rowOff>
    </xdr:from>
    <xdr:to>
      <xdr:col>13</xdr:col>
      <xdr:colOff>294410</xdr:colOff>
      <xdr:row>103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113</xdr:row>
      <xdr:rowOff>173181</xdr:rowOff>
    </xdr:from>
    <xdr:to>
      <xdr:col>3</xdr:col>
      <xdr:colOff>294410</xdr:colOff>
      <xdr:row>114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102</xdr:row>
      <xdr:rowOff>173181</xdr:rowOff>
    </xdr:from>
    <xdr:to>
      <xdr:col>15</xdr:col>
      <xdr:colOff>294410</xdr:colOff>
      <xdr:row>103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113</xdr:row>
      <xdr:rowOff>173181</xdr:rowOff>
    </xdr:from>
    <xdr:to>
      <xdr:col>5</xdr:col>
      <xdr:colOff>294410</xdr:colOff>
      <xdr:row>114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102</xdr:row>
      <xdr:rowOff>173181</xdr:rowOff>
    </xdr:from>
    <xdr:to>
      <xdr:col>17</xdr:col>
      <xdr:colOff>294410</xdr:colOff>
      <xdr:row>103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113</xdr:row>
      <xdr:rowOff>173181</xdr:rowOff>
    </xdr:from>
    <xdr:to>
      <xdr:col>7</xdr:col>
      <xdr:colOff>294410</xdr:colOff>
      <xdr:row>114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102</xdr:row>
      <xdr:rowOff>173181</xdr:rowOff>
    </xdr:from>
    <xdr:to>
      <xdr:col>19</xdr:col>
      <xdr:colOff>294410</xdr:colOff>
      <xdr:row>103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113</xdr:row>
      <xdr:rowOff>173181</xdr:rowOff>
    </xdr:from>
    <xdr:to>
      <xdr:col>9</xdr:col>
      <xdr:colOff>294410</xdr:colOff>
      <xdr:row>114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102</xdr:row>
      <xdr:rowOff>173181</xdr:rowOff>
    </xdr:from>
    <xdr:to>
      <xdr:col>21</xdr:col>
      <xdr:colOff>294410</xdr:colOff>
      <xdr:row>103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113</xdr:row>
      <xdr:rowOff>173181</xdr:rowOff>
    </xdr:from>
    <xdr:to>
      <xdr:col>11</xdr:col>
      <xdr:colOff>294410</xdr:colOff>
      <xdr:row>114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102</xdr:row>
      <xdr:rowOff>173181</xdr:rowOff>
    </xdr:from>
    <xdr:to>
      <xdr:col>23</xdr:col>
      <xdr:colOff>294410</xdr:colOff>
      <xdr:row>103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113</xdr:row>
      <xdr:rowOff>173181</xdr:rowOff>
    </xdr:from>
    <xdr:to>
      <xdr:col>13</xdr:col>
      <xdr:colOff>294410</xdr:colOff>
      <xdr:row>114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113</xdr:row>
      <xdr:rowOff>173181</xdr:rowOff>
    </xdr:from>
    <xdr:to>
      <xdr:col>15</xdr:col>
      <xdr:colOff>294410</xdr:colOff>
      <xdr:row>114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113</xdr:row>
      <xdr:rowOff>173181</xdr:rowOff>
    </xdr:from>
    <xdr:to>
      <xdr:col>17</xdr:col>
      <xdr:colOff>294410</xdr:colOff>
      <xdr:row>114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113</xdr:row>
      <xdr:rowOff>173181</xdr:rowOff>
    </xdr:from>
    <xdr:to>
      <xdr:col>19</xdr:col>
      <xdr:colOff>294410</xdr:colOff>
      <xdr:row>114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113</xdr:row>
      <xdr:rowOff>173181</xdr:rowOff>
    </xdr:from>
    <xdr:to>
      <xdr:col>21</xdr:col>
      <xdr:colOff>294410</xdr:colOff>
      <xdr:row>114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113</xdr:row>
      <xdr:rowOff>173181</xdr:rowOff>
    </xdr:from>
    <xdr:to>
      <xdr:col>23</xdr:col>
      <xdr:colOff>294410</xdr:colOff>
      <xdr:row>114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113</xdr:row>
      <xdr:rowOff>173181</xdr:rowOff>
    </xdr:from>
    <xdr:to>
      <xdr:col>25</xdr:col>
      <xdr:colOff>294410</xdr:colOff>
      <xdr:row>114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113</xdr:row>
      <xdr:rowOff>173181</xdr:rowOff>
    </xdr:from>
    <xdr:to>
      <xdr:col>27</xdr:col>
      <xdr:colOff>294410</xdr:colOff>
      <xdr:row>114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113</xdr:row>
      <xdr:rowOff>173181</xdr:rowOff>
    </xdr:from>
    <xdr:to>
      <xdr:col>29</xdr:col>
      <xdr:colOff>294410</xdr:colOff>
      <xdr:row>114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113</xdr:row>
      <xdr:rowOff>173181</xdr:rowOff>
    </xdr:from>
    <xdr:to>
      <xdr:col>31</xdr:col>
      <xdr:colOff>294410</xdr:colOff>
      <xdr:row>114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124</xdr:row>
      <xdr:rowOff>173181</xdr:rowOff>
    </xdr:from>
    <xdr:to>
      <xdr:col>3</xdr:col>
      <xdr:colOff>294410</xdr:colOff>
      <xdr:row>125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124</xdr:row>
      <xdr:rowOff>173181</xdr:rowOff>
    </xdr:from>
    <xdr:to>
      <xdr:col>5</xdr:col>
      <xdr:colOff>294410</xdr:colOff>
      <xdr:row>125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124</xdr:row>
      <xdr:rowOff>173181</xdr:rowOff>
    </xdr:from>
    <xdr:to>
      <xdr:col>7</xdr:col>
      <xdr:colOff>294410</xdr:colOff>
      <xdr:row>125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124</xdr:row>
      <xdr:rowOff>173181</xdr:rowOff>
    </xdr:from>
    <xdr:to>
      <xdr:col>9</xdr:col>
      <xdr:colOff>294410</xdr:colOff>
      <xdr:row>125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124</xdr:row>
      <xdr:rowOff>173181</xdr:rowOff>
    </xdr:from>
    <xdr:to>
      <xdr:col>11</xdr:col>
      <xdr:colOff>294410</xdr:colOff>
      <xdr:row>125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124</xdr:row>
      <xdr:rowOff>173181</xdr:rowOff>
    </xdr:from>
    <xdr:to>
      <xdr:col>13</xdr:col>
      <xdr:colOff>294410</xdr:colOff>
      <xdr:row>125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124</xdr:row>
      <xdr:rowOff>173181</xdr:rowOff>
    </xdr:from>
    <xdr:to>
      <xdr:col>15</xdr:col>
      <xdr:colOff>294410</xdr:colOff>
      <xdr:row>125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124</xdr:row>
      <xdr:rowOff>173181</xdr:rowOff>
    </xdr:from>
    <xdr:to>
      <xdr:col>17</xdr:col>
      <xdr:colOff>294410</xdr:colOff>
      <xdr:row>125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124</xdr:row>
      <xdr:rowOff>173181</xdr:rowOff>
    </xdr:from>
    <xdr:to>
      <xdr:col>19</xdr:col>
      <xdr:colOff>294410</xdr:colOff>
      <xdr:row>125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124</xdr:row>
      <xdr:rowOff>173181</xdr:rowOff>
    </xdr:from>
    <xdr:to>
      <xdr:col>21</xdr:col>
      <xdr:colOff>294410</xdr:colOff>
      <xdr:row>125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124</xdr:row>
      <xdr:rowOff>173181</xdr:rowOff>
    </xdr:from>
    <xdr:to>
      <xdr:col>23</xdr:col>
      <xdr:colOff>294410</xdr:colOff>
      <xdr:row>125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124</xdr:row>
      <xdr:rowOff>173181</xdr:rowOff>
    </xdr:from>
    <xdr:to>
      <xdr:col>25</xdr:col>
      <xdr:colOff>294410</xdr:colOff>
      <xdr:row>125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124</xdr:row>
      <xdr:rowOff>173181</xdr:rowOff>
    </xdr:from>
    <xdr:to>
      <xdr:col>27</xdr:col>
      <xdr:colOff>294410</xdr:colOff>
      <xdr:row>125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124</xdr:row>
      <xdr:rowOff>173181</xdr:rowOff>
    </xdr:from>
    <xdr:to>
      <xdr:col>29</xdr:col>
      <xdr:colOff>294410</xdr:colOff>
      <xdr:row>125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124</xdr:row>
      <xdr:rowOff>173181</xdr:rowOff>
    </xdr:from>
    <xdr:to>
      <xdr:col>31</xdr:col>
      <xdr:colOff>294410</xdr:colOff>
      <xdr:row>125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137</xdr:row>
      <xdr:rowOff>173181</xdr:rowOff>
    </xdr:from>
    <xdr:to>
      <xdr:col>3</xdr:col>
      <xdr:colOff>294410</xdr:colOff>
      <xdr:row>138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137</xdr:row>
      <xdr:rowOff>173181</xdr:rowOff>
    </xdr:from>
    <xdr:to>
      <xdr:col>5</xdr:col>
      <xdr:colOff>294410</xdr:colOff>
      <xdr:row>138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138</xdr:row>
      <xdr:rowOff>38100</xdr:rowOff>
    </xdr:from>
    <xdr:to>
      <xdr:col>7</xdr:col>
      <xdr:colOff>294410</xdr:colOff>
      <xdr:row>138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137</xdr:row>
      <xdr:rowOff>173181</xdr:rowOff>
    </xdr:from>
    <xdr:to>
      <xdr:col>9</xdr:col>
      <xdr:colOff>294410</xdr:colOff>
      <xdr:row>138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137</xdr:row>
      <xdr:rowOff>173181</xdr:rowOff>
    </xdr:from>
    <xdr:to>
      <xdr:col>11</xdr:col>
      <xdr:colOff>294410</xdr:colOff>
      <xdr:row>138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137</xdr:row>
      <xdr:rowOff>173181</xdr:rowOff>
    </xdr:from>
    <xdr:to>
      <xdr:col>13</xdr:col>
      <xdr:colOff>294410</xdr:colOff>
      <xdr:row>138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137</xdr:row>
      <xdr:rowOff>173181</xdr:rowOff>
    </xdr:from>
    <xdr:to>
      <xdr:col>15</xdr:col>
      <xdr:colOff>294410</xdr:colOff>
      <xdr:row>138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137</xdr:row>
      <xdr:rowOff>173181</xdr:rowOff>
    </xdr:from>
    <xdr:to>
      <xdr:col>17</xdr:col>
      <xdr:colOff>294410</xdr:colOff>
      <xdr:row>138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137</xdr:row>
      <xdr:rowOff>173181</xdr:rowOff>
    </xdr:from>
    <xdr:to>
      <xdr:col>19</xdr:col>
      <xdr:colOff>294410</xdr:colOff>
      <xdr:row>138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137</xdr:row>
      <xdr:rowOff>173181</xdr:rowOff>
    </xdr:from>
    <xdr:to>
      <xdr:col>21</xdr:col>
      <xdr:colOff>294410</xdr:colOff>
      <xdr:row>138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137</xdr:row>
      <xdr:rowOff>173181</xdr:rowOff>
    </xdr:from>
    <xdr:to>
      <xdr:col>23</xdr:col>
      <xdr:colOff>294410</xdr:colOff>
      <xdr:row>138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137</xdr:row>
      <xdr:rowOff>173181</xdr:rowOff>
    </xdr:from>
    <xdr:to>
      <xdr:col>25</xdr:col>
      <xdr:colOff>294410</xdr:colOff>
      <xdr:row>138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137</xdr:row>
      <xdr:rowOff>173181</xdr:rowOff>
    </xdr:from>
    <xdr:to>
      <xdr:col>27</xdr:col>
      <xdr:colOff>0</xdr:colOff>
      <xdr:row>138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92</xdr:row>
      <xdr:rowOff>152979</xdr:rowOff>
    </xdr:from>
    <xdr:to>
      <xdr:col>2</xdr:col>
      <xdr:colOff>404535</xdr:colOff>
      <xdr:row>95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62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70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97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129</xdr:row>
      <xdr:rowOff>59871</xdr:rowOff>
    </xdr:from>
    <xdr:to>
      <xdr:col>38</xdr:col>
      <xdr:colOff>106141</xdr:colOff>
      <xdr:row>132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126</xdr:row>
      <xdr:rowOff>36284</xdr:rowOff>
    </xdr:from>
    <xdr:to>
      <xdr:col>26</xdr:col>
      <xdr:colOff>234950</xdr:colOff>
      <xdr:row>128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46</xdr:row>
      <xdr:rowOff>157523</xdr:rowOff>
    </xdr:from>
    <xdr:to>
      <xdr:col>45</xdr:col>
      <xdr:colOff>330414</xdr:colOff>
      <xdr:row>49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45</xdr:row>
      <xdr:rowOff>7055</xdr:rowOff>
    </xdr:from>
    <xdr:to>
      <xdr:col>14</xdr:col>
      <xdr:colOff>22498</xdr:colOff>
      <xdr:row>48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44</xdr:row>
      <xdr:rowOff>173181</xdr:rowOff>
    </xdr:from>
    <xdr:to>
      <xdr:col>15</xdr:col>
      <xdr:colOff>294410</xdr:colOff>
      <xdr:row>45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7166167" y="2850723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45</xdr:row>
      <xdr:rowOff>4233</xdr:rowOff>
    </xdr:from>
    <xdr:to>
      <xdr:col>16</xdr:col>
      <xdr:colOff>46570</xdr:colOff>
      <xdr:row>47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45</xdr:row>
      <xdr:rowOff>13304</xdr:rowOff>
    </xdr:from>
    <xdr:to>
      <xdr:col>16</xdr:col>
      <xdr:colOff>46569</xdr:colOff>
      <xdr:row>48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44</xdr:row>
      <xdr:rowOff>173181</xdr:rowOff>
    </xdr:from>
    <xdr:to>
      <xdr:col>17</xdr:col>
      <xdr:colOff>294410</xdr:colOff>
      <xdr:row>45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45</xdr:row>
      <xdr:rowOff>6557</xdr:rowOff>
    </xdr:from>
    <xdr:to>
      <xdr:col>18</xdr:col>
      <xdr:colOff>43746</xdr:colOff>
      <xdr:row>47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44</xdr:row>
      <xdr:rowOff>173181</xdr:rowOff>
    </xdr:from>
    <xdr:to>
      <xdr:col>19</xdr:col>
      <xdr:colOff>294410</xdr:colOff>
      <xdr:row>45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45</xdr:row>
      <xdr:rowOff>13304</xdr:rowOff>
    </xdr:from>
    <xdr:to>
      <xdr:col>20</xdr:col>
      <xdr:colOff>46570</xdr:colOff>
      <xdr:row>48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44</xdr:row>
      <xdr:rowOff>173181</xdr:rowOff>
    </xdr:from>
    <xdr:to>
      <xdr:col>21</xdr:col>
      <xdr:colOff>294410</xdr:colOff>
      <xdr:row>45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45</xdr:row>
      <xdr:rowOff>7056</xdr:rowOff>
    </xdr:from>
    <xdr:to>
      <xdr:col>22</xdr:col>
      <xdr:colOff>42332</xdr:colOff>
      <xdr:row>48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44</xdr:row>
      <xdr:rowOff>173181</xdr:rowOff>
    </xdr:from>
    <xdr:to>
      <xdr:col>23</xdr:col>
      <xdr:colOff>294410</xdr:colOff>
      <xdr:row>45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81</xdr:row>
      <xdr:rowOff>7055</xdr:rowOff>
    </xdr:from>
    <xdr:to>
      <xdr:col>4</xdr:col>
      <xdr:colOff>49392</xdr:colOff>
      <xdr:row>84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4233</xdr:rowOff>
    </xdr:from>
    <xdr:to>
      <xdr:col>6</xdr:col>
      <xdr:colOff>46570</xdr:colOff>
      <xdr:row>83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81</xdr:row>
      <xdr:rowOff>13304</xdr:rowOff>
    </xdr:from>
    <xdr:to>
      <xdr:col>10</xdr:col>
      <xdr:colOff>46570</xdr:colOff>
      <xdr:row>84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81</xdr:row>
      <xdr:rowOff>13304</xdr:rowOff>
    </xdr:from>
    <xdr:to>
      <xdr:col>6</xdr:col>
      <xdr:colOff>46569</xdr:colOff>
      <xdr:row>84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81</xdr:row>
      <xdr:rowOff>15522</xdr:rowOff>
    </xdr:from>
    <xdr:to>
      <xdr:col>8</xdr:col>
      <xdr:colOff>43746</xdr:colOff>
      <xdr:row>84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81</xdr:row>
      <xdr:rowOff>7056</xdr:rowOff>
    </xdr:from>
    <xdr:to>
      <xdr:col>12</xdr:col>
      <xdr:colOff>42332</xdr:colOff>
      <xdr:row>84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81</xdr:row>
      <xdr:rowOff>18345</xdr:rowOff>
    </xdr:from>
    <xdr:to>
      <xdr:col>14</xdr:col>
      <xdr:colOff>39510</xdr:colOff>
      <xdr:row>84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81</xdr:row>
      <xdr:rowOff>7056</xdr:rowOff>
    </xdr:from>
    <xdr:to>
      <xdr:col>16</xdr:col>
      <xdr:colOff>42332</xdr:colOff>
      <xdr:row>84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81</xdr:row>
      <xdr:rowOff>18345</xdr:rowOff>
    </xdr:from>
    <xdr:to>
      <xdr:col>18</xdr:col>
      <xdr:colOff>39510</xdr:colOff>
      <xdr:row>84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81</xdr:row>
      <xdr:rowOff>7056</xdr:rowOff>
    </xdr:from>
    <xdr:to>
      <xdr:col>20</xdr:col>
      <xdr:colOff>42332</xdr:colOff>
      <xdr:row>84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81</xdr:row>
      <xdr:rowOff>18345</xdr:rowOff>
    </xdr:from>
    <xdr:to>
      <xdr:col>22</xdr:col>
      <xdr:colOff>39510</xdr:colOff>
      <xdr:row>84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80</xdr:row>
      <xdr:rowOff>173181</xdr:rowOff>
    </xdr:from>
    <xdr:to>
      <xdr:col>5</xdr:col>
      <xdr:colOff>294410</xdr:colOff>
      <xdr:row>81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80</xdr:row>
      <xdr:rowOff>173181</xdr:rowOff>
    </xdr:from>
    <xdr:to>
      <xdr:col>7</xdr:col>
      <xdr:colOff>294410</xdr:colOff>
      <xdr:row>81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80</xdr:row>
      <xdr:rowOff>173181</xdr:rowOff>
    </xdr:from>
    <xdr:to>
      <xdr:col>9</xdr:col>
      <xdr:colOff>294410</xdr:colOff>
      <xdr:row>81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80</xdr:row>
      <xdr:rowOff>173181</xdr:rowOff>
    </xdr:from>
    <xdr:to>
      <xdr:col>11</xdr:col>
      <xdr:colOff>294410</xdr:colOff>
      <xdr:row>81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80</xdr:row>
      <xdr:rowOff>173181</xdr:rowOff>
    </xdr:from>
    <xdr:to>
      <xdr:col>13</xdr:col>
      <xdr:colOff>294410</xdr:colOff>
      <xdr:row>81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80</xdr:row>
      <xdr:rowOff>173181</xdr:rowOff>
    </xdr:from>
    <xdr:to>
      <xdr:col>15</xdr:col>
      <xdr:colOff>294410</xdr:colOff>
      <xdr:row>81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80</xdr:row>
      <xdr:rowOff>173181</xdr:rowOff>
    </xdr:from>
    <xdr:to>
      <xdr:col>17</xdr:col>
      <xdr:colOff>294410</xdr:colOff>
      <xdr:row>81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80</xdr:row>
      <xdr:rowOff>173181</xdr:rowOff>
    </xdr:from>
    <xdr:to>
      <xdr:col>19</xdr:col>
      <xdr:colOff>294410</xdr:colOff>
      <xdr:row>81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80</xdr:row>
      <xdr:rowOff>173181</xdr:rowOff>
    </xdr:from>
    <xdr:to>
      <xdr:col>21</xdr:col>
      <xdr:colOff>294410</xdr:colOff>
      <xdr:row>81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80</xdr:row>
      <xdr:rowOff>173181</xdr:rowOff>
    </xdr:from>
    <xdr:to>
      <xdr:col>23</xdr:col>
      <xdr:colOff>294410</xdr:colOff>
      <xdr:row>81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82</xdr:row>
      <xdr:rowOff>125184</xdr:rowOff>
    </xdr:from>
    <xdr:to>
      <xdr:col>34</xdr:col>
      <xdr:colOff>236764</xdr:colOff>
      <xdr:row>85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79</xdr:row>
      <xdr:rowOff>108855</xdr:rowOff>
    </xdr:from>
    <xdr:to>
      <xdr:col>37</xdr:col>
      <xdr:colOff>87086</xdr:colOff>
      <xdr:row>80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102</xdr:row>
      <xdr:rowOff>159455</xdr:rowOff>
    </xdr:from>
    <xdr:to>
      <xdr:col>24</xdr:col>
      <xdr:colOff>64493</xdr:colOff>
      <xdr:row>105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103</xdr:row>
      <xdr:rowOff>4233</xdr:rowOff>
    </xdr:from>
    <xdr:to>
      <xdr:col>26</xdr:col>
      <xdr:colOff>33218</xdr:colOff>
      <xdr:row>105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114</xdr:row>
      <xdr:rowOff>7056</xdr:rowOff>
    </xdr:from>
    <xdr:to>
      <xdr:col>2</xdr:col>
      <xdr:colOff>69226</xdr:colOff>
      <xdr:row>117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114</xdr:row>
      <xdr:rowOff>18345</xdr:rowOff>
    </xdr:from>
    <xdr:to>
      <xdr:col>4</xdr:col>
      <xdr:colOff>66404</xdr:colOff>
      <xdr:row>117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114</xdr:row>
      <xdr:rowOff>7056</xdr:rowOff>
    </xdr:from>
    <xdr:to>
      <xdr:col>6</xdr:col>
      <xdr:colOff>69226</xdr:colOff>
      <xdr:row>117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114</xdr:row>
      <xdr:rowOff>7056</xdr:rowOff>
    </xdr:from>
    <xdr:to>
      <xdr:col>10</xdr:col>
      <xdr:colOff>42396</xdr:colOff>
      <xdr:row>117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114</xdr:row>
      <xdr:rowOff>8964</xdr:rowOff>
    </xdr:from>
    <xdr:to>
      <xdr:col>8</xdr:col>
      <xdr:colOff>29467</xdr:colOff>
      <xdr:row>117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56</xdr:row>
      <xdr:rowOff>173181</xdr:rowOff>
    </xdr:from>
    <xdr:to>
      <xdr:col>31</xdr:col>
      <xdr:colOff>294410</xdr:colOff>
      <xdr:row>57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69</xdr:row>
      <xdr:rowOff>173181</xdr:rowOff>
    </xdr:from>
    <xdr:to>
      <xdr:col>3</xdr:col>
      <xdr:colOff>294410</xdr:colOff>
      <xdr:row>70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69</xdr:row>
      <xdr:rowOff>173181</xdr:rowOff>
    </xdr:from>
    <xdr:to>
      <xdr:col>5</xdr:col>
      <xdr:colOff>294410</xdr:colOff>
      <xdr:row>70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69</xdr:row>
      <xdr:rowOff>173181</xdr:rowOff>
    </xdr:from>
    <xdr:to>
      <xdr:col>7</xdr:col>
      <xdr:colOff>294410</xdr:colOff>
      <xdr:row>70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69</xdr:row>
      <xdr:rowOff>173181</xdr:rowOff>
    </xdr:from>
    <xdr:to>
      <xdr:col>9</xdr:col>
      <xdr:colOff>294410</xdr:colOff>
      <xdr:row>70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69</xdr:row>
      <xdr:rowOff>173181</xdr:rowOff>
    </xdr:from>
    <xdr:to>
      <xdr:col>11</xdr:col>
      <xdr:colOff>294410</xdr:colOff>
      <xdr:row>70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69</xdr:row>
      <xdr:rowOff>173181</xdr:rowOff>
    </xdr:from>
    <xdr:to>
      <xdr:col>13</xdr:col>
      <xdr:colOff>294410</xdr:colOff>
      <xdr:row>70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49</xdr:row>
      <xdr:rowOff>82114</xdr:rowOff>
    </xdr:from>
    <xdr:to>
      <xdr:col>4</xdr:col>
      <xdr:colOff>238169</xdr:colOff>
      <xdr:row>51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957917" y="9776447"/>
          <a:ext cx="238169" cy="338716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49</xdr:row>
      <xdr:rowOff>133350</xdr:rowOff>
    </xdr:from>
    <xdr:to>
      <xdr:col>6</xdr:col>
      <xdr:colOff>238169</xdr:colOff>
      <xdr:row>51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3005667" y="9827683"/>
          <a:ext cx="238169" cy="338716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50</xdr:row>
      <xdr:rowOff>0</xdr:rowOff>
    </xdr:from>
    <xdr:to>
      <xdr:col>8</xdr:col>
      <xdr:colOff>238169</xdr:colOff>
      <xdr:row>52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4053417" y="9863667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50</xdr:row>
      <xdr:rowOff>0</xdr:rowOff>
    </xdr:from>
    <xdr:to>
      <xdr:col>10</xdr:col>
      <xdr:colOff>238169</xdr:colOff>
      <xdr:row>52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5101167" y="9863667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50</xdr:row>
      <xdr:rowOff>0</xdr:rowOff>
    </xdr:from>
    <xdr:to>
      <xdr:col>18</xdr:col>
      <xdr:colOff>238169</xdr:colOff>
      <xdr:row>52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9292167" y="9863667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238169</xdr:colOff>
      <xdr:row>52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2435417" y="9863667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50</xdr:row>
      <xdr:rowOff>0</xdr:rowOff>
    </xdr:from>
    <xdr:to>
      <xdr:col>26</xdr:col>
      <xdr:colOff>238169</xdr:colOff>
      <xdr:row>52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3483167" y="9863667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75</xdr:row>
      <xdr:rowOff>0</xdr:rowOff>
    </xdr:from>
    <xdr:to>
      <xdr:col>28</xdr:col>
      <xdr:colOff>238169</xdr:colOff>
      <xdr:row>77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4530917" y="14192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97</xdr:row>
      <xdr:rowOff>0</xdr:rowOff>
    </xdr:from>
    <xdr:to>
      <xdr:col>12</xdr:col>
      <xdr:colOff>259941</xdr:colOff>
      <xdr:row>99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6170689" y="180022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97</xdr:row>
      <xdr:rowOff>0</xdr:rowOff>
    </xdr:from>
    <xdr:to>
      <xdr:col>16</xdr:col>
      <xdr:colOff>238169</xdr:colOff>
      <xdr:row>99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8244417" y="180022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107</xdr:row>
      <xdr:rowOff>127627</xdr:rowOff>
    </xdr:from>
    <xdr:to>
      <xdr:col>16</xdr:col>
      <xdr:colOff>250078</xdr:colOff>
      <xdr:row>109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8256326" y="19844377"/>
          <a:ext cx="238169" cy="339669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97</xdr:row>
      <xdr:rowOff>0</xdr:rowOff>
    </xdr:from>
    <xdr:to>
      <xdr:col>20</xdr:col>
      <xdr:colOff>238169</xdr:colOff>
      <xdr:row>99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10339917" y="180022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97</xdr:row>
      <xdr:rowOff>0</xdr:rowOff>
    </xdr:from>
    <xdr:to>
      <xdr:col>22</xdr:col>
      <xdr:colOff>238169</xdr:colOff>
      <xdr:row>99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1387667" y="180022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97</xdr:row>
      <xdr:rowOff>0</xdr:rowOff>
    </xdr:from>
    <xdr:to>
      <xdr:col>24</xdr:col>
      <xdr:colOff>238169</xdr:colOff>
      <xdr:row>99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2435417" y="180022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97</xdr:row>
      <xdr:rowOff>0</xdr:rowOff>
    </xdr:from>
    <xdr:to>
      <xdr:col>26</xdr:col>
      <xdr:colOff>238169</xdr:colOff>
      <xdr:row>99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3483167" y="180022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97</xdr:row>
      <xdr:rowOff>21772</xdr:rowOff>
    </xdr:from>
    <xdr:to>
      <xdr:col>28</xdr:col>
      <xdr:colOff>238168</xdr:colOff>
      <xdr:row>99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4533184" y="180240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93</xdr:row>
      <xdr:rowOff>21771</xdr:rowOff>
    </xdr:from>
    <xdr:to>
      <xdr:col>5</xdr:col>
      <xdr:colOff>3276</xdr:colOff>
      <xdr:row>95</xdr:row>
      <xdr:rowOff>31448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104</xdr:row>
      <xdr:rowOff>0</xdr:rowOff>
    </xdr:from>
    <xdr:to>
      <xdr:col>14</xdr:col>
      <xdr:colOff>423009</xdr:colOff>
      <xdr:row>106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103</xdr:row>
      <xdr:rowOff>134156</xdr:rowOff>
    </xdr:from>
    <xdr:to>
      <xdr:col>28</xdr:col>
      <xdr:colOff>382764</xdr:colOff>
      <xdr:row>105</xdr:row>
      <xdr:rowOff>143837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115</xdr:row>
      <xdr:rowOff>32658</xdr:rowOff>
    </xdr:from>
    <xdr:to>
      <xdr:col>28</xdr:col>
      <xdr:colOff>426306</xdr:colOff>
      <xdr:row>117</xdr:row>
      <xdr:rowOff>42333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115</xdr:row>
      <xdr:rowOff>32658</xdr:rowOff>
    </xdr:from>
    <xdr:to>
      <xdr:col>31</xdr:col>
      <xdr:colOff>6034</xdr:colOff>
      <xdr:row>117</xdr:row>
      <xdr:rowOff>42333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130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126</xdr:row>
      <xdr:rowOff>0</xdr:rowOff>
    </xdr:from>
    <xdr:to>
      <xdr:col>16</xdr:col>
      <xdr:colOff>382764</xdr:colOff>
      <xdr:row>128</xdr:row>
      <xdr:rowOff>9678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130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130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130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130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139</xdr:row>
      <xdr:rowOff>0</xdr:rowOff>
    </xdr:from>
    <xdr:to>
      <xdr:col>14</xdr:col>
      <xdr:colOff>382764</xdr:colOff>
      <xdr:row>141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139</xdr:row>
      <xdr:rowOff>40245</xdr:rowOff>
    </xdr:from>
    <xdr:to>
      <xdr:col>20</xdr:col>
      <xdr:colOff>396179</xdr:colOff>
      <xdr:row>141</xdr:row>
      <xdr:rowOff>49922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49</xdr:row>
      <xdr:rowOff>157843</xdr:rowOff>
    </xdr:from>
    <xdr:to>
      <xdr:col>2</xdr:col>
      <xdr:colOff>283827</xdr:colOff>
      <xdr:row>53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49</xdr:row>
      <xdr:rowOff>140154</xdr:rowOff>
    </xdr:from>
    <xdr:to>
      <xdr:col>6</xdr:col>
      <xdr:colOff>328730</xdr:colOff>
      <xdr:row>53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50</xdr:row>
      <xdr:rowOff>43543</xdr:rowOff>
    </xdr:from>
    <xdr:to>
      <xdr:col>10</xdr:col>
      <xdr:colOff>392684</xdr:colOff>
      <xdr:row>53</xdr:row>
      <xdr:rowOff>74027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50</xdr:row>
      <xdr:rowOff>0</xdr:rowOff>
    </xdr:from>
    <xdr:to>
      <xdr:col>12</xdr:col>
      <xdr:colOff>316484</xdr:colOff>
      <xdr:row>53</xdr:row>
      <xdr:rowOff>30484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49</xdr:row>
      <xdr:rowOff>152400</xdr:rowOff>
    </xdr:from>
    <xdr:to>
      <xdr:col>14</xdr:col>
      <xdr:colOff>283826</xdr:colOff>
      <xdr:row>53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50</xdr:row>
      <xdr:rowOff>43543</xdr:rowOff>
    </xdr:from>
    <xdr:to>
      <xdr:col>18</xdr:col>
      <xdr:colOff>370912</xdr:colOff>
      <xdr:row>53</xdr:row>
      <xdr:rowOff>74027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49</xdr:row>
      <xdr:rowOff>152400</xdr:rowOff>
    </xdr:from>
    <xdr:to>
      <xdr:col>20</xdr:col>
      <xdr:colOff>305598</xdr:colOff>
      <xdr:row>53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61</xdr:row>
      <xdr:rowOff>155204</xdr:rowOff>
    </xdr:from>
    <xdr:to>
      <xdr:col>8</xdr:col>
      <xdr:colOff>345224</xdr:colOff>
      <xdr:row>65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61</xdr:row>
      <xdr:rowOff>147987</xdr:rowOff>
    </xdr:from>
    <xdr:to>
      <xdr:col>12</xdr:col>
      <xdr:colOff>345348</xdr:colOff>
      <xdr:row>65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61</xdr:row>
      <xdr:rowOff>119741</xdr:rowOff>
    </xdr:from>
    <xdr:to>
      <xdr:col>18</xdr:col>
      <xdr:colOff>376146</xdr:colOff>
      <xdr:row>65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62</xdr:row>
      <xdr:rowOff>32657</xdr:rowOff>
    </xdr:from>
    <xdr:to>
      <xdr:col>24</xdr:col>
      <xdr:colOff>264583</xdr:colOff>
      <xdr:row>65</xdr:row>
      <xdr:rowOff>72157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62</xdr:row>
      <xdr:rowOff>8542</xdr:rowOff>
    </xdr:from>
    <xdr:to>
      <xdr:col>26</xdr:col>
      <xdr:colOff>336743</xdr:colOff>
      <xdr:row>65</xdr:row>
      <xdr:rowOff>39025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75</xdr:row>
      <xdr:rowOff>0</xdr:rowOff>
    </xdr:from>
    <xdr:to>
      <xdr:col>12</xdr:col>
      <xdr:colOff>339086</xdr:colOff>
      <xdr:row>78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74</xdr:row>
      <xdr:rowOff>158750</xdr:rowOff>
    </xdr:from>
    <xdr:to>
      <xdr:col>24</xdr:col>
      <xdr:colOff>318827</xdr:colOff>
      <xdr:row>78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74</xdr:row>
      <xdr:rowOff>163286</xdr:rowOff>
    </xdr:from>
    <xdr:to>
      <xdr:col>26</xdr:col>
      <xdr:colOff>363201</xdr:colOff>
      <xdr:row>78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108</xdr:row>
      <xdr:rowOff>21771</xdr:rowOff>
    </xdr:from>
    <xdr:to>
      <xdr:col>8</xdr:col>
      <xdr:colOff>316484</xdr:colOff>
      <xdr:row>111</xdr:row>
      <xdr:rowOff>52249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108</xdr:row>
      <xdr:rowOff>0</xdr:rowOff>
    </xdr:from>
    <xdr:to>
      <xdr:col>16</xdr:col>
      <xdr:colOff>352440</xdr:colOff>
      <xdr:row>111</xdr:row>
      <xdr:rowOff>30478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104</xdr:row>
      <xdr:rowOff>0</xdr:rowOff>
    </xdr:from>
    <xdr:to>
      <xdr:col>20</xdr:col>
      <xdr:colOff>382764</xdr:colOff>
      <xdr:row>106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107</xdr:row>
      <xdr:rowOff>142513</xdr:rowOff>
    </xdr:from>
    <xdr:to>
      <xdr:col>26</xdr:col>
      <xdr:colOff>283029</xdr:colOff>
      <xdr:row>110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108</xdr:row>
      <xdr:rowOff>14183</xdr:rowOff>
    </xdr:from>
    <xdr:to>
      <xdr:col>26</xdr:col>
      <xdr:colOff>404480</xdr:colOff>
      <xdr:row>110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119</xdr:row>
      <xdr:rowOff>0</xdr:rowOff>
    </xdr:from>
    <xdr:to>
      <xdr:col>2</xdr:col>
      <xdr:colOff>274893</xdr:colOff>
      <xdr:row>121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118</xdr:row>
      <xdr:rowOff>169343</xdr:rowOff>
    </xdr:from>
    <xdr:to>
      <xdr:col>18</xdr:col>
      <xdr:colOff>281726</xdr:colOff>
      <xdr:row>122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119</xdr:row>
      <xdr:rowOff>10886</xdr:rowOff>
    </xdr:from>
    <xdr:to>
      <xdr:col>20</xdr:col>
      <xdr:colOff>222579</xdr:colOff>
      <xdr:row>122</xdr:row>
      <xdr:rowOff>41367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130</xdr:row>
      <xdr:rowOff>43543</xdr:rowOff>
    </xdr:from>
    <xdr:to>
      <xdr:col>6</xdr:col>
      <xdr:colOff>281725</xdr:colOff>
      <xdr:row>133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130</xdr:row>
      <xdr:rowOff>43543</xdr:rowOff>
    </xdr:from>
    <xdr:to>
      <xdr:col>8</xdr:col>
      <xdr:colOff>268310</xdr:colOff>
      <xdr:row>132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130</xdr:row>
      <xdr:rowOff>10886</xdr:rowOff>
    </xdr:from>
    <xdr:to>
      <xdr:col>31</xdr:col>
      <xdr:colOff>13170</xdr:colOff>
      <xdr:row>133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142</xdr:row>
      <xdr:rowOff>155929</xdr:rowOff>
    </xdr:from>
    <xdr:to>
      <xdr:col>10</xdr:col>
      <xdr:colOff>283826</xdr:colOff>
      <xdr:row>145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143</xdr:row>
      <xdr:rowOff>32657</xdr:rowOff>
    </xdr:from>
    <xdr:to>
      <xdr:col>24</xdr:col>
      <xdr:colOff>349141</xdr:colOff>
      <xdr:row>145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97</xdr:row>
      <xdr:rowOff>0</xdr:rowOff>
    </xdr:from>
    <xdr:to>
      <xdr:col>30</xdr:col>
      <xdr:colOff>238169</xdr:colOff>
      <xdr:row>99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5578667" y="180022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62</xdr:row>
      <xdr:rowOff>0</xdr:rowOff>
    </xdr:from>
    <xdr:to>
      <xdr:col>14</xdr:col>
      <xdr:colOff>238169</xdr:colOff>
      <xdr:row>64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7196667" y="11959167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62</xdr:row>
      <xdr:rowOff>0</xdr:rowOff>
    </xdr:from>
    <xdr:to>
      <xdr:col>16</xdr:col>
      <xdr:colOff>238169</xdr:colOff>
      <xdr:row>64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8244417" y="11959167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62</xdr:row>
      <xdr:rowOff>0</xdr:rowOff>
    </xdr:from>
    <xdr:to>
      <xdr:col>18</xdr:col>
      <xdr:colOff>238169</xdr:colOff>
      <xdr:row>64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9292167" y="11959167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176</xdr:row>
      <xdr:rowOff>4233</xdr:rowOff>
    </xdr:from>
    <xdr:to>
      <xdr:col>26</xdr:col>
      <xdr:colOff>46570</xdr:colOff>
      <xdr:row>178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175</xdr:row>
      <xdr:rowOff>163092</xdr:rowOff>
    </xdr:from>
    <xdr:to>
      <xdr:col>28</xdr:col>
      <xdr:colOff>30331</xdr:colOff>
      <xdr:row>178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188</xdr:row>
      <xdr:rowOff>159859</xdr:rowOff>
    </xdr:from>
    <xdr:to>
      <xdr:col>2</xdr:col>
      <xdr:colOff>17739</xdr:colOff>
      <xdr:row>191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189</xdr:row>
      <xdr:rowOff>7056</xdr:rowOff>
    </xdr:from>
    <xdr:to>
      <xdr:col>4</xdr:col>
      <xdr:colOff>42332</xdr:colOff>
      <xdr:row>192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189</xdr:row>
      <xdr:rowOff>18345</xdr:rowOff>
    </xdr:from>
    <xdr:to>
      <xdr:col>6</xdr:col>
      <xdr:colOff>39510</xdr:colOff>
      <xdr:row>192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189</xdr:row>
      <xdr:rowOff>7056</xdr:rowOff>
    </xdr:from>
    <xdr:to>
      <xdr:col>8</xdr:col>
      <xdr:colOff>42332</xdr:colOff>
      <xdr:row>192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189</xdr:row>
      <xdr:rowOff>18345</xdr:rowOff>
    </xdr:from>
    <xdr:to>
      <xdr:col>10</xdr:col>
      <xdr:colOff>39510</xdr:colOff>
      <xdr:row>192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189</xdr:row>
      <xdr:rowOff>7055</xdr:rowOff>
    </xdr:from>
    <xdr:to>
      <xdr:col>12</xdr:col>
      <xdr:colOff>49392</xdr:colOff>
      <xdr:row>192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4233</xdr:rowOff>
    </xdr:from>
    <xdr:to>
      <xdr:col>14</xdr:col>
      <xdr:colOff>46570</xdr:colOff>
      <xdr:row>191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189</xdr:row>
      <xdr:rowOff>13304</xdr:rowOff>
    </xdr:from>
    <xdr:to>
      <xdr:col>18</xdr:col>
      <xdr:colOff>46570</xdr:colOff>
      <xdr:row>192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189</xdr:row>
      <xdr:rowOff>13304</xdr:rowOff>
    </xdr:from>
    <xdr:to>
      <xdr:col>14</xdr:col>
      <xdr:colOff>46569</xdr:colOff>
      <xdr:row>192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189</xdr:row>
      <xdr:rowOff>15522</xdr:rowOff>
    </xdr:from>
    <xdr:to>
      <xdr:col>16</xdr:col>
      <xdr:colOff>43746</xdr:colOff>
      <xdr:row>192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189</xdr:row>
      <xdr:rowOff>7056</xdr:rowOff>
    </xdr:from>
    <xdr:to>
      <xdr:col>20</xdr:col>
      <xdr:colOff>42332</xdr:colOff>
      <xdr:row>192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189</xdr:row>
      <xdr:rowOff>18345</xdr:rowOff>
    </xdr:from>
    <xdr:to>
      <xdr:col>22</xdr:col>
      <xdr:colOff>39510</xdr:colOff>
      <xdr:row>192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189</xdr:row>
      <xdr:rowOff>7056</xdr:rowOff>
    </xdr:from>
    <xdr:to>
      <xdr:col>24</xdr:col>
      <xdr:colOff>42332</xdr:colOff>
      <xdr:row>192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189</xdr:row>
      <xdr:rowOff>18345</xdr:rowOff>
    </xdr:from>
    <xdr:to>
      <xdr:col>26</xdr:col>
      <xdr:colOff>39510</xdr:colOff>
      <xdr:row>192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189</xdr:row>
      <xdr:rowOff>7056</xdr:rowOff>
    </xdr:from>
    <xdr:to>
      <xdr:col>28</xdr:col>
      <xdr:colOff>42332</xdr:colOff>
      <xdr:row>192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189</xdr:row>
      <xdr:rowOff>18345</xdr:rowOff>
    </xdr:from>
    <xdr:to>
      <xdr:col>30</xdr:col>
      <xdr:colOff>39510</xdr:colOff>
      <xdr:row>192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175</xdr:row>
      <xdr:rowOff>173181</xdr:rowOff>
    </xdr:from>
    <xdr:to>
      <xdr:col>25</xdr:col>
      <xdr:colOff>294410</xdr:colOff>
      <xdr:row>176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175</xdr:row>
      <xdr:rowOff>173181</xdr:rowOff>
    </xdr:from>
    <xdr:to>
      <xdr:col>27</xdr:col>
      <xdr:colOff>294410</xdr:colOff>
      <xdr:row>176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175</xdr:row>
      <xdr:rowOff>173181</xdr:rowOff>
    </xdr:from>
    <xdr:to>
      <xdr:col>29</xdr:col>
      <xdr:colOff>294410</xdr:colOff>
      <xdr:row>176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188</xdr:row>
      <xdr:rowOff>173181</xdr:rowOff>
    </xdr:from>
    <xdr:to>
      <xdr:col>3</xdr:col>
      <xdr:colOff>294410</xdr:colOff>
      <xdr:row>189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188</xdr:row>
      <xdr:rowOff>173181</xdr:rowOff>
    </xdr:from>
    <xdr:to>
      <xdr:col>17</xdr:col>
      <xdr:colOff>294410</xdr:colOff>
      <xdr:row>189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188</xdr:row>
      <xdr:rowOff>173181</xdr:rowOff>
    </xdr:from>
    <xdr:to>
      <xdr:col>31</xdr:col>
      <xdr:colOff>294410</xdr:colOff>
      <xdr:row>189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175</xdr:row>
      <xdr:rowOff>159455</xdr:rowOff>
    </xdr:from>
    <xdr:to>
      <xdr:col>24</xdr:col>
      <xdr:colOff>99818</xdr:colOff>
      <xdr:row>178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176</xdr:row>
      <xdr:rowOff>4233</xdr:rowOff>
    </xdr:from>
    <xdr:to>
      <xdr:col>26</xdr:col>
      <xdr:colOff>73463</xdr:colOff>
      <xdr:row>178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214</xdr:row>
      <xdr:rowOff>4233</xdr:rowOff>
    </xdr:from>
    <xdr:to>
      <xdr:col>4</xdr:col>
      <xdr:colOff>46570</xdr:colOff>
      <xdr:row>216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214</xdr:row>
      <xdr:rowOff>13304</xdr:rowOff>
    </xdr:from>
    <xdr:to>
      <xdr:col>8</xdr:col>
      <xdr:colOff>46570</xdr:colOff>
      <xdr:row>217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214</xdr:row>
      <xdr:rowOff>15522</xdr:rowOff>
    </xdr:from>
    <xdr:to>
      <xdr:col>6</xdr:col>
      <xdr:colOff>43746</xdr:colOff>
      <xdr:row>217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214</xdr:row>
      <xdr:rowOff>18345</xdr:rowOff>
    </xdr:from>
    <xdr:to>
      <xdr:col>20</xdr:col>
      <xdr:colOff>39510</xdr:colOff>
      <xdr:row>217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214</xdr:row>
      <xdr:rowOff>16020</xdr:rowOff>
    </xdr:from>
    <xdr:to>
      <xdr:col>22</xdr:col>
      <xdr:colOff>31461</xdr:colOff>
      <xdr:row>216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4233</xdr:rowOff>
    </xdr:from>
    <xdr:to>
      <xdr:col>24</xdr:col>
      <xdr:colOff>46570</xdr:colOff>
      <xdr:row>216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214</xdr:row>
      <xdr:rowOff>13304</xdr:rowOff>
    </xdr:from>
    <xdr:to>
      <xdr:col>28</xdr:col>
      <xdr:colOff>46570</xdr:colOff>
      <xdr:row>217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214</xdr:row>
      <xdr:rowOff>13304</xdr:rowOff>
    </xdr:from>
    <xdr:to>
      <xdr:col>24</xdr:col>
      <xdr:colOff>46569</xdr:colOff>
      <xdr:row>217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214</xdr:row>
      <xdr:rowOff>15522</xdr:rowOff>
    </xdr:from>
    <xdr:to>
      <xdr:col>26</xdr:col>
      <xdr:colOff>43746</xdr:colOff>
      <xdr:row>217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214</xdr:row>
      <xdr:rowOff>7056</xdr:rowOff>
    </xdr:from>
    <xdr:to>
      <xdr:col>30</xdr:col>
      <xdr:colOff>42332</xdr:colOff>
      <xdr:row>217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224</xdr:row>
      <xdr:rowOff>159859</xdr:rowOff>
    </xdr:from>
    <xdr:to>
      <xdr:col>2</xdr:col>
      <xdr:colOff>17739</xdr:colOff>
      <xdr:row>227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225</xdr:row>
      <xdr:rowOff>7056</xdr:rowOff>
    </xdr:from>
    <xdr:to>
      <xdr:col>4</xdr:col>
      <xdr:colOff>42332</xdr:colOff>
      <xdr:row>228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225</xdr:row>
      <xdr:rowOff>18345</xdr:rowOff>
    </xdr:from>
    <xdr:to>
      <xdr:col>6</xdr:col>
      <xdr:colOff>39510</xdr:colOff>
      <xdr:row>228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225</xdr:row>
      <xdr:rowOff>7056</xdr:rowOff>
    </xdr:from>
    <xdr:to>
      <xdr:col>8</xdr:col>
      <xdr:colOff>42332</xdr:colOff>
      <xdr:row>228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225</xdr:row>
      <xdr:rowOff>18345</xdr:rowOff>
    </xdr:from>
    <xdr:to>
      <xdr:col>10</xdr:col>
      <xdr:colOff>39510</xdr:colOff>
      <xdr:row>228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225</xdr:row>
      <xdr:rowOff>7055</xdr:rowOff>
    </xdr:from>
    <xdr:to>
      <xdr:col>12</xdr:col>
      <xdr:colOff>49392</xdr:colOff>
      <xdr:row>228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4233</xdr:rowOff>
    </xdr:from>
    <xdr:to>
      <xdr:col>14</xdr:col>
      <xdr:colOff>46570</xdr:colOff>
      <xdr:row>227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225</xdr:row>
      <xdr:rowOff>13304</xdr:rowOff>
    </xdr:from>
    <xdr:to>
      <xdr:col>18</xdr:col>
      <xdr:colOff>46570</xdr:colOff>
      <xdr:row>228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225</xdr:row>
      <xdr:rowOff>13304</xdr:rowOff>
    </xdr:from>
    <xdr:to>
      <xdr:col>14</xdr:col>
      <xdr:colOff>46569</xdr:colOff>
      <xdr:row>228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225</xdr:row>
      <xdr:rowOff>15522</xdr:rowOff>
    </xdr:from>
    <xdr:to>
      <xdr:col>16</xdr:col>
      <xdr:colOff>43746</xdr:colOff>
      <xdr:row>228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225</xdr:row>
      <xdr:rowOff>7056</xdr:rowOff>
    </xdr:from>
    <xdr:to>
      <xdr:col>20</xdr:col>
      <xdr:colOff>42332</xdr:colOff>
      <xdr:row>228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225</xdr:row>
      <xdr:rowOff>18345</xdr:rowOff>
    </xdr:from>
    <xdr:to>
      <xdr:col>22</xdr:col>
      <xdr:colOff>39510</xdr:colOff>
      <xdr:row>228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225</xdr:row>
      <xdr:rowOff>7056</xdr:rowOff>
    </xdr:from>
    <xdr:to>
      <xdr:col>24</xdr:col>
      <xdr:colOff>42332</xdr:colOff>
      <xdr:row>228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225</xdr:row>
      <xdr:rowOff>18345</xdr:rowOff>
    </xdr:from>
    <xdr:to>
      <xdr:col>26</xdr:col>
      <xdr:colOff>39510</xdr:colOff>
      <xdr:row>228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225</xdr:row>
      <xdr:rowOff>7056</xdr:rowOff>
    </xdr:from>
    <xdr:to>
      <xdr:col>28</xdr:col>
      <xdr:colOff>42332</xdr:colOff>
      <xdr:row>228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225</xdr:row>
      <xdr:rowOff>18345</xdr:rowOff>
    </xdr:from>
    <xdr:to>
      <xdr:col>30</xdr:col>
      <xdr:colOff>39510</xdr:colOff>
      <xdr:row>228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213</xdr:row>
      <xdr:rowOff>173181</xdr:rowOff>
    </xdr:from>
    <xdr:to>
      <xdr:col>3</xdr:col>
      <xdr:colOff>294410</xdr:colOff>
      <xdr:row>214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213</xdr:row>
      <xdr:rowOff>173181</xdr:rowOff>
    </xdr:from>
    <xdr:to>
      <xdr:col>5</xdr:col>
      <xdr:colOff>294410</xdr:colOff>
      <xdr:row>214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213</xdr:row>
      <xdr:rowOff>173181</xdr:rowOff>
    </xdr:from>
    <xdr:to>
      <xdr:col>7</xdr:col>
      <xdr:colOff>294410</xdr:colOff>
      <xdr:row>214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213</xdr:row>
      <xdr:rowOff>173181</xdr:rowOff>
    </xdr:from>
    <xdr:to>
      <xdr:col>9</xdr:col>
      <xdr:colOff>294410</xdr:colOff>
      <xdr:row>214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213</xdr:row>
      <xdr:rowOff>173181</xdr:rowOff>
    </xdr:from>
    <xdr:to>
      <xdr:col>19</xdr:col>
      <xdr:colOff>294410</xdr:colOff>
      <xdr:row>214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213</xdr:row>
      <xdr:rowOff>173181</xdr:rowOff>
    </xdr:from>
    <xdr:to>
      <xdr:col>31</xdr:col>
      <xdr:colOff>294410</xdr:colOff>
      <xdr:row>214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224</xdr:row>
      <xdr:rowOff>173181</xdr:rowOff>
    </xdr:from>
    <xdr:to>
      <xdr:col>3</xdr:col>
      <xdr:colOff>294410</xdr:colOff>
      <xdr:row>225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224</xdr:row>
      <xdr:rowOff>173181</xdr:rowOff>
    </xdr:from>
    <xdr:to>
      <xdr:col>31</xdr:col>
      <xdr:colOff>294410</xdr:colOff>
      <xdr:row>225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213</xdr:row>
      <xdr:rowOff>159455</xdr:rowOff>
    </xdr:from>
    <xdr:to>
      <xdr:col>2</xdr:col>
      <xdr:colOff>32743</xdr:colOff>
      <xdr:row>216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214</xdr:row>
      <xdr:rowOff>4233</xdr:rowOff>
    </xdr:from>
    <xdr:to>
      <xdr:col>4</xdr:col>
      <xdr:colOff>73463</xdr:colOff>
      <xdr:row>216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214</xdr:row>
      <xdr:rowOff>7056</xdr:rowOff>
    </xdr:from>
    <xdr:to>
      <xdr:col>10</xdr:col>
      <xdr:colOff>45413</xdr:colOff>
      <xdr:row>217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214</xdr:row>
      <xdr:rowOff>18345</xdr:rowOff>
    </xdr:from>
    <xdr:to>
      <xdr:col>12</xdr:col>
      <xdr:colOff>66404</xdr:colOff>
      <xdr:row>217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214</xdr:row>
      <xdr:rowOff>7056</xdr:rowOff>
    </xdr:from>
    <xdr:to>
      <xdr:col>14</xdr:col>
      <xdr:colOff>69226</xdr:colOff>
      <xdr:row>217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214</xdr:row>
      <xdr:rowOff>7056</xdr:rowOff>
    </xdr:from>
    <xdr:to>
      <xdr:col>18</xdr:col>
      <xdr:colOff>69226</xdr:colOff>
      <xdr:row>217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214</xdr:row>
      <xdr:rowOff>8964</xdr:rowOff>
    </xdr:from>
    <xdr:to>
      <xdr:col>16</xdr:col>
      <xdr:colOff>29467</xdr:colOff>
      <xdr:row>217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237</xdr:row>
      <xdr:rowOff>111557</xdr:rowOff>
    </xdr:from>
    <xdr:to>
      <xdr:col>4</xdr:col>
      <xdr:colOff>59986</xdr:colOff>
      <xdr:row>240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238</xdr:row>
      <xdr:rowOff>13304</xdr:rowOff>
    </xdr:from>
    <xdr:to>
      <xdr:col>8</xdr:col>
      <xdr:colOff>46570</xdr:colOff>
      <xdr:row>241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238</xdr:row>
      <xdr:rowOff>15522</xdr:rowOff>
    </xdr:from>
    <xdr:to>
      <xdr:col>6</xdr:col>
      <xdr:colOff>43746</xdr:colOff>
      <xdr:row>241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238</xdr:row>
      <xdr:rowOff>18345</xdr:rowOff>
    </xdr:from>
    <xdr:to>
      <xdr:col>20</xdr:col>
      <xdr:colOff>39510</xdr:colOff>
      <xdr:row>241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238</xdr:row>
      <xdr:rowOff>7055</xdr:rowOff>
    </xdr:from>
    <xdr:to>
      <xdr:col>22</xdr:col>
      <xdr:colOff>49392</xdr:colOff>
      <xdr:row>241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4233</xdr:rowOff>
    </xdr:from>
    <xdr:to>
      <xdr:col>24</xdr:col>
      <xdr:colOff>46570</xdr:colOff>
      <xdr:row>240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238</xdr:row>
      <xdr:rowOff>13304</xdr:rowOff>
    </xdr:from>
    <xdr:to>
      <xdr:col>28</xdr:col>
      <xdr:colOff>46570</xdr:colOff>
      <xdr:row>241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238</xdr:row>
      <xdr:rowOff>13304</xdr:rowOff>
    </xdr:from>
    <xdr:to>
      <xdr:col>24</xdr:col>
      <xdr:colOff>46569</xdr:colOff>
      <xdr:row>241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238</xdr:row>
      <xdr:rowOff>15522</xdr:rowOff>
    </xdr:from>
    <xdr:to>
      <xdr:col>26</xdr:col>
      <xdr:colOff>43746</xdr:colOff>
      <xdr:row>241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238</xdr:row>
      <xdr:rowOff>7056</xdr:rowOff>
    </xdr:from>
    <xdr:to>
      <xdr:col>30</xdr:col>
      <xdr:colOff>42332</xdr:colOff>
      <xdr:row>241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260</xdr:row>
      <xdr:rowOff>159859</xdr:rowOff>
    </xdr:from>
    <xdr:to>
      <xdr:col>2</xdr:col>
      <xdr:colOff>17739</xdr:colOff>
      <xdr:row>263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261</xdr:row>
      <xdr:rowOff>7056</xdr:rowOff>
    </xdr:from>
    <xdr:to>
      <xdr:col>4</xdr:col>
      <xdr:colOff>42332</xdr:colOff>
      <xdr:row>264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261</xdr:row>
      <xdr:rowOff>18345</xdr:rowOff>
    </xdr:from>
    <xdr:to>
      <xdr:col>6</xdr:col>
      <xdr:colOff>39510</xdr:colOff>
      <xdr:row>264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261</xdr:row>
      <xdr:rowOff>7056</xdr:rowOff>
    </xdr:from>
    <xdr:to>
      <xdr:col>8</xdr:col>
      <xdr:colOff>42332</xdr:colOff>
      <xdr:row>264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261</xdr:row>
      <xdr:rowOff>18345</xdr:rowOff>
    </xdr:from>
    <xdr:to>
      <xdr:col>10</xdr:col>
      <xdr:colOff>39510</xdr:colOff>
      <xdr:row>264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261</xdr:row>
      <xdr:rowOff>7055</xdr:rowOff>
    </xdr:from>
    <xdr:to>
      <xdr:col>12</xdr:col>
      <xdr:colOff>49392</xdr:colOff>
      <xdr:row>264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4233</xdr:rowOff>
    </xdr:from>
    <xdr:to>
      <xdr:col>14</xdr:col>
      <xdr:colOff>46570</xdr:colOff>
      <xdr:row>263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261</xdr:row>
      <xdr:rowOff>13304</xdr:rowOff>
    </xdr:from>
    <xdr:to>
      <xdr:col>18</xdr:col>
      <xdr:colOff>46570</xdr:colOff>
      <xdr:row>264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261</xdr:row>
      <xdr:rowOff>13304</xdr:rowOff>
    </xdr:from>
    <xdr:to>
      <xdr:col>14</xdr:col>
      <xdr:colOff>46569</xdr:colOff>
      <xdr:row>264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261</xdr:row>
      <xdr:rowOff>15522</xdr:rowOff>
    </xdr:from>
    <xdr:to>
      <xdr:col>16</xdr:col>
      <xdr:colOff>43746</xdr:colOff>
      <xdr:row>264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261</xdr:row>
      <xdr:rowOff>7056</xdr:rowOff>
    </xdr:from>
    <xdr:to>
      <xdr:col>20</xdr:col>
      <xdr:colOff>42332</xdr:colOff>
      <xdr:row>264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261</xdr:row>
      <xdr:rowOff>18345</xdr:rowOff>
    </xdr:from>
    <xdr:to>
      <xdr:col>22</xdr:col>
      <xdr:colOff>39510</xdr:colOff>
      <xdr:row>264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261</xdr:row>
      <xdr:rowOff>7056</xdr:rowOff>
    </xdr:from>
    <xdr:to>
      <xdr:col>24</xdr:col>
      <xdr:colOff>42332</xdr:colOff>
      <xdr:row>264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261</xdr:row>
      <xdr:rowOff>18345</xdr:rowOff>
    </xdr:from>
    <xdr:to>
      <xdr:col>26</xdr:col>
      <xdr:colOff>39510</xdr:colOff>
      <xdr:row>264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261</xdr:row>
      <xdr:rowOff>7056</xdr:rowOff>
    </xdr:from>
    <xdr:to>
      <xdr:col>28</xdr:col>
      <xdr:colOff>42332</xdr:colOff>
      <xdr:row>264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261</xdr:row>
      <xdr:rowOff>18345</xdr:rowOff>
    </xdr:from>
    <xdr:to>
      <xdr:col>30</xdr:col>
      <xdr:colOff>39510</xdr:colOff>
      <xdr:row>264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237</xdr:row>
      <xdr:rowOff>173181</xdr:rowOff>
    </xdr:from>
    <xdr:to>
      <xdr:col>3</xdr:col>
      <xdr:colOff>294410</xdr:colOff>
      <xdr:row>238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237</xdr:row>
      <xdr:rowOff>173181</xdr:rowOff>
    </xdr:from>
    <xdr:to>
      <xdr:col>13</xdr:col>
      <xdr:colOff>294410</xdr:colOff>
      <xdr:row>238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237</xdr:row>
      <xdr:rowOff>173181</xdr:rowOff>
    </xdr:from>
    <xdr:to>
      <xdr:col>27</xdr:col>
      <xdr:colOff>294410</xdr:colOff>
      <xdr:row>238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237</xdr:row>
      <xdr:rowOff>173181</xdr:rowOff>
    </xdr:from>
    <xdr:to>
      <xdr:col>29</xdr:col>
      <xdr:colOff>294410</xdr:colOff>
      <xdr:row>238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237</xdr:row>
      <xdr:rowOff>173181</xdr:rowOff>
    </xdr:from>
    <xdr:to>
      <xdr:col>31</xdr:col>
      <xdr:colOff>294410</xdr:colOff>
      <xdr:row>238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260</xdr:row>
      <xdr:rowOff>173181</xdr:rowOff>
    </xdr:from>
    <xdr:to>
      <xdr:col>3</xdr:col>
      <xdr:colOff>294410</xdr:colOff>
      <xdr:row>261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260</xdr:row>
      <xdr:rowOff>173181</xdr:rowOff>
    </xdr:from>
    <xdr:to>
      <xdr:col>5</xdr:col>
      <xdr:colOff>294410</xdr:colOff>
      <xdr:row>261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260</xdr:row>
      <xdr:rowOff>173181</xdr:rowOff>
    </xdr:from>
    <xdr:to>
      <xdr:col>7</xdr:col>
      <xdr:colOff>294410</xdr:colOff>
      <xdr:row>261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260</xdr:row>
      <xdr:rowOff>173181</xdr:rowOff>
    </xdr:from>
    <xdr:to>
      <xdr:col>9</xdr:col>
      <xdr:colOff>294410</xdr:colOff>
      <xdr:row>261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260</xdr:row>
      <xdr:rowOff>173181</xdr:rowOff>
    </xdr:from>
    <xdr:to>
      <xdr:col>11</xdr:col>
      <xdr:colOff>294410</xdr:colOff>
      <xdr:row>261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260</xdr:row>
      <xdr:rowOff>173181</xdr:rowOff>
    </xdr:from>
    <xdr:to>
      <xdr:col>13</xdr:col>
      <xdr:colOff>294410</xdr:colOff>
      <xdr:row>261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260</xdr:row>
      <xdr:rowOff>173181</xdr:rowOff>
    </xdr:from>
    <xdr:to>
      <xdr:col>15</xdr:col>
      <xdr:colOff>294410</xdr:colOff>
      <xdr:row>261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260</xdr:row>
      <xdr:rowOff>173181</xdr:rowOff>
    </xdr:from>
    <xdr:to>
      <xdr:col>17</xdr:col>
      <xdr:colOff>294410</xdr:colOff>
      <xdr:row>261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260</xdr:row>
      <xdr:rowOff>173181</xdr:rowOff>
    </xdr:from>
    <xdr:to>
      <xdr:col>19</xdr:col>
      <xdr:colOff>294410</xdr:colOff>
      <xdr:row>261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260</xdr:row>
      <xdr:rowOff>173181</xdr:rowOff>
    </xdr:from>
    <xdr:to>
      <xdr:col>21</xdr:col>
      <xdr:colOff>294410</xdr:colOff>
      <xdr:row>261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260</xdr:row>
      <xdr:rowOff>173181</xdr:rowOff>
    </xdr:from>
    <xdr:to>
      <xdr:col>23</xdr:col>
      <xdr:colOff>294410</xdr:colOff>
      <xdr:row>261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260</xdr:row>
      <xdr:rowOff>173181</xdr:rowOff>
    </xdr:from>
    <xdr:to>
      <xdr:col>25</xdr:col>
      <xdr:colOff>294410</xdr:colOff>
      <xdr:row>261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260</xdr:row>
      <xdr:rowOff>173181</xdr:rowOff>
    </xdr:from>
    <xdr:to>
      <xdr:col>27</xdr:col>
      <xdr:colOff>294410</xdr:colOff>
      <xdr:row>261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260</xdr:row>
      <xdr:rowOff>173181</xdr:rowOff>
    </xdr:from>
    <xdr:to>
      <xdr:col>29</xdr:col>
      <xdr:colOff>294410</xdr:colOff>
      <xdr:row>261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260</xdr:row>
      <xdr:rowOff>173181</xdr:rowOff>
    </xdr:from>
    <xdr:to>
      <xdr:col>31</xdr:col>
      <xdr:colOff>294410</xdr:colOff>
      <xdr:row>261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237</xdr:row>
      <xdr:rowOff>159455</xdr:rowOff>
    </xdr:from>
    <xdr:to>
      <xdr:col>2</xdr:col>
      <xdr:colOff>32743</xdr:colOff>
      <xdr:row>240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238</xdr:row>
      <xdr:rowOff>7056</xdr:rowOff>
    </xdr:from>
    <xdr:to>
      <xdr:col>10</xdr:col>
      <xdr:colOff>69226</xdr:colOff>
      <xdr:row>241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238</xdr:row>
      <xdr:rowOff>18345</xdr:rowOff>
    </xdr:from>
    <xdr:to>
      <xdr:col>12</xdr:col>
      <xdr:colOff>66404</xdr:colOff>
      <xdr:row>241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238</xdr:row>
      <xdr:rowOff>7056</xdr:rowOff>
    </xdr:from>
    <xdr:to>
      <xdr:col>14</xdr:col>
      <xdr:colOff>47454</xdr:colOff>
      <xdr:row>241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238</xdr:row>
      <xdr:rowOff>7056</xdr:rowOff>
    </xdr:from>
    <xdr:to>
      <xdr:col>18</xdr:col>
      <xdr:colOff>69226</xdr:colOff>
      <xdr:row>241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238</xdr:row>
      <xdr:rowOff>8964</xdr:rowOff>
    </xdr:from>
    <xdr:to>
      <xdr:col>16</xdr:col>
      <xdr:colOff>29467</xdr:colOff>
      <xdr:row>241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188</xdr:row>
      <xdr:rowOff>173181</xdr:rowOff>
    </xdr:from>
    <xdr:to>
      <xdr:col>5</xdr:col>
      <xdr:colOff>294410</xdr:colOff>
      <xdr:row>189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188</xdr:row>
      <xdr:rowOff>173181</xdr:rowOff>
    </xdr:from>
    <xdr:to>
      <xdr:col>7</xdr:col>
      <xdr:colOff>294410</xdr:colOff>
      <xdr:row>189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188</xdr:row>
      <xdr:rowOff>173181</xdr:rowOff>
    </xdr:from>
    <xdr:to>
      <xdr:col>9</xdr:col>
      <xdr:colOff>294410</xdr:colOff>
      <xdr:row>189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188</xdr:row>
      <xdr:rowOff>173181</xdr:rowOff>
    </xdr:from>
    <xdr:to>
      <xdr:col>11</xdr:col>
      <xdr:colOff>294410</xdr:colOff>
      <xdr:row>189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188</xdr:row>
      <xdr:rowOff>173181</xdr:rowOff>
    </xdr:from>
    <xdr:to>
      <xdr:col>13</xdr:col>
      <xdr:colOff>294410</xdr:colOff>
      <xdr:row>189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188</xdr:row>
      <xdr:rowOff>173181</xdr:rowOff>
    </xdr:from>
    <xdr:to>
      <xdr:col>15</xdr:col>
      <xdr:colOff>294410</xdr:colOff>
      <xdr:row>189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188</xdr:row>
      <xdr:rowOff>173181</xdr:rowOff>
    </xdr:from>
    <xdr:to>
      <xdr:col>19</xdr:col>
      <xdr:colOff>294410</xdr:colOff>
      <xdr:row>189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188</xdr:row>
      <xdr:rowOff>173181</xdr:rowOff>
    </xdr:from>
    <xdr:to>
      <xdr:col>21</xdr:col>
      <xdr:colOff>294410</xdr:colOff>
      <xdr:row>189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188</xdr:row>
      <xdr:rowOff>173181</xdr:rowOff>
    </xdr:from>
    <xdr:to>
      <xdr:col>23</xdr:col>
      <xdr:colOff>294410</xdr:colOff>
      <xdr:row>189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188</xdr:row>
      <xdr:rowOff>173181</xdr:rowOff>
    </xdr:from>
    <xdr:to>
      <xdr:col>25</xdr:col>
      <xdr:colOff>294410</xdr:colOff>
      <xdr:row>189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188</xdr:row>
      <xdr:rowOff>173181</xdr:rowOff>
    </xdr:from>
    <xdr:to>
      <xdr:col>27</xdr:col>
      <xdr:colOff>294410</xdr:colOff>
      <xdr:row>189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188</xdr:row>
      <xdr:rowOff>173181</xdr:rowOff>
    </xdr:from>
    <xdr:to>
      <xdr:col>29</xdr:col>
      <xdr:colOff>294410</xdr:colOff>
      <xdr:row>189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213</xdr:row>
      <xdr:rowOff>173181</xdr:rowOff>
    </xdr:from>
    <xdr:to>
      <xdr:col>11</xdr:col>
      <xdr:colOff>294410</xdr:colOff>
      <xdr:row>214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213</xdr:row>
      <xdr:rowOff>173181</xdr:rowOff>
    </xdr:from>
    <xdr:to>
      <xdr:col>13</xdr:col>
      <xdr:colOff>294410</xdr:colOff>
      <xdr:row>214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213</xdr:row>
      <xdr:rowOff>173181</xdr:rowOff>
    </xdr:from>
    <xdr:to>
      <xdr:col>15</xdr:col>
      <xdr:colOff>294410</xdr:colOff>
      <xdr:row>214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213</xdr:row>
      <xdr:rowOff>173181</xdr:rowOff>
    </xdr:from>
    <xdr:to>
      <xdr:col>17</xdr:col>
      <xdr:colOff>294410</xdr:colOff>
      <xdr:row>214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213</xdr:row>
      <xdr:rowOff>173181</xdr:rowOff>
    </xdr:from>
    <xdr:to>
      <xdr:col>21</xdr:col>
      <xdr:colOff>294410</xdr:colOff>
      <xdr:row>214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213</xdr:row>
      <xdr:rowOff>173181</xdr:rowOff>
    </xdr:from>
    <xdr:to>
      <xdr:col>23</xdr:col>
      <xdr:colOff>294410</xdr:colOff>
      <xdr:row>214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213</xdr:row>
      <xdr:rowOff>173181</xdr:rowOff>
    </xdr:from>
    <xdr:to>
      <xdr:col>25</xdr:col>
      <xdr:colOff>294410</xdr:colOff>
      <xdr:row>214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213</xdr:row>
      <xdr:rowOff>173181</xdr:rowOff>
    </xdr:from>
    <xdr:to>
      <xdr:col>27</xdr:col>
      <xdr:colOff>294410</xdr:colOff>
      <xdr:row>214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213</xdr:row>
      <xdr:rowOff>173181</xdr:rowOff>
    </xdr:from>
    <xdr:to>
      <xdr:col>29</xdr:col>
      <xdr:colOff>294410</xdr:colOff>
      <xdr:row>214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224</xdr:row>
      <xdr:rowOff>173181</xdr:rowOff>
    </xdr:from>
    <xdr:to>
      <xdr:col>5</xdr:col>
      <xdr:colOff>294410</xdr:colOff>
      <xdr:row>225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224</xdr:row>
      <xdr:rowOff>173181</xdr:rowOff>
    </xdr:from>
    <xdr:to>
      <xdr:col>7</xdr:col>
      <xdr:colOff>294410</xdr:colOff>
      <xdr:row>225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224</xdr:row>
      <xdr:rowOff>173181</xdr:rowOff>
    </xdr:from>
    <xdr:to>
      <xdr:col>9</xdr:col>
      <xdr:colOff>294410</xdr:colOff>
      <xdr:row>225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224</xdr:row>
      <xdr:rowOff>173181</xdr:rowOff>
    </xdr:from>
    <xdr:to>
      <xdr:col>11</xdr:col>
      <xdr:colOff>294410</xdr:colOff>
      <xdr:row>225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224</xdr:row>
      <xdr:rowOff>173181</xdr:rowOff>
    </xdr:from>
    <xdr:to>
      <xdr:col>13</xdr:col>
      <xdr:colOff>294410</xdr:colOff>
      <xdr:row>225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224</xdr:row>
      <xdr:rowOff>173181</xdr:rowOff>
    </xdr:from>
    <xdr:to>
      <xdr:col>15</xdr:col>
      <xdr:colOff>294410</xdr:colOff>
      <xdr:row>225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224</xdr:row>
      <xdr:rowOff>173181</xdr:rowOff>
    </xdr:from>
    <xdr:to>
      <xdr:col>17</xdr:col>
      <xdr:colOff>294410</xdr:colOff>
      <xdr:row>225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224</xdr:row>
      <xdr:rowOff>173181</xdr:rowOff>
    </xdr:from>
    <xdr:to>
      <xdr:col>19</xdr:col>
      <xdr:colOff>294410</xdr:colOff>
      <xdr:row>225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224</xdr:row>
      <xdr:rowOff>173181</xdr:rowOff>
    </xdr:from>
    <xdr:to>
      <xdr:col>21</xdr:col>
      <xdr:colOff>294410</xdr:colOff>
      <xdr:row>225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224</xdr:row>
      <xdr:rowOff>173181</xdr:rowOff>
    </xdr:from>
    <xdr:to>
      <xdr:col>23</xdr:col>
      <xdr:colOff>294410</xdr:colOff>
      <xdr:row>225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224</xdr:row>
      <xdr:rowOff>173181</xdr:rowOff>
    </xdr:from>
    <xdr:to>
      <xdr:col>25</xdr:col>
      <xdr:colOff>294410</xdr:colOff>
      <xdr:row>225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224</xdr:row>
      <xdr:rowOff>173181</xdr:rowOff>
    </xdr:from>
    <xdr:to>
      <xdr:col>27</xdr:col>
      <xdr:colOff>294410</xdr:colOff>
      <xdr:row>225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224</xdr:row>
      <xdr:rowOff>173181</xdr:rowOff>
    </xdr:from>
    <xdr:to>
      <xdr:col>29</xdr:col>
      <xdr:colOff>294410</xdr:colOff>
      <xdr:row>225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237</xdr:row>
      <xdr:rowOff>173181</xdr:rowOff>
    </xdr:from>
    <xdr:to>
      <xdr:col>5</xdr:col>
      <xdr:colOff>294410</xdr:colOff>
      <xdr:row>238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237</xdr:row>
      <xdr:rowOff>173181</xdr:rowOff>
    </xdr:from>
    <xdr:to>
      <xdr:col>7</xdr:col>
      <xdr:colOff>294410</xdr:colOff>
      <xdr:row>238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237</xdr:row>
      <xdr:rowOff>173181</xdr:rowOff>
    </xdr:from>
    <xdr:to>
      <xdr:col>9</xdr:col>
      <xdr:colOff>294410</xdr:colOff>
      <xdr:row>238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237</xdr:row>
      <xdr:rowOff>173181</xdr:rowOff>
    </xdr:from>
    <xdr:to>
      <xdr:col>11</xdr:col>
      <xdr:colOff>294410</xdr:colOff>
      <xdr:row>238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237</xdr:row>
      <xdr:rowOff>173181</xdr:rowOff>
    </xdr:from>
    <xdr:to>
      <xdr:col>15</xdr:col>
      <xdr:colOff>294410</xdr:colOff>
      <xdr:row>238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237</xdr:row>
      <xdr:rowOff>173181</xdr:rowOff>
    </xdr:from>
    <xdr:to>
      <xdr:col>17</xdr:col>
      <xdr:colOff>294410</xdr:colOff>
      <xdr:row>238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237</xdr:row>
      <xdr:rowOff>173181</xdr:rowOff>
    </xdr:from>
    <xdr:to>
      <xdr:col>19</xdr:col>
      <xdr:colOff>294410</xdr:colOff>
      <xdr:row>238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237</xdr:row>
      <xdr:rowOff>173181</xdr:rowOff>
    </xdr:from>
    <xdr:to>
      <xdr:col>21</xdr:col>
      <xdr:colOff>294410</xdr:colOff>
      <xdr:row>238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237</xdr:row>
      <xdr:rowOff>173181</xdr:rowOff>
    </xdr:from>
    <xdr:to>
      <xdr:col>23</xdr:col>
      <xdr:colOff>294410</xdr:colOff>
      <xdr:row>238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237</xdr:row>
      <xdr:rowOff>173181</xdr:rowOff>
    </xdr:from>
    <xdr:to>
      <xdr:col>25</xdr:col>
      <xdr:colOff>294410</xdr:colOff>
      <xdr:row>238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238169</xdr:colOff>
      <xdr:row>64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4053417" y="11959167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62</xdr:row>
      <xdr:rowOff>0</xdr:rowOff>
    </xdr:from>
    <xdr:to>
      <xdr:col>30</xdr:col>
      <xdr:colOff>238169</xdr:colOff>
      <xdr:row>64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5578667" y="11959167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238169</xdr:colOff>
      <xdr:row>64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910167" y="11959167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49</xdr:row>
      <xdr:rowOff>0</xdr:rowOff>
    </xdr:from>
    <xdr:to>
      <xdr:col>2</xdr:col>
      <xdr:colOff>238169</xdr:colOff>
      <xdr:row>51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910167" y="9694333"/>
          <a:ext cx="238169" cy="338715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62</xdr:row>
      <xdr:rowOff>0</xdr:rowOff>
    </xdr:from>
    <xdr:to>
      <xdr:col>22</xdr:col>
      <xdr:colOff>238169</xdr:colOff>
      <xdr:row>64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1387667" y="11959167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50</xdr:row>
      <xdr:rowOff>29051</xdr:rowOff>
    </xdr:from>
    <xdr:to>
      <xdr:col>14</xdr:col>
      <xdr:colOff>244501</xdr:colOff>
      <xdr:row>52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7202999" y="9892718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74</xdr:row>
      <xdr:rowOff>153547</xdr:rowOff>
    </xdr:from>
    <xdr:to>
      <xdr:col>24</xdr:col>
      <xdr:colOff>238177</xdr:colOff>
      <xdr:row>76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2435425" y="14176464"/>
          <a:ext cx="238169" cy="33204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230</xdr:row>
      <xdr:rowOff>2</xdr:rowOff>
    </xdr:from>
    <xdr:to>
      <xdr:col>30</xdr:col>
      <xdr:colOff>238169</xdr:colOff>
      <xdr:row>232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5578667" y="40618835"/>
          <a:ext cx="238169" cy="338716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61</xdr:row>
      <xdr:rowOff>127635</xdr:rowOff>
    </xdr:from>
    <xdr:to>
      <xdr:col>26</xdr:col>
      <xdr:colOff>238169</xdr:colOff>
      <xdr:row>64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3483167" y="11917468"/>
          <a:ext cx="238169" cy="392903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74</xdr:row>
      <xdr:rowOff>0</xdr:rowOff>
    </xdr:from>
    <xdr:to>
      <xdr:col>8</xdr:col>
      <xdr:colOff>238169</xdr:colOff>
      <xdr:row>76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4053417" y="14022917"/>
          <a:ext cx="238169" cy="33871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49</xdr:row>
      <xdr:rowOff>107154</xdr:rowOff>
    </xdr:from>
    <xdr:to>
      <xdr:col>20</xdr:col>
      <xdr:colOff>238169</xdr:colOff>
      <xdr:row>51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10339917" y="9801487"/>
          <a:ext cx="238169" cy="332048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62</xdr:row>
      <xdr:rowOff>35717</xdr:rowOff>
    </xdr:from>
    <xdr:to>
      <xdr:col>28</xdr:col>
      <xdr:colOff>238169</xdr:colOff>
      <xdr:row>64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4530917" y="11994884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45</xdr:row>
      <xdr:rowOff>11909</xdr:rowOff>
    </xdr:from>
    <xdr:to>
      <xdr:col>20</xdr:col>
      <xdr:colOff>30868</xdr:colOff>
      <xdr:row>48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74</xdr:row>
      <xdr:rowOff>23812</xdr:rowOff>
    </xdr:from>
    <xdr:to>
      <xdr:col>18</xdr:col>
      <xdr:colOff>238169</xdr:colOff>
      <xdr:row>76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9292167" y="14046729"/>
          <a:ext cx="238169" cy="33204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56</xdr:row>
      <xdr:rowOff>154785</xdr:rowOff>
    </xdr:from>
    <xdr:to>
      <xdr:col>3</xdr:col>
      <xdr:colOff>554744</xdr:colOff>
      <xdr:row>59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45</xdr:row>
      <xdr:rowOff>9531</xdr:rowOff>
    </xdr:from>
    <xdr:to>
      <xdr:col>20</xdr:col>
      <xdr:colOff>40393</xdr:colOff>
      <xdr:row>48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74</xdr:row>
      <xdr:rowOff>95248</xdr:rowOff>
    </xdr:from>
    <xdr:to>
      <xdr:col>10</xdr:col>
      <xdr:colOff>238169</xdr:colOff>
      <xdr:row>76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5101167" y="14118165"/>
          <a:ext cx="238169" cy="33204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193</xdr:row>
      <xdr:rowOff>119060</xdr:rowOff>
    </xdr:from>
    <xdr:to>
      <xdr:col>6</xdr:col>
      <xdr:colOff>238169</xdr:colOff>
      <xdr:row>195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3005667" y="34472560"/>
          <a:ext cx="238169" cy="332048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56</xdr:row>
      <xdr:rowOff>140501</xdr:rowOff>
    </xdr:from>
    <xdr:to>
      <xdr:col>4</xdr:col>
      <xdr:colOff>15564</xdr:colOff>
      <xdr:row>59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45</xdr:row>
      <xdr:rowOff>26106</xdr:rowOff>
    </xdr:from>
    <xdr:to>
      <xdr:col>2</xdr:col>
      <xdr:colOff>38049</xdr:colOff>
      <xdr:row>48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44</xdr:row>
      <xdr:rowOff>154785</xdr:rowOff>
    </xdr:from>
    <xdr:to>
      <xdr:col>30</xdr:col>
      <xdr:colOff>30868</xdr:colOff>
      <xdr:row>47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92</xdr:row>
      <xdr:rowOff>2</xdr:rowOff>
    </xdr:from>
    <xdr:to>
      <xdr:col>26</xdr:col>
      <xdr:colOff>42774</xdr:colOff>
      <xdr:row>95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57</xdr:row>
      <xdr:rowOff>2</xdr:rowOff>
    </xdr:from>
    <xdr:to>
      <xdr:col>28</xdr:col>
      <xdr:colOff>30868</xdr:colOff>
      <xdr:row>60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229</xdr:row>
      <xdr:rowOff>136742</xdr:rowOff>
    </xdr:from>
    <xdr:to>
      <xdr:col>18</xdr:col>
      <xdr:colOff>238169</xdr:colOff>
      <xdr:row>231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9292167" y="40586242"/>
          <a:ext cx="238169" cy="332048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229</xdr:row>
      <xdr:rowOff>148648</xdr:rowOff>
    </xdr:from>
    <xdr:to>
      <xdr:col>28</xdr:col>
      <xdr:colOff>238169</xdr:colOff>
      <xdr:row>231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4530917" y="40598148"/>
          <a:ext cx="238169" cy="332048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45</xdr:row>
      <xdr:rowOff>11820</xdr:rowOff>
    </xdr:from>
    <xdr:to>
      <xdr:col>2</xdr:col>
      <xdr:colOff>35670</xdr:colOff>
      <xdr:row>48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44</xdr:row>
      <xdr:rowOff>164313</xdr:rowOff>
    </xdr:from>
    <xdr:to>
      <xdr:col>30</xdr:col>
      <xdr:colOff>40396</xdr:colOff>
      <xdr:row>48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57</xdr:row>
      <xdr:rowOff>9530</xdr:rowOff>
    </xdr:from>
    <xdr:to>
      <xdr:col>20</xdr:col>
      <xdr:colOff>40381</xdr:colOff>
      <xdr:row>60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57</xdr:row>
      <xdr:rowOff>9427</xdr:rowOff>
    </xdr:from>
    <xdr:to>
      <xdr:col>28</xdr:col>
      <xdr:colOff>33296</xdr:colOff>
      <xdr:row>60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862</xdr:rowOff>
    </xdr:from>
    <xdr:to>
      <xdr:col>14</xdr:col>
      <xdr:colOff>52303</xdr:colOff>
      <xdr:row>60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56</xdr:row>
      <xdr:rowOff>161933</xdr:rowOff>
    </xdr:from>
    <xdr:to>
      <xdr:col>20</xdr:col>
      <xdr:colOff>38003</xdr:colOff>
      <xdr:row>59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56</xdr:row>
      <xdr:rowOff>149925</xdr:rowOff>
    </xdr:from>
    <xdr:to>
      <xdr:col>30</xdr:col>
      <xdr:colOff>42814</xdr:colOff>
      <xdr:row>59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56</xdr:row>
      <xdr:rowOff>164311</xdr:rowOff>
    </xdr:from>
    <xdr:to>
      <xdr:col>22</xdr:col>
      <xdr:colOff>28473</xdr:colOff>
      <xdr:row>60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74</xdr:row>
      <xdr:rowOff>35718</xdr:rowOff>
    </xdr:from>
    <xdr:to>
      <xdr:col>16</xdr:col>
      <xdr:colOff>238169</xdr:colOff>
      <xdr:row>76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8244417" y="14058635"/>
          <a:ext cx="238169" cy="33204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62</xdr:row>
      <xdr:rowOff>11902</xdr:rowOff>
    </xdr:from>
    <xdr:to>
      <xdr:col>10</xdr:col>
      <xdr:colOff>238169</xdr:colOff>
      <xdr:row>64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5101167" y="11971069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57</xdr:row>
      <xdr:rowOff>2</xdr:rowOff>
    </xdr:from>
    <xdr:to>
      <xdr:col>2</xdr:col>
      <xdr:colOff>14994</xdr:colOff>
      <xdr:row>60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47624</xdr:rowOff>
    </xdr:from>
    <xdr:to>
      <xdr:col>2</xdr:col>
      <xdr:colOff>238169</xdr:colOff>
      <xdr:row>76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910167" y="14070541"/>
          <a:ext cx="238169" cy="33204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74</xdr:row>
      <xdr:rowOff>83342</xdr:rowOff>
    </xdr:from>
    <xdr:to>
      <xdr:col>12</xdr:col>
      <xdr:colOff>238169</xdr:colOff>
      <xdr:row>76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6148917" y="14106259"/>
          <a:ext cx="238169" cy="33204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74</xdr:row>
      <xdr:rowOff>59530</xdr:rowOff>
    </xdr:from>
    <xdr:to>
      <xdr:col>22</xdr:col>
      <xdr:colOff>238169</xdr:colOff>
      <xdr:row>76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1387667" y="14082447"/>
          <a:ext cx="238169" cy="33204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70</xdr:row>
      <xdr:rowOff>3</xdr:rowOff>
    </xdr:from>
    <xdr:to>
      <xdr:col>26</xdr:col>
      <xdr:colOff>42774</xdr:colOff>
      <xdr:row>73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56</xdr:row>
      <xdr:rowOff>164327</xdr:rowOff>
    </xdr:from>
    <xdr:to>
      <xdr:col>12</xdr:col>
      <xdr:colOff>40365</xdr:colOff>
      <xdr:row>60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230</xdr:row>
      <xdr:rowOff>14432</xdr:rowOff>
    </xdr:from>
    <xdr:to>
      <xdr:col>24</xdr:col>
      <xdr:colOff>238169</xdr:colOff>
      <xdr:row>232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2435417" y="40633265"/>
          <a:ext cx="238169" cy="338716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242</xdr:row>
      <xdr:rowOff>163080</xdr:rowOff>
    </xdr:from>
    <xdr:to>
      <xdr:col>16</xdr:col>
      <xdr:colOff>238169</xdr:colOff>
      <xdr:row>244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8244417" y="42813913"/>
          <a:ext cx="238169" cy="332048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74</xdr:row>
      <xdr:rowOff>80964</xdr:rowOff>
    </xdr:from>
    <xdr:to>
      <xdr:col>20</xdr:col>
      <xdr:colOff>247700</xdr:colOff>
      <xdr:row>76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10349448" y="14103881"/>
          <a:ext cx="238169" cy="33204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57</xdr:row>
      <xdr:rowOff>11910</xdr:rowOff>
    </xdr:from>
    <xdr:to>
      <xdr:col>8</xdr:col>
      <xdr:colOff>42774</xdr:colOff>
      <xdr:row>60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45</xdr:row>
      <xdr:rowOff>7151</xdr:rowOff>
    </xdr:from>
    <xdr:to>
      <xdr:col>28</xdr:col>
      <xdr:colOff>26108</xdr:colOff>
      <xdr:row>48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238</xdr:row>
      <xdr:rowOff>23815</xdr:rowOff>
    </xdr:from>
    <xdr:to>
      <xdr:col>16</xdr:col>
      <xdr:colOff>30868</xdr:colOff>
      <xdr:row>241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107</xdr:row>
      <xdr:rowOff>116685</xdr:rowOff>
    </xdr:from>
    <xdr:to>
      <xdr:col>14</xdr:col>
      <xdr:colOff>247665</xdr:colOff>
      <xdr:row>109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7206163" y="19833435"/>
          <a:ext cx="238169" cy="332050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69</xdr:row>
      <xdr:rowOff>164303</xdr:rowOff>
    </xdr:from>
    <xdr:to>
      <xdr:col>10</xdr:col>
      <xdr:colOff>40387</xdr:colOff>
      <xdr:row>73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108</xdr:row>
      <xdr:rowOff>958</xdr:rowOff>
    </xdr:from>
    <xdr:to>
      <xdr:col>10</xdr:col>
      <xdr:colOff>233382</xdr:colOff>
      <xdr:row>110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5112255" y="19887041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74</xdr:row>
      <xdr:rowOff>52224</xdr:rowOff>
    </xdr:from>
    <xdr:to>
      <xdr:col>4</xdr:col>
      <xdr:colOff>259188</xdr:colOff>
      <xdr:row>76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978936" y="14075141"/>
          <a:ext cx="238169" cy="33204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74</xdr:row>
      <xdr:rowOff>56825</xdr:rowOff>
    </xdr:from>
    <xdr:to>
      <xdr:col>6</xdr:col>
      <xdr:colOff>230938</xdr:colOff>
      <xdr:row>76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964131" y="14079742"/>
          <a:ext cx="272474" cy="33204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4551940" y="7835902"/>
          <a:ext cx="238169" cy="338716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49</xdr:row>
      <xdr:rowOff>119560</xdr:rowOff>
    </xdr:from>
    <xdr:to>
      <xdr:col>12</xdr:col>
      <xdr:colOff>226343</xdr:colOff>
      <xdr:row>51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6102787" y="9813893"/>
          <a:ext cx="272473" cy="338716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74</xdr:row>
      <xdr:rowOff>158147</xdr:rowOff>
    </xdr:from>
    <xdr:to>
      <xdr:col>26</xdr:col>
      <xdr:colOff>259197</xdr:colOff>
      <xdr:row>76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3504195" y="14181064"/>
          <a:ext cx="238169" cy="33204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75</xdr:row>
      <xdr:rowOff>14946</xdr:rowOff>
    </xdr:from>
    <xdr:to>
      <xdr:col>30</xdr:col>
      <xdr:colOff>247365</xdr:colOff>
      <xdr:row>77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5587863" y="14207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85</xdr:row>
      <xdr:rowOff>134504</xdr:rowOff>
    </xdr:from>
    <xdr:to>
      <xdr:col>2</xdr:col>
      <xdr:colOff>235540</xdr:colOff>
      <xdr:row>87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910275" y="16051837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86</xdr:row>
      <xdr:rowOff>7726</xdr:rowOff>
    </xdr:from>
    <xdr:to>
      <xdr:col>4</xdr:col>
      <xdr:colOff>256561</xdr:colOff>
      <xdr:row>88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976309" y="16104976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96</xdr:row>
      <xdr:rowOff>135978</xdr:rowOff>
    </xdr:from>
    <xdr:to>
      <xdr:col>18</xdr:col>
      <xdr:colOff>259186</xdr:colOff>
      <xdr:row>98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9313184" y="17968895"/>
          <a:ext cx="238169" cy="33871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229</xdr:row>
      <xdr:rowOff>169323</xdr:rowOff>
    </xdr:from>
    <xdr:to>
      <xdr:col>26</xdr:col>
      <xdr:colOff>242764</xdr:colOff>
      <xdr:row>231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3487762" y="40618823"/>
          <a:ext cx="238169" cy="338716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242</xdr:row>
      <xdr:rowOff>85068</xdr:rowOff>
    </xdr:from>
    <xdr:to>
      <xdr:col>6</xdr:col>
      <xdr:colOff>242783</xdr:colOff>
      <xdr:row>244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3010281" y="42735901"/>
          <a:ext cx="238169" cy="332048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229</xdr:row>
      <xdr:rowOff>152901</xdr:rowOff>
    </xdr:from>
    <xdr:to>
      <xdr:col>22</xdr:col>
      <xdr:colOff>242774</xdr:colOff>
      <xdr:row>231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1392272" y="40602401"/>
          <a:ext cx="238169" cy="338716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70</xdr:row>
      <xdr:rowOff>14010</xdr:rowOff>
    </xdr:from>
    <xdr:to>
      <xdr:col>6</xdr:col>
      <xdr:colOff>42266</xdr:colOff>
      <xdr:row>73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242</xdr:row>
      <xdr:rowOff>138935</xdr:rowOff>
    </xdr:from>
    <xdr:to>
      <xdr:col>4</xdr:col>
      <xdr:colOff>230961</xdr:colOff>
      <xdr:row>244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916404" y="42789768"/>
          <a:ext cx="272474" cy="332048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49</xdr:row>
      <xdr:rowOff>128178</xdr:rowOff>
    </xdr:from>
    <xdr:to>
      <xdr:col>22</xdr:col>
      <xdr:colOff>259185</xdr:colOff>
      <xdr:row>51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1408683" y="9822511"/>
          <a:ext cx="238169" cy="332048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49</xdr:row>
      <xdr:rowOff>148607</xdr:rowOff>
    </xdr:from>
    <xdr:to>
      <xdr:col>16</xdr:col>
      <xdr:colOff>232681</xdr:colOff>
      <xdr:row>51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8204624" y="9842940"/>
          <a:ext cx="272474" cy="332048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242</xdr:row>
      <xdr:rowOff>138062</xdr:rowOff>
    </xdr:from>
    <xdr:to>
      <xdr:col>2</xdr:col>
      <xdr:colOff>284830</xdr:colOff>
      <xdr:row>244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923983" y="42788895"/>
          <a:ext cx="271014" cy="332048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164</xdr:row>
      <xdr:rowOff>7055</xdr:rowOff>
    </xdr:from>
    <xdr:to>
      <xdr:col>24</xdr:col>
      <xdr:colOff>94696</xdr:colOff>
      <xdr:row>167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4233</xdr:rowOff>
    </xdr:from>
    <xdr:to>
      <xdr:col>26</xdr:col>
      <xdr:colOff>46570</xdr:colOff>
      <xdr:row>166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164</xdr:row>
      <xdr:rowOff>13304</xdr:rowOff>
    </xdr:from>
    <xdr:to>
      <xdr:col>30</xdr:col>
      <xdr:colOff>46570</xdr:colOff>
      <xdr:row>167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164</xdr:row>
      <xdr:rowOff>13304</xdr:rowOff>
    </xdr:from>
    <xdr:to>
      <xdr:col>26</xdr:col>
      <xdr:colOff>46569</xdr:colOff>
      <xdr:row>167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164</xdr:row>
      <xdr:rowOff>15522</xdr:rowOff>
    </xdr:from>
    <xdr:to>
      <xdr:col>28</xdr:col>
      <xdr:colOff>64912</xdr:colOff>
      <xdr:row>167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176</xdr:row>
      <xdr:rowOff>7056</xdr:rowOff>
    </xdr:from>
    <xdr:to>
      <xdr:col>2</xdr:col>
      <xdr:colOff>42332</xdr:colOff>
      <xdr:row>179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176</xdr:row>
      <xdr:rowOff>18345</xdr:rowOff>
    </xdr:from>
    <xdr:to>
      <xdr:col>4</xdr:col>
      <xdr:colOff>39510</xdr:colOff>
      <xdr:row>179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176</xdr:row>
      <xdr:rowOff>7056</xdr:rowOff>
    </xdr:from>
    <xdr:to>
      <xdr:col>6</xdr:col>
      <xdr:colOff>42332</xdr:colOff>
      <xdr:row>179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176</xdr:row>
      <xdr:rowOff>18345</xdr:rowOff>
    </xdr:from>
    <xdr:to>
      <xdr:col>8</xdr:col>
      <xdr:colOff>39510</xdr:colOff>
      <xdr:row>179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176</xdr:row>
      <xdr:rowOff>7056</xdr:rowOff>
    </xdr:from>
    <xdr:to>
      <xdr:col>10</xdr:col>
      <xdr:colOff>42332</xdr:colOff>
      <xdr:row>179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176</xdr:row>
      <xdr:rowOff>18345</xdr:rowOff>
    </xdr:from>
    <xdr:to>
      <xdr:col>12</xdr:col>
      <xdr:colOff>21579</xdr:colOff>
      <xdr:row>179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176</xdr:row>
      <xdr:rowOff>7055</xdr:rowOff>
    </xdr:from>
    <xdr:to>
      <xdr:col>14</xdr:col>
      <xdr:colOff>49392</xdr:colOff>
      <xdr:row>179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4233</xdr:rowOff>
    </xdr:from>
    <xdr:to>
      <xdr:col>16</xdr:col>
      <xdr:colOff>46570</xdr:colOff>
      <xdr:row>178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176</xdr:row>
      <xdr:rowOff>13304</xdr:rowOff>
    </xdr:from>
    <xdr:to>
      <xdr:col>20</xdr:col>
      <xdr:colOff>46570</xdr:colOff>
      <xdr:row>179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176</xdr:row>
      <xdr:rowOff>13304</xdr:rowOff>
    </xdr:from>
    <xdr:to>
      <xdr:col>16</xdr:col>
      <xdr:colOff>46569</xdr:colOff>
      <xdr:row>179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176</xdr:row>
      <xdr:rowOff>15522</xdr:rowOff>
    </xdr:from>
    <xdr:to>
      <xdr:col>18</xdr:col>
      <xdr:colOff>43746</xdr:colOff>
      <xdr:row>179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176</xdr:row>
      <xdr:rowOff>7056</xdr:rowOff>
    </xdr:from>
    <xdr:to>
      <xdr:col>22</xdr:col>
      <xdr:colOff>42332</xdr:colOff>
      <xdr:row>179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163</xdr:row>
      <xdr:rowOff>173181</xdr:rowOff>
    </xdr:from>
    <xdr:to>
      <xdr:col>25</xdr:col>
      <xdr:colOff>294410</xdr:colOff>
      <xdr:row>164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163</xdr:row>
      <xdr:rowOff>173181</xdr:rowOff>
    </xdr:from>
    <xdr:to>
      <xdr:col>27</xdr:col>
      <xdr:colOff>294410</xdr:colOff>
      <xdr:row>164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163</xdr:row>
      <xdr:rowOff>173181</xdr:rowOff>
    </xdr:from>
    <xdr:to>
      <xdr:col>29</xdr:col>
      <xdr:colOff>294410</xdr:colOff>
      <xdr:row>164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163</xdr:row>
      <xdr:rowOff>173181</xdr:rowOff>
    </xdr:from>
    <xdr:to>
      <xdr:col>31</xdr:col>
      <xdr:colOff>294410</xdr:colOff>
      <xdr:row>164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175</xdr:row>
      <xdr:rowOff>173181</xdr:rowOff>
    </xdr:from>
    <xdr:to>
      <xdr:col>3</xdr:col>
      <xdr:colOff>294410</xdr:colOff>
      <xdr:row>176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175</xdr:row>
      <xdr:rowOff>173181</xdr:rowOff>
    </xdr:from>
    <xdr:to>
      <xdr:col>5</xdr:col>
      <xdr:colOff>294410</xdr:colOff>
      <xdr:row>176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175</xdr:row>
      <xdr:rowOff>173181</xdr:rowOff>
    </xdr:from>
    <xdr:to>
      <xdr:col>7</xdr:col>
      <xdr:colOff>294410</xdr:colOff>
      <xdr:row>176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175</xdr:row>
      <xdr:rowOff>173181</xdr:rowOff>
    </xdr:from>
    <xdr:to>
      <xdr:col>9</xdr:col>
      <xdr:colOff>294410</xdr:colOff>
      <xdr:row>176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175</xdr:row>
      <xdr:rowOff>173181</xdr:rowOff>
    </xdr:from>
    <xdr:to>
      <xdr:col>11</xdr:col>
      <xdr:colOff>294410</xdr:colOff>
      <xdr:row>176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175</xdr:row>
      <xdr:rowOff>173181</xdr:rowOff>
    </xdr:from>
    <xdr:to>
      <xdr:col>13</xdr:col>
      <xdr:colOff>294410</xdr:colOff>
      <xdr:row>176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175</xdr:row>
      <xdr:rowOff>173181</xdr:rowOff>
    </xdr:from>
    <xdr:to>
      <xdr:col>15</xdr:col>
      <xdr:colOff>294410</xdr:colOff>
      <xdr:row>176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175</xdr:row>
      <xdr:rowOff>173181</xdr:rowOff>
    </xdr:from>
    <xdr:to>
      <xdr:col>17</xdr:col>
      <xdr:colOff>294410</xdr:colOff>
      <xdr:row>176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175</xdr:row>
      <xdr:rowOff>173181</xdr:rowOff>
    </xdr:from>
    <xdr:to>
      <xdr:col>19</xdr:col>
      <xdr:colOff>294410</xdr:colOff>
      <xdr:row>176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175</xdr:row>
      <xdr:rowOff>173181</xdr:rowOff>
    </xdr:from>
    <xdr:to>
      <xdr:col>21</xdr:col>
      <xdr:colOff>294410</xdr:colOff>
      <xdr:row>176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175</xdr:row>
      <xdr:rowOff>173181</xdr:rowOff>
    </xdr:from>
    <xdr:to>
      <xdr:col>23</xdr:col>
      <xdr:colOff>294410</xdr:colOff>
      <xdr:row>176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165</xdr:row>
      <xdr:rowOff>36284</xdr:rowOff>
    </xdr:from>
    <xdr:to>
      <xdr:col>26</xdr:col>
      <xdr:colOff>234950</xdr:colOff>
      <xdr:row>167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169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177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177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169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181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5578667" y="7852833"/>
          <a:ext cx="238169" cy="33130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2435417" y="7852833"/>
          <a:ext cx="238169" cy="32626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3483167" y="7852833"/>
          <a:ext cx="238169" cy="32626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50</xdr:row>
      <xdr:rowOff>0</xdr:rowOff>
    </xdr:from>
    <xdr:to>
      <xdr:col>30</xdr:col>
      <xdr:colOff>238169</xdr:colOff>
      <xdr:row>52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5578667" y="9863667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50</xdr:row>
      <xdr:rowOff>0</xdr:rowOff>
    </xdr:from>
    <xdr:to>
      <xdr:col>28</xdr:col>
      <xdr:colOff>238169</xdr:colOff>
      <xdr:row>52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4530917" y="9863667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62</xdr:row>
      <xdr:rowOff>0</xdr:rowOff>
    </xdr:from>
    <xdr:to>
      <xdr:col>4</xdr:col>
      <xdr:colOff>238169</xdr:colOff>
      <xdr:row>64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957917" y="11959167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238169</xdr:colOff>
      <xdr:row>64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3005667" y="11959167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62</xdr:row>
      <xdr:rowOff>0</xdr:rowOff>
    </xdr:from>
    <xdr:to>
      <xdr:col>12</xdr:col>
      <xdr:colOff>238169</xdr:colOff>
      <xdr:row>64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6148917" y="11959167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62</xdr:row>
      <xdr:rowOff>0</xdr:rowOff>
    </xdr:from>
    <xdr:to>
      <xdr:col>20</xdr:col>
      <xdr:colOff>238169</xdr:colOff>
      <xdr:row>64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10339917" y="11959167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61</xdr:row>
      <xdr:rowOff>151534</xdr:rowOff>
    </xdr:from>
    <xdr:to>
      <xdr:col>10</xdr:col>
      <xdr:colOff>340812</xdr:colOff>
      <xdr:row>65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82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85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85</xdr:row>
      <xdr:rowOff>132293</xdr:rowOff>
    </xdr:from>
    <xdr:to>
      <xdr:col>6</xdr:col>
      <xdr:colOff>410104</xdr:colOff>
      <xdr:row>88</xdr:row>
      <xdr:rowOff>98799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2</xdr:col>
      <xdr:colOff>238169</xdr:colOff>
      <xdr:row>99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910167" y="180022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97</xdr:row>
      <xdr:rowOff>0</xdr:rowOff>
    </xdr:from>
    <xdr:to>
      <xdr:col>4</xdr:col>
      <xdr:colOff>238169</xdr:colOff>
      <xdr:row>99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957917" y="180022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97</xdr:row>
      <xdr:rowOff>0</xdr:rowOff>
    </xdr:from>
    <xdr:to>
      <xdr:col>6</xdr:col>
      <xdr:colOff>238169</xdr:colOff>
      <xdr:row>99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3005667" y="180022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97</xdr:row>
      <xdr:rowOff>0</xdr:rowOff>
    </xdr:from>
    <xdr:to>
      <xdr:col>8</xdr:col>
      <xdr:colOff>238169</xdr:colOff>
      <xdr:row>99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4053417" y="180022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97</xdr:row>
      <xdr:rowOff>0</xdr:rowOff>
    </xdr:from>
    <xdr:to>
      <xdr:col>10</xdr:col>
      <xdr:colOff>238169</xdr:colOff>
      <xdr:row>99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5101167" y="180022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97</xdr:row>
      <xdr:rowOff>0</xdr:rowOff>
    </xdr:from>
    <xdr:to>
      <xdr:col>14</xdr:col>
      <xdr:colOff>238169</xdr:colOff>
      <xdr:row>99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7196667" y="180022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86</xdr:row>
      <xdr:rowOff>0</xdr:rowOff>
    </xdr:from>
    <xdr:to>
      <xdr:col>12</xdr:col>
      <xdr:colOff>238169</xdr:colOff>
      <xdr:row>87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6148917" y="16097250"/>
          <a:ext cx="238169" cy="342564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86</xdr:row>
      <xdr:rowOff>0</xdr:rowOff>
    </xdr:from>
    <xdr:to>
      <xdr:col>14</xdr:col>
      <xdr:colOff>238169</xdr:colOff>
      <xdr:row>87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7196667" y="16097250"/>
          <a:ext cx="238169" cy="342564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86</xdr:row>
      <xdr:rowOff>0</xdr:rowOff>
    </xdr:from>
    <xdr:to>
      <xdr:col>16</xdr:col>
      <xdr:colOff>238169</xdr:colOff>
      <xdr:row>87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8244417" y="16097250"/>
          <a:ext cx="238169" cy="342564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86</xdr:row>
      <xdr:rowOff>0</xdr:rowOff>
    </xdr:from>
    <xdr:to>
      <xdr:col>18</xdr:col>
      <xdr:colOff>238169</xdr:colOff>
      <xdr:row>87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9292167" y="16097250"/>
          <a:ext cx="238169" cy="342564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86</xdr:row>
      <xdr:rowOff>0</xdr:rowOff>
    </xdr:from>
    <xdr:to>
      <xdr:col>20</xdr:col>
      <xdr:colOff>238169</xdr:colOff>
      <xdr:row>87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10339917" y="16097250"/>
          <a:ext cx="238169" cy="342564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86</xdr:row>
      <xdr:rowOff>0</xdr:rowOff>
    </xdr:from>
    <xdr:to>
      <xdr:col>22</xdr:col>
      <xdr:colOff>238169</xdr:colOff>
      <xdr:row>87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1387667" y="16097250"/>
          <a:ext cx="238169" cy="342564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86</xdr:row>
      <xdr:rowOff>0</xdr:rowOff>
    </xdr:from>
    <xdr:to>
      <xdr:col>24</xdr:col>
      <xdr:colOff>238169</xdr:colOff>
      <xdr:row>87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2435417" y="16097250"/>
          <a:ext cx="238169" cy="342564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86</xdr:row>
      <xdr:rowOff>0</xdr:rowOff>
    </xdr:from>
    <xdr:to>
      <xdr:col>26</xdr:col>
      <xdr:colOff>238169</xdr:colOff>
      <xdr:row>87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3483167" y="16097250"/>
          <a:ext cx="238169" cy="342564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86</xdr:row>
      <xdr:rowOff>0</xdr:rowOff>
    </xdr:from>
    <xdr:to>
      <xdr:col>28</xdr:col>
      <xdr:colOff>238169</xdr:colOff>
      <xdr:row>87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4530917" y="16097250"/>
          <a:ext cx="238169" cy="342564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86</xdr:row>
      <xdr:rowOff>0</xdr:rowOff>
    </xdr:from>
    <xdr:to>
      <xdr:col>30</xdr:col>
      <xdr:colOff>238169</xdr:colOff>
      <xdr:row>87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5578667" y="16097250"/>
          <a:ext cx="238169" cy="342564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108</xdr:row>
      <xdr:rowOff>0</xdr:rowOff>
    </xdr:from>
    <xdr:to>
      <xdr:col>18</xdr:col>
      <xdr:colOff>238169</xdr:colOff>
      <xdr:row>110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9292167" y="19886083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130</xdr:row>
      <xdr:rowOff>0</xdr:rowOff>
    </xdr:from>
    <xdr:to>
      <xdr:col>30</xdr:col>
      <xdr:colOff>238169</xdr:colOff>
      <xdr:row>132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5578667" y="23653750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143</xdr:row>
      <xdr:rowOff>0</xdr:rowOff>
    </xdr:from>
    <xdr:to>
      <xdr:col>2</xdr:col>
      <xdr:colOff>238169</xdr:colOff>
      <xdr:row>145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910167" y="2587625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238169</xdr:colOff>
      <xdr:row>145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957917" y="2587625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238169</xdr:colOff>
      <xdr:row>145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3005667" y="2587625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230</xdr:row>
      <xdr:rowOff>0</xdr:rowOff>
    </xdr:from>
    <xdr:to>
      <xdr:col>20</xdr:col>
      <xdr:colOff>238169</xdr:colOff>
      <xdr:row>232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10339917" y="40618833"/>
          <a:ext cx="238169" cy="338716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243</xdr:row>
      <xdr:rowOff>0</xdr:rowOff>
    </xdr:from>
    <xdr:to>
      <xdr:col>10</xdr:col>
      <xdr:colOff>238169</xdr:colOff>
      <xdr:row>245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5101167" y="42820167"/>
          <a:ext cx="238169" cy="338716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243</xdr:row>
      <xdr:rowOff>0</xdr:rowOff>
    </xdr:from>
    <xdr:to>
      <xdr:col>12</xdr:col>
      <xdr:colOff>238169</xdr:colOff>
      <xdr:row>245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6148917" y="42820167"/>
          <a:ext cx="238169" cy="338716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243</xdr:row>
      <xdr:rowOff>0</xdr:rowOff>
    </xdr:from>
    <xdr:to>
      <xdr:col>14</xdr:col>
      <xdr:colOff>238169</xdr:colOff>
      <xdr:row>245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7196667" y="42820167"/>
          <a:ext cx="238169" cy="338716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86</xdr:row>
      <xdr:rowOff>0</xdr:rowOff>
    </xdr:from>
    <xdr:to>
      <xdr:col>10</xdr:col>
      <xdr:colOff>261470</xdr:colOff>
      <xdr:row>88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85</xdr:row>
      <xdr:rowOff>158750</xdr:rowOff>
    </xdr:from>
    <xdr:to>
      <xdr:col>12</xdr:col>
      <xdr:colOff>360297</xdr:colOff>
      <xdr:row>88</xdr:row>
      <xdr:rowOff>125256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86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85</xdr:row>
      <xdr:rowOff>149412</xdr:rowOff>
    </xdr:from>
    <xdr:to>
      <xdr:col>24</xdr:col>
      <xdr:colOff>307936</xdr:colOff>
      <xdr:row>88</xdr:row>
      <xdr:rowOff>46690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85</xdr:row>
      <xdr:rowOff>113869</xdr:rowOff>
    </xdr:from>
    <xdr:to>
      <xdr:col>25</xdr:col>
      <xdr:colOff>29741</xdr:colOff>
      <xdr:row>88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97</xdr:row>
      <xdr:rowOff>0</xdr:rowOff>
    </xdr:from>
    <xdr:to>
      <xdr:col>8</xdr:col>
      <xdr:colOff>334035</xdr:colOff>
      <xdr:row>99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97</xdr:row>
      <xdr:rowOff>0</xdr:rowOff>
    </xdr:from>
    <xdr:to>
      <xdr:col>24</xdr:col>
      <xdr:colOff>402463</xdr:colOff>
      <xdr:row>100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108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108</xdr:row>
      <xdr:rowOff>0</xdr:rowOff>
    </xdr:from>
    <xdr:to>
      <xdr:col>28</xdr:col>
      <xdr:colOff>382764</xdr:colOff>
      <xdr:row>110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115</xdr:row>
      <xdr:rowOff>0</xdr:rowOff>
    </xdr:from>
    <xdr:to>
      <xdr:col>10</xdr:col>
      <xdr:colOff>423009</xdr:colOff>
      <xdr:row>117</xdr:row>
      <xdr:rowOff>9678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130</xdr:row>
      <xdr:rowOff>0</xdr:rowOff>
    </xdr:from>
    <xdr:to>
      <xdr:col>14</xdr:col>
      <xdr:colOff>314606</xdr:colOff>
      <xdr:row>132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143</xdr:row>
      <xdr:rowOff>0</xdr:rowOff>
    </xdr:from>
    <xdr:to>
      <xdr:col>20</xdr:col>
      <xdr:colOff>382764</xdr:colOff>
      <xdr:row>145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138</xdr:row>
      <xdr:rowOff>13304</xdr:rowOff>
    </xdr:from>
    <xdr:to>
      <xdr:col>28</xdr:col>
      <xdr:colOff>46570</xdr:colOff>
      <xdr:row>141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138</xdr:row>
      <xdr:rowOff>7056</xdr:rowOff>
    </xdr:from>
    <xdr:to>
      <xdr:col>30</xdr:col>
      <xdr:colOff>42332</xdr:colOff>
      <xdr:row>141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137</xdr:row>
      <xdr:rowOff>173181</xdr:rowOff>
    </xdr:from>
    <xdr:to>
      <xdr:col>29</xdr:col>
      <xdr:colOff>294410</xdr:colOff>
      <xdr:row>138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137</xdr:row>
      <xdr:rowOff>173181</xdr:rowOff>
    </xdr:from>
    <xdr:to>
      <xdr:col>31</xdr:col>
      <xdr:colOff>294410</xdr:colOff>
      <xdr:row>138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151</xdr:row>
      <xdr:rowOff>7055</xdr:rowOff>
    </xdr:from>
    <xdr:to>
      <xdr:col>2</xdr:col>
      <xdr:colOff>27621</xdr:colOff>
      <xdr:row>154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4233</xdr:rowOff>
    </xdr:from>
    <xdr:to>
      <xdr:col>4</xdr:col>
      <xdr:colOff>46570</xdr:colOff>
      <xdr:row>153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151</xdr:row>
      <xdr:rowOff>13304</xdr:rowOff>
    </xdr:from>
    <xdr:to>
      <xdr:col>8</xdr:col>
      <xdr:colOff>46570</xdr:colOff>
      <xdr:row>154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151</xdr:row>
      <xdr:rowOff>13304</xdr:rowOff>
    </xdr:from>
    <xdr:to>
      <xdr:col>4</xdr:col>
      <xdr:colOff>46569</xdr:colOff>
      <xdr:row>154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151</xdr:row>
      <xdr:rowOff>15522</xdr:rowOff>
    </xdr:from>
    <xdr:to>
      <xdr:col>6</xdr:col>
      <xdr:colOff>64912</xdr:colOff>
      <xdr:row>154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151</xdr:row>
      <xdr:rowOff>7056</xdr:rowOff>
    </xdr:from>
    <xdr:to>
      <xdr:col>10</xdr:col>
      <xdr:colOff>42332</xdr:colOff>
      <xdr:row>154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151</xdr:row>
      <xdr:rowOff>18345</xdr:rowOff>
    </xdr:from>
    <xdr:to>
      <xdr:col>12</xdr:col>
      <xdr:colOff>39510</xdr:colOff>
      <xdr:row>154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151</xdr:row>
      <xdr:rowOff>7056</xdr:rowOff>
    </xdr:from>
    <xdr:to>
      <xdr:col>14</xdr:col>
      <xdr:colOff>42332</xdr:colOff>
      <xdr:row>154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151</xdr:row>
      <xdr:rowOff>18345</xdr:rowOff>
    </xdr:from>
    <xdr:to>
      <xdr:col>16</xdr:col>
      <xdr:colOff>39510</xdr:colOff>
      <xdr:row>154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151</xdr:row>
      <xdr:rowOff>7056</xdr:rowOff>
    </xdr:from>
    <xdr:to>
      <xdr:col>18</xdr:col>
      <xdr:colOff>42332</xdr:colOff>
      <xdr:row>154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151</xdr:row>
      <xdr:rowOff>18345</xdr:rowOff>
    </xdr:from>
    <xdr:to>
      <xdr:col>20</xdr:col>
      <xdr:colOff>21579</xdr:colOff>
      <xdr:row>154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151</xdr:row>
      <xdr:rowOff>7055</xdr:rowOff>
    </xdr:from>
    <xdr:to>
      <xdr:col>22</xdr:col>
      <xdr:colOff>49392</xdr:colOff>
      <xdr:row>154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4233</xdr:rowOff>
    </xdr:from>
    <xdr:to>
      <xdr:col>24</xdr:col>
      <xdr:colOff>46570</xdr:colOff>
      <xdr:row>153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151</xdr:row>
      <xdr:rowOff>13304</xdr:rowOff>
    </xdr:from>
    <xdr:to>
      <xdr:col>28</xdr:col>
      <xdr:colOff>46570</xdr:colOff>
      <xdr:row>154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151</xdr:row>
      <xdr:rowOff>13304</xdr:rowOff>
    </xdr:from>
    <xdr:to>
      <xdr:col>24</xdr:col>
      <xdr:colOff>46569</xdr:colOff>
      <xdr:row>154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151</xdr:row>
      <xdr:rowOff>15522</xdr:rowOff>
    </xdr:from>
    <xdr:to>
      <xdr:col>26</xdr:col>
      <xdr:colOff>43746</xdr:colOff>
      <xdr:row>154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151</xdr:row>
      <xdr:rowOff>7056</xdr:rowOff>
    </xdr:from>
    <xdr:to>
      <xdr:col>30</xdr:col>
      <xdr:colOff>42332</xdr:colOff>
      <xdr:row>154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150</xdr:row>
      <xdr:rowOff>173181</xdr:rowOff>
    </xdr:from>
    <xdr:to>
      <xdr:col>3</xdr:col>
      <xdr:colOff>294410</xdr:colOff>
      <xdr:row>151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150</xdr:row>
      <xdr:rowOff>173181</xdr:rowOff>
    </xdr:from>
    <xdr:to>
      <xdr:col>5</xdr:col>
      <xdr:colOff>294410</xdr:colOff>
      <xdr:row>151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150</xdr:row>
      <xdr:rowOff>173181</xdr:rowOff>
    </xdr:from>
    <xdr:to>
      <xdr:col>7</xdr:col>
      <xdr:colOff>294410</xdr:colOff>
      <xdr:row>151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150</xdr:row>
      <xdr:rowOff>173181</xdr:rowOff>
    </xdr:from>
    <xdr:to>
      <xdr:col>9</xdr:col>
      <xdr:colOff>294410</xdr:colOff>
      <xdr:row>151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150</xdr:row>
      <xdr:rowOff>173181</xdr:rowOff>
    </xdr:from>
    <xdr:to>
      <xdr:col>11</xdr:col>
      <xdr:colOff>294410</xdr:colOff>
      <xdr:row>151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150</xdr:row>
      <xdr:rowOff>173181</xdr:rowOff>
    </xdr:from>
    <xdr:to>
      <xdr:col>13</xdr:col>
      <xdr:colOff>294410</xdr:colOff>
      <xdr:row>151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150</xdr:row>
      <xdr:rowOff>173181</xdr:rowOff>
    </xdr:from>
    <xdr:to>
      <xdr:col>15</xdr:col>
      <xdr:colOff>294410</xdr:colOff>
      <xdr:row>151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150</xdr:row>
      <xdr:rowOff>173181</xdr:rowOff>
    </xdr:from>
    <xdr:to>
      <xdr:col>17</xdr:col>
      <xdr:colOff>294410</xdr:colOff>
      <xdr:row>151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150</xdr:row>
      <xdr:rowOff>173181</xdr:rowOff>
    </xdr:from>
    <xdr:to>
      <xdr:col>19</xdr:col>
      <xdr:colOff>294410</xdr:colOff>
      <xdr:row>151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150</xdr:row>
      <xdr:rowOff>173181</xdr:rowOff>
    </xdr:from>
    <xdr:to>
      <xdr:col>21</xdr:col>
      <xdr:colOff>294410</xdr:colOff>
      <xdr:row>151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150</xdr:row>
      <xdr:rowOff>173181</xdr:rowOff>
    </xdr:from>
    <xdr:to>
      <xdr:col>23</xdr:col>
      <xdr:colOff>294410</xdr:colOff>
      <xdr:row>151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150</xdr:row>
      <xdr:rowOff>173181</xdr:rowOff>
    </xdr:from>
    <xdr:to>
      <xdr:col>25</xdr:col>
      <xdr:colOff>294410</xdr:colOff>
      <xdr:row>151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150</xdr:row>
      <xdr:rowOff>173181</xdr:rowOff>
    </xdr:from>
    <xdr:to>
      <xdr:col>27</xdr:col>
      <xdr:colOff>294410</xdr:colOff>
      <xdr:row>151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150</xdr:row>
      <xdr:rowOff>173181</xdr:rowOff>
    </xdr:from>
    <xdr:to>
      <xdr:col>29</xdr:col>
      <xdr:colOff>294410</xdr:colOff>
      <xdr:row>151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150</xdr:row>
      <xdr:rowOff>173181</xdr:rowOff>
    </xdr:from>
    <xdr:to>
      <xdr:col>31</xdr:col>
      <xdr:colOff>294410</xdr:colOff>
      <xdr:row>151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152</xdr:row>
      <xdr:rowOff>36284</xdr:rowOff>
    </xdr:from>
    <xdr:to>
      <xdr:col>4</xdr:col>
      <xdr:colOff>234950</xdr:colOff>
      <xdr:row>154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156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152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152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156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156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164</xdr:row>
      <xdr:rowOff>7055</xdr:rowOff>
    </xdr:from>
    <xdr:to>
      <xdr:col>2</xdr:col>
      <xdr:colOff>27621</xdr:colOff>
      <xdr:row>167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4233</xdr:rowOff>
    </xdr:from>
    <xdr:to>
      <xdr:col>4</xdr:col>
      <xdr:colOff>46570</xdr:colOff>
      <xdr:row>166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164</xdr:row>
      <xdr:rowOff>13304</xdr:rowOff>
    </xdr:from>
    <xdr:to>
      <xdr:col>8</xdr:col>
      <xdr:colOff>46570</xdr:colOff>
      <xdr:row>167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164</xdr:row>
      <xdr:rowOff>13304</xdr:rowOff>
    </xdr:from>
    <xdr:to>
      <xdr:col>4</xdr:col>
      <xdr:colOff>46569</xdr:colOff>
      <xdr:row>167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164</xdr:row>
      <xdr:rowOff>15522</xdr:rowOff>
    </xdr:from>
    <xdr:to>
      <xdr:col>6</xdr:col>
      <xdr:colOff>64912</xdr:colOff>
      <xdr:row>167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164</xdr:row>
      <xdr:rowOff>7056</xdr:rowOff>
    </xdr:from>
    <xdr:to>
      <xdr:col>10</xdr:col>
      <xdr:colOff>42332</xdr:colOff>
      <xdr:row>167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164</xdr:row>
      <xdr:rowOff>18345</xdr:rowOff>
    </xdr:from>
    <xdr:to>
      <xdr:col>12</xdr:col>
      <xdr:colOff>39510</xdr:colOff>
      <xdr:row>167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164</xdr:row>
      <xdr:rowOff>7056</xdr:rowOff>
    </xdr:from>
    <xdr:to>
      <xdr:col>14</xdr:col>
      <xdr:colOff>42332</xdr:colOff>
      <xdr:row>167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164</xdr:row>
      <xdr:rowOff>18345</xdr:rowOff>
    </xdr:from>
    <xdr:to>
      <xdr:col>16</xdr:col>
      <xdr:colOff>39510</xdr:colOff>
      <xdr:row>167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164</xdr:row>
      <xdr:rowOff>7056</xdr:rowOff>
    </xdr:from>
    <xdr:to>
      <xdr:col>18</xdr:col>
      <xdr:colOff>42332</xdr:colOff>
      <xdr:row>167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164</xdr:row>
      <xdr:rowOff>18345</xdr:rowOff>
    </xdr:from>
    <xdr:to>
      <xdr:col>20</xdr:col>
      <xdr:colOff>21579</xdr:colOff>
      <xdr:row>167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164</xdr:row>
      <xdr:rowOff>7055</xdr:rowOff>
    </xdr:from>
    <xdr:to>
      <xdr:col>22</xdr:col>
      <xdr:colOff>49392</xdr:colOff>
      <xdr:row>167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163</xdr:row>
      <xdr:rowOff>173181</xdr:rowOff>
    </xdr:from>
    <xdr:to>
      <xdr:col>3</xdr:col>
      <xdr:colOff>294410</xdr:colOff>
      <xdr:row>164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163</xdr:row>
      <xdr:rowOff>173181</xdr:rowOff>
    </xdr:from>
    <xdr:to>
      <xdr:col>5</xdr:col>
      <xdr:colOff>294410</xdr:colOff>
      <xdr:row>164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163</xdr:row>
      <xdr:rowOff>173181</xdr:rowOff>
    </xdr:from>
    <xdr:to>
      <xdr:col>7</xdr:col>
      <xdr:colOff>294410</xdr:colOff>
      <xdr:row>164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163</xdr:row>
      <xdr:rowOff>173181</xdr:rowOff>
    </xdr:from>
    <xdr:to>
      <xdr:col>9</xdr:col>
      <xdr:colOff>294410</xdr:colOff>
      <xdr:row>164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163</xdr:row>
      <xdr:rowOff>173181</xdr:rowOff>
    </xdr:from>
    <xdr:to>
      <xdr:col>11</xdr:col>
      <xdr:colOff>294410</xdr:colOff>
      <xdr:row>164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163</xdr:row>
      <xdr:rowOff>173181</xdr:rowOff>
    </xdr:from>
    <xdr:to>
      <xdr:col>13</xdr:col>
      <xdr:colOff>294410</xdr:colOff>
      <xdr:row>164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163</xdr:row>
      <xdr:rowOff>173181</xdr:rowOff>
    </xdr:from>
    <xdr:to>
      <xdr:col>15</xdr:col>
      <xdr:colOff>294410</xdr:colOff>
      <xdr:row>164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163</xdr:row>
      <xdr:rowOff>173181</xdr:rowOff>
    </xdr:from>
    <xdr:to>
      <xdr:col>17</xdr:col>
      <xdr:colOff>294410</xdr:colOff>
      <xdr:row>164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163</xdr:row>
      <xdr:rowOff>173181</xdr:rowOff>
    </xdr:from>
    <xdr:to>
      <xdr:col>19</xdr:col>
      <xdr:colOff>294410</xdr:colOff>
      <xdr:row>164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163</xdr:row>
      <xdr:rowOff>173181</xdr:rowOff>
    </xdr:from>
    <xdr:to>
      <xdr:col>21</xdr:col>
      <xdr:colOff>294410</xdr:colOff>
      <xdr:row>164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163</xdr:row>
      <xdr:rowOff>173181</xdr:rowOff>
    </xdr:from>
    <xdr:to>
      <xdr:col>23</xdr:col>
      <xdr:colOff>294410</xdr:colOff>
      <xdr:row>164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165</xdr:row>
      <xdr:rowOff>36284</xdr:rowOff>
    </xdr:from>
    <xdr:to>
      <xdr:col>4</xdr:col>
      <xdr:colOff>234950</xdr:colOff>
      <xdr:row>167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169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165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169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169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175</xdr:row>
      <xdr:rowOff>163092</xdr:rowOff>
    </xdr:from>
    <xdr:to>
      <xdr:col>30</xdr:col>
      <xdr:colOff>30331</xdr:colOff>
      <xdr:row>178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175</xdr:row>
      <xdr:rowOff>173181</xdr:rowOff>
    </xdr:from>
    <xdr:to>
      <xdr:col>31</xdr:col>
      <xdr:colOff>294410</xdr:colOff>
      <xdr:row>176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201</xdr:row>
      <xdr:rowOff>173181</xdr:rowOff>
    </xdr:from>
    <xdr:to>
      <xdr:col>25</xdr:col>
      <xdr:colOff>0</xdr:colOff>
      <xdr:row>202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201</xdr:row>
      <xdr:rowOff>159455</xdr:rowOff>
    </xdr:from>
    <xdr:to>
      <xdr:col>24</xdr:col>
      <xdr:colOff>99818</xdr:colOff>
      <xdr:row>204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202</xdr:row>
      <xdr:rowOff>7056</xdr:rowOff>
    </xdr:from>
    <xdr:to>
      <xdr:col>2</xdr:col>
      <xdr:colOff>42332</xdr:colOff>
      <xdr:row>205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202</xdr:row>
      <xdr:rowOff>18345</xdr:rowOff>
    </xdr:from>
    <xdr:to>
      <xdr:col>4</xdr:col>
      <xdr:colOff>39510</xdr:colOff>
      <xdr:row>205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202</xdr:row>
      <xdr:rowOff>7056</xdr:rowOff>
    </xdr:from>
    <xdr:to>
      <xdr:col>6</xdr:col>
      <xdr:colOff>42332</xdr:colOff>
      <xdr:row>205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202</xdr:row>
      <xdr:rowOff>18345</xdr:rowOff>
    </xdr:from>
    <xdr:to>
      <xdr:col>8</xdr:col>
      <xdr:colOff>39510</xdr:colOff>
      <xdr:row>205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202</xdr:row>
      <xdr:rowOff>7056</xdr:rowOff>
    </xdr:from>
    <xdr:to>
      <xdr:col>10</xdr:col>
      <xdr:colOff>42332</xdr:colOff>
      <xdr:row>205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202</xdr:row>
      <xdr:rowOff>18345</xdr:rowOff>
    </xdr:from>
    <xdr:to>
      <xdr:col>12</xdr:col>
      <xdr:colOff>21579</xdr:colOff>
      <xdr:row>205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202</xdr:row>
      <xdr:rowOff>7055</xdr:rowOff>
    </xdr:from>
    <xdr:to>
      <xdr:col>14</xdr:col>
      <xdr:colOff>49392</xdr:colOff>
      <xdr:row>205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4233</xdr:rowOff>
    </xdr:from>
    <xdr:to>
      <xdr:col>16</xdr:col>
      <xdr:colOff>46570</xdr:colOff>
      <xdr:row>204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202</xdr:row>
      <xdr:rowOff>13304</xdr:rowOff>
    </xdr:from>
    <xdr:to>
      <xdr:col>20</xdr:col>
      <xdr:colOff>46570</xdr:colOff>
      <xdr:row>205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202</xdr:row>
      <xdr:rowOff>13304</xdr:rowOff>
    </xdr:from>
    <xdr:to>
      <xdr:col>16</xdr:col>
      <xdr:colOff>46569</xdr:colOff>
      <xdr:row>205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202</xdr:row>
      <xdr:rowOff>15522</xdr:rowOff>
    </xdr:from>
    <xdr:to>
      <xdr:col>18</xdr:col>
      <xdr:colOff>43746</xdr:colOff>
      <xdr:row>205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202</xdr:row>
      <xdr:rowOff>7056</xdr:rowOff>
    </xdr:from>
    <xdr:to>
      <xdr:col>22</xdr:col>
      <xdr:colOff>42332</xdr:colOff>
      <xdr:row>205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201</xdr:row>
      <xdr:rowOff>173181</xdr:rowOff>
    </xdr:from>
    <xdr:to>
      <xdr:col>3</xdr:col>
      <xdr:colOff>294410</xdr:colOff>
      <xdr:row>202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201</xdr:row>
      <xdr:rowOff>173181</xdr:rowOff>
    </xdr:from>
    <xdr:to>
      <xdr:col>5</xdr:col>
      <xdr:colOff>294410</xdr:colOff>
      <xdr:row>202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201</xdr:row>
      <xdr:rowOff>173181</xdr:rowOff>
    </xdr:from>
    <xdr:to>
      <xdr:col>7</xdr:col>
      <xdr:colOff>294410</xdr:colOff>
      <xdr:row>202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201</xdr:row>
      <xdr:rowOff>173181</xdr:rowOff>
    </xdr:from>
    <xdr:to>
      <xdr:col>9</xdr:col>
      <xdr:colOff>294410</xdr:colOff>
      <xdr:row>202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201</xdr:row>
      <xdr:rowOff>173181</xdr:rowOff>
    </xdr:from>
    <xdr:to>
      <xdr:col>11</xdr:col>
      <xdr:colOff>294410</xdr:colOff>
      <xdr:row>202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201</xdr:row>
      <xdr:rowOff>173181</xdr:rowOff>
    </xdr:from>
    <xdr:to>
      <xdr:col>13</xdr:col>
      <xdr:colOff>294410</xdr:colOff>
      <xdr:row>202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201</xdr:row>
      <xdr:rowOff>173181</xdr:rowOff>
    </xdr:from>
    <xdr:to>
      <xdr:col>15</xdr:col>
      <xdr:colOff>294410</xdr:colOff>
      <xdr:row>202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201</xdr:row>
      <xdr:rowOff>173181</xdr:rowOff>
    </xdr:from>
    <xdr:to>
      <xdr:col>17</xdr:col>
      <xdr:colOff>294410</xdr:colOff>
      <xdr:row>202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201</xdr:row>
      <xdr:rowOff>173181</xdr:rowOff>
    </xdr:from>
    <xdr:to>
      <xdr:col>19</xdr:col>
      <xdr:colOff>294410</xdr:colOff>
      <xdr:row>202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201</xdr:row>
      <xdr:rowOff>173181</xdr:rowOff>
    </xdr:from>
    <xdr:to>
      <xdr:col>21</xdr:col>
      <xdr:colOff>294410</xdr:colOff>
      <xdr:row>202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201</xdr:row>
      <xdr:rowOff>173181</xdr:rowOff>
    </xdr:from>
    <xdr:to>
      <xdr:col>23</xdr:col>
      <xdr:colOff>294410</xdr:colOff>
      <xdr:row>202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203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203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207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251</xdr:row>
      <xdr:rowOff>16020</xdr:rowOff>
    </xdr:from>
    <xdr:to>
      <xdr:col>22</xdr:col>
      <xdr:colOff>31461</xdr:colOff>
      <xdr:row>253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4233</xdr:rowOff>
    </xdr:from>
    <xdr:to>
      <xdr:col>24</xdr:col>
      <xdr:colOff>46570</xdr:colOff>
      <xdr:row>253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251</xdr:row>
      <xdr:rowOff>13304</xdr:rowOff>
    </xdr:from>
    <xdr:to>
      <xdr:col>28</xdr:col>
      <xdr:colOff>46570</xdr:colOff>
      <xdr:row>254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251</xdr:row>
      <xdr:rowOff>13304</xdr:rowOff>
    </xdr:from>
    <xdr:to>
      <xdr:col>24</xdr:col>
      <xdr:colOff>46569</xdr:colOff>
      <xdr:row>254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251</xdr:row>
      <xdr:rowOff>15522</xdr:rowOff>
    </xdr:from>
    <xdr:to>
      <xdr:col>26</xdr:col>
      <xdr:colOff>43746</xdr:colOff>
      <xdr:row>254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251</xdr:row>
      <xdr:rowOff>7056</xdr:rowOff>
    </xdr:from>
    <xdr:to>
      <xdr:col>30</xdr:col>
      <xdr:colOff>42332</xdr:colOff>
      <xdr:row>254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250</xdr:row>
      <xdr:rowOff>173181</xdr:rowOff>
    </xdr:from>
    <xdr:to>
      <xdr:col>3</xdr:col>
      <xdr:colOff>294410</xdr:colOff>
      <xdr:row>251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250</xdr:row>
      <xdr:rowOff>173181</xdr:rowOff>
    </xdr:from>
    <xdr:to>
      <xdr:col>5</xdr:col>
      <xdr:colOff>294410</xdr:colOff>
      <xdr:row>251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250</xdr:row>
      <xdr:rowOff>173181</xdr:rowOff>
    </xdr:from>
    <xdr:to>
      <xdr:col>7</xdr:col>
      <xdr:colOff>294410</xdr:colOff>
      <xdr:row>251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250</xdr:row>
      <xdr:rowOff>173181</xdr:rowOff>
    </xdr:from>
    <xdr:to>
      <xdr:col>9</xdr:col>
      <xdr:colOff>294410</xdr:colOff>
      <xdr:row>251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250</xdr:row>
      <xdr:rowOff>173181</xdr:rowOff>
    </xdr:from>
    <xdr:to>
      <xdr:col>19</xdr:col>
      <xdr:colOff>294410</xdr:colOff>
      <xdr:row>251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250</xdr:row>
      <xdr:rowOff>173181</xdr:rowOff>
    </xdr:from>
    <xdr:to>
      <xdr:col>31</xdr:col>
      <xdr:colOff>294410</xdr:colOff>
      <xdr:row>251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250</xdr:row>
      <xdr:rowOff>159455</xdr:rowOff>
    </xdr:from>
    <xdr:to>
      <xdr:col>2</xdr:col>
      <xdr:colOff>32743</xdr:colOff>
      <xdr:row>253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251</xdr:row>
      <xdr:rowOff>4233</xdr:rowOff>
    </xdr:from>
    <xdr:to>
      <xdr:col>4</xdr:col>
      <xdr:colOff>73463</xdr:colOff>
      <xdr:row>253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251</xdr:row>
      <xdr:rowOff>7056</xdr:rowOff>
    </xdr:from>
    <xdr:to>
      <xdr:col>10</xdr:col>
      <xdr:colOff>45413</xdr:colOff>
      <xdr:row>254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251</xdr:row>
      <xdr:rowOff>18345</xdr:rowOff>
    </xdr:from>
    <xdr:to>
      <xdr:col>12</xdr:col>
      <xdr:colOff>66404</xdr:colOff>
      <xdr:row>254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251</xdr:row>
      <xdr:rowOff>7056</xdr:rowOff>
    </xdr:from>
    <xdr:to>
      <xdr:col>14</xdr:col>
      <xdr:colOff>69226</xdr:colOff>
      <xdr:row>254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251</xdr:row>
      <xdr:rowOff>7056</xdr:rowOff>
    </xdr:from>
    <xdr:to>
      <xdr:col>18</xdr:col>
      <xdr:colOff>69226</xdr:colOff>
      <xdr:row>254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251</xdr:row>
      <xdr:rowOff>8964</xdr:rowOff>
    </xdr:from>
    <xdr:to>
      <xdr:col>16</xdr:col>
      <xdr:colOff>29467</xdr:colOff>
      <xdr:row>254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252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250</xdr:row>
      <xdr:rowOff>173181</xdr:rowOff>
    </xdr:from>
    <xdr:to>
      <xdr:col>11</xdr:col>
      <xdr:colOff>294410</xdr:colOff>
      <xdr:row>251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250</xdr:row>
      <xdr:rowOff>173181</xdr:rowOff>
    </xdr:from>
    <xdr:to>
      <xdr:col>13</xdr:col>
      <xdr:colOff>294410</xdr:colOff>
      <xdr:row>251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250</xdr:row>
      <xdr:rowOff>173181</xdr:rowOff>
    </xdr:from>
    <xdr:to>
      <xdr:col>15</xdr:col>
      <xdr:colOff>294410</xdr:colOff>
      <xdr:row>251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250</xdr:row>
      <xdr:rowOff>173181</xdr:rowOff>
    </xdr:from>
    <xdr:to>
      <xdr:col>17</xdr:col>
      <xdr:colOff>294410</xdr:colOff>
      <xdr:row>251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250</xdr:row>
      <xdr:rowOff>173181</xdr:rowOff>
    </xdr:from>
    <xdr:to>
      <xdr:col>21</xdr:col>
      <xdr:colOff>294410</xdr:colOff>
      <xdr:row>251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250</xdr:row>
      <xdr:rowOff>173181</xdr:rowOff>
    </xdr:from>
    <xdr:to>
      <xdr:col>23</xdr:col>
      <xdr:colOff>294410</xdr:colOff>
      <xdr:row>251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250</xdr:row>
      <xdr:rowOff>173181</xdr:rowOff>
    </xdr:from>
    <xdr:to>
      <xdr:col>25</xdr:col>
      <xdr:colOff>294410</xdr:colOff>
      <xdr:row>251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250</xdr:row>
      <xdr:rowOff>173181</xdr:rowOff>
    </xdr:from>
    <xdr:to>
      <xdr:col>27</xdr:col>
      <xdr:colOff>294410</xdr:colOff>
      <xdr:row>251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250</xdr:row>
      <xdr:rowOff>173181</xdr:rowOff>
    </xdr:from>
    <xdr:to>
      <xdr:col>29</xdr:col>
      <xdr:colOff>294410</xdr:colOff>
      <xdr:row>251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274</xdr:row>
      <xdr:rowOff>4233</xdr:rowOff>
    </xdr:from>
    <xdr:to>
      <xdr:col>4</xdr:col>
      <xdr:colOff>46570</xdr:colOff>
      <xdr:row>276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274</xdr:row>
      <xdr:rowOff>13304</xdr:rowOff>
    </xdr:from>
    <xdr:to>
      <xdr:col>7</xdr:col>
      <xdr:colOff>0</xdr:colOff>
      <xdr:row>277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274</xdr:row>
      <xdr:rowOff>15522</xdr:rowOff>
    </xdr:from>
    <xdr:to>
      <xdr:col>6</xdr:col>
      <xdr:colOff>43746</xdr:colOff>
      <xdr:row>277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273</xdr:row>
      <xdr:rowOff>173181</xdr:rowOff>
    </xdr:from>
    <xdr:to>
      <xdr:col>3</xdr:col>
      <xdr:colOff>294410</xdr:colOff>
      <xdr:row>274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273</xdr:row>
      <xdr:rowOff>173181</xdr:rowOff>
    </xdr:from>
    <xdr:to>
      <xdr:col>5</xdr:col>
      <xdr:colOff>294410</xdr:colOff>
      <xdr:row>274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273</xdr:row>
      <xdr:rowOff>159455</xdr:rowOff>
    </xdr:from>
    <xdr:to>
      <xdr:col>2</xdr:col>
      <xdr:colOff>32743</xdr:colOff>
      <xdr:row>276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274</xdr:row>
      <xdr:rowOff>4233</xdr:rowOff>
    </xdr:from>
    <xdr:to>
      <xdr:col>4</xdr:col>
      <xdr:colOff>73463</xdr:colOff>
      <xdr:row>276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4.5"/>
  <cols>
    <col min="1" max="1" width="17.81640625" bestFit="1" customWidth="1"/>
    <col min="2" max="2" width="20.1796875" customWidth="1"/>
    <col min="3" max="3" width="21.453125" customWidth="1"/>
    <col min="4" max="4" width="24" customWidth="1"/>
    <col min="5" max="5" width="24" style="106" customWidth="1"/>
    <col min="6" max="6" width="27.453125" style="68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07" customWidth="1"/>
    <col min="12" max="12" width="19.453125" style="68" customWidth="1"/>
    <col min="13" max="13" width="13.453125" style="68" customWidth="1"/>
    <col min="14" max="14" width="24.453125" customWidth="1"/>
    <col min="15" max="15" width="36.453125" customWidth="1"/>
  </cols>
  <sheetData>
    <row r="1" spans="1:15" ht="32.15" customHeight="1" thickBot="1">
      <c r="A1" s="643"/>
      <c r="B1" s="69" t="s">
        <v>0</v>
      </c>
      <c r="C1" s="70" t="s">
        <v>1</v>
      </c>
      <c r="D1" s="71" t="s">
        <v>2</v>
      </c>
      <c r="E1" s="72"/>
      <c r="F1" s="73">
        <f ca="1">TODAY()-1</f>
        <v>46242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4"/>
      <c r="B2" s="80" t="s">
        <v>5</v>
      </c>
      <c r="C2" s="646" t="s">
        <v>6</v>
      </c>
      <c r="D2" s="647"/>
      <c r="E2" s="648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4"/>
      <c r="B3" s="80" t="s">
        <v>10</v>
      </c>
      <c r="C3" s="646" t="s">
        <v>11</v>
      </c>
      <c r="D3" s="647"/>
      <c r="E3" s="648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5"/>
      <c r="B4" s="80" t="s">
        <v>15</v>
      </c>
      <c r="C4" s="649">
        <v>46153</v>
      </c>
      <c r="D4" s="649"/>
      <c r="E4" s="650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1" t="s">
        <v>20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42" t="s">
        <v>21</v>
      </c>
      <c r="B6" s="642"/>
      <c r="C6" s="642"/>
      <c r="D6" s="642"/>
      <c r="E6" s="642"/>
      <c r="F6" s="642"/>
      <c r="G6" s="642"/>
      <c r="H6" s="642"/>
      <c r="I6" s="642"/>
      <c r="J6" s="642"/>
      <c r="K6" s="642"/>
      <c r="L6" s="642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39" t="s">
        <v>39</v>
      </c>
      <c r="B12" s="639"/>
      <c r="C12" s="639"/>
      <c r="D12" s="639"/>
      <c r="E12" s="639"/>
      <c r="F12" s="639"/>
      <c r="G12" s="639"/>
      <c r="H12" s="639"/>
      <c r="I12" s="639"/>
      <c r="J12" s="639"/>
      <c r="K12" s="639"/>
      <c r="L12" s="639"/>
      <c r="M12" s="639"/>
      <c r="N12" s="639"/>
      <c r="O12" s="639"/>
    </row>
    <row r="13" spans="1:15" ht="87.65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40" t="s">
        <v>33</v>
      </c>
      <c r="O13" s="640"/>
    </row>
    <row r="14" spans="1:15" ht="50.15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41" t="s">
        <v>53</v>
      </c>
      <c r="O14" s="641"/>
    </row>
    <row r="15" spans="1:15" ht="80.150000000000006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33"/>
      <c r="O15" s="633"/>
    </row>
    <row r="16" spans="1:15" s="105" customFormat="1" ht="23.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33"/>
      <c r="O16" s="633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 t="str">
        <f>'AOTL - KEC'!H14</f>
        <v xml:space="preserve"> </v>
      </c>
      <c r="I17" s="99">
        <f t="shared" si="1"/>
        <v>0</v>
      </c>
      <c r="J17" s="101" t="e">
        <f>D17+H17</f>
        <v>#VALUE!</v>
      </c>
      <c r="K17" s="102" t="e">
        <f t="shared" si="2"/>
        <v>#VALUE!</v>
      </c>
      <c r="L17" s="99">
        <f>'AOTL - KEC'!K14</f>
        <v>1</v>
      </c>
      <c r="M17" s="99">
        <f>'AOTL - KEC'!L14</f>
        <v>1</v>
      </c>
      <c r="N17" s="633"/>
      <c r="O17" s="633"/>
    </row>
    <row r="18" spans="1:15" ht="38.5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33"/>
      <c r="O18" s="633"/>
    </row>
    <row r="19" spans="1:15" ht="64.400000000000006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34"/>
      <c r="O19" s="634"/>
    </row>
    <row r="20" spans="1:15" ht="24" customHeight="1">
      <c r="N20" s="635"/>
      <c r="O20" s="635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2" sqref="G2"/>
    </sheetView>
  </sheetViews>
  <sheetFormatPr defaultColWidth="9.1796875" defaultRowHeight="14.5"/>
  <cols>
    <col min="1" max="1" width="23.1796875" customWidth="1"/>
    <col min="2" max="2" width="20.1796875" customWidth="1"/>
    <col min="3" max="3" width="21.453125" customWidth="1"/>
    <col min="4" max="4" width="27.81640625" customWidth="1"/>
    <col min="5" max="5" width="19.54296875" style="106" customWidth="1"/>
    <col min="6" max="6" width="27.453125" style="68" customWidth="1"/>
    <col min="7" max="7" width="25.453125" customWidth="1"/>
    <col min="8" max="8" width="26.54296875" bestFit="1" customWidth="1"/>
    <col min="9" max="9" width="31.453125" customWidth="1"/>
    <col min="10" max="10" width="20.54296875" customWidth="1"/>
    <col min="11" max="11" width="20.54296875" style="107" bestFit="1" customWidth="1"/>
    <col min="12" max="12" width="19.1796875" style="68" customWidth="1"/>
    <col min="13" max="13" width="13.453125" style="68" customWidth="1"/>
    <col min="14" max="14" width="24.453125" customWidth="1"/>
    <col min="15" max="15" width="15.54296875" customWidth="1"/>
  </cols>
  <sheetData>
    <row r="1" spans="1:15" ht="21">
      <c r="A1" s="628"/>
      <c r="B1" s="270" t="s">
        <v>0</v>
      </c>
      <c r="C1" s="632" t="s">
        <v>59</v>
      </c>
      <c r="D1" s="632"/>
      <c r="E1" s="632"/>
      <c r="F1" s="270" t="s">
        <v>2</v>
      </c>
      <c r="G1" s="274">
        <v>46243</v>
      </c>
      <c r="H1" s="270" t="s">
        <v>3</v>
      </c>
      <c r="I1" s="275" t="s">
        <v>4</v>
      </c>
      <c r="J1" s="77"/>
      <c r="K1" s="78"/>
      <c r="L1" s="79"/>
    </row>
    <row r="2" spans="1:15" ht="21">
      <c r="A2" s="628"/>
      <c r="B2" s="270" t="s">
        <v>5</v>
      </c>
      <c r="C2" s="629" t="s">
        <v>60</v>
      </c>
      <c r="D2" s="629"/>
      <c r="E2" s="62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28"/>
      <c r="B3" s="270" t="s">
        <v>10</v>
      </c>
      <c r="C3" s="629" t="s">
        <v>61</v>
      </c>
      <c r="D3" s="629"/>
      <c r="E3" s="62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28"/>
      <c r="B4" s="270" t="s">
        <v>15</v>
      </c>
      <c r="C4" s="630"/>
      <c r="D4" s="630"/>
      <c r="E4" s="63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31"/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/>
    </row>
    <row r="6" spans="1:15" ht="28.5">
      <c r="A6" s="627" t="s">
        <v>65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4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4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4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">
      <c r="A12" s="636" t="s">
        <v>39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636"/>
      <c r="O12" s="636"/>
    </row>
    <row r="13" spans="1:15" ht="70.5">
      <c r="A13" s="269" t="s">
        <v>22</v>
      </c>
      <c r="B13" s="269" t="s">
        <v>40</v>
      </c>
      <c r="C13" s="269" t="s">
        <v>1118</v>
      </c>
      <c r="D13" s="269" t="s">
        <v>1119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37" t="s">
        <v>33</v>
      </c>
      <c r="O13" s="637"/>
    </row>
    <row r="14" spans="1:15" ht="40.4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0</v>
      </c>
      <c r="J14" s="101">
        <v>30</v>
      </c>
      <c r="K14" s="102">
        <f t="shared" ref="K14:K19" si="0">B14-J14</f>
        <v>0</v>
      </c>
      <c r="L14" s="99"/>
      <c r="M14" s="99"/>
      <c r="N14" s="638"/>
      <c r="O14" s="638"/>
    </row>
    <row r="15" spans="1:15" ht="75.75" customHeight="1">
      <c r="A15" s="98" t="s">
        <v>54</v>
      </c>
      <c r="B15" s="99">
        <v>299</v>
      </c>
      <c r="C15" s="99">
        <v>0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38" t="s">
        <v>1184</v>
      </c>
      <c r="O15" s="638"/>
    </row>
    <row r="16" spans="1:15" s="105" customFormat="1" ht="40.4" customHeight="1">
      <c r="A16" s="103" t="s">
        <v>55</v>
      </c>
      <c r="B16" s="99">
        <v>299</v>
      </c>
      <c r="C16" s="99">
        <v>0</v>
      </c>
      <c r="D16" s="99">
        <v>92</v>
      </c>
      <c r="E16" s="99">
        <v>0</v>
      </c>
      <c r="F16" s="99">
        <v>26</v>
      </c>
      <c r="G16" s="100"/>
      <c r="H16" s="100"/>
      <c r="I16" s="99">
        <v>293</v>
      </c>
      <c r="J16" s="101">
        <v>92</v>
      </c>
      <c r="K16" s="102">
        <f t="shared" si="0"/>
        <v>207</v>
      </c>
      <c r="L16" s="104"/>
      <c r="M16" s="104"/>
      <c r="N16" s="638"/>
      <c r="O16" s="638"/>
    </row>
    <row r="17" spans="1:15" ht="40.4" customHeight="1">
      <c r="A17" s="98" t="s">
        <v>56</v>
      </c>
      <c r="B17" s="99">
        <v>299</v>
      </c>
      <c r="C17" s="99">
        <v>0</v>
      </c>
      <c r="D17" s="99">
        <v>48</v>
      </c>
      <c r="E17" s="99">
        <v>0</v>
      </c>
      <c r="F17" s="99">
        <v>15</v>
      </c>
      <c r="G17" s="100" t="s">
        <v>67</v>
      </c>
      <c r="H17" s="100" t="s">
        <v>67</v>
      </c>
      <c r="I17" s="99">
        <v>293</v>
      </c>
      <c r="J17" s="101">
        <v>48</v>
      </c>
      <c r="K17" s="102">
        <f>B17-J17</f>
        <v>251</v>
      </c>
      <c r="L17" s="99">
        <v>1</v>
      </c>
      <c r="M17" s="99">
        <v>1</v>
      </c>
      <c r="N17" s="638"/>
      <c r="O17" s="638"/>
    </row>
    <row r="18" spans="1:15" ht="40.4" customHeight="1">
      <c r="A18" s="98" t="s">
        <v>57</v>
      </c>
      <c r="B18" s="99">
        <v>299</v>
      </c>
      <c r="C18" s="99">
        <v>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33"/>
      <c r="O18" s="633"/>
    </row>
    <row r="19" spans="1:15" ht="40.4" customHeight="1">
      <c r="A19" s="98" t="s">
        <v>58</v>
      </c>
      <c r="B19" s="99">
        <v>114.51600000000001</v>
      </c>
      <c r="C19" s="99">
        <v>9</v>
      </c>
      <c r="D19" s="99">
        <v>0</v>
      </c>
      <c r="E19" s="99">
        <v>7.27</v>
      </c>
      <c r="F19" s="99">
        <v>0</v>
      </c>
      <c r="G19" s="100"/>
      <c r="H19" s="100"/>
      <c r="I19" s="99">
        <f>K19-E19</f>
        <v>107.24600000000001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34"/>
      <c r="O19" s="634"/>
    </row>
    <row r="20" spans="1:15" ht="40.4" customHeight="1">
      <c r="N20" s="635"/>
      <c r="O20" s="635"/>
    </row>
    <row r="47" spans="9:9">
      <c r="I47">
        <f>'Survey Anx'!H44</f>
        <v>10.927479999999974</v>
      </c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4.5"/>
  <cols>
    <col min="1" max="1" width="11.453125" bestFit="1" customWidth="1"/>
    <col min="2" max="2" width="35.453125" customWidth="1"/>
    <col min="3" max="3" width="19.54296875" bestFit="1" customWidth="1"/>
    <col min="4" max="4" width="13.54296875" bestFit="1" customWidth="1"/>
    <col min="5" max="5" width="12.1796875" bestFit="1" customWidth="1"/>
    <col min="6" max="6" width="16.453125" bestFit="1" customWidth="1"/>
    <col min="7" max="7" width="12.54296875" bestFit="1" customWidth="1"/>
    <col min="8" max="8" width="20.54296875" bestFit="1" customWidth="1"/>
    <col min="9" max="10" width="15.1796875" bestFit="1" customWidth="1"/>
    <col min="11" max="11" width="27.179687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3.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4.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24" priority="1"/>
  </conditionalFormatting>
  <conditionalFormatting sqref="B7:B38"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</conditionalFormatting>
  <conditionalFormatting sqref="B41:B77">
    <cfRule type="duplicateValues" dxfId="215" priority="2"/>
    <cfRule type="duplicateValues" dxfId="214" priority="3"/>
    <cfRule type="duplicateValues" dxfId="213" priority="4"/>
    <cfRule type="duplicateValues" dxfId="212" priority="5"/>
    <cfRule type="duplicateValues" dxfId="211" priority="6"/>
    <cfRule type="duplicateValues" dxfId="210" priority="7"/>
    <cfRule type="duplicateValues" dxfId="209" priority="8"/>
    <cfRule type="duplicateValues" dxfId="208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4.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07" priority="1"/>
    <cfRule type="duplicateValues" dxfId="206" priority="2"/>
    <cfRule type="duplicateValues" dxfId="20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4.5"/>
  <cols>
    <col min="2" max="2" width="9.453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C13" activePane="bottomRight" state="frozen"/>
      <selection pane="topRight" activeCell="C1" sqref="C1"/>
      <selection pane="bottomLeft" activeCell="A7" sqref="A7"/>
      <selection pane="bottomRight" activeCell="I16" sqref="I16"/>
    </sheetView>
  </sheetViews>
  <sheetFormatPr defaultColWidth="9.453125" defaultRowHeight="16"/>
  <cols>
    <col min="1" max="1" width="7.453125" style="232" customWidth="1"/>
    <col min="2" max="2" width="23.453125" style="208" bestFit="1" customWidth="1"/>
    <col min="3" max="3" width="15.453125" style="208" bestFit="1" customWidth="1"/>
    <col min="4" max="4" width="21.453125" style="208" customWidth="1"/>
    <col min="5" max="5" width="19.453125" style="232" bestFit="1" customWidth="1"/>
    <col min="6" max="6" width="17" style="232" bestFit="1" customWidth="1"/>
    <col min="7" max="7" width="8.81640625" style="208" bestFit="1" customWidth="1"/>
    <col min="8" max="8" width="11.453125" style="208" bestFit="1" customWidth="1"/>
    <col min="9" max="9" width="14.54296875" style="208" customWidth="1"/>
    <col min="10" max="10" width="10.453125" style="208" customWidth="1"/>
    <col min="11" max="11" width="4.54296875" style="208" bestFit="1" customWidth="1"/>
    <col min="12" max="12" width="6.54296875" style="232" bestFit="1" customWidth="1"/>
    <col min="13" max="13" width="16.7265625" style="208" customWidth="1"/>
    <col min="14" max="14" width="25.54296875" style="208" hidden="1" customWidth="1"/>
    <col min="15" max="15" width="11.54296875" style="208" bestFit="1" customWidth="1"/>
    <col min="16" max="16384" width="9.453125" style="208"/>
  </cols>
  <sheetData>
    <row r="1" spans="1:15" ht="21" customHeight="1">
      <c r="A1" s="651" t="s">
        <v>86</v>
      </c>
      <c r="B1" s="651"/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246">
        <f>'765KV ASOTL'!G1</f>
        <v>46243</v>
      </c>
    </row>
    <row r="2" spans="1:15" s="209" customFormat="1">
      <c r="A2" s="235" t="s">
        <v>87</v>
      </c>
      <c r="B2" s="236"/>
      <c r="C2" s="652" t="s">
        <v>72</v>
      </c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5" s="209" customFormat="1">
      <c r="A3" s="235" t="s">
        <v>88</v>
      </c>
      <c r="B3" s="236"/>
      <c r="C3" s="652" t="s">
        <v>89</v>
      </c>
      <c r="D3" s="652"/>
      <c r="E3" s="652"/>
      <c r="F3" s="652"/>
      <c r="G3" s="652"/>
      <c r="H3" s="652"/>
      <c r="I3" s="652"/>
      <c r="J3" s="652"/>
      <c r="K3" s="652"/>
      <c r="L3" s="652"/>
      <c r="M3" s="652"/>
    </row>
    <row r="4" spans="1:15" s="209" customFormat="1">
      <c r="A4" s="237" t="s">
        <v>90</v>
      </c>
      <c r="B4" s="237"/>
      <c r="C4" s="653" t="s">
        <v>91</v>
      </c>
      <c r="D4" s="653"/>
      <c r="E4" s="653"/>
      <c r="F4" s="653"/>
      <c r="G4" s="653"/>
      <c r="H4" s="653"/>
      <c r="I4" s="653"/>
      <c r="J4" s="653"/>
      <c r="K4" s="653"/>
      <c r="L4" s="653"/>
      <c r="M4" s="653"/>
      <c r="O4" s="211"/>
    </row>
    <row r="5" spans="1:15" s="209" customFormat="1" ht="62">
      <c r="A5" s="238" t="s">
        <v>92</v>
      </c>
      <c r="B5" s="238" t="s">
        <v>22</v>
      </c>
      <c r="C5" s="238" t="s">
        <v>93</v>
      </c>
      <c r="D5" s="238" t="s">
        <v>1120</v>
      </c>
      <c r="E5" s="238" t="s">
        <v>1121</v>
      </c>
      <c r="F5" s="238" t="s">
        <v>1122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4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4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4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4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4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4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97</v>
      </c>
      <c r="J11" s="224">
        <f t="shared" si="1"/>
        <v>196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54" t="s">
        <v>1185</v>
      </c>
      <c r="N12" s="654"/>
    </row>
    <row r="13" spans="1:15" s="222" customFormat="1" ht="25.4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92</v>
      </c>
      <c r="J13" s="225">
        <f t="shared" si="1"/>
        <v>201</v>
      </c>
      <c r="K13" s="219"/>
      <c r="L13" s="219"/>
      <c r="M13" s="247"/>
    </row>
    <row r="14" spans="1:15" s="209" customFormat="1" ht="25.4" customHeight="1">
      <c r="A14" s="239">
        <v>9</v>
      </c>
      <c r="B14" s="212" t="s">
        <v>108</v>
      </c>
      <c r="C14" s="214">
        <v>293</v>
      </c>
      <c r="D14" s="214">
        <v>45</v>
      </c>
      <c r="E14" s="219">
        <v>293</v>
      </c>
      <c r="F14" s="214">
        <v>15</v>
      </c>
      <c r="G14" s="214" t="s">
        <v>67</v>
      </c>
      <c r="H14" s="214" t="s">
        <v>67</v>
      </c>
      <c r="I14" s="224">
        <v>48</v>
      </c>
      <c r="J14" s="224">
        <f t="shared" si="1"/>
        <v>245</v>
      </c>
      <c r="K14" s="214">
        <v>1</v>
      </c>
      <c r="L14" s="214">
        <v>1</v>
      </c>
      <c r="M14" s="247"/>
    </row>
    <row r="15" spans="1:15" s="209" customFormat="1" ht="25.4" customHeight="1">
      <c r="A15" s="239">
        <v>10</v>
      </c>
      <c r="B15" s="212" t="s">
        <v>109</v>
      </c>
      <c r="C15" s="214">
        <v>293</v>
      </c>
      <c r="D15" s="214">
        <v>13</v>
      </c>
      <c r="E15" s="219">
        <v>293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4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f>'765KV ASOTL'!I19</f>
        <v>107.24600000000001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4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107.24600000000001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4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107.24600000000001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4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95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topLeftCell="A20" zoomScaleNormal="100" zoomScaleSheetLayoutView="100" workbookViewId="0">
      <selection activeCell="D29" sqref="D29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453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1" spans="2:11" ht="15" thickBot="1"/>
    <row r="2" spans="2:11" ht="19" thickBot="1">
      <c r="B2" s="655" t="s">
        <v>86</v>
      </c>
      <c r="C2" s="656"/>
      <c r="D2" s="656"/>
      <c r="E2" s="656"/>
      <c r="F2" s="656"/>
      <c r="G2" s="657"/>
    </row>
    <row r="3" spans="2:11" ht="16" thickBot="1">
      <c r="B3" s="658" t="s">
        <v>116</v>
      </c>
      <c r="C3" s="659"/>
      <c r="D3" s="659"/>
      <c r="E3" s="659"/>
      <c r="F3" s="659"/>
      <c r="G3" s="248">
        <f>+'AOTL - KEC'!M1</f>
        <v>46243</v>
      </c>
    </row>
    <row r="4" spans="2:11" ht="16" thickBot="1">
      <c r="B4" s="660" t="s">
        <v>117</v>
      </c>
      <c r="C4" s="661"/>
      <c r="D4" s="665" t="s">
        <v>89</v>
      </c>
      <c r="E4" s="666"/>
      <c r="F4" s="666"/>
      <c r="G4" s="667"/>
    </row>
    <row r="5" spans="2:11" ht="16" thickBot="1">
      <c r="B5" s="660" t="s">
        <v>118</v>
      </c>
      <c r="C5" s="661"/>
      <c r="D5" s="662" t="s">
        <v>119</v>
      </c>
      <c r="E5" s="663"/>
      <c r="F5" s="663"/>
      <c r="G5" s="664"/>
    </row>
    <row r="6" spans="2:11" ht="16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73" t="s">
        <v>120</v>
      </c>
      <c r="C7" s="674"/>
      <c r="D7" s="674"/>
      <c r="E7" s="674"/>
      <c r="F7" s="674"/>
      <c r="G7" s="675"/>
    </row>
    <row r="8" spans="2:11" ht="43.5">
      <c r="B8" s="33" t="s">
        <v>121</v>
      </c>
      <c r="C8" s="34" t="s">
        <v>122</v>
      </c>
      <c r="D8" s="34" t="s">
        <v>123</v>
      </c>
      <c r="E8" s="34" t="s">
        <v>124</v>
      </c>
      <c r="F8" s="676" t="s">
        <v>125</v>
      </c>
      <c r="G8" s="677"/>
    </row>
    <row r="9" spans="2:11" ht="1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8">
        <f>'AOTL - KEC'!J6</f>
        <v>0</v>
      </c>
      <c r="G9" s="669"/>
    </row>
    <row r="10" spans="2:11" ht="15" thickBot="1">
      <c r="B10" s="670" t="s">
        <v>126</v>
      </c>
      <c r="C10" s="671"/>
      <c r="D10" s="671"/>
      <c r="E10" s="671"/>
      <c r="F10" s="671"/>
      <c r="G10" s="672"/>
    </row>
    <row r="11" spans="2:11" ht="43.5">
      <c r="B11" s="1" t="s">
        <v>121</v>
      </c>
      <c r="C11" s="2" t="s">
        <v>122</v>
      </c>
      <c r="D11" s="2" t="s">
        <v>123</v>
      </c>
      <c r="E11" s="2" t="s">
        <v>124</v>
      </c>
      <c r="F11" s="676" t="s">
        <v>125</v>
      </c>
      <c r="G11" s="677"/>
    </row>
    <row r="12" spans="2:11" ht="15" thickBot="1">
      <c r="B12" s="20">
        <v>30</v>
      </c>
      <c r="C12" s="16">
        <v>30</v>
      </c>
      <c r="D12" s="16">
        <v>0</v>
      </c>
      <c r="E12" s="16">
        <f>C12+D12</f>
        <v>30</v>
      </c>
      <c r="F12" s="678">
        <f>B12-E12</f>
        <v>0</v>
      </c>
      <c r="G12" s="679"/>
    </row>
    <row r="13" spans="2:11" ht="15" thickBot="1">
      <c r="B13" s="670" t="s">
        <v>127</v>
      </c>
      <c r="C13" s="671"/>
      <c r="D13" s="671"/>
      <c r="E13" s="671"/>
      <c r="F13" s="671"/>
      <c r="G13" s="672"/>
    </row>
    <row r="14" spans="2:11" ht="43.5">
      <c r="B14" s="1" t="s">
        <v>121</v>
      </c>
      <c r="C14" s="2" t="s">
        <v>122</v>
      </c>
      <c r="D14" s="2" t="s">
        <v>123</v>
      </c>
      <c r="E14" s="2" t="s">
        <v>124</v>
      </c>
      <c r="F14" s="676" t="s">
        <v>125</v>
      </c>
      <c r="G14" s="677"/>
    </row>
    <row r="15" spans="2:11" ht="1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68">
        <f>B15-E15</f>
        <v>6.5450000000000159</v>
      </c>
      <c r="G15" s="669"/>
      <c r="K15" s="6"/>
    </row>
    <row r="16" spans="2:11" ht="15" thickBot="1">
      <c r="B16" s="670" t="s">
        <v>128</v>
      </c>
      <c r="C16" s="671"/>
      <c r="D16" s="671"/>
      <c r="E16" s="671"/>
      <c r="F16" s="671"/>
      <c r="G16" s="672"/>
    </row>
    <row r="17" spans="2:11" ht="43.5">
      <c r="B17" s="1" t="s">
        <v>121</v>
      </c>
      <c r="C17" s="2" t="s">
        <v>122</v>
      </c>
      <c r="D17" s="2" t="s">
        <v>123</v>
      </c>
      <c r="E17" s="2" t="s">
        <v>124</v>
      </c>
      <c r="F17" s="676" t="s">
        <v>125</v>
      </c>
      <c r="G17" s="677"/>
    </row>
    <row r="18" spans="2:11" ht="16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68">
        <f>B18-E18</f>
        <v>19.996999999999986</v>
      </c>
      <c r="G18" s="669"/>
      <c r="K18" s="13"/>
    </row>
    <row r="19" spans="2:11" ht="15" thickBot="1">
      <c r="B19" s="670" t="s">
        <v>129</v>
      </c>
      <c r="C19" s="671"/>
      <c r="D19" s="671"/>
      <c r="E19" s="671"/>
      <c r="F19" s="671"/>
      <c r="G19" s="672"/>
    </row>
    <row r="20" spans="2:11" ht="43.5">
      <c r="B20" s="7" t="s">
        <v>121</v>
      </c>
      <c r="C20" s="8" t="s">
        <v>122</v>
      </c>
      <c r="D20" s="8" t="s">
        <v>123</v>
      </c>
      <c r="E20" s="8" t="s">
        <v>124</v>
      </c>
      <c r="F20" s="676" t="s">
        <v>125</v>
      </c>
      <c r="G20" s="677"/>
      <c r="K20" s="14"/>
    </row>
    <row r="21" spans="2:11" ht="1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78">
        <f>B21-E21</f>
        <v>198</v>
      </c>
      <c r="G21" s="679"/>
    </row>
    <row r="22" spans="2:11" ht="15" thickBot="1">
      <c r="B22" s="670" t="s">
        <v>1096</v>
      </c>
      <c r="C22" s="671"/>
      <c r="D22" s="671"/>
      <c r="E22" s="671"/>
      <c r="F22" s="671"/>
      <c r="G22" s="672"/>
    </row>
    <row r="23" spans="2:11" ht="43.5">
      <c r="B23" s="7" t="s">
        <v>130</v>
      </c>
      <c r="C23" s="8" t="s">
        <v>122</v>
      </c>
      <c r="D23" s="8" t="s">
        <v>123</v>
      </c>
      <c r="E23" s="8" t="s">
        <v>124</v>
      </c>
      <c r="F23" s="676" t="s">
        <v>125</v>
      </c>
      <c r="G23" s="677"/>
    </row>
    <row r="24" spans="2:11" ht="15" thickBot="1">
      <c r="B24" s="3">
        <f>'AOTL - KEC'!C13</f>
        <v>293</v>
      </c>
      <c r="C24" s="16">
        <v>92</v>
      </c>
      <c r="D24" s="16" t="s">
        <v>67</v>
      </c>
      <c r="E24" s="19">
        <v>89</v>
      </c>
      <c r="F24" s="678">
        <f>B24-E24</f>
        <v>204</v>
      </c>
      <c r="G24" s="679"/>
    </row>
    <row r="25" spans="2:11" ht="15" thickBot="1">
      <c r="B25" s="670" t="s">
        <v>131</v>
      </c>
      <c r="C25" s="671"/>
      <c r="D25" s="671"/>
      <c r="E25" s="671"/>
      <c r="F25" s="671"/>
      <c r="G25" s="672"/>
    </row>
    <row r="26" spans="2:11" ht="43.5">
      <c r="B26" s="7" t="s">
        <v>130</v>
      </c>
      <c r="C26" s="8" t="s">
        <v>122</v>
      </c>
      <c r="D26" s="8" t="s">
        <v>123</v>
      </c>
      <c r="E26" s="8" t="s">
        <v>124</v>
      </c>
      <c r="F26" s="676" t="s">
        <v>125</v>
      </c>
      <c r="G26" s="677"/>
    </row>
    <row r="27" spans="2:11" ht="15" thickBot="1">
      <c r="B27" s="3">
        <f>'AOTL - KEC'!C14</f>
        <v>293</v>
      </c>
      <c r="C27" s="16">
        <v>47</v>
      </c>
      <c r="D27" s="16">
        <v>1</v>
      </c>
      <c r="E27" s="12">
        <v>46</v>
      </c>
      <c r="F27" s="678">
        <f>B27-E27</f>
        <v>247</v>
      </c>
      <c r="G27" s="679"/>
    </row>
    <row r="28" spans="2:11" ht="15" thickBot="1">
      <c r="B28" s="670" t="s">
        <v>132</v>
      </c>
      <c r="C28" s="671"/>
      <c r="D28" s="671"/>
      <c r="E28" s="671"/>
      <c r="F28" s="671"/>
      <c r="G28" s="672"/>
    </row>
    <row r="29" spans="2:11" ht="43.5">
      <c r="B29" s="7" t="s">
        <v>130</v>
      </c>
      <c r="C29" s="8" t="s">
        <v>122</v>
      </c>
      <c r="D29" s="8" t="s">
        <v>123</v>
      </c>
      <c r="E29" s="8" t="s">
        <v>124</v>
      </c>
      <c r="F29" s="676" t="s">
        <v>133</v>
      </c>
      <c r="G29" s="677"/>
    </row>
    <row r="30" spans="2:11" ht="1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8">
        <f>B30-E30</f>
        <v>114.51600000000001</v>
      </c>
      <c r="G30" s="669"/>
    </row>
    <row r="31" spans="2:11" ht="15" thickBot="1">
      <c r="B31" s="670" t="s">
        <v>134</v>
      </c>
      <c r="C31" s="671"/>
      <c r="D31" s="671"/>
      <c r="E31" s="671"/>
      <c r="F31" s="671"/>
      <c r="G31" s="672"/>
    </row>
    <row r="32" spans="2:11" ht="43.5">
      <c r="B32" s="7" t="s">
        <v>130</v>
      </c>
      <c r="C32" s="8" t="s">
        <v>122</v>
      </c>
      <c r="D32" s="8" t="s">
        <v>123</v>
      </c>
      <c r="E32" s="8" t="s">
        <v>124</v>
      </c>
      <c r="F32" s="676" t="s">
        <v>125</v>
      </c>
      <c r="G32" s="677"/>
    </row>
    <row r="33" spans="2:7" ht="1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8">
        <f>B33-E33</f>
        <v>114.51600000000001</v>
      </c>
      <c r="G33" s="669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E16" activePane="bottomRight" state="frozen"/>
      <selection activeCell="G2" sqref="G2"/>
      <selection pane="topRight" activeCell="G2" sqref="G2"/>
      <selection pane="bottomLeft" activeCell="G2" sqref="G2"/>
      <selection pane="bottomRight" activeCell="G2" sqref="G2:I2"/>
    </sheetView>
  </sheetViews>
  <sheetFormatPr defaultColWidth="9.26953125" defaultRowHeight="15.5"/>
  <cols>
    <col min="1" max="1" width="11.26953125" style="252" customWidth="1"/>
    <col min="2" max="2" width="15.1796875" style="252" bestFit="1" customWidth="1"/>
    <col min="3" max="7" width="12.54296875" style="252" customWidth="1"/>
    <col min="8" max="8" width="11.7265625" style="252" bestFit="1" customWidth="1"/>
    <col min="9" max="9" width="12.54296875" style="252" customWidth="1"/>
    <col min="10" max="11" width="12.54296875" style="252" hidden="1" customWidth="1"/>
    <col min="12" max="16384" width="9.26953125" style="252"/>
  </cols>
  <sheetData>
    <row r="1" spans="1:10">
      <c r="A1" s="680" t="s">
        <v>89</v>
      </c>
      <c r="B1" s="680"/>
      <c r="C1" s="680"/>
      <c r="D1" s="680"/>
      <c r="E1" s="680"/>
      <c r="F1" s="680"/>
      <c r="G1" s="680"/>
      <c r="H1" s="680"/>
      <c r="I1" s="680"/>
    </row>
    <row r="2" spans="1:10" ht="20.149999999999999" customHeight="1">
      <c r="A2" s="681" t="s">
        <v>193</v>
      </c>
      <c r="B2" s="681" t="s">
        <v>203</v>
      </c>
      <c r="C2" s="683" t="s">
        <v>204</v>
      </c>
      <c r="D2" s="681" t="s">
        <v>205</v>
      </c>
      <c r="E2" s="681"/>
      <c r="F2" s="681"/>
      <c r="G2" s="681" t="s">
        <v>21</v>
      </c>
      <c r="H2" s="681"/>
      <c r="I2" s="681"/>
    </row>
    <row r="3" spans="1:10" ht="20.149999999999999" customHeight="1">
      <c r="A3" s="681"/>
      <c r="B3" s="681"/>
      <c r="C3" s="684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49999999999999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49999999999999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49999999999999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49999999999999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49999999999999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49999999999999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49999999999999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49999999999999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49999999999999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49999999999999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49999999999999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49999999999999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49999999999999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49999999999999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49999999999999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49999999999999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49999999999999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49999999999999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49999999999999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49999999999999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49999999999999" customHeight="1">
      <c r="A24" s="525" t="s">
        <v>200</v>
      </c>
      <c r="B24" s="525" t="s">
        <v>1099</v>
      </c>
      <c r="C24" s="524">
        <v>5.0114799999999997</v>
      </c>
      <c r="D24" s="524">
        <f>C24</f>
        <v>5.0114799999999997</v>
      </c>
      <c r="E24" s="524">
        <f>D24</f>
        <v>5.0114799999999997</v>
      </c>
      <c r="F24" s="524"/>
      <c r="G24" s="524"/>
      <c r="H24" s="524"/>
      <c r="I24" s="524"/>
      <c r="J24" s="252" t="s">
        <v>1100</v>
      </c>
      <c r="K24" s="252">
        <v>3.4049999999999998</v>
      </c>
    </row>
    <row r="25" spans="1:11" ht="20.149999999999999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24">
        <v>4.49</v>
      </c>
    </row>
    <row r="26" spans="1:11" ht="20.149999999999999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24"/>
    </row>
    <row r="27" spans="1:11" ht="20.149999999999999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49999999999999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49999999999999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49999999999999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24">
        <v>4.5140000000000002</v>
      </c>
      <c r="G30" s="524"/>
      <c r="H30" s="524"/>
      <c r="I30" s="524"/>
      <c r="J30" s="340"/>
      <c r="K30" s="252">
        <v>410.43</v>
      </c>
    </row>
    <row r="31" spans="1:11" ht="20.149999999999999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49999999999999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49999999999999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49999999999999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49999999999999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49999999999999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49999999999999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49999999999999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49999999999999" customHeight="1">
      <c r="A39" s="682"/>
      <c r="B39" s="682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49999999999999" hidden="1" customHeight="1">
      <c r="E40" s="526" t="s">
        <v>1103</v>
      </c>
      <c r="F40" s="527">
        <f>C39-F39</f>
        <v>6.4134799999999927</v>
      </c>
      <c r="I40" s="527">
        <f>F39-I39</f>
        <v>13.45199999999997</v>
      </c>
    </row>
    <row r="41" spans="1:11" ht="20.149999999999999" hidden="1" customHeight="1">
      <c r="E41" s="528" t="s">
        <v>1099</v>
      </c>
      <c r="F41" s="527">
        <f>E24</f>
        <v>5.0114799999999997</v>
      </c>
      <c r="K41" s="252" t="s">
        <v>67</v>
      </c>
    </row>
    <row r="42" spans="1:11" ht="20.149999999999999" hidden="1" customHeight="1">
      <c r="E42" s="528" t="s">
        <v>1102</v>
      </c>
      <c r="F42" s="527">
        <f>E30-F30</f>
        <v>1.4020000000000001</v>
      </c>
    </row>
    <row r="43" spans="1:11" ht="20.149999999999999" hidden="1" customHeight="1">
      <c r="F43" s="340"/>
    </row>
    <row r="44" spans="1:11" ht="20.149999999999999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49999999999999" customHeight="1"/>
    <row r="46" spans="1:11" ht="20.149999999999999" customHeight="1"/>
    <row r="47" spans="1:11" ht="20.149999999999999" customHeight="1"/>
    <row r="48" spans="1:11" ht="20.149999999999999" customHeight="1"/>
    <row r="49" ht="20.149999999999999" customHeight="1"/>
    <row r="50" ht="20.149999999999999" customHeight="1"/>
    <row r="51" ht="20.149999999999999" customHeight="1"/>
    <row r="52" ht="20.149999999999999" customHeight="1"/>
    <row r="53" ht="20.149999999999999" customHeight="1"/>
    <row r="54" ht="20.149999999999999" customHeight="1"/>
    <row r="55" ht="20.149999999999999" customHeight="1"/>
    <row r="56" ht="20.149999999999999" customHeight="1"/>
    <row r="57" ht="20.149999999999999" customHeight="1"/>
    <row r="58" ht="20.149999999999999" customHeight="1"/>
    <row r="59" ht="20.149999999999999" customHeight="1"/>
    <row r="60" ht="20.149999999999999" customHeight="1"/>
    <row r="61" ht="20.149999999999999" customHeight="1"/>
    <row r="62" ht="20.149999999999999" customHeight="1"/>
    <row r="63" ht="20.149999999999999" customHeight="1"/>
    <row r="64" ht="20.149999999999999" customHeight="1"/>
    <row r="65" ht="20.149999999999999" customHeight="1"/>
    <row r="66" ht="20.149999999999999" customHeight="1"/>
    <row r="67" ht="20.149999999999999" customHeight="1"/>
    <row r="68" ht="20.149999999999999" customHeight="1"/>
    <row r="69" ht="20.149999999999999" customHeight="1"/>
    <row r="70" ht="20.149999999999999" customHeight="1"/>
    <row r="71" ht="20.149999999999999" customHeight="1"/>
    <row r="72" ht="20.149999999999999" customHeight="1"/>
    <row r="73" ht="20.149999999999999" customHeight="1"/>
    <row r="74" ht="20.149999999999999" customHeight="1"/>
    <row r="75" ht="20.149999999999999" customHeight="1"/>
    <row r="76" ht="20.149999999999999" customHeight="1"/>
    <row r="77" ht="20.149999999999999" customHeight="1"/>
    <row r="78" ht="20.149999999999999" customHeight="1"/>
    <row r="79" ht="20.149999999999999" customHeight="1"/>
    <row r="80" ht="20.149999999999999" customHeight="1"/>
    <row r="81" ht="20.149999999999999" customHeight="1"/>
    <row r="82" ht="20.149999999999999" customHeight="1"/>
    <row r="83" ht="20.149999999999999" customHeight="1"/>
    <row r="84" ht="20.149999999999999" customHeight="1"/>
    <row r="85" ht="20.149999999999999" customHeight="1"/>
    <row r="86" ht="20.149999999999999" customHeight="1"/>
    <row r="87" ht="20.149999999999999" customHeight="1"/>
    <row r="88" ht="20.149999999999999" customHeight="1"/>
    <row r="89" ht="20.149999999999999" customHeight="1"/>
    <row r="90" ht="20.149999999999999" customHeight="1"/>
    <row r="91" ht="20.149999999999999" customHeight="1"/>
    <row r="92" ht="20.149999999999999" customHeight="1"/>
    <row r="93" ht="20.149999999999999" customHeight="1"/>
    <row r="94" ht="20.149999999999999" customHeight="1"/>
    <row r="95" ht="20.149999999999999" customHeight="1"/>
    <row r="96" ht="20.149999999999999" customHeight="1"/>
    <row r="97" ht="20.149999999999999" customHeight="1"/>
    <row r="98" ht="20.149999999999999" customHeight="1"/>
    <row r="99" ht="20.149999999999999" customHeight="1"/>
    <row r="100" ht="20.149999999999999" customHeight="1"/>
    <row r="101" ht="20.149999999999999" customHeight="1"/>
    <row r="102" ht="20.149999999999999" customHeight="1"/>
    <row r="103" ht="20.149999999999999" customHeight="1"/>
    <row r="104" ht="20.149999999999999" customHeight="1"/>
    <row r="105" ht="20.149999999999999" customHeight="1"/>
    <row r="106" ht="20.149999999999999" customHeight="1"/>
    <row r="107" ht="20.149999999999999" customHeight="1"/>
    <row r="108" ht="20.149999999999999" customHeight="1"/>
    <row r="109" ht="20.149999999999999" customHeight="1"/>
    <row r="110" ht="20.149999999999999" customHeight="1"/>
    <row r="111" ht="20.149999999999999" customHeight="1"/>
    <row r="112" ht="20.149999999999999" customHeight="1"/>
    <row r="113" ht="20.149999999999999" customHeight="1"/>
    <row r="114" ht="20.149999999999999" customHeight="1"/>
    <row r="115" ht="20.149999999999999" customHeight="1"/>
    <row r="116" ht="20.149999999999999" customHeight="1"/>
    <row r="117" ht="20.149999999999999" customHeight="1"/>
    <row r="118" ht="20.149999999999999" customHeight="1"/>
    <row r="119" ht="20.149999999999999" customHeight="1"/>
    <row r="120" ht="20.149999999999999" customHeight="1"/>
    <row r="121" ht="20.149999999999999" customHeight="1"/>
    <row r="122" ht="20.149999999999999" customHeight="1"/>
    <row r="123" ht="20.149999999999999" customHeight="1"/>
    <row r="124" ht="20.149999999999999" customHeight="1"/>
    <row r="125" ht="20.149999999999999" customHeight="1"/>
    <row r="126" ht="20.149999999999999" customHeight="1"/>
    <row r="127" ht="20.149999999999999" customHeight="1"/>
    <row r="128" ht="20.149999999999999" customHeight="1"/>
    <row r="129" ht="20.149999999999999" customHeight="1"/>
    <row r="130" ht="20.149999999999999" customHeight="1"/>
    <row r="131" ht="20.149999999999999" customHeight="1"/>
    <row r="132" ht="20.149999999999999" customHeight="1"/>
    <row r="133" ht="20.149999999999999" customHeight="1"/>
    <row r="134" ht="20.149999999999999" customHeight="1"/>
    <row r="135" ht="20.149999999999999" customHeight="1"/>
    <row r="136" ht="20.149999999999999" customHeight="1"/>
    <row r="137" ht="20.149999999999999" customHeight="1"/>
    <row r="138" ht="20.149999999999999" customHeight="1"/>
    <row r="139" ht="20.149999999999999" customHeight="1"/>
    <row r="140" ht="20.149999999999999" customHeight="1"/>
    <row r="141" ht="20.149999999999999" customHeight="1"/>
    <row r="142" ht="20.149999999999999" customHeight="1"/>
    <row r="143" ht="20.149999999999999" customHeight="1"/>
    <row r="144" ht="20.149999999999999" customHeight="1"/>
    <row r="145" spans="9:9" ht="20.149999999999999" customHeight="1"/>
    <row r="146" spans="9:9" ht="20.149999999999999" customHeight="1"/>
    <row r="147" spans="9:9" ht="20.149999999999999" customHeight="1"/>
    <row r="148" spans="9:9" ht="20.149999999999999" customHeight="1"/>
    <row r="149" spans="9:9" ht="20.149999999999999" customHeight="1"/>
    <row r="150" spans="9:9" ht="20.149999999999999" customHeight="1"/>
    <row r="151" spans="9:9" ht="20.149999999999999" customHeight="1"/>
    <row r="152" spans="9:9" ht="20.149999999999999" customHeight="1"/>
    <row r="153" spans="9:9" ht="20.149999999999999" customHeight="1"/>
    <row r="154" spans="9:9" ht="20.149999999999999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topLeftCell="A2" zoomScaleNormal="100" workbookViewId="0">
      <selection activeCell="G2" sqref="G2:I2"/>
    </sheetView>
  </sheetViews>
  <sheetFormatPr defaultColWidth="12.81640625" defaultRowHeight="15.5"/>
  <cols>
    <col min="1" max="1" width="12.81640625" style="344"/>
    <col min="2" max="2" width="25.26953125" style="344" bestFit="1" customWidth="1"/>
    <col min="3" max="4" width="12.81640625" style="344"/>
    <col min="5" max="5" width="30.26953125" style="344" bestFit="1" customWidth="1"/>
    <col min="6" max="16384" width="12.81640625" style="344"/>
  </cols>
  <sheetData>
    <row r="1" spans="1:6">
      <c r="A1" s="471"/>
      <c r="B1" s="472"/>
      <c r="C1" s="472"/>
      <c r="D1" s="473" t="s">
        <v>2</v>
      </c>
      <c r="E1" s="474">
        <f>+'AOTL - KEC'!M1</f>
        <v>46243</v>
      </c>
    </row>
    <row r="2" spans="1:6">
      <c r="A2" s="475"/>
      <c r="E2" s="476"/>
    </row>
    <row r="3" spans="1:6">
      <c r="A3" s="685" t="s">
        <v>243</v>
      </c>
      <c r="B3" s="686"/>
      <c r="C3" s="686"/>
      <c r="D3" s="686"/>
      <c r="E3" s="687"/>
    </row>
    <row r="4" spans="1:6" s="346" customFormat="1" ht="22.4" customHeight="1">
      <c r="A4" s="477" t="s">
        <v>244</v>
      </c>
      <c r="B4" s="345" t="s">
        <v>245</v>
      </c>
      <c r="C4" s="345" t="s">
        <v>246</v>
      </c>
      <c r="D4" s="345" t="s">
        <v>247</v>
      </c>
      <c r="E4" s="478" t="s">
        <v>33</v>
      </c>
    </row>
    <row r="5" spans="1:6" s="350" customFormat="1" ht="27.65" customHeight="1">
      <c r="A5" s="479">
        <v>1</v>
      </c>
      <c r="B5" s="348" t="s">
        <v>248</v>
      </c>
      <c r="C5" s="347" t="s">
        <v>249</v>
      </c>
      <c r="D5" s="349">
        <f>'Survey Anx'!C39</f>
        <v>114.38447999999998</v>
      </c>
      <c r="E5" s="480"/>
    </row>
    <row r="6" spans="1:6" s="350" customFormat="1" ht="27.65" customHeight="1">
      <c r="A6" s="479">
        <v>2</v>
      </c>
      <c r="B6" s="348" t="s">
        <v>250</v>
      </c>
      <c r="C6" s="347" t="s">
        <v>249</v>
      </c>
      <c r="D6" s="349">
        <f>'Survey Anx'!D39</f>
        <v>114.38447999999998</v>
      </c>
      <c r="E6" s="480"/>
    </row>
    <row r="7" spans="1:6" s="350" customFormat="1" ht="27.65" customHeight="1">
      <c r="A7" s="479">
        <v>3</v>
      </c>
      <c r="B7" s="348" t="s">
        <v>28</v>
      </c>
      <c r="C7" s="347" t="s">
        <v>249</v>
      </c>
      <c r="D7" s="349">
        <f>D5-D6</f>
        <v>0</v>
      </c>
      <c r="E7" s="480" t="s">
        <v>251</v>
      </c>
      <c r="F7" s="351"/>
    </row>
    <row r="8" spans="1:6" s="350" customFormat="1" ht="27.65" customHeight="1">
      <c r="A8" s="479">
        <v>4</v>
      </c>
      <c r="B8" s="348" t="s">
        <v>252</v>
      </c>
      <c r="C8" s="347" t="s">
        <v>249</v>
      </c>
      <c r="D8" s="349">
        <f>'Survey Anx'!F39</f>
        <v>107.97099999999999</v>
      </c>
      <c r="E8" s="480"/>
    </row>
    <row r="9" spans="1:6" s="350" customFormat="1" ht="27.65" customHeight="1">
      <c r="A9" s="479">
        <v>5</v>
      </c>
      <c r="B9" s="348" t="s">
        <v>29</v>
      </c>
      <c r="C9" s="347" t="s">
        <v>249</v>
      </c>
      <c r="D9" s="349">
        <f>Survey!D6-Survey!D8</f>
        <v>6.4134799999999927</v>
      </c>
      <c r="E9" s="480" t="s">
        <v>253</v>
      </c>
    </row>
    <row r="10" spans="1:6" s="350" customFormat="1" ht="27.65" customHeight="1">
      <c r="A10" s="479">
        <v>6</v>
      </c>
      <c r="B10" s="348" t="s">
        <v>254</v>
      </c>
      <c r="C10" s="347" t="s">
        <v>249</v>
      </c>
      <c r="D10" s="349">
        <f>'Survey Anx'!G39</f>
        <v>103.45700000000001</v>
      </c>
      <c r="E10" s="481"/>
      <c r="F10" s="352"/>
    </row>
    <row r="11" spans="1:6" s="350" customFormat="1" ht="27.65" customHeight="1">
      <c r="A11" s="479">
        <v>7</v>
      </c>
      <c r="B11" s="348" t="s">
        <v>255</v>
      </c>
      <c r="C11" s="347" t="s">
        <v>249</v>
      </c>
      <c r="D11" s="349">
        <f>'Survey Anx'!I39</f>
        <v>94.51900000000002</v>
      </c>
      <c r="E11" s="480"/>
      <c r="F11" s="351"/>
    </row>
    <row r="12" spans="1:6" s="350" customFormat="1" ht="27.65" customHeight="1">
      <c r="A12" s="479">
        <v>8</v>
      </c>
      <c r="B12" s="348" t="s">
        <v>29</v>
      </c>
      <c r="C12" s="347" t="s">
        <v>249</v>
      </c>
      <c r="D12" s="349">
        <f>D10-D11</f>
        <v>8.9379999999999882</v>
      </c>
      <c r="E12" s="480"/>
    </row>
    <row r="13" spans="1:6" s="350" customFormat="1" ht="27.65" customHeight="1" thickBot="1">
      <c r="A13" s="482">
        <v>9</v>
      </c>
      <c r="B13" s="483" t="s">
        <v>256</v>
      </c>
      <c r="C13" s="484" t="s">
        <v>249</v>
      </c>
      <c r="D13" s="485">
        <f>D6-D10</f>
        <v>10.927479999999974</v>
      </c>
      <c r="E13" s="486"/>
    </row>
    <row r="14" spans="1:6" s="350" customFormat="1" ht="22.4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4" zoomScaleNormal="100" zoomScaleSheetLayoutView="101" workbookViewId="0">
      <selection activeCell="A13" sqref="A13:XFD13"/>
    </sheetView>
  </sheetViews>
  <sheetFormatPr defaultColWidth="8.81640625" defaultRowHeight="15.5"/>
  <cols>
    <col min="1" max="1" width="8.81640625" style="249"/>
    <col min="2" max="2" width="14.1796875" style="249" bestFit="1" customWidth="1"/>
    <col min="3" max="3" width="13.453125" style="249" bestFit="1" customWidth="1"/>
    <col min="4" max="4" width="3.453125" style="249" bestFit="1" customWidth="1"/>
    <col min="5" max="5" width="6.54296875" style="249" customWidth="1"/>
    <col min="6" max="6" width="33.7265625" style="249" customWidth="1"/>
    <col min="7" max="7" width="22.54296875" style="249" bestFit="1" customWidth="1"/>
    <col min="8" max="8" width="15.26953125" style="113" customWidth="1"/>
    <col min="9" max="9" width="17.54296875" style="113" customWidth="1"/>
    <col min="10" max="10" width="16.81640625" style="113" hidden="1" customWidth="1"/>
    <col min="11" max="11" width="16.81640625" style="249" hidden="1" customWidth="1"/>
    <col min="12" max="16384" width="8.81640625" style="249"/>
  </cols>
  <sheetData>
    <row r="1" spans="1:11" ht="14.9" customHeight="1">
      <c r="A1" s="688" t="s">
        <v>257</v>
      </c>
      <c r="B1" s="688"/>
      <c r="C1" s="688"/>
      <c r="D1" s="688"/>
      <c r="E1" s="688"/>
      <c r="F1" s="688"/>
      <c r="G1" s="688"/>
      <c r="H1" s="688"/>
      <c r="I1" s="354"/>
      <c r="J1" s="355"/>
    </row>
    <row r="2" spans="1:11" ht="31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497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497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5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5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5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  <pageSetUpPr fitToPage="1"/>
  </sheetPr>
  <dimension ref="A1:DRM335"/>
  <sheetViews>
    <sheetView zoomScale="67" zoomScaleNormal="67" zoomScaleSheetLayoutView="81" workbookViewId="0">
      <pane ySplit="2" topLeftCell="A94" activePane="bottomLeft" state="frozen"/>
      <selection pane="bottomLeft" activeCell="G100" sqref="G100"/>
    </sheetView>
  </sheetViews>
  <sheetFormatPr defaultColWidth="9.453125" defaultRowHeight="15.5"/>
  <cols>
    <col min="1" max="4" width="13.1796875" style="350" customWidth="1"/>
    <col min="5" max="5" width="13.1796875" style="351" customWidth="1"/>
    <col min="6" max="6" width="13.1796875" style="350" customWidth="1"/>
    <col min="7" max="7" width="17.81640625" style="420" customWidth="1"/>
    <col min="8" max="8" width="13.1796875" style="387" customWidth="1"/>
    <col min="9" max="10" width="13.1796875" style="350" customWidth="1"/>
    <col min="11" max="11" width="13.1796875" style="393" customWidth="1"/>
    <col min="12" max="14" width="13.1796875" style="350" customWidth="1"/>
    <col min="15" max="16384" width="9.453125" style="383"/>
  </cols>
  <sheetData>
    <row r="1" spans="1:16" s="395" customFormat="1">
      <c r="A1" s="689" t="s">
        <v>336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1"/>
      <c r="N1" s="407">
        <f>'765KV ASOTL'!G1</f>
        <v>46243</v>
      </c>
      <c r="P1" s="395" t="s">
        <v>337</v>
      </c>
    </row>
    <row r="2" spans="1:16" s="346" customFormat="1" ht="48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>
        <v>1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>
        <v>2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3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v>4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v>5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25">
        <v>45721</v>
      </c>
      <c r="G7" s="426"/>
      <c r="H7" s="423" t="s">
        <v>38</v>
      </c>
      <c r="I7" s="425">
        <v>45728</v>
      </c>
      <c r="J7" s="427"/>
      <c r="K7" s="428" t="s">
        <v>355</v>
      </c>
      <c r="L7" s="423" t="s">
        <v>353</v>
      </c>
      <c r="M7" s="425">
        <v>45732</v>
      </c>
      <c r="N7" s="423"/>
    </row>
    <row r="8" spans="1:16" ht="25.15" customHeight="1">
      <c r="A8" s="423">
        <v>6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v>7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v>8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6"/>
      <c r="H10" s="423" t="s">
        <v>38</v>
      </c>
      <c r="I10" s="425">
        <v>45741</v>
      </c>
      <c r="J10" s="427"/>
      <c r="K10" s="428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v>9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v>10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v>11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v>12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v>13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v>14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v>15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v>16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v>17</v>
      </c>
      <c r="B19" s="423" t="s">
        <v>383</v>
      </c>
      <c r="C19" s="423" t="s">
        <v>350</v>
      </c>
      <c r="D19" s="423" t="s">
        <v>274</v>
      </c>
      <c r="E19" s="424">
        <f>5.618+57.728</f>
        <v>63.346000000000004</v>
      </c>
      <c r="F19" s="425">
        <v>45780</v>
      </c>
      <c r="G19" s="426"/>
      <c r="H19" s="423" t="s">
        <v>38</v>
      </c>
      <c r="I19" s="425">
        <v>45792</v>
      </c>
      <c r="J19" s="427"/>
      <c r="K19" s="428" t="s">
        <v>355</v>
      </c>
      <c r="L19" s="423" t="s">
        <v>384</v>
      </c>
      <c r="M19" s="425"/>
      <c r="N19" s="423"/>
    </row>
    <row r="20" spans="1:14" ht="25.15" customHeight="1">
      <c r="A20" s="423">
        <v>18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v>19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23" t="s">
        <v>384</v>
      </c>
      <c r="M21" s="425"/>
      <c r="N21" s="423"/>
    </row>
    <row r="22" spans="1:14" ht="25.15" customHeight="1">
      <c r="A22" s="423">
        <v>20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v>21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23" t="s">
        <v>384</v>
      </c>
      <c r="M23" s="425"/>
      <c r="N23" s="423"/>
    </row>
    <row r="24" spans="1:14" ht="25.15" customHeight="1">
      <c r="A24" s="423">
        <v>22</v>
      </c>
      <c r="B24" s="423" t="s">
        <v>386</v>
      </c>
      <c r="C24" s="423" t="s">
        <v>350</v>
      </c>
      <c r="D24" s="423" t="s">
        <v>274</v>
      </c>
      <c r="E24" s="424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23" t="s">
        <v>384</v>
      </c>
      <c r="M24" s="425"/>
      <c r="N24" s="423"/>
    </row>
    <row r="25" spans="1:14" ht="25.15" customHeight="1">
      <c r="A25" s="423">
        <v>23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v>24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v>25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v>26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ht="25.15" customHeight="1">
      <c r="A29" s="423">
        <v>27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6"/>
      <c r="H29" s="423" t="s">
        <v>38</v>
      </c>
      <c r="I29" s="425">
        <v>45918</v>
      </c>
      <c r="J29" s="427"/>
      <c r="K29" s="428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v>28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v>29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v>30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v>31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v>32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v>33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v>34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v>35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v>36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v>37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v>38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v>39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v>40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v>41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28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v>42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v>43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v>44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v>45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v>46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28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v>47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v>48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2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v>49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v>50</v>
      </c>
      <c r="B52" s="423" t="s">
        <v>411</v>
      </c>
      <c r="C52" s="423" t="s">
        <v>300</v>
      </c>
      <c r="D52" s="423" t="s">
        <v>274</v>
      </c>
      <c r="E52" s="424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28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v>51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v>52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2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v>53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v>54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v>55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28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v>56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v>57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2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v>58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v>59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v>60</v>
      </c>
      <c r="B62" s="423" t="s">
        <v>425</v>
      </c>
      <c r="C62" s="423" t="s">
        <v>330</v>
      </c>
      <c r="D62" s="423" t="s">
        <v>274</v>
      </c>
      <c r="E62" s="424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v>61</v>
      </c>
      <c r="B63" s="423" t="s">
        <v>427</v>
      </c>
      <c r="C63" s="423" t="s">
        <v>292</v>
      </c>
      <c r="D63" s="423" t="s">
        <v>274</v>
      </c>
      <c r="E63" s="424">
        <f>178.06+14.314</f>
        <v>192.374</v>
      </c>
      <c r="F63" s="425">
        <v>46069</v>
      </c>
      <c r="G63" s="426"/>
      <c r="H63" s="423" t="s">
        <v>38</v>
      </c>
      <c r="I63" s="425">
        <v>46092</v>
      </c>
      <c r="J63" s="427"/>
      <c r="K63" s="428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v>62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v>63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28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v>64</v>
      </c>
      <c r="B66" s="423" t="s">
        <v>430</v>
      </c>
      <c r="C66" s="423" t="s">
        <v>350</v>
      </c>
      <c r="D66" s="423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28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v>65</v>
      </c>
      <c r="B67" s="423" t="s">
        <v>434</v>
      </c>
      <c r="C67" s="423" t="s">
        <v>357</v>
      </c>
      <c r="D67" s="423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28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v>66</v>
      </c>
      <c r="B68" s="423" t="s">
        <v>139</v>
      </c>
      <c r="C68" s="423" t="s">
        <v>357</v>
      </c>
      <c r="D68" s="423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28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v>67</v>
      </c>
      <c r="B69" s="423" t="s">
        <v>435</v>
      </c>
      <c r="C69" s="423" t="s">
        <v>350</v>
      </c>
      <c r="D69" s="423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28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v>68</v>
      </c>
      <c r="B70" s="423" t="s">
        <v>436</v>
      </c>
      <c r="C70" s="423" t="s">
        <v>357</v>
      </c>
      <c r="D70" s="423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28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v>69</v>
      </c>
      <c r="B71" s="423" t="s">
        <v>431</v>
      </c>
      <c r="C71" s="423" t="s">
        <v>350</v>
      </c>
      <c r="D71" s="423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28" t="s">
        <v>409</v>
      </c>
      <c r="L71" s="423" t="s">
        <v>353</v>
      </c>
      <c r="M71" s="425">
        <v>46160</v>
      </c>
      <c r="N71" s="423"/>
    </row>
    <row r="72" spans="1:14" ht="25.15" customHeight="1">
      <c r="A72" s="423">
        <v>70</v>
      </c>
      <c r="B72" s="423" t="s">
        <v>174</v>
      </c>
      <c r="C72" s="423" t="s">
        <v>298</v>
      </c>
      <c r="D72" s="423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28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v>71</v>
      </c>
      <c r="B73" s="423" t="s">
        <v>150</v>
      </c>
      <c r="C73" s="423" t="s">
        <v>309</v>
      </c>
      <c r="D73" s="423" t="s">
        <v>274</v>
      </c>
      <c r="E73" s="424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28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v>72</v>
      </c>
      <c r="B74" s="423" t="s">
        <v>437</v>
      </c>
      <c r="C74" s="423" t="s">
        <v>357</v>
      </c>
      <c r="D74" s="423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28" t="s">
        <v>409</v>
      </c>
      <c r="L74" s="423" t="s">
        <v>353</v>
      </c>
      <c r="M74" s="425">
        <v>46171</v>
      </c>
      <c r="N74" s="423"/>
    </row>
    <row r="75" spans="1:14" ht="25.15" customHeight="1">
      <c r="A75" s="423">
        <v>73</v>
      </c>
      <c r="B75" s="423" t="s">
        <v>432</v>
      </c>
      <c r="C75" s="423" t="s">
        <v>350</v>
      </c>
      <c r="D75" s="423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27"/>
      <c r="K75" s="42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v>74</v>
      </c>
      <c r="B76" s="423" t="s">
        <v>438</v>
      </c>
      <c r="C76" s="423" t="s">
        <v>350</v>
      </c>
      <c r="D76" s="423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28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v>75</v>
      </c>
      <c r="B77" s="423" t="s">
        <v>439</v>
      </c>
      <c r="C77" s="423" t="s">
        <v>350</v>
      </c>
      <c r="D77" s="423" t="s">
        <v>274</v>
      </c>
      <c r="E77" s="424">
        <f>57.728+5.618</f>
        <v>63.346000000000004</v>
      </c>
      <c r="F77" s="425">
        <v>46134</v>
      </c>
      <c r="G77" s="426" t="s">
        <v>67</v>
      </c>
      <c r="H77" s="423" t="s">
        <v>38</v>
      </c>
      <c r="I77" s="425">
        <v>46158</v>
      </c>
      <c r="J77" s="427"/>
      <c r="K77" s="428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v>76</v>
      </c>
      <c r="B78" s="423" t="s">
        <v>441</v>
      </c>
      <c r="C78" s="423" t="s">
        <v>350</v>
      </c>
      <c r="D78" s="423" t="s">
        <v>351</v>
      </c>
      <c r="E78" s="424">
        <f>3.264+35.862</f>
        <v>39.126000000000005</v>
      </c>
      <c r="F78" s="425">
        <v>46153</v>
      </c>
      <c r="G78" s="426" t="s">
        <v>67</v>
      </c>
      <c r="H78" s="423" t="s">
        <v>38</v>
      </c>
      <c r="I78" s="425">
        <v>46159</v>
      </c>
      <c r="J78" s="427"/>
      <c r="K78" s="428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v>77</v>
      </c>
      <c r="B79" s="423" t="s">
        <v>442</v>
      </c>
      <c r="C79" s="423" t="s">
        <v>373</v>
      </c>
      <c r="D79" s="423" t="s">
        <v>351</v>
      </c>
      <c r="E79" s="424">
        <f>7.224+85.068</f>
        <v>92.292000000000002</v>
      </c>
      <c r="F79" s="425">
        <v>46151</v>
      </c>
      <c r="G79" s="426"/>
      <c r="H79" s="423" t="s">
        <v>38</v>
      </c>
      <c r="I79" s="425">
        <v>46160</v>
      </c>
      <c r="J79" s="427"/>
      <c r="K79" s="428" t="s">
        <v>402</v>
      </c>
      <c r="L79" s="423" t="s">
        <v>353</v>
      </c>
      <c r="M79" s="425">
        <v>46159</v>
      </c>
      <c r="N79" s="423"/>
    </row>
    <row r="80" spans="1:14" ht="25.15" customHeight="1">
      <c r="A80" s="423">
        <v>78</v>
      </c>
      <c r="B80" s="423" t="s">
        <v>445</v>
      </c>
      <c r="C80" s="423" t="s">
        <v>298</v>
      </c>
      <c r="D80" s="423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28" t="s">
        <v>447</v>
      </c>
      <c r="L80" s="423" t="s">
        <v>353</v>
      </c>
      <c r="M80" s="425">
        <v>46150</v>
      </c>
      <c r="N80" s="423"/>
    </row>
    <row r="81" spans="1:14" ht="25.15" customHeight="1">
      <c r="A81" s="423">
        <v>79</v>
      </c>
      <c r="B81" s="423" t="s">
        <v>443</v>
      </c>
      <c r="C81" s="423" t="s">
        <v>357</v>
      </c>
      <c r="D81" s="423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28" t="s">
        <v>433</v>
      </c>
      <c r="L81" s="423" t="s">
        <v>353</v>
      </c>
      <c r="M81" s="425">
        <v>46162</v>
      </c>
      <c r="N81" s="423" t="s">
        <v>444</v>
      </c>
    </row>
    <row r="82" spans="1:14" ht="25.15" customHeight="1">
      <c r="A82" s="423">
        <v>80</v>
      </c>
      <c r="B82" s="423" t="s">
        <v>448</v>
      </c>
      <c r="C82" s="423" t="s">
        <v>357</v>
      </c>
      <c r="D82" s="423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28" t="s">
        <v>402</v>
      </c>
      <c r="L82" s="423" t="s">
        <v>353</v>
      </c>
      <c r="M82" s="425">
        <v>46166</v>
      </c>
      <c r="N82" s="423" t="s">
        <v>67</v>
      </c>
    </row>
    <row r="83" spans="1:14" ht="25.15" customHeight="1">
      <c r="A83" s="423">
        <v>81</v>
      </c>
      <c r="B83" s="423" t="s">
        <v>449</v>
      </c>
      <c r="C83" s="423" t="s">
        <v>357</v>
      </c>
      <c r="D83" s="423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28" t="s">
        <v>433</v>
      </c>
      <c r="L83" s="423" t="s">
        <v>353</v>
      </c>
      <c r="M83" s="425">
        <v>46169</v>
      </c>
      <c r="N83" s="423" t="s">
        <v>67</v>
      </c>
    </row>
    <row r="84" spans="1:14" ht="25.15" customHeight="1">
      <c r="A84" s="423">
        <v>82</v>
      </c>
      <c r="B84" s="423" t="s">
        <v>151</v>
      </c>
      <c r="C84" s="423" t="s">
        <v>335</v>
      </c>
      <c r="D84" s="423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28" t="s">
        <v>409</v>
      </c>
      <c r="L84" s="423" t="s">
        <v>353</v>
      </c>
      <c r="M84" s="425">
        <v>46173</v>
      </c>
      <c r="N84" s="423"/>
    </row>
    <row r="85" spans="1:14" ht="25.15" customHeight="1">
      <c r="A85" s="423">
        <v>83</v>
      </c>
      <c r="B85" s="423" t="s">
        <v>452</v>
      </c>
      <c r="C85" s="423" t="s">
        <v>357</v>
      </c>
      <c r="D85" s="423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28" t="s">
        <v>381</v>
      </c>
      <c r="L85" s="423" t="s">
        <v>353</v>
      </c>
      <c r="M85" s="425">
        <v>46182</v>
      </c>
      <c r="N85" s="423"/>
    </row>
    <row r="86" spans="1:14" ht="25.15" customHeight="1">
      <c r="A86" s="423">
        <v>84</v>
      </c>
      <c r="B86" s="423" t="s">
        <v>453</v>
      </c>
      <c r="C86" s="423" t="s">
        <v>350</v>
      </c>
      <c r="D86" s="423" t="s">
        <v>274</v>
      </c>
      <c r="E86" s="424">
        <f>57.728+5.618</f>
        <v>63.346000000000004</v>
      </c>
      <c r="F86" s="425">
        <v>46170</v>
      </c>
      <c r="G86" s="426"/>
      <c r="H86" s="423" t="s">
        <v>38</v>
      </c>
      <c r="I86" s="425">
        <v>46173</v>
      </c>
      <c r="J86" s="427"/>
      <c r="K86" s="428" t="s">
        <v>433</v>
      </c>
      <c r="L86" s="423" t="s">
        <v>353</v>
      </c>
      <c r="M86" s="425">
        <v>46176</v>
      </c>
      <c r="N86" s="423"/>
    </row>
    <row r="87" spans="1:14" ht="25.15" customHeight="1">
      <c r="A87" s="423">
        <v>85</v>
      </c>
      <c r="B87" s="423" t="s">
        <v>450</v>
      </c>
      <c r="C87" s="423" t="s">
        <v>300</v>
      </c>
      <c r="D87" s="423" t="s">
        <v>420</v>
      </c>
      <c r="E87" s="424">
        <f>111.81+15.7</f>
        <v>127.51</v>
      </c>
      <c r="F87" s="425">
        <v>46164</v>
      </c>
      <c r="G87" s="426"/>
      <c r="H87" s="423" t="s">
        <v>38</v>
      </c>
      <c r="I87" s="425">
        <v>46173</v>
      </c>
      <c r="J87" s="427"/>
      <c r="K87" s="428" t="s">
        <v>451</v>
      </c>
      <c r="L87" s="423" t="s">
        <v>353</v>
      </c>
      <c r="M87" s="425">
        <v>46181</v>
      </c>
      <c r="N87" s="423"/>
    </row>
    <row r="88" spans="1:14" ht="25.15" customHeight="1">
      <c r="A88" s="423">
        <v>86</v>
      </c>
      <c r="B88" s="423" t="s">
        <v>454</v>
      </c>
      <c r="C88" s="423" t="s">
        <v>357</v>
      </c>
      <c r="D88" s="423" t="s">
        <v>351</v>
      </c>
      <c r="E88" s="424">
        <f>37.148+3.486</f>
        <v>40.634</v>
      </c>
      <c r="F88" s="425">
        <v>46170</v>
      </c>
      <c r="G88" s="426" t="s">
        <v>67</v>
      </c>
      <c r="H88" s="423" t="s">
        <v>38</v>
      </c>
      <c r="I88" s="425">
        <v>46179</v>
      </c>
      <c r="J88" s="427"/>
      <c r="K88" s="428" t="s">
        <v>381</v>
      </c>
      <c r="L88" s="423" t="s">
        <v>353</v>
      </c>
      <c r="M88" s="425">
        <v>46181</v>
      </c>
      <c r="N88" s="423" t="s">
        <v>67</v>
      </c>
    </row>
    <row r="89" spans="1:14" ht="25.15" customHeight="1">
      <c r="A89" s="423">
        <v>87</v>
      </c>
      <c r="B89" s="423" t="s">
        <v>456</v>
      </c>
      <c r="C89" s="423" t="s">
        <v>357</v>
      </c>
      <c r="D89" s="423" t="s">
        <v>351</v>
      </c>
      <c r="E89" s="424">
        <f>37.148+3.486</f>
        <v>40.634</v>
      </c>
      <c r="F89" s="425">
        <v>46162</v>
      </c>
      <c r="G89" s="426" t="s">
        <v>67</v>
      </c>
      <c r="H89" s="423" t="s">
        <v>38</v>
      </c>
      <c r="I89" s="425">
        <v>46179</v>
      </c>
      <c r="J89" s="427"/>
      <c r="K89" s="428" t="s">
        <v>457</v>
      </c>
      <c r="L89" s="423"/>
      <c r="M89" s="425"/>
      <c r="N89" s="423" t="s">
        <v>67</v>
      </c>
    </row>
    <row r="90" spans="1:14" ht="25.15" customHeight="1">
      <c r="A90" s="423">
        <v>88</v>
      </c>
      <c r="B90" s="423" t="s">
        <v>455</v>
      </c>
      <c r="C90" s="423" t="s">
        <v>373</v>
      </c>
      <c r="D90" s="423" t="s">
        <v>446</v>
      </c>
      <c r="E90" s="424">
        <f>155.628+13.285</f>
        <v>168.91299999999998</v>
      </c>
      <c r="F90" s="425">
        <v>46170</v>
      </c>
      <c r="G90" s="426" t="s">
        <v>67</v>
      </c>
      <c r="H90" s="423" t="s">
        <v>38</v>
      </c>
      <c r="I90" s="425">
        <v>46183</v>
      </c>
      <c r="J90" s="427"/>
      <c r="K90" s="428" t="s">
        <v>433</v>
      </c>
      <c r="L90" s="423"/>
      <c r="M90" s="425"/>
      <c r="N90" s="423" t="s">
        <v>67</v>
      </c>
    </row>
    <row r="91" spans="1:14" ht="25.15" customHeight="1">
      <c r="A91" s="423">
        <v>89</v>
      </c>
      <c r="B91" s="423" t="s">
        <v>458</v>
      </c>
      <c r="C91" s="423" t="s">
        <v>357</v>
      </c>
      <c r="D91" s="423" t="s">
        <v>351</v>
      </c>
      <c r="E91" s="424">
        <f>37.148+3.486</f>
        <v>40.634</v>
      </c>
      <c r="F91" s="425">
        <v>46176</v>
      </c>
      <c r="G91" s="426" t="s">
        <v>67</v>
      </c>
      <c r="H91" s="423" t="s">
        <v>38</v>
      </c>
      <c r="I91" s="425">
        <v>46184</v>
      </c>
      <c r="J91" s="427"/>
      <c r="K91" s="428" t="s">
        <v>381</v>
      </c>
      <c r="L91" s="423"/>
      <c r="M91" s="425"/>
      <c r="N91" s="423"/>
    </row>
    <row r="92" spans="1:14" ht="25.15" customHeight="1">
      <c r="A92" s="423">
        <v>90</v>
      </c>
      <c r="B92" s="423" t="s">
        <v>459</v>
      </c>
      <c r="C92" s="423" t="s">
        <v>460</v>
      </c>
      <c r="D92" s="423" t="s">
        <v>274</v>
      </c>
      <c r="E92" s="424">
        <v>117.033</v>
      </c>
      <c r="F92" s="425">
        <v>46181</v>
      </c>
      <c r="G92" s="426" t="s">
        <v>67</v>
      </c>
      <c r="H92" s="423" t="s">
        <v>38</v>
      </c>
      <c r="I92" s="425">
        <v>46187</v>
      </c>
      <c r="J92" s="427"/>
      <c r="K92" s="428" t="s">
        <v>433</v>
      </c>
      <c r="L92" s="423" t="s">
        <v>353</v>
      </c>
      <c r="M92" s="425">
        <v>46188</v>
      </c>
      <c r="N92" s="423"/>
    </row>
    <row r="93" spans="1:14" ht="25.15" customHeight="1">
      <c r="A93" s="423">
        <v>91</v>
      </c>
      <c r="B93" s="423" t="s">
        <v>580</v>
      </c>
      <c r="C93" s="423" t="s">
        <v>350</v>
      </c>
      <c r="D93" s="423" t="s">
        <v>274</v>
      </c>
      <c r="E93" s="424">
        <v>63.346000000000004</v>
      </c>
      <c r="F93" s="425">
        <v>46181</v>
      </c>
      <c r="G93" s="426" t="s">
        <v>67</v>
      </c>
      <c r="H93" s="423" t="s">
        <v>38</v>
      </c>
      <c r="I93" s="425">
        <v>46187</v>
      </c>
      <c r="J93" s="427"/>
      <c r="K93" s="428" t="s">
        <v>402</v>
      </c>
      <c r="L93" s="423" t="s">
        <v>353</v>
      </c>
      <c r="M93" s="425">
        <v>46188</v>
      </c>
      <c r="N93" s="423"/>
    </row>
    <row r="94" spans="1:14" ht="25.15" customHeight="1">
      <c r="A94" s="423">
        <v>92</v>
      </c>
      <c r="B94" s="423" t="s">
        <v>555</v>
      </c>
      <c r="C94" s="423" t="s">
        <v>350</v>
      </c>
      <c r="D94" s="423" t="s">
        <v>351</v>
      </c>
      <c r="E94" s="424">
        <v>39.126000000000005</v>
      </c>
      <c r="F94" s="425">
        <v>46181</v>
      </c>
      <c r="G94" s="426" t="s">
        <v>67</v>
      </c>
      <c r="H94" s="423" t="s">
        <v>38</v>
      </c>
      <c r="I94" s="425">
        <v>46188</v>
      </c>
      <c r="J94" s="427"/>
      <c r="K94" s="428" t="s">
        <v>426</v>
      </c>
      <c r="L94" s="423" t="s">
        <v>353</v>
      </c>
      <c r="M94" s="425">
        <v>46189</v>
      </c>
      <c r="N94" s="423"/>
    </row>
    <row r="95" spans="1:14" ht="25.15" customHeight="1">
      <c r="A95" s="423">
        <v>93</v>
      </c>
      <c r="B95" s="423" t="s">
        <v>562</v>
      </c>
      <c r="C95" s="423" t="s">
        <v>396</v>
      </c>
      <c r="D95" s="423" t="s">
        <v>274</v>
      </c>
      <c r="E95" s="424">
        <f>5.618+57.728</f>
        <v>63.346000000000004</v>
      </c>
      <c r="F95" s="425">
        <v>46188</v>
      </c>
      <c r="G95" s="426"/>
      <c r="H95" s="423" t="s">
        <v>38</v>
      </c>
      <c r="I95" s="425">
        <v>46193</v>
      </c>
      <c r="J95" s="427"/>
      <c r="K95" s="428" t="s">
        <v>433</v>
      </c>
      <c r="L95" s="423"/>
      <c r="M95" s="425"/>
      <c r="N95" s="423"/>
    </row>
    <row r="96" spans="1:14" ht="25.15" customHeight="1">
      <c r="A96" s="423">
        <v>94</v>
      </c>
      <c r="B96" s="423" t="s">
        <v>552</v>
      </c>
      <c r="C96" s="423" t="s">
        <v>373</v>
      </c>
      <c r="D96" s="423" t="s">
        <v>274</v>
      </c>
      <c r="E96" s="424">
        <v>134.785</v>
      </c>
      <c r="F96" s="425">
        <v>46185</v>
      </c>
      <c r="G96" s="426" t="s">
        <v>67</v>
      </c>
      <c r="H96" s="423" t="s">
        <v>38</v>
      </c>
      <c r="I96" s="425">
        <v>46198</v>
      </c>
      <c r="J96" s="427"/>
      <c r="K96" s="428" t="s">
        <v>1085</v>
      </c>
      <c r="L96" s="423" t="s">
        <v>353</v>
      </c>
      <c r="M96" s="425">
        <v>46199</v>
      </c>
      <c r="N96" s="423"/>
    </row>
    <row r="97" spans="1:3185" ht="25.15" customHeight="1">
      <c r="A97" s="423">
        <v>95</v>
      </c>
      <c r="B97" s="423" t="s">
        <v>559</v>
      </c>
      <c r="C97" s="423" t="s">
        <v>561</v>
      </c>
      <c r="D97" s="423" t="s">
        <v>274</v>
      </c>
      <c r="E97" s="424">
        <v>65.631</v>
      </c>
      <c r="F97" s="425">
        <v>46194</v>
      </c>
      <c r="G97" s="426" t="s">
        <v>67</v>
      </c>
      <c r="H97" s="423" t="s">
        <v>38</v>
      </c>
      <c r="I97" s="425">
        <v>46198</v>
      </c>
      <c r="J97" s="427"/>
      <c r="K97" s="428" t="s">
        <v>433</v>
      </c>
      <c r="L97" s="423" t="s">
        <v>353</v>
      </c>
      <c r="M97" s="425">
        <v>46199</v>
      </c>
      <c r="N97" s="423"/>
    </row>
    <row r="98" spans="1:3185" ht="100.5" customHeight="1">
      <c r="A98" s="488">
        <v>96</v>
      </c>
      <c r="B98" s="494" t="s">
        <v>567</v>
      </c>
      <c r="C98" s="495" t="s">
        <v>300</v>
      </c>
      <c r="D98" s="489" t="s">
        <v>274</v>
      </c>
      <c r="E98" s="493">
        <v>89.905000000000001</v>
      </c>
      <c r="F98" s="490">
        <v>46193</v>
      </c>
      <c r="G98" s="495" t="s">
        <v>1182</v>
      </c>
      <c r="H98" s="488"/>
      <c r="I98" s="490" t="s">
        <v>67</v>
      </c>
      <c r="J98" s="491"/>
      <c r="K98" s="492" t="s">
        <v>355</v>
      </c>
      <c r="L98" s="488"/>
      <c r="M98" s="496"/>
      <c r="N98" s="488"/>
    </row>
    <row r="99" spans="1:3185" ht="3" hidden="1" customHeight="1">
      <c r="A99" s="488">
        <v>96</v>
      </c>
      <c r="B99" s="494" t="s">
        <v>579</v>
      </c>
      <c r="C99" s="495" t="s">
        <v>350</v>
      </c>
      <c r="D99" s="489" t="s">
        <v>351</v>
      </c>
      <c r="E99" s="493">
        <v>39.126000000000005</v>
      </c>
      <c r="F99" s="490" t="s">
        <v>1097</v>
      </c>
      <c r="G99" s="538" t="s">
        <v>1180</v>
      </c>
      <c r="H99" s="488"/>
      <c r="I99" s="490"/>
      <c r="J99" s="491"/>
      <c r="K99" s="492" t="s">
        <v>1089</v>
      </c>
      <c r="L99" s="490"/>
      <c r="M99" s="496"/>
      <c r="N99" s="488"/>
    </row>
    <row r="100" spans="1:3185" ht="45.65" customHeight="1">
      <c r="A100" s="488">
        <v>98</v>
      </c>
      <c r="B100" s="494" t="s">
        <v>625</v>
      </c>
      <c r="C100" s="495" t="s">
        <v>902</v>
      </c>
      <c r="D100" s="489" t="s">
        <v>274</v>
      </c>
      <c r="E100" s="493"/>
      <c r="F100" s="490"/>
      <c r="G100" s="539"/>
      <c r="H100" s="488"/>
      <c r="I100" s="490"/>
      <c r="J100" s="491"/>
      <c r="K100" s="492" t="s">
        <v>67</v>
      </c>
      <c r="L100" s="488"/>
      <c r="M100" s="496"/>
      <c r="N100" s="488"/>
    </row>
    <row r="101" spans="1:3185" ht="30" customHeight="1">
      <c r="A101" s="387"/>
      <c r="B101" s="388"/>
      <c r="C101" s="389"/>
      <c r="D101" s="390"/>
      <c r="E101" s="391"/>
      <c r="F101" s="421"/>
      <c r="G101" s="396"/>
      <c r="H101" s="392"/>
      <c r="I101" s="422"/>
      <c r="J101" s="394"/>
      <c r="K101" s="411"/>
      <c r="M101" s="408"/>
    </row>
    <row r="102" spans="1:3185" ht="30" customHeight="1">
      <c r="A102" s="387"/>
      <c r="B102" s="388"/>
      <c r="C102" s="389"/>
      <c r="D102" s="390"/>
      <c r="E102" s="391"/>
      <c r="F102" s="421"/>
      <c r="G102" s="396"/>
      <c r="H102" s="406"/>
      <c r="I102" s="422"/>
      <c r="J102" s="394"/>
      <c r="K102" s="411"/>
      <c r="M102" s="408"/>
    </row>
    <row r="103" spans="1:3185" ht="30" customHeight="1">
      <c r="A103" s="387"/>
      <c r="B103" s="388"/>
      <c r="C103" s="389"/>
      <c r="D103" s="390"/>
      <c r="E103" s="391"/>
      <c r="F103" s="421"/>
      <c r="G103" s="396"/>
      <c r="H103" s="406"/>
      <c r="I103" s="422"/>
      <c r="J103" s="394"/>
      <c r="K103" s="411"/>
    </row>
    <row r="104" spans="1:3185" ht="30" customHeight="1">
      <c r="A104" s="387"/>
      <c r="B104" s="388"/>
      <c r="C104" s="389"/>
      <c r="D104" s="390"/>
      <c r="E104" s="391"/>
      <c r="F104" s="421"/>
      <c r="G104" s="399"/>
      <c r="H104" s="406"/>
      <c r="I104" s="422"/>
      <c r="J104" s="394"/>
      <c r="K104" s="411"/>
      <c r="M104" s="408"/>
    </row>
    <row r="105" spans="1:3185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3185" ht="30" customHeight="1">
      <c r="A106" s="387"/>
      <c r="B106" s="388"/>
      <c r="C106" s="389"/>
      <c r="D106" s="390"/>
      <c r="E106" s="391"/>
      <c r="F106" s="421"/>
      <c r="G106" s="396"/>
      <c r="H106" s="406"/>
      <c r="I106" s="422"/>
      <c r="J106" s="394"/>
      <c r="K106" s="411"/>
      <c r="M106" s="408"/>
    </row>
    <row r="107" spans="1:3185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3185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</row>
    <row r="109" spans="1:3185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  <c r="M109" s="408"/>
    </row>
    <row r="110" spans="1:3185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  <c r="AA110" s="386"/>
      <c r="AB110" s="386"/>
      <c r="AC110" s="386"/>
      <c r="AD110" s="386"/>
      <c r="AE110" s="386"/>
      <c r="AF110" s="386"/>
      <c r="AG110" s="386"/>
      <c r="AH110" s="386"/>
      <c r="AI110" s="386"/>
      <c r="AJ110" s="386"/>
      <c r="AK110" s="386"/>
      <c r="AL110" s="386"/>
      <c r="AM110" s="386"/>
      <c r="AN110" s="386"/>
      <c r="AO110" s="386"/>
      <c r="AP110" s="386"/>
      <c r="AQ110" s="386"/>
      <c r="AR110" s="386"/>
      <c r="AS110" s="386"/>
      <c r="AT110" s="386"/>
      <c r="AU110" s="386"/>
      <c r="AV110" s="386"/>
      <c r="AW110" s="386"/>
      <c r="AX110" s="386"/>
      <c r="AY110" s="386"/>
      <c r="AZ110" s="386"/>
      <c r="BA110" s="386"/>
      <c r="BB110" s="386"/>
      <c r="BC110" s="386"/>
      <c r="BD110" s="386"/>
      <c r="BE110" s="386"/>
      <c r="BF110" s="386"/>
      <c r="BG110" s="386"/>
      <c r="BH110" s="386"/>
      <c r="BI110" s="386"/>
      <c r="BJ110" s="386"/>
      <c r="BK110" s="386"/>
      <c r="BL110" s="386"/>
      <c r="BM110" s="386"/>
      <c r="BN110" s="386"/>
      <c r="BO110" s="386"/>
      <c r="BP110" s="386"/>
      <c r="BQ110" s="386"/>
      <c r="BR110" s="386"/>
      <c r="BS110" s="386"/>
      <c r="BT110" s="386"/>
      <c r="BU110" s="386"/>
      <c r="BV110" s="386"/>
      <c r="BW110" s="386"/>
      <c r="BX110" s="386"/>
      <c r="BY110" s="386"/>
      <c r="BZ110" s="386"/>
      <c r="CA110" s="386"/>
      <c r="CB110" s="386"/>
      <c r="CC110" s="386"/>
      <c r="CD110" s="386"/>
      <c r="CE110" s="386"/>
      <c r="CF110" s="386"/>
      <c r="CG110" s="386"/>
      <c r="CH110" s="386"/>
      <c r="CI110" s="386"/>
      <c r="CJ110" s="386"/>
      <c r="CK110" s="386"/>
      <c r="CL110" s="386"/>
      <c r="CM110" s="386"/>
      <c r="CN110" s="386"/>
      <c r="CO110" s="386"/>
      <c r="CP110" s="386"/>
      <c r="CQ110" s="386"/>
      <c r="CR110" s="386"/>
      <c r="CS110" s="386"/>
      <c r="CT110" s="386"/>
      <c r="CU110" s="386"/>
      <c r="CV110" s="386"/>
      <c r="CW110" s="386"/>
      <c r="CX110" s="386"/>
      <c r="CY110" s="386"/>
      <c r="CZ110" s="386"/>
      <c r="DA110" s="386"/>
      <c r="DB110" s="386"/>
      <c r="DC110" s="386"/>
      <c r="DD110" s="386"/>
      <c r="DE110" s="386"/>
      <c r="DF110" s="386"/>
      <c r="DG110" s="386"/>
      <c r="DH110" s="386"/>
      <c r="DI110" s="386"/>
      <c r="DJ110" s="386"/>
      <c r="DK110" s="386"/>
      <c r="DL110" s="386"/>
      <c r="DM110" s="386"/>
      <c r="DN110" s="386"/>
      <c r="DO110" s="386"/>
      <c r="DP110" s="386"/>
      <c r="DQ110" s="386"/>
      <c r="DR110" s="386"/>
      <c r="DS110" s="386"/>
      <c r="DT110" s="386"/>
      <c r="DU110" s="386"/>
      <c r="DV110" s="386"/>
      <c r="DW110" s="386"/>
      <c r="DX110" s="386"/>
      <c r="DY110" s="386"/>
      <c r="DZ110" s="386"/>
      <c r="EA110" s="386"/>
      <c r="EB110" s="386"/>
      <c r="EC110" s="386"/>
      <c r="ED110" s="386"/>
      <c r="EE110" s="386"/>
      <c r="EF110" s="386"/>
      <c r="EG110" s="386"/>
      <c r="EH110" s="386"/>
      <c r="EI110" s="386"/>
      <c r="EJ110" s="386"/>
      <c r="EK110" s="386"/>
      <c r="EL110" s="386"/>
      <c r="EM110" s="386"/>
      <c r="EN110" s="386"/>
      <c r="EO110" s="386"/>
      <c r="EP110" s="386"/>
      <c r="EQ110" s="386"/>
      <c r="ER110" s="386"/>
      <c r="ES110" s="386"/>
      <c r="ET110" s="386"/>
      <c r="EU110" s="386"/>
      <c r="EV110" s="386"/>
      <c r="EW110" s="386"/>
      <c r="EX110" s="386"/>
      <c r="EY110" s="386"/>
      <c r="EZ110" s="386"/>
      <c r="FA110" s="386"/>
      <c r="FB110" s="386"/>
      <c r="FC110" s="386"/>
      <c r="FD110" s="386"/>
      <c r="FE110" s="386"/>
      <c r="FF110" s="386"/>
      <c r="FG110" s="386"/>
      <c r="FH110" s="386"/>
      <c r="FI110" s="386"/>
      <c r="FJ110" s="386"/>
      <c r="FK110" s="386"/>
      <c r="FL110" s="386"/>
      <c r="FM110" s="386"/>
      <c r="FN110" s="386"/>
      <c r="FO110" s="386"/>
      <c r="FP110" s="386"/>
      <c r="FQ110" s="386"/>
      <c r="FR110" s="386"/>
      <c r="FS110" s="386"/>
      <c r="FT110" s="386"/>
      <c r="FU110" s="386"/>
      <c r="FV110" s="386"/>
      <c r="FW110" s="386"/>
      <c r="FX110" s="386"/>
      <c r="FY110" s="386"/>
      <c r="FZ110" s="386"/>
      <c r="GA110" s="386"/>
      <c r="GB110" s="386"/>
      <c r="GC110" s="386"/>
      <c r="GD110" s="386"/>
      <c r="GE110" s="386"/>
      <c r="GF110" s="386"/>
      <c r="GG110" s="386"/>
      <c r="GH110" s="386"/>
      <c r="GI110" s="386"/>
      <c r="GJ110" s="386"/>
      <c r="GK110" s="386"/>
      <c r="GL110" s="386"/>
      <c r="GM110" s="386"/>
      <c r="GN110" s="386"/>
      <c r="GO110" s="386"/>
      <c r="GP110" s="386"/>
      <c r="GQ110" s="386"/>
      <c r="GR110" s="386"/>
      <c r="GS110" s="386"/>
      <c r="GT110" s="386"/>
      <c r="GU110" s="386"/>
      <c r="GV110" s="386"/>
      <c r="GW110" s="386"/>
      <c r="GX110" s="386"/>
      <c r="GY110" s="386"/>
      <c r="GZ110" s="386"/>
      <c r="HA110" s="386"/>
      <c r="HB110" s="386"/>
      <c r="HC110" s="386"/>
      <c r="HD110" s="386"/>
      <c r="HE110" s="386"/>
      <c r="HF110" s="386"/>
      <c r="HG110" s="386"/>
      <c r="HH110" s="386"/>
      <c r="HI110" s="386"/>
      <c r="HJ110" s="386"/>
      <c r="HK110" s="386"/>
      <c r="HL110" s="386"/>
      <c r="HM110" s="386"/>
      <c r="HN110" s="386"/>
      <c r="HO110" s="386"/>
      <c r="HP110" s="386"/>
      <c r="HQ110" s="386"/>
      <c r="HR110" s="386"/>
      <c r="HS110" s="386"/>
      <c r="HT110" s="386"/>
      <c r="HU110" s="386"/>
      <c r="HV110" s="386"/>
      <c r="HW110" s="386"/>
      <c r="HX110" s="386"/>
      <c r="HY110" s="386"/>
      <c r="HZ110" s="386"/>
      <c r="IA110" s="386"/>
      <c r="IB110" s="386"/>
      <c r="IC110" s="386"/>
      <c r="ID110" s="386"/>
      <c r="IE110" s="386"/>
      <c r="IF110" s="386"/>
      <c r="IG110" s="386"/>
      <c r="IH110" s="386"/>
      <c r="II110" s="386"/>
      <c r="IJ110" s="386"/>
      <c r="IK110" s="386"/>
      <c r="IL110" s="386"/>
      <c r="IM110" s="386"/>
      <c r="IN110" s="386"/>
      <c r="IO110" s="386"/>
      <c r="IP110" s="386"/>
      <c r="IQ110" s="386"/>
      <c r="IR110" s="386"/>
      <c r="IS110" s="386"/>
      <c r="IT110" s="386"/>
      <c r="IU110" s="386"/>
      <c r="IV110" s="386"/>
      <c r="IW110" s="386"/>
      <c r="IX110" s="386"/>
      <c r="IY110" s="386"/>
      <c r="IZ110" s="386"/>
      <c r="JA110" s="386"/>
      <c r="JB110" s="386"/>
      <c r="JC110" s="386"/>
      <c r="JD110" s="386"/>
      <c r="JE110" s="386"/>
      <c r="JF110" s="386"/>
      <c r="JG110" s="386"/>
      <c r="JH110" s="386"/>
      <c r="JI110" s="386"/>
      <c r="JJ110" s="386"/>
      <c r="JK110" s="386"/>
      <c r="JL110" s="386"/>
      <c r="JM110" s="386"/>
      <c r="JN110" s="386"/>
      <c r="JO110" s="386"/>
      <c r="JP110" s="386"/>
      <c r="JQ110" s="386"/>
      <c r="JR110" s="386"/>
      <c r="JS110" s="386"/>
      <c r="JT110" s="386"/>
      <c r="JU110" s="386"/>
      <c r="JV110" s="386"/>
      <c r="JW110" s="386"/>
      <c r="JX110" s="386"/>
      <c r="JY110" s="386"/>
      <c r="JZ110" s="386"/>
      <c r="KA110" s="386"/>
      <c r="KB110" s="386"/>
      <c r="KC110" s="386"/>
      <c r="KD110" s="386"/>
      <c r="KE110" s="386"/>
      <c r="KF110" s="386"/>
      <c r="KG110" s="386"/>
      <c r="KH110" s="386"/>
      <c r="KI110" s="386"/>
      <c r="KJ110" s="386"/>
      <c r="KK110" s="386"/>
      <c r="KL110" s="386"/>
      <c r="KM110" s="386"/>
      <c r="KN110" s="386"/>
      <c r="KO110" s="386"/>
      <c r="KP110" s="386"/>
      <c r="KQ110" s="386"/>
      <c r="KR110" s="386"/>
      <c r="KS110" s="386"/>
      <c r="KT110" s="386"/>
      <c r="KU110" s="386"/>
      <c r="KV110" s="386"/>
      <c r="KW110" s="386"/>
      <c r="KX110" s="386"/>
      <c r="KY110" s="386"/>
      <c r="KZ110" s="386"/>
      <c r="LA110" s="386"/>
      <c r="LB110" s="386"/>
      <c r="LC110" s="386"/>
      <c r="LD110" s="386"/>
      <c r="LE110" s="386"/>
      <c r="LF110" s="386"/>
      <c r="LG110" s="386"/>
      <c r="LH110" s="386"/>
      <c r="LI110" s="386"/>
      <c r="LJ110" s="386"/>
      <c r="LK110" s="386"/>
      <c r="LL110" s="386"/>
      <c r="LM110" s="386"/>
      <c r="LN110" s="386"/>
      <c r="LO110" s="386"/>
      <c r="LP110" s="386"/>
      <c r="LQ110" s="386"/>
      <c r="LR110" s="386"/>
      <c r="LS110" s="386"/>
      <c r="LT110" s="386"/>
      <c r="LU110" s="386"/>
      <c r="LV110" s="386"/>
      <c r="LW110" s="386"/>
      <c r="LX110" s="386"/>
      <c r="LY110" s="386"/>
      <c r="LZ110" s="386"/>
      <c r="MA110" s="386"/>
      <c r="MB110" s="386"/>
      <c r="MC110" s="386"/>
      <c r="MD110" s="386"/>
      <c r="ME110" s="386"/>
      <c r="MF110" s="386"/>
      <c r="MG110" s="386"/>
      <c r="MH110" s="386"/>
      <c r="MI110" s="386"/>
      <c r="MJ110" s="386"/>
      <c r="MK110" s="386"/>
      <c r="ML110" s="386"/>
      <c r="MM110" s="386"/>
      <c r="MN110" s="386"/>
      <c r="MO110" s="386"/>
      <c r="MP110" s="386"/>
      <c r="MQ110" s="386"/>
      <c r="MR110" s="386"/>
      <c r="MS110" s="386"/>
      <c r="MT110" s="386"/>
      <c r="MU110" s="386"/>
      <c r="MV110" s="386"/>
      <c r="MW110" s="386"/>
      <c r="MX110" s="386"/>
      <c r="MY110" s="386"/>
      <c r="MZ110" s="386"/>
      <c r="NA110" s="386"/>
      <c r="NB110" s="386"/>
      <c r="NC110" s="386"/>
      <c r="ND110" s="386"/>
      <c r="NE110" s="386"/>
      <c r="NF110" s="386"/>
      <c r="NG110" s="386"/>
      <c r="NH110" s="386"/>
      <c r="NI110" s="386"/>
      <c r="NJ110" s="386"/>
      <c r="NK110" s="386"/>
      <c r="NL110" s="386"/>
      <c r="NM110" s="386"/>
      <c r="NN110" s="386"/>
      <c r="NO110" s="386"/>
      <c r="NP110" s="386"/>
      <c r="NQ110" s="386"/>
      <c r="NR110" s="386"/>
      <c r="NS110" s="386"/>
      <c r="NT110" s="386"/>
      <c r="NU110" s="386"/>
      <c r="NV110" s="386"/>
      <c r="NW110" s="386"/>
      <c r="NX110" s="386"/>
      <c r="NY110" s="386"/>
      <c r="NZ110" s="386"/>
      <c r="OA110" s="386"/>
      <c r="OB110" s="386"/>
      <c r="OC110" s="386"/>
      <c r="OD110" s="386"/>
      <c r="OE110" s="386"/>
      <c r="OF110" s="386"/>
      <c r="OG110" s="386"/>
      <c r="OH110" s="386"/>
      <c r="OI110" s="386"/>
      <c r="OJ110" s="386"/>
      <c r="OK110" s="386"/>
      <c r="OL110" s="386"/>
      <c r="OM110" s="386"/>
      <c r="ON110" s="386"/>
      <c r="OO110" s="386"/>
      <c r="OP110" s="386"/>
      <c r="OQ110" s="386"/>
      <c r="OR110" s="386"/>
      <c r="OS110" s="386"/>
      <c r="OT110" s="386"/>
      <c r="OU110" s="386"/>
      <c r="OV110" s="386"/>
      <c r="OW110" s="386"/>
      <c r="OX110" s="386"/>
      <c r="OY110" s="386"/>
      <c r="OZ110" s="386"/>
      <c r="PA110" s="386"/>
      <c r="PB110" s="386"/>
      <c r="PC110" s="386"/>
      <c r="PD110" s="386"/>
      <c r="PE110" s="386"/>
      <c r="PF110" s="386"/>
      <c r="PG110" s="386"/>
      <c r="PH110" s="386"/>
      <c r="PI110" s="386"/>
      <c r="PJ110" s="386"/>
      <c r="PK110" s="386"/>
      <c r="PL110" s="386"/>
      <c r="PM110" s="386"/>
      <c r="PN110" s="386"/>
      <c r="PO110" s="386"/>
      <c r="PP110" s="386"/>
      <c r="PQ110" s="386"/>
      <c r="PR110" s="386"/>
      <c r="PS110" s="386"/>
      <c r="PT110" s="386"/>
      <c r="PU110" s="386"/>
      <c r="PV110" s="386"/>
      <c r="PW110" s="386"/>
      <c r="PX110" s="386"/>
      <c r="PY110" s="386"/>
      <c r="PZ110" s="386"/>
      <c r="QA110" s="386"/>
      <c r="QB110" s="386"/>
      <c r="QC110" s="386"/>
      <c r="QD110" s="386"/>
      <c r="QE110" s="386"/>
      <c r="QF110" s="386"/>
      <c r="QG110" s="386"/>
      <c r="QH110" s="386"/>
      <c r="QI110" s="386"/>
      <c r="QJ110" s="386"/>
      <c r="QK110" s="386"/>
      <c r="QL110" s="386"/>
      <c r="QM110" s="386"/>
      <c r="QN110" s="386"/>
      <c r="QO110" s="386"/>
      <c r="QP110" s="386"/>
      <c r="QQ110" s="386"/>
      <c r="QR110" s="386"/>
      <c r="QS110" s="386"/>
      <c r="QT110" s="386"/>
      <c r="QU110" s="386"/>
      <c r="QV110" s="386"/>
      <c r="QW110" s="386"/>
      <c r="QX110" s="386"/>
      <c r="QY110" s="386"/>
      <c r="QZ110" s="386"/>
      <c r="RA110" s="386"/>
      <c r="RB110" s="386"/>
      <c r="RC110" s="386"/>
      <c r="RD110" s="386"/>
      <c r="RE110" s="386"/>
      <c r="RF110" s="386"/>
      <c r="RG110" s="386"/>
      <c r="RH110" s="386"/>
      <c r="RI110" s="386"/>
      <c r="RJ110" s="386"/>
      <c r="RK110" s="386"/>
      <c r="RL110" s="386"/>
      <c r="RM110" s="386"/>
      <c r="RN110" s="386"/>
      <c r="RO110" s="386"/>
      <c r="RP110" s="386"/>
      <c r="RQ110" s="386"/>
      <c r="RR110" s="386"/>
      <c r="RS110" s="386"/>
      <c r="RT110" s="386"/>
      <c r="RU110" s="386"/>
      <c r="RV110" s="386"/>
      <c r="RW110" s="386"/>
      <c r="RX110" s="386"/>
      <c r="RY110" s="386"/>
      <c r="RZ110" s="386"/>
      <c r="SA110" s="386"/>
      <c r="SB110" s="386"/>
      <c r="SC110" s="386"/>
      <c r="SD110" s="386"/>
      <c r="SE110" s="386"/>
      <c r="SF110" s="386"/>
      <c r="SG110" s="386"/>
      <c r="SH110" s="386"/>
      <c r="SI110" s="386"/>
      <c r="SJ110" s="386"/>
      <c r="SK110" s="386"/>
      <c r="SL110" s="386"/>
      <c r="SM110" s="386"/>
      <c r="SN110" s="386"/>
      <c r="SO110" s="386"/>
      <c r="SP110" s="386"/>
      <c r="SQ110" s="386"/>
      <c r="SR110" s="386"/>
      <c r="SS110" s="386"/>
      <c r="ST110" s="386"/>
      <c r="SU110" s="386"/>
      <c r="SV110" s="386"/>
      <c r="SW110" s="386"/>
      <c r="SX110" s="386"/>
      <c r="SY110" s="386"/>
      <c r="SZ110" s="386"/>
      <c r="TA110" s="386"/>
      <c r="TB110" s="386"/>
      <c r="TC110" s="386"/>
      <c r="TD110" s="386"/>
      <c r="TE110" s="386"/>
      <c r="TF110" s="386"/>
      <c r="TG110" s="386"/>
      <c r="TH110" s="386"/>
      <c r="TI110" s="386"/>
      <c r="TJ110" s="386"/>
      <c r="TK110" s="386"/>
      <c r="TL110" s="386"/>
      <c r="TM110" s="386"/>
      <c r="TN110" s="386"/>
      <c r="TO110" s="386"/>
      <c r="TP110" s="386"/>
      <c r="TQ110" s="386"/>
      <c r="TR110" s="386"/>
      <c r="TS110" s="386"/>
      <c r="TT110" s="386"/>
      <c r="TU110" s="386"/>
      <c r="TV110" s="386"/>
      <c r="TW110" s="386"/>
      <c r="TX110" s="386"/>
      <c r="TY110" s="386"/>
      <c r="TZ110" s="386"/>
      <c r="UA110" s="386"/>
      <c r="UB110" s="386"/>
      <c r="UC110" s="386"/>
      <c r="UD110" s="386"/>
      <c r="UE110" s="386"/>
      <c r="UF110" s="386"/>
      <c r="UG110" s="386"/>
      <c r="UH110" s="386"/>
      <c r="UI110" s="386"/>
      <c r="UJ110" s="386"/>
      <c r="UK110" s="386"/>
      <c r="UL110" s="386"/>
      <c r="UM110" s="386"/>
      <c r="UN110" s="386"/>
      <c r="UO110" s="386"/>
      <c r="UP110" s="386"/>
      <c r="UQ110" s="386"/>
      <c r="UR110" s="386"/>
      <c r="US110" s="386"/>
      <c r="UT110" s="386"/>
      <c r="UU110" s="386"/>
      <c r="UV110" s="386"/>
      <c r="UW110" s="386"/>
      <c r="UX110" s="386"/>
      <c r="UY110" s="386"/>
      <c r="UZ110" s="386"/>
      <c r="VA110" s="386"/>
      <c r="VB110" s="386"/>
      <c r="VC110" s="386"/>
      <c r="VD110" s="386"/>
      <c r="VE110" s="386"/>
      <c r="VF110" s="386"/>
      <c r="VG110" s="386"/>
      <c r="VH110" s="386"/>
      <c r="VI110" s="386"/>
      <c r="VJ110" s="386"/>
      <c r="VK110" s="386"/>
      <c r="VL110" s="386"/>
      <c r="VM110" s="386"/>
      <c r="VN110" s="386"/>
      <c r="VO110" s="386"/>
      <c r="VP110" s="386"/>
      <c r="VQ110" s="386"/>
      <c r="VR110" s="386"/>
      <c r="VS110" s="386"/>
      <c r="VT110" s="386"/>
      <c r="VU110" s="386"/>
      <c r="VV110" s="386"/>
      <c r="VW110" s="386"/>
      <c r="VX110" s="386"/>
      <c r="VY110" s="386"/>
      <c r="VZ110" s="386"/>
      <c r="WA110" s="386"/>
      <c r="WB110" s="386"/>
      <c r="WC110" s="386"/>
      <c r="WD110" s="386"/>
      <c r="WE110" s="386"/>
      <c r="WF110" s="386"/>
      <c r="WG110" s="386"/>
      <c r="WH110" s="386"/>
      <c r="WI110" s="386"/>
      <c r="WJ110" s="386"/>
      <c r="WK110" s="386"/>
      <c r="WL110" s="386"/>
      <c r="WM110" s="386"/>
      <c r="WN110" s="386"/>
      <c r="WO110" s="386"/>
      <c r="WP110" s="386"/>
      <c r="WQ110" s="386"/>
      <c r="WR110" s="386"/>
      <c r="WS110" s="386"/>
      <c r="WT110" s="386"/>
      <c r="WU110" s="386"/>
      <c r="WV110" s="386"/>
      <c r="WW110" s="386"/>
      <c r="WX110" s="386"/>
      <c r="WY110" s="386"/>
      <c r="WZ110" s="386"/>
      <c r="XA110" s="386"/>
      <c r="XB110" s="386"/>
      <c r="XC110" s="386"/>
      <c r="XD110" s="386"/>
      <c r="XE110" s="386"/>
      <c r="XF110" s="386"/>
      <c r="XG110" s="386"/>
      <c r="XH110" s="386"/>
      <c r="XI110" s="386"/>
      <c r="XJ110" s="386"/>
      <c r="XK110" s="386"/>
      <c r="XL110" s="386"/>
      <c r="XM110" s="386"/>
      <c r="XN110" s="386"/>
      <c r="XO110" s="386"/>
      <c r="XP110" s="386"/>
      <c r="XQ110" s="386"/>
      <c r="XR110" s="386"/>
      <c r="XS110" s="386"/>
      <c r="XT110" s="386"/>
      <c r="XU110" s="386"/>
      <c r="XV110" s="386"/>
      <c r="XW110" s="386"/>
      <c r="XX110" s="386"/>
      <c r="XY110" s="386"/>
      <c r="XZ110" s="386"/>
      <c r="YA110" s="386"/>
      <c r="YB110" s="386"/>
      <c r="YC110" s="386"/>
      <c r="YD110" s="386"/>
      <c r="YE110" s="386"/>
      <c r="YF110" s="386"/>
      <c r="YG110" s="386"/>
      <c r="YH110" s="386"/>
      <c r="YI110" s="386"/>
      <c r="YJ110" s="386"/>
      <c r="YK110" s="386"/>
      <c r="YL110" s="386"/>
      <c r="YM110" s="386"/>
      <c r="YN110" s="386"/>
      <c r="YO110" s="386"/>
      <c r="YP110" s="386"/>
      <c r="YQ110" s="386"/>
      <c r="YR110" s="386"/>
      <c r="YS110" s="386"/>
      <c r="YT110" s="386"/>
      <c r="YU110" s="386"/>
      <c r="YV110" s="386"/>
      <c r="YW110" s="386"/>
      <c r="YX110" s="386"/>
      <c r="YY110" s="386"/>
      <c r="YZ110" s="386"/>
      <c r="ZA110" s="386"/>
      <c r="ZB110" s="386"/>
      <c r="ZC110" s="386"/>
      <c r="ZD110" s="386"/>
      <c r="ZE110" s="386"/>
      <c r="ZF110" s="386"/>
      <c r="ZG110" s="386"/>
      <c r="ZH110" s="386"/>
      <c r="ZI110" s="386"/>
      <c r="ZJ110" s="386"/>
      <c r="ZK110" s="386"/>
      <c r="ZL110" s="386"/>
      <c r="ZM110" s="386"/>
      <c r="ZN110" s="386"/>
      <c r="ZO110" s="386"/>
      <c r="ZP110" s="386"/>
      <c r="ZQ110" s="386"/>
      <c r="ZR110" s="386"/>
      <c r="ZS110" s="386"/>
      <c r="ZT110" s="386"/>
      <c r="ZU110" s="386"/>
      <c r="ZV110" s="386"/>
      <c r="ZW110" s="386"/>
      <c r="ZX110" s="386"/>
      <c r="ZY110" s="386"/>
      <c r="ZZ110" s="386"/>
      <c r="AAA110" s="386"/>
      <c r="AAB110" s="386"/>
      <c r="AAC110" s="386"/>
      <c r="AAD110" s="386"/>
      <c r="AAE110" s="386"/>
      <c r="AAF110" s="386"/>
      <c r="AAG110" s="386"/>
      <c r="AAH110" s="386"/>
      <c r="AAI110" s="386"/>
      <c r="AAJ110" s="386"/>
      <c r="AAK110" s="386"/>
      <c r="AAL110" s="386"/>
      <c r="AAM110" s="386"/>
      <c r="AAN110" s="386"/>
      <c r="AAO110" s="386"/>
      <c r="AAP110" s="386"/>
      <c r="AAQ110" s="386"/>
      <c r="AAR110" s="386"/>
      <c r="AAS110" s="386"/>
      <c r="AAT110" s="386"/>
      <c r="AAU110" s="386"/>
      <c r="AAV110" s="386"/>
      <c r="AAW110" s="386"/>
      <c r="AAX110" s="386"/>
      <c r="AAY110" s="386"/>
      <c r="AAZ110" s="386"/>
      <c r="ABA110" s="386"/>
      <c r="ABB110" s="386"/>
      <c r="ABC110" s="386"/>
      <c r="ABD110" s="386"/>
      <c r="ABE110" s="386"/>
      <c r="ABF110" s="386"/>
      <c r="ABG110" s="386"/>
      <c r="ABH110" s="386"/>
      <c r="ABI110" s="386"/>
      <c r="ABJ110" s="386"/>
      <c r="ABK110" s="386"/>
      <c r="ABL110" s="386"/>
      <c r="ABM110" s="386"/>
      <c r="ABN110" s="386"/>
      <c r="ABO110" s="386"/>
      <c r="ABP110" s="386"/>
      <c r="ABQ110" s="386"/>
      <c r="ABR110" s="386"/>
      <c r="ABS110" s="386"/>
      <c r="ABT110" s="386"/>
      <c r="ABU110" s="386"/>
      <c r="ABV110" s="386"/>
      <c r="ABW110" s="386"/>
      <c r="ABX110" s="386"/>
      <c r="ABY110" s="386"/>
      <c r="ABZ110" s="386"/>
      <c r="ACA110" s="386"/>
      <c r="ACB110" s="386"/>
      <c r="ACC110" s="386"/>
      <c r="ACD110" s="386"/>
      <c r="ACE110" s="386"/>
      <c r="ACF110" s="386"/>
      <c r="ACG110" s="386"/>
      <c r="ACH110" s="386"/>
      <c r="ACI110" s="386"/>
      <c r="ACJ110" s="386"/>
      <c r="ACK110" s="386"/>
      <c r="ACL110" s="386"/>
      <c r="ACM110" s="386"/>
      <c r="ACN110" s="386"/>
      <c r="ACO110" s="386"/>
      <c r="ACP110" s="386"/>
      <c r="ACQ110" s="386"/>
      <c r="ACR110" s="386"/>
      <c r="ACS110" s="386"/>
      <c r="ACT110" s="386"/>
      <c r="ACU110" s="386"/>
      <c r="ACV110" s="386"/>
      <c r="ACW110" s="386"/>
      <c r="ACX110" s="386"/>
      <c r="ACY110" s="386"/>
      <c r="ACZ110" s="386"/>
      <c r="ADA110" s="386"/>
      <c r="ADB110" s="386"/>
      <c r="ADC110" s="386"/>
      <c r="ADD110" s="386"/>
      <c r="ADE110" s="386"/>
      <c r="ADF110" s="386"/>
      <c r="ADG110" s="386"/>
      <c r="ADH110" s="386"/>
      <c r="ADI110" s="386"/>
      <c r="ADJ110" s="386"/>
      <c r="ADK110" s="386"/>
      <c r="ADL110" s="386"/>
      <c r="ADM110" s="386"/>
      <c r="ADN110" s="386"/>
      <c r="ADO110" s="386"/>
      <c r="ADP110" s="386"/>
      <c r="ADQ110" s="386"/>
      <c r="ADR110" s="386"/>
      <c r="ADS110" s="386"/>
      <c r="ADT110" s="386"/>
      <c r="ADU110" s="386"/>
      <c r="ADV110" s="386"/>
      <c r="ADW110" s="386"/>
      <c r="ADX110" s="386"/>
      <c r="ADY110" s="386"/>
      <c r="ADZ110" s="386"/>
      <c r="AEA110" s="386"/>
      <c r="AEB110" s="386"/>
      <c r="AEC110" s="386"/>
      <c r="AED110" s="386"/>
      <c r="AEE110" s="386"/>
      <c r="AEF110" s="386"/>
      <c r="AEG110" s="386"/>
      <c r="AEH110" s="386"/>
      <c r="AEI110" s="386"/>
      <c r="AEJ110" s="386"/>
      <c r="AEK110" s="386"/>
      <c r="AEL110" s="386"/>
      <c r="AEM110" s="386"/>
      <c r="AEN110" s="386"/>
      <c r="AEO110" s="386"/>
      <c r="AEP110" s="386"/>
      <c r="AEQ110" s="386"/>
      <c r="AER110" s="386"/>
      <c r="AES110" s="386"/>
      <c r="AET110" s="386"/>
      <c r="AEU110" s="386"/>
      <c r="AEV110" s="386"/>
      <c r="AEW110" s="386"/>
      <c r="AEX110" s="386"/>
      <c r="AEY110" s="386"/>
      <c r="AEZ110" s="386"/>
      <c r="AFA110" s="386"/>
      <c r="AFB110" s="386"/>
      <c r="AFC110" s="386"/>
      <c r="AFD110" s="386"/>
      <c r="AFE110" s="386"/>
      <c r="AFF110" s="386"/>
      <c r="AFG110" s="386"/>
      <c r="AFH110" s="386"/>
      <c r="AFI110" s="386"/>
      <c r="AFJ110" s="386"/>
      <c r="AFK110" s="386"/>
      <c r="AFL110" s="386"/>
      <c r="AFM110" s="386"/>
      <c r="AFN110" s="386"/>
      <c r="AFO110" s="386"/>
      <c r="AFP110" s="386"/>
      <c r="AFQ110" s="386"/>
      <c r="AFR110" s="386"/>
      <c r="AFS110" s="386"/>
      <c r="AFT110" s="386"/>
      <c r="AFU110" s="386"/>
      <c r="AFV110" s="386"/>
      <c r="AFW110" s="386"/>
      <c r="AFX110" s="386"/>
      <c r="AFY110" s="386"/>
      <c r="AFZ110" s="386"/>
      <c r="AGA110" s="386"/>
      <c r="AGB110" s="386"/>
      <c r="AGC110" s="386"/>
      <c r="AGD110" s="386"/>
      <c r="AGE110" s="386"/>
      <c r="AGF110" s="386"/>
      <c r="AGG110" s="386"/>
      <c r="AGH110" s="386"/>
      <c r="AGI110" s="386"/>
      <c r="AGJ110" s="386"/>
      <c r="AGK110" s="386"/>
      <c r="AGL110" s="386"/>
      <c r="AGM110" s="386"/>
      <c r="AGN110" s="386"/>
      <c r="AGO110" s="386"/>
      <c r="AGP110" s="386"/>
      <c r="AGQ110" s="386"/>
      <c r="AGR110" s="386"/>
      <c r="AGS110" s="386"/>
      <c r="AGT110" s="386"/>
      <c r="AGU110" s="386"/>
      <c r="AGV110" s="386"/>
      <c r="AGW110" s="386"/>
      <c r="AGX110" s="386"/>
      <c r="AGY110" s="386"/>
      <c r="AGZ110" s="386"/>
      <c r="AHA110" s="386"/>
      <c r="AHB110" s="386"/>
      <c r="AHC110" s="386"/>
      <c r="AHD110" s="386"/>
      <c r="AHE110" s="386"/>
      <c r="AHF110" s="386"/>
      <c r="AHG110" s="386"/>
      <c r="AHH110" s="386"/>
      <c r="AHI110" s="386"/>
      <c r="AHJ110" s="386"/>
      <c r="AHK110" s="386"/>
      <c r="AHL110" s="386"/>
      <c r="AHM110" s="386"/>
      <c r="AHN110" s="386"/>
      <c r="AHO110" s="386"/>
      <c r="AHP110" s="386"/>
      <c r="AHQ110" s="386"/>
      <c r="AHR110" s="386"/>
      <c r="AHS110" s="386"/>
      <c r="AHT110" s="386"/>
      <c r="AHU110" s="386"/>
      <c r="AHV110" s="386"/>
      <c r="AHW110" s="386"/>
      <c r="AHX110" s="386"/>
      <c r="AHY110" s="386"/>
      <c r="AHZ110" s="386"/>
      <c r="AIA110" s="386"/>
      <c r="AIB110" s="386"/>
      <c r="AIC110" s="386"/>
      <c r="AID110" s="386"/>
      <c r="AIE110" s="386"/>
      <c r="AIF110" s="386"/>
      <c r="AIG110" s="386"/>
      <c r="AIH110" s="386"/>
      <c r="AII110" s="386"/>
      <c r="AIJ110" s="386"/>
      <c r="AIK110" s="386"/>
      <c r="AIL110" s="386"/>
      <c r="AIM110" s="386"/>
      <c r="AIN110" s="386"/>
      <c r="AIO110" s="386"/>
      <c r="AIP110" s="386"/>
      <c r="AIQ110" s="386"/>
      <c r="AIR110" s="386"/>
      <c r="AIS110" s="386"/>
      <c r="AIT110" s="386"/>
      <c r="AIU110" s="386"/>
      <c r="AIV110" s="386"/>
      <c r="AIW110" s="386"/>
      <c r="AIX110" s="386"/>
      <c r="AIY110" s="386"/>
      <c r="AIZ110" s="386"/>
      <c r="AJA110" s="386"/>
      <c r="AJB110" s="386"/>
      <c r="AJC110" s="386"/>
      <c r="AJD110" s="386"/>
      <c r="AJE110" s="386"/>
      <c r="AJF110" s="386"/>
      <c r="AJG110" s="386"/>
      <c r="AJH110" s="386"/>
      <c r="AJI110" s="386"/>
      <c r="AJJ110" s="386"/>
      <c r="AJK110" s="386"/>
      <c r="AJL110" s="386"/>
      <c r="AJM110" s="386"/>
      <c r="AJN110" s="386"/>
      <c r="AJO110" s="386"/>
      <c r="AJP110" s="386"/>
      <c r="AJQ110" s="386"/>
      <c r="AJR110" s="386"/>
      <c r="AJS110" s="386"/>
      <c r="AJT110" s="386"/>
      <c r="AJU110" s="386"/>
      <c r="AJV110" s="386"/>
      <c r="AJW110" s="386"/>
      <c r="AJX110" s="386"/>
      <c r="AJY110" s="386"/>
      <c r="AJZ110" s="386"/>
      <c r="AKA110" s="386"/>
      <c r="AKB110" s="386"/>
      <c r="AKC110" s="386"/>
      <c r="AKD110" s="386"/>
      <c r="AKE110" s="386"/>
      <c r="AKF110" s="386"/>
      <c r="AKG110" s="386"/>
      <c r="AKH110" s="386"/>
      <c r="AKI110" s="386"/>
      <c r="AKJ110" s="386"/>
      <c r="AKK110" s="386"/>
      <c r="AKL110" s="386"/>
      <c r="AKM110" s="386"/>
      <c r="AKN110" s="386"/>
      <c r="AKO110" s="386"/>
      <c r="AKP110" s="386"/>
      <c r="AKQ110" s="386"/>
      <c r="AKR110" s="386"/>
      <c r="AKS110" s="386"/>
      <c r="AKT110" s="386"/>
      <c r="AKU110" s="386"/>
      <c r="AKV110" s="386"/>
      <c r="AKW110" s="386"/>
      <c r="AKX110" s="386"/>
      <c r="AKY110" s="386"/>
      <c r="AKZ110" s="386"/>
      <c r="ALA110" s="386"/>
      <c r="ALB110" s="386"/>
      <c r="ALC110" s="386"/>
      <c r="ALD110" s="386"/>
      <c r="ALE110" s="386"/>
      <c r="ALF110" s="386"/>
      <c r="ALG110" s="386"/>
      <c r="ALH110" s="386"/>
      <c r="ALI110" s="386"/>
      <c r="ALJ110" s="386"/>
      <c r="ALK110" s="386"/>
      <c r="ALL110" s="386"/>
      <c r="ALM110" s="386"/>
      <c r="ALN110" s="386"/>
      <c r="ALO110" s="386"/>
      <c r="ALP110" s="386"/>
      <c r="ALQ110" s="386"/>
      <c r="ALR110" s="386"/>
      <c r="ALS110" s="386"/>
      <c r="ALT110" s="386"/>
      <c r="ALU110" s="386"/>
      <c r="ALV110" s="386"/>
      <c r="ALW110" s="386"/>
      <c r="ALX110" s="386"/>
      <c r="ALY110" s="386"/>
      <c r="ALZ110" s="386"/>
      <c r="AMA110" s="386"/>
      <c r="AMB110" s="386"/>
      <c r="AMC110" s="386"/>
      <c r="AMD110" s="386"/>
      <c r="AME110" s="386"/>
      <c r="AMF110" s="386"/>
      <c r="AMG110" s="386"/>
      <c r="AMH110" s="386"/>
      <c r="AMI110" s="386"/>
      <c r="AMJ110" s="386"/>
      <c r="AMK110" s="386"/>
      <c r="AML110" s="386"/>
      <c r="AMM110" s="386"/>
      <c r="AMN110" s="386"/>
      <c r="AMO110" s="386"/>
      <c r="AMP110" s="386"/>
      <c r="AMQ110" s="386"/>
      <c r="AMR110" s="386"/>
      <c r="AMS110" s="386"/>
      <c r="AMT110" s="386"/>
      <c r="AMU110" s="386"/>
      <c r="AMV110" s="386"/>
      <c r="AMW110" s="386"/>
      <c r="AMX110" s="386"/>
      <c r="AMY110" s="386"/>
      <c r="AMZ110" s="386"/>
      <c r="ANA110" s="386"/>
      <c r="ANB110" s="386"/>
      <c r="ANC110" s="386"/>
      <c r="AND110" s="386"/>
      <c r="ANE110" s="386"/>
      <c r="ANF110" s="386"/>
      <c r="ANG110" s="386"/>
      <c r="ANH110" s="386"/>
      <c r="ANI110" s="386"/>
      <c r="ANJ110" s="386"/>
      <c r="ANK110" s="386"/>
      <c r="ANL110" s="386"/>
      <c r="ANM110" s="386"/>
      <c r="ANN110" s="386"/>
      <c r="ANO110" s="386"/>
      <c r="ANP110" s="386"/>
      <c r="ANQ110" s="386"/>
      <c r="ANR110" s="386"/>
      <c r="ANS110" s="386"/>
      <c r="ANT110" s="386"/>
      <c r="ANU110" s="386"/>
      <c r="ANV110" s="386"/>
      <c r="ANW110" s="386"/>
      <c r="ANX110" s="386"/>
      <c r="ANY110" s="386"/>
      <c r="ANZ110" s="386"/>
      <c r="AOA110" s="386"/>
      <c r="AOB110" s="386"/>
      <c r="AOC110" s="386"/>
      <c r="AOD110" s="386"/>
      <c r="AOE110" s="386"/>
      <c r="AOF110" s="386"/>
      <c r="AOG110" s="386"/>
      <c r="AOH110" s="386"/>
      <c r="AOI110" s="386"/>
      <c r="AOJ110" s="386"/>
      <c r="AOK110" s="386"/>
      <c r="AOL110" s="386"/>
      <c r="AOM110" s="386"/>
      <c r="AON110" s="386"/>
      <c r="AOO110" s="386"/>
      <c r="AOP110" s="386"/>
      <c r="AOQ110" s="386"/>
      <c r="AOR110" s="386"/>
      <c r="AOS110" s="386"/>
      <c r="AOT110" s="386"/>
      <c r="AOU110" s="386"/>
      <c r="AOV110" s="386"/>
      <c r="AOW110" s="386"/>
      <c r="AOX110" s="386"/>
      <c r="AOY110" s="386"/>
      <c r="AOZ110" s="386"/>
      <c r="APA110" s="386"/>
      <c r="APB110" s="386"/>
      <c r="APC110" s="386"/>
      <c r="APD110" s="386"/>
      <c r="APE110" s="386"/>
      <c r="APF110" s="386"/>
      <c r="APG110" s="386"/>
      <c r="APH110" s="386"/>
      <c r="API110" s="386"/>
      <c r="APJ110" s="386"/>
      <c r="APK110" s="386"/>
      <c r="APL110" s="386"/>
      <c r="APM110" s="386"/>
      <c r="APN110" s="386"/>
      <c r="APO110" s="386"/>
      <c r="APP110" s="386"/>
      <c r="APQ110" s="386"/>
      <c r="APR110" s="386"/>
      <c r="APS110" s="386"/>
      <c r="APT110" s="386"/>
      <c r="APU110" s="386"/>
      <c r="APV110" s="386"/>
      <c r="APW110" s="386"/>
      <c r="APX110" s="386"/>
      <c r="APY110" s="386"/>
      <c r="APZ110" s="386"/>
      <c r="AQA110" s="386"/>
      <c r="AQB110" s="386"/>
      <c r="AQC110" s="386"/>
      <c r="AQD110" s="386"/>
      <c r="AQE110" s="386"/>
      <c r="AQF110" s="386"/>
      <c r="AQG110" s="386"/>
      <c r="AQH110" s="386"/>
      <c r="AQI110" s="386"/>
      <c r="AQJ110" s="386"/>
      <c r="AQK110" s="386"/>
      <c r="AQL110" s="386"/>
      <c r="AQM110" s="386"/>
      <c r="AQN110" s="386"/>
      <c r="AQO110" s="386"/>
      <c r="AQP110" s="386"/>
      <c r="AQQ110" s="386"/>
      <c r="AQR110" s="386"/>
      <c r="AQS110" s="386"/>
      <c r="AQT110" s="386"/>
      <c r="AQU110" s="386"/>
      <c r="AQV110" s="386"/>
      <c r="AQW110" s="386"/>
      <c r="AQX110" s="386"/>
      <c r="AQY110" s="386"/>
      <c r="AQZ110" s="386"/>
      <c r="ARA110" s="386"/>
      <c r="ARB110" s="386"/>
      <c r="ARC110" s="386"/>
      <c r="ARD110" s="386"/>
      <c r="ARE110" s="386"/>
      <c r="ARF110" s="386"/>
      <c r="ARG110" s="386"/>
      <c r="ARH110" s="386"/>
      <c r="ARI110" s="386"/>
      <c r="ARJ110" s="386"/>
      <c r="ARK110" s="386"/>
      <c r="ARL110" s="386"/>
      <c r="ARM110" s="386"/>
      <c r="ARN110" s="386"/>
      <c r="ARO110" s="386"/>
      <c r="ARP110" s="386"/>
      <c r="ARQ110" s="386"/>
      <c r="ARR110" s="386"/>
      <c r="ARS110" s="386"/>
      <c r="ART110" s="386"/>
      <c r="ARU110" s="386"/>
      <c r="ARV110" s="386"/>
      <c r="ARW110" s="386"/>
      <c r="ARX110" s="386"/>
      <c r="ARY110" s="386"/>
      <c r="ARZ110" s="386"/>
      <c r="ASA110" s="386"/>
      <c r="ASB110" s="386"/>
      <c r="ASC110" s="386"/>
      <c r="ASD110" s="386"/>
      <c r="ASE110" s="386"/>
      <c r="ASF110" s="386"/>
      <c r="ASG110" s="386"/>
      <c r="ASH110" s="386"/>
      <c r="ASI110" s="386"/>
      <c r="ASJ110" s="386"/>
      <c r="ASK110" s="386"/>
      <c r="ASL110" s="386"/>
      <c r="ASM110" s="386"/>
      <c r="ASN110" s="386"/>
      <c r="ASO110" s="386"/>
      <c r="ASP110" s="386"/>
      <c r="ASQ110" s="386"/>
      <c r="ASR110" s="386"/>
      <c r="ASS110" s="386"/>
      <c r="AST110" s="386"/>
      <c r="ASU110" s="386"/>
      <c r="ASV110" s="386"/>
      <c r="ASW110" s="386"/>
      <c r="ASX110" s="386"/>
      <c r="ASY110" s="386"/>
      <c r="ASZ110" s="386"/>
      <c r="ATA110" s="386"/>
      <c r="ATB110" s="386"/>
      <c r="ATC110" s="386"/>
      <c r="ATD110" s="386"/>
      <c r="ATE110" s="386"/>
      <c r="ATF110" s="386"/>
      <c r="ATG110" s="386"/>
      <c r="ATH110" s="386"/>
      <c r="ATI110" s="386"/>
      <c r="ATJ110" s="386"/>
      <c r="ATK110" s="386"/>
      <c r="ATL110" s="386"/>
      <c r="ATM110" s="386"/>
      <c r="ATN110" s="386"/>
      <c r="ATO110" s="386"/>
      <c r="ATP110" s="386"/>
      <c r="ATQ110" s="386"/>
      <c r="ATR110" s="386"/>
      <c r="ATS110" s="386"/>
      <c r="ATT110" s="386"/>
      <c r="ATU110" s="386"/>
      <c r="ATV110" s="386"/>
      <c r="ATW110" s="386"/>
      <c r="ATX110" s="386"/>
      <c r="ATY110" s="386"/>
      <c r="ATZ110" s="386"/>
      <c r="AUA110" s="386"/>
      <c r="AUB110" s="386"/>
      <c r="AUC110" s="386"/>
      <c r="AUD110" s="386"/>
      <c r="AUE110" s="386"/>
      <c r="AUF110" s="386"/>
      <c r="AUG110" s="386"/>
      <c r="AUH110" s="386"/>
      <c r="AUI110" s="386"/>
      <c r="AUJ110" s="386"/>
      <c r="AUK110" s="386"/>
      <c r="AUL110" s="386"/>
      <c r="AUM110" s="386"/>
      <c r="AUN110" s="386"/>
      <c r="AUO110" s="386"/>
      <c r="AUP110" s="386"/>
      <c r="AUQ110" s="386"/>
      <c r="AUR110" s="386"/>
      <c r="AUS110" s="386"/>
      <c r="AUT110" s="386"/>
      <c r="AUU110" s="386"/>
      <c r="AUV110" s="386"/>
      <c r="AUW110" s="386"/>
      <c r="AUX110" s="386"/>
      <c r="AUY110" s="386"/>
      <c r="AUZ110" s="386"/>
      <c r="AVA110" s="386"/>
      <c r="AVB110" s="386"/>
      <c r="AVC110" s="386"/>
      <c r="AVD110" s="386"/>
      <c r="AVE110" s="386"/>
      <c r="AVF110" s="386"/>
      <c r="AVG110" s="386"/>
      <c r="AVH110" s="386"/>
      <c r="AVI110" s="386"/>
      <c r="AVJ110" s="386"/>
      <c r="AVK110" s="386"/>
      <c r="AVL110" s="386"/>
      <c r="AVM110" s="386"/>
      <c r="AVN110" s="386"/>
      <c r="AVO110" s="386"/>
      <c r="AVP110" s="386"/>
      <c r="AVQ110" s="386"/>
      <c r="AVR110" s="386"/>
      <c r="AVS110" s="386"/>
      <c r="AVT110" s="386"/>
      <c r="AVU110" s="386"/>
      <c r="AVV110" s="386"/>
      <c r="AVW110" s="386"/>
      <c r="AVX110" s="386"/>
      <c r="AVY110" s="386"/>
      <c r="AVZ110" s="386"/>
      <c r="AWA110" s="386"/>
      <c r="AWB110" s="386"/>
      <c r="AWC110" s="386"/>
      <c r="AWD110" s="386"/>
      <c r="AWE110" s="386"/>
      <c r="AWF110" s="386"/>
      <c r="AWG110" s="386"/>
      <c r="AWH110" s="386"/>
      <c r="AWI110" s="386"/>
      <c r="AWJ110" s="386"/>
      <c r="AWK110" s="386"/>
      <c r="AWL110" s="386"/>
      <c r="AWM110" s="386"/>
      <c r="AWN110" s="386"/>
      <c r="AWO110" s="386"/>
      <c r="AWP110" s="386"/>
      <c r="AWQ110" s="386"/>
      <c r="AWR110" s="386"/>
      <c r="AWS110" s="386"/>
      <c r="AWT110" s="386"/>
      <c r="AWU110" s="386"/>
      <c r="AWV110" s="386"/>
      <c r="AWW110" s="386"/>
      <c r="AWX110" s="386"/>
      <c r="AWY110" s="386"/>
      <c r="AWZ110" s="386"/>
      <c r="AXA110" s="386"/>
      <c r="AXB110" s="386"/>
      <c r="AXC110" s="386"/>
      <c r="AXD110" s="386"/>
      <c r="AXE110" s="386"/>
      <c r="AXF110" s="386"/>
      <c r="AXG110" s="386"/>
      <c r="AXH110" s="386"/>
      <c r="AXI110" s="386"/>
      <c r="AXJ110" s="386"/>
      <c r="AXK110" s="386"/>
      <c r="AXL110" s="386"/>
      <c r="AXM110" s="386"/>
      <c r="AXN110" s="386"/>
      <c r="AXO110" s="386"/>
      <c r="AXP110" s="386"/>
      <c r="AXQ110" s="386"/>
      <c r="AXR110" s="386"/>
      <c r="AXS110" s="386"/>
      <c r="AXT110" s="386"/>
      <c r="AXU110" s="386"/>
      <c r="AXV110" s="386"/>
      <c r="AXW110" s="386"/>
      <c r="AXX110" s="386"/>
      <c r="AXY110" s="386"/>
      <c r="AXZ110" s="386"/>
      <c r="AYA110" s="386"/>
      <c r="AYB110" s="386"/>
      <c r="AYC110" s="386"/>
      <c r="AYD110" s="386"/>
      <c r="AYE110" s="386"/>
      <c r="AYF110" s="386"/>
      <c r="AYG110" s="386"/>
      <c r="AYH110" s="386"/>
      <c r="AYI110" s="386"/>
      <c r="AYJ110" s="386"/>
      <c r="AYK110" s="386"/>
      <c r="AYL110" s="386"/>
      <c r="AYM110" s="386"/>
      <c r="AYN110" s="386"/>
      <c r="AYO110" s="386"/>
      <c r="AYP110" s="386"/>
      <c r="AYQ110" s="386"/>
      <c r="AYR110" s="386"/>
      <c r="AYS110" s="386"/>
      <c r="AYT110" s="386"/>
      <c r="AYU110" s="386"/>
      <c r="AYV110" s="386"/>
      <c r="AYW110" s="386"/>
      <c r="AYX110" s="386"/>
      <c r="AYY110" s="386"/>
      <c r="AYZ110" s="386"/>
      <c r="AZA110" s="386"/>
      <c r="AZB110" s="386"/>
      <c r="AZC110" s="386"/>
      <c r="AZD110" s="386"/>
      <c r="AZE110" s="386"/>
      <c r="AZF110" s="386"/>
      <c r="AZG110" s="386"/>
      <c r="AZH110" s="386"/>
      <c r="AZI110" s="386"/>
      <c r="AZJ110" s="386"/>
      <c r="AZK110" s="386"/>
      <c r="AZL110" s="386"/>
      <c r="AZM110" s="386"/>
      <c r="AZN110" s="386"/>
      <c r="AZO110" s="386"/>
      <c r="AZP110" s="386"/>
      <c r="AZQ110" s="386"/>
      <c r="AZR110" s="386"/>
      <c r="AZS110" s="386"/>
      <c r="AZT110" s="386"/>
      <c r="AZU110" s="386"/>
      <c r="AZV110" s="386"/>
      <c r="AZW110" s="386"/>
      <c r="AZX110" s="386"/>
      <c r="AZY110" s="386"/>
      <c r="AZZ110" s="386"/>
      <c r="BAA110" s="386"/>
      <c r="BAB110" s="386"/>
      <c r="BAC110" s="386"/>
      <c r="BAD110" s="386"/>
      <c r="BAE110" s="386"/>
      <c r="BAF110" s="386"/>
      <c r="BAG110" s="386"/>
      <c r="BAH110" s="386"/>
      <c r="BAI110" s="386"/>
      <c r="BAJ110" s="386"/>
      <c r="BAK110" s="386"/>
      <c r="BAL110" s="386"/>
      <c r="BAM110" s="386"/>
      <c r="BAN110" s="386"/>
      <c r="BAO110" s="386"/>
      <c r="BAP110" s="386"/>
      <c r="BAQ110" s="386"/>
      <c r="BAR110" s="386"/>
      <c r="BAS110" s="386"/>
      <c r="BAT110" s="386"/>
      <c r="BAU110" s="386"/>
      <c r="BAV110" s="386"/>
      <c r="BAW110" s="386"/>
      <c r="BAX110" s="386"/>
      <c r="BAY110" s="386"/>
      <c r="BAZ110" s="386"/>
      <c r="BBA110" s="386"/>
      <c r="BBB110" s="386"/>
      <c r="BBC110" s="386"/>
      <c r="BBD110" s="386"/>
      <c r="BBE110" s="386"/>
      <c r="BBF110" s="386"/>
      <c r="BBG110" s="386"/>
      <c r="BBH110" s="386"/>
      <c r="BBI110" s="386"/>
      <c r="BBJ110" s="386"/>
      <c r="BBK110" s="386"/>
      <c r="BBL110" s="386"/>
      <c r="BBM110" s="386"/>
      <c r="BBN110" s="386"/>
      <c r="BBO110" s="386"/>
      <c r="BBP110" s="386"/>
      <c r="BBQ110" s="386"/>
      <c r="BBR110" s="386"/>
      <c r="BBS110" s="386"/>
      <c r="BBT110" s="386"/>
      <c r="BBU110" s="386"/>
      <c r="BBV110" s="386"/>
      <c r="BBW110" s="386"/>
      <c r="BBX110" s="386"/>
      <c r="BBY110" s="386"/>
      <c r="BBZ110" s="386"/>
      <c r="BCA110" s="386"/>
      <c r="BCB110" s="386"/>
      <c r="BCC110" s="386"/>
      <c r="BCD110" s="386"/>
      <c r="BCE110" s="386"/>
      <c r="BCF110" s="386"/>
      <c r="BCG110" s="386"/>
      <c r="BCH110" s="386"/>
      <c r="BCI110" s="386"/>
      <c r="BCJ110" s="386"/>
      <c r="BCK110" s="386"/>
      <c r="BCL110" s="386"/>
      <c r="BCM110" s="386"/>
      <c r="BCN110" s="386"/>
      <c r="BCO110" s="386"/>
      <c r="BCP110" s="386"/>
      <c r="BCQ110" s="386"/>
      <c r="BCR110" s="386"/>
      <c r="BCS110" s="386"/>
      <c r="BCT110" s="386"/>
      <c r="BCU110" s="386"/>
      <c r="BCV110" s="386"/>
      <c r="BCW110" s="386"/>
      <c r="BCX110" s="386"/>
      <c r="BCY110" s="386"/>
      <c r="BCZ110" s="386"/>
      <c r="BDA110" s="386"/>
      <c r="BDB110" s="386"/>
      <c r="BDC110" s="386"/>
      <c r="BDD110" s="386"/>
      <c r="BDE110" s="386"/>
      <c r="BDF110" s="386"/>
      <c r="BDG110" s="386"/>
      <c r="BDH110" s="386"/>
      <c r="BDI110" s="386"/>
      <c r="BDJ110" s="386"/>
      <c r="BDK110" s="386"/>
      <c r="BDL110" s="386"/>
      <c r="BDM110" s="386"/>
      <c r="BDN110" s="386"/>
      <c r="BDO110" s="386"/>
      <c r="BDP110" s="386"/>
      <c r="BDQ110" s="386"/>
      <c r="BDR110" s="386"/>
      <c r="BDS110" s="386"/>
      <c r="BDT110" s="386"/>
      <c r="BDU110" s="386"/>
      <c r="BDV110" s="386"/>
      <c r="BDW110" s="386"/>
      <c r="BDX110" s="386"/>
      <c r="BDY110" s="386"/>
      <c r="BDZ110" s="386"/>
      <c r="BEA110" s="386"/>
      <c r="BEB110" s="386"/>
      <c r="BEC110" s="386"/>
      <c r="BED110" s="386"/>
      <c r="BEE110" s="386"/>
      <c r="BEF110" s="386"/>
      <c r="BEG110" s="386"/>
      <c r="BEH110" s="386"/>
      <c r="BEI110" s="386"/>
      <c r="BEJ110" s="386"/>
      <c r="BEK110" s="386"/>
      <c r="BEL110" s="386"/>
      <c r="BEM110" s="386"/>
      <c r="BEN110" s="386"/>
      <c r="BEO110" s="386"/>
      <c r="BEP110" s="386"/>
      <c r="BEQ110" s="386"/>
      <c r="BER110" s="386"/>
      <c r="BES110" s="386"/>
      <c r="BET110" s="386"/>
      <c r="BEU110" s="386"/>
      <c r="BEV110" s="386"/>
      <c r="BEW110" s="386"/>
      <c r="BEX110" s="386"/>
      <c r="BEY110" s="386"/>
      <c r="BEZ110" s="386"/>
      <c r="BFA110" s="386"/>
      <c r="BFB110" s="386"/>
      <c r="BFC110" s="386"/>
      <c r="BFD110" s="386"/>
      <c r="BFE110" s="386"/>
      <c r="BFF110" s="386"/>
      <c r="BFG110" s="386"/>
      <c r="BFH110" s="386"/>
      <c r="BFI110" s="386"/>
      <c r="BFJ110" s="386"/>
      <c r="BFK110" s="386"/>
      <c r="BFL110" s="386"/>
      <c r="BFM110" s="386"/>
      <c r="BFN110" s="386"/>
      <c r="BFO110" s="386"/>
      <c r="BFP110" s="386"/>
      <c r="BFQ110" s="386"/>
      <c r="BFR110" s="386"/>
      <c r="BFS110" s="386"/>
      <c r="BFT110" s="386"/>
      <c r="BFU110" s="386"/>
      <c r="BFV110" s="386"/>
      <c r="BFW110" s="386"/>
      <c r="BFX110" s="386"/>
      <c r="BFY110" s="386"/>
      <c r="BFZ110" s="386"/>
      <c r="BGA110" s="386"/>
      <c r="BGB110" s="386"/>
      <c r="BGC110" s="386"/>
      <c r="BGD110" s="386"/>
      <c r="BGE110" s="386"/>
      <c r="BGF110" s="386"/>
      <c r="BGG110" s="386"/>
      <c r="BGH110" s="386"/>
      <c r="BGI110" s="386"/>
      <c r="BGJ110" s="386"/>
      <c r="BGK110" s="386"/>
      <c r="BGL110" s="386"/>
      <c r="BGM110" s="386"/>
      <c r="BGN110" s="386"/>
      <c r="BGO110" s="386"/>
      <c r="BGP110" s="386"/>
      <c r="BGQ110" s="386"/>
      <c r="BGR110" s="386"/>
      <c r="BGS110" s="386"/>
      <c r="BGT110" s="386"/>
      <c r="BGU110" s="386"/>
      <c r="BGV110" s="386"/>
      <c r="BGW110" s="386"/>
      <c r="BGX110" s="386"/>
      <c r="BGY110" s="386"/>
      <c r="BGZ110" s="386"/>
      <c r="BHA110" s="386"/>
      <c r="BHB110" s="386"/>
      <c r="BHC110" s="386"/>
      <c r="BHD110" s="386"/>
      <c r="BHE110" s="386"/>
      <c r="BHF110" s="386"/>
      <c r="BHG110" s="386"/>
      <c r="BHH110" s="386"/>
      <c r="BHI110" s="386"/>
      <c r="BHJ110" s="386"/>
      <c r="BHK110" s="386"/>
      <c r="BHL110" s="386"/>
      <c r="BHM110" s="386"/>
      <c r="BHN110" s="386"/>
      <c r="BHO110" s="386"/>
      <c r="BHP110" s="386"/>
      <c r="BHQ110" s="386"/>
      <c r="BHR110" s="386"/>
      <c r="BHS110" s="386"/>
      <c r="BHT110" s="386"/>
      <c r="BHU110" s="386"/>
      <c r="BHV110" s="386"/>
      <c r="BHW110" s="386"/>
      <c r="BHX110" s="386"/>
      <c r="BHY110" s="386"/>
      <c r="BHZ110" s="386"/>
      <c r="BIA110" s="386"/>
      <c r="BIB110" s="386"/>
      <c r="BIC110" s="386"/>
      <c r="BID110" s="386"/>
      <c r="BIE110" s="386"/>
      <c r="BIF110" s="386"/>
      <c r="BIG110" s="386"/>
      <c r="BIH110" s="386"/>
      <c r="BII110" s="386"/>
      <c r="BIJ110" s="386"/>
      <c r="BIK110" s="386"/>
      <c r="BIL110" s="386"/>
      <c r="BIM110" s="386"/>
      <c r="BIN110" s="386"/>
      <c r="BIO110" s="386"/>
      <c r="BIP110" s="386"/>
      <c r="BIQ110" s="386"/>
      <c r="BIR110" s="386"/>
      <c r="BIS110" s="386"/>
      <c r="BIT110" s="386"/>
      <c r="BIU110" s="386"/>
      <c r="BIV110" s="386"/>
      <c r="BIW110" s="386"/>
      <c r="BIX110" s="386"/>
      <c r="BIY110" s="386"/>
      <c r="BIZ110" s="386"/>
      <c r="BJA110" s="386"/>
      <c r="BJB110" s="386"/>
      <c r="BJC110" s="386"/>
      <c r="BJD110" s="386"/>
      <c r="BJE110" s="386"/>
      <c r="BJF110" s="386"/>
      <c r="BJG110" s="386"/>
      <c r="BJH110" s="386"/>
      <c r="BJI110" s="386"/>
      <c r="BJJ110" s="386"/>
      <c r="BJK110" s="386"/>
      <c r="BJL110" s="386"/>
      <c r="BJM110" s="386"/>
      <c r="BJN110" s="386"/>
      <c r="BJO110" s="386"/>
      <c r="BJP110" s="386"/>
      <c r="BJQ110" s="386"/>
      <c r="BJR110" s="386"/>
      <c r="BJS110" s="386"/>
      <c r="BJT110" s="386"/>
      <c r="BJU110" s="386"/>
      <c r="BJV110" s="386"/>
      <c r="BJW110" s="386"/>
      <c r="BJX110" s="386"/>
      <c r="BJY110" s="386"/>
      <c r="BJZ110" s="386"/>
      <c r="BKA110" s="386"/>
      <c r="BKB110" s="386"/>
      <c r="BKC110" s="386"/>
      <c r="BKD110" s="386"/>
      <c r="BKE110" s="386"/>
      <c r="BKF110" s="386"/>
      <c r="BKG110" s="386"/>
      <c r="BKH110" s="386"/>
      <c r="BKI110" s="386"/>
      <c r="BKJ110" s="386"/>
      <c r="BKK110" s="386"/>
      <c r="BKL110" s="386"/>
      <c r="BKM110" s="386"/>
      <c r="BKN110" s="386"/>
      <c r="BKO110" s="386"/>
      <c r="BKP110" s="386"/>
      <c r="BKQ110" s="386"/>
      <c r="BKR110" s="386"/>
      <c r="BKS110" s="386"/>
      <c r="BKT110" s="386"/>
      <c r="BKU110" s="386"/>
      <c r="BKV110" s="386"/>
      <c r="BKW110" s="386"/>
      <c r="BKX110" s="386"/>
      <c r="BKY110" s="386"/>
      <c r="BKZ110" s="386"/>
      <c r="BLA110" s="386"/>
      <c r="BLB110" s="386"/>
      <c r="BLC110" s="386"/>
      <c r="BLD110" s="386"/>
      <c r="BLE110" s="386"/>
      <c r="BLF110" s="386"/>
      <c r="BLG110" s="386"/>
      <c r="BLH110" s="386"/>
      <c r="BLI110" s="386"/>
      <c r="BLJ110" s="386"/>
      <c r="BLK110" s="386"/>
      <c r="BLL110" s="386"/>
      <c r="BLM110" s="386"/>
      <c r="BLN110" s="386"/>
      <c r="BLO110" s="386"/>
      <c r="BLP110" s="386"/>
      <c r="BLQ110" s="386"/>
      <c r="BLR110" s="386"/>
      <c r="BLS110" s="386"/>
      <c r="BLT110" s="386"/>
      <c r="BLU110" s="386"/>
      <c r="BLV110" s="386"/>
      <c r="BLW110" s="386"/>
      <c r="BLX110" s="386"/>
      <c r="BLY110" s="386"/>
      <c r="BLZ110" s="386"/>
      <c r="BMA110" s="386"/>
      <c r="BMB110" s="386"/>
      <c r="BMC110" s="386"/>
      <c r="BMD110" s="386"/>
      <c r="BME110" s="386"/>
      <c r="BMF110" s="386"/>
      <c r="BMG110" s="386"/>
      <c r="BMH110" s="386"/>
      <c r="BMI110" s="386"/>
      <c r="BMJ110" s="386"/>
      <c r="BMK110" s="386"/>
      <c r="BML110" s="386"/>
      <c r="BMM110" s="386"/>
      <c r="BMN110" s="386"/>
      <c r="BMO110" s="386"/>
      <c r="BMP110" s="386"/>
      <c r="BMQ110" s="386"/>
      <c r="BMR110" s="386"/>
      <c r="BMS110" s="386"/>
      <c r="BMT110" s="386"/>
      <c r="BMU110" s="386"/>
      <c r="BMV110" s="386"/>
      <c r="BMW110" s="386"/>
      <c r="BMX110" s="386"/>
      <c r="BMY110" s="386"/>
      <c r="BMZ110" s="386"/>
      <c r="BNA110" s="386"/>
      <c r="BNB110" s="386"/>
      <c r="BNC110" s="386"/>
      <c r="BND110" s="386"/>
      <c r="BNE110" s="386"/>
      <c r="BNF110" s="386"/>
      <c r="BNG110" s="386"/>
      <c r="BNH110" s="386"/>
      <c r="BNI110" s="386"/>
      <c r="BNJ110" s="386"/>
      <c r="BNK110" s="386"/>
      <c r="BNL110" s="386"/>
      <c r="BNM110" s="386"/>
      <c r="BNN110" s="386"/>
      <c r="BNO110" s="386"/>
      <c r="BNP110" s="386"/>
      <c r="BNQ110" s="386"/>
      <c r="BNR110" s="386"/>
      <c r="BNS110" s="386"/>
      <c r="BNT110" s="386"/>
      <c r="BNU110" s="386"/>
      <c r="BNV110" s="386"/>
      <c r="BNW110" s="386"/>
      <c r="BNX110" s="386"/>
      <c r="BNY110" s="386"/>
      <c r="BNZ110" s="386"/>
      <c r="BOA110" s="386"/>
      <c r="BOB110" s="386"/>
      <c r="BOC110" s="386"/>
      <c r="BOD110" s="386"/>
      <c r="BOE110" s="386"/>
      <c r="BOF110" s="386"/>
      <c r="BOG110" s="386"/>
      <c r="BOH110" s="386"/>
      <c r="BOI110" s="386"/>
      <c r="BOJ110" s="386"/>
      <c r="BOK110" s="386"/>
      <c r="BOL110" s="386"/>
      <c r="BOM110" s="386"/>
      <c r="BON110" s="386"/>
      <c r="BOO110" s="386"/>
      <c r="BOP110" s="386"/>
      <c r="BOQ110" s="386"/>
      <c r="BOR110" s="386"/>
      <c r="BOS110" s="386"/>
      <c r="BOT110" s="386"/>
      <c r="BOU110" s="386"/>
      <c r="BOV110" s="386"/>
      <c r="BOW110" s="386"/>
      <c r="BOX110" s="386"/>
      <c r="BOY110" s="386"/>
      <c r="BOZ110" s="386"/>
      <c r="BPA110" s="386"/>
      <c r="BPB110" s="386"/>
      <c r="BPC110" s="386"/>
      <c r="BPD110" s="386"/>
      <c r="BPE110" s="386"/>
      <c r="BPF110" s="386"/>
      <c r="BPG110" s="386"/>
      <c r="BPH110" s="386"/>
      <c r="BPI110" s="386"/>
      <c r="BPJ110" s="386"/>
      <c r="BPK110" s="386"/>
      <c r="BPL110" s="386"/>
      <c r="BPM110" s="386"/>
      <c r="BPN110" s="386"/>
      <c r="BPO110" s="386"/>
      <c r="BPP110" s="386"/>
      <c r="BPQ110" s="386"/>
      <c r="BPR110" s="386"/>
      <c r="BPS110" s="386"/>
      <c r="BPT110" s="386"/>
      <c r="BPU110" s="386"/>
      <c r="BPV110" s="386"/>
      <c r="BPW110" s="386"/>
      <c r="BPX110" s="386"/>
      <c r="BPY110" s="386"/>
      <c r="BPZ110" s="386"/>
      <c r="BQA110" s="386"/>
      <c r="BQB110" s="386"/>
      <c r="BQC110" s="386"/>
      <c r="BQD110" s="386"/>
      <c r="BQE110" s="386"/>
      <c r="BQF110" s="386"/>
      <c r="BQG110" s="386"/>
      <c r="BQH110" s="386"/>
      <c r="BQI110" s="386"/>
      <c r="BQJ110" s="386"/>
      <c r="BQK110" s="386"/>
      <c r="BQL110" s="386"/>
      <c r="BQM110" s="386"/>
      <c r="BQN110" s="386"/>
      <c r="BQO110" s="386"/>
      <c r="BQP110" s="386"/>
      <c r="BQQ110" s="386"/>
      <c r="BQR110" s="386"/>
      <c r="BQS110" s="386"/>
      <c r="BQT110" s="386"/>
      <c r="BQU110" s="386"/>
      <c r="BQV110" s="386"/>
      <c r="BQW110" s="386"/>
      <c r="BQX110" s="386"/>
      <c r="BQY110" s="386"/>
      <c r="BQZ110" s="386"/>
      <c r="BRA110" s="386"/>
      <c r="BRB110" s="386"/>
      <c r="BRC110" s="386"/>
      <c r="BRD110" s="386"/>
      <c r="BRE110" s="386"/>
      <c r="BRF110" s="386"/>
      <c r="BRG110" s="386"/>
      <c r="BRH110" s="386"/>
      <c r="BRI110" s="386"/>
      <c r="BRJ110" s="386"/>
      <c r="BRK110" s="386"/>
      <c r="BRL110" s="386"/>
      <c r="BRM110" s="386"/>
      <c r="BRN110" s="386"/>
      <c r="BRO110" s="386"/>
      <c r="BRP110" s="386"/>
      <c r="BRQ110" s="386"/>
      <c r="BRR110" s="386"/>
      <c r="BRS110" s="386"/>
      <c r="BRT110" s="386"/>
      <c r="BRU110" s="386"/>
      <c r="BRV110" s="386"/>
      <c r="BRW110" s="386"/>
      <c r="BRX110" s="386"/>
      <c r="BRY110" s="386"/>
      <c r="BRZ110" s="386"/>
      <c r="BSA110" s="386"/>
      <c r="BSB110" s="386"/>
      <c r="BSC110" s="386"/>
      <c r="BSD110" s="386"/>
      <c r="BSE110" s="386"/>
      <c r="BSF110" s="386"/>
      <c r="BSG110" s="386"/>
      <c r="BSH110" s="386"/>
      <c r="BSI110" s="386"/>
      <c r="BSJ110" s="386"/>
      <c r="BSK110" s="386"/>
      <c r="BSL110" s="386"/>
      <c r="BSM110" s="386"/>
      <c r="BSN110" s="386"/>
      <c r="BSO110" s="386"/>
      <c r="BSP110" s="386"/>
      <c r="BSQ110" s="386"/>
      <c r="BSR110" s="386"/>
      <c r="BSS110" s="386"/>
      <c r="BST110" s="386"/>
      <c r="BSU110" s="386"/>
      <c r="BSV110" s="386"/>
      <c r="BSW110" s="386"/>
      <c r="BSX110" s="386"/>
      <c r="BSY110" s="386"/>
      <c r="BSZ110" s="386"/>
      <c r="BTA110" s="386"/>
      <c r="BTB110" s="386"/>
      <c r="BTC110" s="386"/>
      <c r="BTD110" s="386"/>
      <c r="BTE110" s="386"/>
      <c r="BTF110" s="386"/>
      <c r="BTG110" s="386"/>
      <c r="BTH110" s="386"/>
      <c r="BTI110" s="386"/>
      <c r="BTJ110" s="386"/>
      <c r="BTK110" s="386"/>
      <c r="BTL110" s="386"/>
      <c r="BTM110" s="386"/>
      <c r="BTN110" s="386"/>
      <c r="BTO110" s="386"/>
      <c r="BTP110" s="386"/>
      <c r="BTQ110" s="386"/>
      <c r="BTR110" s="386"/>
      <c r="BTS110" s="386"/>
      <c r="BTT110" s="386"/>
      <c r="BTU110" s="386"/>
      <c r="BTV110" s="386"/>
      <c r="BTW110" s="386"/>
      <c r="BTX110" s="386"/>
      <c r="BTY110" s="386"/>
      <c r="BTZ110" s="386"/>
      <c r="BUA110" s="386"/>
      <c r="BUB110" s="386"/>
      <c r="BUC110" s="386"/>
      <c r="BUD110" s="386"/>
      <c r="BUE110" s="386"/>
      <c r="BUF110" s="386"/>
      <c r="BUG110" s="386"/>
      <c r="BUH110" s="386"/>
      <c r="BUI110" s="386"/>
      <c r="BUJ110" s="386"/>
      <c r="BUK110" s="386"/>
      <c r="BUL110" s="386"/>
      <c r="BUM110" s="386"/>
      <c r="BUN110" s="386"/>
      <c r="BUO110" s="386"/>
      <c r="BUP110" s="386"/>
      <c r="BUQ110" s="386"/>
      <c r="BUR110" s="386"/>
      <c r="BUS110" s="386"/>
      <c r="BUT110" s="386"/>
      <c r="BUU110" s="386"/>
      <c r="BUV110" s="386"/>
      <c r="BUW110" s="386"/>
      <c r="BUX110" s="386"/>
      <c r="BUY110" s="386"/>
      <c r="BUZ110" s="386"/>
      <c r="BVA110" s="386"/>
      <c r="BVB110" s="386"/>
      <c r="BVC110" s="386"/>
      <c r="BVD110" s="386"/>
      <c r="BVE110" s="386"/>
      <c r="BVF110" s="386"/>
      <c r="BVG110" s="386"/>
      <c r="BVH110" s="386"/>
      <c r="BVI110" s="386"/>
      <c r="BVJ110" s="386"/>
      <c r="BVK110" s="386"/>
      <c r="BVL110" s="386"/>
      <c r="BVM110" s="386"/>
      <c r="BVN110" s="386"/>
      <c r="BVO110" s="386"/>
      <c r="BVP110" s="386"/>
      <c r="BVQ110" s="386"/>
      <c r="BVR110" s="386"/>
      <c r="BVS110" s="386"/>
      <c r="BVT110" s="386"/>
      <c r="BVU110" s="386"/>
      <c r="BVV110" s="386"/>
      <c r="BVW110" s="386"/>
      <c r="BVX110" s="386"/>
      <c r="BVY110" s="386"/>
      <c r="BVZ110" s="386"/>
      <c r="BWA110" s="386"/>
      <c r="BWB110" s="386"/>
      <c r="BWC110" s="386"/>
      <c r="BWD110" s="386"/>
      <c r="BWE110" s="386"/>
      <c r="BWF110" s="386"/>
      <c r="BWG110" s="386"/>
      <c r="BWH110" s="386"/>
      <c r="BWI110" s="386"/>
      <c r="BWJ110" s="386"/>
      <c r="BWK110" s="386"/>
      <c r="BWL110" s="386"/>
      <c r="BWM110" s="386"/>
      <c r="BWN110" s="386"/>
      <c r="BWO110" s="386"/>
      <c r="BWP110" s="386"/>
      <c r="BWQ110" s="386"/>
      <c r="BWR110" s="386"/>
      <c r="BWS110" s="386"/>
      <c r="BWT110" s="386"/>
      <c r="BWU110" s="386"/>
      <c r="BWV110" s="386"/>
      <c r="BWW110" s="386"/>
      <c r="BWX110" s="386"/>
      <c r="BWY110" s="386"/>
      <c r="BWZ110" s="386"/>
      <c r="BXA110" s="386"/>
      <c r="BXB110" s="386"/>
      <c r="BXC110" s="386"/>
      <c r="BXD110" s="386"/>
      <c r="BXE110" s="386"/>
      <c r="BXF110" s="386"/>
      <c r="BXG110" s="386"/>
      <c r="BXH110" s="386"/>
      <c r="BXI110" s="386"/>
      <c r="BXJ110" s="386"/>
      <c r="BXK110" s="386"/>
      <c r="BXL110" s="386"/>
      <c r="BXM110" s="386"/>
      <c r="BXN110" s="386"/>
      <c r="BXO110" s="386"/>
      <c r="BXP110" s="386"/>
      <c r="BXQ110" s="386"/>
      <c r="BXR110" s="386"/>
      <c r="BXS110" s="386"/>
      <c r="BXT110" s="386"/>
      <c r="BXU110" s="386"/>
      <c r="BXV110" s="386"/>
      <c r="BXW110" s="386"/>
      <c r="BXX110" s="386"/>
      <c r="BXY110" s="386"/>
      <c r="BXZ110" s="386"/>
      <c r="BYA110" s="386"/>
      <c r="BYB110" s="386"/>
      <c r="BYC110" s="386"/>
      <c r="BYD110" s="386"/>
      <c r="BYE110" s="386"/>
      <c r="BYF110" s="386"/>
      <c r="BYG110" s="386"/>
      <c r="BYH110" s="386"/>
      <c r="BYI110" s="386"/>
      <c r="BYJ110" s="386"/>
      <c r="BYK110" s="386"/>
      <c r="BYL110" s="386"/>
      <c r="BYM110" s="386"/>
      <c r="BYN110" s="386"/>
      <c r="BYO110" s="386"/>
      <c r="BYP110" s="386"/>
      <c r="BYQ110" s="386"/>
      <c r="BYR110" s="386"/>
      <c r="BYS110" s="386"/>
      <c r="BYT110" s="386"/>
      <c r="BYU110" s="386"/>
      <c r="BYV110" s="386"/>
      <c r="BYW110" s="386"/>
      <c r="BYX110" s="386"/>
      <c r="BYY110" s="386"/>
      <c r="BYZ110" s="386"/>
      <c r="BZA110" s="386"/>
      <c r="BZB110" s="386"/>
      <c r="BZC110" s="386"/>
      <c r="BZD110" s="386"/>
      <c r="BZE110" s="386"/>
      <c r="BZF110" s="386"/>
      <c r="BZG110" s="386"/>
      <c r="BZH110" s="386"/>
      <c r="BZI110" s="386"/>
      <c r="BZJ110" s="386"/>
      <c r="BZK110" s="386"/>
      <c r="BZL110" s="386"/>
      <c r="BZM110" s="386"/>
      <c r="BZN110" s="386"/>
      <c r="BZO110" s="386"/>
      <c r="BZP110" s="386"/>
      <c r="BZQ110" s="386"/>
      <c r="BZR110" s="386"/>
      <c r="BZS110" s="386"/>
      <c r="BZT110" s="386"/>
      <c r="BZU110" s="386"/>
      <c r="BZV110" s="386"/>
      <c r="BZW110" s="386"/>
      <c r="BZX110" s="386"/>
      <c r="BZY110" s="386"/>
      <c r="BZZ110" s="386"/>
      <c r="CAA110" s="386"/>
      <c r="CAB110" s="386"/>
      <c r="CAC110" s="386"/>
      <c r="CAD110" s="386"/>
      <c r="CAE110" s="386"/>
      <c r="CAF110" s="386"/>
      <c r="CAG110" s="386"/>
      <c r="CAH110" s="386"/>
      <c r="CAI110" s="386"/>
      <c r="CAJ110" s="386"/>
      <c r="CAK110" s="386"/>
      <c r="CAL110" s="386"/>
      <c r="CAM110" s="386"/>
      <c r="CAN110" s="386"/>
      <c r="CAO110" s="386"/>
      <c r="CAP110" s="386"/>
      <c r="CAQ110" s="386"/>
      <c r="CAR110" s="386"/>
      <c r="CAS110" s="386"/>
      <c r="CAT110" s="386"/>
      <c r="CAU110" s="386"/>
      <c r="CAV110" s="386"/>
      <c r="CAW110" s="386"/>
      <c r="CAX110" s="386"/>
      <c r="CAY110" s="386"/>
      <c r="CAZ110" s="386"/>
      <c r="CBA110" s="386"/>
      <c r="CBB110" s="386"/>
      <c r="CBC110" s="386"/>
      <c r="CBD110" s="386"/>
      <c r="CBE110" s="386"/>
      <c r="CBF110" s="386"/>
      <c r="CBG110" s="386"/>
      <c r="CBH110" s="386"/>
      <c r="CBI110" s="386"/>
      <c r="CBJ110" s="386"/>
      <c r="CBK110" s="386"/>
      <c r="CBL110" s="386"/>
      <c r="CBM110" s="386"/>
      <c r="CBN110" s="386"/>
      <c r="CBO110" s="386"/>
      <c r="CBP110" s="386"/>
      <c r="CBQ110" s="386"/>
      <c r="CBR110" s="386"/>
      <c r="CBS110" s="386"/>
      <c r="CBT110" s="386"/>
      <c r="CBU110" s="386"/>
      <c r="CBV110" s="386"/>
      <c r="CBW110" s="386"/>
      <c r="CBX110" s="386"/>
      <c r="CBY110" s="386"/>
      <c r="CBZ110" s="386"/>
      <c r="CCA110" s="386"/>
      <c r="CCB110" s="386"/>
      <c r="CCC110" s="386"/>
      <c r="CCD110" s="386"/>
      <c r="CCE110" s="386"/>
      <c r="CCF110" s="386"/>
      <c r="CCG110" s="386"/>
      <c r="CCH110" s="386"/>
      <c r="CCI110" s="386"/>
      <c r="CCJ110" s="386"/>
      <c r="CCK110" s="386"/>
      <c r="CCL110" s="386"/>
      <c r="CCM110" s="386"/>
      <c r="CCN110" s="386"/>
      <c r="CCO110" s="386"/>
      <c r="CCP110" s="386"/>
      <c r="CCQ110" s="386"/>
      <c r="CCR110" s="386"/>
      <c r="CCS110" s="386"/>
      <c r="CCT110" s="386"/>
      <c r="CCU110" s="386"/>
      <c r="CCV110" s="386"/>
      <c r="CCW110" s="386"/>
      <c r="CCX110" s="386"/>
      <c r="CCY110" s="386"/>
      <c r="CCZ110" s="386"/>
      <c r="CDA110" s="386"/>
      <c r="CDB110" s="386"/>
      <c r="CDC110" s="386"/>
      <c r="CDD110" s="386"/>
      <c r="CDE110" s="386"/>
      <c r="CDF110" s="386"/>
      <c r="CDG110" s="386"/>
      <c r="CDH110" s="386"/>
      <c r="CDI110" s="386"/>
      <c r="CDJ110" s="386"/>
      <c r="CDK110" s="386"/>
      <c r="CDL110" s="386"/>
      <c r="CDM110" s="386"/>
      <c r="CDN110" s="386"/>
      <c r="CDO110" s="386"/>
      <c r="CDP110" s="386"/>
      <c r="CDQ110" s="386"/>
      <c r="CDR110" s="386"/>
      <c r="CDS110" s="386"/>
      <c r="CDT110" s="386"/>
      <c r="CDU110" s="386"/>
      <c r="CDV110" s="386"/>
      <c r="CDW110" s="386"/>
      <c r="CDX110" s="386"/>
      <c r="CDY110" s="386"/>
      <c r="CDZ110" s="386"/>
      <c r="CEA110" s="386"/>
      <c r="CEB110" s="386"/>
      <c r="CEC110" s="386"/>
      <c r="CED110" s="386"/>
      <c r="CEE110" s="386"/>
      <c r="CEF110" s="386"/>
      <c r="CEG110" s="386"/>
      <c r="CEH110" s="386"/>
      <c r="CEI110" s="386"/>
      <c r="CEJ110" s="386"/>
      <c r="CEK110" s="386"/>
      <c r="CEL110" s="386"/>
      <c r="CEM110" s="386"/>
      <c r="CEN110" s="386"/>
      <c r="CEO110" s="386"/>
      <c r="CEP110" s="386"/>
      <c r="CEQ110" s="386"/>
      <c r="CER110" s="386"/>
      <c r="CES110" s="386"/>
      <c r="CET110" s="386"/>
      <c r="CEU110" s="386"/>
      <c r="CEV110" s="386"/>
      <c r="CEW110" s="386"/>
      <c r="CEX110" s="386"/>
      <c r="CEY110" s="386"/>
      <c r="CEZ110" s="386"/>
      <c r="CFA110" s="386"/>
      <c r="CFB110" s="386"/>
      <c r="CFC110" s="386"/>
      <c r="CFD110" s="386"/>
      <c r="CFE110" s="386"/>
      <c r="CFF110" s="386"/>
      <c r="CFG110" s="386"/>
      <c r="CFH110" s="386"/>
      <c r="CFI110" s="386"/>
      <c r="CFJ110" s="386"/>
      <c r="CFK110" s="386"/>
      <c r="CFL110" s="386"/>
      <c r="CFM110" s="386"/>
      <c r="CFN110" s="386"/>
      <c r="CFO110" s="386"/>
      <c r="CFP110" s="386"/>
      <c r="CFQ110" s="386"/>
      <c r="CFR110" s="386"/>
      <c r="CFS110" s="386"/>
      <c r="CFT110" s="386"/>
      <c r="CFU110" s="386"/>
      <c r="CFV110" s="386"/>
      <c r="CFW110" s="386"/>
      <c r="CFX110" s="386"/>
      <c r="CFY110" s="386"/>
      <c r="CFZ110" s="386"/>
      <c r="CGA110" s="386"/>
      <c r="CGB110" s="386"/>
      <c r="CGC110" s="386"/>
      <c r="CGD110" s="386"/>
      <c r="CGE110" s="386"/>
      <c r="CGF110" s="386"/>
      <c r="CGG110" s="386"/>
      <c r="CGH110" s="386"/>
      <c r="CGI110" s="386"/>
      <c r="CGJ110" s="386"/>
      <c r="CGK110" s="386"/>
      <c r="CGL110" s="386"/>
      <c r="CGM110" s="386"/>
      <c r="CGN110" s="386"/>
      <c r="CGO110" s="386"/>
      <c r="CGP110" s="386"/>
      <c r="CGQ110" s="386"/>
      <c r="CGR110" s="386"/>
      <c r="CGS110" s="386"/>
      <c r="CGT110" s="386"/>
      <c r="CGU110" s="386"/>
      <c r="CGV110" s="386"/>
      <c r="CGW110" s="386"/>
      <c r="CGX110" s="386"/>
      <c r="CGY110" s="386"/>
      <c r="CGZ110" s="386"/>
      <c r="CHA110" s="386"/>
      <c r="CHB110" s="386"/>
      <c r="CHC110" s="386"/>
      <c r="CHD110" s="386"/>
      <c r="CHE110" s="386"/>
      <c r="CHF110" s="386"/>
      <c r="CHG110" s="386"/>
      <c r="CHH110" s="386"/>
      <c r="CHI110" s="386"/>
      <c r="CHJ110" s="386"/>
      <c r="CHK110" s="386"/>
      <c r="CHL110" s="386"/>
      <c r="CHM110" s="386"/>
      <c r="CHN110" s="386"/>
      <c r="CHO110" s="386"/>
      <c r="CHP110" s="386"/>
      <c r="CHQ110" s="386"/>
      <c r="CHR110" s="386"/>
      <c r="CHS110" s="386"/>
      <c r="CHT110" s="386"/>
      <c r="CHU110" s="386"/>
      <c r="CHV110" s="386"/>
      <c r="CHW110" s="386"/>
      <c r="CHX110" s="386"/>
      <c r="CHY110" s="386"/>
      <c r="CHZ110" s="386"/>
      <c r="CIA110" s="386"/>
      <c r="CIB110" s="386"/>
      <c r="CIC110" s="386"/>
      <c r="CID110" s="386"/>
      <c r="CIE110" s="386"/>
      <c r="CIF110" s="386"/>
      <c r="CIG110" s="386"/>
      <c r="CIH110" s="386"/>
      <c r="CII110" s="386"/>
      <c r="CIJ110" s="386"/>
      <c r="CIK110" s="386"/>
      <c r="CIL110" s="386"/>
      <c r="CIM110" s="386"/>
      <c r="CIN110" s="386"/>
      <c r="CIO110" s="386"/>
      <c r="CIP110" s="386"/>
      <c r="CIQ110" s="386"/>
      <c r="CIR110" s="386"/>
      <c r="CIS110" s="386"/>
      <c r="CIT110" s="386"/>
      <c r="CIU110" s="386"/>
      <c r="CIV110" s="386"/>
      <c r="CIW110" s="386"/>
      <c r="CIX110" s="386"/>
      <c r="CIY110" s="386"/>
      <c r="CIZ110" s="386"/>
      <c r="CJA110" s="386"/>
      <c r="CJB110" s="386"/>
      <c r="CJC110" s="386"/>
      <c r="CJD110" s="386"/>
      <c r="CJE110" s="386"/>
      <c r="CJF110" s="386"/>
      <c r="CJG110" s="386"/>
      <c r="CJH110" s="386"/>
      <c r="CJI110" s="386"/>
      <c r="CJJ110" s="386"/>
      <c r="CJK110" s="386"/>
      <c r="CJL110" s="386"/>
      <c r="CJM110" s="386"/>
      <c r="CJN110" s="386"/>
      <c r="CJO110" s="386"/>
      <c r="CJP110" s="386"/>
      <c r="CJQ110" s="386"/>
      <c r="CJR110" s="386"/>
      <c r="CJS110" s="386"/>
      <c r="CJT110" s="386"/>
      <c r="CJU110" s="386"/>
      <c r="CJV110" s="386"/>
      <c r="CJW110" s="386"/>
      <c r="CJX110" s="386"/>
      <c r="CJY110" s="386"/>
      <c r="CJZ110" s="386"/>
      <c r="CKA110" s="386"/>
      <c r="CKB110" s="386"/>
      <c r="CKC110" s="386"/>
      <c r="CKD110" s="386"/>
      <c r="CKE110" s="386"/>
      <c r="CKF110" s="386"/>
      <c r="CKG110" s="386"/>
      <c r="CKH110" s="386"/>
      <c r="CKI110" s="386"/>
      <c r="CKJ110" s="386"/>
      <c r="CKK110" s="386"/>
      <c r="CKL110" s="386"/>
      <c r="CKM110" s="386"/>
      <c r="CKN110" s="386"/>
      <c r="CKO110" s="386"/>
      <c r="CKP110" s="386"/>
      <c r="CKQ110" s="386"/>
      <c r="CKR110" s="386"/>
      <c r="CKS110" s="386"/>
      <c r="CKT110" s="386"/>
      <c r="CKU110" s="386"/>
      <c r="CKV110" s="386"/>
      <c r="CKW110" s="386"/>
      <c r="CKX110" s="386"/>
      <c r="CKY110" s="386"/>
      <c r="CKZ110" s="386"/>
      <c r="CLA110" s="386"/>
      <c r="CLB110" s="386"/>
      <c r="CLC110" s="386"/>
      <c r="CLD110" s="386"/>
      <c r="CLE110" s="386"/>
      <c r="CLF110" s="386"/>
      <c r="CLG110" s="386"/>
      <c r="CLH110" s="386"/>
      <c r="CLI110" s="386"/>
      <c r="CLJ110" s="386"/>
      <c r="CLK110" s="386"/>
      <c r="CLL110" s="386"/>
      <c r="CLM110" s="386"/>
      <c r="CLN110" s="386"/>
      <c r="CLO110" s="386"/>
      <c r="CLP110" s="386"/>
      <c r="CLQ110" s="386"/>
      <c r="CLR110" s="386"/>
      <c r="CLS110" s="386"/>
      <c r="CLT110" s="386"/>
      <c r="CLU110" s="386"/>
      <c r="CLV110" s="386"/>
      <c r="CLW110" s="386"/>
      <c r="CLX110" s="386"/>
      <c r="CLY110" s="386"/>
      <c r="CLZ110" s="386"/>
      <c r="CMA110" s="386"/>
      <c r="CMB110" s="386"/>
      <c r="CMC110" s="386"/>
      <c r="CMD110" s="386"/>
      <c r="CME110" s="386"/>
      <c r="CMF110" s="386"/>
      <c r="CMG110" s="386"/>
      <c r="CMH110" s="386"/>
      <c r="CMI110" s="386"/>
      <c r="CMJ110" s="386"/>
      <c r="CMK110" s="386"/>
      <c r="CML110" s="386"/>
      <c r="CMM110" s="386"/>
      <c r="CMN110" s="386"/>
      <c r="CMO110" s="386"/>
      <c r="CMP110" s="386"/>
      <c r="CMQ110" s="386"/>
      <c r="CMR110" s="386"/>
      <c r="CMS110" s="386"/>
      <c r="CMT110" s="386"/>
      <c r="CMU110" s="386"/>
      <c r="CMV110" s="386"/>
      <c r="CMW110" s="386"/>
      <c r="CMX110" s="386"/>
      <c r="CMY110" s="386"/>
      <c r="CMZ110" s="386"/>
      <c r="CNA110" s="386"/>
      <c r="CNB110" s="386"/>
      <c r="CNC110" s="386"/>
      <c r="CND110" s="386"/>
      <c r="CNE110" s="386"/>
      <c r="CNF110" s="386"/>
      <c r="CNG110" s="386"/>
      <c r="CNH110" s="386"/>
      <c r="CNI110" s="386"/>
      <c r="CNJ110" s="386"/>
      <c r="CNK110" s="386"/>
      <c r="CNL110" s="386"/>
      <c r="CNM110" s="386"/>
      <c r="CNN110" s="386"/>
      <c r="CNO110" s="386"/>
      <c r="CNP110" s="386"/>
      <c r="CNQ110" s="386"/>
      <c r="CNR110" s="386"/>
      <c r="CNS110" s="386"/>
      <c r="CNT110" s="386"/>
      <c r="CNU110" s="386"/>
      <c r="CNV110" s="386"/>
      <c r="CNW110" s="386"/>
      <c r="CNX110" s="386"/>
      <c r="CNY110" s="386"/>
      <c r="CNZ110" s="386"/>
      <c r="COA110" s="386"/>
      <c r="COB110" s="386"/>
      <c r="COC110" s="386"/>
      <c r="COD110" s="386"/>
      <c r="COE110" s="386"/>
      <c r="COF110" s="386"/>
      <c r="COG110" s="386"/>
      <c r="COH110" s="386"/>
      <c r="COI110" s="386"/>
      <c r="COJ110" s="386"/>
      <c r="COK110" s="386"/>
      <c r="COL110" s="386"/>
      <c r="COM110" s="386"/>
      <c r="CON110" s="386"/>
      <c r="COO110" s="386"/>
      <c r="COP110" s="386"/>
      <c r="COQ110" s="386"/>
      <c r="COR110" s="386"/>
      <c r="COS110" s="386"/>
      <c r="COT110" s="386"/>
      <c r="COU110" s="386"/>
      <c r="COV110" s="386"/>
      <c r="COW110" s="386"/>
      <c r="COX110" s="386"/>
      <c r="COY110" s="386"/>
      <c r="COZ110" s="386"/>
      <c r="CPA110" s="386"/>
      <c r="CPB110" s="386"/>
      <c r="CPC110" s="386"/>
      <c r="CPD110" s="386"/>
      <c r="CPE110" s="386"/>
      <c r="CPF110" s="386"/>
      <c r="CPG110" s="386"/>
      <c r="CPH110" s="386"/>
      <c r="CPI110" s="386"/>
      <c r="CPJ110" s="386"/>
      <c r="CPK110" s="386"/>
      <c r="CPL110" s="386"/>
      <c r="CPM110" s="386"/>
      <c r="CPN110" s="386"/>
      <c r="CPO110" s="386"/>
      <c r="CPP110" s="386"/>
      <c r="CPQ110" s="386"/>
      <c r="CPR110" s="386"/>
      <c r="CPS110" s="386"/>
      <c r="CPT110" s="386"/>
      <c r="CPU110" s="386"/>
      <c r="CPV110" s="386"/>
      <c r="CPW110" s="386"/>
      <c r="CPX110" s="386"/>
      <c r="CPY110" s="386"/>
      <c r="CPZ110" s="386"/>
      <c r="CQA110" s="386"/>
      <c r="CQB110" s="386"/>
      <c r="CQC110" s="386"/>
      <c r="CQD110" s="386"/>
      <c r="CQE110" s="386"/>
      <c r="CQF110" s="386"/>
      <c r="CQG110" s="386"/>
      <c r="CQH110" s="386"/>
      <c r="CQI110" s="386"/>
      <c r="CQJ110" s="386"/>
      <c r="CQK110" s="386"/>
      <c r="CQL110" s="386"/>
      <c r="CQM110" s="386"/>
      <c r="CQN110" s="386"/>
      <c r="CQO110" s="386"/>
      <c r="CQP110" s="386"/>
      <c r="CQQ110" s="386"/>
      <c r="CQR110" s="386"/>
      <c r="CQS110" s="386"/>
      <c r="CQT110" s="386"/>
      <c r="CQU110" s="386"/>
      <c r="CQV110" s="386"/>
      <c r="CQW110" s="386"/>
      <c r="CQX110" s="386"/>
      <c r="CQY110" s="386"/>
      <c r="CQZ110" s="386"/>
      <c r="CRA110" s="386"/>
      <c r="CRB110" s="386"/>
      <c r="CRC110" s="386"/>
      <c r="CRD110" s="386"/>
      <c r="CRE110" s="386"/>
      <c r="CRF110" s="386"/>
      <c r="CRG110" s="386"/>
      <c r="CRH110" s="386"/>
      <c r="CRI110" s="386"/>
      <c r="CRJ110" s="386"/>
      <c r="CRK110" s="386"/>
      <c r="CRL110" s="386"/>
      <c r="CRM110" s="386"/>
      <c r="CRN110" s="386"/>
      <c r="CRO110" s="386"/>
      <c r="CRP110" s="386"/>
      <c r="CRQ110" s="386"/>
      <c r="CRR110" s="386"/>
      <c r="CRS110" s="386"/>
      <c r="CRT110" s="386"/>
      <c r="CRU110" s="386"/>
      <c r="CRV110" s="386"/>
      <c r="CRW110" s="386"/>
      <c r="CRX110" s="386"/>
      <c r="CRY110" s="386"/>
      <c r="CRZ110" s="386"/>
      <c r="CSA110" s="386"/>
      <c r="CSB110" s="386"/>
      <c r="CSC110" s="386"/>
      <c r="CSD110" s="386"/>
      <c r="CSE110" s="386"/>
      <c r="CSF110" s="386"/>
      <c r="CSG110" s="386"/>
      <c r="CSH110" s="386"/>
      <c r="CSI110" s="386"/>
      <c r="CSJ110" s="386"/>
      <c r="CSK110" s="386"/>
      <c r="CSL110" s="386"/>
      <c r="CSM110" s="386"/>
      <c r="CSN110" s="386"/>
      <c r="CSO110" s="386"/>
      <c r="CSP110" s="386"/>
      <c r="CSQ110" s="386"/>
      <c r="CSR110" s="386"/>
      <c r="CSS110" s="386"/>
      <c r="CST110" s="386"/>
      <c r="CSU110" s="386"/>
      <c r="CSV110" s="386"/>
      <c r="CSW110" s="386"/>
      <c r="CSX110" s="386"/>
      <c r="CSY110" s="386"/>
      <c r="CSZ110" s="386"/>
      <c r="CTA110" s="386"/>
      <c r="CTB110" s="386"/>
      <c r="CTC110" s="386"/>
      <c r="CTD110" s="386"/>
      <c r="CTE110" s="386"/>
      <c r="CTF110" s="386"/>
      <c r="CTG110" s="386"/>
      <c r="CTH110" s="386"/>
      <c r="CTI110" s="386"/>
      <c r="CTJ110" s="386"/>
      <c r="CTK110" s="386"/>
      <c r="CTL110" s="386"/>
      <c r="CTM110" s="386"/>
      <c r="CTN110" s="386"/>
      <c r="CTO110" s="386"/>
      <c r="CTP110" s="386"/>
      <c r="CTQ110" s="386"/>
      <c r="CTR110" s="386"/>
      <c r="CTS110" s="386"/>
      <c r="CTT110" s="386"/>
      <c r="CTU110" s="386"/>
      <c r="CTV110" s="386"/>
      <c r="CTW110" s="386"/>
      <c r="CTX110" s="386"/>
      <c r="CTY110" s="386"/>
      <c r="CTZ110" s="386"/>
      <c r="CUA110" s="386"/>
      <c r="CUB110" s="386"/>
      <c r="CUC110" s="386"/>
      <c r="CUD110" s="386"/>
      <c r="CUE110" s="386"/>
      <c r="CUF110" s="386"/>
      <c r="CUG110" s="386"/>
      <c r="CUH110" s="386"/>
      <c r="CUI110" s="386"/>
      <c r="CUJ110" s="386"/>
      <c r="CUK110" s="386"/>
      <c r="CUL110" s="386"/>
      <c r="CUM110" s="386"/>
      <c r="CUN110" s="386"/>
      <c r="CUO110" s="386"/>
      <c r="CUP110" s="386"/>
      <c r="CUQ110" s="386"/>
      <c r="CUR110" s="386"/>
      <c r="CUS110" s="386"/>
      <c r="CUT110" s="386"/>
      <c r="CUU110" s="386"/>
      <c r="CUV110" s="386"/>
      <c r="CUW110" s="386"/>
      <c r="CUX110" s="386"/>
      <c r="CUY110" s="386"/>
      <c r="CUZ110" s="386"/>
      <c r="CVA110" s="386"/>
      <c r="CVB110" s="386"/>
      <c r="CVC110" s="386"/>
      <c r="CVD110" s="386"/>
      <c r="CVE110" s="386"/>
      <c r="CVF110" s="386"/>
      <c r="CVG110" s="386"/>
      <c r="CVH110" s="386"/>
      <c r="CVI110" s="386"/>
      <c r="CVJ110" s="386"/>
      <c r="CVK110" s="386"/>
      <c r="CVL110" s="386"/>
      <c r="CVM110" s="386"/>
      <c r="CVN110" s="386"/>
      <c r="CVO110" s="386"/>
      <c r="CVP110" s="386"/>
      <c r="CVQ110" s="386"/>
      <c r="CVR110" s="386"/>
      <c r="CVS110" s="386"/>
      <c r="CVT110" s="386"/>
      <c r="CVU110" s="386"/>
      <c r="CVV110" s="386"/>
      <c r="CVW110" s="386"/>
      <c r="CVX110" s="386"/>
      <c r="CVY110" s="386"/>
      <c r="CVZ110" s="386"/>
      <c r="CWA110" s="386"/>
      <c r="CWB110" s="386"/>
      <c r="CWC110" s="386"/>
      <c r="CWD110" s="386"/>
      <c r="CWE110" s="386"/>
      <c r="CWF110" s="386"/>
      <c r="CWG110" s="386"/>
      <c r="CWH110" s="386"/>
      <c r="CWI110" s="386"/>
      <c r="CWJ110" s="386"/>
      <c r="CWK110" s="386"/>
      <c r="CWL110" s="386"/>
      <c r="CWM110" s="386"/>
      <c r="CWN110" s="386"/>
      <c r="CWO110" s="386"/>
      <c r="CWP110" s="386"/>
      <c r="CWQ110" s="386"/>
      <c r="CWR110" s="386"/>
      <c r="CWS110" s="386"/>
      <c r="CWT110" s="386"/>
      <c r="CWU110" s="386"/>
      <c r="CWV110" s="386"/>
      <c r="CWW110" s="386"/>
      <c r="CWX110" s="386"/>
      <c r="CWY110" s="386"/>
      <c r="CWZ110" s="386"/>
      <c r="CXA110" s="386"/>
      <c r="CXB110" s="386"/>
      <c r="CXC110" s="386"/>
      <c r="CXD110" s="386"/>
      <c r="CXE110" s="386"/>
      <c r="CXF110" s="386"/>
      <c r="CXG110" s="386"/>
      <c r="CXH110" s="386"/>
      <c r="CXI110" s="386"/>
      <c r="CXJ110" s="386"/>
      <c r="CXK110" s="386"/>
      <c r="CXL110" s="386"/>
      <c r="CXM110" s="386"/>
      <c r="CXN110" s="386"/>
      <c r="CXO110" s="386"/>
      <c r="CXP110" s="386"/>
      <c r="CXQ110" s="386"/>
      <c r="CXR110" s="386"/>
      <c r="CXS110" s="386"/>
      <c r="CXT110" s="386"/>
      <c r="CXU110" s="386"/>
      <c r="CXV110" s="386"/>
      <c r="CXW110" s="386"/>
      <c r="CXX110" s="386"/>
      <c r="CXY110" s="386"/>
      <c r="CXZ110" s="386"/>
      <c r="CYA110" s="386"/>
      <c r="CYB110" s="386"/>
      <c r="CYC110" s="386"/>
      <c r="CYD110" s="386"/>
      <c r="CYE110" s="386"/>
      <c r="CYF110" s="386"/>
      <c r="CYG110" s="386"/>
      <c r="CYH110" s="386"/>
      <c r="CYI110" s="386"/>
      <c r="CYJ110" s="386"/>
      <c r="CYK110" s="386"/>
      <c r="CYL110" s="386"/>
      <c r="CYM110" s="386"/>
      <c r="CYN110" s="386"/>
      <c r="CYO110" s="386"/>
      <c r="CYP110" s="386"/>
      <c r="CYQ110" s="386"/>
      <c r="CYR110" s="386"/>
      <c r="CYS110" s="386"/>
      <c r="CYT110" s="386"/>
      <c r="CYU110" s="386"/>
      <c r="CYV110" s="386"/>
      <c r="CYW110" s="386"/>
      <c r="CYX110" s="386"/>
      <c r="CYY110" s="386"/>
      <c r="CYZ110" s="386"/>
      <c r="CZA110" s="386"/>
      <c r="CZB110" s="386"/>
      <c r="CZC110" s="386"/>
      <c r="CZD110" s="386"/>
      <c r="CZE110" s="386"/>
      <c r="CZF110" s="386"/>
      <c r="CZG110" s="386"/>
      <c r="CZH110" s="386"/>
      <c r="CZI110" s="386"/>
      <c r="CZJ110" s="386"/>
      <c r="CZK110" s="386"/>
      <c r="CZL110" s="386"/>
      <c r="CZM110" s="386"/>
      <c r="CZN110" s="386"/>
      <c r="CZO110" s="386"/>
      <c r="CZP110" s="386"/>
      <c r="CZQ110" s="386"/>
      <c r="CZR110" s="386"/>
      <c r="CZS110" s="386"/>
      <c r="CZT110" s="386"/>
      <c r="CZU110" s="386"/>
      <c r="CZV110" s="386"/>
      <c r="CZW110" s="386"/>
      <c r="CZX110" s="386"/>
      <c r="CZY110" s="386"/>
      <c r="CZZ110" s="386"/>
      <c r="DAA110" s="386"/>
      <c r="DAB110" s="386"/>
      <c r="DAC110" s="386"/>
      <c r="DAD110" s="386"/>
      <c r="DAE110" s="386"/>
      <c r="DAF110" s="386"/>
      <c r="DAG110" s="386"/>
      <c r="DAH110" s="386"/>
      <c r="DAI110" s="386"/>
      <c r="DAJ110" s="386"/>
      <c r="DAK110" s="386"/>
      <c r="DAL110" s="386"/>
      <c r="DAM110" s="386"/>
      <c r="DAN110" s="386"/>
      <c r="DAO110" s="386"/>
      <c r="DAP110" s="386"/>
      <c r="DAQ110" s="386"/>
      <c r="DAR110" s="386"/>
      <c r="DAS110" s="386"/>
      <c r="DAT110" s="386"/>
      <c r="DAU110" s="386"/>
      <c r="DAV110" s="386"/>
      <c r="DAW110" s="386"/>
      <c r="DAX110" s="386"/>
      <c r="DAY110" s="386"/>
      <c r="DAZ110" s="386"/>
      <c r="DBA110" s="386"/>
      <c r="DBB110" s="386"/>
      <c r="DBC110" s="386"/>
      <c r="DBD110" s="386"/>
      <c r="DBE110" s="386"/>
      <c r="DBF110" s="386"/>
      <c r="DBG110" s="386"/>
      <c r="DBH110" s="386"/>
      <c r="DBI110" s="386"/>
      <c r="DBJ110" s="386"/>
      <c r="DBK110" s="386"/>
      <c r="DBL110" s="386"/>
      <c r="DBM110" s="386"/>
      <c r="DBN110" s="386"/>
      <c r="DBO110" s="386"/>
      <c r="DBP110" s="386"/>
      <c r="DBQ110" s="386"/>
      <c r="DBR110" s="386"/>
      <c r="DBS110" s="386"/>
      <c r="DBT110" s="386"/>
      <c r="DBU110" s="386"/>
      <c r="DBV110" s="386"/>
      <c r="DBW110" s="386"/>
      <c r="DBX110" s="386"/>
      <c r="DBY110" s="386"/>
      <c r="DBZ110" s="386"/>
      <c r="DCA110" s="386"/>
      <c r="DCB110" s="386"/>
      <c r="DCC110" s="386"/>
      <c r="DCD110" s="386"/>
      <c r="DCE110" s="386"/>
      <c r="DCF110" s="386"/>
      <c r="DCG110" s="386"/>
      <c r="DCH110" s="386"/>
      <c r="DCI110" s="386"/>
      <c r="DCJ110" s="386"/>
      <c r="DCK110" s="386"/>
      <c r="DCL110" s="386"/>
      <c r="DCM110" s="386"/>
      <c r="DCN110" s="386"/>
      <c r="DCO110" s="386"/>
      <c r="DCP110" s="386"/>
      <c r="DCQ110" s="386"/>
      <c r="DCR110" s="386"/>
      <c r="DCS110" s="386"/>
      <c r="DCT110" s="386"/>
      <c r="DCU110" s="386"/>
      <c r="DCV110" s="386"/>
      <c r="DCW110" s="386"/>
      <c r="DCX110" s="386"/>
      <c r="DCY110" s="386"/>
      <c r="DCZ110" s="386"/>
      <c r="DDA110" s="386"/>
      <c r="DDB110" s="386"/>
      <c r="DDC110" s="386"/>
      <c r="DDD110" s="386"/>
      <c r="DDE110" s="386"/>
      <c r="DDF110" s="386"/>
      <c r="DDG110" s="386"/>
      <c r="DDH110" s="386"/>
      <c r="DDI110" s="386"/>
      <c r="DDJ110" s="386"/>
      <c r="DDK110" s="386"/>
      <c r="DDL110" s="386"/>
      <c r="DDM110" s="386"/>
      <c r="DDN110" s="386"/>
      <c r="DDO110" s="386"/>
      <c r="DDP110" s="386"/>
      <c r="DDQ110" s="386"/>
      <c r="DDR110" s="386"/>
      <c r="DDS110" s="386"/>
      <c r="DDT110" s="386"/>
      <c r="DDU110" s="386"/>
      <c r="DDV110" s="386"/>
      <c r="DDW110" s="386"/>
      <c r="DDX110" s="386"/>
      <c r="DDY110" s="386"/>
      <c r="DDZ110" s="386"/>
      <c r="DEA110" s="386"/>
      <c r="DEB110" s="386"/>
      <c r="DEC110" s="386"/>
      <c r="DED110" s="386"/>
      <c r="DEE110" s="386"/>
      <c r="DEF110" s="386"/>
      <c r="DEG110" s="386"/>
      <c r="DEH110" s="386"/>
      <c r="DEI110" s="386"/>
      <c r="DEJ110" s="386"/>
      <c r="DEK110" s="386"/>
      <c r="DEL110" s="386"/>
      <c r="DEM110" s="386"/>
      <c r="DEN110" s="386"/>
      <c r="DEO110" s="386"/>
      <c r="DEP110" s="386"/>
      <c r="DEQ110" s="386"/>
      <c r="DER110" s="386"/>
      <c r="DES110" s="386"/>
      <c r="DET110" s="386"/>
      <c r="DEU110" s="386"/>
      <c r="DEV110" s="386"/>
      <c r="DEW110" s="386"/>
      <c r="DEX110" s="386"/>
      <c r="DEY110" s="386"/>
      <c r="DEZ110" s="386"/>
      <c r="DFA110" s="386"/>
      <c r="DFB110" s="386"/>
      <c r="DFC110" s="386"/>
      <c r="DFD110" s="386"/>
      <c r="DFE110" s="386"/>
      <c r="DFF110" s="386"/>
      <c r="DFG110" s="386"/>
      <c r="DFH110" s="386"/>
      <c r="DFI110" s="386"/>
      <c r="DFJ110" s="386"/>
      <c r="DFK110" s="386"/>
      <c r="DFL110" s="386"/>
      <c r="DFM110" s="386"/>
      <c r="DFN110" s="386"/>
      <c r="DFO110" s="386"/>
      <c r="DFP110" s="386"/>
      <c r="DFQ110" s="386"/>
      <c r="DFR110" s="386"/>
      <c r="DFS110" s="386"/>
      <c r="DFT110" s="386"/>
      <c r="DFU110" s="386"/>
      <c r="DFV110" s="386"/>
      <c r="DFW110" s="386"/>
      <c r="DFX110" s="386"/>
      <c r="DFY110" s="386"/>
      <c r="DFZ110" s="386"/>
      <c r="DGA110" s="386"/>
      <c r="DGB110" s="386"/>
      <c r="DGC110" s="386"/>
      <c r="DGD110" s="386"/>
      <c r="DGE110" s="386"/>
      <c r="DGF110" s="386"/>
      <c r="DGG110" s="386"/>
      <c r="DGH110" s="386"/>
      <c r="DGI110" s="386"/>
      <c r="DGJ110" s="386"/>
      <c r="DGK110" s="386"/>
      <c r="DGL110" s="386"/>
      <c r="DGM110" s="386"/>
      <c r="DGN110" s="386"/>
      <c r="DGO110" s="386"/>
      <c r="DGP110" s="386"/>
      <c r="DGQ110" s="386"/>
      <c r="DGR110" s="386"/>
      <c r="DGS110" s="386"/>
      <c r="DGT110" s="386"/>
      <c r="DGU110" s="386"/>
      <c r="DGV110" s="386"/>
      <c r="DGW110" s="386"/>
      <c r="DGX110" s="386"/>
      <c r="DGY110" s="386"/>
      <c r="DGZ110" s="386"/>
      <c r="DHA110" s="386"/>
      <c r="DHB110" s="386"/>
      <c r="DHC110" s="386"/>
      <c r="DHD110" s="386"/>
      <c r="DHE110" s="386"/>
      <c r="DHF110" s="386"/>
      <c r="DHG110" s="386"/>
      <c r="DHH110" s="386"/>
      <c r="DHI110" s="386"/>
      <c r="DHJ110" s="386"/>
      <c r="DHK110" s="386"/>
      <c r="DHL110" s="386"/>
      <c r="DHM110" s="386"/>
      <c r="DHN110" s="386"/>
      <c r="DHO110" s="386"/>
      <c r="DHP110" s="386"/>
      <c r="DHQ110" s="386"/>
      <c r="DHR110" s="386"/>
      <c r="DHS110" s="386"/>
      <c r="DHT110" s="386"/>
      <c r="DHU110" s="386"/>
      <c r="DHV110" s="386"/>
      <c r="DHW110" s="386"/>
      <c r="DHX110" s="386"/>
      <c r="DHY110" s="386"/>
      <c r="DHZ110" s="386"/>
      <c r="DIA110" s="386"/>
      <c r="DIB110" s="386"/>
      <c r="DIC110" s="386"/>
      <c r="DID110" s="386"/>
      <c r="DIE110" s="386"/>
      <c r="DIF110" s="386"/>
      <c r="DIG110" s="386"/>
      <c r="DIH110" s="386"/>
      <c r="DII110" s="386"/>
      <c r="DIJ110" s="386"/>
      <c r="DIK110" s="386"/>
      <c r="DIL110" s="386"/>
      <c r="DIM110" s="386"/>
      <c r="DIN110" s="386"/>
      <c r="DIO110" s="386"/>
      <c r="DIP110" s="386"/>
      <c r="DIQ110" s="386"/>
      <c r="DIR110" s="386"/>
      <c r="DIS110" s="386"/>
      <c r="DIT110" s="386"/>
      <c r="DIU110" s="386"/>
      <c r="DIV110" s="386"/>
      <c r="DIW110" s="386"/>
      <c r="DIX110" s="386"/>
      <c r="DIY110" s="386"/>
      <c r="DIZ110" s="386"/>
      <c r="DJA110" s="386"/>
      <c r="DJB110" s="386"/>
      <c r="DJC110" s="386"/>
      <c r="DJD110" s="386"/>
      <c r="DJE110" s="386"/>
      <c r="DJF110" s="386"/>
      <c r="DJG110" s="386"/>
      <c r="DJH110" s="386"/>
      <c r="DJI110" s="386"/>
      <c r="DJJ110" s="386"/>
      <c r="DJK110" s="386"/>
      <c r="DJL110" s="386"/>
      <c r="DJM110" s="386"/>
      <c r="DJN110" s="386"/>
      <c r="DJO110" s="386"/>
      <c r="DJP110" s="386"/>
      <c r="DJQ110" s="386"/>
      <c r="DJR110" s="386"/>
      <c r="DJS110" s="386"/>
      <c r="DJT110" s="386"/>
      <c r="DJU110" s="386"/>
      <c r="DJV110" s="386"/>
      <c r="DJW110" s="386"/>
      <c r="DJX110" s="386"/>
      <c r="DJY110" s="386"/>
      <c r="DJZ110" s="386"/>
      <c r="DKA110" s="386"/>
      <c r="DKB110" s="386"/>
      <c r="DKC110" s="386"/>
      <c r="DKD110" s="386"/>
      <c r="DKE110" s="386"/>
      <c r="DKF110" s="386"/>
      <c r="DKG110" s="386"/>
      <c r="DKH110" s="386"/>
      <c r="DKI110" s="386"/>
      <c r="DKJ110" s="386"/>
      <c r="DKK110" s="386"/>
      <c r="DKL110" s="386"/>
      <c r="DKM110" s="386"/>
      <c r="DKN110" s="386"/>
      <c r="DKO110" s="386"/>
      <c r="DKP110" s="386"/>
      <c r="DKQ110" s="386"/>
      <c r="DKR110" s="386"/>
      <c r="DKS110" s="386"/>
      <c r="DKT110" s="386"/>
      <c r="DKU110" s="386"/>
      <c r="DKV110" s="386"/>
      <c r="DKW110" s="386"/>
      <c r="DKX110" s="386"/>
      <c r="DKY110" s="386"/>
      <c r="DKZ110" s="386"/>
      <c r="DLA110" s="386"/>
      <c r="DLB110" s="386"/>
      <c r="DLC110" s="386"/>
      <c r="DLD110" s="386"/>
      <c r="DLE110" s="386"/>
      <c r="DLF110" s="386"/>
      <c r="DLG110" s="386"/>
      <c r="DLH110" s="386"/>
      <c r="DLI110" s="386"/>
      <c r="DLJ110" s="386"/>
      <c r="DLK110" s="386"/>
      <c r="DLL110" s="386"/>
      <c r="DLM110" s="386"/>
      <c r="DLN110" s="386"/>
      <c r="DLO110" s="386"/>
      <c r="DLP110" s="386"/>
      <c r="DLQ110" s="386"/>
      <c r="DLR110" s="386"/>
      <c r="DLS110" s="386"/>
      <c r="DLT110" s="386"/>
      <c r="DLU110" s="386"/>
      <c r="DLV110" s="386"/>
      <c r="DLW110" s="386"/>
      <c r="DLX110" s="386"/>
      <c r="DLY110" s="386"/>
      <c r="DLZ110" s="386"/>
      <c r="DMA110" s="386"/>
      <c r="DMB110" s="386"/>
      <c r="DMC110" s="386"/>
      <c r="DMD110" s="386"/>
      <c r="DME110" s="386"/>
      <c r="DMF110" s="386"/>
      <c r="DMG110" s="386"/>
      <c r="DMH110" s="386"/>
      <c r="DMI110" s="386"/>
      <c r="DMJ110" s="386"/>
      <c r="DMK110" s="386"/>
      <c r="DML110" s="386"/>
      <c r="DMM110" s="386"/>
      <c r="DMN110" s="386"/>
      <c r="DMO110" s="386"/>
      <c r="DMP110" s="386"/>
      <c r="DMQ110" s="386"/>
      <c r="DMR110" s="386"/>
      <c r="DMS110" s="386"/>
      <c r="DMT110" s="386"/>
      <c r="DMU110" s="386"/>
      <c r="DMV110" s="386"/>
      <c r="DMW110" s="386"/>
      <c r="DMX110" s="386"/>
      <c r="DMY110" s="386"/>
      <c r="DMZ110" s="386"/>
      <c r="DNA110" s="386"/>
      <c r="DNB110" s="386"/>
      <c r="DNC110" s="386"/>
      <c r="DND110" s="386"/>
      <c r="DNE110" s="386"/>
      <c r="DNF110" s="386"/>
      <c r="DNG110" s="386"/>
      <c r="DNH110" s="386"/>
      <c r="DNI110" s="386"/>
      <c r="DNJ110" s="386"/>
      <c r="DNK110" s="386"/>
      <c r="DNL110" s="386"/>
      <c r="DNM110" s="386"/>
      <c r="DNN110" s="386"/>
      <c r="DNO110" s="386"/>
      <c r="DNP110" s="386"/>
      <c r="DNQ110" s="386"/>
      <c r="DNR110" s="386"/>
      <c r="DNS110" s="386"/>
      <c r="DNT110" s="386"/>
      <c r="DNU110" s="386"/>
      <c r="DNV110" s="386"/>
      <c r="DNW110" s="386"/>
      <c r="DNX110" s="386"/>
      <c r="DNY110" s="386"/>
      <c r="DNZ110" s="386"/>
      <c r="DOA110" s="386"/>
      <c r="DOB110" s="386"/>
      <c r="DOC110" s="386"/>
      <c r="DOD110" s="386"/>
      <c r="DOE110" s="386"/>
      <c r="DOF110" s="386"/>
      <c r="DOG110" s="386"/>
      <c r="DOH110" s="386"/>
      <c r="DOI110" s="386"/>
      <c r="DOJ110" s="386"/>
      <c r="DOK110" s="386"/>
      <c r="DOL110" s="386"/>
      <c r="DOM110" s="386"/>
      <c r="DON110" s="386"/>
      <c r="DOO110" s="386"/>
      <c r="DOP110" s="386"/>
      <c r="DOQ110" s="386"/>
      <c r="DOR110" s="386"/>
      <c r="DOS110" s="386"/>
      <c r="DOT110" s="386"/>
      <c r="DOU110" s="386"/>
      <c r="DOV110" s="386"/>
      <c r="DOW110" s="386"/>
      <c r="DOX110" s="386"/>
      <c r="DOY110" s="386"/>
      <c r="DOZ110" s="386"/>
      <c r="DPA110" s="386"/>
      <c r="DPB110" s="386"/>
      <c r="DPC110" s="386"/>
      <c r="DPD110" s="386"/>
      <c r="DPE110" s="386"/>
      <c r="DPF110" s="386"/>
      <c r="DPG110" s="386"/>
      <c r="DPH110" s="386"/>
      <c r="DPI110" s="386"/>
      <c r="DPJ110" s="386"/>
      <c r="DPK110" s="386"/>
      <c r="DPL110" s="386"/>
      <c r="DPM110" s="386"/>
      <c r="DPN110" s="386"/>
      <c r="DPO110" s="386"/>
      <c r="DPP110" s="386"/>
      <c r="DPQ110" s="386"/>
      <c r="DPR110" s="386"/>
      <c r="DPS110" s="386"/>
      <c r="DPT110" s="386"/>
      <c r="DPU110" s="386"/>
      <c r="DPV110" s="386"/>
      <c r="DPW110" s="386"/>
      <c r="DPX110" s="386"/>
      <c r="DPY110" s="386"/>
      <c r="DPZ110" s="386"/>
      <c r="DQA110" s="386"/>
      <c r="DQB110" s="386"/>
      <c r="DQC110" s="386"/>
      <c r="DQD110" s="386"/>
      <c r="DQE110" s="386"/>
      <c r="DQF110" s="386"/>
      <c r="DQG110" s="386"/>
      <c r="DQH110" s="386"/>
      <c r="DQI110" s="386"/>
      <c r="DQJ110" s="386"/>
      <c r="DQK110" s="386"/>
      <c r="DQL110" s="386"/>
      <c r="DQM110" s="386"/>
      <c r="DQN110" s="386"/>
      <c r="DQO110" s="386"/>
      <c r="DQP110" s="386"/>
      <c r="DQQ110" s="386"/>
      <c r="DQR110" s="386"/>
      <c r="DQS110" s="386"/>
      <c r="DQT110" s="386"/>
      <c r="DQU110" s="386"/>
      <c r="DQV110" s="386"/>
      <c r="DQW110" s="386"/>
      <c r="DQX110" s="386"/>
      <c r="DQY110" s="386"/>
      <c r="DQZ110" s="386"/>
      <c r="DRA110" s="386"/>
      <c r="DRB110" s="386"/>
      <c r="DRC110" s="386"/>
      <c r="DRD110" s="386"/>
      <c r="DRE110" s="386"/>
      <c r="DRF110" s="386"/>
      <c r="DRG110" s="386"/>
      <c r="DRH110" s="386"/>
      <c r="DRI110" s="386"/>
      <c r="DRJ110" s="386"/>
      <c r="DRK110" s="386"/>
      <c r="DRL110" s="386"/>
      <c r="DRM110" s="386"/>
    </row>
    <row r="111" spans="1:3185" ht="30" customHeight="1">
      <c r="A111" s="387"/>
      <c r="B111" s="388"/>
      <c r="C111" s="389"/>
      <c r="D111" s="390"/>
      <c r="E111" s="391"/>
      <c r="F111" s="421"/>
      <c r="G111" s="399"/>
      <c r="H111" s="392"/>
      <c r="I111" s="422"/>
      <c r="J111" s="394"/>
      <c r="K111" s="411"/>
    </row>
    <row r="112" spans="1:3185" ht="30" customHeight="1">
      <c r="A112" s="387"/>
      <c r="B112" s="388"/>
      <c r="C112" s="389"/>
      <c r="D112" s="390"/>
      <c r="E112" s="391"/>
      <c r="F112" s="421"/>
      <c r="G112" s="396"/>
      <c r="H112" s="392"/>
      <c r="I112" s="422"/>
      <c r="J112" s="394"/>
      <c r="K112" s="411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386"/>
      <c r="AD112" s="386"/>
      <c r="AE112" s="386"/>
      <c r="AF112" s="386"/>
      <c r="AG112" s="386"/>
      <c r="AH112" s="386"/>
      <c r="AI112" s="386"/>
      <c r="AJ112" s="386"/>
      <c r="AK112" s="386"/>
      <c r="AL112" s="386"/>
      <c r="AM112" s="386"/>
      <c r="AN112" s="386"/>
      <c r="AO112" s="386"/>
      <c r="AP112" s="386"/>
      <c r="AQ112" s="386"/>
      <c r="AR112" s="386"/>
      <c r="AS112" s="386"/>
      <c r="AT112" s="386"/>
      <c r="AU112" s="386"/>
      <c r="AV112" s="386"/>
      <c r="AW112" s="386"/>
      <c r="AX112" s="386"/>
      <c r="AY112" s="386"/>
      <c r="AZ112" s="386"/>
      <c r="BA112" s="386"/>
      <c r="BB112" s="386"/>
      <c r="BC112" s="386"/>
      <c r="BD112" s="386"/>
      <c r="BE112" s="386"/>
      <c r="BF112" s="386"/>
      <c r="BG112" s="386"/>
      <c r="BH112" s="386"/>
      <c r="BI112" s="386"/>
      <c r="BJ112" s="386"/>
      <c r="BK112" s="386"/>
      <c r="BL112" s="386"/>
      <c r="BM112" s="386"/>
      <c r="BN112" s="386"/>
      <c r="BO112" s="386"/>
      <c r="BP112" s="386"/>
      <c r="BQ112" s="386"/>
      <c r="BR112" s="386"/>
      <c r="BS112" s="386"/>
      <c r="BT112" s="386"/>
      <c r="BU112" s="386"/>
      <c r="BV112" s="386"/>
      <c r="BW112" s="386"/>
      <c r="BX112" s="386"/>
      <c r="BY112" s="386"/>
      <c r="BZ112" s="386"/>
      <c r="CA112" s="386"/>
      <c r="CB112" s="386"/>
      <c r="CC112" s="386"/>
      <c r="CD112" s="386"/>
      <c r="CE112" s="386"/>
      <c r="CF112" s="386"/>
      <c r="CG112" s="386"/>
      <c r="CH112" s="386"/>
      <c r="CI112" s="386"/>
      <c r="CJ112" s="386"/>
      <c r="CK112" s="386"/>
      <c r="CL112" s="386"/>
      <c r="CM112" s="386"/>
      <c r="CN112" s="386"/>
      <c r="CO112" s="386"/>
      <c r="CP112" s="386"/>
      <c r="CQ112" s="386"/>
      <c r="CR112" s="386"/>
      <c r="CS112" s="386"/>
      <c r="CT112" s="386"/>
      <c r="CU112" s="386"/>
      <c r="CV112" s="386"/>
      <c r="CW112" s="386"/>
      <c r="CX112" s="386"/>
      <c r="CY112" s="386"/>
      <c r="CZ112" s="386"/>
      <c r="DA112" s="386"/>
      <c r="DB112" s="386"/>
      <c r="DC112" s="386"/>
      <c r="DD112" s="386"/>
      <c r="DE112" s="386"/>
      <c r="DF112" s="386"/>
      <c r="DG112" s="386"/>
      <c r="DH112" s="386"/>
      <c r="DI112" s="386"/>
      <c r="DJ112" s="386"/>
      <c r="DK112" s="386"/>
      <c r="DL112" s="386"/>
      <c r="DM112" s="386"/>
      <c r="DN112" s="386"/>
      <c r="DO112" s="386"/>
      <c r="DP112" s="386"/>
      <c r="DQ112" s="386"/>
      <c r="DR112" s="386"/>
      <c r="DS112" s="386"/>
      <c r="DT112" s="386"/>
      <c r="DU112" s="386"/>
      <c r="DV112" s="386"/>
      <c r="DW112" s="386"/>
      <c r="DX112" s="386"/>
      <c r="DY112" s="386"/>
      <c r="DZ112" s="386"/>
      <c r="EA112" s="386"/>
      <c r="EB112" s="386"/>
      <c r="EC112" s="386"/>
      <c r="ED112" s="386"/>
      <c r="EE112" s="386"/>
      <c r="EF112" s="386"/>
      <c r="EG112" s="386"/>
      <c r="EH112" s="386"/>
      <c r="EI112" s="386"/>
      <c r="EJ112" s="386"/>
      <c r="EK112" s="386"/>
      <c r="EL112" s="386"/>
      <c r="EM112" s="386"/>
      <c r="EN112" s="386"/>
      <c r="EO112" s="386"/>
      <c r="EP112" s="386"/>
      <c r="EQ112" s="386"/>
      <c r="ER112" s="386"/>
      <c r="ES112" s="386"/>
      <c r="ET112" s="386"/>
      <c r="EU112" s="386"/>
      <c r="EV112" s="386"/>
      <c r="EW112" s="386"/>
      <c r="EX112" s="386"/>
      <c r="EY112" s="386"/>
      <c r="EZ112" s="386"/>
      <c r="FA112" s="386"/>
      <c r="FB112" s="386"/>
      <c r="FC112" s="386"/>
      <c r="FD112" s="386"/>
      <c r="FE112" s="386"/>
      <c r="FF112" s="386"/>
      <c r="FG112" s="386"/>
      <c r="FH112" s="386"/>
      <c r="FI112" s="386"/>
      <c r="FJ112" s="386"/>
      <c r="FK112" s="386"/>
      <c r="FL112" s="386"/>
      <c r="FM112" s="386"/>
      <c r="FN112" s="386"/>
      <c r="FO112" s="386"/>
      <c r="FP112" s="386"/>
      <c r="FQ112" s="386"/>
      <c r="FR112" s="386"/>
      <c r="FS112" s="386"/>
      <c r="FT112" s="386"/>
      <c r="FU112" s="386"/>
      <c r="FV112" s="386"/>
      <c r="FW112" s="386"/>
      <c r="FX112" s="386"/>
      <c r="FY112" s="386"/>
      <c r="FZ112" s="386"/>
      <c r="GA112" s="386"/>
      <c r="GB112" s="386"/>
      <c r="GC112" s="386"/>
      <c r="GD112" s="386"/>
      <c r="GE112" s="386"/>
      <c r="GF112" s="386"/>
      <c r="GG112" s="386"/>
      <c r="GH112" s="386"/>
      <c r="GI112" s="386"/>
      <c r="GJ112" s="386"/>
      <c r="GK112" s="386"/>
      <c r="GL112" s="386"/>
      <c r="GM112" s="386"/>
      <c r="GN112" s="386"/>
      <c r="GO112" s="386"/>
      <c r="GP112" s="386"/>
      <c r="GQ112" s="386"/>
      <c r="GR112" s="386"/>
      <c r="GS112" s="386"/>
      <c r="GT112" s="386"/>
      <c r="GU112" s="386"/>
      <c r="GV112" s="386"/>
      <c r="GW112" s="386"/>
      <c r="GX112" s="386"/>
      <c r="GY112" s="386"/>
      <c r="GZ112" s="386"/>
      <c r="HA112" s="386"/>
      <c r="HB112" s="386"/>
      <c r="HC112" s="386"/>
      <c r="HD112" s="386"/>
      <c r="HE112" s="386"/>
      <c r="HF112" s="386"/>
      <c r="HG112" s="386"/>
      <c r="HH112" s="386"/>
      <c r="HI112" s="386"/>
      <c r="HJ112" s="386"/>
      <c r="HK112" s="386"/>
      <c r="HL112" s="386"/>
      <c r="HM112" s="386"/>
      <c r="HN112" s="386"/>
      <c r="HO112" s="386"/>
      <c r="HP112" s="386"/>
      <c r="HQ112" s="386"/>
      <c r="HR112" s="386"/>
      <c r="HS112" s="386"/>
      <c r="HT112" s="386"/>
      <c r="HU112" s="386"/>
      <c r="HV112" s="386"/>
      <c r="HW112" s="386"/>
      <c r="HX112" s="386"/>
      <c r="HY112" s="386"/>
      <c r="HZ112" s="386"/>
      <c r="IA112" s="386"/>
      <c r="IB112" s="386"/>
      <c r="IC112" s="386"/>
      <c r="ID112" s="386"/>
      <c r="IE112" s="386"/>
      <c r="IF112" s="386"/>
      <c r="IG112" s="386"/>
      <c r="IH112" s="386"/>
      <c r="II112" s="386"/>
      <c r="IJ112" s="386"/>
      <c r="IK112" s="386"/>
      <c r="IL112" s="386"/>
      <c r="IM112" s="386"/>
      <c r="IN112" s="386"/>
      <c r="IO112" s="386"/>
      <c r="IP112" s="386"/>
      <c r="IQ112" s="386"/>
      <c r="IR112" s="386"/>
      <c r="IS112" s="386"/>
      <c r="IT112" s="386"/>
      <c r="IU112" s="386"/>
      <c r="IV112" s="386"/>
      <c r="IW112" s="386"/>
      <c r="IX112" s="386"/>
      <c r="IY112" s="386"/>
      <c r="IZ112" s="386"/>
      <c r="JA112" s="386"/>
      <c r="JB112" s="386"/>
      <c r="JC112" s="386"/>
      <c r="JD112" s="386"/>
      <c r="JE112" s="386"/>
      <c r="JF112" s="386"/>
      <c r="JG112" s="386"/>
      <c r="JH112" s="386"/>
      <c r="JI112" s="386"/>
      <c r="JJ112" s="386"/>
      <c r="JK112" s="386"/>
      <c r="JL112" s="386"/>
      <c r="JM112" s="386"/>
      <c r="JN112" s="386"/>
      <c r="JO112" s="386"/>
      <c r="JP112" s="386"/>
      <c r="JQ112" s="386"/>
      <c r="JR112" s="386"/>
      <c r="JS112" s="386"/>
      <c r="JT112" s="386"/>
      <c r="JU112" s="386"/>
      <c r="JV112" s="386"/>
      <c r="JW112" s="386"/>
      <c r="JX112" s="386"/>
      <c r="JY112" s="386"/>
      <c r="JZ112" s="386"/>
      <c r="KA112" s="386"/>
      <c r="KB112" s="386"/>
      <c r="KC112" s="386"/>
      <c r="KD112" s="386"/>
      <c r="KE112" s="386"/>
      <c r="KF112" s="386"/>
      <c r="KG112" s="386"/>
      <c r="KH112" s="386"/>
      <c r="KI112" s="386"/>
      <c r="KJ112" s="386"/>
      <c r="KK112" s="386"/>
      <c r="KL112" s="386"/>
      <c r="KM112" s="386"/>
      <c r="KN112" s="386"/>
      <c r="KO112" s="386"/>
      <c r="KP112" s="386"/>
      <c r="KQ112" s="386"/>
      <c r="KR112" s="386"/>
      <c r="KS112" s="386"/>
      <c r="KT112" s="386"/>
      <c r="KU112" s="386"/>
      <c r="KV112" s="386"/>
      <c r="KW112" s="386"/>
      <c r="KX112" s="386"/>
      <c r="KY112" s="386"/>
      <c r="KZ112" s="386"/>
      <c r="LA112" s="386"/>
      <c r="LB112" s="386"/>
      <c r="LC112" s="386"/>
      <c r="LD112" s="386"/>
      <c r="LE112" s="386"/>
      <c r="LF112" s="386"/>
      <c r="LG112" s="386"/>
      <c r="LH112" s="386"/>
      <c r="LI112" s="386"/>
      <c r="LJ112" s="386"/>
      <c r="LK112" s="386"/>
      <c r="LL112" s="386"/>
      <c r="LM112" s="386"/>
      <c r="LN112" s="386"/>
      <c r="LO112" s="386"/>
      <c r="LP112" s="386"/>
      <c r="LQ112" s="386"/>
      <c r="LR112" s="386"/>
      <c r="LS112" s="386"/>
      <c r="LT112" s="386"/>
      <c r="LU112" s="386"/>
      <c r="LV112" s="386"/>
      <c r="LW112" s="386"/>
      <c r="LX112" s="386"/>
      <c r="LY112" s="386"/>
      <c r="LZ112" s="386"/>
      <c r="MA112" s="386"/>
      <c r="MB112" s="386"/>
      <c r="MC112" s="386"/>
      <c r="MD112" s="386"/>
      <c r="ME112" s="386"/>
      <c r="MF112" s="386"/>
      <c r="MG112" s="386"/>
      <c r="MH112" s="386"/>
      <c r="MI112" s="386"/>
      <c r="MJ112" s="386"/>
      <c r="MK112" s="386"/>
      <c r="ML112" s="386"/>
      <c r="MM112" s="386"/>
      <c r="MN112" s="386"/>
      <c r="MO112" s="386"/>
      <c r="MP112" s="386"/>
      <c r="MQ112" s="386"/>
      <c r="MR112" s="386"/>
      <c r="MS112" s="386"/>
      <c r="MT112" s="386"/>
      <c r="MU112" s="386"/>
      <c r="MV112" s="386"/>
      <c r="MW112" s="386"/>
      <c r="MX112" s="386"/>
      <c r="MY112" s="386"/>
      <c r="MZ112" s="386"/>
      <c r="NA112" s="386"/>
      <c r="NB112" s="386"/>
      <c r="NC112" s="386"/>
      <c r="ND112" s="386"/>
      <c r="NE112" s="386"/>
      <c r="NF112" s="386"/>
      <c r="NG112" s="386"/>
      <c r="NH112" s="386"/>
      <c r="NI112" s="386"/>
      <c r="NJ112" s="386"/>
      <c r="NK112" s="386"/>
      <c r="NL112" s="386"/>
      <c r="NM112" s="386"/>
      <c r="NN112" s="386"/>
      <c r="NO112" s="386"/>
      <c r="NP112" s="386"/>
      <c r="NQ112" s="386"/>
      <c r="NR112" s="386"/>
      <c r="NS112" s="386"/>
      <c r="NT112" s="386"/>
      <c r="NU112" s="386"/>
      <c r="NV112" s="386"/>
      <c r="NW112" s="386"/>
      <c r="NX112" s="386"/>
      <c r="NY112" s="386"/>
      <c r="NZ112" s="386"/>
      <c r="OA112" s="386"/>
      <c r="OB112" s="386"/>
      <c r="OC112" s="386"/>
      <c r="OD112" s="386"/>
      <c r="OE112" s="386"/>
      <c r="OF112" s="386"/>
      <c r="OG112" s="386"/>
      <c r="OH112" s="386"/>
      <c r="OI112" s="386"/>
      <c r="OJ112" s="386"/>
      <c r="OK112" s="386"/>
      <c r="OL112" s="386"/>
      <c r="OM112" s="386"/>
      <c r="ON112" s="386"/>
      <c r="OO112" s="386"/>
      <c r="OP112" s="386"/>
      <c r="OQ112" s="386"/>
      <c r="OR112" s="386"/>
      <c r="OS112" s="386"/>
      <c r="OT112" s="386"/>
      <c r="OU112" s="386"/>
      <c r="OV112" s="386"/>
      <c r="OW112" s="386"/>
      <c r="OX112" s="386"/>
      <c r="OY112" s="386"/>
      <c r="OZ112" s="386"/>
      <c r="PA112" s="386"/>
      <c r="PB112" s="386"/>
      <c r="PC112" s="386"/>
      <c r="PD112" s="386"/>
      <c r="PE112" s="386"/>
      <c r="PF112" s="386"/>
      <c r="PG112" s="386"/>
      <c r="PH112" s="386"/>
      <c r="PI112" s="386"/>
      <c r="PJ112" s="386"/>
      <c r="PK112" s="386"/>
      <c r="PL112" s="386"/>
      <c r="PM112" s="386"/>
      <c r="PN112" s="386"/>
      <c r="PO112" s="386"/>
      <c r="PP112" s="386"/>
      <c r="PQ112" s="386"/>
      <c r="PR112" s="386"/>
      <c r="PS112" s="386"/>
      <c r="PT112" s="386"/>
      <c r="PU112" s="386"/>
      <c r="PV112" s="386"/>
      <c r="PW112" s="386"/>
      <c r="PX112" s="386"/>
      <c r="PY112" s="386"/>
      <c r="PZ112" s="386"/>
      <c r="QA112" s="386"/>
      <c r="QB112" s="386"/>
      <c r="QC112" s="386"/>
      <c r="QD112" s="386"/>
      <c r="QE112" s="386"/>
      <c r="QF112" s="386"/>
      <c r="QG112" s="386"/>
      <c r="QH112" s="386"/>
      <c r="QI112" s="386"/>
      <c r="QJ112" s="386"/>
      <c r="QK112" s="386"/>
      <c r="QL112" s="386"/>
      <c r="QM112" s="386"/>
      <c r="QN112" s="386"/>
      <c r="QO112" s="386"/>
      <c r="QP112" s="386"/>
      <c r="QQ112" s="386"/>
      <c r="QR112" s="386"/>
      <c r="QS112" s="386"/>
      <c r="QT112" s="386"/>
      <c r="QU112" s="386"/>
      <c r="QV112" s="386"/>
      <c r="QW112" s="386"/>
      <c r="QX112" s="386"/>
      <c r="QY112" s="386"/>
      <c r="QZ112" s="386"/>
      <c r="RA112" s="386"/>
      <c r="RB112" s="386"/>
      <c r="RC112" s="386"/>
      <c r="RD112" s="386"/>
      <c r="RE112" s="386"/>
      <c r="RF112" s="386"/>
      <c r="RG112" s="386"/>
      <c r="RH112" s="386"/>
      <c r="RI112" s="386"/>
      <c r="RJ112" s="386"/>
      <c r="RK112" s="386"/>
      <c r="RL112" s="386"/>
      <c r="RM112" s="386"/>
      <c r="RN112" s="386"/>
      <c r="RO112" s="386"/>
      <c r="RP112" s="386"/>
      <c r="RQ112" s="386"/>
      <c r="RR112" s="386"/>
      <c r="RS112" s="386"/>
      <c r="RT112" s="386"/>
      <c r="RU112" s="386"/>
      <c r="RV112" s="386"/>
      <c r="RW112" s="386"/>
      <c r="RX112" s="386"/>
      <c r="RY112" s="386"/>
      <c r="RZ112" s="386"/>
      <c r="SA112" s="386"/>
      <c r="SB112" s="386"/>
      <c r="SC112" s="386"/>
      <c r="SD112" s="386"/>
      <c r="SE112" s="386"/>
      <c r="SF112" s="386"/>
      <c r="SG112" s="386"/>
      <c r="SH112" s="386"/>
      <c r="SI112" s="386"/>
      <c r="SJ112" s="386"/>
      <c r="SK112" s="386"/>
      <c r="SL112" s="386"/>
      <c r="SM112" s="386"/>
      <c r="SN112" s="386"/>
      <c r="SO112" s="386"/>
      <c r="SP112" s="386"/>
      <c r="SQ112" s="386"/>
      <c r="SR112" s="386"/>
      <c r="SS112" s="386"/>
      <c r="ST112" s="386"/>
      <c r="SU112" s="386"/>
      <c r="SV112" s="386"/>
      <c r="SW112" s="386"/>
      <c r="SX112" s="386"/>
      <c r="SY112" s="386"/>
      <c r="SZ112" s="386"/>
      <c r="TA112" s="386"/>
      <c r="TB112" s="386"/>
      <c r="TC112" s="386"/>
      <c r="TD112" s="386"/>
      <c r="TE112" s="386"/>
      <c r="TF112" s="386"/>
      <c r="TG112" s="386"/>
      <c r="TH112" s="386"/>
      <c r="TI112" s="386"/>
      <c r="TJ112" s="386"/>
      <c r="TK112" s="386"/>
      <c r="TL112" s="386"/>
      <c r="TM112" s="386"/>
      <c r="TN112" s="386"/>
      <c r="TO112" s="386"/>
      <c r="TP112" s="386"/>
      <c r="TQ112" s="386"/>
      <c r="TR112" s="386"/>
      <c r="TS112" s="386"/>
      <c r="TT112" s="386"/>
      <c r="TU112" s="386"/>
      <c r="TV112" s="386"/>
      <c r="TW112" s="386"/>
      <c r="TX112" s="386"/>
      <c r="TY112" s="386"/>
      <c r="TZ112" s="386"/>
      <c r="UA112" s="386"/>
      <c r="UB112" s="386"/>
      <c r="UC112" s="386"/>
      <c r="UD112" s="386"/>
      <c r="UE112" s="386"/>
      <c r="UF112" s="386"/>
      <c r="UG112" s="386"/>
      <c r="UH112" s="386"/>
      <c r="UI112" s="386"/>
      <c r="UJ112" s="386"/>
      <c r="UK112" s="386"/>
      <c r="UL112" s="386"/>
      <c r="UM112" s="386"/>
      <c r="UN112" s="386"/>
      <c r="UO112" s="386"/>
      <c r="UP112" s="386"/>
      <c r="UQ112" s="386"/>
      <c r="UR112" s="386"/>
      <c r="US112" s="386"/>
      <c r="UT112" s="386"/>
      <c r="UU112" s="386"/>
      <c r="UV112" s="386"/>
      <c r="UW112" s="386"/>
      <c r="UX112" s="386"/>
      <c r="UY112" s="386"/>
      <c r="UZ112" s="386"/>
      <c r="VA112" s="386"/>
      <c r="VB112" s="386"/>
      <c r="VC112" s="386"/>
      <c r="VD112" s="386"/>
      <c r="VE112" s="386"/>
      <c r="VF112" s="386"/>
      <c r="VG112" s="386"/>
      <c r="VH112" s="386"/>
      <c r="VI112" s="386"/>
      <c r="VJ112" s="386"/>
      <c r="VK112" s="386"/>
      <c r="VL112" s="386"/>
      <c r="VM112" s="386"/>
      <c r="VN112" s="386"/>
      <c r="VO112" s="386"/>
      <c r="VP112" s="386"/>
      <c r="VQ112" s="386"/>
      <c r="VR112" s="386"/>
      <c r="VS112" s="386"/>
      <c r="VT112" s="386"/>
      <c r="VU112" s="386"/>
      <c r="VV112" s="386"/>
      <c r="VW112" s="386"/>
      <c r="VX112" s="386"/>
      <c r="VY112" s="386"/>
      <c r="VZ112" s="386"/>
      <c r="WA112" s="386"/>
      <c r="WB112" s="386"/>
      <c r="WC112" s="386"/>
      <c r="WD112" s="386"/>
      <c r="WE112" s="386"/>
      <c r="WF112" s="386"/>
      <c r="WG112" s="386"/>
      <c r="WH112" s="386"/>
      <c r="WI112" s="386"/>
      <c r="WJ112" s="386"/>
      <c r="WK112" s="386"/>
      <c r="WL112" s="386"/>
      <c r="WM112" s="386"/>
      <c r="WN112" s="386"/>
      <c r="WO112" s="386"/>
      <c r="WP112" s="386"/>
      <c r="WQ112" s="386"/>
      <c r="WR112" s="386"/>
      <c r="WS112" s="386"/>
      <c r="WT112" s="386"/>
      <c r="WU112" s="386"/>
      <c r="WV112" s="386"/>
      <c r="WW112" s="386"/>
      <c r="WX112" s="386"/>
      <c r="WY112" s="386"/>
      <c r="WZ112" s="386"/>
      <c r="XA112" s="386"/>
      <c r="XB112" s="386"/>
      <c r="XC112" s="386"/>
      <c r="XD112" s="386"/>
      <c r="XE112" s="386"/>
      <c r="XF112" s="386"/>
      <c r="XG112" s="386"/>
      <c r="XH112" s="386"/>
      <c r="XI112" s="386"/>
      <c r="XJ112" s="386"/>
      <c r="XK112" s="386"/>
      <c r="XL112" s="386"/>
      <c r="XM112" s="386"/>
      <c r="XN112" s="386"/>
      <c r="XO112" s="386"/>
      <c r="XP112" s="386"/>
      <c r="XQ112" s="386"/>
      <c r="XR112" s="386"/>
      <c r="XS112" s="386"/>
      <c r="XT112" s="386"/>
      <c r="XU112" s="386"/>
      <c r="XV112" s="386"/>
      <c r="XW112" s="386"/>
      <c r="XX112" s="386"/>
      <c r="XY112" s="386"/>
      <c r="XZ112" s="386"/>
      <c r="YA112" s="386"/>
      <c r="YB112" s="386"/>
      <c r="YC112" s="386"/>
      <c r="YD112" s="386"/>
      <c r="YE112" s="386"/>
      <c r="YF112" s="386"/>
      <c r="YG112" s="386"/>
      <c r="YH112" s="386"/>
      <c r="YI112" s="386"/>
      <c r="YJ112" s="386"/>
      <c r="YK112" s="386"/>
      <c r="YL112" s="386"/>
      <c r="YM112" s="386"/>
      <c r="YN112" s="386"/>
      <c r="YO112" s="386"/>
      <c r="YP112" s="386"/>
      <c r="YQ112" s="386"/>
      <c r="YR112" s="386"/>
      <c r="YS112" s="386"/>
      <c r="YT112" s="386"/>
      <c r="YU112" s="386"/>
      <c r="YV112" s="386"/>
      <c r="YW112" s="386"/>
      <c r="YX112" s="386"/>
      <c r="YY112" s="386"/>
      <c r="YZ112" s="386"/>
      <c r="ZA112" s="386"/>
      <c r="ZB112" s="386"/>
      <c r="ZC112" s="386"/>
      <c r="ZD112" s="386"/>
      <c r="ZE112" s="386"/>
      <c r="ZF112" s="386"/>
      <c r="ZG112" s="386"/>
      <c r="ZH112" s="386"/>
      <c r="ZI112" s="386"/>
      <c r="ZJ112" s="386"/>
      <c r="ZK112" s="386"/>
      <c r="ZL112" s="386"/>
      <c r="ZM112" s="386"/>
      <c r="ZN112" s="386"/>
      <c r="ZO112" s="386"/>
      <c r="ZP112" s="386"/>
      <c r="ZQ112" s="386"/>
      <c r="ZR112" s="386"/>
      <c r="ZS112" s="386"/>
      <c r="ZT112" s="386"/>
      <c r="ZU112" s="386"/>
      <c r="ZV112" s="386"/>
      <c r="ZW112" s="386"/>
      <c r="ZX112" s="386"/>
      <c r="ZY112" s="386"/>
      <c r="ZZ112" s="386"/>
      <c r="AAA112" s="386"/>
      <c r="AAB112" s="386"/>
      <c r="AAC112" s="386"/>
      <c r="AAD112" s="386"/>
      <c r="AAE112" s="386"/>
      <c r="AAF112" s="386"/>
      <c r="AAG112" s="386"/>
      <c r="AAH112" s="386"/>
      <c r="AAI112" s="386"/>
      <c r="AAJ112" s="386"/>
      <c r="AAK112" s="386"/>
      <c r="AAL112" s="386"/>
      <c r="AAM112" s="386"/>
      <c r="AAN112" s="386"/>
      <c r="AAO112" s="386"/>
      <c r="AAP112" s="386"/>
      <c r="AAQ112" s="386"/>
      <c r="AAR112" s="386"/>
      <c r="AAS112" s="386"/>
      <c r="AAT112" s="386"/>
      <c r="AAU112" s="386"/>
      <c r="AAV112" s="386"/>
      <c r="AAW112" s="386"/>
      <c r="AAX112" s="386"/>
      <c r="AAY112" s="386"/>
      <c r="AAZ112" s="386"/>
      <c r="ABA112" s="386"/>
      <c r="ABB112" s="386"/>
      <c r="ABC112" s="386"/>
      <c r="ABD112" s="386"/>
      <c r="ABE112" s="386"/>
      <c r="ABF112" s="386"/>
      <c r="ABG112" s="386"/>
      <c r="ABH112" s="386"/>
      <c r="ABI112" s="386"/>
      <c r="ABJ112" s="386"/>
      <c r="ABK112" s="386"/>
      <c r="ABL112" s="386"/>
      <c r="ABM112" s="386"/>
      <c r="ABN112" s="386"/>
      <c r="ABO112" s="386"/>
      <c r="ABP112" s="386"/>
      <c r="ABQ112" s="386"/>
      <c r="ABR112" s="386"/>
      <c r="ABS112" s="386"/>
      <c r="ABT112" s="386"/>
      <c r="ABU112" s="386"/>
      <c r="ABV112" s="386"/>
      <c r="ABW112" s="386"/>
      <c r="ABX112" s="386"/>
      <c r="ABY112" s="386"/>
      <c r="ABZ112" s="386"/>
      <c r="ACA112" s="386"/>
      <c r="ACB112" s="386"/>
      <c r="ACC112" s="386"/>
      <c r="ACD112" s="386"/>
      <c r="ACE112" s="386"/>
      <c r="ACF112" s="386"/>
      <c r="ACG112" s="386"/>
      <c r="ACH112" s="386"/>
      <c r="ACI112" s="386"/>
      <c r="ACJ112" s="386"/>
      <c r="ACK112" s="386"/>
      <c r="ACL112" s="386"/>
      <c r="ACM112" s="386"/>
      <c r="ACN112" s="386"/>
      <c r="ACO112" s="386"/>
      <c r="ACP112" s="386"/>
      <c r="ACQ112" s="386"/>
      <c r="ACR112" s="386"/>
      <c r="ACS112" s="386"/>
      <c r="ACT112" s="386"/>
      <c r="ACU112" s="386"/>
      <c r="ACV112" s="386"/>
      <c r="ACW112" s="386"/>
      <c r="ACX112" s="386"/>
      <c r="ACY112" s="386"/>
      <c r="ACZ112" s="386"/>
      <c r="ADA112" s="386"/>
      <c r="ADB112" s="386"/>
      <c r="ADC112" s="386"/>
      <c r="ADD112" s="386"/>
      <c r="ADE112" s="386"/>
      <c r="ADF112" s="386"/>
      <c r="ADG112" s="386"/>
      <c r="ADH112" s="386"/>
      <c r="ADI112" s="386"/>
      <c r="ADJ112" s="386"/>
      <c r="ADK112" s="386"/>
      <c r="ADL112" s="386"/>
      <c r="ADM112" s="386"/>
      <c r="ADN112" s="386"/>
      <c r="ADO112" s="386"/>
      <c r="ADP112" s="386"/>
      <c r="ADQ112" s="386"/>
      <c r="ADR112" s="386"/>
      <c r="ADS112" s="386"/>
      <c r="ADT112" s="386"/>
      <c r="ADU112" s="386"/>
      <c r="ADV112" s="386"/>
      <c r="ADW112" s="386"/>
      <c r="ADX112" s="386"/>
      <c r="ADY112" s="386"/>
      <c r="ADZ112" s="386"/>
      <c r="AEA112" s="386"/>
      <c r="AEB112" s="386"/>
      <c r="AEC112" s="386"/>
      <c r="AED112" s="386"/>
      <c r="AEE112" s="386"/>
      <c r="AEF112" s="386"/>
      <c r="AEG112" s="386"/>
      <c r="AEH112" s="386"/>
      <c r="AEI112" s="386"/>
      <c r="AEJ112" s="386"/>
      <c r="AEK112" s="386"/>
      <c r="AEL112" s="386"/>
      <c r="AEM112" s="386"/>
      <c r="AEN112" s="386"/>
      <c r="AEO112" s="386"/>
      <c r="AEP112" s="386"/>
      <c r="AEQ112" s="386"/>
      <c r="AER112" s="386"/>
      <c r="AES112" s="386"/>
      <c r="AET112" s="386"/>
      <c r="AEU112" s="386"/>
      <c r="AEV112" s="386"/>
      <c r="AEW112" s="386"/>
      <c r="AEX112" s="386"/>
      <c r="AEY112" s="386"/>
      <c r="AEZ112" s="386"/>
      <c r="AFA112" s="386"/>
      <c r="AFB112" s="386"/>
      <c r="AFC112" s="386"/>
      <c r="AFD112" s="386"/>
      <c r="AFE112" s="386"/>
      <c r="AFF112" s="386"/>
      <c r="AFG112" s="386"/>
      <c r="AFH112" s="386"/>
      <c r="AFI112" s="386"/>
      <c r="AFJ112" s="386"/>
      <c r="AFK112" s="386"/>
      <c r="AFL112" s="386"/>
      <c r="AFM112" s="386"/>
      <c r="AFN112" s="386"/>
      <c r="AFO112" s="386"/>
      <c r="AFP112" s="386"/>
      <c r="AFQ112" s="386"/>
      <c r="AFR112" s="386"/>
      <c r="AFS112" s="386"/>
      <c r="AFT112" s="386"/>
      <c r="AFU112" s="386"/>
      <c r="AFV112" s="386"/>
      <c r="AFW112" s="386"/>
      <c r="AFX112" s="386"/>
      <c r="AFY112" s="386"/>
      <c r="AFZ112" s="386"/>
      <c r="AGA112" s="386"/>
      <c r="AGB112" s="386"/>
      <c r="AGC112" s="386"/>
      <c r="AGD112" s="386"/>
      <c r="AGE112" s="386"/>
      <c r="AGF112" s="386"/>
      <c r="AGG112" s="386"/>
      <c r="AGH112" s="386"/>
      <c r="AGI112" s="386"/>
      <c r="AGJ112" s="386"/>
      <c r="AGK112" s="386"/>
      <c r="AGL112" s="386"/>
      <c r="AGM112" s="386"/>
      <c r="AGN112" s="386"/>
      <c r="AGO112" s="386"/>
      <c r="AGP112" s="386"/>
      <c r="AGQ112" s="386"/>
      <c r="AGR112" s="386"/>
      <c r="AGS112" s="386"/>
      <c r="AGT112" s="386"/>
      <c r="AGU112" s="386"/>
      <c r="AGV112" s="386"/>
      <c r="AGW112" s="386"/>
      <c r="AGX112" s="386"/>
      <c r="AGY112" s="386"/>
      <c r="AGZ112" s="386"/>
      <c r="AHA112" s="386"/>
      <c r="AHB112" s="386"/>
      <c r="AHC112" s="386"/>
      <c r="AHD112" s="386"/>
      <c r="AHE112" s="386"/>
      <c r="AHF112" s="386"/>
      <c r="AHG112" s="386"/>
      <c r="AHH112" s="386"/>
      <c r="AHI112" s="386"/>
      <c r="AHJ112" s="386"/>
      <c r="AHK112" s="386"/>
      <c r="AHL112" s="386"/>
      <c r="AHM112" s="386"/>
      <c r="AHN112" s="386"/>
      <c r="AHO112" s="386"/>
      <c r="AHP112" s="386"/>
      <c r="AHQ112" s="386"/>
      <c r="AHR112" s="386"/>
      <c r="AHS112" s="386"/>
      <c r="AHT112" s="386"/>
      <c r="AHU112" s="386"/>
      <c r="AHV112" s="386"/>
      <c r="AHW112" s="386"/>
      <c r="AHX112" s="386"/>
      <c r="AHY112" s="386"/>
      <c r="AHZ112" s="386"/>
      <c r="AIA112" s="386"/>
      <c r="AIB112" s="386"/>
      <c r="AIC112" s="386"/>
      <c r="AID112" s="386"/>
      <c r="AIE112" s="386"/>
      <c r="AIF112" s="386"/>
      <c r="AIG112" s="386"/>
      <c r="AIH112" s="386"/>
      <c r="AII112" s="386"/>
      <c r="AIJ112" s="386"/>
      <c r="AIK112" s="386"/>
      <c r="AIL112" s="386"/>
      <c r="AIM112" s="386"/>
      <c r="AIN112" s="386"/>
      <c r="AIO112" s="386"/>
      <c r="AIP112" s="386"/>
      <c r="AIQ112" s="386"/>
      <c r="AIR112" s="386"/>
      <c r="AIS112" s="386"/>
      <c r="AIT112" s="386"/>
      <c r="AIU112" s="386"/>
      <c r="AIV112" s="386"/>
      <c r="AIW112" s="386"/>
      <c r="AIX112" s="386"/>
      <c r="AIY112" s="386"/>
      <c r="AIZ112" s="386"/>
      <c r="AJA112" s="386"/>
      <c r="AJB112" s="386"/>
      <c r="AJC112" s="386"/>
      <c r="AJD112" s="386"/>
      <c r="AJE112" s="386"/>
      <c r="AJF112" s="386"/>
      <c r="AJG112" s="386"/>
      <c r="AJH112" s="386"/>
      <c r="AJI112" s="386"/>
      <c r="AJJ112" s="386"/>
      <c r="AJK112" s="386"/>
      <c r="AJL112" s="386"/>
      <c r="AJM112" s="386"/>
      <c r="AJN112" s="386"/>
      <c r="AJO112" s="386"/>
      <c r="AJP112" s="386"/>
      <c r="AJQ112" s="386"/>
      <c r="AJR112" s="386"/>
      <c r="AJS112" s="386"/>
      <c r="AJT112" s="386"/>
      <c r="AJU112" s="386"/>
      <c r="AJV112" s="386"/>
      <c r="AJW112" s="386"/>
      <c r="AJX112" s="386"/>
      <c r="AJY112" s="386"/>
      <c r="AJZ112" s="386"/>
      <c r="AKA112" s="386"/>
      <c r="AKB112" s="386"/>
      <c r="AKC112" s="386"/>
      <c r="AKD112" s="386"/>
      <c r="AKE112" s="386"/>
      <c r="AKF112" s="386"/>
      <c r="AKG112" s="386"/>
      <c r="AKH112" s="386"/>
      <c r="AKI112" s="386"/>
      <c r="AKJ112" s="386"/>
      <c r="AKK112" s="386"/>
      <c r="AKL112" s="386"/>
      <c r="AKM112" s="386"/>
      <c r="AKN112" s="386"/>
      <c r="AKO112" s="386"/>
      <c r="AKP112" s="386"/>
      <c r="AKQ112" s="386"/>
      <c r="AKR112" s="386"/>
      <c r="AKS112" s="386"/>
      <c r="AKT112" s="386"/>
      <c r="AKU112" s="386"/>
      <c r="AKV112" s="386"/>
      <c r="AKW112" s="386"/>
      <c r="AKX112" s="386"/>
      <c r="AKY112" s="386"/>
      <c r="AKZ112" s="386"/>
      <c r="ALA112" s="386"/>
      <c r="ALB112" s="386"/>
      <c r="ALC112" s="386"/>
      <c r="ALD112" s="386"/>
      <c r="ALE112" s="386"/>
      <c r="ALF112" s="386"/>
      <c r="ALG112" s="386"/>
      <c r="ALH112" s="386"/>
      <c r="ALI112" s="386"/>
      <c r="ALJ112" s="386"/>
      <c r="ALK112" s="386"/>
      <c r="ALL112" s="386"/>
      <c r="ALM112" s="386"/>
      <c r="ALN112" s="386"/>
      <c r="ALO112" s="386"/>
      <c r="ALP112" s="386"/>
      <c r="ALQ112" s="386"/>
      <c r="ALR112" s="386"/>
      <c r="ALS112" s="386"/>
      <c r="ALT112" s="386"/>
      <c r="ALU112" s="386"/>
      <c r="ALV112" s="386"/>
      <c r="ALW112" s="386"/>
      <c r="ALX112" s="386"/>
      <c r="ALY112" s="386"/>
      <c r="ALZ112" s="386"/>
      <c r="AMA112" s="386"/>
      <c r="AMB112" s="386"/>
      <c r="AMC112" s="386"/>
      <c r="AMD112" s="386"/>
      <c r="AME112" s="386"/>
      <c r="AMF112" s="386"/>
      <c r="AMG112" s="386"/>
      <c r="AMH112" s="386"/>
      <c r="AMI112" s="386"/>
      <c r="AMJ112" s="386"/>
      <c r="AMK112" s="386"/>
      <c r="AML112" s="386"/>
      <c r="AMM112" s="386"/>
      <c r="AMN112" s="386"/>
      <c r="AMO112" s="386"/>
      <c r="AMP112" s="386"/>
      <c r="AMQ112" s="386"/>
      <c r="AMR112" s="386"/>
      <c r="AMS112" s="386"/>
      <c r="AMT112" s="386"/>
      <c r="AMU112" s="386"/>
      <c r="AMV112" s="386"/>
      <c r="AMW112" s="386"/>
      <c r="AMX112" s="386"/>
      <c r="AMY112" s="386"/>
      <c r="AMZ112" s="386"/>
      <c r="ANA112" s="386"/>
      <c r="ANB112" s="386"/>
      <c r="ANC112" s="386"/>
      <c r="AND112" s="386"/>
      <c r="ANE112" s="386"/>
      <c r="ANF112" s="386"/>
      <c r="ANG112" s="386"/>
      <c r="ANH112" s="386"/>
      <c r="ANI112" s="386"/>
      <c r="ANJ112" s="386"/>
      <c r="ANK112" s="386"/>
      <c r="ANL112" s="386"/>
      <c r="ANM112" s="386"/>
      <c r="ANN112" s="386"/>
      <c r="ANO112" s="386"/>
      <c r="ANP112" s="386"/>
      <c r="ANQ112" s="386"/>
      <c r="ANR112" s="386"/>
      <c r="ANS112" s="386"/>
      <c r="ANT112" s="386"/>
      <c r="ANU112" s="386"/>
      <c r="ANV112" s="386"/>
      <c r="ANW112" s="386"/>
      <c r="ANX112" s="386"/>
      <c r="ANY112" s="386"/>
      <c r="ANZ112" s="386"/>
      <c r="AOA112" s="386"/>
      <c r="AOB112" s="386"/>
      <c r="AOC112" s="386"/>
      <c r="AOD112" s="386"/>
      <c r="AOE112" s="386"/>
      <c r="AOF112" s="386"/>
      <c r="AOG112" s="386"/>
      <c r="AOH112" s="386"/>
      <c r="AOI112" s="386"/>
      <c r="AOJ112" s="386"/>
      <c r="AOK112" s="386"/>
      <c r="AOL112" s="386"/>
      <c r="AOM112" s="386"/>
      <c r="AON112" s="386"/>
      <c r="AOO112" s="386"/>
      <c r="AOP112" s="386"/>
      <c r="AOQ112" s="386"/>
      <c r="AOR112" s="386"/>
      <c r="AOS112" s="386"/>
      <c r="AOT112" s="386"/>
      <c r="AOU112" s="386"/>
      <c r="AOV112" s="386"/>
      <c r="AOW112" s="386"/>
      <c r="AOX112" s="386"/>
      <c r="AOY112" s="386"/>
      <c r="AOZ112" s="386"/>
      <c r="APA112" s="386"/>
      <c r="APB112" s="386"/>
      <c r="APC112" s="386"/>
      <c r="APD112" s="386"/>
      <c r="APE112" s="386"/>
      <c r="APF112" s="386"/>
      <c r="APG112" s="386"/>
      <c r="APH112" s="386"/>
      <c r="API112" s="386"/>
      <c r="APJ112" s="386"/>
      <c r="APK112" s="386"/>
      <c r="APL112" s="386"/>
      <c r="APM112" s="386"/>
      <c r="APN112" s="386"/>
      <c r="APO112" s="386"/>
      <c r="APP112" s="386"/>
      <c r="APQ112" s="386"/>
      <c r="APR112" s="386"/>
      <c r="APS112" s="386"/>
      <c r="APT112" s="386"/>
      <c r="APU112" s="386"/>
      <c r="APV112" s="386"/>
      <c r="APW112" s="386"/>
      <c r="APX112" s="386"/>
      <c r="APY112" s="386"/>
      <c r="APZ112" s="386"/>
      <c r="AQA112" s="386"/>
      <c r="AQB112" s="386"/>
      <c r="AQC112" s="386"/>
      <c r="AQD112" s="386"/>
      <c r="AQE112" s="386"/>
      <c r="AQF112" s="386"/>
      <c r="AQG112" s="386"/>
      <c r="AQH112" s="386"/>
      <c r="AQI112" s="386"/>
      <c r="AQJ112" s="386"/>
      <c r="AQK112" s="386"/>
      <c r="AQL112" s="386"/>
      <c r="AQM112" s="386"/>
      <c r="AQN112" s="386"/>
      <c r="AQO112" s="386"/>
      <c r="AQP112" s="386"/>
      <c r="AQQ112" s="386"/>
      <c r="AQR112" s="386"/>
      <c r="AQS112" s="386"/>
      <c r="AQT112" s="386"/>
      <c r="AQU112" s="386"/>
      <c r="AQV112" s="386"/>
      <c r="AQW112" s="386"/>
      <c r="AQX112" s="386"/>
      <c r="AQY112" s="386"/>
      <c r="AQZ112" s="386"/>
      <c r="ARA112" s="386"/>
      <c r="ARB112" s="386"/>
      <c r="ARC112" s="386"/>
      <c r="ARD112" s="386"/>
      <c r="ARE112" s="386"/>
      <c r="ARF112" s="386"/>
      <c r="ARG112" s="386"/>
      <c r="ARH112" s="386"/>
      <c r="ARI112" s="386"/>
      <c r="ARJ112" s="386"/>
      <c r="ARK112" s="386"/>
      <c r="ARL112" s="386"/>
      <c r="ARM112" s="386"/>
      <c r="ARN112" s="386"/>
      <c r="ARO112" s="386"/>
      <c r="ARP112" s="386"/>
      <c r="ARQ112" s="386"/>
      <c r="ARR112" s="386"/>
      <c r="ARS112" s="386"/>
      <c r="ART112" s="386"/>
      <c r="ARU112" s="386"/>
      <c r="ARV112" s="386"/>
      <c r="ARW112" s="386"/>
      <c r="ARX112" s="386"/>
      <c r="ARY112" s="386"/>
      <c r="ARZ112" s="386"/>
      <c r="ASA112" s="386"/>
      <c r="ASB112" s="386"/>
      <c r="ASC112" s="386"/>
      <c r="ASD112" s="386"/>
      <c r="ASE112" s="386"/>
      <c r="ASF112" s="386"/>
      <c r="ASG112" s="386"/>
      <c r="ASH112" s="386"/>
      <c r="ASI112" s="386"/>
      <c r="ASJ112" s="386"/>
      <c r="ASK112" s="386"/>
      <c r="ASL112" s="386"/>
      <c r="ASM112" s="386"/>
      <c r="ASN112" s="386"/>
      <c r="ASO112" s="386"/>
      <c r="ASP112" s="386"/>
      <c r="ASQ112" s="386"/>
      <c r="ASR112" s="386"/>
      <c r="ASS112" s="386"/>
      <c r="AST112" s="386"/>
      <c r="ASU112" s="386"/>
      <c r="ASV112" s="386"/>
      <c r="ASW112" s="386"/>
      <c r="ASX112" s="386"/>
      <c r="ASY112" s="386"/>
      <c r="ASZ112" s="386"/>
      <c r="ATA112" s="386"/>
      <c r="ATB112" s="386"/>
      <c r="ATC112" s="386"/>
      <c r="ATD112" s="386"/>
      <c r="ATE112" s="386"/>
      <c r="ATF112" s="386"/>
      <c r="ATG112" s="386"/>
      <c r="ATH112" s="386"/>
      <c r="ATI112" s="386"/>
      <c r="ATJ112" s="386"/>
      <c r="ATK112" s="386"/>
      <c r="ATL112" s="386"/>
      <c r="ATM112" s="386"/>
      <c r="ATN112" s="386"/>
      <c r="ATO112" s="386"/>
      <c r="ATP112" s="386"/>
      <c r="ATQ112" s="386"/>
      <c r="ATR112" s="386"/>
      <c r="ATS112" s="386"/>
      <c r="ATT112" s="386"/>
      <c r="ATU112" s="386"/>
      <c r="ATV112" s="386"/>
      <c r="ATW112" s="386"/>
      <c r="ATX112" s="386"/>
      <c r="ATY112" s="386"/>
      <c r="ATZ112" s="386"/>
      <c r="AUA112" s="386"/>
      <c r="AUB112" s="386"/>
      <c r="AUC112" s="386"/>
      <c r="AUD112" s="386"/>
      <c r="AUE112" s="386"/>
      <c r="AUF112" s="386"/>
      <c r="AUG112" s="386"/>
      <c r="AUH112" s="386"/>
      <c r="AUI112" s="386"/>
      <c r="AUJ112" s="386"/>
      <c r="AUK112" s="386"/>
      <c r="AUL112" s="386"/>
      <c r="AUM112" s="386"/>
      <c r="AUN112" s="386"/>
      <c r="AUO112" s="386"/>
      <c r="AUP112" s="386"/>
      <c r="AUQ112" s="386"/>
      <c r="AUR112" s="386"/>
      <c r="AUS112" s="386"/>
      <c r="AUT112" s="386"/>
      <c r="AUU112" s="386"/>
      <c r="AUV112" s="386"/>
      <c r="AUW112" s="386"/>
      <c r="AUX112" s="386"/>
      <c r="AUY112" s="386"/>
      <c r="AUZ112" s="386"/>
      <c r="AVA112" s="386"/>
      <c r="AVB112" s="386"/>
      <c r="AVC112" s="386"/>
      <c r="AVD112" s="386"/>
      <c r="AVE112" s="386"/>
      <c r="AVF112" s="386"/>
      <c r="AVG112" s="386"/>
      <c r="AVH112" s="386"/>
      <c r="AVI112" s="386"/>
      <c r="AVJ112" s="386"/>
      <c r="AVK112" s="386"/>
      <c r="AVL112" s="386"/>
      <c r="AVM112" s="386"/>
      <c r="AVN112" s="386"/>
      <c r="AVO112" s="386"/>
      <c r="AVP112" s="386"/>
      <c r="AVQ112" s="386"/>
      <c r="AVR112" s="386"/>
      <c r="AVS112" s="386"/>
      <c r="AVT112" s="386"/>
      <c r="AVU112" s="386"/>
      <c r="AVV112" s="386"/>
      <c r="AVW112" s="386"/>
      <c r="AVX112" s="386"/>
      <c r="AVY112" s="386"/>
      <c r="AVZ112" s="386"/>
      <c r="AWA112" s="386"/>
      <c r="AWB112" s="386"/>
      <c r="AWC112" s="386"/>
      <c r="AWD112" s="386"/>
      <c r="AWE112" s="386"/>
      <c r="AWF112" s="386"/>
      <c r="AWG112" s="386"/>
      <c r="AWH112" s="386"/>
      <c r="AWI112" s="386"/>
      <c r="AWJ112" s="386"/>
      <c r="AWK112" s="386"/>
      <c r="AWL112" s="386"/>
      <c r="AWM112" s="386"/>
      <c r="AWN112" s="386"/>
      <c r="AWO112" s="386"/>
      <c r="AWP112" s="386"/>
      <c r="AWQ112" s="386"/>
      <c r="AWR112" s="386"/>
      <c r="AWS112" s="386"/>
      <c r="AWT112" s="386"/>
      <c r="AWU112" s="386"/>
      <c r="AWV112" s="386"/>
      <c r="AWW112" s="386"/>
      <c r="AWX112" s="386"/>
      <c r="AWY112" s="386"/>
      <c r="AWZ112" s="386"/>
      <c r="AXA112" s="386"/>
      <c r="AXB112" s="386"/>
      <c r="AXC112" s="386"/>
      <c r="AXD112" s="386"/>
      <c r="AXE112" s="386"/>
      <c r="AXF112" s="386"/>
      <c r="AXG112" s="386"/>
      <c r="AXH112" s="386"/>
      <c r="AXI112" s="386"/>
      <c r="AXJ112" s="386"/>
      <c r="AXK112" s="386"/>
      <c r="AXL112" s="386"/>
      <c r="AXM112" s="386"/>
      <c r="AXN112" s="386"/>
      <c r="AXO112" s="386"/>
      <c r="AXP112" s="386"/>
      <c r="AXQ112" s="386"/>
      <c r="AXR112" s="386"/>
      <c r="AXS112" s="386"/>
      <c r="AXT112" s="386"/>
      <c r="AXU112" s="386"/>
      <c r="AXV112" s="386"/>
      <c r="AXW112" s="386"/>
      <c r="AXX112" s="386"/>
      <c r="AXY112" s="386"/>
      <c r="AXZ112" s="386"/>
      <c r="AYA112" s="386"/>
      <c r="AYB112" s="386"/>
      <c r="AYC112" s="386"/>
      <c r="AYD112" s="386"/>
      <c r="AYE112" s="386"/>
      <c r="AYF112" s="386"/>
      <c r="AYG112" s="386"/>
      <c r="AYH112" s="386"/>
      <c r="AYI112" s="386"/>
      <c r="AYJ112" s="386"/>
      <c r="AYK112" s="386"/>
      <c r="AYL112" s="386"/>
      <c r="AYM112" s="386"/>
      <c r="AYN112" s="386"/>
      <c r="AYO112" s="386"/>
      <c r="AYP112" s="386"/>
      <c r="AYQ112" s="386"/>
      <c r="AYR112" s="386"/>
      <c r="AYS112" s="386"/>
      <c r="AYT112" s="386"/>
      <c r="AYU112" s="386"/>
      <c r="AYV112" s="386"/>
      <c r="AYW112" s="386"/>
      <c r="AYX112" s="386"/>
      <c r="AYY112" s="386"/>
      <c r="AYZ112" s="386"/>
      <c r="AZA112" s="386"/>
      <c r="AZB112" s="386"/>
      <c r="AZC112" s="386"/>
      <c r="AZD112" s="386"/>
      <c r="AZE112" s="386"/>
      <c r="AZF112" s="386"/>
      <c r="AZG112" s="386"/>
      <c r="AZH112" s="386"/>
      <c r="AZI112" s="386"/>
      <c r="AZJ112" s="386"/>
      <c r="AZK112" s="386"/>
      <c r="AZL112" s="386"/>
      <c r="AZM112" s="386"/>
      <c r="AZN112" s="386"/>
      <c r="AZO112" s="386"/>
      <c r="AZP112" s="386"/>
      <c r="AZQ112" s="386"/>
      <c r="AZR112" s="386"/>
      <c r="AZS112" s="386"/>
      <c r="AZT112" s="386"/>
      <c r="AZU112" s="386"/>
      <c r="AZV112" s="386"/>
      <c r="AZW112" s="386"/>
      <c r="AZX112" s="386"/>
      <c r="AZY112" s="386"/>
      <c r="AZZ112" s="386"/>
      <c r="BAA112" s="386"/>
      <c r="BAB112" s="386"/>
      <c r="BAC112" s="386"/>
      <c r="BAD112" s="386"/>
      <c r="BAE112" s="386"/>
      <c r="BAF112" s="386"/>
      <c r="BAG112" s="386"/>
      <c r="BAH112" s="386"/>
      <c r="BAI112" s="386"/>
      <c r="BAJ112" s="386"/>
      <c r="BAK112" s="386"/>
      <c r="BAL112" s="386"/>
      <c r="BAM112" s="386"/>
      <c r="BAN112" s="386"/>
      <c r="BAO112" s="386"/>
      <c r="BAP112" s="386"/>
      <c r="BAQ112" s="386"/>
      <c r="BAR112" s="386"/>
      <c r="BAS112" s="386"/>
      <c r="BAT112" s="386"/>
      <c r="BAU112" s="386"/>
      <c r="BAV112" s="386"/>
      <c r="BAW112" s="386"/>
      <c r="BAX112" s="386"/>
      <c r="BAY112" s="386"/>
      <c r="BAZ112" s="386"/>
      <c r="BBA112" s="386"/>
      <c r="BBB112" s="386"/>
      <c r="BBC112" s="386"/>
      <c r="BBD112" s="386"/>
      <c r="BBE112" s="386"/>
      <c r="BBF112" s="386"/>
      <c r="BBG112" s="386"/>
      <c r="BBH112" s="386"/>
      <c r="BBI112" s="386"/>
      <c r="BBJ112" s="386"/>
      <c r="BBK112" s="386"/>
      <c r="BBL112" s="386"/>
      <c r="BBM112" s="386"/>
      <c r="BBN112" s="386"/>
      <c r="BBO112" s="386"/>
      <c r="BBP112" s="386"/>
      <c r="BBQ112" s="386"/>
      <c r="BBR112" s="386"/>
      <c r="BBS112" s="386"/>
      <c r="BBT112" s="386"/>
      <c r="BBU112" s="386"/>
      <c r="BBV112" s="386"/>
      <c r="BBW112" s="386"/>
      <c r="BBX112" s="386"/>
      <c r="BBY112" s="386"/>
      <c r="BBZ112" s="386"/>
      <c r="BCA112" s="386"/>
      <c r="BCB112" s="386"/>
      <c r="BCC112" s="386"/>
      <c r="BCD112" s="386"/>
      <c r="BCE112" s="386"/>
      <c r="BCF112" s="386"/>
      <c r="BCG112" s="386"/>
      <c r="BCH112" s="386"/>
      <c r="BCI112" s="386"/>
      <c r="BCJ112" s="386"/>
      <c r="BCK112" s="386"/>
      <c r="BCL112" s="386"/>
      <c r="BCM112" s="386"/>
      <c r="BCN112" s="386"/>
      <c r="BCO112" s="386"/>
      <c r="BCP112" s="386"/>
      <c r="BCQ112" s="386"/>
      <c r="BCR112" s="386"/>
      <c r="BCS112" s="386"/>
      <c r="BCT112" s="386"/>
      <c r="BCU112" s="386"/>
      <c r="BCV112" s="386"/>
      <c r="BCW112" s="386"/>
      <c r="BCX112" s="386"/>
      <c r="BCY112" s="386"/>
      <c r="BCZ112" s="386"/>
      <c r="BDA112" s="386"/>
      <c r="BDB112" s="386"/>
      <c r="BDC112" s="386"/>
      <c r="BDD112" s="386"/>
      <c r="BDE112" s="386"/>
      <c r="BDF112" s="386"/>
      <c r="BDG112" s="386"/>
      <c r="BDH112" s="386"/>
      <c r="BDI112" s="386"/>
      <c r="BDJ112" s="386"/>
      <c r="BDK112" s="386"/>
      <c r="BDL112" s="386"/>
      <c r="BDM112" s="386"/>
      <c r="BDN112" s="386"/>
      <c r="BDO112" s="386"/>
      <c r="BDP112" s="386"/>
      <c r="BDQ112" s="386"/>
      <c r="BDR112" s="386"/>
      <c r="BDS112" s="386"/>
      <c r="BDT112" s="386"/>
      <c r="BDU112" s="386"/>
      <c r="BDV112" s="386"/>
      <c r="BDW112" s="386"/>
      <c r="BDX112" s="386"/>
      <c r="BDY112" s="386"/>
      <c r="BDZ112" s="386"/>
      <c r="BEA112" s="386"/>
      <c r="BEB112" s="386"/>
      <c r="BEC112" s="386"/>
      <c r="BED112" s="386"/>
      <c r="BEE112" s="386"/>
      <c r="BEF112" s="386"/>
      <c r="BEG112" s="386"/>
      <c r="BEH112" s="386"/>
      <c r="BEI112" s="386"/>
      <c r="BEJ112" s="386"/>
      <c r="BEK112" s="386"/>
      <c r="BEL112" s="386"/>
      <c r="BEM112" s="386"/>
      <c r="BEN112" s="386"/>
      <c r="BEO112" s="386"/>
      <c r="BEP112" s="386"/>
      <c r="BEQ112" s="386"/>
      <c r="BER112" s="386"/>
      <c r="BES112" s="386"/>
      <c r="BET112" s="386"/>
      <c r="BEU112" s="386"/>
      <c r="BEV112" s="386"/>
      <c r="BEW112" s="386"/>
      <c r="BEX112" s="386"/>
      <c r="BEY112" s="386"/>
      <c r="BEZ112" s="386"/>
      <c r="BFA112" s="386"/>
      <c r="BFB112" s="386"/>
      <c r="BFC112" s="386"/>
      <c r="BFD112" s="386"/>
      <c r="BFE112" s="386"/>
      <c r="BFF112" s="386"/>
      <c r="BFG112" s="386"/>
      <c r="BFH112" s="386"/>
      <c r="BFI112" s="386"/>
      <c r="BFJ112" s="386"/>
      <c r="BFK112" s="386"/>
      <c r="BFL112" s="386"/>
      <c r="BFM112" s="386"/>
      <c r="BFN112" s="386"/>
      <c r="BFO112" s="386"/>
      <c r="BFP112" s="386"/>
      <c r="BFQ112" s="386"/>
      <c r="BFR112" s="386"/>
      <c r="BFS112" s="386"/>
      <c r="BFT112" s="386"/>
      <c r="BFU112" s="386"/>
      <c r="BFV112" s="386"/>
      <c r="BFW112" s="386"/>
      <c r="BFX112" s="386"/>
      <c r="BFY112" s="386"/>
      <c r="BFZ112" s="386"/>
      <c r="BGA112" s="386"/>
      <c r="BGB112" s="386"/>
      <c r="BGC112" s="386"/>
      <c r="BGD112" s="386"/>
      <c r="BGE112" s="386"/>
      <c r="BGF112" s="386"/>
      <c r="BGG112" s="386"/>
      <c r="BGH112" s="386"/>
      <c r="BGI112" s="386"/>
      <c r="BGJ112" s="386"/>
      <c r="BGK112" s="386"/>
      <c r="BGL112" s="386"/>
      <c r="BGM112" s="386"/>
      <c r="BGN112" s="386"/>
      <c r="BGO112" s="386"/>
      <c r="BGP112" s="386"/>
      <c r="BGQ112" s="386"/>
      <c r="BGR112" s="386"/>
      <c r="BGS112" s="386"/>
      <c r="BGT112" s="386"/>
      <c r="BGU112" s="386"/>
      <c r="BGV112" s="386"/>
      <c r="BGW112" s="386"/>
      <c r="BGX112" s="386"/>
      <c r="BGY112" s="386"/>
      <c r="BGZ112" s="386"/>
      <c r="BHA112" s="386"/>
      <c r="BHB112" s="386"/>
      <c r="BHC112" s="386"/>
      <c r="BHD112" s="386"/>
      <c r="BHE112" s="386"/>
      <c r="BHF112" s="386"/>
      <c r="BHG112" s="386"/>
      <c r="BHH112" s="386"/>
      <c r="BHI112" s="386"/>
      <c r="BHJ112" s="386"/>
      <c r="BHK112" s="386"/>
      <c r="BHL112" s="386"/>
      <c r="BHM112" s="386"/>
      <c r="BHN112" s="386"/>
      <c r="BHO112" s="386"/>
      <c r="BHP112" s="386"/>
      <c r="BHQ112" s="386"/>
      <c r="BHR112" s="386"/>
      <c r="BHS112" s="386"/>
      <c r="BHT112" s="386"/>
      <c r="BHU112" s="386"/>
      <c r="BHV112" s="386"/>
      <c r="BHW112" s="386"/>
      <c r="BHX112" s="386"/>
      <c r="BHY112" s="386"/>
      <c r="BHZ112" s="386"/>
      <c r="BIA112" s="386"/>
      <c r="BIB112" s="386"/>
      <c r="BIC112" s="386"/>
      <c r="BID112" s="386"/>
      <c r="BIE112" s="386"/>
      <c r="BIF112" s="386"/>
      <c r="BIG112" s="386"/>
      <c r="BIH112" s="386"/>
      <c r="BII112" s="386"/>
      <c r="BIJ112" s="386"/>
      <c r="BIK112" s="386"/>
      <c r="BIL112" s="386"/>
      <c r="BIM112" s="386"/>
      <c r="BIN112" s="386"/>
      <c r="BIO112" s="386"/>
      <c r="BIP112" s="386"/>
      <c r="BIQ112" s="386"/>
      <c r="BIR112" s="386"/>
      <c r="BIS112" s="386"/>
      <c r="BIT112" s="386"/>
      <c r="BIU112" s="386"/>
      <c r="BIV112" s="386"/>
      <c r="BIW112" s="386"/>
      <c r="BIX112" s="386"/>
      <c r="BIY112" s="386"/>
      <c r="BIZ112" s="386"/>
      <c r="BJA112" s="386"/>
      <c r="BJB112" s="386"/>
      <c r="BJC112" s="386"/>
      <c r="BJD112" s="386"/>
      <c r="BJE112" s="386"/>
      <c r="BJF112" s="386"/>
      <c r="BJG112" s="386"/>
      <c r="BJH112" s="386"/>
      <c r="BJI112" s="386"/>
      <c r="BJJ112" s="386"/>
      <c r="BJK112" s="386"/>
      <c r="BJL112" s="386"/>
      <c r="BJM112" s="386"/>
      <c r="BJN112" s="386"/>
      <c r="BJO112" s="386"/>
      <c r="BJP112" s="386"/>
      <c r="BJQ112" s="386"/>
      <c r="BJR112" s="386"/>
      <c r="BJS112" s="386"/>
      <c r="BJT112" s="386"/>
      <c r="BJU112" s="386"/>
      <c r="BJV112" s="386"/>
      <c r="BJW112" s="386"/>
      <c r="BJX112" s="386"/>
      <c r="BJY112" s="386"/>
      <c r="BJZ112" s="386"/>
      <c r="BKA112" s="386"/>
      <c r="BKB112" s="386"/>
      <c r="BKC112" s="386"/>
      <c r="BKD112" s="386"/>
      <c r="BKE112" s="386"/>
      <c r="BKF112" s="386"/>
      <c r="BKG112" s="386"/>
      <c r="BKH112" s="386"/>
      <c r="BKI112" s="386"/>
      <c r="BKJ112" s="386"/>
      <c r="BKK112" s="386"/>
      <c r="BKL112" s="386"/>
      <c r="BKM112" s="386"/>
      <c r="BKN112" s="386"/>
      <c r="BKO112" s="386"/>
      <c r="BKP112" s="386"/>
      <c r="BKQ112" s="386"/>
      <c r="BKR112" s="386"/>
      <c r="BKS112" s="386"/>
      <c r="BKT112" s="386"/>
      <c r="BKU112" s="386"/>
      <c r="BKV112" s="386"/>
      <c r="BKW112" s="386"/>
      <c r="BKX112" s="386"/>
      <c r="BKY112" s="386"/>
      <c r="BKZ112" s="386"/>
      <c r="BLA112" s="386"/>
      <c r="BLB112" s="386"/>
      <c r="BLC112" s="386"/>
      <c r="BLD112" s="386"/>
      <c r="BLE112" s="386"/>
      <c r="BLF112" s="386"/>
      <c r="BLG112" s="386"/>
      <c r="BLH112" s="386"/>
      <c r="BLI112" s="386"/>
      <c r="BLJ112" s="386"/>
      <c r="BLK112" s="386"/>
      <c r="BLL112" s="386"/>
      <c r="BLM112" s="386"/>
      <c r="BLN112" s="386"/>
      <c r="BLO112" s="386"/>
      <c r="BLP112" s="386"/>
      <c r="BLQ112" s="386"/>
      <c r="BLR112" s="386"/>
      <c r="BLS112" s="386"/>
      <c r="BLT112" s="386"/>
      <c r="BLU112" s="386"/>
      <c r="BLV112" s="386"/>
      <c r="BLW112" s="386"/>
      <c r="BLX112" s="386"/>
      <c r="BLY112" s="386"/>
      <c r="BLZ112" s="386"/>
      <c r="BMA112" s="386"/>
      <c r="BMB112" s="386"/>
      <c r="BMC112" s="386"/>
      <c r="BMD112" s="386"/>
      <c r="BME112" s="386"/>
      <c r="BMF112" s="386"/>
      <c r="BMG112" s="386"/>
      <c r="BMH112" s="386"/>
      <c r="BMI112" s="386"/>
      <c r="BMJ112" s="386"/>
      <c r="BMK112" s="386"/>
      <c r="BML112" s="386"/>
      <c r="BMM112" s="386"/>
      <c r="BMN112" s="386"/>
      <c r="BMO112" s="386"/>
      <c r="BMP112" s="386"/>
      <c r="BMQ112" s="386"/>
      <c r="BMR112" s="386"/>
      <c r="BMS112" s="386"/>
      <c r="BMT112" s="386"/>
      <c r="BMU112" s="386"/>
      <c r="BMV112" s="386"/>
      <c r="BMW112" s="386"/>
      <c r="BMX112" s="386"/>
      <c r="BMY112" s="386"/>
      <c r="BMZ112" s="386"/>
      <c r="BNA112" s="386"/>
      <c r="BNB112" s="386"/>
      <c r="BNC112" s="386"/>
      <c r="BND112" s="386"/>
      <c r="BNE112" s="386"/>
      <c r="BNF112" s="386"/>
      <c r="BNG112" s="386"/>
      <c r="BNH112" s="386"/>
      <c r="BNI112" s="386"/>
      <c r="BNJ112" s="386"/>
      <c r="BNK112" s="386"/>
      <c r="BNL112" s="386"/>
      <c r="BNM112" s="386"/>
      <c r="BNN112" s="386"/>
      <c r="BNO112" s="386"/>
      <c r="BNP112" s="386"/>
      <c r="BNQ112" s="386"/>
      <c r="BNR112" s="386"/>
      <c r="BNS112" s="386"/>
      <c r="BNT112" s="386"/>
      <c r="BNU112" s="386"/>
      <c r="BNV112" s="386"/>
      <c r="BNW112" s="386"/>
      <c r="BNX112" s="386"/>
      <c r="BNY112" s="386"/>
      <c r="BNZ112" s="386"/>
      <c r="BOA112" s="386"/>
      <c r="BOB112" s="386"/>
      <c r="BOC112" s="386"/>
      <c r="BOD112" s="386"/>
      <c r="BOE112" s="386"/>
      <c r="BOF112" s="386"/>
      <c r="BOG112" s="386"/>
      <c r="BOH112" s="386"/>
      <c r="BOI112" s="386"/>
      <c r="BOJ112" s="386"/>
      <c r="BOK112" s="386"/>
      <c r="BOL112" s="386"/>
      <c r="BOM112" s="386"/>
      <c r="BON112" s="386"/>
      <c r="BOO112" s="386"/>
      <c r="BOP112" s="386"/>
      <c r="BOQ112" s="386"/>
      <c r="BOR112" s="386"/>
      <c r="BOS112" s="386"/>
      <c r="BOT112" s="386"/>
      <c r="BOU112" s="386"/>
      <c r="BOV112" s="386"/>
      <c r="BOW112" s="386"/>
      <c r="BOX112" s="386"/>
      <c r="BOY112" s="386"/>
      <c r="BOZ112" s="386"/>
      <c r="BPA112" s="386"/>
      <c r="BPB112" s="386"/>
      <c r="BPC112" s="386"/>
      <c r="BPD112" s="386"/>
      <c r="BPE112" s="386"/>
      <c r="BPF112" s="386"/>
      <c r="BPG112" s="386"/>
      <c r="BPH112" s="386"/>
      <c r="BPI112" s="386"/>
      <c r="BPJ112" s="386"/>
      <c r="BPK112" s="386"/>
      <c r="BPL112" s="386"/>
      <c r="BPM112" s="386"/>
      <c r="BPN112" s="386"/>
      <c r="BPO112" s="386"/>
      <c r="BPP112" s="386"/>
      <c r="BPQ112" s="386"/>
      <c r="BPR112" s="386"/>
      <c r="BPS112" s="386"/>
      <c r="BPT112" s="386"/>
      <c r="BPU112" s="386"/>
      <c r="BPV112" s="386"/>
      <c r="BPW112" s="386"/>
      <c r="BPX112" s="386"/>
      <c r="BPY112" s="386"/>
      <c r="BPZ112" s="386"/>
      <c r="BQA112" s="386"/>
      <c r="BQB112" s="386"/>
      <c r="BQC112" s="386"/>
      <c r="BQD112" s="386"/>
      <c r="BQE112" s="386"/>
      <c r="BQF112" s="386"/>
      <c r="BQG112" s="386"/>
      <c r="BQH112" s="386"/>
      <c r="BQI112" s="386"/>
      <c r="BQJ112" s="386"/>
      <c r="BQK112" s="386"/>
      <c r="BQL112" s="386"/>
      <c r="BQM112" s="386"/>
      <c r="BQN112" s="386"/>
      <c r="BQO112" s="386"/>
      <c r="BQP112" s="386"/>
      <c r="BQQ112" s="386"/>
      <c r="BQR112" s="386"/>
      <c r="BQS112" s="386"/>
      <c r="BQT112" s="386"/>
      <c r="BQU112" s="386"/>
      <c r="BQV112" s="386"/>
      <c r="BQW112" s="386"/>
      <c r="BQX112" s="386"/>
      <c r="BQY112" s="386"/>
      <c r="BQZ112" s="386"/>
      <c r="BRA112" s="386"/>
      <c r="BRB112" s="386"/>
      <c r="BRC112" s="386"/>
      <c r="BRD112" s="386"/>
      <c r="BRE112" s="386"/>
      <c r="BRF112" s="386"/>
      <c r="BRG112" s="386"/>
      <c r="BRH112" s="386"/>
      <c r="BRI112" s="386"/>
      <c r="BRJ112" s="386"/>
      <c r="BRK112" s="386"/>
      <c r="BRL112" s="386"/>
      <c r="BRM112" s="386"/>
      <c r="BRN112" s="386"/>
      <c r="BRO112" s="386"/>
      <c r="BRP112" s="386"/>
      <c r="BRQ112" s="386"/>
      <c r="BRR112" s="386"/>
      <c r="BRS112" s="386"/>
      <c r="BRT112" s="386"/>
      <c r="BRU112" s="386"/>
      <c r="BRV112" s="386"/>
      <c r="BRW112" s="386"/>
      <c r="BRX112" s="386"/>
      <c r="BRY112" s="386"/>
      <c r="BRZ112" s="386"/>
      <c r="BSA112" s="386"/>
      <c r="BSB112" s="386"/>
      <c r="BSC112" s="386"/>
      <c r="BSD112" s="386"/>
      <c r="BSE112" s="386"/>
      <c r="BSF112" s="386"/>
      <c r="BSG112" s="386"/>
      <c r="BSH112" s="386"/>
      <c r="BSI112" s="386"/>
      <c r="BSJ112" s="386"/>
      <c r="BSK112" s="386"/>
      <c r="BSL112" s="386"/>
      <c r="BSM112" s="386"/>
      <c r="BSN112" s="386"/>
      <c r="BSO112" s="386"/>
      <c r="BSP112" s="386"/>
      <c r="BSQ112" s="386"/>
      <c r="BSR112" s="386"/>
      <c r="BSS112" s="386"/>
      <c r="BST112" s="386"/>
      <c r="BSU112" s="386"/>
      <c r="BSV112" s="386"/>
      <c r="BSW112" s="386"/>
      <c r="BSX112" s="386"/>
      <c r="BSY112" s="386"/>
      <c r="BSZ112" s="386"/>
      <c r="BTA112" s="386"/>
      <c r="BTB112" s="386"/>
      <c r="BTC112" s="386"/>
      <c r="BTD112" s="386"/>
      <c r="BTE112" s="386"/>
      <c r="BTF112" s="386"/>
      <c r="BTG112" s="386"/>
      <c r="BTH112" s="386"/>
      <c r="BTI112" s="386"/>
      <c r="BTJ112" s="386"/>
      <c r="BTK112" s="386"/>
      <c r="BTL112" s="386"/>
      <c r="BTM112" s="386"/>
      <c r="BTN112" s="386"/>
      <c r="BTO112" s="386"/>
      <c r="BTP112" s="386"/>
      <c r="BTQ112" s="386"/>
      <c r="BTR112" s="386"/>
      <c r="BTS112" s="386"/>
      <c r="BTT112" s="386"/>
      <c r="BTU112" s="386"/>
      <c r="BTV112" s="386"/>
      <c r="BTW112" s="386"/>
      <c r="BTX112" s="386"/>
      <c r="BTY112" s="386"/>
      <c r="BTZ112" s="386"/>
      <c r="BUA112" s="386"/>
      <c r="BUB112" s="386"/>
      <c r="BUC112" s="386"/>
      <c r="BUD112" s="386"/>
      <c r="BUE112" s="386"/>
      <c r="BUF112" s="386"/>
      <c r="BUG112" s="386"/>
      <c r="BUH112" s="386"/>
      <c r="BUI112" s="386"/>
      <c r="BUJ112" s="386"/>
      <c r="BUK112" s="386"/>
      <c r="BUL112" s="386"/>
      <c r="BUM112" s="386"/>
      <c r="BUN112" s="386"/>
      <c r="BUO112" s="386"/>
      <c r="BUP112" s="386"/>
      <c r="BUQ112" s="386"/>
      <c r="BUR112" s="386"/>
      <c r="BUS112" s="386"/>
      <c r="BUT112" s="386"/>
      <c r="BUU112" s="386"/>
      <c r="BUV112" s="386"/>
      <c r="BUW112" s="386"/>
      <c r="BUX112" s="386"/>
      <c r="BUY112" s="386"/>
      <c r="BUZ112" s="386"/>
      <c r="BVA112" s="386"/>
      <c r="BVB112" s="386"/>
      <c r="BVC112" s="386"/>
      <c r="BVD112" s="386"/>
      <c r="BVE112" s="386"/>
      <c r="BVF112" s="386"/>
      <c r="BVG112" s="386"/>
      <c r="BVH112" s="386"/>
      <c r="BVI112" s="386"/>
      <c r="BVJ112" s="386"/>
      <c r="BVK112" s="386"/>
      <c r="BVL112" s="386"/>
      <c r="BVM112" s="386"/>
      <c r="BVN112" s="386"/>
      <c r="BVO112" s="386"/>
      <c r="BVP112" s="386"/>
      <c r="BVQ112" s="386"/>
      <c r="BVR112" s="386"/>
      <c r="BVS112" s="386"/>
      <c r="BVT112" s="386"/>
      <c r="BVU112" s="386"/>
      <c r="BVV112" s="386"/>
      <c r="BVW112" s="386"/>
      <c r="BVX112" s="386"/>
      <c r="BVY112" s="386"/>
      <c r="BVZ112" s="386"/>
      <c r="BWA112" s="386"/>
      <c r="BWB112" s="386"/>
      <c r="BWC112" s="386"/>
      <c r="BWD112" s="386"/>
      <c r="BWE112" s="386"/>
      <c r="BWF112" s="386"/>
      <c r="BWG112" s="386"/>
      <c r="BWH112" s="386"/>
      <c r="BWI112" s="386"/>
      <c r="BWJ112" s="386"/>
      <c r="BWK112" s="386"/>
      <c r="BWL112" s="386"/>
      <c r="BWM112" s="386"/>
      <c r="BWN112" s="386"/>
      <c r="BWO112" s="386"/>
      <c r="BWP112" s="386"/>
      <c r="BWQ112" s="386"/>
      <c r="BWR112" s="386"/>
      <c r="BWS112" s="386"/>
      <c r="BWT112" s="386"/>
      <c r="BWU112" s="386"/>
      <c r="BWV112" s="386"/>
      <c r="BWW112" s="386"/>
      <c r="BWX112" s="386"/>
      <c r="BWY112" s="386"/>
      <c r="BWZ112" s="386"/>
      <c r="BXA112" s="386"/>
      <c r="BXB112" s="386"/>
      <c r="BXC112" s="386"/>
      <c r="BXD112" s="386"/>
      <c r="BXE112" s="386"/>
      <c r="BXF112" s="386"/>
      <c r="BXG112" s="386"/>
      <c r="BXH112" s="386"/>
      <c r="BXI112" s="386"/>
      <c r="BXJ112" s="386"/>
      <c r="BXK112" s="386"/>
      <c r="BXL112" s="386"/>
      <c r="BXM112" s="386"/>
      <c r="BXN112" s="386"/>
      <c r="BXO112" s="386"/>
      <c r="BXP112" s="386"/>
      <c r="BXQ112" s="386"/>
      <c r="BXR112" s="386"/>
      <c r="BXS112" s="386"/>
      <c r="BXT112" s="386"/>
      <c r="BXU112" s="386"/>
      <c r="BXV112" s="386"/>
      <c r="BXW112" s="386"/>
      <c r="BXX112" s="386"/>
      <c r="BXY112" s="386"/>
      <c r="BXZ112" s="386"/>
      <c r="BYA112" s="386"/>
      <c r="BYB112" s="386"/>
      <c r="BYC112" s="386"/>
      <c r="BYD112" s="386"/>
      <c r="BYE112" s="386"/>
      <c r="BYF112" s="386"/>
      <c r="BYG112" s="386"/>
      <c r="BYH112" s="386"/>
      <c r="BYI112" s="386"/>
      <c r="BYJ112" s="386"/>
      <c r="BYK112" s="386"/>
      <c r="BYL112" s="386"/>
      <c r="BYM112" s="386"/>
      <c r="BYN112" s="386"/>
      <c r="BYO112" s="386"/>
      <c r="BYP112" s="386"/>
      <c r="BYQ112" s="386"/>
      <c r="BYR112" s="386"/>
      <c r="BYS112" s="386"/>
      <c r="BYT112" s="386"/>
      <c r="BYU112" s="386"/>
      <c r="BYV112" s="386"/>
      <c r="BYW112" s="386"/>
      <c r="BYX112" s="386"/>
      <c r="BYY112" s="386"/>
      <c r="BYZ112" s="386"/>
      <c r="BZA112" s="386"/>
      <c r="BZB112" s="386"/>
      <c r="BZC112" s="386"/>
      <c r="BZD112" s="386"/>
      <c r="BZE112" s="386"/>
      <c r="BZF112" s="386"/>
      <c r="BZG112" s="386"/>
      <c r="BZH112" s="386"/>
      <c r="BZI112" s="386"/>
      <c r="BZJ112" s="386"/>
      <c r="BZK112" s="386"/>
      <c r="BZL112" s="386"/>
      <c r="BZM112" s="386"/>
      <c r="BZN112" s="386"/>
      <c r="BZO112" s="386"/>
      <c r="BZP112" s="386"/>
      <c r="BZQ112" s="386"/>
      <c r="BZR112" s="386"/>
      <c r="BZS112" s="386"/>
      <c r="BZT112" s="386"/>
      <c r="BZU112" s="386"/>
      <c r="BZV112" s="386"/>
      <c r="BZW112" s="386"/>
      <c r="BZX112" s="386"/>
      <c r="BZY112" s="386"/>
      <c r="BZZ112" s="386"/>
      <c r="CAA112" s="386"/>
      <c r="CAB112" s="386"/>
      <c r="CAC112" s="386"/>
      <c r="CAD112" s="386"/>
      <c r="CAE112" s="386"/>
      <c r="CAF112" s="386"/>
      <c r="CAG112" s="386"/>
      <c r="CAH112" s="386"/>
      <c r="CAI112" s="386"/>
      <c r="CAJ112" s="386"/>
      <c r="CAK112" s="386"/>
      <c r="CAL112" s="386"/>
      <c r="CAM112" s="386"/>
      <c r="CAN112" s="386"/>
      <c r="CAO112" s="386"/>
      <c r="CAP112" s="386"/>
      <c r="CAQ112" s="386"/>
      <c r="CAR112" s="386"/>
      <c r="CAS112" s="386"/>
      <c r="CAT112" s="386"/>
      <c r="CAU112" s="386"/>
      <c r="CAV112" s="386"/>
      <c r="CAW112" s="386"/>
      <c r="CAX112" s="386"/>
      <c r="CAY112" s="386"/>
      <c r="CAZ112" s="386"/>
      <c r="CBA112" s="386"/>
      <c r="CBB112" s="386"/>
      <c r="CBC112" s="386"/>
      <c r="CBD112" s="386"/>
      <c r="CBE112" s="386"/>
      <c r="CBF112" s="386"/>
      <c r="CBG112" s="386"/>
      <c r="CBH112" s="386"/>
      <c r="CBI112" s="386"/>
      <c r="CBJ112" s="386"/>
      <c r="CBK112" s="386"/>
      <c r="CBL112" s="386"/>
      <c r="CBM112" s="386"/>
      <c r="CBN112" s="386"/>
      <c r="CBO112" s="386"/>
      <c r="CBP112" s="386"/>
      <c r="CBQ112" s="386"/>
      <c r="CBR112" s="386"/>
      <c r="CBS112" s="386"/>
      <c r="CBT112" s="386"/>
      <c r="CBU112" s="386"/>
      <c r="CBV112" s="386"/>
      <c r="CBW112" s="386"/>
      <c r="CBX112" s="386"/>
      <c r="CBY112" s="386"/>
      <c r="CBZ112" s="386"/>
      <c r="CCA112" s="386"/>
      <c r="CCB112" s="386"/>
      <c r="CCC112" s="386"/>
      <c r="CCD112" s="386"/>
      <c r="CCE112" s="386"/>
      <c r="CCF112" s="386"/>
      <c r="CCG112" s="386"/>
      <c r="CCH112" s="386"/>
      <c r="CCI112" s="386"/>
      <c r="CCJ112" s="386"/>
      <c r="CCK112" s="386"/>
      <c r="CCL112" s="386"/>
      <c r="CCM112" s="386"/>
      <c r="CCN112" s="386"/>
      <c r="CCO112" s="386"/>
      <c r="CCP112" s="386"/>
      <c r="CCQ112" s="386"/>
      <c r="CCR112" s="386"/>
      <c r="CCS112" s="386"/>
      <c r="CCT112" s="386"/>
      <c r="CCU112" s="386"/>
      <c r="CCV112" s="386"/>
      <c r="CCW112" s="386"/>
      <c r="CCX112" s="386"/>
      <c r="CCY112" s="386"/>
      <c r="CCZ112" s="386"/>
      <c r="CDA112" s="386"/>
      <c r="CDB112" s="386"/>
      <c r="CDC112" s="386"/>
      <c r="CDD112" s="386"/>
      <c r="CDE112" s="386"/>
      <c r="CDF112" s="386"/>
      <c r="CDG112" s="386"/>
      <c r="CDH112" s="386"/>
      <c r="CDI112" s="386"/>
      <c r="CDJ112" s="386"/>
      <c r="CDK112" s="386"/>
      <c r="CDL112" s="386"/>
      <c r="CDM112" s="386"/>
      <c r="CDN112" s="386"/>
      <c r="CDO112" s="386"/>
      <c r="CDP112" s="386"/>
      <c r="CDQ112" s="386"/>
      <c r="CDR112" s="386"/>
      <c r="CDS112" s="386"/>
      <c r="CDT112" s="386"/>
      <c r="CDU112" s="386"/>
      <c r="CDV112" s="386"/>
      <c r="CDW112" s="386"/>
      <c r="CDX112" s="386"/>
      <c r="CDY112" s="386"/>
      <c r="CDZ112" s="386"/>
      <c r="CEA112" s="386"/>
      <c r="CEB112" s="386"/>
      <c r="CEC112" s="386"/>
      <c r="CED112" s="386"/>
      <c r="CEE112" s="386"/>
      <c r="CEF112" s="386"/>
      <c r="CEG112" s="386"/>
      <c r="CEH112" s="386"/>
      <c r="CEI112" s="386"/>
      <c r="CEJ112" s="386"/>
      <c r="CEK112" s="386"/>
      <c r="CEL112" s="386"/>
      <c r="CEM112" s="386"/>
      <c r="CEN112" s="386"/>
      <c r="CEO112" s="386"/>
      <c r="CEP112" s="386"/>
      <c r="CEQ112" s="386"/>
      <c r="CER112" s="386"/>
      <c r="CES112" s="386"/>
      <c r="CET112" s="386"/>
      <c r="CEU112" s="386"/>
      <c r="CEV112" s="386"/>
      <c r="CEW112" s="386"/>
      <c r="CEX112" s="386"/>
      <c r="CEY112" s="386"/>
      <c r="CEZ112" s="386"/>
      <c r="CFA112" s="386"/>
      <c r="CFB112" s="386"/>
      <c r="CFC112" s="386"/>
      <c r="CFD112" s="386"/>
      <c r="CFE112" s="386"/>
      <c r="CFF112" s="386"/>
      <c r="CFG112" s="386"/>
      <c r="CFH112" s="386"/>
      <c r="CFI112" s="386"/>
      <c r="CFJ112" s="386"/>
      <c r="CFK112" s="386"/>
      <c r="CFL112" s="386"/>
      <c r="CFM112" s="386"/>
      <c r="CFN112" s="386"/>
      <c r="CFO112" s="386"/>
      <c r="CFP112" s="386"/>
      <c r="CFQ112" s="386"/>
      <c r="CFR112" s="386"/>
      <c r="CFS112" s="386"/>
      <c r="CFT112" s="386"/>
      <c r="CFU112" s="386"/>
      <c r="CFV112" s="386"/>
      <c r="CFW112" s="386"/>
      <c r="CFX112" s="386"/>
      <c r="CFY112" s="386"/>
      <c r="CFZ112" s="386"/>
      <c r="CGA112" s="386"/>
      <c r="CGB112" s="386"/>
      <c r="CGC112" s="386"/>
      <c r="CGD112" s="386"/>
      <c r="CGE112" s="386"/>
      <c r="CGF112" s="386"/>
      <c r="CGG112" s="386"/>
      <c r="CGH112" s="386"/>
      <c r="CGI112" s="386"/>
      <c r="CGJ112" s="386"/>
      <c r="CGK112" s="386"/>
      <c r="CGL112" s="386"/>
      <c r="CGM112" s="386"/>
      <c r="CGN112" s="386"/>
      <c r="CGO112" s="386"/>
      <c r="CGP112" s="386"/>
      <c r="CGQ112" s="386"/>
      <c r="CGR112" s="386"/>
      <c r="CGS112" s="386"/>
      <c r="CGT112" s="386"/>
      <c r="CGU112" s="386"/>
      <c r="CGV112" s="386"/>
      <c r="CGW112" s="386"/>
      <c r="CGX112" s="386"/>
      <c r="CGY112" s="386"/>
      <c r="CGZ112" s="386"/>
      <c r="CHA112" s="386"/>
      <c r="CHB112" s="386"/>
      <c r="CHC112" s="386"/>
      <c r="CHD112" s="386"/>
      <c r="CHE112" s="386"/>
      <c r="CHF112" s="386"/>
      <c r="CHG112" s="386"/>
      <c r="CHH112" s="386"/>
      <c r="CHI112" s="386"/>
      <c r="CHJ112" s="386"/>
      <c r="CHK112" s="386"/>
      <c r="CHL112" s="386"/>
      <c r="CHM112" s="386"/>
      <c r="CHN112" s="386"/>
      <c r="CHO112" s="386"/>
      <c r="CHP112" s="386"/>
      <c r="CHQ112" s="386"/>
      <c r="CHR112" s="386"/>
      <c r="CHS112" s="386"/>
      <c r="CHT112" s="386"/>
      <c r="CHU112" s="386"/>
      <c r="CHV112" s="386"/>
      <c r="CHW112" s="386"/>
      <c r="CHX112" s="386"/>
      <c r="CHY112" s="386"/>
      <c r="CHZ112" s="386"/>
      <c r="CIA112" s="386"/>
      <c r="CIB112" s="386"/>
      <c r="CIC112" s="386"/>
      <c r="CID112" s="386"/>
      <c r="CIE112" s="386"/>
      <c r="CIF112" s="386"/>
      <c r="CIG112" s="386"/>
      <c r="CIH112" s="386"/>
      <c r="CII112" s="386"/>
      <c r="CIJ112" s="386"/>
      <c r="CIK112" s="386"/>
      <c r="CIL112" s="386"/>
      <c r="CIM112" s="386"/>
      <c r="CIN112" s="386"/>
      <c r="CIO112" s="386"/>
      <c r="CIP112" s="386"/>
      <c r="CIQ112" s="386"/>
      <c r="CIR112" s="386"/>
      <c r="CIS112" s="386"/>
      <c r="CIT112" s="386"/>
      <c r="CIU112" s="386"/>
      <c r="CIV112" s="386"/>
      <c r="CIW112" s="386"/>
      <c r="CIX112" s="386"/>
      <c r="CIY112" s="386"/>
      <c r="CIZ112" s="386"/>
      <c r="CJA112" s="386"/>
      <c r="CJB112" s="386"/>
      <c r="CJC112" s="386"/>
      <c r="CJD112" s="386"/>
      <c r="CJE112" s="386"/>
      <c r="CJF112" s="386"/>
      <c r="CJG112" s="386"/>
      <c r="CJH112" s="386"/>
      <c r="CJI112" s="386"/>
      <c r="CJJ112" s="386"/>
      <c r="CJK112" s="386"/>
      <c r="CJL112" s="386"/>
      <c r="CJM112" s="386"/>
      <c r="CJN112" s="386"/>
      <c r="CJO112" s="386"/>
      <c r="CJP112" s="386"/>
      <c r="CJQ112" s="386"/>
      <c r="CJR112" s="386"/>
      <c r="CJS112" s="386"/>
      <c r="CJT112" s="386"/>
      <c r="CJU112" s="386"/>
      <c r="CJV112" s="386"/>
      <c r="CJW112" s="386"/>
      <c r="CJX112" s="386"/>
      <c r="CJY112" s="386"/>
      <c r="CJZ112" s="386"/>
      <c r="CKA112" s="386"/>
      <c r="CKB112" s="386"/>
      <c r="CKC112" s="386"/>
      <c r="CKD112" s="386"/>
      <c r="CKE112" s="386"/>
      <c r="CKF112" s="386"/>
      <c r="CKG112" s="386"/>
      <c r="CKH112" s="386"/>
      <c r="CKI112" s="386"/>
      <c r="CKJ112" s="386"/>
      <c r="CKK112" s="386"/>
      <c r="CKL112" s="386"/>
      <c r="CKM112" s="386"/>
      <c r="CKN112" s="386"/>
      <c r="CKO112" s="386"/>
      <c r="CKP112" s="386"/>
      <c r="CKQ112" s="386"/>
      <c r="CKR112" s="386"/>
      <c r="CKS112" s="386"/>
      <c r="CKT112" s="386"/>
      <c r="CKU112" s="386"/>
      <c r="CKV112" s="386"/>
      <c r="CKW112" s="386"/>
      <c r="CKX112" s="386"/>
      <c r="CKY112" s="386"/>
      <c r="CKZ112" s="386"/>
      <c r="CLA112" s="386"/>
      <c r="CLB112" s="386"/>
      <c r="CLC112" s="386"/>
      <c r="CLD112" s="386"/>
      <c r="CLE112" s="386"/>
      <c r="CLF112" s="386"/>
      <c r="CLG112" s="386"/>
      <c r="CLH112" s="386"/>
      <c r="CLI112" s="386"/>
      <c r="CLJ112" s="386"/>
      <c r="CLK112" s="386"/>
      <c r="CLL112" s="386"/>
      <c r="CLM112" s="386"/>
      <c r="CLN112" s="386"/>
      <c r="CLO112" s="386"/>
      <c r="CLP112" s="386"/>
      <c r="CLQ112" s="386"/>
      <c r="CLR112" s="386"/>
      <c r="CLS112" s="386"/>
      <c r="CLT112" s="386"/>
      <c r="CLU112" s="386"/>
      <c r="CLV112" s="386"/>
      <c r="CLW112" s="386"/>
      <c r="CLX112" s="386"/>
      <c r="CLY112" s="386"/>
      <c r="CLZ112" s="386"/>
      <c r="CMA112" s="386"/>
      <c r="CMB112" s="386"/>
      <c r="CMC112" s="386"/>
      <c r="CMD112" s="386"/>
      <c r="CME112" s="386"/>
      <c r="CMF112" s="386"/>
      <c r="CMG112" s="386"/>
      <c r="CMH112" s="386"/>
      <c r="CMI112" s="386"/>
      <c r="CMJ112" s="386"/>
      <c r="CMK112" s="386"/>
      <c r="CML112" s="386"/>
      <c r="CMM112" s="386"/>
      <c r="CMN112" s="386"/>
      <c r="CMO112" s="386"/>
      <c r="CMP112" s="386"/>
      <c r="CMQ112" s="386"/>
      <c r="CMR112" s="386"/>
      <c r="CMS112" s="386"/>
      <c r="CMT112" s="386"/>
      <c r="CMU112" s="386"/>
      <c r="CMV112" s="386"/>
      <c r="CMW112" s="386"/>
      <c r="CMX112" s="386"/>
      <c r="CMY112" s="386"/>
      <c r="CMZ112" s="386"/>
      <c r="CNA112" s="386"/>
      <c r="CNB112" s="386"/>
      <c r="CNC112" s="386"/>
      <c r="CND112" s="386"/>
      <c r="CNE112" s="386"/>
      <c r="CNF112" s="386"/>
      <c r="CNG112" s="386"/>
      <c r="CNH112" s="386"/>
      <c r="CNI112" s="386"/>
      <c r="CNJ112" s="386"/>
      <c r="CNK112" s="386"/>
      <c r="CNL112" s="386"/>
      <c r="CNM112" s="386"/>
      <c r="CNN112" s="386"/>
      <c r="CNO112" s="386"/>
      <c r="CNP112" s="386"/>
      <c r="CNQ112" s="386"/>
      <c r="CNR112" s="386"/>
      <c r="CNS112" s="386"/>
      <c r="CNT112" s="386"/>
      <c r="CNU112" s="386"/>
      <c r="CNV112" s="386"/>
      <c r="CNW112" s="386"/>
      <c r="CNX112" s="386"/>
      <c r="CNY112" s="386"/>
      <c r="CNZ112" s="386"/>
      <c r="COA112" s="386"/>
      <c r="COB112" s="386"/>
      <c r="COC112" s="386"/>
      <c r="COD112" s="386"/>
      <c r="COE112" s="386"/>
      <c r="COF112" s="386"/>
      <c r="COG112" s="386"/>
      <c r="COH112" s="386"/>
      <c r="COI112" s="386"/>
      <c r="COJ112" s="386"/>
      <c r="COK112" s="386"/>
      <c r="COL112" s="386"/>
      <c r="COM112" s="386"/>
      <c r="CON112" s="386"/>
      <c r="COO112" s="386"/>
      <c r="COP112" s="386"/>
      <c r="COQ112" s="386"/>
      <c r="COR112" s="386"/>
      <c r="COS112" s="386"/>
      <c r="COT112" s="386"/>
      <c r="COU112" s="386"/>
      <c r="COV112" s="386"/>
      <c r="COW112" s="386"/>
      <c r="COX112" s="386"/>
      <c r="COY112" s="386"/>
      <c r="COZ112" s="386"/>
      <c r="CPA112" s="386"/>
      <c r="CPB112" s="386"/>
      <c r="CPC112" s="386"/>
      <c r="CPD112" s="386"/>
      <c r="CPE112" s="386"/>
      <c r="CPF112" s="386"/>
      <c r="CPG112" s="386"/>
      <c r="CPH112" s="386"/>
      <c r="CPI112" s="386"/>
      <c r="CPJ112" s="386"/>
      <c r="CPK112" s="386"/>
      <c r="CPL112" s="386"/>
      <c r="CPM112" s="386"/>
      <c r="CPN112" s="386"/>
      <c r="CPO112" s="386"/>
      <c r="CPP112" s="386"/>
      <c r="CPQ112" s="386"/>
      <c r="CPR112" s="386"/>
      <c r="CPS112" s="386"/>
      <c r="CPT112" s="386"/>
      <c r="CPU112" s="386"/>
      <c r="CPV112" s="386"/>
      <c r="CPW112" s="386"/>
      <c r="CPX112" s="386"/>
      <c r="CPY112" s="386"/>
      <c r="CPZ112" s="386"/>
      <c r="CQA112" s="386"/>
      <c r="CQB112" s="386"/>
      <c r="CQC112" s="386"/>
      <c r="CQD112" s="386"/>
      <c r="CQE112" s="386"/>
      <c r="CQF112" s="386"/>
      <c r="CQG112" s="386"/>
      <c r="CQH112" s="386"/>
      <c r="CQI112" s="386"/>
      <c r="CQJ112" s="386"/>
      <c r="CQK112" s="386"/>
      <c r="CQL112" s="386"/>
      <c r="CQM112" s="386"/>
      <c r="CQN112" s="386"/>
      <c r="CQO112" s="386"/>
      <c r="CQP112" s="386"/>
      <c r="CQQ112" s="386"/>
      <c r="CQR112" s="386"/>
      <c r="CQS112" s="386"/>
      <c r="CQT112" s="386"/>
      <c r="CQU112" s="386"/>
      <c r="CQV112" s="386"/>
      <c r="CQW112" s="386"/>
      <c r="CQX112" s="386"/>
      <c r="CQY112" s="386"/>
      <c r="CQZ112" s="386"/>
      <c r="CRA112" s="386"/>
      <c r="CRB112" s="386"/>
      <c r="CRC112" s="386"/>
      <c r="CRD112" s="386"/>
      <c r="CRE112" s="386"/>
      <c r="CRF112" s="386"/>
      <c r="CRG112" s="386"/>
      <c r="CRH112" s="386"/>
      <c r="CRI112" s="386"/>
      <c r="CRJ112" s="386"/>
      <c r="CRK112" s="386"/>
      <c r="CRL112" s="386"/>
      <c r="CRM112" s="386"/>
      <c r="CRN112" s="386"/>
      <c r="CRO112" s="386"/>
      <c r="CRP112" s="386"/>
      <c r="CRQ112" s="386"/>
      <c r="CRR112" s="386"/>
      <c r="CRS112" s="386"/>
      <c r="CRT112" s="386"/>
      <c r="CRU112" s="386"/>
      <c r="CRV112" s="386"/>
      <c r="CRW112" s="386"/>
      <c r="CRX112" s="386"/>
      <c r="CRY112" s="386"/>
      <c r="CRZ112" s="386"/>
      <c r="CSA112" s="386"/>
      <c r="CSB112" s="386"/>
      <c r="CSC112" s="386"/>
      <c r="CSD112" s="386"/>
      <c r="CSE112" s="386"/>
      <c r="CSF112" s="386"/>
      <c r="CSG112" s="386"/>
      <c r="CSH112" s="386"/>
      <c r="CSI112" s="386"/>
      <c r="CSJ112" s="386"/>
      <c r="CSK112" s="386"/>
      <c r="CSL112" s="386"/>
      <c r="CSM112" s="386"/>
      <c r="CSN112" s="386"/>
      <c r="CSO112" s="386"/>
      <c r="CSP112" s="386"/>
      <c r="CSQ112" s="386"/>
      <c r="CSR112" s="386"/>
      <c r="CSS112" s="386"/>
      <c r="CST112" s="386"/>
      <c r="CSU112" s="386"/>
      <c r="CSV112" s="386"/>
      <c r="CSW112" s="386"/>
      <c r="CSX112" s="386"/>
      <c r="CSY112" s="386"/>
      <c r="CSZ112" s="386"/>
      <c r="CTA112" s="386"/>
      <c r="CTB112" s="386"/>
      <c r="CTC112" s="386"/>
      <c r="CTD112" s="386"/>
      <c r="CTE112" s="386"/>
      <c r="CTF112" s="386"/>
      <c r="CTG112" s="386"/>
      <c r="CTH112" s="386"/>
      <c r="CTI112" s="386"/>
      <c r="CTJ112" s="386"/>
      <c r="CTK112" s="386"/>
      <c r="CTL112" s="386"/>
      <c r="CTM112" s="386"/>
      <c r="CTN112" s="386"/>
      <c r="CTO112" s="386"/>
      <c r="CTP112" s="386"/>
      <c r="CTQ112" s="386"/>
      <c r="CTR112" s="386"/>
      <c r="CTS112" s="386"/>
      <c r="CTT112" s="386"/>
      <c r="CTU112" s="386"/>
      <c r="CTV112" s="386"/>
      <c r="CTW112" s="386"/>
      <c r="CTX112" s="386"/>
      <c r="CTY112" s="386"/>
      <c r="CTZ112" s="386"/>
      <c r="CUA112" s="386"/>
      <c r="CUB112" s="386"/>
      <c r="CUC112" s="386"/>
      <c r="CUD112" s="386"/>
      <c r="CUE112" s="386"/>
      <c r="CUF112" s="386"/>
      <c r="CUG112" s="386"/>
      <c r="CUH112" s="386"/>
      <c r="CUI112" s="386"/>
      <c r="CUJ112" s="386"/>
      <c r="CUK112" s="386"/>
      <c r="CUL112" s="386"/>
      <c r="CUM112" s="386"/>
      <c r="CUN112" s="386"/>
      <c r="CUO112" s="386"/>
      <c r="CUP112" s="386"/>
      <c r="CUQ112" s="386"/>
      <c r="CUR112" s="386"/>
      <c r="CUS112" s="386"/>
      <c r="CUT112" s="386"/>
      <c r="CUU112" s="386"/>
      <c r="CUV112" s="386"/>
      <c r="CUW112" s="386"/>
      <c r="CUX112" s="386"/>
      <c r="CUY112" s="386"/>
      <c r="CUZ112" s="386"/>
      <c r="CVA112" s="386"/>
      <c r="CVB112" s="386"/>
      <c r="CVC112" s="386"/>
      <c r="CVD112" s="386"/>
      <c r="CVE112" s="386"/>
      <c r="CVF112" s="386"/>
      <c r="CVG112" s="386"/>
      <c r="CVH112" s="386"/>
      <c r="CVI112" s="386"/>
      <c r="CVJ112" s="386"/>
      <c r="CVK112" s="386"/>
      <c r="CVL112" s="386"/>
      <c r="CVM112" s="386"/>
      <c r="CVN112" s="386"/>
      <c r="CVO112" s="386"/>
      <c r="CVP112" s="386"/>
      <c r="CVQ112" s="386"/>
      <c r="CVR112" s="386"/>
      <c r="CVS112" s="386"/>
      <c r="CVT112" s="386"/>
      <c r="CVU112" s="386"/>
      <c r="CVV112" s="386"/>
      <c r="CVW112" s="386"/>
      <c r="CVX112" s="386"/>
      <c r="CVY112" s="386"/>
      <c r="CVZ112" s="386"/>
      <c r="CWA112" s="386"/>
      <c r="CWB112" s="386"/>
      <c r="CWC112" s="386"/>
      <c r="CWD112" s="386"/>
      <c r="CWE112" s="386"/>
      <c r="CWF112" s="386"/>
      <c r="CWG112" s="386"/>
      <c r="CWH112" s="386"/>
      <c r="CWI112" s="386"/>
      <c r="CWJ112" s="386"/>
      <c r="CWK112" s="386"/>
      <c r="CWL112" s="386"/>
      <c r="CWM112" s="386"/>
      <c r="CWN112" s="386"/>
      <c r="CWO112" s="386"/>
      <c r="CWP112" s="386"/>
      <c r="CWQ112" s="386"/>
      <c r="CWR112" s="386"/>
      <c r="CWS112" s="386"/>
      <c r="CWT112" s="386"/>
      <c r="CWU112" s="386"/>
      <c r="CWV112" s="386"/>
      <c r="CWW112" s="386"/>
      <c r="CWX112" s="386"/>
      <c r="CWY112" s="386"/>
      <c r="CWZ112" s="386"/>
      <c r="CXA112" s="386"/>
      <c r="CXB112" s="386"/>
      <c r="CXC112" s="386"/>
      <c r="CXD112" s="386"/>
      <c r="CXE112" s="386"/>
      <c r="CXF112" s="386"/>
      <c r="CXG112" s="386"/>
      <c r="CXH112" s="386"/>
      <c r="CXI112" s="386"/>
      <c r="CXJ112" s="386"/>
      <c r="CXK112" s="386"/>
      <c r="CXL112" s="386"/>
      <c r="CXM112" s="386"/>
      <c r="CXN112" s="386"/>
      <c r="CXO112" s="386"/>
      <c r="CXP112" s="386"/>
      <c r="CXQ112" s="386"/>
      <c r="CXR112" s="386"/>
      <c r="CXS112" s="386"/>
      <c r="CXT112" s="386"/>
      <c r="CXU112" s="386"/>
      <c r="CXV112" s="386"/>
      <c r="CXW112" s="386"/>
      <c r="CXX112" s="386"/>
      <c r="CXY112" s="386"/>
      <c r="CXZ112" s="386"/>
      <c r="CYA112" s="386"/>
      <c r="CYB112" s="386"/>
      <c r="CYC112" s="386"/>
      <c r="CYD112" s="386"/>
      <c r="CYE112" s="386"/>
      <c r="CYF112" s="386"/>
      <c r="CYG112" s="386"/>
      <c r="CYH112" s="386"/>
      <c r="CYI112" s="386"/>
      <c r="CYJ112" s="386"/>
      <c r="CYK112" s="386"/>
      <c r="CYL112" s="386"/>
      <c r="CYM112" s="386"/>
      <c r="CYN112" s="386"/>
      <c r="CYO112" s="386"/>
      <c r="CYP112" s="386"/>
      <c r="CYQ112" s="386"/>
      <c r="CYR112" s="386"/>
      <c r="CYS112" s="386"/>
      <c r="CYT112" s="386"/>
      <c r="CYU112" s="386"/>
      <c r="CYV112" s="386"/>
      <c r="CYW112" s="386"/>
      <c r="CYX112" s="386"/>
      <c r="CYY112" s="386"/>
      <c r="CYZ112" s="386"/>
      <c r="CZA112" s="386"/>
      <c r="CZB112" s="386"/>
      <c r="CZC112" s="386"/>
      <c r="CZD112" s="386"/>
      <c r="CZE112" s="386"/>
      <c r="CZF112" s="386"/>
      <c r="CZG112" s="386"/>
      <c r="CZH112" s="386"/>
      <c r="CZI112" s="386"/>
      <c r="CZJ112" s="386"/>
      <c r="CZK112" s="386"/>
      <c r="CZL112" s="386"/>
      <c r="CZM112" s="386"/>
      <c r="CZN112" s="386"/>
      <c r="CZO112" s="386"/>
      <c r="CZP112" s="386"/>
      <c r="CZQ112" s="386"/>
      <c r="CZR112" s="386"/>
      <c r="CZS112" s="386"/>
      <c r="CZT112" s="386"/>
      <c r="CZU112" s="386"/>
      <c r="CZV112" s="386"/>
      <c r="CZW112" s="386"/>
      <c r="CZX112" s="386"/>
      <c r="CZY112" s="386"/>
      <c r="CZZ112" s="386"/>
      <c r="DAA112" s="386"/>
      <c r="DAB112" s="386"/>
      <c r="DAC112" s="386"/>
      <c r="DAD112" s="386"/>
      <c r="DAE112" s="386"/>
      <c r="DAF112" s="386"/>
      <c r="DAG112" s="386"/>
      <c r="DAH112" s="386"/>
      <c r="DAI112" s="386"/>
      <c r="DAJ112" s="386"/>
      <c r="DAK112" s="386"/>
      <c r="DAL112" s="386"/>
      <c r="DAM112" s="386"/>
      <c r="DAN112" s="386"/>
      <c r="DAO112" s="386"/>
      <c r="DAP112" s="386"/>
      <c r="DAQ112" s="386"/>
      <c r="DAR112" s="386"/>
      <c r="DAS112" s="386"/>
      <c r="DAT112" s="386"/>
      <c r="DAU112" s="386"/>
      <c r="DAV112" s="386"/>
      <c r="DAW112" s="386"/>
      <c r="DAX112" s="386"/>
      <c r="DAY112" s="386"/>
      <c r="DAZ112" s="386"/>
      <c r="DBA112" s="386"/>
      <c r="DBB112" s="386"/>
      <c r="DBC112" s="386"/>
      <c r="DBD112" s="386"/>
      <c r="DBE112" s="386"/>
      <c r="DBF112" s="386"/>
      <c r="DBG112" s="386"/>
      <c r="DBH112" s="386"/>
      <c r="DBI112" s="386"/>
      <c r="DBJ112" s="386"/>
      <c r="DBK112" s="386"/>
      <c r="DBL112" s="386"/>
      <c r="DBM112" s="386"/>
      <c r="DBN112" s="386"/>
      <c r="DBO112" s="386"/>
      <c r="DBP112" s="386"/>
      <c r="DBQ112" s="386"/>
      <c r="DBR112" s="386"/>
      <c r="DBS112" s="386"/>
      <c r="DBT112" s="386"/>
      <c r="DBU112" s="386"/>
      <c r="DBV112" s="386"/>
      <c r="DBW112" s="386"/>
      <c r="DBX112" s="386"/>
      <c r="DBY112" s="386"/>
      <c r="DBZ112" s="386"/>
      <c r="DCA112" s="386"/>
      <c r="DCB112" s="386"/>
      <c r="DCC112" s="386"/>
      <c r="DCD112" s="386"/>
      <c r="DCE112" s="386"/>
      <c r="DCF112" s="386"/>
      <c r="DCG112" s="386"/>
      <c r="DCH112" s="386"/>
      <c r="DCI112" s="386"/>
      <c r="DCJ112" s="386"/>
      <c r="DCK112" s="386"/>
      <c r="DCL112" s="386"/>
      <c r="DCM112" s="386"/>
      <c r="DCN112" s="386"/>
      <c r="DCO112" s="386"/>
      <c r="DCP112" s="386"/>
      <c r="DCQ112" s="386"/>
      <c r="DCR112" s="386"/>
      <c r="DCS112" s="386"/>
      <c r="DCT112" s="386"/>
      <c r="DCU112" s="386"/>
      <c r="DCV112" s="386"/>
      <c r="DCW112" s="386"/>
      <c r="DCX112" s="386"/>
      <c r="DCY112" s="386"/>
      <c r="DCZ112" s="386"/>
      <c r="DDA112" s="386"/>
      <c r="DDB112" s="386"/>
      <c r="DDC112" s="386"/>
      <c r="DDD112" s="386"/>
      <c r="DDE112" s="386"/>
      <c r="DDF112" s="386"/>
      <c r="DDG112" s="386"/>
      <c r="DDH112" s="386"/>
      <c r="DDI112" s="386"/>
      <c r="DDJ112" s="386"/>
      <c r="DDK112" s="386"/>
      <c r="DDL112" s="386"/>
      <c r="DDM112" s="386"/>
      <c r="DDN112" s="386"/>
      <c r="DDO112" s="386"/>
      <c r="DDP112" s="386"/>
      <c r="DDQ112" s="386"/>
      <c r="DDR112" s="386"/>
      <c r="DDS112" s="386"/>
      <c r="DDT112" s="386"/>
      <c r="DDU112" s="386"/>
      <c r="DDV112" s="386"/>
      <c r="DDW112" s="386"/>
      <c r="DDX112" s="386"/>
      <c r="DDY112" s="386"/>
      <c r="DDZ112" s="386"/>
      <c r="DEA112" s="386"/>
      <c r="DEB112" s="386"/>
      <c r="DEC112" s="386"/>
      <c r="DED112" s="386"/>
      <c r="DEE112" s="386"/>
      <c r="DEF112" s="386"/>
      <c r="DEG112" s="386"/>
      <c r="DEH112" s="386"/>
      <c r="DEI112" s="386"/>
      <c r="DEJ112" s="386"/>
      <c r="DEK112" s="386"/>
      <c r="DEL112" s="386"/>
      <c r="DEM112" s="386"/>
      <c r="DEN112" s="386"/>
      <c r="DEO112" s="386"/>
      <c r="DEP112" s="386"/>
      <c r="DEQ112" s="386"/>
      <c r="DER112" s="386"/>
      <c r="DES112" s="386"/>
      <c r="DET112" s="386"/>
      <c r="DEU112" s="386"/>
      <c r="DEV112" s="386"/>
      <c r="DEW112" s="386"/>
      <c r="DEX112" s="386"/>
      <c r="DEY112" s="386"/>
      <c r="DEZ112" s="386"/>
      <c r="DFA112" s="386"/>
      <c r="DFB112" s="386"/>
      <c r="DFC112" s="386"/>
      <c r="DFD112" s="386"/>
      <c r="DFE112" s="386"/>
      <c r="DFF112" s="386"/>
      <c r="DFG112" s="386"/>
      <c r="DFH112" s="386"/>
      <c r="DFI112" s="386"/>
      <c r="DFJ112" s="386"/>
      <c r="DFK112" s="386"/>
      <c r="DFL112" s="386"/>
      <c r="DFM112" s="386"/>
      <c r="DFN112" s="386"/>
      <c r="DFO112" s="386"/>
      <c r="DFP112" s="386"/>
      <c r="DFQ112" s="386"/>
      <c r="DFR112" s="386"/>
      <c r="DFS112" s="386"/>
      <c r="DFT112" s="386"/>
      <c r="DFU112" s="386"/>
      <c r="DFV112" s="386"/>
      <c r="DFW112" s="386"/>
      <c r="DFX112" s="386"/>
      <c r="DFY112" s="386"/>
      <c r="DFZ112" s="386"/>
      <c r="DGA112" s="386"/>
      <c r="DGB112" s="386"/>
      <c r="DGC112" s="386"/>
      <c r="DGD112" s="386"/>
      <c r="DGE112" s="386"/>
      <c r="DGF112" s="386"/>
      <c r="DGG112" s="386"/>
      <c r="DGH112" s="386"/>
      <c r="DGI112" s="386"/>
      <c r="DGJ112" s="386"/>
      <c r="DGK112" s="386"/>
      <c r="DGL112" s="386"/>
      <c r="DGM112" s="386"/>
      <c r="DGN112" s="386"/>
      <c r="DGO112" s="386"/>
      <c r="DGP112" s="386"/>
      <c r="DGQ112" s="386"/>
      <c r="DGR112" s="386"/>
      <c r="DGS112" s="386"/>
      <c r="DGT112" s="386"/>
      <c r="DGU112" s="386"/>
      <c r="DGV112" s="386"/>
      <c r="DGW112" s="386"/>
      <c r="DGX112" s="386"/>
      <c r="DGY112" s="386"/>
      <c r="DGZ112" s="386"/>
      <c r="DHA112" s="386"/>
      <c r="DHB112" s="386"/>
      <c r="DHC112" s="386"/>
      <c r="DHD112" s="386"/>
      <c r="DHE112" s="386"/>
      <c r="DHF112" s="386"/>
      <c r="DHG112" s="386"/>
      <c r="DHH112" s="386"/>
      <c r="DHI112" s="386"/>
      <c r="DHJ112" s="386"/>
      <c r="DHK112" s="386"/>
      <c r="DHL112" s="386"/>
      <c r="DHM112" s="386"/>
      <c r="DHN112" s="386"/>
      <c r="DHO112" s="386"/>
      <c r="DHP112" s="386"/>
      <c r="DHQ112" s="386"/>
      <c r="DHR112" s="386"/>
      <c r="DHS112" s="386"/>
      <c r="DHT112" s="386"/>
      <c r="DHU112" s="386"/>
      <c r="DHV112" s="386"/>
      <c r="DHW112" s="386"/>
      <c r="DHX112" s="386"/>
      <c r="DHY112" s="386"/>
      <c r="DHZ112" s="386"/>
      <c r="DIA112" s="386"/>
      <c r="DIB112" s="386"/>
      <c r="DIC112" s="386"/>
      <c r="DID112" s="386"/>
      <c r="DIE112" s="386"/>
      <c r="DIF112" s="386"/>
      <c r="DIG112" s="386"/>
      <c r="DIH112" s="386"/>
      <c r="DII112" s="386"/>
      <c r="DIJ112" s="386"/>
      <c r="DIK112" s="386"/>
      <c r="DIL112" s="386"/>
      <c r="DIM112" s="386"/>
      <c r="DIN112" s="386"/>
      <c r="DIO112" s="386"/>
      <c r="DIP112" s="386"/>
      <c r="DIQ112" s="386"/>
      <c r="DIR112" s="386"/>
      <c r="DIS112" s="386"/>
      <c r="DIT112" s="386"/>
      <c r="DIU112" s="386"/>
      <c r="DIV112" s="386"/>
      <c r="DIW112" s="386"/>
      <c r="DIX112" s="386"/>
      <c r="DIY112" s="386"/>
      <c r="DIZ112" s="386"/>
      <c r="DJA112" s="386"/>
      <c r="DJB112" s="386"/>
      <c r="DJC112" s="386"/>
      <c r="DJD112" s="386"/>
      <c r="DJE112" s="386"/>
      <c r="DJF112" s="386"/>
      <c r="DJG112" s="386"/>
      <c r="DJH112" s="386"/>
      <c r="DJI112" s="386"/>
      <c r="DJJ112" s="386"/>
      <c r="DJK112" s="386"/>
      <c r="DJL112" s="386"/>
      <c r="DJM112" s="386"/>
      <c r="DJN112" s="386"/>
      <c r="DJO112" s="386"/>
      <c r="DJP112" s="386"/>
      <c r="DJQ112" s="386"/>
      <c r="DJR112" s="386"/>
      <c r="DJS112" s="386"/>
      <c r="DJT112" s="386"/>
      <c r="DJU112" s="386"/>
      <c r="DJV112" s="386"/>
      <c r="DJW112" s="386"/>
      <c r="DJX112" s="386"/>
      <c r="DJY112" s="386"/>
      <c r="DJZ112" s="386"/>
      <c r="DKA112" s="386"/>
      <c r="DKB112" s="386"/>
      <c r="DKC112" s="386"/>
      <c r="DKD112" s="386"/>
      <c r="DKE112" s="386"/>
      <c r="DKF112" s="386"/>
      <c r="DKG112" s="386"/>
      <c r="DKH112" s="386"/>
      <c r="DKI112" s="386"/>
      <c r="DKJ112" s="386"/>
      <c r="DKK112" s="386"/>
      <c r="DKL112" s="386"/>
      <c r="DKM112" s="386"/>
      <c r="DKN112" s="386"/>
      <c r="DKO112" s="386"/>
      <c r="DKP112" s="386"/>
      <c r="DKQ112" s="386"/>
      <c r="DKR112" s="386"/>
      <c r="DKS112" s="386"/>
      <c r="DKT112" s="386"/>
      <c r="DKU112" s="386"/>
      <c r="DKV112" s="386"/>
      <c r="DKW112" s="386"/>
      <c r="DKX112" s="386"/>
      <c r="DKY112" s="386"/>
      <c r="DKZ112" s="386"/>
      <c r="DLA112" s="386"/>
      <c r="DLB112" s="386"/>
      <c r="DLC112" s="386"/>
      <c r="DLD112" s="386"/>
      <c r="DLE112" s="386"/>
      <c r="DLF112" s="386"/>
      <c r="DLG112" s="386"/>
      <c r="DLH112" s="386"/>
      <c r="DLI112" s="386"/>
      <c r="DLJ112" s="386"/>
      <c r="DLK112" s="386"/>
      <c r="DLL112" s="386"/>
      <c r="DLM112" s="386"/>
      <c r="DLN112" s="386"/>
      <c r="DLO112" s="386"/>
      <c r="DLP112" s="386"/>
      <c r="DLQ112" s="386"/>
      <c r="DLR112" s="386"/>
      <c r="DLS112" s="386"/>
      <c r="DLT112" s="386"/>
      <c r="DLU112" s="386"/>
      <c r="DLV112" s="386"/>
      <c r="DLW112" s="386"/>
      <c r="DLX112" s="386"/>
      <c r="DLY112" s="386"/>
      <c r="DLZ112" s="386"/>
      <c r="DMA112" s="386"/>
      <c r="DMB112" s="386"/>
      <c r="DMC112" s="386"/>
      <c r="DMD112" s="386"/>
      <c r="DME112" s="386"/>
      <c r="DMF112" s="386"/>
      <c r="DMG112" s="386"/>
      <c r="DMH112" s="386"/>
      <c r="DMI112" s="386"/>
      <c r="DMJ112" s="386"/>
      <c r="DMK112" s="386"/>
      <c r="DML112" s="386"/>
      <c r="DMM112" s="386"/>
      <c r="DMN112" s="386"/>
      <c r="DMO112" s="386"/>
      <c r="DMP112" s="386"/>
      <c r="DMQ112" s="386"/>
      <c r="DMR112" s="386"/>
      <c r="DMS112" s="386"/>
      <c r="DMT112" s="386"/>
      <c r="DMU112" s="386"/>
      <c r="DMV112" s="386"/>
      <c r="DMW112" s="386"/>
      <c r="DMX112" s="386"/>
      <c r="DMY112" s="386"/>
      <c r="DMZ112" s="386"/>
      <c r="DNA112" s="386"/>
      <c r="DNB112" s="386"/>
      <c r="DNC112" s="386"/>
      <c r="DND112" s="386"/>
      <c r="DNE112" s="386"/>
      <c r="DNF112" s="386"/>
      <c r="DNG112" s="386"/>
      <c r="DNH112" s="386"/>
      <c r="DNI112" s="386"/>
      <c r="DNJ112" s="386"/>
      <c r="DNK112" s="386"/>
      <c r="DNL112" s="386"/>
      <c r="DNM112" s="386"/>
      <c r="DNN112" s="386"/>
      <c r="DNO112" s="386"/>
      <c r="DNP112" s="386"/>
      <c r="DNQ112" s="386"/>
      <c r="DNR112" s="386"/>
      <c r="DNS112" s="386"/>
      <c r="DNT112" s="386"/>
      <c r="DNU112" s="386"/>
      <c r="DNV112" s="386"/>
      <c r="DNW112" s="386"/>
      <c r="DNX112" s="386"/>
      <c r="DNY112" s="386"/>
      <c r="DNZ112" s="386"/>
      <c r="DOA112" s="386"/>
      <c r="DOB112" s="386"/>
      <c r="DOC112" s="386"/>
      <c r="DOD112" s="386"/>
      <c r="DOE112" s="386"/>
      <c r="DOF112" s="386"/>
      <c r="DOG112" s="386"/>
      <c r="DOH112" s="386"/>
      <c r="DOI112" s="386"/>
      <c r="DOJ112" s="386"/>
      <c r="DOK112" s="386"/>
      <c r="DOL112" s="386"/>
      <c r="DOM112" s="386"/>
      <c r="DON112" s="386"/>
      <c r="DOO112" s="386"/>
      <c r="DOP112" s="386"/>
      <c r="DOQ112" s="386"/>
      <c r="DOR112" s="386"/>
      <c r="DOS112" s="386"/>
      <c r="DOT112" s="386"/>
      <c r="DOU112" s="386"/>
      <c r="DOV112" s="386"/>
      <c r="DOW112" s="386"/>
      <c r="DOX112" s="386"/>
      <c r="DOY112" s="386"/>
      <c r="DOZ112" s="386"/>
      <c r="DPA112" s="386"/>
      <c r="DPB112" s="386"/>
      <c r="DPC112" s="386"/>
      <c r="DPD112" s="386"/>
      <c r="DPE112" s="386"/>
      <c r="DPF112" s="386"/>
      <c r="DPG112" s="386"/>
      <c r="DPH112" s="386"/>
      <c r="DPI112" s="386"/>
      <c r="DPJ112" s="386"/>
      <c r="DPK112" s="386"/>
      <c r="DPL112" s="386"/>
      <c r="DPM112" s="386"/>
      <c r="DPN112" s="386"/>
      <c r="DPO112" s="386"/>
      <c r="DPP112" s="386"/>
      <c r="DPQ112" s="386"/>
      <c r="DPR112" s="386"/>
      <c r="DPS112" s="386"/>
      <c r="DPT112" s="386"/>
      <c r="DPU112" s="386"/>
      <c r="DPV112" s="386"/>
      <c r="DPW112" s="386"/>
      <c r="DPX112" s="386"/>
      <c r="DPY112" s="386"/>
      <c r="DPZ112" s="386"/>
      <c r="DQA112" s="386"/>
      <c r="DQB112" s="386"/>
      <c r="DQC112" s="386"/>
      <c r="DQD112" s="386"/>
      <c r="DQE112" s="386"/>
      <c r="DQF112" s="386"/>
      <c r="DQG112" s="386"/>
      <c r="DQH112" s="386"/>
      <c r="DQI112" s="386"/>
      <c r="DQJ112" s="386"/>
      <c r="DQK112" s="386"/>
      <c r="DQL112" s="386"/>
      <c r="DQM112" s="386"/>
      <c r="DQN112" s="386"/>
      <c r="DQO112" s="386"/>
      <c r="DQP112" s="386"/>
      <c r="DQQ112" s="386"/>
      <c r="DQR112" s="386"/>
      <c r="DQS112" s="386"/>
      <c r="DQT112" s="386"/>
      <c r="DQU112" s="386"/>
      <c r="DQV112" s="386"/>
      <c r="DQW112" s="386"/>
      <c r="DQX112" s="386"/>
      <c r="DQY112" s="386"/>
      <c r="DQZ112" s="386"/>
      <c r="DRA112" s="386"/>
      <c r="DRB112" s="386"/>
      <c r="DRC112" s="386"/>
      <c r="DRD112" s="386"/>
      <c r="DRE112" s="386"/>
      <c r="DRF112" s="386"/>
      <c r="DRG112" s="386"/>
      <c r="DRH112" s="386"/>
      <c r="DRI112" s="386"/>
      <c r="DRJ112" s="386"/>
      <c r="DRK112" s="386"/>
      <c r="DRL112" s="386"/>
      <c r="DRM112" s="386"/>
    </row>
    <row r="113" spans="1:3185" ht="30" customHeight="1">
      <c r="A113" s="387"/>
      <c r="B113" s="388"/>
      <c r="C113" s="389"/>
      <c r="D113" s="390"/>
      <c r="E113" s="391"/>
      <c r="F113" s="421"/>
      <c r="G113" s="396"/>
      <c r="H113" s="392"/>
      <c r="I113" s="422"/>
      <c r="J113" s="394"/>
      <c r="K113" s="411"/>
    </row>
    <row r="114" spans="1:3185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  <c r="M114" s="408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  <c r="AA114" s="386"/>
      <c r="AB114" s="386"/>
      <c r="AC114" s="386"/>
      <c r="AD114" s="386"/>
      <c r="AE114" s="386"/>
      <c r="AF114" s="386"/>
      <c r="AG114" s="386"/>
      <c r="AH114" s="386"/>
      <c r="AI114" s="386"/>
      <c r="AJ114" s="386"/>
      <c r="AK114" s="386"/>
      <c r="AL114" s="386"/>
      <c r="AM114" s="386"/>
      <c r="AN114" s="386"/>
      <c r="AO114" s="386"/>
      <c r="AP114" s="386"/>
      <c r="AQ114" s="386"/>
      <c r="AR114" s="386"/>
      <c r="AS114" s="386"/>
      <c r="AT114" s="386"/>
      <c r="AU114" s="386"/>
      <c r="AV114" s="386"/>
      <c r="AW114" s="386"/>
      <c r="AX114" s="386"/>
      <c r="AY114" s="386"/>
      <c r="AZ114" s="386"/>
      <c r="BA114" s="386"/>
      <c r="BB114" s="386"/>
      <c r="BC114" s="386"/>
      <c r="BD114" s="386"/>
      <c r="BE114" s="386"/>
      <c r="BF114" s="386"/>
      <c r="BG114" s="386"/>
      <c r="BH114" s="386"/>
      <c r="BI114" s="386"/>
      <c r="BJ114" s="386"/>
      <c r="BK114" s="386"/>
      <c r="BL114" s="386"/>
      <c r="BM114" s="386"/>
      <c r="BN114" s="386"/>
      <c r="BO114" s="386"/>
      <c r="BP114" s="386"/>
      <c r="BQ114" s="386"/>
      <c r="BR114" s="386"/>
      <c r="BS114" s="386"/>
      <c r="BT114" s="386"/>
      <c r="BU114" s="386"/>
      <c r="BV114" s="386"/>
      <c r="BW114" s="386"/>
      <c r="BX114" s="386"/>
      <c r="BY114" s="386"/>
      <c r="BZ114" s="386"/>
      <c r="CA114" s="386"/>
      <c r="CB114" s="386"/>
      <c r="CC114" s="386"/>
      <c r="CD114" s="386"/>
      <c r="CE114" s="386"/>
      <c r="CF114" s="386"/>
      <c r="CG114" s="386"/>
      <c r="CH114" s="386"/>
      <c r="CI114" s="386"/>
      <c r="CJ114" s="386"/>
      <c r="CK114" s="386"/>
      <c r="CL114" s="386"/>
      <c r="CM114" s="386"/>
      <c r="CN114" s="386"/>
      <c r="CO114" s="386"/>
      <c r="CP114" s="386"/>
      <c r="CQ114" s="386"/>
      <c r="CR114" s="386"/>
      <c r="CS114" s="386"/>
      <c r="CT114" s="386"/>
      <c r="CU114" s="386"/>
      <c r="CV114" s="386"/>
      <c r="CW114" s="386"/>
      <c r="CX114" s="386"/>
      <c r="CY114" s="386"/>
      <c r="CZ114" s="386"/>
      <c r="DA114" s="386"/>
      <c r="DB114" s="386"/>
      <c r="DC114" s="386"/>
      <c r="DD114" s="386"/>
      <c r="DE114" s="386"/>
      <c r="DF114" s="386"/>
      <c r="DG114" s="386"/>
      <c r="DH114" s="386"/>
      <c r="DI114" s="386"/>
      <c r="DJ114" s="386"/>
      <c r="DK114" s="386"/>
      <c r="DL114" s="386"/>
      <c r="DM114" s="386"/>
      <c r="DN114" s="386"/>
      <c r="DO114" s="386"/>
      <c r="DP114" s="386"/>
      <c r="DQ114" s="386"/>
      <c r="DR114" s="386"/>
      <c r="DS114" s="386"/>
      <c r="DT114" s="386"/>
      <c r="DU114" s="386"/>
      <c r="DV114" s="386"/>
      <c r="DW114" s="386"/>
      <c r="DX114" s="386"/>
      <c r="DY114" s="386"/>
      <c r="DZ114" s="386"/>
      <c r="EA114" s="386"/>
      <c r="EB114" s="386"/>
      <c r="EC114" s="386"/>
      <c r="ED114" s="386"/>
      <c r="EE114" s="386"/>
      <c r="EF114" s="386"/>
      <c r="EG114" s="386"/>
      <c r="EH114" s="386"/>
      <c r="EI114" s="386"/>
      <c r="EJ114" s="386"/>
      <c r="EK114" s="386"/>
      <c r="EL114" s="386"/>
      <c r="EM114" s="386"/>
      <c r="EN114" s="386"/>
      <c r="EO114" s="386"/>
      <c r="EP114" s="386"/>
      <c r="EQ114" s="386"/>
      <c r="ER114" s="386"/>
      <c r="ES114" s="386"/>
      <c r="ET114" s="386"/>
      <c r="EU114" s="386"/>
      <c r="EV114" s="386"/>
      <c r="EW114" s="386"/>
      <c r="EX114" s="386"/>
      <c r="EY114" s="386"/>
      <c r="EZ114" s="386"/>
      <c r="FA114" s="386"/>
      <c r="FB114" s="386"/>
      <c r="FC114" s="386"/>
      <c r="FD114" s="386"/>
      <c r="FE114" s="386"/>
      <c r="FF114" s="386"/>
      <c r="FG114" s="386"/>
      <c r="FH114" s="386"/>
      <c r="FI114" s="386"/>
      <c r="FJ114" s="386"/>
      <c r="FK114" s="386"/>
      <c r="FL114" s="386"/>
      <c r="FM114" s="386"/>
      <c r="FN114" s="386"/>
      <c r="FO114" s="386"/>
      <c r="FP114" s="386"/>
      <c r="FQ114" s="386"/>
      <c r="FR114" s="386"/>
      <c r="FS114" s="386"/>
      <c r="FT114" s="386"/>
      <c r="FU114" s="386"/>
      <c r="FV114" s="386"/>
      <c r="FW114" s="386"/>
      <c r="FX114" s="386"/>
      <c r="FY114" s="386"/>
      <c r="FZ114" s="386"/>
      <c r="GA114" s="386"/>
      <c r="GB114" s="386"/>
      <c r="GC114" s="386"/>
      <c r="GD114" s="386"/>
      <c r="GE114" s="386"/>
      <c r="GF114" s="386"/>
      <c r="GG114" s="386"/>
      <c r="GH114" s="386"/>
      <c r="GI114" s="386"/>
      <c r="GJ114" s="386"/>
      <c r="GK114" s="386"/>
      <c r="GL114" s="386"/>
      <c r="GM114" s="386"/>
      <c r="GN114" s="386"/>
      <c r="GO114" s="386"/>
      <c r="GP114" s="386"/>
      <c r="GQ114" s="386"/>
      <c r="GR114" s="386"/>
      <c r="GS114" s="386"/>
      <c r="GT114" s="386"/>
      <c r="GU114" s="386"/>
      <c r="GV114" s="386"/>
      <c r="GW114" s="386"/>
      <c r="GX114" s="386"/>
      <c r="GY114" s="386"/>
      <c r="GZ114" s="386"/>
      <c r="HA114" s="386"/>
      <c r="HB114" s="386"/>
      <c r="HC114" s="386"/>
      <c r="HD114" s="386"/>
      <c r="HE114" s="386"/>
      <c r="HF114" s="386"/>
      <c r="HG114" s="386"/>
      <c r="HH114" s="386"/>
      <c r="HI114" s="386"/>
      <c r="HJ114" s="386"/>
      <c r="HK114" s="386"/>
      <c r="HL114" s="386"/>
      <c r="HM114" s="386"/>
      <c r="HN114" s="386"/>
      <c r="HO114" s="386"/>
      <c r="HP114" s="386"/>
      <c r="HQ114" s="386"/>
      <c r="HR114" s="386"/>
      <c r="HS114" s="386"/>
      <c r="HT114" s="386"/>
      <c r="HU114" s="386"/>
      <c r="HV114" s="386"/>
      <c r="HW114" s="386"/>
      <c r="HX114" s="386"/>
      <c r="HY114" s="386"/>
      <c r="HZ114" s="386"/>
      <c r="IA114" s="386"/>
      <c r="IB114" s="386"/>
      <c r="IC114" s="386"/>
      <c r="ID114" s="386"/>
      <c r="IE114" s="386"/>
      <c r="IF114" s="386"/>
      <c r="IG114" s="386"/>
      <c r="IH114" s="386"/>
      <c r="II114" s="386"/>
      <c r="IJ114" s="386"/>
      <c r="IK114" s="386"/>
      <c r="IL114" s="386"/>
      <c r="IM114" s="386"/>
      <c r="IN114" s="386"/>
      <c r="IO114" s="386"/>
      <c r="IP114" s="386"/>
      <c r="IQ114" s="386"/>
      <c r="IR114" s="386"/>
      <c r="IS114" s="386"/>
      <c r="IT114" s="386"/>
      <c r="IU114" s="386"/>
      <c r="IV114" s="386"/>
      <c r="IW114" s="386"/>
      <c r="IX114" s="386"/>
      <c r="IY114" s="386"/>
      <c r="IZ114" s="386"/>
      <c r="JA114" s="386"/>
      <c r="JB114" s="386"/>
      <c r="JC114" s="386"/>
      <c r="JD114" s="386"/>
      <c r="JE114" s="386"/>
      <c r="JF114" s="386"/>
      <c r="JG114" s="386"/>
      <c r="JH114" s="386"/>
      <c r="JI114" s="386"/>
      <c r="JJ114" s="386"/>
      <c r="JK114" s="386"/>
      <c r="JL114" s="386"/>
      <c r="JM114" s="386"/>
      <c r="JN114" s="386"/>
      <c r="JO114" s="386"/>
      <c r="JP114" s="386"/>
      <c r="JQ114" s="386"/>
      <c r="JR114" s="386"/>
      <c r="JS114" s="386"/>
      <c r="JT114" s="386"/>
      <c r="JU114" s="386"/>
      <c r="JV114" s="386"/>
      <c r="JW114" s="386"/>
      <c r="JX114" s="386"/>
      <c r="JY114" s="386"/>
      <c r="JZ114" s="386"/>
      <c r="KA114" s="386"/>
      <c r="KB114" s="386"/>
      <c r="KC114" s="386"/>
      <c r="KD114" s="386"/>
      <c r="KE114" s="386"/>
      <c r="KF114" s="386"/>
      <c r="KG114" s="386"/>
      <c r="KH114" s="386"/>
      <c r="KI114" s="386"/>
      <c r="KJ114" s="386"/>
      <c r="KK114" s="386"/>
      <c r="KL114" s="386"/>
      <c r="KM114" s="386"/>
      <c r="KN114" s="386"/>
      <c r="KO114" s="386"/>
      <c r="KP114" s="386"/>
      <c r="KQ114" s="386"/>
      <c r="KR114" s="386"/>
      <c r="KS114" s="386"/>
      <c r="KT114" s="386"/>
      <c r="KU114" s="386"/>
      <c r="KV114" s="386"/>
      <c r="KW114" s="386"/>
      <c r="KX114" s="386"/>
      <c r="KY114" s="386"/>
      <c r="KZ114" s="386"/>
      <c r="LA114" s="386"/>
      <c r="LB114" s="386"/>
      <c r="LC114" s="386"/>
      <c r="LD114" s="386"/>
      <c r="LE114" s="386"/>
      <c r="LF114" s="386"/>
      <c r="LG114" s="386"/>
      <c r="LH114" s="386"/>
      <c r="LI114" s="386"/>
      <c r="LJ114" s="386"/>
      <c r="LK114" s="386"/>
      <c r="LL114" s="386"/>
      <c r="LM114" s="386"/>
      <c r="LN114" s="386"/>
      <c r="LO114" s="386"/>
      <c r="LP114" s="386"/>
      <c r="LQ114" s="386"/>
      <c r="LR114" s="386"/>
      <c r="LS114" s="386"/>
      <c r="LT114" s="386"/>
      <c r="LU114" s="386"/>
      <c r="LV114" s="386"/>
      <c r="LW114" s="386"/>
      <c r="LX114" s="386"/>
      <c r="LY114" s="386"/>
      <c r="LZ114" s="386"/>
      <c r="MA114" s="386"/>
      <c r="MB114" s="386"/>
      <c r="MC114" s="386"/>
      <c r="MD114" s="386"/>
      <c r="ME114" s="386"/>
      <c r="MF114" s="386"/>
      <c r="MG114" s="386"/>
      <c r="MH114" s="386"/>
      <c r="MI114" s="386"/>
      <c r="MJ114" s="386"/>
      <c r="MK114" s="386"/>
      <c r="ML114" s="386"/>
      <c r="MM114" s="386"/>
      <c r="MN114" s="386"/>
      <c r="MO114" s="386"/>
      <c r="MP114" s="386"/>
      <c r="MQ114" s="386"/>
      <c r="MR114" s="386"/>
      <c r="MS114" s="386"/>
      <c r="MT114" s="386"/>
      <c r="MU114" s="386"/>
      <c r="MV114" s="386"/>
      <c r="MW114" s="386"/>
      <c r="MX114" s="386"/>
      <c r="MY114" s="386"/>
      <c r="MZ114" s="386"/>
      <c r="NA114" s="386"/>
      <c r="NB114" s="386"/>
      <c r="NC114" s="386"/>
      <c r="ND114" s="386"/>
      <c r="NE114" s="386"/>
      <c r="NF114" s="386"/>
      <c r="NG114" s="386"/>
      <c r="NH114" s="386"/>
      <c r="NI114" s="386"/>
      <c r="NJ114" s="386"/>
      <c r="NK114" s="386"/>
      <c r="NL114" s="386"/>
      <c r="NM114" s="386"/>
      <c r="NN114" s="386"/>
      <c r="NO114" s="386"/>
      <c r="NP114" s="386"/>
      <c r="NQ114" s="386"/>
      <c r="NR114" s="386"/>
      <c r="NS114" s="386"/>
      <c r="NT114" s="386"/>
      <c r="NU114" s="386"/>
      <c r="NV114" s="386"/>
      <c r="NW114" s="386"/>
      <c r="NX114" s="386"/>
      <c r="NY114" s="386"/>
      <c r="NZ114" s="386"/>
      <c r="OA114" s="386"/>
      <c r="OB114" s="386"/>
      <c r="OC114" s="386"/>
      <c r="OD114" s="386"/>
      <c r="OE114" s="386"/>
      <c r="OF114" s="386"/>
      <c r="OG114" s="386"/>
      <c r="OH114" s="386"/>
      <c r="OI114" s="386"/>
      <c r="OJ114" s="386"/>
      <c r="OK114" s="386"/>
      <c r="OL114" s="386"/>
      <c r="OM114" s="386"/>
      <c r="ON114" s="386"/>
      <c r="OO114" s="386"/>
      <c r="OP114" s="386"/>
      <c r="OQ114" s="386"/>
      <c r="OR114" s="386"/>
      <c r="OS114" s="386"/>
      <c r="OT114" s="386"/>
      <c r="OU114" s="386"/>
      <c r="OV114" s="386"/>
      <c r="OW114" s="386"/>
      <c r="OX114" s="386"/>
      <c r="OY114" s="386"/>
      <c r="OZ114" s="386"/>
      <c r="PA114" s="386"/>
      <c r="PB114" s="386"/>
      <c r="PC114" s="386"/>
      <c r="PD114" s="386"/>
      <c r="PE114" s="386"/>
      <c r="PF114" s="386"/>
      <c r="PG114" s="386"/>
      <c r="PH114" s="386"/>
      <c r="PI114" s="386"/>
      <c r="PJ114" s="386"/>
      <c r="PK114" s="386"/>
      <c r="PL114" s="386"/>
      <c r="PM114" s="386"/>
      <c r="PN114" s="386"/>
      <c r="PO114" s="386"/>
      <c r="PP114" s="386"/>
      <c r="PQ114" s="386"/>
      <c r="PR114" s="386"/>
      <c r="PS114" s="386"/>
      <c r="PT114" s="386"/>
      <c r="PU114" s="386"/>
      <c r="PV114" s="386"/>
      <c r="PW114" s="386"/>
      <c r="PX114" s="386"/>
      <c r="PY114" s="386"/>
      <c r="PZ114" s="386"/>
      <c r="QA114" s="386"/>
      <c r="QB114" s="386"/>
      <c r="QC114" s="386"/>
      <c r="QD114" s="386"/>
      <c r="QE114" s="386"/>
      <c r="QF114" s="386"/>
      <c r="QG114" s="386"/>
      <c r="QH114" s="386"/>
      <c r="QI114" s="386"/>
      <c r="QJ114" s="386"/>
      <c r="QK114" s="386"/>
      <c r="QL114" s="386"/>
      <c r="QM114" s="386"/>
      <c r="QN114" s="386"/>
      <c r="QO114" s="386"/>
      <c r="QP114" s="386"/>
      <c r="QQ114" s="386"/>
      <c r="QR114" s="386"/>
      <c r="QS114" s="386"/>
      <c r="QT114" s="386"/>
      <c r="QU114" s="386"/>
      <c r="QV114" s="386"/>
      <c r="QW114" s="386"/>
      <c r="QX114" s="386"/>
      <c r="QY114" s="386"/>
      <c r="QZ114" s="386"/>
      <c r="RA114" s="386"/>
      <c r="RB114" s="386"/>
      <c r="RC114" s="386"/>
      <c r="RD114" s="386"/>
      <c r="RE114" s="386"/>
      <c r="RF114" s="386"/>
      <c r="RG114" s="386"/>
      <c r="RH114" s="386"/>
      <c r="RI114" s="386"/>
      <c r="RJ114" s="386"/>
      <c r="RK114" s="386"/>
      <c r="RL114" s="386"/>
      <c r="RM114" s="386"/>
      <c r="RN114" s="386"/>
      <c r="RO114" s="386"/>
      <c r="RP114" s="386"/>
      <c r="RQ114" s="386"/>
      <c r="RR114" s="386"/>
      <c r="RS114" s="386"/>
      <c r="RT114" s="386"/>
      <c r="RU114" s="386"/>
      <c r="RV114" s="386"/>
      <c r="RW114" s="386"/>
      <c r="RX114" s="386"/>
      <c r="RY114" s="386"/>
      <c r="RZ114" s="386"/>
      <c r="SA114" s="386"/>
      <c r="SB114" s="386"/>
      <c r="SC114" s="386"/>
      <c r="SD114" s="386"/>
      <c r="SE114" s="386"/>
      <c r="SF114" s="386"/>
      <c r="SG114" s="386"/>
      <c r="SH114" s="386"/>
      <c r="SI114" s="386"/>
      <c r="SJ114" s="386"/>
      <c r="SK114" s="386"/>
      <c r="SL114" s="386"/>
      <c r="SM114" s="386"/>
      <c r="SN114" s="386"/>
      <c r="SO114" s="386"/>
      <c r="SP114" s="386"/>
      <c r="SQ114" s="386"/>
      <c r="SR114" s="386"/>
      <c r="SS114" s="386"/>
      <c r="ST114" s="386"/>
      <c r="SU114" s="386"/>
      <c r="SV114" s="386"/>
      <c r="SW114" s="386"/>
      <c r="SX114" s="386"/>
      <c r="SY114" s="386"/>
      <c r="SZ114" s="386"/>
      <c r="TA114" s="386"/>
      <c r="TB114" s="386"/>
      <c r="TC114" s="386"/>
      <c r="TD114" s="386"/>
      <c r="TE114" s="386"/>
      <c r="TF114" s="386"/>
      <c r="TG114" s="386"/>
      <c r="TH114" s="386"/>
      <c r="TI114" s="386"/>
      <c r="TJ114" s="386"/>
      <c r="TK114" s="386"/>
      <c r="TL114" s="386"/>
      <c r="TM114" s="386"/>
      <c r="TN114" s="386"/>
      <c r="TO114" s="386"/>
      <c r="TP114" s="386"/>
      <c r="TQ114" s="386"/>
      <c r="TR114" s="386"/>
      <c r="TS114" s="386"/>
      <c r="TT114" s="386"/>
      <c r="TU114" s="386"/>
      <c r="TV114" s="386"/>
      <c r="TW114" s="386"/>
      <c r="TX114" s="386"/>
      <c r="TY114" s="386"/>
      <c r="TZ114" s="386"/>
      <c r="UA114" s="386"/>
      <c r="UB114" s="386"/>
      <c r="UC114" s="386"/>
      <c r="UD114" s="386"/>
      <c r="UE114" s="386"/>
      <c r="UF114" s="386"/>
      <c r="UG114" s="386"/>
      <c r="UH114" s="386"/>
      <c r="UI114" s="386"/>
      <c r="UJ114" s="386"/>
      <c r="UK114" s="386"/>
      <c r="UL114" s="386"/>
      <c r="UM114" s="386"/>
      <c r="UN114" s="386"/>
      <c r="UO114" s="386"/>
      <c r="UP114" s="386"/>
      <c r="UQ114" s="386"/>
      <c r="UR114" s="386"/>
      <c r="US114" s="386"/>
      <c r="UT114" s="386"/>
      <c r="UU114" s="386"/>
      <c r="UV114" s="386"/>
      <c r="UW114" s="386"/>
      <c r="UX114" s="386"/>
      <c r="UY114" s="386"/>
      <c r="UZ114" s="386"/>
      <c r="VA114" s="386"/>
      <c r="VB114" s="386"/>
      <c r="VC114" s="386"/>
      <c r="VD114" s="386"/>
      <c r="VE114" s="386"/>
      <c r="VF114" s="386"/>
      <c r="VG114" s="386"/>
      <c r="VH114" s="386"/>
      <c r="VI114" s="386"/>
      <c r="VJ114" s="386"/>
      <c r="VK114" s="386"/>
      <c r="VL114" s="386"/>
      <c r="VM114" s="386"/>
      <c r="VN114" s="386"/>
      <c r="VO114" s="386"/>
      <c r="VP114" s="386"/>
      <c r="VQ114" s="386"/>
      <c r="VR114" s="386"/>
      <c r="VS114" s="386"/>
      <c r="VT114" s="386"/>
      <c r="VU114" s="386"/>
      <c r="VV114" s="386"/>
      <c r="VW114" s="386"/>
      <c r="VX114" s="386"/>
      <c r="VY114" s="386"/>
      <c r="VZ114" s="386"/>
      <c r="WA114" s="386"/>
      <c r="WB114" s="386"/>
      <c r="WC114" s="386"/>
      <c r="WD114" s="386"/>
      <c r="WE114" s="386"/>
      <c r="WF114" s="386"/>
      <c r="WG114" s="386"/>
      <c r="WH114" s="386"/>
      <c r="WI114" s="386"/>
      <c r="WJ114" s="386"/>
      <c r="WK114" s="386"/>
      <c r="WL114" s="386"/>
      <c r="WM114" s="386"/>
      <c r="WN114" s="386"/>
      <c r="WO114" s="386"/>
      <c r="WP114" s="386"/>
      <c r="WQ114" s="386"/>
      <c r="WR114" s="386"/>
      <c r="WS114" s="386"/>
      <c r="WT114" s="386"/>
      <c r="WU114" s="386"/>
      <c r="WV114" s="386"/>
      <c r="WW114" s="386"/>
      <c r="WX114" s="386"/>
      <c r="WY114" s="386"/>
      <c r="WZ114" s="386"/>
      <c r="XA114" s="386"/>
      <c r="XB114" s="386"/>
      <c r="XC114" s="386"/>
      <c r="XD114" s="386"/>
      <c r="XE114" s="386"/>
      <c r="XF114" s="386"/>
      <c r="XG114" s="386"/>
      <c r="XH114" s="386"/>
      <c r="XI114" s="386"/>
      <c r="XJ114" s="386"/>
      <c r="XK114" s="386"/>
      <c r="XL114" s="386"/>
      <c r="XM114" s="386"/>
      <c r="XN114" s="386"/>
      <c r="XO114" s="386"/>
      <c r="XP114" s="386"/>
      <c r="XQ114" s="386"/>
      <c r="XR114" s="386"/>
      <c r="XS114" s="386"/>
      <c r="XT114" s="386"/>
      <c r="XU114" s="386"/>
      <c r="XV114" s="386"/>
      <c r="XW114" s="386"/>
      <c r="XX114" s="386"/>
      <c r="XY114" s="386"/>
      <c r="XZ114" s="386"/>
      <c r="YA114" s="386"/>
      <c r="YB114" s="386"/>
      <c r="YC114" s="386"/>
      <c r="YD114" s="386"/>
      <c r="YE114" s="386"/>
      <c r="YF114" s="386"/>
      <c r="YG114" s="386"/>
      <c r="YH114" s="386"/>
      <c r="YI114" s="386"/>
      <c r="YJ114" s="386"/>
      <c r="YK114" s="386"/>
      <c r="YL114" s="386"/>
      <c r="YM114" s="386"/>
      <c r="YN114" s="386"/>
      <c r="YO114" s="386"/>
      <c r="YP114" s="386"/>
      <c r="YQ114" s="386"/>
      <c r="YR114" s="386"/>
      <c r="YS114" s="386"/>
      <c r="YT114" s="386"/>
      <c r="YU114" s="386"/>
      <c r="YV114" s="386"/>
      <c r="YW114" s="386"/>
      <c r="YX114" s="386"/>
      <c r="YY114" s="386"/>
      <c r="YZ114" s="386"/>
      <c r="ZA114" s="386"/>
      <c r="ZB114" s="386"/>
      <c r="ZC114" s="386"/>
      <c r="ZD114" s="386"/>
      <c r="ZE114" s="386"/>
      <c r="ZF114" s="386"/>
      <c r="ZG114" s="386"/>
      <c r="ZH114" s="386"/>
      <c r="ZI114" s="386"/>
      <c r="ZJ114" s="386"/>
      <c r="ZK114" s="386"/>
      <c r="ZL114" s="386"/>
      <c r="ZM114" s="386"/>
      <c r="ZN114" s="386"/>
      <c r="ZO114" s="386"/>
      <c r="ZP114" s="386"/>
      <c r="ZQ114" s="386"/>
      <c r="ZR114" s="386"/>
      <c r="ZS114" s="386"/>
      <c r="ZT114" s="386"/>
      <c r="ZU114" s="386"/>
      <c r="ZV114" s="386"/>
      <c r="ZW114" s="386"/>
      <c r="ZX114" s="386"/>
      <c r="ZY114" s="386"/>
      <c r="ZZ114" s="386"/>
      <c r="AAA114" s="386"/>
      <c r="AAB114" s="386"/>
      <c r="AAC114" s="386"/>
      <c r="AAD114" s="386"/>
      <c r="AAE114" s="386"/>
      <c r="AAF114" s="386"/>
      <c r="AAG114" s="386"/>
      <c r="AAH114" s="386"/>
      <c r="AAI114" s="386"/>
      <c r="AAJ114" s="386"/>
      <c r="AAK114" s="386"/>
      <c r="AAL114" s="386"/>
      <c r="AAM114" s="386"/>
      <c r="AAN114" s="386"/>
      <c r="AAO114" s="386"/>
      <c r="AAP114" s="386"/>
      <c r="AAQ114" s="386"/>
      <c r="AAR114" s="386"/>
      <c r="AAS114" s="386"/>
      <c r="AAT114" s="386"/>
      <c r="AAU114" s="386"/>
      <c r="AAV114" s="386"/>
      <c r="AAW114" s="386"/>
      <c r="AAX114" s="386"/>
      <c r="AAY114" s="386"/>
      <c r="AAZ114" s="386"/>
      <c r="ABA114" s="386"/>
      <c r="ABB114" s="386"/>
      <c r="ABC114" s="386"/>
      <c r="ABD114" s="386"/>
      <c r="ABE114" s="386"/>
      <c r="ABF114" s="386"/>
      <c r="ABG114" s="386"/>
      <c r="ABH114" s="386"/>
      <c r="ABI114" s="386"/>
      <c r="ABJ114" s="386"/>
      <c r="ABK114" s="386"/>
      <c r="ABL114" s="386"/>
      <c r="ABM114" s="386"/>
      <c r="ABN114" s="386"/>
      <c r="ABO114" s="386"/>
      <c r="ABP114" s="386"/>
      <c r="ABQ114" s="386"/>
      <c r="ABR114" s="386"/>
      <c r="ABS114" s="386"/>
      <c r="ABT114" s="386"/>
      <c r="ABU114" s="386"/>
      <c r="ABV114" s="386"/>
      <c r="ABW114" s="386"/>
      <c r="ABX114" s="386"/>
      <c r="ABY114" s="386"/>
      <c r="ABZ114" s="386"/>
      <c r="ACA114" s="386"/>
      <c r="ACB114" s="386"/>
      <c r="ACC114" s="386"/>
      <c r="ACD114" s="386"/>
      <c r="ACE114" s="386"/>
      <c r="ACF114" s="386"/>
      <c r="ACG114" s="386"/>
      <c r="ACH114" s="386"/>
      <c r="ACI114" s="386"/>
      <c r="ACJ114" s="386"/>
      <c r="ACK114" s="386"/>
      <c r="ACL114" s="386"/>
      <c r="ACM114" s="386"/>
      <c r="ACN114" s="386"/>
      <c r="ACO114" s="386"/>
      <c r="ACP114" s="386"/>
      <c r="ACQ114" s="386"/>
      <c r="ACR114" s="386"/>
      <c r="ACS114" s="386"/>
      <c r="ACT114" s="386"/>
      <c r="ACU114" s="386"/>
      <c r="ACV114" s="386"/>
      <c r="ACW114" s="386"/>
      <c r="ACX114" s="386"/>
      <c r="ACY114" s="386"/>
      <c r="ACZ114" s="386"/>
      <c r="ADA114" s="386"/>
      <c r="ADB114" s="386"/>
      <c r="ADC114" s="386"/>
      <c r="ADD114" s="386"/>
      <c r="ADE114" s="386"/>
      <c r="ADF114" s="386"/>
      <c r="ADG114" s="386"/>
      <c r="ADH114" s="386"/>
      <c r="ADI114" s="386"/>
      <c r="ADJ114" s="386"/>
      <c r="ADK114" s="386"/>
      <c r="ADL114" s="386"/>
      <c r="ADM114" s="386"/>
      <c r="ADN114" s="386"/>
      <c r="ADO114" s="386"/>
      <c r="ADP114" s="386"/>
      <c r="ADQ114" s="386"/>
      <c r="ADR114" s="386"/>
      <c r="ADS114" s="386"/>
      <c r="ADT114" s="386"/>
      <c r="ADU114" s="386"/>
      <c r="ADV114" s="386"/>
      <c r="ADW114" s="386"/>
      <c r="ADX114" s="386"/>
      <c r="ADY114" s="386"/>
      <c r="ADZ114" s="386"/>
      <c r="AEA114" s="386"/>
      <c r="AEB114" s="386"/>
      <c r="AEC114" s="386"/>
      <c r="AED114" s="386"/>
      <c r="AEE114" s="386"/>
      <c r="AEF114" s="386"/>
      <c r="AEG114" s="386"/>
      <c r="AEH114" s="386"/>
      <c r="AEI114" s="386"/>
      <c r="AEJ114" s="386"/>
      <c r="AEK114" s="386"/>
      <c r="AEL114" s="386"/>
      <c r="AEM114" s="386"/>
      <c r="AEN114" s="386"/>
      <c r="AEO114" s="386"/>
      <c r="AEP114" s="386"/>
      <c r="AEQ114" s="386"/>
      <c r="AER114" s="386"/>
      <c r="AES114" s="386"/>
      <c r="AET114" s="386"/>
      <c r="AEU114" s="386"/>
      <c r="AEV114" s="386"/>
      <c r="AEW114" s="386"/>
      <c r="AEX114" s="386"/>
      <c r="AEY114" s="386"/>
      <c r="AEZ114" s="386"/>
      <c r="AFA114" s="386"/>
      <c r="AFB114" s="386"/>
      <c r="AFC114" s="386"/>
      <c r="AFD114" s="386"/>
      <c r="AFE114" s="386"/>
      <c r="AFF114" s="386"/>
      <c r="AFG114" s="386"/>
      <c r="AFH114" s="386"/>
      <c r="AFI114" s="386"/>
      <c r="AFJ114" s="386"/>
      <c r="AFK114" s="386"/>
      <c r="AFL114" s="386"/>
      <c r="AFM114" s="386"/>
      <c r="AFN114" s="386"/>
      <c r="AFO114" s="386"/>
      <c r="AFP114" s="386"/>
      <c r="AFQ114" s="386"/>
      <c r="AFR114" s="386"/>
      <c r="AFS114" s="386"/>
      <c r="AFT114" s="386"/>
      <c r="AFU114" s="386"/>
      <c r="AFV114" s="386"/>
      <c r="AFW114" s="386"/>
      <c r="AFX114" s="386"/>
      <c r="AFY114" s="386"/>
      <c r="AFZ114" s="386"/>
      <c r="AGA114" s="386"/>
      <c r="AGB114" s="386"/>
      <c r="AGC114" s="386"/>
      <c r="AGD114" s="386"/>
      <c r="AGE114" s="386"/>
      <c r="AGF114" s="386"/>
      <c r="AGG114" s="386"/>
      <c r="AGH114" s="386"/>
      <c r="AGI114" s="386"/>
      <c r="AGJ114" s="386"/>
      <c r="AGK114" s="386"/>
      <c r="AGL114" s="386"/>
      <c r="AGM114" s="386"/>
      <c r="AGN114" s="386"/>
      <c r="AGO114" s="386"/>
      <c r="AGP114" s="386"/>
      <c r="AGQ114" s="386"/>
      <c r="AGR114" s="386"/>
      <c r="AGS114" s="386"/>
      <c r="AGT114" s="386"/>
      <c r="AGU114" s="386"/>
      <c r="AGV114" s="386"/>
      <c r="AGW114" s="386"/>
      <c r="AGX114" s="386"/>
      <c r="AGY114" s="386"/>
      <c r="AGZ114" s="386"/>
      <c r="AHA114" s="386"/>
      <c r="AHB114" s="386"/>
      <c r="AHC114" s="386"/>
      <c r="AHD114" s="386"/>
      <c r="AHE114" s="386"/>
      <c r="AHF114" s="386"/>
      <c r="AHG114" s="386"/>
      <c r="AHH114" s="386"/>
      <c r="AHI114" s="386"/>
      <c r="AHJ114" s="386"/>
      <c r="AHK114" s="386"/>
      <c r="AHL114" s="386"/>
      <c r="AHM114" s="386"/>
      <c r="AHN114" s="386"/>
      <c r="AHO114" s="386"/>
      <c r="AHP114" s="386"/>
      <c r="AHQ114" s="386"/>
      <c r="AHR114" s="386"/>
      <c r="AHS114" s="386"/>
      <c r="AHT114" s="386"/>
      <c r="AHU114" s="386"/>
      <c r="AHV114" s="386"/>
      <c r="AHW114" s="386"/>
      <c r="AHX114" s="386"/>
      <c r="AHY114" s="386"/>
      <c r="AHZ114" s="386"/>
      <c r="AIA114" s="386"/>
      <c r="AIB114" s="386"/>
      <c r="AIC114" s="386"/>
      <c r="AID114" s="386"/>
      <c r="AIE114" s="386"/>
      <c r="AIF114" s="386"/>
      <c r="AIG114" s="386"/>
      <c r="AIH114" s="386"/>
      <c r="AII114" s="386"/>
      <c r="AIJ114" s="386"/>
      <c r="AIK114" s="386"/>
      <c r="AIL114" s="386"/>
      <c r="AIM114" s="386"/>
      <c r="AIN114" s="386"/>
      <c r="AIO114" s="386"/>
      <c r="AIP114" s="386"/>
      <c r="AIQ114" s="386"/>
      <c r="AIR114" s="386"/>
      <c r="AIS114" s="386"/>
      <c r="AIT114" s="386"/>
      <c r="AIU114" s="386"/>
      <c r="AIV114" s="386"/>
      <c r="AIW114" s="386"/>
      <c r="AIX114" s="386"/>
      <c r="AIY114" s="386"/>
      <c r="AIZ114" s="386"/>
      <c r="AJA114" s="386"/>
      <c r="AJB114" s="386"/>
      <c r="AJC114" s="386"/>
      <c r="AJD114" s="386"/>
      <c r="AJE114" s="386"/>
      <c r="AJF114" s="386"/>
      <c r="AJG114" s="386"/>
      <c r="AJH114" s="386"/>
      <c r="AJI114" s="386"/>
      <c r="AJJ114" s="386"/>
      <c r="AJK114" s="386"/>
      <c r="AJL114" s="386"/>
      <c r="AJM114" s="386"/>
      <c r="AJN114" s="386"/>
      <c r="AJO114" s="386"/>
      <c r="AJP114" s="386"/>
      <c r="AJQ114" s="386"/>
      <c r="AJR114" s="386"/>
      <c r="AJS114" s="386"/>
      <c r="AJT114" s="386"/>
      <c r="AJU114" s="386"/>
      <c r="AJV114" s="386"/>
      <c r="AJW114" s="386"/>
      <c r="AJX114" s="386"/>
      <c r="AJY114" s="386"/>
      <c r="AJZ114" s="386"/>
      <c r="AKA114" s="386"/>
      <c r="AKB114" s="386"/>
      <c r="AKC114" s="386"/>
      <c r="AKD114" s="386"/>
      <c r="AKE114" s="386"/>
      <c r="AKF114" s="386"/>
      <c r="AKG114" s="386"/>
      <c r="AKH114" s="386"/>
      <c r="AKI114" s="386"/>
      <c r="AKJ114" s="386"/>
      <c r="AKK114" s="386"/>
      <c r="AKL114" s="386"/>
      <c r="AKM114" s="386"/>
      <c r="AKN114" s="386"/>
      <c r="AKO114" s="386"/>
      <c r="AKP114" s="386"/>
      <c r="AKQ114" s="386"/>
      <c r="AKR114" s="386"/>
      <c r="AKS114" s="386"/>
      <c r="AKT114" s="386"/>
      <c r="AKU114" s="386"/>
      <c r="AKV114" s="386"/>
      <c r="AKW114" s="386"/>
      <c r="AKX114" s="386"/>
      <c r="AKY114" s="386"/>
      <c r="AKZ114" s="386"/>
      <c r="ALA114" s="386"/>
      <c r="ALB114" s="386"/>
      <c r="ALC114" s="386"/>
      <c r="ALD114" s="386"/>
      <c r="ALE114" s="386"/>
      <c r="ALF114" s="386"/>
      <c r="ALG114" s="386"/>
      <c r="ALH114" s="386"/>
      <c r="ALI114" s="386"/>
      <c r="ALJ114" s="386"/>
      <c r="ALK114" s="386"/>
      <c r="ALL114" s="386"/>
      <c r="ALM114" s="386"/>
      <c r="ALN114" s="386"/>
      <c r="ALO114" s="386"/>
      <c r="ALP114" s="386"/>
      <c r="ALQ114" s="386"/>
      <c r="ALR114" s="386"/>
      <c r="ALS114" s="386"/>
      <c r="ALT114" s="386"/>
      <c r="ALU114" s="386"/>
      <c r="ALV114" s="386"/>
      <c r="ALW114" s="386"/>
      <c r="ALX114" s="386"/>
      <c r="ALY114" s="386"/>
      <c r="ALZ114" s="386"/>
      <c r="AMA114" s="386"/>
      <c r="AMB114" s="386"/>
      <c r="AMC114" s="386"/>
      <c r="AMD114" s="386"/>
      <c r="AME114" s="386"/>
      <c r="AMF114" s="386"/>
      <c r="AMG114" s="386"/>
      <c r="AMH114" s="386"/>
      <c r="AMI114" s="386"/>
      <c r="AMJ114" s="386"/>
      <c r="AMK114" s="386"/>
      <c r="AML114" s="386"/>
      <c r="AMM114" s="386"/>
      <c r="AMN114" s="386"/>
      <c r="AMO114" s="386"/>
      <c r="AMP114" s="386"/>
      <c r="AMQ114" s="386"/>
      <c r="AMR114" s="386"/>
      <c r="AMS114" s="386"/>
      <c r="AMT114" s="386"/>
      <c r="AMU114" s="386"/>
      <c r="AMV114" s="386"/>
      <c r="AMW114" s="386"/>
      <c r="AMX114" s="386"/>
      <c r="AMY114" s="386"/>
      <c r="AMZ114" s="386"/>
      <c r="ANA114" s="386"/>
      <c r="ANB114" s="386"/>
      <c r="ANC114" s="386"/>
      <c r="AND114" s="386"/>
      <c r="ANE114" s="386"/>
      <c r="ANF114" s="386"/>
      <c r="ANG114" s="386"/>
      <c r="ANH114" s="386"/>
      <c r="ANI114" s="386"/>
      <c r="ANJ114" s="386"/>
      <c r="ANK114" s="386"/>
      <c r="ANL114" s="386"/>
      <c r="ANM114" s="386"/>
      <c r="ANN114" s="386"/>
      <c r="ANO114" s="386"/>
      <c r="ANP114" s="386"/>
      <c r="ANQ114" s="386"/>
      <c r="ANR114" s="386"/>
      <c r="ANS114" s="386"/>
      <c r="ANT114" s="386"/>
      <c r="ANU114" s="386"/>
      <c r="ANV114" s="386"/>
      <c r="ANW114" s="386"/>
      <c r="ANX114" s="386"/>
      <c r="ANY114" s="386"/>
      <c r="ANZ114" s="386"/>
      <c r="AOA114" s="386"/>
      <c r="AOB114" s="386"/>
      <c r="AOC114" s="386"/>
      <c r="AOD114" s="386"/>
      <c r="AOE114" s="386"/>
      <c r="AOF114" s="386"/>
      <c r="AOG114" s="386"/>
      <c r="AOH114" s="386"/>
      <c r="AOI114" s="386"/>
      <c r="AOJ114" s="386"/>
      <c r="AOK114" s="386"/>
      <c r="AOL114" s="386"/>
      <c r="AOM114" s="386"/>
      <c r="AON114" s="386"/>
      <c r="AOO114" s="386"/>
      <c r="AOP114" s="386"/>
      <c r="AOQ114" s="386"/>
      <c r="AOR114" s="386"/>
      <c r="AOS114" s="386"/>
      <c r="AOT114" s="386"/>
      <c r="AOU114" s="386"/>
      <c r="AOV114" s="386"/>
      <c r="AOW114" s="386"/>
      <c r="AOX114" s="386"/>
      <c r="AOY114" s="386"/>
      <c r="AOZ114" s="386"/>
      <c r="APA114" s="386"/>
      <c r="APB114" s="386"/>
      <c r="APC114" s="386"/>
      <c r="APD114" s="386"/>
      <c r="APE114" s="386"/>
      <c r="APF114" s="386"/>
      <c r="APG114" s="386"/>
      <c r="APH114" s="386"/>
      <c r="API114" s="386"/>
      <c r="APJ114" s="386"/>
      <c r="APK114" s="386"/>
      <c r="APL114" s="386"/>
      <c r="APM114" s="386"/>
      <c r="APN114" s="386"/>
      <c r="APO114" s="386"/>
      <c r="APP114" s="386"/>
      <c r="APQ114" s="386"/>
      <c r="APR114" s="386"/>
      <c r="APS114" s="386"/>
      <c r="APT114" s="386"/>
      <c r="APU114" s="386"/>
      <c r="APV114" s="386"/>
      <c r="APW114" s="386"/>
      <c r="APX114" s="386"/>
      <c r="APY114" s="386"/>
      <c r="APZ114" s="386"/>
      <c r="AQA114" s="386"/>
      <c r="AQB114" s="386"/>
      <c r="AQC114" s="386"/>
      <c r="AQD114" s="386"/>
      <c r="AQE114" s="386"/>
      <c r="AQF114" s="386"/>
      <c r="AQG114" s="386"/>
      <c r="AQH114" s="386"/>
      <c r="AQI114" s="386"/>
      <c r="AQJ114" s="386"/>
      <c r="AQK114" s="386"/>
      <c r="AQL114" s="386"/>
      <c r="AQM114" s="386"/>
      <c r="AQN114" s="386"/>
      <c r="AQO114" s="386"/>
      <c r="AQP114" s="386"/>
      <c r="AQQ114" s="386"/>
      <c r="AQR114" s="386"/>
      <c r="AQS114" s="386"/>
      <c r="AQT114" s="386"/>
      <c r="AQU114" s="386"/>
      <c r="AQV114" s="386"/>
      <c r="AQW114" s="386"/>
      <c r="AQX114" s="386"/>
      <c r="AQY114" s="386"/>
      <c r="AQZ114" s="386"/>
      <c r="ARA114" s="386"/>
      <c r="ARB114" s="386"/>
      <c r="ARC114" s="386"/>
      <c r="ARD114" s="386"/>
      <c r="ARE114" s="386"/>
      <c r="ARF114" s="386"/>
      <c r="ARG114" s="386"/>
      <c r="ARH114" s="386"/>
      <c r="ARI114" s="386"/>
      <c r="ARJ114" s="386"/>
      <c r="ARK114" s="386"/>
      <c r="ARL114" s="386"/>
      <c r="ARM114" s="386"/>
      <c r="ARN114" s="386"/>
      <c r="ARO114" s="386"/>
      <c r="ARP114" s="386"/>
      <c r="ARQ114" s="386"/>
      <c r="ARR114" s="386"/>
      <c r="ARS114" s="386"/>
      <c r="ART114" s="386"/>
      <c r="ARU114" s="386"/>
      <c r="ARV114" s="386"/>
      <c r="ARW114" s="386"/>
      <c r="ARX114" s="386"/>
      <c r="ARY114" s="386"/>
      <c r="ARZ114" s="386"/>
      <c r="ASA114" s="386"/>
      <c r="ASB114" s="386"/>
      <c r="ASC114" s="386"/>
      <c r="ASD114" s="386"/>
      <c r="ASE114" s="386"/>
      <c r="ASF114" s="386"/>
      <c r="ASG114" s="386"/>
      <c r="ASH114" s="386"/>
      <c r="ASI114" s="386"/>
      <c r="ASJ114" s="386"/>
      <c r="ASK114" s="386"/>
      <c r="ASL114" s="386"/>
      <c r="ASM114" s="386"/>
      <c r="ASN114" s="386"/>
      <c r="ASO114" s="386"/>
      <c r="ASP114" s="386"/>
      <c r="ASQ114" s="386"/>
      <c r="ASR114" s="386"/>
      <c r="ASS114" s="386"/>
      <c r="AST114" s="386"/>
      <c r="ASU114" s="386"/>
      <c r="ASV114" s="386"/>
      <c r="ASW114" s="386"/>
      <c r="ASX114" s="386"/>
      <c r="ASY114" s="386"/>
      <c r="ASZ114" s="386"/>
      <c r="ATA114" s="386"/>
      <c r="ATB114" s="386"/>
      <c r="ATC114" s="386"/>
      <c r="ATD114" s="386"/>
      <c r="ATE114" s="386"/>
      <c r="ATF114" s="386"/>
      <c r="ATG114" s="386"/>
      <c r="ATH114" s="386"/>
      <c r="ATI114" s="386"/>
      <c r="ATJ114" s="386"/>
      <c r="ATK114" s="386"/>
      <c r="ATL114" s="386"/>
      <c r="ATM114" s="386"/>
      <c r="ATN114" s="386"/>
      <c r="ATO114" s="386"/>
      <c r="ATP114" s="386"/>
      <c r="ATQ114" s="386"/>
      <c r="ATR114" s="386"/>
      <c r="ATS114" s="386"/>
      <c r="ATT114" s="386"/>
      <c r="ATU114" s="386"/>
      <c r="ATV114" s="386"/>
      <c r="ATW114" s="386"/>
      <c r="ATX114" s="386"/>
      <c r="ATY114" s="386"/>
      <c r="ATZ114" s="386"/>
      <c r="AUA114" s="386"/>
      <c r="AUB114" s="386"/>
      <c r="AUC114" s="386"/>
      <c r="AUD114" s="386"/>
      <c r="AUE114" s="386"/>
      <c r="AUF114" s="386"/>
      <c r="AUG114" s="386"/>
      <c r="AUH114" s="386"/>
      <c r="AUI114" s="386"/>
      <c r="AUJ114" s="386"/>
      <c r="AUK114" s="386"/>
      <c r="AUL114" s="386"/>
      <c r="AUM114" s="386"/>
      <c r="AUN114" s="386"/>
      <c r="AUO114" s="386"/>
      <c r="AUP114" s="386"/>
      <c r="AUQ114" s="386"/>
      <c r="AUR114" s="386"/>
      <c r="AUS114" s="386"/>
      <c r="AUT114" s="386"/>
      <c r="AUU114" s="386"/>
      <c r="AUV114" s="386"/>
      <c r="AUW114" s="386"/>
      <c r="AUX114" s="386"/>
      <c r="AUY114" s="386"/>
      <c r="AUZ114" s="386"/>
      <c r="AVA114" s="386"/>
      <c r="AVB114" s="386"/>
      <c r="AVC114" s="386"/>
      <c r="AVD114" s="386"/>
      <c r="AVE114" s="386"/>
      <c r="AVF114" s="386"/>
      <c r="AVG114" s="386"/>
      <c r="AVH114" s="386"/>
      <c r="AVI114" s="386"/>
      <c r="AVJ114" s="386"/>
      <c r="AVK114" s="386"/>
      <c r="AVL114" s="386"/>
      <c r="AVM114" s="386"/>
      <c r="AVN114" s="386"/>
      <c r="AVO114" s="386"/>
      <c r="AVP114" s="386"/>
      <c r="AVQ114" s="386"/>
      <c r="AVR114" s="386"/>
      <c r="AVS114" s="386"/>
      <c r="AVT114" s="386"/>
      <c r="AVU114" s="386"/>
      <c r="AVV114" s="386"/>
      <c r="AVW114" s="386"/>
      <c r="AVX114" s="386"/>
      <c r="AVY114" s="386"/>
      <c r="AVZ114" s="386"/>
      <c r="AWA114" s="386"/>
      <c r="AWB114" s="386"/>
      <c r="AWC114" s="386"/>
      <c r="AWD114" s="386"/>
      <c r="AWE114" s="386"/>
      <c r="AWF114" s="386"/>
      <c r="AWG114" s="386"/>
      <c r="AWH114" s="386"/>
      <c r="AWI114" s="386"/>
      <c r="AWJ114" s="386"/>
      <c r="AWK114" s="386"/>
      <c r="AWL114" s="386"/>
      <c r="AWM114" s="386"/>
      <c r="AWN114" s="386"/>
      <c r="AWO114" s="386"/>
      <c r="AWP114" s="386"/>
      <c r="AWQ114" s="386"/>
      <c r="AWR114" s="386"/>
      <c r="AWS114" s="386"/>
      <c r="AWT114" s="386"/>
      <c r="AWU114" s="386"/>
      <c r="AWV114" s="386"/>
      <c r="AWW114" s="386"/>
      <c r="AWX114" s="386"/>
      <c r="AWY114" s="386"/>
      <c r="AWZ114" s="386"/>
      <c r="AXA114" s="386"/>
      <c r="AXB114" s="386"/>
      <c r="AXC114" s="386"/>
      <c r="AXD114" s="386"/>
      <c r="AXE114" s="386"/>
      <c r="AXF114" s="386"/>
      <c r="AXG114" s="386"/>
      <c r="AXH114" s="386"/>
      <c r="AXI114" s="386"/>
      <c r="AXJ114" s="386"/>
      <c r="AXK114" s="386"/>
      <c r="AXL114" s="386"/>
      <c r="AXM114" s="386"/>
      <c r="AXN114" s="386"/>
      <c r="AXO114" s="386"/>
      <c r="AXP114" s="386"/>
      <c r="AXQ114" s="386"/>
      <c r="AXR114" s="386"/>
      <c r="AXS114" s="386"/>
      <c r="AXT114" s="386"/>
      <c r="AXU114" s="386"/>
      <c r="AXV114" s="386"/>
      <c r="AXW114" s="386"/>
      <c r="AXX114" s="386"/>
      <c r="AXY114" s="386"/>
      <c r="AXZ114" s="386"/>
      <c r="AYA114" s="386"/>
      <c r="AYB114" s="386"/>
      <c r="AYC114" s="386"/>
      <c r="AYD114" s="386"/>
      <c r="AYE114" s="386"/>
      <c r="AYF114" s="386"/>
      <c r="AYG114" s="386"/>
      <c r="AYH114" s="386"/>
      <c r="AYI114" s="386"/>
      <c r="AYJ114" s="386"/>
      <c r="AYK114" s="386"/>
      <c r="AYL114" s="386"/>
      <c r="AYM114" s="386"/>
      <c r="AYN114" s="386"/>
      <c r="AYO114" s="386"/>
      <c r="AYP114" s="386"/>
      <c r="AYQ114" s="386"/>
      <c r="AYR114" s="386"/>
      <c r="AYS114" s="386"/>
      <c r="AYT114" s="386"/>
      <c r="AYU114" s="386"/>
      <c r="AYV114" s="386"/>
      <c r="AYW114" s="386"/>
      <c r="AYX114" s="386"/>
      <c r="AYY114" s="386"/>
      <c r="AYZ114" s="386"/>
      <c r="AZA114" s="386"/>
      <c r="AZB114" s="386"/>
      <c r="AZC114" s="386"/>
      <c r="AZD114" s="386"/>
      <c r="AZE114" s="386"/>
      <c r="AZF114" s="386"/>
      <c r="AZG114" s="386"/>
      <c r="AZH114" s="386"/>
      <c r="AZI114" s="386"/>
      <c r="AZJ114" s="386"/>
      <c r="AZK114" s="386"/>
      <c r="AZL114" s="386"/>
      <c r="AZM114" s="386"/>
      <c r="AZN114" s="386"/>
      <c r="AZO114" s="386"/>
      <c r="AZP114" s="386"/>
      <c r="AZQ114" s="386"/>
      <c r="AZR114" s="386"/>
      <c r="AZS114" s="386"/>
      <c r="AZT114" s="386"/>
      <c r="AZU114" s="386"/>
      <c r="AZV114" s="386"/>
      <c r="AZW114" s="386"/>
      <c r="AZX114" s="386"/>
      <c r="AZY114" s="386"/>
      <c r="AZZ114" s="386"/>
      <c r="BAA114" s="386"/>
      <c r="BAB114" s="386"/>
      <c r="BAC114" s="386"/>
      <c r="BAD114" s="386"/>
      <c r="BAE114" s="386"/>
      <c r="BAF114" s="386"/>
      <c r="BAG114" s="386"/>
      <c r="BAH114" s="386"/>
      <c r="BAI114" s="386"/>
      <c r="BAJ114" s="386"/>
      <c r="BAK114" s="386"/>
      <c r="BAL114" s="386"/>
      <c r="BAM114" s="386"/>
      <c r="BAN114" s="386"/>
      <c r="BAO114" s="386"/>
      <c r="BAP114" s="386"/>
      <c r="BAQ114" s="386"/>
      <c r="BAR114" s="386"/>
      <c r="BAS114" s="386"/>
      <c r="BAT114" s="386"/>
      <c r="BAU114" s="386"/>
      <c r="BAV114" s="386"/>
      <c r="BAW114" s="386"/>
      <c r="BAX114" s="386"/>
      <c r="BAY114" s="386"/>
      <c r="BAZ114" s="386"/>
      <c r="BBA114" s="386"/>
      <c r="BBB114" s="386"/>
      <c r="BBC114" s="386"/>
      <c r="BBD114" s="386"/>
      <c r="BBE114" s="386"/>
      <c r="BBF114" s="386"/>
      <c r="BBG114" s="386"/>
      <c r="BBH114" s="386"/>
      <c r="BBI114" s="386"/>
      <c r="BBJ114" s="386"/>
      <c r="BBK114" s="386"/>
      <c r="BBL114" s="386"/>
      <c r="BBM114" s="386"/>
      <c r="BBN114" s="386"/>
      <c r="BBO114" s="386"/>
      <c r="BBP114" s="386"/>
      <c r="BBQ114" s="386"/>
      <c r="BBR114" s="386"/>
      <c r="BBS114" s="386"/>
      <c r="BBT114" s="386"/>
      <c r="BBU114" s="386"/>
      <c r="BBV114" s="386"/>
      <c r="BBW114" s="386"/>
      <c r="BBX114" s="386"/>
      <c r="BBY114" s="386"/>
      <c r="BBZ114" s="386"/>
      <c r="BCA114" s="386"/>
      <c r="BCB114" s="386"/>
      <c r="BCC114" s="386"/>
      <c r="BCD114" s="386"/>
      <c r="BCE114" s="386"/>
      <c r="BCF114" s="386"/>
      <c r="BCG114" s="386"/>
      <c r="BCH114" s="386"/>
      <c r="BCI114" s="386"/>
      <c r="BCJ114" s="386"/>
      <c r="BCK114" s="386"/>
      <c r="BCL114" s="386"/>
      <c r="BCM114" s="386"/>
      <c r="BCN114" s="386"/>
      <c r="BCO114" s="386"/>
      <c r="BCP114" s="386"/>
      <c r="BCQ114" s="386"/>
      <c r="BCR114" s="386"/>
      <c r="BCS114" s="386"/>
      <c r="BCT114" s="386"/>
      <c r="BCU114" s="386"/>
      <c r="BCV114" s="386"/>
      <c r="BCW114" s="386"/>
      <c r="BCX114" s="386"/>
      <c r="BCY114" s="386"/>
      <c r="BCZ114" s="386"/>
      <c r="BDA114" s="386"/>
      <c r="BDB114" s="386"/>
      <c r="BDC114" s="386"/>
      <c r="BDD114" s="386"/>
      <c r="BDE114" s="386"/>
      <c r="BDF114" s="386"/>
      <c r="BDG114" s="386"/>
      <c r="BDH114" s="386"/>
      <c r="BDI114" s="386"/>
      <c r="BDJ114" s="386"/>
      <c r="BDK114" s="386"/>
      <c r="BDL114" s="386"/>
      <c r="BDM114" s="386"/>
      <c r="BDN114" s="386"/>
      <c r="BDO114" s="386"/>
      <c r="BDP114" s="386"/>
      <c r="BDQ114" s="386"/>
      <c r="BDR114" s="386"/>
      <c r="BDS114" s="386"/>
      <c r="BDT114" s="386"/>
      <c r="BDU114" s="386"/>
      <c r="BDV114" s="386"/>
      <c r="BDW114" s="386"/>
      <c r="BDX114" s="386"/>
      <c r="BDY114" s="386"/>
      <c r="BDZ114" s="386"/>
      <c r="BEA114" s="386"/>
      <c r="BEB114" s="386"/>
      <c r="BEC114" s="386"/>
      <c r="BED114" s="386"/>
      <c r="BEE114" s="386"/>
      <c r="BEF114" s="386"/>
      <c r="BEG114" s="386"/>
      <c r="BEH114" s="386"/>
      <c r="BEI114" s="386"/>
      <c r="BEJ114" s="386"/>
      <c r="BEK114" s="386"/>
      <c r="BEL114" s="386"/>
      <c r="BEM114" s="386"/>
      <c r="BEN114" s="386"/>
      <c r="BEO114" s="386"/>
      <c r="BEP114" s="386"/>
      <c r="BEQ114" s="386"/>
      <c r="BER114" s="386"/>
      <c r="BES114" s="386"/>
      <c r="BET114" s="386"/>
      <c r="BEU114" s="386"/>
      <c r="BEV114" s="386"/>
      <c r="BEW114" s="386"/>
      <c r="BEX114" s="386"/>
      <c r="BEY114" s="386"/>
      <c r="BEZ114" s="386"/>
      <c r="BFA114" s="386"/>
      <c r="BFB114" s="386"/>
      <c r="BFC114" s="386"/>
      <c r="BFD114" s="386"/>
      <c r="BFE114" s="386"/>
      <c r="BFF114" s="386"/>
      <c r="BFG114" s="386"/>
      <c r="BFH114" s="386"/>
      <c r="BFI114" s="386"/>
      <c r="BFJ114" s="386"/>
      <c r="BFK114" s="386"/>
      <c r="BFL114" s="386"/>
      <c r="BFM114" s="386"/>
      <c r="BFN114" s="386"/>
      <c r="BFO114" s="386"/>
      <c r="BFP114" s="386"/>
      <c r="BFQ114" s="386"/>
      <c r="BFR114" s="386"/>
      <c r="BFS114" s="386"/>
      <c r="BFT114" s="386"/>
      <c r="BFU114" s="386"/>
      <c r="BFV114" s="386"/>
      <c r="BFW114" s="386"/>
      <c r="BFX114" s="386"/>
      <c r="BFY114" s="386"/>
      <c r="BFZ114" s="386"/>
      <c r="BGA114" s="386"/>
      <c r="BGB114" s="386"/>
      <c r="BGC114" s="386"/>
      <c r="BGD114" s="386"/>
      <c r="BGE114" s="386"/>
      <c r="BGF114" s="386"/>
      <c r="BGG114" s="386"/>
      <c r="BGH114" s="386"/>
      <c r="BGI114" s="386"/>
      <c r="BGJ114" s="386"/>
      <c r="BGK114" s="386"/>
      <c r="BGL114" s="386"/>
      <c r="BGM114" s="386"/>
      <c r="BGN114" s="386"/>
      <c r="BGO114" s="386"/>
      <c r="BGP114" s="386"/>
      <c r="BGQ114" s="386"/>
      <c r="BGR114" s="386"/>
      <c r="BGS114" s="386"/>
      <c r="BGT114" s="386"/>
      <c r="BGU114" s="386"/>
      <c r="BGV114" s="386"/>
      <c r="BGW114" s="386"/>
      <c r="BGX114" s="386"/>
      <c r="BGY114" s="386"/>
      <c r="BGZ114" s="386"/>
      <c r="BHA114" s="386"/>
      <c r="BHB114" s="386"/>
      <c r="BHC114" s="386"/>
      <c r="BHD114" s="386"/>
      <c r="BHE114" s="386"/>
      <c r="BHF114" s="386"/>
      <c r="BHG114" s="386"/>
      <c r="BHH114" s="386"/>
      <c r="BHI114" s="386"/>
      <c r="BHJ114" s="386"/>
      <c r="BHK114" s="386"/>
      <c r="BHL114" s="386"/>
      <c r="BHM114" s="386"/>
      <c r="BHN114" s="386"/>
      <c r="BHO114" s="386"/>
      <c r="BHP114" s="386"/>
      <c r="BHQ114" s="386"/>
      <c r="BHR114" s="386"/>
      <c r="BHS114" s="386"/>
      <c r="BHT114" s="386"/>
      <c r="BHU114" s="386"/>
      <c r="BHV114" s="386"/>
      <c r="BHW114" s="386"/>
      <c r="BHX114" s="386"/>
      <c r="BHY114" s="386"/>
      <c r="BHZ114" s="386"/>
      <c r="BIA114" s="386"/>
      <c r="BIB114" s="386"/>
      <c r="BIC114" s="386"/>
      <c r="BID114" s="386"/>
      <c r="BIE114" s="386"/>
      <c r="BIF114" s="386"/>
      <c r="BIG114" s="386"/>
      <c r="BIH114" s="386"/>
      <c r="BII114" s="386"/>
      <c r="BIJ114" s="386"/>
      <c r="BIK114" s="386"/>
      <c r="BIL114" s="386"/>
      <c r="BIM114" s="386"/>
      <c r="BIN114" s="386"/>
      <c r="BIO114" s="386"/>
      <c r="BIP114" s="386"/>
      <c r="BIQ114" s="386"/>
      <c r="BIR114" s="386"/>
      <c r="BIS114" s="386"/>
      <c r="BIT114" s="386"/>
      <c r="BIU114" s="386"/>
      <c r="BIV114" s="386"/>
      <c r="BIW114" s="386"/>
      <c r="BIX114" s="386"/>
      <c r="BIY114" s="386"/>
      <c r="BIZ114" s="386"/>
      <c r="BJA114" s="386"/>
      <c r="BJB114" s="386"/>
      <c r="BJC114" s="386"/>
      <c r="BJD114" s="386"/>
      <c r="BJE114" s="386"/>
      <c r="BJF114" s="386"/>
      <c r="BJG114" s="386"/>
      <c r="BJH114" s="386"/>
      <c r="BJI114" s="386"/>
      <c r="BJJ114" s="386"/>
      <c r="BJK114" s="386"/>
      <c r="BJL114" s="386"/>
      <c r="BJM114" s="386"/>
      <c r="BJN114" s="386"/>
      <c r="BJO114" s="386"/>
      <c r="BJP114" s="386"/>
      <c r="BJQ114" s="386"/>
      <c r="BJR114" s="386"/>
      <c r="BJS114" s="386"/>
      <c r="BJT114" s="386"/>
      <c r="BJU114" s="386"/>
      <c r="BJV114" s="386"/>
      <c r="BJW114" s="386"/>
      <c r="BJX114" s="386"/>
      <c r="BJY114" s="386"/>
      <c r="BJZ114" s="386"/>
      <c r="BKA114" s="386"/>
      <c r="BKB114" s="386"/>
      <c r="BKC114" s="386"/>
      <c r="BKD114" s="386"/>
      <c r="BKE114" s="386"/>
      <c r="BKF114" s="386"/>
      <c r="BKG114" s="386"/>
      <c r="BKH114" s="386"/>
      <c r="BKI114" s="386"/>
      <c r="BKJ114" s="386"/>
      <c r="BKK114" s="386"/>
      <c r="BKL114" s="386"/>
      <c r="BKM114" s="386"/>
      <c r="BKN114" s="386"/>
      <c r="BKO114" s="386"/>
      <c r="BKP114" s="386"/>
      <c r="BKQ114" s="386"/>
      <c r="BKR114" s="386"/>
      <c r="BKS114" s="386"/>
      <c r="BKT114" s="386"/>
      <c r="BKU114" s="386"/>
      <c r="BKV114" s="386"/>
      <c r="BKW114" s="386"/>
      <c r="BKX114" s="386"/>
      <c r="BKY114" s="386"/>
      <c r="BKZ114" s="386"/>
      <c r="BLA114" s="386"/>
      <c r="BLB114" s="386"/>
      <c r="BLC114" s="386"/>
      <c r="BLD114" s="386"/>
      <c r="BLE114" s="386"/>
      <c r="BLF114" s="386"/>
      <c r="BLG114" s="386"/>
      <c r="BLH114" s="386"/>
      <c r="BLI114" s="386"/>
      <c r="BLJ114" s="386"/>
      <c r="BLK114" s="386"/>
      <c r="BLL114" s="386"/>
      <c r="BLM114" s="386"/>
      <c r="BLN114" s="386"/>
      <c r="BLO114" s="386"/>
      <c r="BLP114" s="386"/>
      <c r="BLQ114" s="386"/>
      <c r="BLR114" s="386"/>
      <c r="BLS114" s="386"/>
      <c r="BLT114" s="386"/>
      <c r="BLU114" s="386"/>
      <c r="BLV114" s="386"/>
      <c r="BLW114" s="386"/>
      <c r="BLX114" s="386"/>
      <c r="BLY114" s="386"/>
      <c r="BLZ114" s="386"/>
      <c r="BMA114" s="386"/>
      <c r="BMB114" s="386"/>
      <c r="BMC114" s="386"/>
      <c r="BMD114" s="386"/>
      <c r="BME114" s="386"/>
      <c r="BMF114" s="386"/>
      <c r="BMG114" s="386"/>
      <c r="BMH114" s="386"/>
      <c r="BMI114" s="386"/>
      <c r="BMJ114" s="386"/>
      <c r="BMK114" s="386"/>
      <c r="BML114" s="386"/>
      <c r="BMM114" s="386"/>
      <c r="BMN114" s="386"/>
      <c r="BMO114" s="386"/>
      <c r="BMP114" s="386"/>
      <c r="BMQ114" s="386"/>
      <c r="BMR114" s="386"/>
      <c r="BMS114" s="386"/>
      <c r="BMT114" s="386"/>
      <c r="BMU114" s="386"/>
      <c r="BMV114" s="386"/>
      <c r="BMW114" s="386"/>
      <c r="BMX114" s="386"/>
      <c r="BMY114" s="386"/>
      <c r="BMZ114" s="386"/>
      <c r="BNA114" s="386"/>
      <c r="BNB114" s="386"/>
      <c r="BNC114" s="386"/>
      <c r="BND114" s="386"/>
      <c r="BNE114" s="386"/>
      <c r="BNF114" s="386"/>
      <c r="BNG114" s="386"/>
      <c r="BNH114" s="386"/>
      <c r="BNI114" s="386"/>
      <c r="BNJ114" s="386"/>
      <c r="BNK114" s="386"/>
      <c r="BNL114" s="386"/>
      <c r="BNM114" s="386"/>
      <c r="BNN114" s="386"/>
      <c r="BNO114" s="386"/>
      <c r="BNP114" s="386"/>
      <c r="BNQ114" s="386"/>
      <c r="BNR114" s="386"/>
      <c r="BNS114" s="386"/>
      <c r="BNT114" s="386"/>
      <c r="BNU114" s="386"/>
      <c r="BNV114" s="386"/>
      <c r="BNW114" s="386"/>
      <c r="BNX114" s="386"/>
      <c r="BNY114" s="386"/>
      <c r="BNZ114" s="386"/>
      <c r="BOA114" s="386"/>
      <c r="BOB114" s="386"/>
      <c r="BOC114" s="386"/>
      <c r="BOD114" s="386"/>
      <c r="BOE114" s="386"/>
      <c r="BOF114" s="386"/>
      <c r="BOG114" s="386"/>
      <c r="BOH114" s="386"/>
      <c r="BOI114" s="386"/>
      <c r="BOJ114" s="386"/>
      <c r="BOK114" s="386"/>
      <c r="BOL114" s="386"/>
      <c r="BOM114" s="386"/>
      <c r="BON114" s="386"/>
      <c r="BOO114" s="386"/>
      <c r="BOP114" s="386"/>
      <c r="BOQ114" s="386"/>
      <c r="BOR114" s="386"/>
      <c r="BOS114" s="386"/>
      <c r="BOT114" s="386"/>
      <c r="BOU114" s="386"/>
      <c r="BOV114" s="386"/>
      <c r="BOW114" s="386"/>
      <c r="BOX114" s="386"/>
      <c r="BOY114" s="386"/>
      <c r="BOZ114" s="386"/>
      <c r="BPA114" s="386"/>
      <c r="BPB114" s="386"/>
      <c r="BPC114" s="386"/>
      <c r="BPD114" s="386"/>
      <c r="BPE114" s="386"/>
      <c r="BPF114" s="386"/>
      <c r="BPG114" s="386"/>
      <c r="BPH114" s="386"/>
      <c r="BPI114" s="386"/>
      <c r="BPJ114" s="386"/>
      <c r="BPK114" s="386"/>
      <c r="BPL114" s="386"/>
      <c r="BPM114" s="386"/>
      <c r="BPN114" s="386"/>
      <c r="BPO114" s="386"/>
      <c r="BPP114" s="386"/>
      <c r="BPQ114" s="386"/>
      <c r="BPR114" s="386"/>
      <c r="BPS114" s="386"/>
      <c r="BPT114" s="386"/>
      <c r="BPU114" s="386"/>
      <c r="BPV114" s="386"/>
      <c r="BPW114" s="386"/>
      <c r="BPX114" s="386"/>
      <c r="BPY114" s="386"/>
      <c r="BPZ114" s="386"/>
      <c r="BQA114" s="386"/>
      <c r="BQB114" s="386"/>
      <c r="BQC114" s="386"/>
      <c r="BQD114" s="386"/>
      <c r="BQE114" s="386"/>
      <c r="BQF114" s="386"/>
      <c r="BQG114" s="386"/>
      <c r="BQH114" s="386"/>
      <c r="BQI114" s="386"/>
      <c r="BQJ114" s="386"/>
      <c r="BQK114" s="386"/>
      <c r="BQL114" s="386"/>
      <c r="BQM114" s="386"/>
      <c r="BQN114" s="386"/>
      <c r="BQO114" s="386"/>
      <c r="BQP114" s="386"/>
      <c r="BQQ114" s="386"/>
      <c r="BQR114" s="386"/>
      <c r="BQS114" s="386"/>
      <c r="BQT114" s="386"/>
      <c r="BQU114" s="386"/>
      <c r="BQV114" s="386"/>
      <c r="BQW114" s="386"/>
      <c r="BQX114" s="386"/>
      <c r="BQY114" s="386"/>
      <c r="BQZ114" s="386"/>
      <c r="BRA114" s="386"/>
      <c r="BRB114" s="386"/>
      <c r="BRC114" s="386"/>
      <c r="BRD114" s="386"/>
      <c r="BRE114" s="386"/>
      <c r="BRF114" s="386"/>
      <c r="BRG114" s="386"/>
      <c r="BRH114" s="386"/>
      <c r="BRI114" s="386"/>
      <c r="BRJ114" s="386"/>
      <c r="BRK114" s="386"/>
      <c r="BRL114" s="386"/>
      <c r="BRM114" s="386"/>
      <c r="BRN114" s="386"/>
      <c r="BRO114" s="386"/>
      <c r="BRP114" s="386"/>
      <c r="BRQ114" s="386"/>
      <c r="BRR114" s="386"/>
      <c r="BRS114" s="386"/>
      <c r="BRT114" s="386"/>
      <c r="BRU114" s="386"/>
      <c r="BRV114" s="386"/>
      <c r="BRW114" s="386"/>
      <c r="BRX114" s="386"/>
      <c r="BRY114" s="386"/>
      <c r="BRZ114" s="386"/>
      <c r="BSA114" s="386"/>
      <c r="BSB114" s="386"/>
      <c r="BSC114" s="386"/>
      <c r="BSD114" s="386"/>
      <c r="BSE114" s="386"/>
      <c r="BSF114" s="386"/>
      <c r="BSG114" s="386"/>
      <c r="BSH114" s="386"/>
      <c r="BSI114" s="386"/>
      <c r="BSJ114" s="386"/>
      <c r="BSK114" s="386"/>
      <c r="BSL114" s="386"/>
      <c r="BSM114" s="386"/>
      <c r="BSN114" s="386"/>
      <c r="BSO114" s="386"/>
      <c r="BSP114" s="386"/>
      <c r="BSQ114" s="386"/>
      <c r="BSR114" s="386"/>
      <c r="BSS114" s="386"/>
      <c r="BST114" s="386"/>
      <c r="BSU114" s="386"/>
      <c r="BSV114" s="386"/>
      <c r="BSW114" s="386"/>
      <c r="BSX114" s="386"/>
      <c r="BSY114" s="386"/>
      <c r="BSZ114" s="386"/>
      <c r="BTA114" s="386"/>
      <c r="BTB114" s="386"/>
      <c r="BTC114" s="386"/>
      <c r="BTD114" s="386"/>
      <c r="BTE114" s="386"/>
      <c r="BTF114" s="386"/>
      <c r="BTG114" s="386"/>
      <c r="BTH114" s="386"/>
      <c r="BTI114" s="386"/>
      <c r="BTJ114" s="386"/>
      <c r="BTK114" s="386"/>
      <c r="BTL114" s="386"/>
      <c r="BTM114" s="386"/>
      <c r="BTN114" s="386"/>
      <c r="BTO114" s="386"/>
      <c r="BTP114" s="386"/>
      <c r="BTQ114" s="386"/>
      <c r="BTR114" s="386"/>
      <c r="BTS114" s="386"/>
      <c r="BTT114" s="386"/>
      <c r="BTU114" s="386"/>
      <c r="BTV114" s="386"/>
      <c r="BTW114" s="386"/>
      <c r="BTX114" s="386"/>
      <c r="BTY114" s="386"/>
      <c r="BTZ114" s="386"/>
      <c r="BUA114" s="386"/>
      <c r="BUB114" s="386"/>
      <c r="BUC114" s="386"/>
      <c r="BUD114" s="386"/>
      <c r="BUE114" s="386"/>
      <c r="BUF114" s="386"/>
      <c r="BUG114" s="386"/>
      <c r="BUH114" s="386"/>
      <c r="BUI114" s="386"/>
      <c r="BUJ114" s="386"/>
      <c r="BUK114" s="386"/>
      <c r="BUL114" s="386"/>
      <c r="BUM114" s="386"/>
      <c r="BUN114" s="386"/>
      <c r="BUO114" s="386"/>
      <c r="BUP114" s="386"/>
      <c r="BUQ114" s="386"/>
      <c r="BUR114" s="386"/>
      <c r="BUS114" s="386"/>
      <c r="BUT114" s="386"/>
      <c r="BUU114" s="386"/>
      <c r="BUV114" s="386"/>
      <c r="BUW114" s="386"/>
      <c r="BUX114" s="386"/>
      <c r="BUY114" s="386"/>
      <c r="BUZ114" s="386"/>
      <c r="BVA114" s="386"/>
      <c r="BVB114" s="386"/>
      <c r="BVC114" s="386"/>
      <c r="BVD114" s="386"/>
      <c r="BVE114" s="386"/>
      <c r="BVF114" s="386"/>
      <c r="BVG114" s="386"/>
      <c r="BVH114" s="386"/>
      <c r="BVI114" s="386"/>
      <c r="BVJ114" s="386"/>
      <c r="BVK114" s="386"/>
      <c r="BVL114" s="386"/>
      <c r="BVM114" s="386"/>
      <c r="BVN114" s="386"/>
      <c r="BVO114" s="386"/>
      <c r="BVP114" s="386"/>
      <c r="BVQ114" s="386"/>
      <c r="BVR114" s="386"/>
      <c r="BVS114" s="386"/>
      <c r="BVT114" s="386"/>
      <c r="BVU114" s="386"/>
      <c r="BVV114" s="386"/>
      <c r="BVW114" s="386"/>
      <c r="BVX114" s="386"/>
      <c r="BVY114" s="386"/>
      <c r="BVZ114" s="386"/>
      <c r="BWA114" s="386"/>
      <c r="BWB114" s="386"/>
      <c r="BWC114" s="386"/>
      <c r="BWD114" s="386"/>
      <c r="BWE114" s="386"/>
      <c r="BWF114" s="386"/>
      <c r="BWG114" s="386"/>
      <c r="BWH114" s="386"/>
      <c r="BWI114" s="386"/>
      <c r="BWJ114" s="386"/>
      <c r="BWK114" s="386"/>
      <c r="BWL114" s="386"/>
      <c r="BWM114" s="386"/>
      <c r="BWN114" s="386"/>
      <c r="BWO114" s="386"/>
      <c r="BWP114" s="386"/>
      <c r="BWQ114" s="386"/>
      <c r="BWR114" s="386"/>
      <c r="BWS114" s="386"/>
      <c r="BWT114" s="386"/>
      <c r="BWU114" s="386"/>
      <c r="BWV114" s="386"/>
      <c r="BWW114" s="386"/>
      <c r="BWX114" s="386"/>
      <c r="BWY114" s="386"/>
      <c r="BWZ114" s="386"/>
      <c r="BXA114" s="386"/>
      <c r="BXB114" s="386"/>
      <c r="BXC114" s="386"/>
      <c r="BXD114" s="386"/>
      <c r="BXE114" s="386"/>
      <c r="BXF114" s="386"/>
      <c r="BXG114" s="386"/>
      <c r="BXH114" s="386"/>
      <c r="BXI114" s="386"/>
      <c r="BXJ114" s="386"/>
      <c r="BXK114" s="386"/>
      <c r="BXL114" s="386"/>
      <c r="BXM114" s="386"/>
      <c r="BXN114" s="386"/>
      <c r="BXO114" s="386"/>
      <c r="BXP114" s="386"/>
      <c r="BXQ114" s="386"/>
      <c r="BXR114" s="386"/>
      <c r="BXS114" s="386"/>
      <c r="BXT114" s="386"/>
      <c r="BXU114" s="386"/>
      <c r="BXV114" s="386"/>
      <c r="BXW114" s="386"/>
      <c r="BXX114" s="386"/>
      <c r="BXY114" s="386"/>
      <c r="BXZ114" s="386"/>
      <c r="BYA114" s="386"/>
      <c r="BYB114" s="386"/>
      <c r="BYC114" s="386"/>
      <c r="BYD114" s="386"/>
      <c r="BYE114" s="386"/>
      <c r="BYF114" s="386"/>
      <c r="BYG114" s="386"/>
      <c r="BYH114" s="386"/>
      <c r="BYI114" s="386"/>
      <c r="BYJ114" s="386"/>
      <c r="BYK114" s="386"/>
      <c r="BYL114" s="386"/>
      <c r="BYM114" s="386"/>
      <c r="BYN114" s="386"/>
      <c r="BYO114" s="386"/>
      <c r="BYP114" s="386"/>
      <c r="BYQ114" s="386"/>
      <c r="BYR114" s="386"/>
      <c r="BYS114" s="386"/>
      <c r="BYT114" s="386"/>
      <c r="BYU114" s="386"/>
      <c r="BYV114" s="386"/>
      <c r="BYW114" s="386"/>
      <c r="BYX114" s="386"/>
      <c r="BYY114" s="386"/>
      <c r="BYZ114" s="386"/>
      <c r="BZA114" s="386"/>
      <c r="BZB114" s="386"/>
      <c r="BZC114" s="386"/>
      <c r="BZD114" s="386"/>
      <c r="BZE114" s="386"/>
      <c r="BZF114" s="386"/>
      <c r="BZG114" s="386"/>
      <c r="BZH114" s="386"/>
      <c r="BZI114" s="386"/>
      <c r="BZJ114" s="386"/>
      <c r="BZK114" s="386"/>
      <c r="BZL114" s="386"/>
      <c r="BZM114" s="386"/>
      <c r="BZN114" s="386"/>
      <c r="BZO114" s="386"/>
      <c r="BZP114" s="386"/>
      <c r="BZQ114" s="386"/>
      <c r="BZR114" s="386"/>
      <c r="BZS114" s="386"/>
      <c r="BZT114" s="386"/>
      <c r="BZU114" s="386"/>
      <c r="BZV114" s="386"/>
      <c r="BZW114" s="386"/>
      <c r="BZX114" s="386"/>
      <c r="BZY114" s="386"/>
      <c r="BZZ114" s="386"/>
      <c r="CAA114" s="386"/>
      <c r="CAB114" s="386"/>
      <c r="CAC114" s="386"/>
      <c r="CAD114" s="386"/>
      <c r="CAE114" s="386"/>
      <c r="CAF114" s="386"/>
      <c r="CAG114" s="386"/>
      <c r="CAH114" s="386"/>
      <c r="CAI114" s="386"/>
      <c r="CAJ114" s="386"/>
      <c r="CAK114" s="386"/>
      <c r="CAL114" s="386"/>
      <c r="CAM114" s="386"/>
      <c r="CAN114" s="386"/>
      <c r="CAO114" s="386"/>
      <c r="CAP114" s="386"/>
      <c r="CAQ114" s="386"/>
      <c r="CAR114" s="386"/>
      <c r="CAS114" s="386"/>
      <c r="CAT114" s="386"/>
      <c r="CAU114" s="386"/>
      <c r="CAV114" s="386"/>
      <c r="CAW114" s="386"/>
      <c r="CAX114" s="386"/>
      <c r="CAY114" s="386"/>
      <c r="CAZ114" s="386"/>
      <c r="CBA114" s="386"/>
      <c r="CBB114" s="386"/>
      <c r="CBC114" s="386"/>
      <c r="CBD114" s="386"/>
      <c r="CBE114" s="386"/>
      <c r="CBF114" s="386"/>
      <c r="CBG114" s="386"/>
      <c r="CBH114" s="386"/>
      <c r="CBI114" s="386"/>
      <c r="CBJ114" s="386"/>
      <c r="CBK114" s="386"/>
      <c r="CBL114" s="386"/>
      <c r="CBM114" s="386"/>
      <c r="CBN114" s="386"/>
      <c r="CBO114" s="386"/>
      <c r="CBP114" s="386"/>
      <c r="CBQ114" s="386"/>
      <c r="CBR114" s="386"/>
      <c r="CBS114" s="386"/>
      <c r="CBT114" s="386"/>
      <c r="CBU114" s="386"/>
      <c r="CBV114" s="386"/>
      <c r="CBW114" s="386"/>
      <c r="CBX114" s="386"/>
      <c r="CBY114" s="386"/>
      <c r="CBZ114" s="386"/>
      <c r="CCA114" s="386"/>
      <c r="CCB114" s="386"/>
      <c r="CCC114" s="386"/>
      <c r="CCD114" s="386"/>
      <c r="CCE114" s="386"/>
      <c r="CCF114" s="386"/>
      <c r="CCG114" s="386"/>
      <c r="CCH114" s="386"/>
      <c r="CCI114" s="386"/>
      <c r="CCJ114" s="386"/>
      <c r="CCK114" s="386"/>
      <c r="CCL114" s="386"/>
      <c r="CCM114" s="386"/>
      <c r="CCN114" s="386"/>
      <c r="CCO114" s="386"/>
      <c r="CCP114" s="386"/>
      <c r="CCQ114" s="386"/>
      <c r="CCR114" s="386"/>
      <c r="CCS114" s="386"/>
      <c r="CCT114" s="386"/>
      <c r="CCU114" s="386"/>
      <c r="CCV114" s="386"/>
      <c r="CCW114" s="386"/>
      <c r="CCX114" s="386"/>
      <c r="CCY114" s="386"/>
      <c r="CCZ114" s="386"/>
      <c r="CDA114" s="386"/>
      <c r="CDB114" s="386"/>
      <c r="CDC114" s="386"/>
      <c r="CDD114" s="386"/>
      <c r="CDE114" s="386"/>
      <c r="CDF114" s="386"/>
      <c r="CDG114" s="386"/>
      <c r="CDH114" s="386"/>
      <c r="CDI114" s="386"/>
      <c r="CDJ114" s="386"/>
      <c r="CDK114" s="386"/>
      <c r="CDL114" s="386"/>
      <c r="CDM114" s="386"/>
      <c r="CDN114" s="386"/>
      <c r="CDO114" s="386"/>
      <c r="CDP114" s="386"/>
      <c r="CDQ114" s="386"/>
      <c r="CDR114" s="386"/>
      <c r="CDS114" s="386"/>
      <c r="CDT114" s="386"/>
      <c r="CDU114" s="386"/>
      <c r="CDV114" s="386"/>
      <c r="CDW114" s="386"/>
      <c r="CDX114" s="386"/>
      <c r="CDY114" s="386"/>
      <c r="CDZ114" s="386"/>
      <c r="CEA114" s="386"/>
      <c r="CEB114" s="386"/>
      <c r="CEC114" s="386"/>
      <c r="CED114" s="386"/>
      <c r="CEE114" s="386"/>
      <c r="CEF114" s="386"/>
      <c r="CEG114" s="386"/>
      <c r="CEH114" s="386"/>
      <c r="CEI114" s="386"/>
      <c r="CEJ114" s="386"/>
      <c r="CEK114" s="386"/>
      <c r="CEL114" s="386"/>
      <c r="CEM114" s="386"/>
      <c r="CEN114" s="386"/>
      <c r="CEO114" s="386"/>
      <c r="CEP114" s="386"/>
      <c r="CEQ114" s="386"/>
      <c r="CER114" s="386"/>
      <c r="CES114" s="386"/>
      <c r="CET114" s="386"/>
      <c r="CEU114" s="386"/>
      <c r="CEV114" s="386"/>
      <c r="CEW114" s="386"/>
      <c r="CEX114" s="386"/>
      <c r="CEY114" s="386"/>
      <c r="CEZ114" s="386"/>
      <c r="CFA114" s="386"/>
      <c r="CFB114" s="386"/>
      <c r="CFC114" s="386"/>
      <c r="CFD114" s="386"/>
      <c r="CFE114" s="386"/>
      <c r="CFF114" s="386"/>
      <c r="CFG114" s="386"/>
      <c r="CFH114" s="386"/>
      <c r="CFI114" s="386"/>
      <c r="CFJ114" s="386"/>
      <c r="CFK114" s="386"/>
      <c r="CFL114" s="386"/>
      <c r="CFM114" s="386"/>
      <c r="CFN114" s="386"/>
      <c r="CFO114" s="386"/>
      <c r="CFP114" s="386"/>
      <c r="CFQ114" s="386"/>
      <c r="CFR114" s="386"/>
      <c r="CFS114" s="386"/>
      <c r="CFT114" s="386"/>
      <c r="CFU114" s="386"/>
      <c r="CFV114" s="386"/>
      <c r="CFW114" s="386"/>
      <c r="CFX114" s="386"/>
      <c r="CFY114" s="386"/>
      <c r="CFZ114" s="386"/>
      <c r="CGA114" s="386"/>
      <c r="CGB114" s="386"/>
      <c r="CGC114" s="386"/>
      <c r="CGD114" s="386"/>
      <c r="CGE114" s="386"/>
      <c r="CGF114" s="386"/>
      <c r="CGG114" s="386"/>
      <c r="CGH114" s="386"/>
      <c r="CGI114" s="386"/>
      <c r="CGJ114" s="386"/>
      <c r="CGK114" s="386"/>
      <c r="CGL114" s="386"/>
      <c r="CGM114" s="386"/>
      <c r="CGN114" s="386"/>
      <c r="CGO114" s="386"/>
      <c r="CGP114" s="386"/>
      <c r="CGQ114" s="386"/>
      <c r="CGR114" s="386"/>
      <c r="CGS114" s="386"/>
      <c r="CGT114" s="386"/>
      <c r="CGU114" s="386"/>
      <c r="CGV114" s="386"/>
      <c r="CGW114" s="386"/>
      <c r="CGX114" s="386"/>
      <c r="CGY114" s="386"/>
      <c r="CGZ114" s="386"/>
      <c r="CHA114" s="386"/>
      <c r="CHB114" s="386"/>
      <c r="CHC114" s="386"/>
      <c r="CHD114" s="386"/>
      <c r="CHE114" s="386"/>
      <c r="CHF114" s="386"/>
      <c r="CHG114" s="386"/>
      <c r="CHH114" s="386"/>
      <c r="CHI114" s="386"/>
      <c r="CHJ114" s="386"/>
      <c r="CHK114" s="386"/>
      <c r="CHL114" s="386"/>
      <c r="CHM114" s="386"/>
      <c r="CHN114" s="386"/>
      <c r="CHO114" s="386"/>
      <c r="CHP114" s="386"/>
      <c r="CHQ114" s="386"/>
      <c r="CHR114" s="386"/>
      <c r="CHS114" s="386"/>
      <c r="CHT114" s="386"/>
      <c r="CHU114" s="386"/>
      <c r="CHV114" s="386"/>
      <c r="CHW114" s="386"/>
      <c r="CHX114" s="386"/>
      <c r="CHY114" s="386"/>
      <c r="CHZ114" s="386"/>
      <c r="CIA114" s="386"/>
      <c r="CIB114" s="386"/>
      <c r="CIC114" s="386"/>
      <c r="CID114" s="386"/>
      <c r="CIE114" s="386"/>
      <c r="CIF114" s="386"/>
      <c r="CIG114" s="386"/>
      <c r="CIH114" s="386"/>
      <c r="CII114" s="386"/>
      <c r="CIJ114" s="386"/>
      <c r="CIK114" s="386"/>
      <c r="CIL114" s="386"/>
      <c r="CIM114" s="386"/>
      <c r="CIN114" s="386"/>
      <c r="CIO114" s="386"/>
      <c r="CIP114" s="386"/>
      <c r="CIQ114" s="386"/>
      <c r="CIR114" s="386"/>
      <c r="CIS114" s="386"/>
      <c r="CIT114" s="386"/>
      <c r="CIU114" s="386"/>
      <c r="CIV114" s="386"/>
      <c r="CIW114" s="386"/>
      <c r="CIX114" s="386"/>
      <c r="CIY114" s="386"/>
      <c r="CIZ114" s="386"/>
      <c r="CJA114" s="386"/>
      <c r="CJB114" s="386"/>
      <c r="CJC114" s="386"/>
      <c r="CJD114" s="386"/>
      <c r="CJE114" s="386"/>
      <c r="CJF114" s="386"/>
      <c r="CJG114" s="386"/>
      <c r="CJH114" s="386"/>
      <c r="CJI114" s="386"/>
      <c r="CJJ114" s="386"/>
      <c r="CJK114" s="386"/>
      <c r="CJL114" s="386"/>
      <c r="CJM114" s="386"/>
      <c r="CJN114" s="386"/>
      <c r="CJO114" s="386"/>
      <c r="CJP114" s="386"/>
      <c r="CJQ114" s="386"/>
      <c r="CJR114" s="386"/>
      <c r="CJS114" s="386"/>
      <c r="CJT114" s="386"/>
      <c r="CJU114" s="386"/>
      <c r="CJV114" s="386"/>
      <c r="CJW114" s="386"/>
      <c r="CJX114" s="386"/>
      <c r="CJY114" s="386"/>
      <c r="CJZ114" s="386"/>
      <c r="CKA114" s="386"/>
      <c r="CKB114" s="386"/>
      <c r="CKC114" s="386"/>
      <c r="CKD114" s="386"/>
      <c r="CKE114" s="386"/>
      <c r="CKF114" s="386"/>
      <c r="CKG114" s="386"/>
      <c r="CKH114" s="386"/>
      <c r="CKI114" s="386"/>
      <c r="CKJ114" s="386"/>
      <c r="CKK114" s="386"/>
      <c r="CKL114" s="386"/>
      <c r="CKM114" s="386"/>
      <c r="CKN114" s="386"/>
      <c r="CKO114" s="386"/>
      <c r="CKP114" s="386"/>
      <c r="CKQ114" s="386"/>
      <c r="CKR114" s="386"/>
      <c r="CKS114" s="386"/>
      <c r="CKT114" s="386"/>
      <c r="CKU114" s="386"/>
      <c r="CKV114" s="386"/>
      <c r="CKW114" s="386"/>
      <c r="CKX114" s="386"/>
      <c r="CKY114" s="386"/>
      <c r="CKZ114" s="386"/>
      <c r="CLA114" s="386"/>
      <c r="CLB114" s="386"/>
      <c r="CLC114" s="386"/>
      <c r="CLD114" s="386"/>
      <c r="CLE114" s="386"/>
      <c r="CLF114" s="386"/>
      <c r="CLG114" s="386"/>
      <c r="CLH114" s="386"/>
      <c r="CLI114" s="386"/>
      <c r="CLJ114" s="386"/>
      <c r="CLK114" s="386"/>
      <c r="CLL114" s="386"/>
      <c r="CLM114" s="386"/>
      <c r="CLN114" s="386"/>
      <c r="CLO114" s="386"/>
      <c r="CLP114" s="386"/>
      <c r="CLQ114" s="386"/>
      <c r="CLR114" s="386"/>
      <c r="CLS114" s="386"/>
      <c r="CLT114" s="386"/>
      <c r="CLU114" s="386"/>
      <c r="CLV114" s="386"/>
      <c r="CLW114" s="386"/>
      <c r="CLX114" s="386"/>
      <c r="CLY114" s="386"/>
      <c r="CLZ114" s="386"/>
      <c r="CMA114" s="386"/>
      <c r="CMB114" s="386"/>
      <c r="CMC114" s="386"/>
      <c r="CMD114" s="386"/>
      <c r="CME114" s="386"/>
      <c r="CMF114" s="386"/>
      <c r="CMG114" s="386"/>
      <c r="CMH114" s="386"/>
      <c r="CMI114" s="386"/>
      <c r="CMJ114" s="386"/>
      <c r="CMK114" s="386"/>
      <c r="CML114" s="386"/>
      <c r="CMM114" s="386"/>
      <c r="CMN114" s="386"/>
      <c r="CMO114" s="386"/>
      <c r="CMP114" s="386"/>
      <c r="CMQ114" s="386"/>
      <c r="CMR114" s="386"/>
      <c r="CMS114" s="386"/>
      <c r="CMT114" s="386"/>
      <c r="CMU114" s="386"/>
      <c r="CMV114" s="386"/>
      <c r="CMW114" s="386"/>
      <c r="CMX114" s="386"/>
      <c r="CMY114" s="386"/>
      <c r="CMZ114" s="386"/>
      <c r="CNA114" s="386"/>
      <c r="CNB114" s="386"/>
      <c r="CNC114" s="386"/>
      <c r="CND114" s="386"/>
      <c r="CNE114" s="386"/>
      <c r="CNF114" s="386"/>
      <c r="CNG114" s="386"/>
      <c r="CNH114" s="386"/>
      <c r="CNI114" s="386"/>
      <c r="CNJ114" s="386"/>
      <c r="CNK114" s="386"/>
      <c r="CNL114" s="386"/>
      <c r="CNM114" s="386"/>
      <c r="CNN114" s="386"/>
      <c r="CNO114" s="386"/>
      <c r="CNP114" s="386"/>
      <c r="CNQ114" s="386"/>
      <c r="CNR114" s="386"/>
      <c r="CNS114" s="386"/>
      <c r="CNT114" s="386"/>
      <c r="CNU114" s="386"/>
      <c r="CNV114" s="386"/>
      <c r="CNW114" s="386"/>
      <c r="CNX114" s="386"/>
      <c r="CNY114" s="386"/>
      <c r="CNZ114" s="386"/>
      <c r="COA114" s="386"/>
      <c r="COB114" s="386"/>
      <c r="COC114" s="386"/>
      <c r="COD114" s="386"/>
      <c r="COE114" s="386"/>
      <c r="COF114" s="386"/>
      <c r="COG114" s="386"/>
      <c r="COH114" s="386"/>
      <c r="COI114" s="386"/>
      <c r="COJ114" s="386"/>
      <c r="COK114" s="386"/>
      <c r="COL114" s="386"/>
      <c r="COM114" s="386"/>
      <c r="CON114" s="386"/>
      <c r="COO114" s="386"/>
      <c r="COP114" s="386"/>
      <c r="COQ114" s="386"/>
      <c r="COR114" s="386"/>
      <c r="COS114" s="386"/>
      <c r="COT114" s="386"/>
      <c r="COU114" s="386"/>
      <c r="COV114" s="386"/>
      <c r="COW114" s="386"/>
      <c r="COX114" s="386"/>
      <c r="COY114" s="386"/>
      <c r="COZ114" s="386"/>
      <c r="CPA114" s="386"/>
      <c r="CPB114" s="386"/>
      <c r="CPC114" s="386"/>
      <c r="CPD114" s="386"/>
      <c r="CPE114" s="386"/>
      <c r="CPF114" s="386"/>
      <c r="CPG114" s="386"/>
      <c r="CPH114" s="386"/>
      <c r="CPI114" s="386"/>
      <c r="CPJ114" s="386"/>
      <c r="CPK114" s="386"/>
      <c r="CPL114" s="386"/>
      <c r="CPM114" s="386"/>
      <c r="CPN114" s="386"/>
      <c r="CPO114" s="386"/>
      <c r="CPP114" s="386"/>
      <c r="CPQ114" s="386"/>
      <c r="CPR114" s="386"/>
      <c r="CPS114" s="386"/>
      <c r="CPT114" s="386"/>
      <c r="CPU114" s="386"/>
      <c r="CPV114" s="386"/>
      <c r="CPW114" s="386"/>
      <c r="CPX114" s="386"/>
      <c r="CPY114" s="386"/>
      <c r="CPZ114" s="386"/>
      <c r="CQA114" s="386"/>
      <c r="CQB114" s="386"/>
      <c r="CQC114" s="386"/>
      <c r="CQD114" s="386"/>
      <c r="CQE114" s="386"/>
      <c r="CQF114" s="386"/>
      <c r="CQG114" s="386"/>
      <c r="CQH114" s="386"/>
      <c r="CQI114" s="386"/>
      <c r="CQJ114" s="386"/>
      <c r="CQK114" s="386"/>
      <c r="CQL114" s="386"/>
      <c r="CQM114" s="386"/>
      <c r="CQN114" s="386"/>
      <c r="CQO114" s="386"/>
      <c r="CQP114" s="386"/>
      <c r="CQQ114" s="386"/>
      <c r="CQR114" s="386"/>
      <c r="CQS114" s="386"/>
      <c r="CQT114" s="386"/>
      <c r="CQU114" s="386"/>
      <c r="CQV114" s="386"/>
      <c r="CQW114" s="386"/>
      <c r="CQX114" s="386"/>
      <c r="CQY114" s="386"/>
      <c r="CQZ114" s="386"/>
      <c r="CRA114" s="386"/>
      <c r="CRB114" s="386"/>
      <c r="CRC114" s="386"/>
      <c r="CRD114" s="386"/>
      <c r="CRE114" s="386"/>
      <c r="CRF114" s="386"/>
      <c r="CRG114" s="386"/>
      <c r="CRH114" s="386"/>
      <c r="CRI114" s="386"/>
      <c r="CRJ114" s="386"/>
      <c r="CRK114" s="386"/>
      <c r="CRL114" s="386"/>
      <c r="CRM114" s="386"/>
      <c r="CRN114" s="386"/>
      <c r="CRO114" s="386"/>
      <c r="CRP114" s="386"/>
      <c r="CRQ114" s="386"/>
      <c r="CRR114" s="386"/>
      <c r="CRS114" s="386"/>
      <c r="CRT114" s="386"/>
      <c r="CRU114" s="386"/>
      <c r="CRV114" s="386"/>
      <c r="CRW114" s="386"/>
      <c r="CRX114" s="386"/>
      <c r="CRY114" s="386"/>
      <c r="CRZ114" s="386"/>
      <c r="CSA114" s="386"/>
      <c r="CSB114" s="386"/>
      <c r="CSC114" s="386"/>
      <c r="CSD114" s="386"/>
      <c r="CSE114" s="386"/>
      <c r="CSF114" s="386"/>
      <c r="CSG114" s="386"/>
      <c r="CSH114" s="386"/>
      <c r="CSI114" s="386"/>
      <c r="CSJ114" s="386"/>
      <c r="CSK114" s="386"/>
      <c r="CSL114" s="386"/>
      <c r="CSM114" s="386"/>
      <c r="CSN114" s="386"/>
      <c r="CSO114" s="386"/>
      <c r="CSP114" s="386"/>
      <c r="CSQ114" s="386"/>
      <c r="CSR114" s="386"/>
      <c r="CSS114" s="386"/>
      <c r="CST114" s="386"/>
      <c r="CSU114" s="386"/>
      <c r="CSV114" s="386"/>
      <c r="CSW114" s="386"/>
      <c r="CSX114" s="386"/>
      <c r="CSY114" s="386"/>
      <c r="CSZ114" s="386"/>
      <c r="CTA114" s="386"/>
      <c r="CTB114" s="386"/>
      <c r="CTC114" s="386"/>
      <c r="CTD114" s="386"/>
      <c r="CTE114" s="386"/>
      <c r="CTF114" s="386"/>
      <c r="CTG114" s="386"/>
      <c r="CTH114" s="386"/>
      <c r="CTI114" s="386"/>
      <c r="CTJ114" s="386"/>
      <c r="CTK114" s="386"/>
      <c r="CTL114" s="386"/>
      <c r="CTM114" s="386"/>
      <c r="CTN114" s="386"/>
      <c r="CTO114" s="386"/>
      <c r="CTP114" s="386"/>
      <c r="CTQ114" s="386"/>
      <c r="CTR114" s="386"/>
      <c r="CTS114" s="386"/>
      <c r="CTT114" s="386"/>
      <c r="CTU114" s="386"/>
      <c r="CTV114" s="386"/>
      <c r="CTW114" s="386"/>
      <c r="CTX114" s="386"/>
      <c r="CTY114" s="386"/>
      <c r="CTZ114" s="386"/>
      <c r="CUA114" s="386"/>
      <c r="CUB114" s="386"/>
      <c r="CUC114" s="386"/>
      <c r="CUD114" s="386"/>
      <c r="CUE114" s="386"/>
      <c r="CUF114" s="386"/>
      <c r="CUG114" s="386"/>
      <c r="CUH114" s="386"/>
      <c r="CUI114" s="386"/>
      <c r="CUJ114" s="386"/>
      <c r="CUK114" s="386"/>
      <c r="CUL114" s="386"/>
      <c r="CUM114" s="386"/>
      <c r="CUN114" s="386"/>
      <c r="CUO114" s="386"/>
      <c r="CUP114" s="386"/>
      <c r="CUQ114" s="386"/>
      <c r="CUR114" s="386"/>
      <c r="CUS114" s="386"/>
      <c r="CUT114" s="386"/>
      <c r="CUU114" s="386"/>
      <c r="CUV114" s="386"/>
      <c r="CUW114" s="386"/>
      <c r="CUX114" s="386"/>
      <c r="CUY114" s="386"/>
      <c r="CUZ114" s="386"/>
      <c r="CVA114" s="386"/>
      <c r="CVB114" s="386"/>
      <c r="CVC114" s="386"/>
      <c r="CVD114" s="386"/>
      <c r="CVE114" s="386"/>
      <c r="CVF114" s="386"/>
      <c r="CVG114" s="386"/>
      <c r="CVH114" s="386"/>
      <c r="CVI114" s="386"/>
      <c r="CVJ114" s="386"/>
      <c r="CVK114" s="386"/>
      <c r="CVL114" s="386"/>
      <c r="CVM114" s="386"/>
      <c r="CVN114" s="386"/>
      <c r="CVO114" s="386"/>
      <c r="CVP114" s="386"/>
      <c r="CVQ114" s="386"/>
      <c r="CVR114" s="386"/>
      <c r="CVS114" s="386"/>
      <c r="CVT114" s="386"/>
      <c r="CVU114" s="386"/>
      <c r="CVV114" s="386"/>
      <c r="CVW114" s="386"/>
      <c r="CVX114" s="386"/>
      <c r="CVY114" s="386"/>
      <c r="CVZ114" s="386"/>
      <c r="CWA114" s="386"/>
      <c r="CWB114" s="386"/>
      <c r="CWC114" s="386"/>
      <c r="CWD114" s="386"/>
      <c r="CWE114" s="386"/>
      <c r="CWF114" s="386"/>
      <c r="CWG114" s="386"/>
      <c r="CWH114" s="386"/>
      <c r="CWI114" s="386"/>
      <c r="CWJ114" s="386"/>
      <c r="CWK114" s="386"/>
      <c r="CWL114" s="386"/>
      <c r="CWM114" s="386"/>
      <c r="CWN114" s="386"/>
      <c r="CWO114" s="386"/>
      <c r="CWP114" s="386"/>
      <c r="CWQ114" s="386"/>
      <c r="CWR114" s="386"/>
      <c r="CWS114" s="386"/>
      <c r="CWT114" s="386"/>
      <c r="CWU114" s="386"/>
      <c r="CWV114" s="386"/>
      <c r="CWW114" s="386"/>
      <c r="CWX114" s="386"/>
      <c r="CWY114" s="386"/>
      <c r="CWZ114" s="386"/>
      <c r="CXA114" s="386"/>
      <c r="CXB114" s="386"/>
      <c r="CXC114" s="386"/>
      <c r="CXD114" s="386"/>
      <c r="CXE114" s="386"/>
      <c r="CXF114" s="386"/>
      <c r="CXG114" s="386"/>
      <c r="CXH114" s="386"/>
      <c r="CXI114" s="386"/>
      <c r="CXJ114" s="386"/>
      <c r="CXK114" s="386"/>
      <c r="CXL114" s="386"/>
      <c r="CXM114" s="386"/>
      <c r="CXN114" s="386"/>
      <c r="CXO114" s="386"/>
      <c r="CXP114" s="386"/>
      <c r="CXQ114" s="386"/>
      <c r="CXR114" s="386"/>
      <c r="CXS114" s="386"/>
      <c r="CXT114" s="386"/>
      <c r="CXU114" s="386"/>
      <c r="CXV114" s="386"/>
      <c r="CXW114" s="386"/>
      <c r="CXX114" s="386"/>
      <c r="CXY114" s="386"/>
      <c r="CXZ114" s="386"/>
      <c r="CYA114" s="386"/>
      <c r="CYB114" s="386"/>
      <c r="CYC114" s="386"/>
      <c r="CYD114" s="386"/>
      <c r="CYE114" s="386"/>
      <c r="CYF114" s="386"/>
      <c r="CYG114" s="386"/>
      <c r="CYH114" s="386"/>
      <c r="CYI114" s="386"/>
      <c r="CYJ114" s="386"/>
      <c r="CYK114" s="386"/>
      <c r="CYL114" s="386"/>
      <c r="CYM114" s="386"/>
      <c r="CYN114" s="386"/>
      <c r="CYO114" s="386"/>
      <c r="CYP114" s="386"/>
      <c r="CYQ114" s="386"/>
      <c r="CYR114" s="386"/>
      <c r="CYS114" s="386"/>
      <c r="CYT114" s="386"/>
      <c r="CYU114" s="386"/>
      <c r="CYV114" s="386"/>
      <c r="CYW114" s="386"/>
      <c r="CYX114" s="386"/>
      <c r="CYY114" s="386"/>
      <c r="CYZ114" s="386"/>
      <c r="CZA114" s="386"/>
      <c r="CZB114" s="386"/>
      <c r="CZC114" s="386"/>
      <c r="CZD114" s="386"/>
      <c r="CZE114" s="386"/>
      <c r="CZF114" s="386"/>
      <c r="CZG114" s="386"/>
      <c r="CZH114" s="386"/>
      <c r="CZI114" s="386"/>
      <c r="CZJ114" s="386"/>
      <c r="CZK114" s="386"/>
      <c r="CZL114" s="386"/>
      <c r="CZM114" s="386"/>
      <c r="CZN114" s="386"/>
      <c r="CZO114" s="386"/>
      <c r="CZP114" s="386"/>
      <c r="CZQ114" s="386"/>
      <c r="CZR114" s="386"/>
      <c r="CZS114" s="386"/>
      <c r="CZT114" s="386"/>
      <c r="CZU114" s="386"/>
      <c r="CZV114" s="386"/>
      <c r="CZW114" s="386"/>
      <c r="CZX114" s="386"/>
      <c r="CZY114" s="386"/>
      <c r="CZZ114" s="386"/>
      <c r="DAA114" s="386"/>
      <c r="DAB114" s="386"/>
      <c r="DAC114" s="386"/>
      <c r="DAD114" s="386"/>
      <c r="DAE114" s="386"/>
      <c r="DAF114" s="386"/>
      <c r="DAG114" s="386"/>
      <c r="DAH114" s="386"/>
      <c r="DAI114" s="386"/>
      <c r="DAJ114" s="386"/>
      <c r="DAK114" s="386"/>
      <c r="DAL114" s="386"/>
      <c r="DAM114" s="386"/>
      <c r="DAN114" s="386"/>
      <c r="DAO114" s="386"/>
      <c r="DAP114" s="386"/>
      <c r="DAQ114" s="386"/>
      <c r="DAR114" s="386"/>
      <c r="DAS114" s="386"/>
      <c r="DAT114" s="386"/>
      <c r="DAU114" s="386"/>
      <c r="DAV114" s="386"/>
      <c r="DAW114" s="386"/>
      <c r="DAX114" s="386"/>
      <c r="DAY114" s="386"/>
      <c r="DAZ114" s="386"/>
      <c r="DBA114" s="386"/>
      <c r="DBB114" s="386"/>
      <c r="DBC114" s="386"/>
      <c r="DBD114" s="386"/>
      <c r="DBE114" s="386"/>
      <c r="DBF114" s="386"/>
      <c r="DBG114" s="386"/>
      <c r="DBH114" s="386"/>
      <c r="DBI114" s="386"/>
      <c r="DBJ114" s="386"/>
      <c r="DBK114" s="386"/>
      <c r="DBL114" s="386"/>
      <c r="DBM114" s="386"/>
      <c r="DBN114" s="386"/>
      <c r="DBO114" s="386"/>
      <c r="DBP114" s="386"/>
      <c r="DBQ114" s="386"/>
      <c r="DBR114" s="386"/>
      <c r="DBS114" s="386"/>
      <c r="DBT114" s="386"/>
      <c r="DBU114" s="386"/>
      <c r="DBV114" s="386"/>
      <c r="DBW114" s="386"/>
      <c r="DBX114" s="386"/>
      <c r="DBY114" s="386"/>
      <c r="DBZ114" s="386"/>
      <c r="DCA114" s="386"/>
      <c r="DCB114" s="386"/>
      <c r="DCC114" s="386"/>
      <c r="DCD114" s="386"/>
      <c r="DCE114" s="386"/>
      <c r="DCF114" s="386"/>
      <c r="DCG114" s="386"/>
      <c r="DCH114" s="386"/>
      <c r="DCI114" s="386"/>
      <c r="DCJ114" s="386"/>
      <c r="DCK114" s="386"/>
      <c r="DCL114" s="386"/>
      <c r="DCM114" s="386"/>
      <c r="DCN114" s="386"/>
      <c r="DCO114" s="386"/>
      <c r="DCP114" s="386"/>
      <c r="DCQ114" s="386"/>
      <c r="DCR114" s="386"/>
      <c r="DCS114" s="386"/>
      <c r="DCT114" s="386"/>
      <c r="DCU114" s="386"/>
      <c r="DCV114" s="386"/>
      <c r="DCW114" s="386"/>
      <c r="DCX114" s="386"/>
      <c r="DCY114" s="386"/>
      <c r="DCZ114" s="386"/>
      <c r="DDA114" s="386"/>
      <c r="DDB114" s="386"/>
      <c r="DDC114" s="386"/>
      <c r="DDD114" s="386"/>
      <c r="DDE114" s="386"/>
      <c r="DDF114" s="386"/>
      <c r="DDG114" s="386"/>
      <c r="DDH114" s="386"/>
      <c r="DDI114" s="386"/>
      <c r="DDJ114" s="386"/>
      <c r="DDK114" s="386"/>
      <c r="DDL114" s="386"/>
      <c r="DDM114" s="386"/>
      <c r="DDN114" s="386"/>
      <c r="DDO114" s="386"/>
      <c r="DDP114" s="386"/>
      <c r="DDQ114" s="386"/>
      <c r="DDR114" s="386"/>
      <c r="DDS114" s="386"/>
      <c r="DDT114" s="386"/>
      <c r="DDU114" s="386"/>
      <c r="DDV114" s="386"/>
      <c r="DDW114" s="386"/>
      <c r="DDX114" s="386"/>
      <c r="DDY114" s="386"/>
      <c r="DDZ114" s="386"/>
      <c r="DEA114" s="386"/>
      <c r="DEB114" s="386"/>
      <c r="DEC114" s="386"/>
      <c r="DED114" s="386"/>
      <c r="DEE114" s="386"/>
      <c r="DEF114" s="386"/>
      <c r="DEG114" s="386"/>
      <c r="DEH114" s="386"/>
      <c r="DEI114" s="386"/>
      <c r="DEJ114" s="386"/>
      <c r="DEK114" s="386"/>
      <c r="DEL114" s="386"/>
      <c r="DEM114" s="386"/>
      <c r="DEN114" s="386"/>
      <c r="DEO114" s="386"/>
      <c r="DEP114" s="386"/>
      <c r="DEQ114" s="386"/>
      <c r="DER114" s="386"/>
      <c r="DES114" s="386"/>
      <c r="DET114" s="386"/>
      <c r="DEU114" s="386"/>
      <c r="DEV114" s="386"/>
      <c r="DEW114" s="386"/>
      <c r="DEX114" s="386"/>
      <c r="DEY114" s="386"/>
      <c r="DEZ114" s="386"/>
      <c r="DFA114" s="386"/>
      <c r="DFB114" s="386"/>
      <c r="DFC114" s="386"/>
      <c r="DFD114" s="386"/>
      <c r="DFE114" s="386"/>
      <c r="DFF114" s="386"/>
      <c r="DFG114" s="386"/>
      <c r="DFH114" s="386"/>
      <c r="DFI114" s="386"/>
      <c r="DFJ114" s="386"/>
      <c r="DFK114" s="386"/>
      <c r="DFL114" s="386"/>
      <c r="DFM114" s="386"/>
      <c r="DFN114" s="386"/>
      <c r="DFO114" s="386"/>
      <c r="DFP114" s="386"/>
      <c r="DFQ114" s="386"/>
      <c r="DFR114" s="386"/>
      <c r="DFS114" s="386"/>
      <c r="DFT114" s="386"/>
      <c r="DFU114" s="386"/>
      <c r="DFV114" s="386"/>
      <c r="DFW114" s="386"/>
      <c r="DFX114" s="386"/>
      <c r="DFY114" s="386"/>
      <c r="DFZ114" s="386"/>
      <c r="DGA114" s="386"/>
      <c r="DGB114" s="386"/>
      <c r="DGC114" s="386"/>
      <c r="DGD114" s="386"/>
      <c r="DGE114" s="386"/>
      <c r="DGF114" s="386"/>
      <c r="DGG114" s="386"/>
      <c r="DGH114" s="386"/>
      <c r="DGI114" s="386"/>
      <c r="DGJ114" s="386"/>
      <c r="DGK114" s="386"/>
      <c r="DGL114" s="386"/>
      <c r="DGM114" s="386"/>
      <c r="DGN114" s="386"/>
      <c r="DGO114" s="386"/>
      <c r="DGP114" s="386"/>
      <c r="DGQ114" s="386"/>
      <c r="DGR114" s="386"/>
      <c r="DGS114" s="386"/>
      <c r="DGT114" s="386"/>
      <c r="DGU114" s="386"/>
      <c r="DGV114" s="386"/>
      <c r="DGW114" s="386"/>
      <c r="DGX114" s="386"/>
      <c r="DGY114" s="386"/>
      <c r="DGZ114" s="386"/>
      <c r="DHA114" s="386"/>
      <c r="DHB114" s="386"/>
      <c r="DHC114" s="386"/>
      <c r="DHD114" s="386"/>
      <c r="DHE114" s="386"/>
      <c r="DHF114" s="386"/>
      <c r="DHG114" s="386"/>
      <c r="DHH114" s="386"/>
      <c r="DHI114" s="386"/>
      <c r="DHJ114" s="386"/>
      <c r="DHK114" s="386"/>
      <c r="DHL114" s="386"/>
      <c r="DHM114" s="386"/>
      <c r="DHN114" s="386"/>
      <c r="DHO114" s="386"/>
      <c r="DHP114" s="386"/>
      <c r="DHQ114" s="386"/>
      <c r="DHR114" s="386"/>
      <c r="DHS114" s="386"/>
      <c r="DHT114" s="386"/>
      <c r="DHU114" s="386"/>
      <c r="DHV114" s="386"/>
      <c r="DHW114" s="386"/>
      <c r="DHX114" s="386"/>
      <c r="DHY114" s="386"/>
      <c r="DHZ114" s="386"/>
      <c r="DIA114" s="386"/>
      <c r="DIB114" s="386"/>
      <c r="DIC114" s="386"/>
      <c r="DID114" s="386"/>
      <c r="DIE114" s="386"/>
      <c r="DIF114" s="386"/>
      <c r="DIG114" s="386"/>
      <c r="DIH114" s="386"/>
      <c r="DII114" s="386"/>
      <c r="DIJ114" s="386"/>
      <c r="DIK114" s="386"/>
      <c r="DIL114" s="386"/>
      <c r="DIM114" s="386"/>
      <c r="DIN114" s="386"/>
      <c r="DIO114" s="386"/>
      <c r="DIP114" s="386"/>
      <c r="DIQ114" s="386"/>
      <c r="DIR114" s="386"/>
      <c r="DIS114" s="386"/>
      <c r="DIT114" s="386"/>
      <c r="DIU114" s="386"/>
      <c r="DIV114" s="386"/>
      <c r="DIW114" s="386"/>
      <c r="DIX114" s="386"/>
      <c r="DIY114" s="386"/>
      <c r="DIZ114" s="386"/>
      <c r="DJA114" s="386"/>
      <c r="DJB114" s="386"/>
      <c r="DJC114" s="386"/>
      <c r="DJD114" s="386"/>
      <c r="DJE114" s="386"/>
      <c r="DJF114" s="386"/>
      <c r="DJG114" s="386"/>
      <c r="DJH114" s="386"/>
      <c r="DJI114" s="386"/>
      <c r="DJJ114" s="386"/>
      <c r="DJK114" s="386"/>
      <c r="DJL114" s="386"/>
      <c r="DJM114" s="386"/>
      <c r="DJN114" s="386"/>
      <c r="DJO114" s="386"/>
      <c r="DJP114" s="386"/>
      <c r="DJQ114" s="386"/>
      <c r="DJR114" s="386"/>
      <c r="DJS114" s="386"/>
      <c r="DJT114" s="386"/>
      <c r="DJU114" s="386"/>
      <c r="DJV114" s="386"/>
      <c r="DJW114" s="386"/>
      <c r="DJX114" s="386"/>
      <c r="DJY114" s="386"/>
      <c r="DJZ114" s="386"/>
      <c r="DKA114" s="386"/>
      <c r="DKB114" s="386"/>
      <c r="DKC114" s="386"/>
      <c r="DKD114" s="386"/>
      <c r="DKE114" s="386"/>
      <c r="DKF114" s="386"/>
      <c r="DKG114" s="386"/>
      <c r="DKH114" s="386"/>
      <c r="DKI114" s="386"/>
      <c r="DKJ114" s="386"/>
      <c r="DKK114" s="386"/>
      <c r="DKL114" s="386"/>
      <c r="DKM114" s="386"/>
      <c r="DKN114" s="386"/>
      <c r="DKO114" s="386"/>
      <c r="DKP114" s="386"/>
      <c r="DKQ114" s="386"/>
      <c r="DKR114" s="386"/>
      <c r="DKS114" s="386"/>
      <c r="DKT114" s="386"/>
      <c r="DKU114" s="386"/>
      <c r="DKV114" s="386"/>
      <c r="DKW114" s="386"/>
      <c r="DKX114" s="386"/>
      <c r="DKY114" s="386"/>
      <c r="DKZ114" s="386"/>
      <c r="DLA114" s="386"/>
      <c r="DLB114" s="386"/>
      <c r="DLC114" s="386"/>
      <c r="DLD114" s="386"/>
      <c r="DLE114" s="386"/>
      <c r="DLF114" s="386"/>
      <c r="DLG114" s="386"/>
      <c r="DLH114" s="386"/>
      <c r="DLI114" s="386"/>
      <c r="DLJ114" s="386"/>
      <c r="DLK114" s="386"/>
      <c r="DLL114" s="386"/>
      <c r="DLM114" s="386"/>
      <c r="DLN114" s="386"/>
      <c r="DLO114" s="386"/>
      <c r="DLP114" s="386"/>
      <c r="DLQ114" s="386"/>
      <c r="DLR114" s="386"/>
      <c r="DLS114" s="386"/>
      <c r="DLT114" s="386"/>
      <c r="DLU114" s="386"/>
      <c r="DLV114" s="386"/>
      <c r="DLW114" s="386"/>
      <c r="DLX114" s="386"/>
      <c r="DLY114" s="386"/>
      <c r="DLZ114" s="386"/>
      <c r="DMA114" s="386"/>
      <c r="DMB114" s="386"/>
      <c r="DMC114" s="386"/>
      <c r="DMD114" s="386"/>
      <c r="DME114" s="386"/>
      <c r="DMF114" s="386"/>
      <c r="DMG114" s="386"/>
      <c r="DMH114" s="386"/>
      <c r="DMI114" s="386"/>
      <c r="DMJ114" s="386"/>
      <c r="DMK114" s="386"/>
      <c r="DML114" s="386"/>
      <c r="DMM114" s="386"/>
      <c r="DMN114" s="386"/>
      <c r="DMO114" s="386"/>
      <c r="DMP114" s="386"/>
      <c r="DMQ114" s="386"/>
      <c r="DMR114" s="386"/>
      <c r="DMS114" s="386"/>
      <c r="DMT114" s="386"/>
      <c r="DMU114" s="386"/>
      <c r="DMV114" s="386"/>
      <c r="DMW114" s="386"/>
      <c r="DMX114" s="386"/>
      <c r="DMY114" s="386"/>
      <c r="DMZ114" s="386"/>
      <c r="DNA114" s="386"/>
      <c r="DNB114" s="386"/>
      <c r="DNC114" s="386"/>
      <c r="DND114" s="386"/>
      <c r="DNE114" s="386"/>
      <c r="DNF114" s="386"/>
      <c r="DNG114" s="386"/>
      <c r="DNH114" s="386"/>
      <c r="DNI114" s="386"/>
      <c r="DNJ114" s="386"/>
      <c r="DNK114" s="386"/>
      <c r="DNL114" s="386"/>
      <c r="DNM114" s="386"/>
      <c r="DNN114" s="386"/>
      <c r="DNO114" s="386"/>
      <c r="DNP114" s="386"/>
      <c r="DNQ114" s="386"/>
      <c r="DNR114" s="386"/>
      <c r="DNS114" s="386"/>
      <c r="DNT114" s="386"/>
      <c r="DNU114" s="386"/>
      <c r="DNV114" s="386"/>
      <c r="DNW114" s="386"/>
      <c r="DNX114" s="386"/>
      <c r="DNY114" s="386"/>
      <c r="DNZ114" s="386"/>
      <c r="DOA114" s="386"/>
      <c r="DOB114" s="386"/>
      <c r="DOC114" s="386"/>
      <c r="DOD114" s="386"/>
      <c r="DOE114" s="386"/>
      <c r="DOF114" s="386"/>
      <c r="DOG114" s="386"/>
      <c r="DOH114" s="386"/>
      <c r="DOI114" s="386"/>
      <c r="DOJ114" s="386"/>
      <c r="DOK114" s="386"/>
      <c r="DOL114" s="386"/>
      <c r="DOM114" s="386"/>
      <c r="DON114" s="386"/>
      <c r="DOO114" s="386"/>
      <c r="DOP114" s="386"/>
      <c r="DOQ114" s="386"/>
      <c r="DOR114" s="386"/>
      <c r="DOS114" s="386"/>
      <c r="DOT114" s="386"/>
      <c r="DOU114" s="386"/>
      <c r="DOV114" s="386"/>
      <c r="DOW114" s="386"/>
      <c r="DOX114" s="386"/>
      <c r="DOY114" s="386"/>
      <c r="DOZ114" s="386"/>
      <c r="DPA114" s="386"/>
      <c r="DPB114" s="386"/>
      <c r="DPC114" s="386"/>
      <c r="DPD114" s="386"/>
      <c r="DPE114" s="386"/>
      <c r="DPF114" s="386"/>
      <c r="DPG114" s="386"/>
      <c r="DPH114" s="386"/>
      <c r="DPI114" s="386"/>
      <c r="DPJ114" s="386"/>
      <c r="DPK114" s="386"/>
      <c r="DPL114" s="386"/>
      <c r="DPM114" s="386"/>
      <c r="DPN114" s="386"/>
      <c r="DPO114" s="386"/>
      <c r="DPP114" s="386"/>
      <c r="DPQ114" s="386"/>
      <c r="DPR114" s="386"/>
      <c r="DPS114" s="386"/>
      <c r="DPT114" s="386"/>
      <c r="DPU114" s="386"/>
      <c r="DPV114" s="386"/>
      <c r="DPW114" s="386"/>
      <c r="DPX114" s="386"/>
      <c r="DPY114" s="386"/>
      <c r="DPZ114" s="386"/>
      <c r="DQA114" s="386"/>
      <c r="DQB114" s="386"/>
      <c r="DQC114" s="386"/>
      <c r="DQD114" s="386"/>
      <c r="DQE114" s="386"/>
      <c r="DQF114" s="386"/>
      <c r="DQG114" s="386"/>
      <c r="DQH114" s="386"/>
      <c r="DQI114" s="386"/>
      <c r="DQJ114" s="386"/>
      <c r="DQK114" s="386"/>
      <c r="DQL114" s="386"/>
      <c r="DQM114" s="386"/>
      <c r="DQN114" s="386"/>
      <c r="DQO114" s="386"/>
      <c r="DQP114" s="386"/>
      <c r="DQQ114" s="386"/>
      <c r="DQR114" s="386"/>
      <c r="DQS114" s="386"/>
      <c r="DQT114" s="386"/>
      <c r="DQU114" s="386"/>
      <c r="DQV114" s="386"/>
      <c r="DQW114" s="386"/>
      <c r="DQX114" s="386"/>
      <c r="DQY114" s="386"/>
      <c r="DQZ114" s="386"/>
      <c r="DRA114" s="386"/>
      <c r="DRB114" s="386"/>
      <c r="DRC114" s="386"/>
      <c r="DRD114" s="386"/>
      <c r="DRE114" s="386"/>
      <c r="DRF114" s="386"/>
      <c r="DRG114" s="386"/>
      <c r="DRH114" s="386"/>
      <c r="DRI114" s="386"/>
      <c r="DRJ114" s="386"/>
      <c r="DRK114" s="386"/>
      <c r="DRL114" s="386"/>
      <c r="DRM114" s="386"/>
    </row>
    <row r="115" spans="1:3185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  <c r="M115" s="408"/>
    </row>
    <row r="116" spans="1:3185" s="386" customFormat="1" ht="44.15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7"/>
      <c r="K116" s="411"/>
      <c r="L116" s="350"/>
      <c r="M116" s="408"/>
      <c r="N116" s="406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  <c r="BT116" s="383"/>
      <c r="BU116" s="383"/>
      <c r="BV116" s="383"/>
      <c r="BW116" s="383"/>
      <c r="BX116" s="383"/>
      <c r="BY116" s="383"/>
      <c r="BZ116" s="383"/>
      <c r="CA116" s="383"/>
      <c r="CB116" s="383"/>
      <c r="CC116" s="383"/>
      <c r="CD116" s="383"/>
      <c r="CE116" s="383"/>
      <c r="CF116" s="383"/>
      <c r="CG116" s="383"/>
      <c r="CH116" s="383"/>
      <c r="CI116" s="383"/>
      <c r="CJ116" s="383"/>
      <c r="CK116" s="383"/>
      <c r="CL116" s="383"/>
      <c r="CM116" s="383"/>
      <c r="CN116" s="383"/>
      <c r="CO116" s="383"/>
      <c r="CP116" s="383"/>
      <c r="CQ116" s="383"/>
      <c r="CR116" s="383"/>
      <c r="CS116" s="383"/>
      <c r="CT116" s="383"/>
      <c r="CU116" s="383"/>
      <c r="CV116" s="383"/>
      <c r="CW116" s="383"/>
      <c r="CX116" s="383"/>
      <c r="CY116" s="383"/>
      <c r="CZ116" s="383"/>
      <c r="DA116" s="383"/>
      <c r="DB116" s="383"/>
      <c r="DC116" s="383"/>
      <c r="DD116" s="383"/>
      <c r="DE116" s="383"/>
      <c r="DF116" s="383"/>
      <c r="DG116" s="383"/>
      <c r="DH116" s="383"/>
      <c r="DI116" s="383"/>
      <c r="DJ116" s="383"/>
      <c r="DK116" s="383"/>
      <c r="DL116" s="383"/>
      <c r="DM116" s="383"/>
      <c r="DN116" s="383"/>
      <c r="DO116" s="383"/>
      <c r="DP116" s="383"/>
      <c r="DQ116" s="383"/>
      <c r="DR116" s="383"/>
      <c r="DS116" s="383"/>
      <c r="DT116" s="383"/>
      <c r="DU116" s="383"/>
      <c r="DV116" s="383"/>
      <c r="DW116" s="383"/>
      <c r="DX116" s="383"/>
      <c r="DY116" s="383"/>
      <c r="DZ116" s="383"/>
      <c r="EA116" s="383"/>
      <c r="EB116" s="383"/>
      <c r="EC116" s="383"/>
      <c r="ED116" s="383"/>
      <c r="EE116" s="383"/>
      <c r="EF116" s="383"/>
      <c r="EG116" s="383"/>
      <c r="EH116" s="383"/>
      <c r="EI116" s="383"/>
      <c r="EJ116" s="383"/>
      <c r="EK116" s="383"/>
      <c r="EL116" s="383"/>
      <c r="EM116" s="383"/>
      <c r="EN116" s="383"/>
      <c r="EO116" s="383"/>
      <c r="EP116" s="383"/>
      <c r="EQ116" s="383"/>
      <c r="ER116" s="383"/>
      <c r="ES116" s="383"/>
      <c r="ET116" s="383"/>
      <c r="EU116" s="383"/>
      <c r="EV116" s="383"/>
      <c r="EW116" s="383"/>
      <c r="EX116" s="383"/>
      <c r="EY116" s="383"/>
      <c r="EZ116" s="383"/>
      <c r="FA116" s="383"/>
      <c r="FB116" s="383"/>
      <c r="FC116" s="383"/>
      <c r="FD116" s="383"/>
      <c r="FE116" s="383"/>
      <c r="FF116" s="383"/>
      <c r="FG116" s="383"/>
      <c r="FH116" s="383"/>
      <c r="FI116" s="383"/>
      <c r="FJ116" s="383"/>
      <c r="FK116" s="383"/>
      <c r="FL116" s="383"/>
      <c r="FM116" s="383"/>
      <c r="FN116" s="383"/>
      <c r="FO116" s="383"/>
      <c r="FP116" s="383"/>
      <c r="FQ116" s="383"/>
      <c r="FR116" s="383"/>
      <c r="FS116" s="383"/>
      <c r="FT116" s="383"/>
      <c r="FU116" s="383"/>
      <c r="FV116" s="383"/>
      <c r="FW116" s="383"/>
      <c r="FX116" s="383"/>
      <c r="FY116" s="383"/>
      <c r="FZ116" s="383"/>
      <c r="GA116" s="383"/>
      <c r="GB116" s="383"/>
      <c r="GC116" s="383"/>
      <c r="GD116" s="383"/>
      <c r="GE116" s="383"/>
      <c r="GF116" s="383"/>
      <c r="GG116" s="383"/>
      <c r="GH116" s="383"/>
      <c r="GI116" s="383"/>
      <c r="GJ116" s="383"/>
      <c r="GK116" s="383"/>
      <c r="GL116" s="383"/>
      <c r="GM116" s="383"/>
      <c r="GN116" s="383"/>
      <c r="GO116" s="383"/>
      <c r="GP116" s="383"/>
      <c r="GQ116" s="383"/>
      <c r="GR116" s="383"/>
      <c r="GS116" s="383"/>
      <c r="GT116" s="383"/>
      <c r="GU116" s="383"/>
      <c r="GV116" s="383"/>
      <c r="GW116" s="383"/>
      <c r="GX116" s="383"/>
      <c r="GY116" s="383"/>
      <c r="GZ116" s="383"/>
      <c r="HA116" s="383"/>
      <c r="HB116" s="383"/>
      <c r="HC116" s="383"/>
      <c r="HD116" s="383"/>
      <c r="HE116" s="383"/>
      <c r="HF116" s="383"/>
      <c r="HG116" s="383"/>
      <c r="HH116" s="383"/>
      <c r="HI116" s="383"/>
      <c r="HJ116" s="383"/>
      <c r="HK116" s="383"/>
      <c r="HL116" s="383"/>
      <c r="HM116" s="383"/>
      <c r="HN116" s="383"/>
      <c r="HO116" s="383"/>
      <c r="HP116" s="383"/>
      <c r="HQ116" s="383"/>
      <c r="HR116" s="383"/>
      <c r="HS116" s="383"/>
      <c r="HT116" s="383"/>
      <c r="HU116" s="383"/>
      <c r="HV116" s="383"/>
      <c r="HW116" s="383"/>
      <c r="HX116" s="383"/>
      <c r="HY116" s="383"/>
      <c r="HZ116" s="383"/>
      <c r="IA116" s="383"/>
      <c r="IB116" s="383"/>
      <c r="IC116" s="383"/>
      <c r="ID116" s="383"/>
      <c r="IE116" s="383"/>
      <c r="IF116" s="383"/>
      <c r="IG116" s="383"/>
      <c r="IH116" s="383"/>
      <c r="II116" s="383"/>
      <c r="IJ116" s="383"/>
      <c r="IK116" s="383"/>
      <c r="IL116" s="383"/>
      <c r="IM116" s="383"/>
      <c r="IN116" s="383"/>
      <c r="IO116" s="383"/>
      <c r="IP116" s="383"/>
      <c r="IQ116" s="383"/>
      <c r="IR116" s="383"/>
      <c r="IS116" s="383"/>
      <c r="IT116" s="383"/>
      <c r="IU116" s="383"/>
      <c r="IV116" s="383"/>
      <c r="IW116" s="383"/>
      <c r="IX116" s="383"/>
      <c r="IY116" s="383"/>
      <c r="IZ116" s="383"/>
      <c r="JA116" s="383"/>
      <c r="JB116" s="383"/>
      <c r="JC116" s="383"/>
      <c r="JD116" s="383"/>
      <c r="JE116" s="383"/>
      <c r="JF116" s="383"/>
      <c r="JG116" s="383"/>
      <c r="JH116" s="383"/>
      <c r="JI116" s="383"/>
      <c r="JJ116" s="383"/>
      <c r="JK116" s="383"/>
      <c r="JL116" s="383"/>
      <c r="JM116" s="383"/>
      <c r="JN116" s="383"/>
      <c r="JO116" s="383"/>
      <c r="JP116" s="383"/>
      <c r="JQ116" s="383"/>
      <c r="JR116" s="383"/>
      <c r="JS116" s="383"/>
      <c r="JT116" s="383"/>
      <c r="JU116" s="383"/>
      <c r="JV116" s="383"/>
      <c r="JW116" s="383"/>
      <c r="JX116" s="383"/>
      <c r="JY116" s="383"/>
      <c r="JZ116" s="383"/>
      <c r="KA116" s="383"/>
      <c r="KB116" s="383"/>
      <c r="KC116" s="383"/>
      <c r="KD116" s="383"/>
      <c r="KE116" s="383"/>
      <c r="KF116" s="383"/>
      <c r="KG116" s="383"/>
      <c r="KH116" s="383"/>
      <c r="KI116" s="383"/>
      <c r="KJ116" s="383"/>
      <c r="KK116" s="383"/>
      <c r="KL116" s="383"/>
      <c r="KM116" s="383"/>
      <c r="KN116" s="383"/>
      <c r="KO116" s="383"/>
      <c r="KP116" s="383"/>
      <c r="KQ116" s="383"/>
      <c r="KR116" s="383"/>
      <c r="KS116" s="383"/>
      <c r="KT116" s="383"/>
      <c r="KU116" s="383"/>
      <c r="KV116" s="383"/>
      <c r="KW116" s="383"/>
      <c r="KX116" s="383"/>
      <c r="KY116" s="383"/>
      <c r="KZ116" s="383"/>
      <c r="LA116" s="383"/>
      <c r="LB116" s="383"/>
      <c r="LC116" s="383"/>
      <c r="LD116" s="383"/>
      <c r="LE116" s="383"/>
      <c r="LF116" s="383"/>
      <c r="LG116" s="383"/>
      <c r="LH116" s="383"/>
      <c r="LI116" s="383"/>
      <c r="LJ116" s="383"/>
      <c r="LK116" s="383"/>
      <c r="LL116" s="383"/>
      <c r="LM116" s="383"/>
      <c r="LN116" s="383"/>
      <c r="LO116" s="383"/>
      <c r="LP116" s="383"/>
      <c r="LQ116" s="383"/>
      <c r="LR116" s="383"/>
      <c r="LS116" s="383"/>
      <c r="LT116" s="383"/>
      <c r="LU116" s="383"/>
      <c r="LV116" s="383"/>
      <c r="LW116" s="383"/>
      <c r="LX116" s="383"/>
      <c r="LY116" s="383"/>
      <c r="LZ116" s="383"/>
      <c r="MA116" s="383"/>
      <c r="MB116" s="383"/>
      <c r="MC116" s="383"/>
      <c r="MD116" s="383"/>
      <c r="ME116" s="383"/>
      <c r="MF116" s="383"/>
      <c r="MG116" s="383"/>
      <c r="MH116" s="383"/>
      <c r="MI116" s="383"/>
      <c r="MJ116" s="383"/>
      <c r="MK116" s="383"/>
      <c r="ML116" s="383"/>
      <c r="MM116" s="383"/>
      <c r="MN116" s="383"/>
      <c r="MO116" s="383"/>
      <c r="MP116" s="383"/>
      <c r="MQ116" s="383"/>
      <c r="MR116" s="383"/>
      <c r="MS116" s="383"/>
      <c r="MT116" s="383"/>
      <c r="MU116" s="383"/>
      <c r="MV116" s="383"/>
      <c r="MW116" s="383"/>
      <c r="MX116" s="383"/>
      <c r="MY116" s="383"/>
      <c r="MZ116" s="383"/>
      <c r="NA116" s="383"/>
      <c r="NB116" s="383"/>
      <c r="NC116" s="383"/>
      <c r="ND116" s="383"/>
      <c r="NE116" s="383"/>
      <c r="NF116" s="383"/>
      <c r="NG116" s="383"/>
      <c r="NH116" s="383"/>
      <c r="NI116" s="383"/>
      <c r="NJ116" s="383"/>
      <c r="NK116" s="383"/>
      <c r="NL116" s="383"/>
      <c r="NM116" s="383"/>
      <c r="NN116" s="383"/>
      <c r="NO116" s="383"/>
      <c r="NP116" s="383"/>
      <c r="NQ116" s="383"/>
      <c r="NR116" s="383"/>
      <c r="NS116" s="383"/>
      <c r="NT116" s="383"/>
      <c r="NU116" s="383"/>
      <c r="NV116" s="383"/>
      <c r="NW116" s="383"/>
      <c r="NX116" s="383"/>
      <c r="NY116" s="383"/>
      <c r="NZ116" s="383"/>
      <c r="OA116" s="383"/>
      <c r="OB116" s="383"/>
      <c r="OC116" s="383"/>
      <c r="OD116" s="383"/>
      <c r="OE116" s="383"/>
      <c r="OF116" s="383"/>
      <c r="OG116" s="383"/>
      <c r="OH116" s="383"/>
      <c r="OI116" s="383"/>
      <c r="OJ116" s="383"/>
      <c r="OK116" s="383"/>
      <c r="OL116" s="383"/>
      <c r="OM116" s="383"/>
      <c r="ON116" s="383"/>
      <c r="OO116" s="383"/>
      <c r="OP116" s="383"/>
      <c r="OQ116" s="383"/>
      <c r="OR116" s="383"/>
      <c r="OS116" s="383"/>
      <c r="OT116" s="383"/>
      <c r="OU116" s="383"/>
      <c r="OV116" s="383"/>
      <c r="OW116" s="383"/>
      <c r="OX116" s="383"/>
      <c r="OY116" s="383"/>
      <c r="OZ116" s="383"/>
      <c r="PA116" s="383"/>
      <c r="PB116" s="383"/>
      <c r="PC116" s="383"/>
      <c r="PD116" s="383"/>
      <c r="PE116" s="383"/>
      <c r="PF116" s="383"/>
      <c r="PG116" s="383"/>
      <c r="PH116" s="383"/>
      <c r="PI116" s="383"/>
      <c r="PJ116" s="383"/>
      <c r="PK116" s="383"/>
      <c r="PL116" s="383"/>
      <c r="PM116" s="383"/>
      <c r="PN116" s="383"/>
      <c r="PO116" s="383"/>
      <c r="PP116" s="383"/>
      <c r="PQ116" s="383"/>
      <c r="PR116" s="383"/>
      <c r="PS116" s="383"/>
      <c r="PT116" s="383"/>
      <c r="PU116" s="383"/>
      <c r="PV116" s="383"/>
      <c r="PW116" s="383"/>
      <c r="PX116" s="383"/>
      <c r="PY116" s="383"/>
      <c r="PZ116" s="383"/>
      <c r="QA116" s="383"/>
      <c r="QB116" s="383"/>
      <c r="QC116" s="383"/>
      <c r="QD116" s="383"/>
      <c r="QE116" s="383"/>
      <c r="QF116" s="383"/>
      <c r="QG116" s="383"/>
      <c r="QH116" s="383"/>
      <c r="QI116" s="383"/>
      <c r="QJ116" s="383"/>
      <c r="QK116" s="383"/>
      <c r="QL116" s="383"/>
      <c r="QM116" s="383"/>
      <c r="QN116" s="383"/>
      <c r="QO116" s="383"/>
      <c r="QP116" s="383"/>
      <c r="QQ116" s="383"/>
      <c r="QR116" s="383"/>
      <c r="QS116" s="383"/>
      <c r="QT116" s="383"/>
      <c r="QU116" s="383"/>
      <c r="QV116" s="383"/>
      <c r="QW116" s="383"/>
      <c r="QX116" s="383"/>
      <c r="QY116" s="383"/>
      <c r="QZ116" s="383"/>
      <c r="RA116" s="383"/>
      <c r="RB116" s="383"/>
      <c r="RC116" s="383"/>
      <c r="RD116" s="383"/>
      <c r="RE116" s="383"/>
      <c r="RF116" s="383"/>
      <c r="RG116" s="383"/>
      <c r="RH116" s="383"/>
      <c r="RI116" s="383"/>
      <c r="RJ116" s="383"/>
      <c r="RK116" s="383"/>
      <c r="RL116" s="383"/>
      <c r="RM116" s="383"/>
      <c r="RN116" s="383"/>
      <c r="RO116" s="383"/>
      <c r="RP116" s="383"/>
      <c r="RQ116" s="383"/>
      <c r="RR116" s="383"/>
      <c r="RS116" s="383"/>
      <c r="RT116" s="383"/>
      <c r="RU116" s="383"/>
      <c r="RV116" s="383"/>
      <c r="RW116" s="383"/>
      <c r="RX116" s="383"/>
      <c r="RY116" s="383"/>
      <c r="RZ116" s="383"/>
      <c r="SA116" s="383"/>
      <c r="SB116" s="383"/>
      <c r="SC116" s="383"/>
      <c r="SD116" s="383"/>
      <c r="SE116" s="383"/>
      <c r="SF116" s="383"/>
      <c r="SG116" s="383"/>
      <c r="SH116" s="383"/>
      <c r="SI116" s="383"/>
      <c r="SJ116" s="383"/>
      <c r="SK116" s="383"/>
      <c r="SL116" s="383"/>
      <c r="SM116" s="383"/>
      <c r="SN116" s="383"/>
      <c r="SO116" s="383"/>
      <c r="SP116" s="383"/>
      <c r="SQ116" s="383"/>
      <c r="SR116" s="383"/>
      <c r="SS116" s="383"/>
      <c r="ST116" s="383"/>
      <c r="SU116" s="383"/>
      <c r="SV116" s="383"/>
      <c r="SW116" s="383"/>
      <c r="SX116" s="383"/>
      <c r="SY116" s="383"/>
      <c r="SZ116" s="383"/>
      <c r="TA116" s="383"/>
      <c r="TB116" s="383"/>
      <c r="TC116" s="383"/>
      <c r="TD116" s="383"/>
      <c r="TE116" s="383"/>
      <c r="TF116" s="383"/>
      <c r="TG116" s="383"/>
      <c r="TH116" s="383"/>
      <c r="TI116" s="383"/>
      <c r="TJ116" s="383"/>
      <c r="TK116" s="383"/>
      <c r="TL116" s="383"/>
      <c r="TM116" s="383"/>
      <c r="TN116" s="383"/>
      <c r="TO116" s="383"/>
      <c r="TP116" s="383"/>
      <c r="TQ116" s="383"/>
      <c r="TR116" s="383"/>
      <c r="TS116" s="383"/>
      <c r="TT116" s="383"/>
      <c r="TU116" s="383"/>
      <c r="TV116" s="383"/>
      <c r="TW116" s="383"/>
      <c r="TX116" s="383"/>
      <c r="TY116" s="383"/>
      <c r="TZ116" s="383"/>
      <c r="UA116" s="383"/>
      <c r="UB116" s="383"/>
      <c r="UC116" s="383"/>
      <c r="UD116" s="383"/>
      <c r="UE116" s="383"/>
      <c r="UF116" s="383"/>
      <c r="UG116" s="383"/>
      <c r="UH116" s="383"/>
      <c r="UI116" s="383"/>
      <c r="UJ116" s="383"/>
      <c r="UK116" s="383"/>
      <c r="UL116" s="383"/>
      <c r="UM116" s="383"/>
      <c r="UN116" s="383"/>
      <c r="UO116" s="383"/>
      <c r="UP116" s="383"/>
      <c r="UQ116" s="383"/>
      <c r="UR116" s="383"/>
      <c r="US116" s="383"/>
      <c r="UT116" s="383"/>
      <c r="UU116" s="383"/>
      <c r="UV116" s="383"/>
      <c r="UW116" s="383"/>
      <c r="UX116" s="383"/>
      <c r="UY116" s="383"/>
      <c r="UZ116" s="383"/>
      <c r="VA116" s="383"/>
      <c r="VB116" s="383"/>
      <c r="VC116" s="383"/>
      <c r="VD116" s="383"/>
      <c r="VE116" s="383"/>
      <c r="VF116" s="383"/>
      <c r="VG116" s="383"/>
      <c r="VH116" s="383"/>
      <c r="VI116" s="383"/>
      <c r="VJ116" s="383"/>
      <c r="VK116" s="383"/>
      <c r="VL116" s="383"/>
      <c r="VM116" s="383"/>
      <c r="VN116" s="383"/>
      <c r="VO116" s="383"/>
      <c r="VP116" s="383"/>
      <c r="VQ116" s="383"/>
      <c r="VR116" s="383"/>
      <c r="VS116" s="383"/>
      <c r="VT116" s="383"/>
      <c r="VU116" s="383"/>
      <c r="VV116" s="383"/>
      <c r="VW116" s="383"/>
      <c r="VX116" s="383"/>
      <c r="VY116" s="383"/>
      <c r="VZ116" s="383"/>
      <c r="WA116" s="383"/>
      <c r="WB116" s="383"/>
      <c r="WC116" s="383"/>
      <c r="WD116" s="383"/>
      <c r="WE116" s="383"/>
      <c r="WF116" s="383"/>
      <c r="WG116" s="383"/>
      <c r="WH116" s="383"/>
      <c r="WI116" s="383"/>
      <c r="WJ116" s="383"/>
      <c r="WK116" s="383"/>
      <c r="WL116" s="383"/>
      <c r="WM116" s="383"/>
      <c r="WN116" s="383"/>
      <c r="WO116" s="383"/>
      <c r="WP116" s="383"/>
      <c r="WQ116" s="383"/>
      <c r="WR116" s="383"/>
      <c r="WS116" s="383"/>
      <c r="WT116" s="383"/>
      <c r="WU116" s="383"/>
      <c r="WV116" s="383"/>
      <c r="WW116" s="383"/>
      <c r="WX116" s="383"/>
      <c r="WY116" s="383"/>
      <c r="WZ116" s="383"/>
      <c r="XA116" s="383"/>
      <c r="XB116" s="383"/>
      <c r="XC116" s="383"/>
      <c r="XD116" s="383"/>
      <c r="XE116" s="383"/>
      <c r="XF116" s="383"/>
      <c r="XG116" s="383"/>
      <c r="XH116" s="383"/>
      <c r="XI116" s="383"/>
      <c r="XJ116" s="383"/>
      <c r="XK116" s="383"/>
      <c r="XL116" s="383"/>
      <c r="XM116" s="383"/>
      <c r="XN116" s="383"/>
      <c r="XO116" s="383"/>
      <c r="XP116" s="383"/>
      <c r="XQ116" s="383"/>
      <c r="XR116" s="383"/>
      <c r="XS116" s="383"/>
      <c r="XT116" s="383"/>
      <c r="XU116" s="383"/>
      <c r="XV116" s="383"/>
      <c r="XW116" s="383"/>
      <c r="XX116" s="383"/>
      <c r="XY116" s="383"/>
      <c r="XZ116" s="383"/>
      <c r="YA116" s="383"/>
      <c r="YB116" s="383"/>
      <c r="YC116" s="383"/>
      <c r="YD116" s="383"/>
      <c r="YE116" s="383"/>
      <c r="YF116" s="383"/>
      <c r="YG116" s="383"/>
      <c r="YH116" s="383"/>
      <c r="YI116" s="383"/>
      <c r="YJ116" s="383"/>
      <c r="YK116" s="383"/>
      <c r="YL116" s="383"/>
      <c r="YM116" s="383"/>
      <c r="YN116" s="383"/>
      <c r="YO116" s="383"/>
      <c r="YP116" s="383"/>
      <c r="YQ116" s="383"/>
      <c r="YR116" s="383"/>
      <c r="YS116" s="383"/>
      <c r="YT116" s="383"/>
      <c r="YU116" s="383"/>
      <c r="YV116" s="383"/>
      <c r="YW116" s="383"/>
      <c r="YX116" s="383"/>
      <c r="YY116" s="383"/>
      <c r="YZ116" s="383"/>
      <c r="ZA116" s="383"/>
      <c r="ZB116" s="383"/>
      <c r="ZC116" s="383"/>
      <c r="ZD116" s="383"/>
      <c r="ZE116" s="383"/>
      <c r="ZF116" s="383"/>
      <c r="ZG116" s="383"/>
      <c r="ZH116" s="383"/>
      <c r="ZI116" s="383"/>
      <c r="ZJ116" s="383"/>
      <c r="ZK116" s="383"/>
      <c r="ZL116" s="383"/>
      <c r="ZM116" s="383"/>
      <c r="ZN116" s="383"/>
      <c r="ZO116" s="383"/>
      <c r="ZP116" s="383"/>
      <c r="ZQ116" s="383"/>
      <c r="ZR116" s="383"/>
      <c r="ZS116" s="383"/>
      <c r="ZT116" s="383"/>
      <c r="ZU116" s="383"/>
      <c r="ZV116" s="383"/>
      <c r="ZW116" s="383"/>
      <c r="ZX116" s="383"/>
      <c r="ZY116" s="383"/>
      <c r="ZZ116" s="383"/>
      <c r="AAA116" s="383"/>
      <c r="AAB116" s="383"/>
      <c r="AAC116" s="383"/>
      <c r="AAD116" s="383"/>
      <c r="AAE116" s="383"/>
      <c r="AAF116" s="383"/>
      <c r="AAG116" s="383"/>
      <c r="AAH116" s="383"/>
      <c r="AAI116" s="383"/>
      <c r="AAJ116" s="383"/>
      <c r="AAK116" s="383"/>
      <c r="AAL116" s="383"/>
      <c r="AAM116" s="383"/>
      <c r="AAN116" s="383"/>
      <c r="AAO116" s="383"/>
      <c r="AAP116" s="383"/>
      <c r="AAQ116" s="383"/>
      <c r="AAR116" s="383"/>
      <c r="AAS116" s="383"/>
      <c r="AAT116" s="383"/>
      <c r="AAU116" s="383"/>
      <c r="AAV116" s="383"/>
      <c r="AAW116" s="383"/>
      <c r="AAX116" s="383"/>
      <c r="AAY116" s="383"/>
      <c r="AAZ116" s="383"/>
      <c r="ABA116" s="383"/>
      <c r="ABB116" s="383"/>
      <c r="ABC116" s="383"/>
      <c r="ABD116" s="383"/>
      <c r="ABE116" s="383"/>
      <c r="ABF116" s="383"/>
      <c r="ABG116" s="383"/>
      <c r="ABH116" s="383"/>
      <c r="ABI116" s="383"/>
      <c r="ABJ116" s="383"/>
      <c r="ABK116" s="383"/>
      <c r="ABL116" s="383"/>
      <c r="ABM116" s="383"/>
      <c r="ABN116" s="383"/>
      <c r="ABO116" s="383"/>
      <c r="ABP116" s="383"/>
      <c r="ABQ116" s="383"/>
      <c r="ABR116" s="383"/>
      <c r="ABS116" s="383"/>
      <c r="ABT116" s="383"/>
      <c r="ABU116" s="383"/>
      <c r="ABV116" s="383"/>
      <c r="ABW116" s="383"/>
      <c r="ABX116" s="383"/>
      <c r="ABY116" s="383"/>
      <c r="ABZ116" s="383"/>
      <c r="ACA116" s="383"/>
      <c r="ACB116" s="383"/>
      <c r="ACC116" s="383"/>
      <c r="ACD116" s="383"/>
      <c r="ACE116" s="383"/>
      <c r="ACF116" s="383"/>
      <c r="ACG116" s="383"/>
      <c r="ACH116" s="383"/>
      <c r="ACI116" s="383"/>
      <c r="ACJ116" s="383"/>
      <c r="ACK116" s="383"/>
      <c r="ACL116" s="383"/>
      <c r="ACM116" s="383"/>
      <c r="ACN116" s="383"/>
      <c r="ACO116" s="383"/>
      <c r="ACP116" s="383"/>
      <c r="ACQ116" s="383"/>
      <c r="ACR116" s="383"/>
      <c r="ACS116" s="383"/>
      <c r="ACT116" s="383"/>
      <c r="ACU116" s="383"/>
      <c r="ACV116" s="383"/>
      <c r="ACW116" s="383"/>
      <c r="ACX116" s="383"/>
      <c r="ACY116" s="383"/>
      <c r="ACZ116" s="383"/>
      <c r="ADA116" s="383"/>
      <c r="ADB116" s="383"/>
      <c r="ADC116" s="383"/>
      <c r="ADD116" s="383"/>
      <c r="ADE116" s="383"/>
      <c r="ADF116" s="383"/>
      <c r="ADG116" s="383"/>
      <c r="ADH116" s="383"/>
      <c r="ADI116" s="383"/>
      <c r="ADJ116" s="383"/>
      <c r="ADK116" s="383"/>
      <c r="ADL116" s="383"/>
      <c r="ADM116" s="383"/>
      <c r="ADN116" s="383"/>
      <c r="ADO116" s="383"/>
      <c r="ADP116" s="383"/>
      <c r="ADQ116" s="383"/>
      <c r="ADR116" s="383"/>
      <c r="ADS116" s="383"/>
      <c r="ADT116" s="383"/>
      <c r="ADU116" s="383"/>
      <c r="ADV116" s="383"/>
      <c r="ADW116" s="383"/>
      <c r="ADX116" s="383"/>
      <c r="ADY116" s="383"/>
      <c r="ADZ116" s="383"/>
      <c r="AEA116" s="383"/>
      <c r="AEB116" s="383"/>
      <c r="AEC116" s="383"/>
      <c r="AED116" s="383"/>
      <c r="AEE116" s="383"/>
      <c r="AEF116" s="383"/>
      <c r="AEG116" s="383"/>
      <c r="AEH116" s="383"/>
      <c r="AEI116" s="383"/>
      <c r="AEJ116" s="383"/>
      <c r="AEK116" s="383"/>
      <c r="AEL116" s="383"/>
      <c r="AEM116" s="383"/>
      <c r="AEN116" s="383"/>
      <c r="AEO116" s="383"/>
      <c r="AEP116" s="383"/>
      <c r="AEQ116" s="383"/>
      <c r="AER116" s="383"/>
      <c r="AES116" s="383"/>
      <c r="AET116" s="383"/>
      <c r="AEU116" s="383"/>
      <c r="AEV116" s="383"/>
      <c r="AEW116" s="383"/>
      <c r="AEX116" s="383"/>
      <c r="AEY116" s="383"/>
      <c r="AEZ116" s="383"/>
      <c r="AFA116" s="383"/>
      <c r="AFB116" s="383"/>
      <c r="AFC116" s="383"/>
      <c r="AFD116" s="383"/>
      <c r="AFE116" s="383"/>
      <c r="AFF116" s="383"/>
      <c r="AFG116" s="383"/>
      <c r="AFH116" s="383"/>
      <c r="AFI116" s="383"/>
      <c r="AFJ116" s="383"/>
      <c r="AFK116" s="383"/>
      <c r="AFL116" s="383"/>
      <c r="AFM116" s="383"/>
      <c r="AFN116" s="383"/>
      <c r="AFO116" s="383"/>
      <c r="AFP116" s="383"/>
      <c r="AFQ116" s="383"/>
      <c r="AFR116" s="383"/>
      <c r="AFS116" s="383"/>
      <c r="AFT116" s="383"/>
      <c r="AFU116" s="383"/>
      <c r="AFV116" s="383"/>
      <c r="AFW116" s="383"/>
      <c r="AFX116" s="383"/>
      <c r="AFY116" s="383"/>
      <c r="AFZ116" s="383"/>
      <c r="AGA116" s="383"/>
      <c r="AGB116" s="383"/>
      <c r="AGC116" s="383"/>
      <c r="AGD116" s="383"/>
      <c r="AGE116" s="383"/>
      <c r="AGF116" s="383"/>
      <c r="AGG116" s="383"/>
      <c r="AGH116" s="383"/>
      <c r="AGI116" s="383"/>
      <c r="AGJ116" s="383"/>
      <c r="AGK116" s="383"/>
      <c r="AGL116" s="383"/>
      <c r="AGM116" s="383"/>
      <c r="AGN116" s="383"/>
      <c r="AGO116" s="383"/>
      <c r="AGP116" s="383"/>
      <c r="AGQ116" s="383"/>
      <c r="AGR116" s="383"/>
      <c r="AGS116" s="383"/>
      <c r="AGT116" s="383"/>
      <c r="AGU116" s="383"/>
      <c r="AGV116" s="383"/>
      <c r="AGW116" s="383"/>
      <c r="AGX116" s="383"/>
      <c r="AGY116" s="383"/>
      <c r="AGZ116" s="383"/>
      <c r="AHA116" s="383"/>
      <c r="AHB116" s="383"/>
      <c r="AHC116" s="383"/>
      <c r="AHD116" s="383"/>
      <c r="AHE116" s="383"/>
      <c r="AHF116" s="383"/>
      <c r="AHG116" s="383"/>
      <c r="AHH116" s="383"/>
      <c r="AHI116" s="383"/>
      <c r="AHJ116" s="383"/>
      <c r="AHK116" s="383"/>
      <c r="AHL116" s="383"/>
      <c r="AHM116" s="383"/>
      <c r="AHN116" s="383"/>
      <c r="AHO116" s="383"/>
      <c r="AHP116" s="383"/>
      <c r="AHQ116" s="383"/>
      <c r="AHR116" s="383"/>
      <c r="AHS116" s="383"/>
      <c r="AHT116" s="383"/>
      <c r="AHU116" s="383"/>
      <c r="AHV116" s="383"/>
      <c r="AHW116" s="383"/>
      <c r="AHX116" s="383"/>
      <c r="AHY116" s="383"/>
      <c r="AHZ116" s="383"/>
      <c r="AIA116" s="383"/>
      <c r="AIB116" s="383"/>
      <c r="AIC116" s="383"/>
      <c r="AID116" s="383"/>
      <c r="AIE116" s="383"/>
      <c r="AIF116" s="383"/>
      <c r="AIG116" s="383"/>
      <c r="AIH116" s="383"/>
      <c r="AII116" s="383"/>
      <c r="AIJ116" s="383"/>
      <c r="AIK116" s="383"/>
      <c r="AIL116" s="383"/>
      <c r="AIM116" s="383"/>
      <c r="AIN116" s="383"/>
      <c r="AIO116" s="383"/>
      <c r="AIP116" s="383"/>
      <c r="AIQ116" s="383"/>
      <c r="AIR116" s="383"/>
      <c r="AIS116" s="383"/>
      <c r="AIT116" s="383"/>
      <c r="AIU116" s="383"/>
      <c r="AIV116" s="383"/>
      <c r="AIW116" s="383"/>
      <c r="AIX116" s="383"/>
      <c r="AIY116" s="383"/>
      <c r="AIZ116" s="383"/>
      <c r="AJA116" s="383"/>
      <c r="AJB116" s="383"/>
      <c r="AJC116" s="383"/>
      <c r="AJD116" s="383"/>
      <c r="AJE116" s="383"/>
      <c r="AJF116" s="383"/>
      <c r="AJG116" s="383"/>
      <c r="AJH116" s="383"/>
      <c r="AJI116" s="383"/>
      <c r="AJJ116" s="383"/>
      <c r="AJK116" s="383"/>
      <c r="AJL116" s="383"/>
      <c r="AJM116" s="383"/>
      <c r="AJN116" s="383"/>
      <c r="AJO116" s="383"/>
      <c r="AJP116" s="383"/>
      <c r="AJQ116" s="383"/>
      <c r="AJR116" s="383"/>
      <c r="AJS116" s="383"/>
      <c r="AJT116" s="383"/>
      <c r="AJU116" s="383"/>
      <c r="AJV116" s="383"/>
      <c r="AJW116" s="383"/>
      <c r="AJX116" s="383"/>
      <c r="AJY116" s="383"/>
      <c r="AJZ116" s="383"/>
      <c r="AKA116" s="383"/>
      <c r="AKB116" s="383"/>
      <c r="AKC116" s="383"/>
      <c r="AKD116" s="383"/>
      <c r="AKE116" s="383"/>
      <c r="AKF116" s="383"/>
      <c r="AKG116" s="383"/>
      <c r="AKH116" s="383"/>
      <c r="AKI116" s="383"/>
      <c r="AKJ116" s="383"/>
      <c r="AKK116" s="383"/>
      <c r="AKL116" s="383"/>
      <c r="AKM116" s="383"/>
      <c r="AKN116" s="383"/>
      <c r="AKO116" s="383"/>
      <c r="AKP116" s="383"/>
      <c r="AKQ116" s="383"/>
      <c r="AKR116" s="383"/>
      <c r="AKS116" s="383"/>
      <c r="AKT116" s="383"/>
      <c r="AKU116" s="383"/>
      <c r="AKV116" s="383"/>
      <c r="AKW116" s="383"/>
      <c r="AKX116" s="383"/>
      <c r="AKY116" s="383"/>
      <c r="AKZ116" s="383"/>
      <c r="ALA116" s="383"/>
      <c r="ALB116" s="383"/>
      <c r="ALC116" s="383"/>
      <c r="ALD116" s="383"/>
      <c r="ALE116" s="383"/>
      <c r="ALF116" s="383"/>
      <c r="ALG116" s="383"/>
      <c r="ALH116" s="383"/>
      <c r="ALI116" s="383"/>
      <c r="ALJ116" s="383"/>
      <c r="ALK116" s="383"/>
      <c r="ALL116" s="383"/>
      <c r="ALM116" s="383"/>
      <c r="ALN116" s="383"/>
      <c r="ALO116" s="383"/>
      <c r="ALP116" s="383"/>
      <c r="ALQ116" s="383"/>
      <c r="ALR116" s="383"/>
      <c r="ALS116" s="383"/>
      <c r="ALT116" s="383"/>
      <c r="ALU116" s="383"/>
      <c r="ALV116" s="383"/>
      <c r="ALW116" s="383"/>
      <c r="ALX116" s="383"/>
      <c r="ALY116" s="383"/>
      <c r="ALZ116" s="383"/>
      <c r="AMA116" s="383"/>
      <c r="AMB116" s="383"/>
      <c r="AMC116" s="383"/>
      <c r="AMD116" s="383"/>
      <c r="AME116" s="383"/>
      <c r="AMF116" s="383"/>
      <c r="AMG116" s="383"/>
      <c r="AMH116" s="383"/>
      <c r="AMI116" s="383"/>
      <c r="AMJ116" s="383"/>
      <c r="AMK116" s="383"/>
      <c r="AML116" s="383"/>
      <c r="AMM116" s="383"/>
      <c r="AMN116" s="383"/>
      <c r="AMO116" s="383"/>
      <c r="AMP116" s="383"/>
      <c r="AMQ116" s="383"/>
      <c r="AMR116" s="383"/>
      <c r="AMS116" s="383"/>
      <c r="AMT116" s="383"/>
      <c r="AMU116" s="383"/>
      <c r="AMV116" s="383"/>
      <c r="AMW116" s="383"/>
      <c r="AMX116" s="383"/>
      <c r="AMY116" s="383"/>
      <c r="AMZ116" s="383"/>
      <c r="ANA116" s="383"/>
      <c r="ANB116" s="383"/>
      <c r="ANC116" s="383"/>
      <c r="AND116" s="383"/>
      <c r="ANE116" s="383"/>
      <c r="ANF116" s="383"/>
      <c r="ANG116" s="383"/>
      <c r="ANH116" s="383"/>
      <c r="ANI116" s="383"/>
      <c r="ANJ116" s="383"/>
      <c r="ANK116" s="383"/>
      <c r="ANL116" s="383"/>
      <c r="ANM116" s="383"/>
      <c r="ANN116" s="383"/>
      <c r="ANO116" s="383"/>
      <c r="ANP116" s="383"/>
      <c r="ANQ116" s="383"/>
      <c r="ANR116" s="383"/>
      <c r="ANS116" s="383"/>
      <c r="ANT116" s="383"/>
      <c r="ANU116" s="383"/>
      <c r="ANV116" s="383"/>
      <c r="ANW116" s="383"/>
      <c r="ANX116" s="383"/>
      <c r="ANY116" s="383"/>
      <c r="ANZ116" s="383"/>
      <c r="AOA116" s="383"/>
      <c r="AOB116" s="383"/>
      <c r="AOC116" s="383"/>
      <c r="AOD116" s="383"/>
      <c r="AOE116" s="383"/>
      <c r="AOF116" s="383"/>
      <c r="AOG116" s="383"/>
      <c r="AOH116" s="383"/>
      <c r="AOI116" s="383"/>
      <c r="AOJ116" s="383"/>
      <c r="AOK116" s="383"/>
      <c r="AOL116" s="383"/>
      <c r="AOM116" s="383"/>
      <c r="AON116" s="383"/>
      <c r="AOO116" s="383"/>
      <c r="AOP116" s="383"/>
      <c r="AOQ116" s="383"/>
      <c r="AOR116" s="383"/>
      <c r="AOS116" s="383"/>
      <c r="AOT116" s="383"/>
      <c r="AOU116" s="383"/>
      <c r="AOV116" s="383"/>
      <c r="AOW116" s="383"/>
      <c r="AOX116" s="383"/>
      <c r="AOY116" s="383"/>
      <c r="AOZ116" s="383"/>
      <c r="APA116" s="383"/>
      <c r="APB116" s="383"/>
      <c r="APC116" s="383"/>
      <c r="APD116" s="383"/>
      <c r="APE116" s="383"/>
      <c r="APF116" s="383"/>
      <c r="APG116" s="383"/>
      <c r="APH116" s="383"/>
      <c r="API116" s="383"/>
      <c r="APJ116" s="383"/>
      <c r="APK116" s="383"/>
      <c r="APL116" s="383"/>
      <c r="APM116" s="383"/>
      <c r="APN116" s="383"/>
      <c r="APO116" s="383"/>
      <c r="APP116" s="383"/>
      <c r="APQ116" s="383"/>
      <c r="APR116" s="383"/>
      <c r="APS116" s="383"/>
      <c r="APT116" s="383"/>
      <c r="APU116" s="383"/>
      <c r="APV116" s="383"/>
      <c r="APW116" s="383"/>
      <c r="APX116" s="383"/>
      <c r="APY116" s="383"/>
      <c r="APZ116" s="383"/>
      <c r="AQA116" s="383"/>
      <c r="AQB116" s="383"/>
      <c r="AQC116" s="383"/>
      <c r="AQD116" s="383"/>
      <c r="AQE116" s="383"/>
      <c r="AQF116" s="383"/>
      <c r="AQG116" s="383"/>
      <c r="AQH116" s="383"/>
      <c r="AQI116" s="383"/>
      <c r="AQJ116" s="383"/>
      <c r="AQK116" s="383"/>
      <c r="AQL116" s="383"/>
      <c r="AQM116" s="383"/>
      <c r="AQN116" s="383"/>
      <c r="AQO116" s="383"/>
      <c r="AQP116" s="383"/>
      <c r="AQQ116" s="383"/>
      <c r="AQR116" s="383"/>
      <c r="AQS116" s="383"/>
      <c r="AQT116" s="383"/>
      <c r="AQU116" s="383"/>
      <c r="AQV116" s="383"/>
      <c r="AQW116" s="383"/>
      <c r="AQX116" s="383"/>
      <c r="AQY116" s="383"/>
      <c r="AQZ116" s="383"/>
      <c r="ARA116" s="383"/>
      <c r="ARB116" s="383"/>
      <c r="ARC116" s="383"/>
      <c r="ARD116" s="383"/>
      <c r="ARE116" s="383"/>
      <c r="ARF116" s="383"/>
      <c r="ARG116" s="383"/>
      <c r="ARH116" s="383"/>
      <c r="ARI116" s="383"/>
      <c r="ARJ116" s="383"/>
      <c r="ARK116" s="383"/>
      <c r="ARL116" s="383"/>
      <c r="ARM116" s="383"/>
      <c r="ARN116" s="383"/>
      <c r="ARO116" s="383"/>
      <c r="ARP116" s="383"/>
      <c r="ARQ116" s="383"/>
      <c r="ARR116" s="383"/>
      <c r="ARS116" s="383"/>
      <c r="ART116" s="383"/>
      <c r="ARU116" s="383"/>
      <c r="ARV116" s="383"/>
      <c r="ARW116" s="383"/>
      <c r="ARX116" s="383"/>
      <c r="ARY116" s="383"/>
      <c r="ARZ116" s="383"/>
      <c r="ASA116" s="383"/>
      <c r="ASB116" s="383"/>
      <c r="ASC116" s="383"/>
      <c r="ASD116" s="383"/>
      <c r="ASE116" s="383"/>
      <c r="ASF116" s="383"/>
      <c r="ASG116" s="383"/>
      <c r="ASH116" s="383"/>
      <c r="ASI116" s="383"/>
      <c r="ASJ116" s="383"/>
      <c r="ASK116" s="383"/>
      <c r="ASL116" s="383"/>
      <c r="ASM116" s="383"/>
      <c r="ASN116" s="383"/>
      <c r="ASO116" s="383"/>
      <c r="ASP116" s="383"/>
      <c r="ASQ116" s="383"/>
      <c r="ASR116" s="383"/>
      <c r="ASS116" s="383"/>
      <c r="AST116" s="383"/>
      <c r="ASU116" s="383"/>
      <c r="ASV116" s="383"/>
      <c r="ASW116" s="383"/>
      <c r="ASX116" s="383"/>
      <c r="ASY116" s="383"/>
      <c r="ASZ116" s="383"/>
      <c r="ATA116" s="383"/>
      <c r="ATB116" s="383"/>
      <c r="ATC116" s="383"/>
      <c r="ATD116" s="383"/>
      <c r="ATE116" s="383"/>
      <c r="ATF116" s="383"/>
      <c r="ATG116" s="383"/>
      <c r="ATH116" s="383"/>
      <c r="ATI116" s="383"/>
      <c r="ATJ116" s="383"/>
      <c r="ATK116" s="383"/>
      <c r="ATL116" s="383"/>
      <c r="ATM116" s="383"/>
      <c r="ATN116" s="383"/>
      <c r="ATO116" s="383"/>
      <c r="ATP116" s="383"/>
      <c r="ATQ116" s="383"/>
      <c r="ATR116" s="383"/>
      <c r="ATS116" s="383"/>
      <c r="ATT116" s="383"/>
      <c r="ATU116" s="383"/>
      <c r="ATV116" s="383"/>
      <c r="ATW116" s="383"/>
      <c r="ATX116" s="383"/>
      <c r="ATY116" s="383"/>
      <c r="ATZ116" s="383"/>
      <c r="AUA116" s="383"/>
      <c r="AUB116" s="383"/>
      <c r="AUC116" s="383"/>
      <c r="AUD116" s="383"/>
      <c r="AUE116" s="383"/>
      <c r="AUF116" s="383"/>
      <c r="AUG116" s="383"/>
      <c r="AUH116" s="383"/>
      <c r="AUI116" s="383"/>
      <c r="AUJ116" s="383"/>
      <c r="AUK116" s="383"/>
      <c r="AUL116" s="383"/>
      <c r="AUM116" s="383"/>
      <c r="AUN116" s="383"/>
      <c r="AUO116" s="383"/>
      <c r="AUP116" s="383"/>
      <c r="AUQ116" s="383"/>
      <c r="AUR116" s="383"/>
      <c r="AUS116" s="383"/>
      <c r="AUT116" s="383"/>
      <c r="AUU116" s="383"/>
      <c r="AUV116" s="383"/>
      <c r="AUW116" s="383"/>
      <c r="AUX116" s="383"/>
      <c r="AUY116" s="383"/>
      <c r="AUZ116" s="383"/>
      <c r="AVA116" s="383"/>
      <c r="AVB116" s="383"/>
      <c r="AVC116" s="383"/>
      <c r="AVD116" s="383"/>
      <c r="AVE116" s="383"/>
      <c r="AVF116" s="383"/>
      <c r="AVG116" s="383"/>
      <c r="AVH116" s="383"/>
      <c r="AVI116" s="383"/>
      <c r="AVJ116" s="383"/>
      <c r="AVK116" s="383"/>
      <c r="AVL116" s="383"/>
      <c r="AVM116" s="383"/>
      <c r="AVN116" s="383"/>
      <c r="AVO116" s="383"/>
      <c r="AVP116" s="383"/>
      <c r="AVQ116" s="383"/>
      <c r="AVR116" s="383"/>
      <c r="AVS116" s="383"/>
      <c r="AVT116" s="383"/>
      <c r="AVU116" s="383"/>
      <c r="AVV116" s="383"/>
      <c r="AVW116" s="383"/>
      <c r="AVX116" s="383"/>
      <c r="AVY116" s="383"/>
      <c r="AVZ116" s="383"/>
      <c r="AWA116" s="383"/>
      <c r="AWB116" s="383"/>
      <c r="AWC116" s="383"/>
      <c r="AWD116" s="383"/>
      <c r="AWE116" s="383"/>
      <c r="AWF116" s="383"/>
      <c r="AWG116" s="383"/>
      <c r="AWH116" s="383"/>
      <c r="AWI116" s="383"/>
      <c r="AWJ116" s="383"/>
      <c r="AWK116" s="383"/>
      <c r="AWL116" s="383"/>
      <c r="AWM116" s="383"/>
      <c r="AWN116" s="383"/>
      <c r="AWO116" s="383"/>
      <c r="AWP116" s="383"/>
      <c r="AWQ116" s="383"/>
      <c r="AWR116" s="383"/>
      <c r="AWS116" s="383"/>
      <c r="AWT116" s="383"/>
      <c r="AWU116" s="383"/>
      <c r="AWV116" s="383"/>
      <c r="AWW116" s="383"/>
      <c r="AWX116" s="383"/>
      <c r="AWY116" s="383"/>
      <c r="AWZ116" s="383"/>
      <c r="AXA116" s="383"/>
      <c r="AXB116" s="383"/>
      <c r="AXC116" s="383"/>
      <c r="AXD116" s="383"/>
      <c r="AXE116" s="383"/>
      <c r="AXF116" s="383"/>
      <c r="AXG116" s="383"/>
      <c r="AXH116" s="383"/>
      <c r="AXI116" s="383"/>
      <c r="AXJ116" s="383"/>
      <c r="AXK116" s="383"/>
      <c r="AXL116" s="383"/>
      <c r="AXM116" s="383"/>
      <c r="AXN116" s="383"/>
      <c r="AXO116" s="383"/>
      <c r="AXP116" s="383"/>
      <c r="AXQ116" s="383"/>
      <c r="AXR116" s="383"/>
      <c r="AXS116" s="383"/>
      <c r="AXT116" s="383"/>
      <c r="AXU116" s="383"/>
      <c r="AXV116" s="383"/>
      <c r="AXW116" s="383"/>
      <c r="AXX116" s="383"/>
      <c r="AXY116" s="383"/>
      <c r="AXZ116" s="383"/>
      <c r="AYA116" s="383"/>
      <c r="AYB116" s="383"/>
      <c r="AYC116" s="383"/>
      <c r="AYD116" s="383"/>
      <c r="AYE116" s="383"/>
      <c r="AYF116" s="383"/>
      <c r="AYG116" s="383"/>
      <c r="AYH116" s="383"/>
      <c r="AYI116" s="383"/>
      <c r="AYJ116" s="383"/>
      <c r="AYK116" s="383"/>
      <c r="AYL116" s="383"/>
      <c r="AYM116" s="383"/>
      <c r="AYN116" s="383"/>
      <c r="AYO116" s="383"/>
      <c r="AYP116" s="383"/>
      <c r="AYQ116" s="383"/>
      <c r="AYR116" s="383"/>
      <c r="AYS116" s="383"/>
      <c r="AYT116" s="383"/>
      <c r="AYU116" s="383"/>
      <c r="AYV116" s="383"/>
      <c r="AYW116" s="383"/>
      <c r="AYX116" s="383"/>
      <c r="AYY116" s="383"/>
      <c r="AYZ116" s="383"/>
      <c r="AZA116" s="383"/>
      <c r="AZB116" s="383"/>
      <c r="AZC116" s="383"/>
      <c r="AZD116" s="383"/>
      <c r="AZE116" s="383"/>
      <c r="AZF116" s="383"/>
      <c r="AZG116" s="383"/>
      <c r="AZH116" s="383"/>
      <c r="AZI116" s="383"/>
      <c r="AZJ116" s="383"/>
      <c r="AZK116" s="383"/>
      <c r="AZL116" s="383"/>
      <c r="AZM116" s="383"/>
      <c r="AZN116" s="383"/>
      <c r="AZO116" s="383"/>
      <c r="AZP116" s="383"/>
      <c r="AZQ116" s="383"/>
      <c r="AZR116" s="383"/>
      <c r="AZS116" s="383"/>
      <c r="AZT116" s="383"/>
      <c r="AZU116" s="383"/>
      <c r="AZV116" s="383"/>
      <c r="AZW116" s="383"/>
      <c r="AZX116" s="383"/>
      <c r="AZY116" s="383"/>
      <c r="AZZ116" s="383"/>
      <c r="BAA116" s="383"/>
      <c r="BAB116" s="383"/>
      <c r="BAC116" s="383"/>
      <c r="BAD116" s="383"/>
      <c r="BAE116" s="383"/>
      <c r="BAF116" s="383"/>
      <c r="BAG116" s="383"/>
      <c r="BAH116" s="383"/>
      <c r="BAI116" s="383"/>
      <c r="BAJ116" s="383"/>
      <c r="BAK116" s="383"/>
      <c r="BAL116" s="383"/>
      <c r="BAM116" s="383"/>
      <c r="BAN116" s="383"/>
      <c r="BAO116" s="383"/>
      <c r="BAP116" s="383"/>
      <c r="BAQ116" s="383"/>
      <c r="BAR116" s="383"/>
      <c r="BAS116" s="383"/>
      <c r="BAT116" s="383"/>
      <c r="BAU116" s="383"/>
      <c r="BAV116" s="383"/>
      <c r="BAW116" s="383"/>
      <c r="BAX116" s="383"/>
      <c r="BAY116" s="383"/>
      <c r="BAZ116" s="383"/>
      <c r="BBA116" s="383"/>
      <c r="BBB116" s="383"/>
      <c r="BBC116" s="383"/>
      <c r="BBD116" s="383"/>
      <c r="BBE116" s="383"/>
      <c r="BBF116" s="383"/>
      <c r="BBG116" s="383"/>
      <c r="BBH116" s="383"/>
      <c r="BBI116" s="383"/>
      <c r="BBJ116" s="383"/>
      <c r="BBK116" s="383"/>
      <c r="BBL116" s="383"/>
      <c r="BBM116" s="383"/>
      <c r="BBN116" s="383"/>
      <c r="BBO116" s="383"/>
      <c r="BBP116" s="383"/>
      <c r="BBQ116" s="383"/>
      <c r="BBR116" s="383"/>
      <c r="BBS116" s="383"/>
      <c r="BBT116" s="383"/>
      <c r="BBU116" s="383"/>
      <c r="BBV116" s="383"/>
      <c r="BBW116" s="383"/>
      <c r="BBX116" s="383"/>
      <c r="BBY116" s="383"/>
      <c r="BBZ116" s="383"/>
      <c r="BCA116" s="383"/>
      <c r="BCB116" s="383"/>
      <c r="BCC116" s="383"/>
      <c r="BCD116" s="383"/>
      <c r="BCE116" s="383"/>
      <c r="BCF116" s="383"/>
      <c r="BCG116" s="383"/>
      <c r="BCH116" s="383"/>
      <c r="BCI116" s="383"/>
      <c r="BCJ116" s="383"/>
      <c r="BCK116" s="383"/>
      <c r="BCL116" s="383"/>
      <c r="BCM116" s="383"/>
      <c r="BCN116" s="383"/>
      <c r="BCO116" s="383"/>
      <c r="BCP116" s="383"/>
      <c r="BCQ116" s="383"/>
      <c r="BCR116" s="383"/>
      <c r="BCS116" s="383"/>
      <c r="BCT116" s="383"/>
      <c r="BCU116" s="383"/>
      <c r="BCV116" s="383"/>
      <c r="BCW116" s="383"/>
      <c r="BCX116" s="383"/>
      <c r="BCY116" s="383"/>
      <c r="BCZ116" s="383"/>
      <c r="BDA116" s="383"/>
      <c r="BDB116" s="383"/>
      <c r="BDC116" s="383"/>
      <c r="BDD116" s="383"/>
      <c r="BDE116" s="383"/>
      <c r="BDF116" s="383"/>
      <c r="BDG116" s="383"/>
      <c r="BDH116" s="383"/>
      <c r="BDI116" s="383"/>
      <c r="BDJ116" s="383"/>
      <c r="BDK116" s="383"/>
      <c r="BDL116" s="383"/>
      <c r="BDM116" s="383"/>
      <c r="BDN116" s="383"/>
      <c r="BDO116" s="383"/>
      <c r="BDP116" s="383"/>
      <c r="BDQ116" s="383"/>
      <c r="BDR116" s="383"/>
      <c r="BDS116" s="383"/>
      <c r="BDT116" s="383"/>
      <c r="BDU116" s="383"/>
      <c r="BDV116" s="383"/>
      <c r="BDW116" s="383"/>
      <c r="BDX116" s="383"/>
      <c r="BDY116" s="383"/>
      <c r="BDZ116" s="383"/>
      <c r="BEA116" s="383"/>
      <c r="BEB116" s="383"/>
      <c r="BEC116" s="383"/>
      <c r="BED116" s="383"/>
      <c r="BEE116" s="383"/>
      <c r="BEF116" s="383"/>
      <c r="BEG116" s="383"/>
      <c r="BEH116" s="383"/>
      <c r="BEI116" s="383"/>
      <c r="BEJ116" s="383"/>
      <c r="BEK116" s="383"/>
      <c r="BEL116" s="383"/>
      <c r="BEM116" s="383"/>
      <c r="BEN116" s="383"/>
      <c r="BEO116" s="383"/>
      <c r="BEP116" s="383"/>
      <c r="BEQ116" s="383"/>
      <c r="BER116" s="383"/>
      <c r="BES116" s="383"/>
      <c r="BET116" s="383"/>
      <c r="BEU116" s="383"/>
      <c r="BEV116" s="383"/>
      <c r="BEW116" s="383"/>
      <c r="BEX116" s="383"/>
      <c r="BEY116" s="383"/>
      <c r="BEZ116" s="383"/>
      <c r="BFA116" s="383"/>
      <c r="BFB116" s="383"/>
      <c r="BFC116" s="383"/>
      <c r="BFD116" s="383"/>
      <c r="BFE116" s="383"/>
      <c r="BFF116" s="383"/>
      <c r="BFG116" s="383"/>
      <c r="BFH116" s="383"/>
      <c r="BFI116" s="383"/>
      <c r="BFJ116" s="383"/>
      <c r="BFK116" s="383"/>
      <c r="BFL116" s="383"/>
      <c r="BFM116" s="383"/>
      <c r="BFN116" s="383"/>
      <c r="BFO116" s="383"/>
      <c r="BFP116" s="383"/>
      <c r="BFQ116" s="383"/>
      <c r="BFR116" s="383"/>
      <c r="BFS116" s="383"/>
      <c r="BFT116" s="383"/>
      <c r="BFU116" s="383"/>
      <c r="BFV116" s="383"/>
      <c r="BFW116" s="383"/>
      <c r="BFX116" s="383"/>
      <c r="BFY116" s="383"/>
      <c r="BFZ116" s="383"/>
      <c r="BGA116" s="383"/>
      <c r="BGB116" s="383"/>
      <c r="BGC116" s="383"/>
      <c r="BGD116" s="383"/>
      <c r="BGE116" s="383"/>
      <c r="BGF116" s="383"/>
      <c r="BGG116" s="383"/>
      <c r="BGH116" s="383"/>
      <c r="BGI116" s="383"/>
      <c r="BGJ116" s="383"/>
      <c r="BGK116" s="383"/>
      <c r="BGL116" s="383"/>
      <c r="BGM116" s="383"/>
      <c r="BGN116" s="383"/>
      <c r="BGO116" s="383"/>
      <c r="BGP116" s="383"/>
      <c r="BGQ116" s="383"/>
      <c r="BGR116" s="383"/>
      <c r="BGS116" s="383"/>
      <c r="BGT116" s="383"/>
      <c r="BGU116" s="383"/>
      <c r="BGV116" s="383"/>
      <c r="BGW116" s="383"/>
      <c r="BGX116" s="383"/>
      <c r="BGY116" s="383"/>
      <c r="BGZ116" s="383"/>
      <c r="BHA116" s="383"/>
      <c r="BHB116" s="383"/>
      <c r="BHC116" s="383"/>
      <c r="BHD116" s="383"/>
      <c r="BHE116" s="383"/>
      <c r="BHF116" s="383"/>
      <c r="BHG116" s="383"/>
      <c r="BHH116" s="383"/>
      <c r="BHI116" s="383"/>
      <c r="BHJ116" s="383"/>
      <c r="BHK116" s="383"/>
      <c r="BHL116" s="383"/>
      <c r="BHM116" s="383"/>
      <c r="BHN116" s="383"/>
      <c r="BHO116" s="383"/>
      <c r="BHP116" s="383"/>
      <c r="BHQ116" s="383"/>
      <c r="BHR116" s="383"/>
      <c r="BHS116" s="383"/>
      <c r="BHT116" s="383"/>
      <c r="BHU116" s="383"/>
      <c r="BHV116" s="383"/>
      <c r="BHW116" s="383"/>
      <c r="BHX116" s="383"/>
      <c r="BHY116" s="383"/>
      <c r="BHZ116" s="383"/>
      <c r="BIA116" s="383"/>
      <c r="BIB116" s="383"/>
      <c r="BIC116" s="383"/>
      <c r="BID116" s="383"/>
      <c r="BIE116" s="383"/>
      <c r="BIF116" s="383"/>
      <c r="BIG116" s="383"/>
      <c r="BIH116" s="383"/>
      <c r="BII116" s="383"/>
      <c r="BIJ116" s="383"/>
      <c r="BIK116" s="383"/>
      <c r="BIL116" s="383"/>
      <c r="BIM116" s="383"/>
      <c r="BIN116" s="383"/>
      <c r="BIO116" s="383"/>
      <c r="BIP116" s="383"/>
      <c r="BIQ116" s="383"/>
      <c r="BIR116" s="383"/>
      <c r="BIS116" s="383"/>
      <c r="BIT116" s="383"/>
      <c r="BIU116" s="383"/>
      <c r="BIV116" s="383"/>
      <c r="BIW116" s="383"/>
      <c r="BIX116" s="383"/>
      <c r="BIY116" s="383"/>
      <c r="BIZ116" s="383"/>
      <c r="BJA116" s="383"/>
      <c r="BJB116" s="383"/>
      <c r="BJC116" s="383"/>
      <c r="BJD116" s="383"/>
      <c r="BJE116" s="383"/>
      <c r="BJF116" s="383"/>
      <c r="BJG116" s="383"/>
      <c r="BJH116" s="383"/>
      <c r="BJI116" s="383"/>
      <c r="BJJ116" s="383"/>
      <c r="BJK116" s="383"/>
      <c r="BJL116" s="383"/>
      <c r="BJM116" s="383"/>
      <c r="BJN116" s="383"/>
      <c r="BJO116" s="383"/>
      <c r="BJP116" s="383"/>
      <c r="BJQ116" s="383"/>
      <c r="BJR116" s="383"/>
      <c r="BJS116" s="383"/>
      <c r="BJT116" s="383"/>
      <c r="BJU116" s="383"/>
      <c r="BJV116" s="383"/>
      <c r="BJW116" s="383"/>
      <c r="BJX116" s="383"/>
      <c r="BJY116" s="383"/>
      <c r="BJZ116" s="383"/>
      <c r="BKA116" s="383"/>
      <c r="BKB116" s="383"/>
      <c r="BKC116" s="383"/>
      <c r="BKD116" s="383"/>
      <c r="BKE116" s="383"/>
      <c r="BKF116" s="383"/>
      <c r="BKG116" s="383"/>
      <c r="BKH116" s="383"/>
      <c r="BKI116" s="383"/>
      <c r="BKJ116" s="383"/>
      <c r="BKK116" s="383"/>
      <c r="BKL116" s="383"/>
      <c r="BKM116" s="383"/>
      <c r="BKN116" s="383"/>
      <c r="BKO116" s="383"/>
      <c r="BKP116" s="383"/>
      <c r="BKQ116" s="383"/>
      <c r="BKR116" s="383"/>
      <c r="BKS116" s="383"/>
      <c r="BKT116" s="383"/>
      <c r="BKU116" s="383"/>
      <c r="BKV116" s="383"/>
      <c r="BKW116" s="383"/>
      <c r="BKX116" s="383"/>
      <c r="BKY116" s="383"/>
      <c r="BKZ116" s="383"/>
      <c r="BLA116" s="383"/>
      <c r="BLB116" s="383"/>
      <c r="BLC116" s="383"/>
      <c r="BLD116" s="383"/>
      <c r="BLE116" s="383"/>
      <c r="BLF116" s="383"/>
      <c r="BLG116" s="383"/>
      <c r="BLH116" s="383"/>
      <c r="BLI116" s="383"/>
      <c r="BLJ116" s="383"/>
      <c r="BLK116" s="383"/>
      <c r="BLL116" s="383"/>
      <c r="BLM116" s="383"/>
      <c r="BLN116" s="383"/>
      <c r="BLO116" s="383"/>
      <c r="BLP116" s="383"/>
      <c r="BLQ116" s="383"/>
      <c r="BLR116" s="383"/>
      <c r="BLS116" s="383"/>
      <c r="BLT116" s="383"/>
      <c r="BLU116" s="383"/>
      <c r="BLV116" s="383"/>
      <c r="BLW116" s="383"/>
      <c r="BLX116" s="383"/>
      <c r="BLY116" s="383"/>
      <c r="BLZ116" s="383"/>
      <c r="BMA116" s="383"/>
      <c r="BMB116" s="383"/>
      <c r="BMC116" s="383"/>
      <c r="BMD116" s="383"/>
      <c r="BME116" s="383"/>
      <c r="BMF116" s="383"/>
      <c r="BMG116" s="383"/>
      <c r="BMH116" s="383"/>
      <c r="BMI116" s="383"/>
      <c r="BMJ116" s="383"/>
      <c r="BMK116" s="383"/>
      <c r="BML116" s="383"/>
      <c r="BMM116" s="383"/>
      <c r="BMN116" s="383"/>
      <c r="BMO116" s="383"/>
      <c r="BMP116" s="383"/>
      <c r="BMQ116" s="383"/>
      <c r="BMR116" s="383"/>
      <c r="BMS116" s="383"/>
      <c r="BMT116" s="383"/>
      <c r="BMU116" s="383"/>
      <c r="BMV116" s="383"/>
      <c r="BMW116" s="383"/>
      <c r="BMX116" s="383"/>
      <c r="BMY116" s="383"/>
      <c r="BMZ116" s="383"/>
      <c r="BNA116" s="383"/>
      <c r="BNB116" s="383"/>
      <c r="BNC116" s="383"/>
      <c r="BND116" s="383"/>
      <c r="BNE116" s="383"/>
      <c r="BNF116" s="383"/>
      <c r="BNG116" s="383"/>
      <c r="BNH116" s="383"/>
      <c r="BNI116" s="383"/>
      <c r="BNJ116" s="383"/>
      <c r="BNK116" s="383"/>
      <c r="BNL116" s="383"/>
      <c r="BNM116" s="383"/>
      <c r="BNN116" s="383"/>
      <c r="BNO116" s="383"/>
      <c r="BNP116" s="383"/>
      <c r="BNQ116" s="383"/>
      <c r="BNR116" s="383"/>
      <c r="BNS116" s="383"/>
      <c r="BNT116" s="383"/>
      <c r="BNU116" s="383"/>
      <c r="BNV116" s="383"/>
      <c r="BNW116" s="383"/>
      <c r="BNX116" s="383"/>
      <c r="BNY116" s="383"/>
      <c r="BNZ116" s="383"/>
      <c r="BOA116" s="383"/>
      <c r="BOB116" s="383"/>
      <c r="BOC116" s="383"/>
      <c r="BOD116" s="383"/>
      <c r="BOE116" s="383"/>
      <c r="BOF116" s="383"/>
      <c r="BOG116" s="383"/>
      <c r="BOH116" s="383"/>
      <c r="BOI116" s="383"/>
      <c r="BOJ116" s="383"/>
      <c r="BOK116" s="383"/>
      <c r="BOL116" s="383"/>
      <c r="BOM116" s="383"/>
      <c r="BON116" s="383"/>
      <c r="BOO116" s="383"/>
      <c r="BOP116" s="383"/>
      <c r="BOQ116" s="383"/>
      <c r="BOR116" s="383"/>
      <c r="BOS116" s="383"/>
      <c r="BOT116" s="383"/>
      <c r="BOU116" s="383"/>
      <c r="BOV116" s="383"/>
      <c r="BOW116" s="383"/>
      <c r="BOX116" s="383"/>
      <c r="BOY116" s="383"/>
      <c r="BOZ116" s="383"/>
      <c r="BPA116" s="383"/>
      <c r="BPB116" s="383"/>
      <c r="BPC116" s="383"/>
      <c r="BPD116" s="383"/>
      <c r="BPE116" s="383"/>
      <c r="BPF116" s="383"/>
      <c r="BPG116" s="383"/>
      <c r="BPH116" s="383"/>
      <c r="BPI116" s="383"/>
      <c r="BPJ116" s="383"/>
      <c r="BPK116" s="383"/>
      <c r="BPL116" s="383"/>
      <c r="BPM116" s="383"/>
      <c r="BPN116" s="383"/>
      <c r="BPO116" s="383"/>
      <c r="BPP116" s="383"/>
      <c r="BPQ116" s="383"/>
      <c r="BPR116" s="383"/>
      <c r="BPS116" s="383"/>
      <c r="BPT116" s="383"/>
      <c r="BPU116" s="383"/>
      <c r="BPV116" s="383"/>
      <c r="BPW116" s="383"/>
      <c r="BPX116" s="383"/>
      <c r="BPY116" s="383"/>
      <c r="BPZ116" s="383"/>
      <c r="BQA116" s="383"/>
      <c r="BQB116" s="383"/>
      <c r="BQC116" s="383"/>
      <c r="BQD116" s="383"/>
      <c r="BQE116" s="383"/>
      <c r="BQF116" s="383"/>
      <c r="BQG116" s="383"/>
      <c r="BQH116" s="383"/>
      <c r="BQI116" s="383"/>
      <c r="BQJ116" s="383"/>
      <c r="BQK116" s="383"/>
      <c r="BQL116" s="383"/>
      <c r="BQM116" s="383"/>
      <c r="BQN116" s="383"/>
      <c r="BQO116" s="383"/>
      <c r="BQP116" s="383"/>
      <c r="BQQ116" s="383"/>
      <c r="BQR116" s="383"/>
      <c r="BQS116" s="383"/>
      <c r="BQT116" s="383"/>
      <c r="BQU116" s="383"/>
      <c r="BQV116" s="383"/>
      <c r="BQW116" s="383"/>
      <c r="BQX116" s="383"/>
      <c r="BQY116" s="383"/>
      <c r="BQZ116" s="383"/>
      <c r="BRA116" s="383"/>
      <c r="BRB116" s="383"/>
      <c r="BRC116" s="383"/>
      <c r="BRD116" s="383"/>
      <c r="BRE116" s="383"/>
      <c r="BRF116" s="383"/>
      <c r="BRG116" s="383"/>
      <c r="BRH116" s="383"/>
      <c r="BRI116" s="383"/>
      <c r="BRJ116" s="383"/>
      <c r="BRK116" s="383"/>
      <c r="BRL116" s="383"/>
      <c r="BRM116" s="383"/>
      <c r="BRN116" s="383"/>
      <c r="BRO116" s="383"/>
      <c r="BRP116" s="383"/>
      <c r="BRQ116" s="383"/>
      <c r="BRR116" s="383"/>
      <c r="BRS116" s="383"/>
      <c r="BRT116" s="383"/>
      <c r="BRU116" s="383"/>
      <c r="BRV116" s="383"/>
      <c r="BRW116" s="383"/>
      <c r="BRX116" s="383"/>
      <c r="BRY116" s="383"/>
      <c r="BRZ116" s="383"/>
      <c r="BSA116" s="383"/>
      <c r="BSB116" s="383"/>
      <c r="BSC116" s="383"/>
      <c r="BSD116" s="383"/>
      <c r="BSE116" s="383"/>
      <c r="BSF116" s="383"/>
      <c r="BSG116" s="383"/>
      <c r="BSH116" s="383"/>
      <c r="BSI116" s="383"/>
      <c r="BSJ116" s="383"/>
      <c r="BSK116" s="383"/>
      <c r="BSL116" s="383"/>
      <c r="BSM116" s="383"/>
      <c r="BSN116" s="383"/>
      <c r="BSO116" s="383"/>
      <c r="BSP116" s="383"/>
      <c r="BSQ116" s="383"/>
      <c r="BSR116" s="383"/>
      <c r="BSS116" s="383"/>
      <c r="BST116" s="383"/>
      <c r="BSU116" s="383"/>
      <c r="BSV116" s="383"/>
      <c r="BSW116" s="383"/>
      <c r="BSX116" s="383"/>
      <c r="BSY116" s="383"/>
      <c r="BSZ116" s="383"/>
      <c r="BTA116" s="383"/>
      <c r="BTB116" s="383"/>
      <c r="BTC116" s="383"/>
      <c r="BTD116" s="383"/>
      <c r="BTE116" s="383"/>
      <c r="BTF116" s="383"/>
      <c r="BTG116" s="383"/>
      <c r="BTH116" s="383"/>
      <c r="BTI116" s="383"/>
      <c r="BTJ116" s="383"/>
      <c r="BTK116" s="383"/>
      <c r="BTL116" s="383"/>
      <c r="BTM116" s="383"/>
      <c r="BTN116" s="383"/>
      <c r="BTO116" s="383"/>
      <c r="BTP116" s="383"/>
      <c r="BTQ116" s="383"/>
      <c r="BTR116" s="383"/>
      <c r="BTS116" s="383"/>
      <c r="BTT116" s="383"/>
      <c r="BTU116" s="383"/>
      <c r="BTV116" s="383"/>
      <c r="BTW116" s="383"/>
      <c r="BTX116" s="383"/>
      <c r="BTY116" s="383"/>
      <c r="BTZ116" s="383"/>
      <c r="BUA116" s="383"/>
      <c r="BUB116" s="383"/>
      <c r="BUC116" s="383"/>
      <c r="BUD116" s="383"/>
      <c r="BUE116" s="383"/>
      <c r="BUF116" s="383"/>
      <c r="BUG116" s="383"/>
      <c r="BUH116" s="383"/>
      <c r="BUI116" s="383"/>
      <c r="BUJ116" s="383"/>
      <c r="BUK116" s="383"/>
      <c r="BUL116" s="383"/>
      <c r="BUM116" s="383"/>
      <c r="BUN116" s="383"/>
      <c r="BUO116" s="383"/>
      <c r="BUP116" s="383"/>
      <c r="BUQ116" s="383"/>
      <c r="BUR116" s="383"/>
      <c r="BUS116" s="383"/>
      <c r="BUT116" s="383"/>
      <c r="BUU116" s="383"/>
      <c r="BUV116" s="383"/>
      <c r="BUW116" s="383"/>
      <c r="BUX116" s="383"/>
      <c r="BUY116" s="383"/>
      <c r="BUZ116" s="383"/>
      <c r="BVA116" s="383"/>
      <c r="BVB116" s="383"/>
      <c r="BVC116" s="383"/>
      <c r="BVD116" s="383"/>
      <c r="BVE116" s="383"/>
      <c r="BVF116" s="383"/>
      <c r="BVG116" s="383"/>
      <c r="BVH116" s="383"/>
      <c r="BVI116" s="383"/>
      <c r="BVJ116" s="383"/>
      <c r="BVK116" s="383"/>
      <c r="BVL116" s="383"/>
      <c r="BVM116" s="383"/>
      <c r="BVN116" s="383"/>
      <c r="BVO116" s="383"/>
      <c r="BVP116" s="383"/>
      <c r="BVQ116" s="383"/>
      <c r="BVR116" s="383"/>
      <c r="BVS116" s="383"/>
      <c r="BVT116" s="383"/>
      <c r="BVU116" s="383"/>
      <c r="BVV116" s="383"/>
      <c r="BVW116" s="383"/>
      <c r="BVX116" s="383"/>
      <c r="BVY116" s="383"/>
      <c r="BVZ116" s="383"/>
      <c r="BWA116" s="383"/>
      <c r="BWB116" s="383"/>
      <c r="BWC116" s="383"/>
      <c r="BWD116" s="383"/>
      <c r="BWE116" s="383"/>
      <c r="BWF116" s="383"/>
      <c r="BWG116" s="383"/>
      <c r="BWH116" s="383"/>
      <c r="BWI116" s="383"/>
      <c r="BWJ116" s="383"/>
      <c r="BWK116" s="383"/>
      <c r="BWL116" s="383"/>
      <c r="BWM116" s="383"/>
      <c r="BWN116" s="383"/>
      <c r="BWO116" s="383"/>
      <c r="BWP116" s="383"/>
      <c r="BWQ116" s="383"/>
      <c r="BWR116" s="383"/>
      <c r="BWS116" s="383"/>
      <c r="BWT116" s="383"/>
      <c r="BWU116" s="383"/>
      <c r="BWV116" s="383"/>
      <c r="BWW116" s="383"/>
      <c r="BWX116" s="383"/>
      <c r="BWY116" s="383"/>
      <c r="BWZ116" s="383"/>
      <c r="BXA116" s="383"/>
      <c r="BXB116" s="383"/>
      <c r="BXC116" s="383"/>
      <c r="BXD116" s="383"/>
      <c r="BXE116" s="383"/>
      <c r="BXF116" s="383"/>
      <c r="BXG116" s="383"/>
      <c r="BXH116" s="383"/>
      <c r="BXI116" s="383"/>
      <c r="BXJ116" s="383"/>
      <c r="BXK116" s="383"/>
      <c r="BXL116" s="383"/>
      <c r="BXM116" s="383"/>
      <c r="BXN116" s="383"/>
      <c r="BXO116" s="383"/>
      <c r="BXP116" s="383"/>
      <c r="BXQ116" s="383"/>
      <c r="BXR116" s="383"/>
      <c r="BXS116" s="383"/>
      <c r="BXT116" s="383"/>
      <c r="BXU116" s="383"/>
      <c r="BXV116" s="383"/>
      <c r="BXW116" s="383"/>
      <c r="BXX116" s="383"/>
      <c r="BXY116" s="383"/>
      <c r="BXZ116" s="383"/>
      <c r="BYA116" s="383"/>
      <c r="BYB116" s="383"/>
      <c r="BYC116" s="383"/>
      <c r="BYD116" s="383"/>
      <c r="BYE116" s="383"/>
      <c r="BYF116" s="383"/>
      <c r="BYG116" s="383"/>
      <c r="BYH116" s="383"/>
      <c r="BYI116" s="383"/>
      <c r="BYJ116" s="383"/>
      <c r="BYK116" s="383"/>
      <c r="BYL116" s="383"/>
      <c r="BYM116" s="383"/>
      <c r="BYN116" s="383"/>
      <c r="BYO116" s="383"/>
      <c r="BYP116" s="383"/>
      <c r="BYQ116" s="383"/>
      <c r="BYR116" s="383"/>
      <c r="BYS116" s="383"/>
      <c r="BYT116" s="383"/>
      <c r="BYU116" s="383"/>
      <c r="BYV116" s="383"/>
      <c r="BYW116" s="383"/>
      <c r="BYX116" s="383"/>
      <c r="BYY116" s="383"/>
      <c r="BYZ116" s="383"/>
      <c r="BZA116" s="383"/>
      <c r="BZB116" s="383"/>
      <c r="BZC116" s="383"/>
      <c r="BZD116" s="383"/>
      <c r="BZE116" s="383"/>
      <c r="BZF116" s="383"/>
      <c r="BZG116" s="383"/>
      <c r="BZH116" s="383"/>
      <c r="BZI116" s="383"/>
      <c r="BZJ116" s="383"/>
      <c r="BZK116" s="383"/>
      <c r="BZL116" s="383"/>
      <c r="BZM116" s="383"/>
      <c r="BZN116" s="383"/>
      <c r="BZO116" s="383"/>
      <c r="BZP116" s="383"/>
      <c r="BZQ116" s="383"/>
      <c r="BZR116" s="383"/>
      <c r="BZS116" s="383"/>
      <c r="BZT116" s="383"/>
      <c r="BZU116" s="383"/>
      <c r="BZV116" s="383"/>
      <c r="BZW116" s="383"/>
      <c r="BZX116" s="383"/>
      <c r="BZY116" s="383"/>
      <c r="BZZ116" s="383"/>
      <c r="CAA116" s="383"/>
      <c r="CAB116" s="383"/>
      <c r="CAC116" s="383"/>
      <c r="CAD116" s="383"/>
      <c r="CAE116" s="383"/>
      <c r="CAF116" s="383"/>
      <c r="CAG116" s="383"/>
      <c r="CAH116" s="383"/>
      <c r="CAI116" s="383"/>
      <c r="CAJ116" s="383"/>
      <c r="CAK116" s="383"/>
      <c r="CAL116" s="383"/>
      <c r="CAM116" s="383"/>
      <c r="CAN116" s="383"/>
      <c r="CAO116" s="383"/>
      <c r="CAP116" s="383"/>
      <c r="CAQ116" s="383"/>
      <c r="CAR116" s="383"/>
      <c r="CAS116" s="383"/>
      <c r="CAT116" s="383"/>
      <c r="CAU116" s="383"/>
      <c r="CAV116" s="383"/>
      <c r="CAW116" s="383"/>
      <c r="CAX116" s="383"/>
      <c r="CAY116" s="383"/>
      <c r="CAZ116" s="383"/>
      <c r="CBA116" s="383"/>
      <c r="CBB116" s="383"/>
      <c r="CBC116" s="383"/>
      <c r="CBD116" s="383"/>
      <c r="CBE116" s="383"/>
      <c r="CBF116" s="383"/>
      <c r="CBG116" s="383"/>
      <c r="CBH116" s="383"/>
      <c r="CBI116" s="383"/>
      <c r="CBJ116" s="383"/>
      <c r="CBK116" s="383"/>
      <c r="CBL116" s="383"/>
      <c r="CBM116" s="383"/>
      <c r="CBN116" s="383"/>
      <c r="CBO116" s="383"/>
      <c r="CBP116" s="383"/>
      <c r="CBQ116" s="383"/>
      <c r="CBR116" s="383"/>
      <c r="CBS116" s="383"/>
      <c r="CBT116" s="383"/>
      <c r="CBU116" s="383"/>
      <c r="CBV116" s="383"/>
      <c r="CBW116" s="383"/>
      <c r="CBX116" s="383"/>
      <c r="CBY116" s="383"/>
      <c r="CBZ116" s="383"/>
      <c r="CCA116" s="383"/>
      <c r="CCB116" s="383"/>
      <c r="CCC116" s="383"/>
      <c r="CCD116" s="383"/>
      <c r="CCE116" s="383"/>
      <c r="CCF116" s="383"/>
      <c r="CCG116" s="383"/>
      <c r="CCH116" s="383"/>
      <c r="CCI116" s="383"/>
      <c r="CCJ116" s="383"/>
      <c r="CCK116" s="383"/>
      <c r="CCL116" s="383"/>
      <c r="CCM116" s="383"/>
      <c r="CCN116" s="383"/>
      <c r="CCO116" s="383"/>
      <c r="CCP116" s="383"/>
      <c r="CCQ116" s="383"/>
      <c r="CCR116" s="383"/>
      <c r="CCS116" s="383"/>
      <c r="CCT116" s="383"/>
      <c r="CCU116" s="383"/>
      <c r="CCV116" s="383"/>
      <c r="CCW116" s="383"/>
      <c r="CCX116" s="383"/>
      <c r="CCY116" s="383"/>
      <c r="CCZ116" s="383"/>
      <c r="CDA116" s="383"/>
      <c r="CDB116" s="383"/>
      <c r="CDC116" s="383"/>
      <c r="CDD116" s="383"/>
      <c r="CDE116" s="383"/>
      <c r="CDF116" s="383"/>
      <c r="CDG116" s="383"/>
      <c r="CDH116" s="383"/>
      <c r="CDI116" s="383"/>
      <c r="CDJ116" s="383"/>
      <c r="CDK116" s="383"/>
      <c r="CDL116" s="383"/>
      <c r="CDM116" s="383"/>
      <c r="CDN116" s="383"/>
      <c r="CDO116" s="383"/>
      <c r="CDP116" s="383"/>
      <c r="CDQ116" s="383"/>
      <c r="CDR116" s="383"/>
      <c r="CDS116" s="383"/>
      <c r="CDT116" s="383"/>
      <c r="CDU116" s="383"/>
      <c r="CDV116" s="383"/>
      <c r="CDW116" s="383"/>
      <c r="CDX116" s="383"/>
      <c r="CDY116" s="383"/>
      <c r="CDZ116" s="383"/>
      <c r="CEA116" s="383"/>
      <c r="CEB116" s="383"/>
      <c r="CEC116" s="383"/>
      <c r="CED116" s="383"/>
      <c r="CEE116" s="383"/>
      <c r="CEF116" s="383"/>
      <c r="CEG116" s="383"/>
      <c r="CEH116" s="383"/>
      <c r="CEI116" s="383"/>
      <c r="CEJ116" s="383"/>
      <c r="CEK116" s="383"/>
      <c r="CEL116" s="383"/>
      <c r="CEM116" s="383"/>
      <c r="CEN116" s="383"/>
      <c r="CEO116" s="383"/>
      <c r="CEP116" s="383"/>
      <c r="CEQ116" s="383"/>
      <c r="CER116" s="383"/>
      <c r="CES116" s="383"/>
      <c r="CET116" s="383"/>
      <c r="CEU116" s="383"/>
      <c r="CEV116" s="383"/>
      <c r="CEW116" s="383"/>
      <c r="CEX116" s="383"/>
      <c r="CEY116" s="383"/>
      <c r="CEZ116" s="383"/>
      <c r="CFA116" s="383"/>
      <c r="CFB116" s="383"/>
      <c r="CFC116" s="383"/>
      <c r="CFD116" s="383"/>
      <c r="CFE116" s="383"/>
      <c r="CFF116" s="383"/>
      <c r="CFG116" s="383"/>
      <c r="CFH116" s="383"/>
      <c r="CFI116" s="383"/>
      <c r="CFJ116" s="383"/>
      <c r="CFK116" s="383"/>
      <c r="CFL116" s="383"/>
      <c r="CFM116" s="383"/>
      <c r="CFN116" s="383"/>
      <c r="CFO116" s="383"/>
      <c r="CFP116" s="383"/>
      <c r="CFQ116" s="383"/>
      <c r="CFR116" s="383"/>
      <c r="CFS116" s="383"/>
      <c r="CFT116" s="383"/>
      <c r="CFU116" s="383"/>
      <c r="CFV116" s="383"/>
      <c r="CFW116" s="383"/>
      <c r="CFX116" s="383"/>
      <c r="CFY116" s="383"/>
      <c r="CFZ116" s="383"/>
      <c r="CGA116" s="383"/>
      <c r="CGB116" s="383"/>
      <c r="CGC116" s="383"/>
      <c r="CGD116" s="383"/>
      <c r="CGE116" s="383"/>
      <c r="CGF116" s="383"/>
      <c r="CGG116" s="383"/>
      <c r="CGH116" s="383"/>
      <c r="CGI116" s="383"/>
      <c r="CGJ116" s="383"/>
      <c r="CGK116" s="383"/>
      <c r="CGL116" s="383"/>
      <c r="CGM116" s="383"/>
      <c r="CGN116" s="383"/>
      <c r="CGO116" s="383"/>
      <c r="CGP116" s="383"/>
      <c r="CGQ116" s="383"/>
      <c r="CGR116" s="383"/>
      <c r="CGS116" s="383"/>
      <c r="CGT116" s="383"/>
      <c r="CGU116" s="383"/>
      <c r="CGV116" s="383"/>
      <c r="CGW116" s="383"/>
      <c r="CGX116" s="383"/>
      <c r="CGY116" s="383"/>
      <c r="CGZ116" s="383"/>
      <c r="CHA116" s="383"/>
      <c r="CHB116" s="383"/>
      <c r="CHC116" s="383"/>
      <c r="CHD116" s="383"/>
      <c r="CHE116" s="383"/>
      <c r="CHF116" s="383"/>
      <c r="CHG116" s="383"/>
      <c r="CHH116" s="383"/>
      <c r="CHI116" s="383"/>
      <c r="CHJ116" s="383"/>
      <c r="CHK116" s="383"/>
      <c r="CHL116" s="383"/>
      <c r="CHM116" s="383"/>
      <c r="CHN116" s="383"/>
      <c r="CHO116" s="383"/>
      <c r="CHP116" s="383"/>
      <c r="CHQ116" s="383"/>
      <c r="CHR116" s="383"/>
      <c r="CHS116" s="383"/>
      <c r="CHT116" s="383"/>
      <c r="CHU116" s="383"/>
      <c r="CHV116" s="383"/>
      <c r="CHW116" s="383"/>
      <c r="CHX116" s="383"/>
      <c r="CHY116" s="383"/>
      <c r="CHZ116" s="383"/>
      <c r="CIA116" s="383"/>
      <c r="CIB116" s="383"/>
      <c r="CIC116" s="383"/>
      <c r="CID116" s="383"/>
      <c r="CIE116" s="383"/>
      <c r="CIF116" s="383"/>
      <c r="CIG116" s="383"/>
      <c r="CIH116" s="383"/>
      <c r="CII116" s="383"/>
      <c r="CIJ116" s="383"/>
      <c r="CIK116" s="383"/>
      <c r="CIL116" s="383"/>
      <c r="CIM116" s="383"/>
      <c r="CIN116" s="383"/>
      <c r="CIO116" s="383"/>
      <c r="CIP116" s="383"/>
      <c r="CIQ116" s="383"/>
      <c r="CIR116" s="383"/>
      <c r="CIS116" s="383"/>
      <c r="CIT116" s="383"/>
      <c r="CIU116" s="383"/>
      <c r="CIV116" s="383"/>
      <c r="CIW116" s="383"/>
      <c r="CIX116" s="383"/>
      <c r="CIY116" s="383"/>
      <c r="CIZ116" s="383"/>
      <c r="CJA116" s="383"/>
      <c r="CJB116" s="383"/>
      <c r="CJC116" s="383"/>
      <c r="CJD116" s="383"/>
      <c r="CJE116" s="383"/>
      <c r="CJF116" s="383"/>
      <c r="CJG116" s="383"/>
      <c r="CJH116" s="383"/>
      <c r="CJI116" s="383"/>
      <c r="CJJ116" s="383"/>
      <c r="CJK116" s="383"/>
      <c r="CJL116" s="383"/>
      <c r="CJM116" s="383"/>
      <c r="CJN116" s="383"/>
      <c r="CJO116" s="383"/>
      <c r="CJP116" s="383"/>
      <c r="CJQ116" s="383"/>
      <c r="CJR116" s="383"/>
      <c r="CJS116" s="383"/>
      <c r="CJT116" s="383"/>
      <c r="CJU116" s="383"/>
      <c r="CJV116" s="383"/>
      <c r="CJW116" s="383"/>
      <c r="CJX116" s="383"/>
      <c r="CJY116" s="383"/>
      <c r="CJZ116" s="383"/>
      <c r="CKA116" s="383"/>
      <c r="CKB116" s="383"/>
      <c r="CKC116" s="383"/>
      <c r="CKD116" s="383"/>
      <c r="CKE116" s="383"/>
      <c r="CKF116" s="383"/>
      <c r="CKG116" s="383"/>
      <c r="CKH116" s="383"/>
      <c r="CKI116" s="383"/>
      <c r="CKJ116" s="383"/>
      <c r="CKK116" s="383"/>
      <c r="CKL116" s="383"/>
      <c r="CKM116" s="383"/>
      <c r="CKN116" s="383"/>
      <c r="CKO116" s="383"/>
      <c r="CKP116" s="383"/>
      <c r="CKQ116" s="383"/>
      <c r="CKR116" s="383"/>
      <c r="CKS116" s="383"/>
      <c r="CKT116" s="383"/>
      <c r="CKU116" s="383"/>
      <c r="CKV116" s="383"/>
      <c r="CKW116" s="383"/>
      <c r="CKX116" s="383"/>
      <c r="CKY116" s="383"/>
      <c r="CKZ116" s="383"/>
      <c r="CLA116" s="383"/>
      <c r="CLB116" s="383"/>
      <c r="CLC116" s="383"/>
      <c r="CLD116" s="383"/>
      <c r="CLE116" s="383"/>
      <c r="CLF116" s="383"/>
      <c r="CLG116" s="383"/>
      <c r="CLH116" s="383"/>
      <c r="CLI116" s="383"/>
      <c r="CLJ116" s="383"/>
      <c r="CLK116" s="383"/>
      <c r="CLL116" s="383"/>
      <c r="CLM116" s="383"/>
      <c r="CLN116" s="383"/>
      <c r="CLO116" s="383"/>
      <c r="CLP116" s="383"/>
      <c r="CLQ116" s="383"/>
      <c r="CLR116" s="383"/>
      <c r="CLS116" s="383"/>
      <c r="CLT116" s="383"/>
      <c r="CLU116" s="383"/>
      <c r="CLV116" s="383"/>
      <c r="CLW116" s="383"/>
      <c r="CLX116" s="383"/>
      <c r="CLY116" s="383"/>
      <c r="CLZ116" s="383"/>
      <c r="CMA116" s="383"/>
      <c r="CMB116" s="383"/>
      <c r="CMC116" s="383"/>
      <c r="CMD116" s="383"/>
      <c r="CME116" s="383"/>
      <c r="CMF116" s="383"/>
      <c r="CMG116" s="383"/>
      <c r="CMH116" s="383"/>
      <c r="CMI116" s="383"/>
      <c r="CMJ116" s="383"/>
      <c r="CMK116" s="383"/>
      <c r="CML116" s="383"/>
      <c r="CMM116" s="383"/>
      <c r="CMN116" s="383"/>
      <c r="CMO116" s="383"/>
      <c r="CMP116" s="383"/>
      <c r="CMQ116" s="383"/>
      <c r="CMR116" s="383"/>
      <c r="CMS116" s="383"/>
      <c r="CMT116" s="383"/>
      <c r="CMU116" s="383"/>
      <c r="CMV116" s="383"/>
      <c r="CMW116" s="383"/>
      <c r="CMX116" s="383"/>
      <c r="CMY116" s="383"/>
      <c r="CMZ116" s="383"/>
      <c r="CNA116" s="383"/>
      <c r="CNB116" s="383"/>
      <c r="CNC116" s="383"/>
      <c r="CND116" s="383"/>
      <c r="CNE116" s="383"/>
      <c r="CNF116" s="383"/>
      <c r="CNG116" s="383"/>
      <c r="CNH116" s="383"/>
      <c r="CNI116" s="383"/>
      <c r="CNJ116" s="383"/>
      <c r="CNK116" s="383"/>
      <c r="CNL116" s="383"/>
      <c r="CNM116" s="383"/>
      <c r="CNN116" s="383"/>
      <c r="CNO116" s="383"/>
      <c r="CNP116" s="383"/>
      <c r="CNQ116" s="383"/>
      <c r="CNR116" s="383"/>
      <c r="CNS116" s="383"/>
      <c r="CNT116" s="383"/>
      <c r="CNU116" s="383"/>
      <c r="CNV116" s="383"/>
      <c r="CNW116" s="383"/>
      <c r="CNX116" s="383"/>
      <c r="CNY116" s="383"/>
      <c r="CNZ116" s="383"/>
      <c r="COA116" s="383"/>
      <c r="COB116" s="383"/>
      <c r="COC116" s="383"/>
      <c r="COD116" s="383"/>
      <c r="COE116" s="383"/>
      <c r="COF116" s="383"/>
      <c r="COG116" s="383"/>
      <c r="COH116" s="383"/>
      <c r="COI116" s="383"/>
      <c r="COJ116" s="383"/>
      <c r="COK116" s="383"/>
      <c r="COL116" s="383"/>
      <c r="COM116" s="383"/>
      <c r="CON116" s="383"/>
      <c r="COO116" s="383"/>
      <c r="COP116" s="383"/>
      <c r="COQ116" s="383"/>
      <c r="COR116" s="383"/>
      <c r="COS116" s="383"/>
      <c r="COT116" s="383"/>
      <c r="COU116" s="383"/>
      <c r="COV116" s="383"/>
      <c r="COW116" s="383"/>
      <c r="COX116" s="383"/>
      <c r="COY116" s="383"/>
      <c r="COZ116" s="383"/>
      <c r="CPA116" s="383"/>
      <c r="CPB116" s="383"/>
      <c r="CPC116" s="383"/>
      <c r="CPD116" s="383"/>
      <c r="CPE116" s="383"/>
      <c r="CPF116" s="383"/>
      <c r="CPG116" s="383"/>
      <c r="CPH116" s="383"/>
      <c r="CPI116" s="383"/>
      <c r="CPJ116" s="383"/>
      <c r="CPK116" s="383"/>
      <c r="CPL116" s="383"/>
      <c r="CPM116" s="383"/>
      <c r="CPN116" s="383"/>
      <c r="CPO116" s="383"/>
      <c r="CPP116" s="383"/>
      <c r="CPQ116" s="383"/>
      <c r="CPR116" s="383"/>
      <c r="CPS116" s="383"/>
      <c r="CPT116" s="383"/>
      <c r="CPU116" s="383"/>
      <c r="CPV116" s="383"/>
      <c r="CPW116" s="383"/>
      <c r="CPX116" s="383"/>
      <c r="CPY116" s="383"/>
      <c r="CPZ116" s="383"/>
      <c r="CQA116" s="383"/>
      <c r="CQB116" s="383"/>
      <c r="CQC116" s="383"/>
      <c r="CQD116" s="383"/>
      <c r="CQE116" s="383"/>
      <c r="CQF116" s="383"/>
      <c r="CQG116" s="383"/>
      <c r="CQH116" s="383"/>
      <c r="CQI116" s="383"/>
      <c r="CQJ116" s="383"/>
      <c r="CQK116" s="383"/>
      <c r="CQL116" s="383"/>
      <c r="CQM116" s="383"/>
      <c r="CQN116" s="383"/>
      <c r="CQO116" s="383"/>
      <c r="CQP116" s="383"/>
      <c r="CQQ116" s="383"/>
      <c r="CQR116" s="383"/>
      <c r="CQS116" s="383"/>
      <c r="CQT116" s="383"/>
      <c r="CQU116" s="383"/>
      <c r="CQV116" s="383"/>
      <c r="CQW116" s="383"/>
      <c r="CQX116" s="383"/>
      <c r="CQY116" s="383"/>
      <c r="CQZ116" s="383"/>
      <c r="CRA116" s="383"/>
      <c r="CRB116" s="383"/>
      <c r="CRC116" s="383"/>
      <c r="CRD116" s="383"/>
      <c r="CRE116" s="383"/>
      <c r="CRF116" s="383"/>
      <c r="CRG116" s="383"/>
      <c r="CRH116" s="383"/>
      <c r="CRI116" s="383"/>
      <c r="CRJ116" s="383"/>
      <c r="CRK116" s="383"/>
      <c r="CRL116" s="383"/>
      <c r="CRM116" s="383"/>
      <c r="CRN116" s="383"/>
      <c r="CRO116" s="383"/>
      <c r="CRP116" s="383"/>
      <c r="CRQ116" s="383"/>
      <c r="CRR116" s="383"/>
      <c r="CRS116" s="383"/>
      <c r="CRT116" s="383"/>
      <c r="CRU116" s="383"/>
      <c r="CRV116" s="383"/>
      <c r="CRW116" s="383"/>
      <c r="CRX116" s="383"/>
      <c r="CRY116" s="383"/>
      <c r="CRZ116" s="383"/>
      <c r="CSA116" s="383"/>
      <c r="CSB116" s="383"/>
      <c r="CSC116" s="383"/>
      <c r="CSD116" s="383"/>
      <c r="CSE116" s="383"/>
      <c r="CSF116" s="383"/>
      <c r="CSG116" s="383"/>
      <c r="CSH116" s="383"/>
      <c r="CSI116" s="383"/>
      <c r="CSJ116" s="383"/>
      <c r="CSK116" s="383"/>
      <c r="CSL116" s="383"/>
      <c r="CSM116" s="383"/>
      <c r="CSN116" s="383"/>
      <c r="CSO116" s="383"/>
      <c r="CSP116" s="383"/>
      <c r="CSQ116" s="383"/>
      <c r="CSR116" s="383"/>
      <c r="CSS116" s="383"/>
      <c r="CST116" s="383"/>
      <c r="CSU116" s="383"/>
      <c r="CSV116" s="383"/>
      <c r="CSW116" s="383"/>
      <c r="CSX116" s="383"/>
      <c r="CSY116" s="383"/>
      <c r="CSZ116" s="383"/>
      <c r="CTA116" s="383"/>
      <c r="CTB116" s="383"/>
      <c r="CTC116" s="383"/>
      <c r="CTD116" s="383"/>
      <c r="CTE116" s="383"/>
      <c r="CTF116" s="383"/>
      <c r="CTG116" s="383"/>
      <c r="CTH116" s="383"/>
      <c r="CTI116" s="383"/>
      <c r="CTJ116" s="383"/>
      <c r="CTK116" s="383"/>
      <c r="CTL116" s="383"/>
      <c r="CTM116" s="383"/>
      <c r="CTN116" s="383"/>
      <c r="CTO116" s="383"/>
      <c r="CTP116" s="383"/>
      <c r="CTQ116" s="383"/>
      <c r="CTR116" s="383"/>
      <c r="CTS116" s="383"/>
      <c r="CTT116" s="383"/>
      <c r="CTU116" s="383"/>
      <c r="CTV116" s="383"/>
      <c r="CTW116" s="383"/>
      <c r="CTX116" s="383"/>
      <c r="CTY116" s="383"/>
      <c r="CTZ116" s="383"/>
      <c r="CUA116" s="383"/>
      <c r="CUB116" s="383"/>
      <c r="CUC116" s="383"/>
      <c r="CUD116" s="383"/>
      <c r="CUE116" s="383"/>
      <c r="CUF116" s="383"/>
      <c r="CUG116" s="383"/>
      <c r="CUH116" s="383"/>
      <c r="CUI116" s="383"/>
      <c r="CUJ116" s="383"/>
      <c r="CUK116" s="383"/>
      <c r="CUL116" s="383"/>
      <c r="CUM116" s="383"/>
      <c r="CUN116" s="383"/>
      <c r="CUO116" s="383"/>
      <c r="CUP116" s="383"/>
      <c r="CUQ116" s="383"/>
      <c r="CUR116" s="383"/>
      <c r="CUS116" s="383"/>
      <c r="CUT116" s="383"/>
      <c r="CUU116" s="383"/>
      <c r="CUV116" s="383"/>
      <c r="CUW116" s="383"/>
      <c r="CUX116" s="383"/>
      <c r="CUY116" s="383"/>
      <c r="CUZ116" s="383"/>
      <c r="CVA116" s="383"/>
      <c r="CVB116" s="383"/>
      <c r="CVC116" s="383"/>
      <c r="CVD116" s="383"/>
      <c r="CVE116" s="383"/>
      <c r="CVF116" s="383"/>
      <c r="CVG116" s="383"/>
      <c r="CVH116" s="383"/>
      <c r="CVI116" s="383"/>
      <c r="CVJ116" s="383"/>
      <c r="CVK116" s="383"/>
      <c r="CVL116" s="383"/>
      <c r="CVM116" s="383"/>
      <c r="CVN116" s="383"/>
      <c r="CVO116" s="383"/>
      <c r="CVP116" s="383"/>
      <c r="CVQ116" s="383"/>
      <c r="CVR116" s="383"/>
      <c r="CVS116" s="383"/>
      <c r="CVT116" s="383"/>
      <c r="CVU116" s="383"/>
      <c r="CVV116" s="383"/>
      <c r="CVW116" s="383"/>
      <c r="CVX116" s="383"/>
      <c r="CVY116" s="383"/>
      <c r="CVZ116" s="383"/>
      <c r="CWA116" s="383"/>
      <c r="CWB116" s="383"/>
      <c r="CWC116" s="383"/>
      <c r="CWD116" s="383"/>
      <c r="CWE116" s="383"/>
      <c r="CWF116" s="383"/>
      <c r="CWG116" s="383"/>
      <c r="CWH116" s="383"/>
      <c r="CWI116" s="383"/>
      <c r="CWJ116" s="383"/>
      <c r="CWK116" s="383"/>
      <c r="CWL116" s="383"/>
      <c r="CWM116" s="383"/>
      <c r="CWN116" s="383"/>
      <c r="CWO116" s="383"/>
      <c r="CWP116" s="383"/>
      <c r="CWQ116" s="383"/>
      <c r="CWR116" s="383"/>
      <c r="CWS116" s="383"/>
      <c r="CWT116" s="383"/>
      <c r="CWU116" s="383"/>
      <c r="CWV116" s="383"/>
      <c r="CWW116" s="383"/>
      <c r="CWX116" s="383"/>
      <c r="CWY116" s="383"/>
      <c r="CWZ116" s="383"/>
      <c r="CXA116" s="383"/>
      <c r="CXB116" s="383"/>
      <c r="CXC116" s="383"/>
      <c r="CXD116" s="383"/>
      <c r="CXE116" s="383"/>
      <c r="CXF116" s="383"/>
      <c r="CXG116" s="383"/>
      <c r="CXH116" s="383"/>
      <c r="CXI116" s="383"/>
      <c r="CXJ116" s="383"/>
      <c r="CXK116" s="383"/>
      <c r="CXL116" s="383"/>
      <c r="CXM116" s="383"/>
      <c r="CXN116" s="383"/>
      <c r="CXO116" s="383"/>
      <c r="CXP116" s="383"/>
      <c r="CXQ116" s="383"/>
      <c r="CXR116" s="383"/>
      <c r="CXS116" s="383"/>
      <c r="CXT116" s="383"/>
      <c r="CXU116" s="383"/>
      <c r="CXV116" s="383"/>
      <c r="CXW116" s="383"/>
      <c r="CXX116" s="383"/>
      <c r="CXY116" s="383"/>
      <c r="CXZ116" s="383"/>
      <c r="CYA116" s="383"/>
      <c r="CYB116" s="383"/>
      <c r="CYC116" s="383"/>
      <c r="CYD116" s="383"/>
      <c r="CYE116" s="383"/>
      <c r="CYF116" s="383"/>
      <c r="CYG116" s="383"/>
      <c r="CYH116" s="383"/>
      <c r="CYI116" s="383"/>
      <c r="CYJ116" s="383"/>
      <c r="CYK116" s="383"/>
      <c r="CYL116" s="383"/>
      <c r="CYM116" s="383"/>
      <c r="CYN116" s="383"/>
      <c r="CYO116" s="383"/>
      <c r="CYP116" s="383"/>
      <c r="CYQ116" s="383"/>
      <c r="CYR116" s="383"/>
      <c r="CYS116" s="383"/>
      <c r="CYT116" s="383"/>
      <c r="CYU116" s="383"/>
      <c r="CYV116" s="383"/>
      <c r="CYW116" s="383"/>
      <c r="CYX116" s="383"/>
      <c r="CYY116" s="383"/>
      <c r="CYZ116" s="383"/>
      <c r="CZA116" s="383"/>
      <c r="CZB116" s="383"/>
      <c r="CZC116" s="383"/>
      <c r="CZD116" s="383"/>
      <c r="CZE116" s="383"/>
      <c r="CZF116" s="383"/>
      <c r="CZG116" s="383"/>
      <c r="CZH116" s="383"/>
      <c r="CZI116" s="383"/>
      <c r="CZJ116" s="383"/>
      <c r="CZK116" s="383"/>
      <c r="CZL116" s="383"/>
      <c r="CZM116" s="383"/>
      <c r="CZN116" s="383"/>
      <c r="CZO116" s="383"/>
      <c r="CZP116" s="383"/>
      <c r="CZQ116" s="383"/>
      <c r="CZR116" s="383"/>
      <c r="CZS116" s="383"/>
      <c r="CZT116" s="383"/>
      <c r="CZU116" s="383"/>
      <c r="CZV116" s="383"/>
      <c r="CZW116" s="383"/>
      <c r="CZX116" s="383"/>
      <c r="CZY116" s="383"/>
      <c r="CZZ116" s="383"/>
      <c r="DAA116" s="383"/>
      <c r="DAB116" s="383"/>
      <c r="DAC116" s="383"/>
      <c r="DAD116" s="383"/>
      <c r="DAE116" s="383"/>
      <c r="DAF116" s="383"/>
      <c r="DAG116" s="383"/>
      <c r="DAH116" s="383"/>
      <c r="DAI116" s="383"/>
      <c r="DAJ116" s="383"/>
      <c r="DAK116" s="383"/>
      <c r="DAL116" s="383"/>
      <c r="DAM116" s="383"/>
      <c r="DAN116" s="383"/>
      <c r="DAO116" s="383"/>
      <c r="DAP116" s="383"/>
      <c r="DAQ116" s="383"/>
      <c r="DAR116" s="383"/>
      <c r="DAS116" s="383"/>
      <c r="DAT116" s="383"/>
      <c r="DAU116" s="383"/>
      <c r="DAV116" s="383"/>
      <c r="DAW116" s="383"/>
      <c r="DAX116" s="383"/>
      <c r="DAY116" s="383"/>
      <c r="DAZ116" s="383"/>
      <c r="DBA116" s="383"/>
      <c r="DBB116" s="383"/>
      <c r="DBC116" s="383"/>
      <c r="DBD116" s="383"/>
      <c r="DBE116" s="383"/>
      <c r="DBF116" s="383"/>
      <c r="DBG116" s="383"/>
      <c r="DBH116" s="383"/>
      <c r="DBI116" s="383"/>
      <c r="DBJ116" s="383"/>
      <c r="DBK116" s="383"/>
      <c r="DBL116" s="383"/>
      <c r="DBM116" s="383"/>
      <c r="DBN116" s="383"/>
      <c r="DBO116" s="383"/>
      <c r="DBP116" s="383"/>
      <c r="DBQ116" s="383"/>
      <c r="DBR116" s="383"/>
      <c r="DBS116" s="383"/>
      <c r="DBT116" s="383"/>
      <c r="DBU116" s="383"/>
      <c r="DBV116" s="383"/>
      <c r="DBW116" s="383"/>
      <c r="DBX116" s="383"/>
      <c r="DBY116" s="383"/>
      <c r="DBZ116" s="383"/>
      <c r="DCA116" s="383"/>
      <c r="DCB116" s="383"/>
      <c r="DCC116" s="383"/>
      <c r="DCD116" s="383"/>
      <c r="DCE116" s="383"/>
      <c r="DCF116" s="383"/>
      <c r="DCG116" s="383"/>
      <c r="DCH116" s="383"/>
      <c r="DCI116" s="383"/>
      <c r="DCJ116" s="383"/>
      <c r="DCK116" s="383"/>
      <c r="DCL116" s="383"/>
      <c r="DCM116" s="383"/>
      <c r="DCN116" s="383"/>
      <c r="DCO116" s="383"/>
      <c r="DCP116" s="383"/>
      <c r="DCQ116" s="383"/>
      <c r="DCR116" s="383"/>
      <c r="DCS116" s="383"/>
      <c r="DCT116" s="383"/>
      <c r="DCU116" s="383"/>
      <c r="DCV116" s="383"/>
      <c r="DCW116" s="383"/>
      <c r="DCX116" s="383"/>
      <c r="DCY116" s="383"/>
      <c r="DCZ116" s="383"/>
      <c r="DDA116" s="383"/>
      <c r="DDB116" s="383"/>
      <c r="DDC116" s="383"/>
      <c r="DDD116" s="383"/>
      <c r="DDE116" s="383"/>
      <c r="DDF116" s="383"/>
      <c r="DDG116" s="383"/>
      <c r="DDH116" s="383"/>
      <c r="DDI116" s="383"/>
      <c r="DDJ116" s="383"/>
      <c r="DDK116" s="383"/>
      <c r="DDL116" s="383"/>
      <c r="DDM116" s="383"/>
      <c r="DDN116" s="383"/>
      <c r="DDO116" s="383"/>
      <c r="DDP116" s="383"/>
      <c r="DDQ116" s="383"/>
      <c r="DDR116" s="383"/>
      <c r="DDS116" s="383"/>
      <c r="DDT116" s="383"/>
      <c r="DDU116" s="383"/>
      <c r="DDV116" s="383"/>
      <c r="DDW116" s="383"/>
      <c r="DDX116" s="383"/>
      <c r="DDY116" s="383"/>
      <c r="DDZ116" s="383"/>
      <c r="DEA116" s="383"/>
      <c r="DEB116" s="383"/>
      <c r="DEC116" s="383"/>
      <c r="DED116" s="383"/>
      <c r="DEE116" s="383"/>
      <c r="DEF116" s="383"/>
      <c r="DEG116" s="383"/>
      <c r="DEH116" s="383"/>
      <c r="DEI116" s="383"/>
      <c r="DEJ116" s="383"/>
      <c r="DEK116" s="383"/>
      <c r="DEL116" s="383"/>
      <c r="DEM116" s="383"/>
      <c r="DEN116" s="383"/>
      <c r="DEO116" s="383"/>
      <c r="DEP116" s="383"/>
      <c r="DEQ116" s="383"/>
      <c r="DER116" s="383"/>
      <c r="DES116" s="383"/>
      <c r="DET116" s="383"/>
      <c r="DEU116" s="383"/>
      <c r="DEV116" s="383"/>
      <c r="DEW116" s="383"/>
      <c r="DEX116" s="383"/>
      <c r="DEY116" s="383"/>
      <c r="DEZ116" s="383"/>
      <c r="DFA116" s="383"/>
      <c r="DFB116" s="383"/>
      <c r="DFC116" s="383"/>
      <c r="DFD116" s="383"/>
      <c r="DFE116" s="383"/>
      <c r="DFF116" s="383"/>
      <c r="DFG116" s="383"/>
      <c r="DFH116" s="383"/>
      <c r="DFI116" s="383"/>
      <c r="DFJ116" s="383"/>
      <c r="DFK116" s="383"/>
      <c r="DFL116" s="383"/>
      <c r="DFM116" s="383"/>
      <c r="DFN116" s="383"/>
      <c r="DFO116" s="383"/>
      <c r="DFP116" s="383"/>
      <c r="DFQ116" s="383"/>
      <c r="DFR116" s="383"/>
      <c r="DFS116" s="383"/>
      <c r="DFT116" s="383"/>
      <c r="DFU116" s="383"/>
      <c r="DFV116" s="383"/>
      <c r="DFW116" s="383"/>
      <c r="DFX116" s="383"/>
      <c r="DFY116" s="383"/>
      <c r="DFZ116" s="383"/>
      <c r="DGA116" s="383"/>
      <c r="DGB116" s="383"/>
      <c r="DGC116" s="383"/>
      <c r="DGD116" s="383"/>
      <c r="DGE116" s="383"/>
      <c r="DGF116" s="383"/>
      <c r="DGG116" s="383"/>
      <c r="DGH116" s="383"/>
      <c r="DGI116" s="383"/>
      <c r="DGJ116" s="383"/>
      <c r="DGK116" s="383"/>
      <c r="DGL116" s="383"/>
      <c r="DGM116" s="383"/>
      <c r="DGN116" s="383"/>
      <c r="DGO116" s="383"/>
      <c r="DGP116" s="383"/>
      <c r="DGQ116" s="383"/>
      <c r="DGR116" s="383"/>
      <c r="DGS116" s="383"/>
      <c r="DGT116" s="383"/>
      <c r="DGU116" s="383"/>
      <c r="DGV116" s="383"/>
      <c r="DGW116" s="383"/>
      <c r="DGX116" s="383"/>
      <c r="DGY116" s="383"/>
      <c r="DGZ116" s="383"/>
      <c r="DHA116" s="383"/>
      <c r="DHB116" s="383"/>
      <c r="DHC116" s="383"/>
      <c r="DHD116" s="383"/>
      <c r="DHE116" s="383"/>
      <c r="DHF116" s="383"/>
      <c r="DHG116" s="383"/>
      <c r="DHH116" s="383"/>
      <c r="DHI116" s="383"/>
      <c r="DHJ116" s="383"/>
      <c r="DHK116" s="383"/>
      <c r="DHL116" s="383"/>
      <c r="DHM116" s="383"/>
      <c r="DHN116" s="383"/>
      <c r="DHO116" s="383"/>
      <c r="DHP116" s="383"/>
      <c r="DHQ116" s="383"/>
      <c r="DHR116" s="383"/>
      <c r="DHS116" s="383"/>
      <c r="DHT116" s="383"/>
      <c r="DHU116" s="383"/>
      <c r="DHV116" s="383"/>
      <c r="DHW116" s="383"/>
      <c r="DHX116" s="383"/>
      <c r="DHY116" s="383"/>
      <c r="DHZ116" s="383"/>
      <c r="DIA116" s="383"/>
      <c r="DIB116" s="383"/>
      <c r="DIC116" s="383"/>
      <c r="DID116" s="383"/>
      <c r="DIE116" s="383"/>
      <c r="DIF116" s="383"/>
      <c r="DIG116" s="383"/>
      <c r="DIH116" s="383"/>
      <c r="DII116" s="383"/>
      <c r="DIJ116" s="383"/>
      <c r="DIK116" s="383"/>
      <c r="DIL116" s="383"/>
      <c r="DIM116" s="383"/>
      <c r="DIN116" s="383"/>
      <c r="DIO116" s="383"/>
      <c r="DIP116" s="383"/>
      <c r="DIQ116" s="383"/>
      <c r="DIR116" s="383"/>
      <c r="DIS116" s="383"/>
      <c r="DIT116" s="383"/>
      <c r="DIU116" s="383"/>
      <c r="DIV116" s="383"/>
      <c r="DIW116" s="383"/>
      <c r="DIX116" s="383"/>
      <c r="DIY116" s="383"/>
      <c r="DIZ116" s="383"/>
      <c r="DJA116" s="383"/>
      <c r="DJB116" s="383"/>
      <c r="DJC116" s="383"/>
      <c r="DJD116" s="383"/>
      <c r="DJE116" s="383"/>
      <c r="DJF116" s="383"/>
      <c r="DJG116" s="383"/>
      <c r="DJH116" s="383"/>
      <c r="DJI116" s="383"/>
      <c r="DJJ116" s="383"/>
      <c r="DJK116" s="383"/>
      <c r="DJL116" s="383"/>
      <c r="DJM116" s="383"/>
      <c r="DJN116" s="383"/>
      <c r="DJO116" s="383"/>
      <c r="DJP116" s="383"/>
      <c r="DJQ116" s="383"/>
      <c r="DJR116" s="383"/>
      <c r="DJS116" s="383"/>
      <c r="DJT116" s="383"/>
      <c r="DJU116" s="383"/>
      <c r="DJV116" s="383"/>
      <c r="DJW116" s="383"/>
      <c r="DJX116" s="383"/>
      <c r="DJY116" s="383"/>
      <c r="DJZ116" s="383"/>
      <c r="DKA116" s="383"/>
      <c r="DKB116" s="383"/>
      <c r="DKC116" s="383"/>
      <c r="DKD116" s="383"/>
      <c r="DKE116" s="383"/>
      <c r="DKF116" s="383"/>
      <c r="DKG116" s="383"/>
      <c r="DKH116" s="383"/>
      <c r="DKI116" s="383"/>
      <c r="DKJ116" s="383"/>
      <c r="DKK116" s="383"/>
      <c r="DKL116" s="383"/>
      <c r="DKM116" s="383"/>
      <c r="DKN116" s="383"/>
      <c r="DKO116" s="383"/>
      <c r="DKP116" s="383"/>
      <c r="DKQ116" s="383"/>
      <c r="DKR116" s="383"/>
      <c r="DKS116" s="383"/>
      <c r="DKT116" s="383"/>
      <c r="DKU116" s="383"/>
      <c r="DKV116" s="383"/>
      <c r="DKW116" s="383"/>
      <c r="DKX116" s="383"/>
      <c r="DKY116" s="383"/>
      <c r="DKZ116" s="383"/>
      <c r="DLA116" s="383"/>
      <c r="DLB116" s="383"/>
      <c r="DLC116" s="383"/>
      <c r="DLD116" s="383"/>
      <c r="DLE116" s="383"/>
      <c r="DLF116" s="383"/>
      <c r="DLG116" s="383"/>
      <c r="DLH116" s="383"/>
      <c r="DLI116" s="383"/>
      <c r="DLJ116" s="383"/>
      <c r="DLK116" s="383"/>
      <c r="DLL116" s="383"/>
      <c r="DLM116" s="383"/>
      <c r="DLN116" s="383"/>
      <c r="DLO116" s="383"/>
      <c r="DLP116" s="383"/>
      <c r="DLQ116" s="383"/>
      <c r="DLR116" s="383"/>
      <c r="DLS116" s="383"/>
      <c r="DLT116" s="383"/>
      <c r="DLU116" s="383"/>
      <c r="DLV116" s="383"/>
      <c r="DLW116" s="383"/>
      <c r="DLX116" s="383"/>
      <c r="DLY116" s="383"/>
      <c r="DLZ116" s="383"/>
      <c r="DMA116" s="383"/>
      <c r="DMB116" s="383"/>
      <c r="DMC116" s="383"/>
      <c r="DMD116" s="383"/>
      <c r="DME116" s="383"/>
      <c r="DMF116" s="383"/>
      <c r="DMG116" s="383"/>
      <c r="DMH116" s="383"/>
      <c r="DMI116" s="383"/>
      <c r="DMJ116" s="383"/>
      <c r="DMK116" s="383"/>
      <c r="DML116" s="383"/>
      <c r="DMM116" s="383"/>
      <c r="DMN116" s="383"/>
      <c r="DMO116" s="383"/>
      <c r="DMP116" s="383"/>
      <c r="DMQ116" s="383"/>
      <c r="DMR116" s="383"/>
      <c r="DMS116" s="383"/>
      <c r="DMT116" s="383"/>
      <c r="DMU116" s="383"/>
      <c r="DMV116" s="383"/>
      <c r="DMW116" s="383"/>
      <c r="DMX116" s="383"/>
      <c r="DMY116" s="383"/>
      <c r="DMZ116" s="383"/>
      <c r="DNA116" s="383"/>
      <c r="DNB116" s="383"/>
      <c r="DNC116" s="383"/>
      <c r="DND116" s="383"/>
      <c r="DNE116" s="383"/>
      <c r="DNF116" s="383"/>
      <c r="DNG116" s="383"/>
      <c r="DNH116" s="383"/>
      <c r="DNI116" s="383"/>
      <c r="DNJ116" s="383"/>
      <c r="DNK116" s="383"/>
      <c r="DNL116" s="383"/>
      <c r="DNM116" s="383"/>
      <c r="DNN116" s="383"/>
      <c r="DNO116" s="383"/>
      <c r="DNP116" s="383"/>
      <c r="DNQ116" s="383"/>
      <c r="DNR116" s="383"/>
      <c r="DNS116" s="383"/>
      <c r="DNT116" s="383"/>
      <c r="DNU116" s="383"/>
      <c r="DNV116" s="383"/>
      <c r="DNW116" s="383"/>
      <c r="DNX116" s="383"/>
      <c r="DNY116" s="383"/>
      <c r="DNZ116" s="383"/>
      <c r="DOA116" s="383"/>
      <c r="DOB116" s="383"/>
      <c r="DOC116" s="383"/>
      <c r="DOD116" s="383"/>
      <c r="DOE116" s="383"/>
      <c r="DOF116" s="383"/>
      <c r="DOG116" s="383"/>
      <c r="DOH116" s="383"/>
      <c r="DOI116" s="383"/>
      <c r="DOJ116" s="383"/>
      <c r="DOK116" s="383"/>
      <c r="DOL116" s="383"/>
      <c r="DOM116" s="383"/>
      <c r="DON116" s="383"/>
      <c r="DOO116" s="383"/>
      <c r="DOP116" s="383"/>
      <c r="DOQ116" s="383"/>
      <c r="DOR116" s="383"/>
      <c r="DOS116" s="383"/>
      <c r="DOT116" s="383"/>
      <c r="DOU116" s="383"/>
      <c r="DOV116" s="383"/>
      <c r="DOW116" s="383"/>
      <c r="DOX116" s="383"/>
      <c r="DOY116" s="383"/>
      <c r="DOZ116" s="383"/>
      <c r="DPA116" s="383"/>
      <c r="DPB116" s="383"/>
      <c r="DPC116" s="383"/>
      <c r="DPD116" s="383"/>
      <c r="DPE116" s="383"/>
      <c r="DPF116" s="383"/>
      <c r="DPG116" s="383"/>
      <c r="DPH116" s="383"/>
      <c r="DPI116" s="383"/>
      <c r="DPJ116" s="383"/>
      <c r="DPK116" s="383"/>
      <c r="DPL116" s="383"/>
      <c r="DPM116" s="383"/>
      <c r="DPN116" s="383"/>
      <c r="DPO116" s="383"/>
      <c r="DPP116" s="383"/>
      <c r="DPQ116" s="383"/>
      <c r="DPR116" s="383"/>
      <c r="DPS116" s="383"/>
      <c r="DPT116" s="383"/>
      <c r="DPU116" s="383"/>
      <c r="DPV116" s="383"/>
      <c r="DPW116" s="383"/>
      <c r="DPX116" s="383"/>
      <c r="DPY116" s="383"/>
      <c r="DPZ116" s="383"/>
      <c r="DQA116" s="383"/>
      <c r="DQB116" s="383"/>
      <c r="DQC116" s="383"/>
      <c r="DQD116" s="383"/>
      <c r="DQE116" s="383"/>
      <c r="DQF116" s="383"/>
      <c r="DQG116" s="383"/>
      <c r="DQH116" s="383"/>
      <c r="DQI116" s="383"/>
      <c r="DQJ116" s="383"/>
      <c r="DQK116" s="383"/>
      <c r="DQL116" s="383"/>
      <c r="DQM116" s="383"/>
      <c r="DQN116" s="383"/>
      <c r="DQO116" s="383"/>
      <c r="DQP116" s="383"/>
      <c r="DQQ116" s="383"/>
      <c r="DQR116" s="383"/>
      <c r="DQS116" s="383"/>
      <c r="DQT116" s="383"/>
      <c r="DQU116" s="383"/>
      <c r="DQV116" s="383"/>
      <c r="DQW116" s="383"/>
      <c r="DQX116" s="383"/>
      <c r="DQY116" s="383"/>
      <c r="DQZ116" s="383"/>
      <c r="DRA116" s="383"/>
      <c r="DRB116" s="383"/>
      <c r="DRC116" s="383"/>
      <c r="DRD116" s="383"/>
      <c r="DRE116" s="383"/>
      <c r="DRF116" s="383"/>
      <c r="DRG116" s="383"/>
      <c r="DRH116" s="383"/>
      <c r="DRI116" s="383"/>
      <c r="DRJ116" s="383"/>
      <c r="DRK116" s="383"/>
      <c r="DRL116" s="383"/>
      <c r="DRM116" s="383"/>
    </row>
    <row r="117" spans="1:3185" ht="44.15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7"/>
      <c r="K117" s="411"/>
      <c r="M117" s="402"/>
      <c r="N117" s="406"/>
    </row>
    <row r="118" spans="1:3185" s="386" customFormat="1" ht="44.15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8"/>
      <c r="K118" s="411"/>
      <c r="L118" s="406"/>
      <c r="M118" s="406"/>
      <c r="N118" s="406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  <c r="BT118" s="383"/>
      <c r="BU118" s="383"/>
      <c r="BV118" s="383"/>
      <c r="BW118" s="383"/>
      <c r="BX118" s="383"/>
      <c r="BY118" s="383"/>
      <c r="BZ118" s="383"/>
      <c r="CA118" s="383"/>
      <c r="CB118" s="383"/>
      <c r="CC118" s="383"/>
      <c r="CD118" s="383"/>
      <c r="CE118" s="383"/>
      <c r="CF118" s="383"/>
      <c r="CG118" s="383"/>
      <c r="CH118" s="383"/>
      <c r="CI118" s="383"/>
      <c r="CJ118" s="383"/>
      <c r="CK118" s="383"/>
      <c r="CL118" s="383"/>
      <c r="CM118" s="383"/>
      <c r="CN118" s="383"/>
      <c r="CO118" s="383"/>
      <c r="CP118" s="383"/>
      <c r="CQ118" s="383"/>
      <c r="CR118" s="383"/>
      <c r="CS118" s="383"/>
      <c r="CT118" s="383"/>
      <c r="CU118" s="383"/>
      <c r="CV118" s="383"/>
      <c r="CW118" s="383"/>
      <c r="CX118" s="383"/>
      <c r="CY118" s="383"/>
      <c r="CZ118" s="383"/>
      <c r="DA118" s="383"/>
      <c r="DB118" s="383"/>
      <c r="DC118" s="383"/>
      <c r="DD118" s="383"/>
      <c r="DE118" s="383"/>
      <c r="DF118" s="383"/>
      <c r="DG118" s="383"/>
      <c r="DH118" s="383"/>
      <c r="DI118" s="383"/>
      <c r="DJ118" s="383"/>
      <c r="DK118" s="383"/>
      <c r="DL118" s="383"/>
      <c r="DM118" s="383"/>
      <c r="DN118" s="383"/>
      <c r="DO118" s="383"/>
      <c r="DP118" s="383"/>
      <c r="DQ118" s="383"/>
      <c r="DR118" s="383"/>
      <c r="DS118" s="383"/>
      <c r="DT118" s="383"/>
      <c r="DU118" s="383"/>
      <c r="DV118" s="383"/>
      <c r="DW118" s="383"/>
      <c r="DX118" s="383"/>
      <c r="DY118" s="383"/>
      <c r="DZ118" s="383"/>
      <c r="EA118" s="383"/>
      <c r="EB118" s="383"/>
      <c r="EC118" s="383"/>
      <c r="ED118" s="383"/>
      <c r="EE118" s="383"/>
      <c r="EF118" s="383"/>
      <c r="EG118" s="383"/>
      <c r="EH118" s="383"/>
      <c r="EI118" s="383"/>
      <c r="EJ118" s="383"/>
      <c r="EK118" s="383"/>
      <c r="EL118" s="383"/>
      <c r="EM118" s="383"/>
      <c r="EN118" s="383"/>
      <c r="EO118" s="383"/>
      <c r="EP118" s="383"/>
      <c r="EQ118" s="383"/>
      <c r="ER118" s="383"/>
      <c r="ES118" s="383"/>
      <c r="ET118" s="383"/>
      <c r="EU118" s="383"/>
      <c r="EV118" s="383"/>
      <c r="EW118" s="383"/>
      <c r="EX118" s="383"/>
      <c r="EY118" s="383"/>
      <c r="EZ118" s="383"/>
      <c r="FA118" s="383"/>
      <c r="FB118" s="383"/>
      <c r="FC118" s="383"/>
      <c r="FD118" s="383"/>
      <c r="FE118" s="383"/>
      <c r="FF118" s="383"/>
      <c r="FG118" s="383"/>
      <c r="FH118" s="383"/>
      <c r="FI118" s="383"/>
      <c r="FJ118" s="383"/>
      <c r="FK118" s="383"/>
      <c r="FL118" s="383"/>
      <c r="FM118" s="383"/>
      <c r="FN118" s="383"/>
      <c r="FO118" s="383"/>
      <c r="FP118" s="383"/>
      <c r="FQ118" s="383"/>
      <c r="FR118" s="383"/>
      <c r="FS118" s="383"/>
      <c r="FT118" s="383"/>
      <c r="FU118" s="383"/>
      <c r="FV118" s="383"/>
      <c r="FW118" s="383"/>
      <c r="FX118" s="383"/>
      <c r="FY118" s="383"/>
      <c r="FZ118" s="383"/>
      <c r="GA118" s="383"/>
      <c r="GB118" s="383"/>
      <c r="GC118" s="383"/>
      <c r="GD118" s="383"/>
      <c r="GE118" s="383"/>
      <c r="GF118" s="383"/>
      <c r="GG118" s="383"/>
      <c r="GH118" s="383"/>
      <c r="GI118" s="383"/>
      <c r="GJ118" s="383"/>
      <c r="GK118" s="383"/>
      <c r="GL118" s="383"/>
      <c r="GM118" s="383"/>
      <c r="GN118" s="383"/>
      <c r="GO118" s="383"/>
      <c r="GP118" s="383"/>
      <c r="GQ118" s="383"/>
      <c r="GR118" s="383"/>
      <c r="GS118" s="383"/>
      <c r="GT118" s="383"/>
      <c r="GU118" s="383"/>
      <c r="GV118" s="383"/>
      <c r="GW118" s="383"/>
      <c r="GX118" s="383"/>
      <c r="GY118" s="383"/>
      <c r="GZ118" s="383"/>
      <c r="HA118" s="383"/>
      <c r="HB118" s="383"/>
      <c r="HC118" s="383"/>
      <c r="HD118" s="383"/>
      <c r="HE118" s="383"/>
      <c r="HF118" s="383"/>
      <c r="HG118" s="383"/>
      <c r="HH118" s="383"/>
      <c r="HI118" s="383"/>
      <c r="HJ118" s="383"/>
      <c r="HK118" s="383"/>
      <c r="HL118" s="383"/>
      <c r="HM118" s="383"/>
      <c r="HN118" s="383"/>
      <c r="HO118" s="383"/>
      <c r="HP118" s="383"/>
      <c r="HQ118" s="383"/>
      <c r="HR118" s="383"/>
      <c r="HS118" s="383"/>
      <c r="HT118" s="383"/>
      <c r="HU118" s="383"/>
      <c r="HV118" s="383"/>
      <c r="HW118" s="383"/>
      <c r="HX118" s="383"/>
      <c r="HY118" s="383"/>
      <c r="HZ118" s="383"/>
      <c r="IA118" s="383"/>
      <c r="IB118" s="383"/>
      <c r="IC118" s="383"/>
      <c r="ID118" s="383"/>
      <c r="IE118" s="383"/>
      <c r="IF118" s="383"/>
      <c r="IG118" s="383"/>
      <c r="IH118" s="383"/>
      <c r="II118" s="383"/>
      <c r="IJ118" s="383"/>
      <c r="IK118" s="383"/>
      <c r="IL118" s="383"/>
      <c r="IM118" s="383"/>
      <c r="IN118" s="383"/>
      <c r="IO118" s="383"/>
      <c r="IP118" s="383"/>
      <c r="IQ118" s="383"/>
      <c r="IR118" s="383"/>
      <c r="IS118" s="383"/>
      <c r="IT118" s="383"/>
      <c r="IU118" s="383"/>
      <c r="IV118" s="383"/>
      <c r="IW118" s="383"/>
      <c r="IX118" s="383"/>
      <c r="IY118" s="383"/>
      <c r="IZ118" s="383"/>
      <c r="JA118" s="383"/>
      <c r="JB118" s="383"/>
      <c r="JC118" s="383"/>
      <c r="JD118" s="383"/>
      <c r="JE118" s="383"/>
      <c r="JF118" s="383"/>
      <c r="JG118" s="383"/>
      <c r="JH118" s="383"/>
      <c r="JI118" s="383"/>
      <c r="JJ118" s="383"/>
      <c r="JK118" s="383"/>
      <c r="JL118" s="383"/>
      <c r="JM118" s="383"/>
      <c r="JN118" s="383"/>
      <c r="JO118" s="383"/>
      <c r="JP118" s="383"/>
      <c r="JQ118" s="383"/>
      <c r="JR118" s="383"/>
      <c r="JS118" s="383"/>
      <c r="JT118" s="383"/>
      <c r="JU118" s="383"/>
      <c r="JV118" s="383"/>
      <c r="JW118" s="383"/>
      <c r="JX118" s="383"/>
      <c r="JY118" s="383"/>
      <c r="JZ118" s="383"/>
      <c r="KA118" s="383"/>
      <c r="KB118" s="383"/>
      <c r="KC118" s="383"/>
      <c r="KD118" s="383"/>
      <c r="KE118" s="383"/>
      <c r="KF118" s="383"/>
      <c r="KG118" s="383"/>
      <c r="KH118" s="383"/>
      <c r="KI118" s="383"/>
      <c r="KJ118" s="383"/>
      <c r="KK118" s="383"/>
      <c r="KL118" s="383"/>
      <c r="KM118" s="383"/>
      <c r="KN118" s="383"/>
      <c r="KO118" s="383"/>
      <c r="KP118" s="383"/>
      <c r="KQ118" s="383"/>
      <c r="KR118" s="383"/>
      <c r="KS118" s="383"/>
      <c r="KT118" s="383"/>
      <c r="KU118" s="383"/>
      <c r="KV118" s="383"/>
      <c r="KW118" s="383"/>
      <c r="KX118" s="383"/>
      <c r="KY118" s="383"/>
      <c r="KZ118" s="383"/>
      <c r="LA118" s="383"/>
      <c r="LB118" s="383"/>
      <c r="LC118" s="383"/>
      <c r="LD118" s="383"/>
      <c r="LE118" s="383"/>
      <c r="LF118" s="383"/>
      <c r="LG118" s="383"/>
      <c r="LH118" s="383"/>
      <c r="LI118" s="383"/>
      <c r="LJ118" s="383"/>
      <c r="LK118" s="383"/>
      <c r="LL118" s="383"/>
      <c r="LM118" s="383"/>
      <c r="LN118" s="383"/>
      <c r="LO118" s="383"/>
      <c r="LP118" s="383"/>
      <c r="LQ118" s="383"/>
      <c r="LR118" s="383"/>
      <c r="LS118" s="383"/>
      <c r="LT118" s="383"/>
      <c r="LU118" s="383"/>
      <c r="LV118" s="383"/>
      <c r="LW118" s="383"/>
      <c r="LX118" s="383"/>
      <c r="LY118" s="383"/>
      <c r="LZ118" s="383"/>
      <c r="MA118" s="383"/>
      <c r="MB118" s="383"/>
      <c r="MC118" s="383"/>
      <c r="MD118" s="383"/>
      <c r="ME118" s="383"/>
      <c r="MF118" s="383"/>
      <c r="MG118" s="383"/>
      <c r="MH118" s="383"/>
      <c r="MI118" s="383"/>
      <c r="MJ118" s="383"/>
      <c r="MK118" s="383"/>
      <c r="ML118" s="383"/>
      <c r="MM118" s="383"/>
      <c r="MN118" s="383"/>
      <c r="MO118" s="383"/>
      <c r="MP118" s="383"/>
      <c r="MQ118" s="383"/>
      <c r="MR118" s="383"/>
      <c r="MS118" s="383"/>
      <c r="MT118" s="383"/>
      <c r="MU118" s="383"/>
      <c r="MV118" s="383"/>
      <c r="MW118" s="383"/>
      <c r="MX118" s="383"/>
      <c r="MY118" s="383"/>
      <c r="MZ118" s="383"/>
      <c r="NA118" s="383"/>
      <c r="NB118" s="383"/>
      <c r="NC118" s="383"/>
      <c r="ND118" s="383"/>
      <c r="NE118" s="383"/>
      <c r="NF118" s="383"/>
      <c r="NG118" s="383"/>
      <c r="NH118" s="383"/>
      <c r="NI118" s="383"/>
      <c r="NJ118" s="383"/>
      <c r="NK118" s="383"/>
      <c r="NL118" s="383"/>
      <c r="NM118" s="383"/>
      <c r="NN118" s="383"/>
      <c r="NO118" s="383"/>
      <c r="NP118" s="383"/>
      <c r="NQ118" s="383"/>
      <c r="NR118" s="383"/>
      <c r="NS118" s="383"/>
      <c r="NT118" s="383"/>
      <c r="NU118" s="383"/>
      <c r="NV118" s="383"/>
      <c r="NW118" s="383"/>
      <c r="NX118" s="383"/>
      <c r="NY118" s="383"/>
      <c r="NZ118" s="383"/>
      <c r="OA118" s="383"/>
      <c r="OB118" s="383"/>
      <c r="OC118" s="383"/>
      <c r="OD118" s="383"/>
      <c r="OE118" s="383"/>
      <c r="OF118" s="383"/>
      <c r="OG118" s="383"/>
      <c r="OH118" s="383"/>
      <c r="OI118" s="383"/>
      <c r="OJ118" s="383"/>
      <c r="OK118" s="383"/>
      <c r="OL118" s="383"/>
      <c r="OM118" s="383"/>
      <c r="ON118" s="383"/>
      <c r="OO118" s="383"/>
      <c r="OP118" s="383"/>
      <c r="OQ118" s="383"/>
      <c r="OR118" s="383"/>
      <c r="OS118" s="383"/>
      <c r="OT118" s="383"/>
      <c r="OU118" s="383"/>
      <c r="OV118" s="383"/>
      <c r="OW118" s="383"/>
      <c r="OX118" s="383"/>
      <c r="OY118" s="383"/>
      <c r="OZ118" s="383"/>
      <c r="PA118" s="383"/>
      <c r="PB118" s="383"/>
      <c r="PC118" s="383"/>
      <c r="PD118" s="383"/>
      <c r="PE118" s="383"/>
      <c r="PF118" s="383"/>
      <c r="PG118" s="383"/>
      <c r="PH118" s="383"/>
      <c r="PI118" s="383"/>
      <c r="PJ118" s="383"/>
      <c r="PK118" s="383"/>
      <c r="PL118" s="383"/>
      <c r="PM118" s="383"/>
      <c r="PN118" s="383"/>
      <c r="PO118" s="383"/>
      <c r="PP118" s="383"/>
      <c r="PQ118" s="383"/>
      <c r="PR118" s="383"/>
      <c r="PS118" s="383"/>
      <c r="PT118" s="383"/>
      <c r="PU118" s="383"/>
      <c r="PV118" s="383"/>
      <c r="PW118" s="383"/>
      <c r="PX118" s="383"/>
      <c r="PY118" s="383"/>
      <c r="PZ118" s="383"/>
      <c r="QA118" s="383"/>
      <c r="QB118" s="383"/>
      <c r="QC118" s="383"/>
      <c r="QD118" s="383"/>
      <c r="QE118" s="383"/>
      <c r="QF118" s="383"/>
      <c r="QG118" s="383"/>
      <c r="QH118" s="383"/>
      <c r="QI118" s="383"/>
      <c r="QJ118" s="383"/>
      <c r="QK118" s="383"/>
      <c r="QL118" s="383"/>
      <c r="QM118" s="383"/>
      <c r="QN118" s="383"/>
      <c r="QO118" s="383"/>
      <c r="QP118" s="383"/>
      <c r="QQ118" s="383"/>
      <c r="QR118" s="383"/>
      <c r="QS118" s="383"/>
      <c r="QT118" s="383"/>
      <c r="QU118" s="383"/>
      <c r="QV118" s="383"/>
      <c r="QW118" s="383"/>
      <c r="QX118" s="383"/>
      <c r="QY118" s="383"/>
      <c r="QZ118" s="383"/>
      <c r="RA118" s="383"/>
      <c r="RB118" s="383"/>
      <c r="RC118" s="383"/>
      <c r="RD118" s="383"/>
      <c r="RE118" s="383"/>
      <c r="RF118" s="383"/>
      <c r="RG118" s="383"/>
      <c r="RH118" s="383"/>
      <c r="RI118" s="383"/>
      <c r="RJ118" s="383"/>
      <c r="RK118" s="383"/>
      <c r="RL118" s="383"/>
      <c r="RM118" s="383"/>
      <c r="RN118" s="383"/>
      <c r="RO118" s="383"/>
      <c r="RP118" s="383"/>
      <c r="RQ118" s="383"/>
      <c r="RR118" s="383"/>
      <c r="RS118" s="383"/>
      <c r="RT118" s="383"/>
      <c r="RU118" s="383"/>
      <c r="RV118" s="383"/>
      <c r="RW118" s="383"/>
      <c r="RX118" s="383"/>
      <c r="RY118" s="383"/>
      <c r="RZ118" s="383"/>
      <c r="SA118" s="383"/>
      <c r="SB118" s="383"/>
      <c r="SC118" s="383"/>
      <c r="SD118" s="383"/>
      <c r="SE118" s="383"/>
      <c r="SF118" s="383"/>
      <c r="SG118" s="383"/>
      <c r="SH118" s="383"/>
      <c r="SI118" s="383"/>
      <c r="SJ118" s="383"/>
      <c r="SK118" s="383"/>
      <c r="SL118" s="383"/>
      <c r="SM118" s="383"/>
      <c r="SN118" s="383"/>
      <c r="SO118" s="383"/>
      <c r="SP118" s="383"/>
      <c r="SQ118" s="383"/>
      <c r="SR118" s="383"/>
      <c r="SS118" s="383"/>
      <c r="ST118" s="383"/>
      <c r="SU118" s="383"/>
      <c r="SV118" s="383"/>
      <c r="SW118" s="383"/>
      <c r="SX118" s="383"/>
      <c r="SY118" s="383"/>
      <c r="SZ118" s="383"/>
      <c r="TA118" s="383"/>
      <c r="TB118" s="383"/>
      <c r="TC118" s="383"/>
      <c r="TD118" s="383"/>
      <c r="TE118" s="383"/>
      <c r="TF118" s="383"/>
      <c r="TG118" s="383"/>
      <c r="TH118" s="383"/>
      <c r="TI118" s="383"/>
      <c r="TJ118" s="383"/>
      <c r="TK118" s="383"/>
      <c r="TL118" s="383"/>
      <c r="TM118" s="383"/>
      <c r="TN118" s="383"/>
      <c r="TO118" s="383"/>
      <c r="TP118" s="383"/>
      <c r="TQ118" s="383"/>
      <c r="TR118" s="383"/>
      <c r="TS118" s="383"/>
      <c r="TT118" s="383"/>
      <c r="TU118" s="383"/>
      <c r="TV118" s="383"/>
      <c r="TW118" s="383"/>
      <c r="TX118" s="383"/>
      <c r="TY118" s="383"/>
      <c r="TZ118" s="383"/>
      <c r="UA118" s="383"/>
      <c r="UB118" s="383"/>
      <c r="UC118" s="383"/>
      <c r="UD118" s="383"/>
      <c r="UE118" s="383"/>
      <c r="UF118" s="383"/>
      <c r="UG118" s="383"/>
      <c r="UH118" s="383"/>
      <c r="UI118" s="383"/>
      <c r="UJ118" s="383"/>
      <c r="UK118" s="383"/>
      <c r="UL118" s="383"/>
      <c r="UM118" s="383"/>
      <c r="UN118" s="383"/>
      <c r="UO118" s="383"/>
      <c r="UP118" s="383"/>
      <c r="UQ118" s="383"/>
      <c r="UR118" s="383"/>
      <c r="US118" s="383"/>
      <c r="UT118" s="383"/>
      <c r="UU118" s="383"/>
      <c r="UV118" s="383"/>
      <c r="UW118" s="383"/>
      <c r="UX118" s="383"/>
      <c r="UY118" s="383"/>
      <c r="UZ118" s="383"/>
      <c r="VA118" s="383"/>
      <c r="VB118" s="383"/>
      <c r="VC118" s="383"/>
      <c r="VD118" s="383"/>
      <c r="VE118" s="383"/>
      <c r="VF118" s="383"/>
      <c r="VG118" s="383"/>
      <c r="VH118" s="383"/>
      <c r="VI118" s="383"/>
      <c r="VJ118" s="383"/>
      <c r="VK118" s="383"/>
      <c r="VL118" s="383"/>
      <c r="VM118" s="383"/>
      <c r="VN118" s="383"/>
      <c r="VO118" s="383"/>
      <c r="VP118" s="383"/>
      <c r="VQ118" s="383"/>
      <c r="VR118" s="383"/>
      <c r="VS118" s="383"/>
      <c r="VT118" s="383"/>
      <c r="VU118" s="383"/>
      <c r="VV118" s="383"/>
      <c r="VW118" s="383"/>
      <c r="VX118" s="383"/>
      <c r="VY118" s="383"/>
      <c r="VZ118" s="383"/>
      <c r="WA118" s="383"/>
      <c r="WB118" s="383"/>
      <c r="WC118" s="383"/>
      <c r="WD118" s="383"/>
      <c r="WE118" s="383"/>
      <c r="WF118" s="383"/>
      <c r="WG118" s="383"/>
      <c r="WH118" s="383"/>
      <c r="WI118" s="383"/>
      <c r="WJ118" s="383"/>
      <c r="WK118" s="383"/>
      <c r="WL118" s="383"/>
      <c r="WM118" s="383"/>
      <c r="WN118" s="383"/>
      <c r="WO118" s="383"/>
      <c r="WP118" s="383"/>
      <c r="WQ118" s="383"/>
      <c r="WR118" s="383"/>
      <c r="WS118" s="383"/>
      <c r="WT118" s="383"/>
      <c r="WU118" s="383"/>
      <c r="WV118" s="383"/>
      <c r="WW118" s="383"/>
      <c r="WX118" s="383"/>
      <c r="WY118" s="383"/>
      <c r="WZ118" s="383"/>
      <c r="XA118" s="383"/>
      <c r="XB118" s="383"/>
      <c r="XC118" s="383"/>
      <c r="XD118" s="383"/>
      <c r="XE118" s="383"/>
      <c r="XF118" s="383"/>
      <c r="XG118" s="383"/>
      <c r="XH118" s="383"/>
      <c r="XI118" s="383"/>
      <c r="XJ118" s="383"/>
      <c r="XK118" s="383"/>
      <c r="XL118" s="383"/>
      <c r="XM118" s="383"/>
      <c r="XN118" s="383"/>
      <c r="XO118" s="383"/>
      <c r="XP118" s="383"/>
      <c r="XQ118" s="383"/>
      <c r="XR118" s="383"/>
      <c r="XS118" s="383"/>
      <c r="XT118" s="383"/>
      <c r="XU118" s="383"/>
      <c r="XV118" s="383"/>
      <c r="XW118" s="383"/>
      <c r="XX118" s="383"/>
      <c r="XY118" s="383"/>
      <c r="XZ118" s="383"/>
      <c r="YA118" s="383"/>
      <c r="YB118" s="383"/>
      <c r="YC118" s="383"/>
      <c r="YD118" s="383"/>
      <c r="YE118" s="383"/>
      <c r="YF118" s="383"/>
      <c r="YG118" s="383"/>
      <c r="YH118" s="383"/>
      <c r="YI118" s="383"/>
      <c r="YJ118" s="383"/>
      <c r="YK118" s="383"/>
      <c r="YL118" s="383"/>
      <c r="YM118" s="383"/>
      <c r="YN118" s="383"/>
      <c r="YO118" s="383"/>
      <c r="YP118" s="383"/>
      <c r="YQ118" s="383"/>
      <c r="YR118" s="383"/>
      <c r="YS118" s="383"/>
      <c r="YT118" s="383"/>
      <c r="YU118" s="383"/>
      <c r="YV118" s="383"/>
      <c r="YW118" s="383"/>
      <c r="YX118" s="383"/>
      <c r="YY118" s="383"/>
      <c r="YZ118" s="383"/>
      <c r="ZA118" s="383"/>
      <c r="ZB118" s="383"/>
      <c r="ZC118" s="383"/>
      <c r="ZD118" s="383"/>
      <c r="ZE118" s="383"/>
      <c r="ZF118" s="383"/>
      <c r="ZG118" s="383"/>
      <c r="ZH118" s="383"/>
      <c r="ZI118" s="383"/>
      <c r="ZJ118" s="383"/>
      <c r="ZK118" s="383"/>
      <c r="ZL118" s="383"/>
      <c r="ZM118" s="383"/>
      <c r="ZN118" s="383"/>
      <c r="ZO118" s="383"/>
      <c r="ZP118" s="383"/>
      <c r="ZQ118" s="383"/>
      <c r="ZR118" s="383"/>
      <c r="ZS118" s="383"/>
      <c r="ZT118" s="383"/>
      <c r="ZU118" s="383"/>
      <c r="ZV118" s="383"/>
      <c r="ZW118" s="383"/>
      <c r="ZX118" s="383"/>
      <c r="ZY118" s="383"/>
      <c r="ZZ118" s="383"/>
      <c r="AAA118" s="383"/>
      <c r="AAB118" s="383"/>
      <c r="AAC118" s="383"/>
      <c r="AAD118" s="383"/>
      <c r="AAE118" s="383"/>
      <c r="AAF118" s="383"/>
      <c r="AAG118" s="383"/>
      <c r="AAH118" s="383"/>
      <c r="AAI118" s="383"/>
      <c r="AAJ118" s="383"/>
      <c r="AAK118" s="383"/>
      <c r="AAL118" s="383"/>
      <c r="AAM118" s="383"/>
      <c r="AAN118" s="383"/>
      <c r="AAO118" s="383"/>
      <c r="AAP118" s="383"/>
      <c r="AAQ118" s="383"/>
      <c r="AAR118" s="383"/>
      <c r="AAS118" s="383"/>
      <c r="AAT118" s="383"/>
      <c r="AAU118" s="383"/>
      <c r="AAV118" s="383"/>
      <c r="AAW118" s="383"/>
      <c r="AAX118" s="383"/>
      <c r="AAY118" s="383"/>
      <c r="AAZ118" s="383"/>
      <c r="ABA118" s="383"/>
      <c r="ABB118" s="383"/>
      <c r="ABC118" s="383"/>
      <c r="ABD118" s="383"/>
      <c r="ABE118" s="383"/>
      <c r="ABF118" s="383"/>
      <c r="ABG118" s="383"/>
      <c r="ABH118" s="383"/>
      <c r="ABI118" s="383"/>
      <c r="ABJ118" s="383"/>
      <c r="ABK118" s="383"/>
      <c r="ABL118" s="383"/>
      <c r="ABM118" s="383"/>
      <c r="ABN118" s="383"/>
      <c r="ABO118" s="383"/>
      <c r="ABP118" s="383"/>
      <c r="ABQ118" s="383"/>
      <c r="ABR118" s="383"/>
      <c r="ABS118" s="383"/>
      <c r="ABT118" s="383"/>
      <c r="ABU118" s="383"/>
      <c r="ABV118" s="383"/>
      <c r="ABW118" s="383"/>
      <c r="ABX118" s="383"/>
      <c r="ABY118" s="383"/>
      <c r="ABZ118" s="383"/>
      <c r="ACA118" s="383"/>
      <c r="ACB118" s="383"/>
      <c r="ACC118" s="383"/>
      <c r="ACD118" s="383"/>
      <c r="ACE118" s="383"/>
      <c r="ACF118" s="383"/>
      <c r="ACG118" s="383"/>
      <c r="ACH118" s="383"/>
      <c r="ACI118" s="383"/>
      <c r="ACJ118" s="383"/>
      <c r="ACK118" s="383"/>
      <c r="ACL118" s="383"/>
      <c r="ACM118" s="383"/>
      <c r="ACN118" s="383"/>
      <c r="ACO118" s="383"/>
      <c r="ACP118" s="383"/>
      <c r="ACQ118" s="383"/>
      <c r="ACR118" s="383"/>
      <c r="ACS118" s="383"/>
      <c r="ACT118" s="383"/>
      <c r="ACU118" s="383"/>
      <c r="ACV118" s="383"/>
      <c r="ACW118" s="383"/>
      <c r="ACX118" s="383"/>
      <c r="ACY118" s="383"/>
      <c r="ACZ118" s="383"/>
      <c r="ADA118" s="383"/>
      <c r="ADB118" s="383"/>
      <c r="ADC118" s="383"/>
      <c r="ADD118" s="383"/>
      <c r="ADE118" s="383"/>
      <c r="ADF118" s="383"/>
      <c r="ADG118" s="383"/>
      <c r="ADH118" s="383"/>
      <c r="ADI118" s="383"/>
      <c r="ADJ118" s="383"/>
      <c r="ADK118" s="383"/>
      <c r="ADL118" s="383"/>
      <c r="ADM118" s="383"/>
      <c r="ADN118" s="383"/>
      <c r="ADO118" s="383"/>
      <c r="ADP118" s="383"/>
      <c r="ADQ118" s="383"/>
      <c r="ADR118" s="383"/>
      <c r="ADS118" s="383"/>
      <c r="ADT118" s="383"/>
      <c r="ADU118" s="383"/>
      <c r="ADV118" s="383"/>
      <c r="ADW118" s="383"/>
      <c r="ADX118" s="383"/>
      <c r="ADY118" s="383"/>
      <c r="ADZ118" s="383"/>
      <c r="AEA118" s="383"/>
      <c r="AEB118" s="383"/>
      <c r="AEC118" s="383"/>
      <c r="AED118" s="383"/>
      <c r="AEE118" s="383"/>
      <c r="AEF118" s="383"/>
      <c r="AEG118" s="383"/>
      <c r="AEH118" s="383"/>
      <c r="AEI118" s="383"/>
      <c r="AEJ118" s="383"/>
      <c r="AEK118" s="383"/>
      <c r="AEL118" s="383"/>
      <c r="AEM118" s="383"/>
      <c r="AEN118" s="383"/>
      <c r="AEO118" s="383"/>
      <c r="AEP118" s="383"/>
      <c r="AEQ118" s="383"/>
      <c r="AER118" s="383"/>
      <c r="AES118" s="383"/>
      <c r="AET118" s="383"/>
      <c r="AEU118" s="383"/>
      <c r="AEV118" s="383"/>
      <c r="AEW118" s="383"/>
      <c r="AEX118" s="383"/>
      <c r="AEY118" s="383"/>
      <c r="AEZ118" s="383"/>
      <c r="AFA118" s="383"/>
      <c r="AFB118" s="383"/>
      <c r="AFC118" s="383"/>
      <c r="AFD118" s="383"/>
      <c r="AFE118" s="383"/>
      <c r="AFF118" s="383"/>
      <c r="AFG118" s="383"/>
      <c r="AFH118" s="383"/>
      <c r="AFI118" s="383"/>
      <c r="AFJ118" s="383"/>
      <c r="AFK118" s="383"/>
      <c r="AFL118" s="383"/>
      <c r="AFM118" s="383"/>
      <c r="AFN118" s="383"/>
      <c r="AFO118" s="383"/>
      <c r="AFP118" s="383"/>
      <c r="AFQ118" s="383"/>
      <c r="AFR118" s="383"/>
      <c r="AFS118" s="383"/>
      <c r="AFT118" s="383"/>
      <c r="AFU118" s="383"/>
      <c r="AFV118" s="383"/>
      <c r="AFW118" s="383"/>
      <c r="AFX118" s="383"/>
      <c r="AFY118" s="383"/>
      <c r="AFZ118" s="383"/>
      <c r="AGA118" s="383"/>
      <c r="AGB118" s="383"/>
      <c r="AGC118" s="383"/>
      <c r="AGD118" s="383"/>
      <c r="AGE118" s="383"/>
      <c r="AGF118" s="383"/>
      <c r="AGG118" s="383"/>
      <c r="AGH118" s="383"/>
      <c r="AGI118" s="383"/>
      <c r="AGJ118" s="383"/>
      <c r="AGK118" s="383"/>
      <c r="AGL118" s="383"/>
      <c r="AGM118" s="383"/>
      <c r="AGN118" s="383"/>
      <c r="AGO118" s="383"/>
      <c r="AGP118" s="383"/>
      <c r="AGQ118" s="383"/>
      <c r="AGR118" s="383"/>
      <c r="AGS118" s="383"/>
      <c r="AGT118" s="383"/>
      <c r="AGU118" s="383"/>
      <c r="AGV118" s="383"/>
      <c r="AGW118" s="383"/>
      <c r="AGX118" s="383"/>
      <c r="AGY118" s="383"/>
      <c r="AGZ118" s="383"/>
      <c r="AHA118" s="383"/>
      <c r="AHB118" s="383"/>
      <c r="AHC118" s="383"/>
      <c r="AHD118" s="383"/>
      <c r="AHE118" s="383"/>
      <c r="AHF118" s="383"/>
      <c r="AHG118" s="383"/>
      <c r="AHH118" s="383"/>
      <c r="AHI118" s="383"/>
      <c r="AHJ118" s="383"/>
      <c r="AHK118" s="383"/>
      <c r="AHL118" s="383"/>
      <c r="AHM118" s="383"/>
      <c r="AHN118" s="383"/>
      <c r="AHO118" s="383"/>
      <c r="AHP118" s="383"/>
      <c r="AHQ118" s="383"/>
      <c r="AHR118" s="383"/>
      <c r="AHS118" s="383"/>
      <c r="AHT118" s="383"/>
      <c r="AHU118" s="383"/>
      <c r="AHV118" s="383"/>
      <c r="AHW118" s="383"/>
      <c r="AHX118" s="383"/>
      <c r="AHY118" s="383"/>
      <c r="AHZ118" s="383"/>
      <c r="AIA118" s="383"/>
      <c r="AIB118" s="383"/>
      <c r="AIC118" s="383"/>
      <c r="AID118" s="383"/>
      <c r="AIE118" s="383"/>
      <c r="AIF118" s="383"/>
      <c r="AIG118" s="383"/>
      <c r="AIH118" s="383"/>
      <c r="AII118" s="383"/>
      <c r="AIJ118" s="383"/>
      <c r="AIK118" s="383"/>
      <c r="AIL118" s="383"/>
      <c r="AIM118" s="383"/>
      <c r="AIN118" s="383"/>
      <c r="AIO118" s="383"/>
      <c r="AIP118" s="383"/>
      <c r="AIQ118" s="383"/>
      <c r="AIR118" s="383"/>
      <c r="AIS118" s="383"/>
      <c r="AIT118" s="383"/>
      <c r="AIU118" s="383"/>
      <c r="AIV118" s="383"/>
      <c r="AIW118" s="383"/>
      <c r="AIX118" s="383"/>
      <c r="AIY118" s="383"/>
      <c r="AIZ118" s="383"/>
      <c r="AJA118" s="383"/>
      <c r="AJB118" s="383"/>
      <c r="AJC118" s="383"/>
      <c r="AJD118" s="383"/>
      <c r="AJE118" s="383"/>
      <c r="AJF118" s="383"/>
      <c r="AJG118" s="383"/>
      <c r="AJH118" s="383"/>
      <c r="AJI118" s="383"/>
      <c r="AJJ118" s="383"/>
      <c r="AJK118" s="383"/>
      <c r="AJL118" s="383"/>
      <c r="AJM118" s="383"/>
      <c r="AJN118" s="383"/>
      <c r="AJO118" s="383"/>
      <c r="AJP118" s="383"/>
      <c r="AJQ118" s="383"/>
      <c r="AJR118" s="383"/>
      <c r="AJS118" s="383"/>
      <c r="AJT118" s="383"/>
      <c r="AJU118" s="383"/>
      <c r="AJV118" s="383"/>
      <c r="AJW118" s="383"/>
      <c r="AJX118" s="383"/>
      <c r="AJY118" s="383"/>
      <c r="AJZ118" s="383"/>
      <c r="AKA118" s="383"/>
      <c r="AKB118" s="383"/>
      <c r="AKC118" s="383"/>
      <c r="AKD118" s="383"/>
      <c r="AKE118" s="383"/>
      <c r="AKF118" s="383"/>
      <c r="AKG118" s="383"/>
      <c r="AKH118" s="383"/>
      <c r="AKI118" s="383"/>
      <c r="AKJ118" s="383"/>
      <c r="AKK118" s="383"/>
      <c r="AKL118" s="383"/>
      <c r="AKM118" s="383"/>
      <c r="AKN118" s="383"/>
      <c r="AKO118" s="383"/>
      <c r="AKP118" s="383"/>
      <c r="AKQ118" s="383"/>
      <c r="AKR118" s="383"/>
      <c r="AKS118" s="383"/>
      <c r="AKT118" s="383"/>
      <c r="AKU118" s="383"/>
      <c r="AKV118" s="383"/>
      <c r="AKW118" s="383"/>
      <c r="AKX118" s="383"/>
      <c r="AKY118" s="383"/>
      <c r="AKZ118" s="383"/>
      <c r="ALA118" s="383"/>
      <c r="ALB118" s="383"/>
      <c r="ALC118" s="383"/>
      <c r="ALD118" s="383"/>
      <c r="ALE118" s="383"/>
      <c r="ALF118" s="383"/>
      <c r="ALG118" s="383"/>
      <c r="ALH118" s="383"/>
      <c r="ALI118" s="383"/>
      <c r="ALJ118" s="383"/>
      <c r="ALK118" s="383"/>
      <c r="ALL118" s="383"/>
      <c r="ALM118" s="383"/>
      <c r="ALN118" s="383"/>
      <c r="ALO118" s="383"/>
      <c r="ALP118" s="383"/>
      <c r="ALQ118" s="383"/>
      <c r="ALR118" s="383"/>
      <c r="ALS118" s="383"/>
      <c r="ALT118" s="383"/>
      <c r="ALU118" s="383"/>
      <c r="ALV118" s="383"/>
      <c r="ALW118" s="383"/>
      <c r="ALX118" s="383"/>
      <c r="ALY118" s="383"/>
      <c r="ALZ118" s="383"/>
      <c r="AMA118" s="383"/>
      <c r="AMB118" s="383"/>
      <c r="AMC118" s="383"/>
      <c r="AMD118" s="383"/>
      <c r="AME118" s="383"/>
      <c r="AMF118" s="383"/>
      <c r="AMG118" s="383"/>
      <c r="AMH118" s="383"/>
      <c r="AMI118" s="383"/>
      <c r="AMJ118" s="383"/>
      <c r="AMK118" s="383"/>
      <c r="AML118" s="383"/>
      <c r="AMM118" s="383"/>
      <c r="AMN118" s="383"/>
      <c r="AMO118" s="383"/>
      <c r="AMP118" s="383"/>
      <c r="AMQ118" s="383"/>
      <c r="AMR118" s="383"/>
      <c r="AMS118" s="383"/>
      <c r="AMT118" s="383"/>
      <c r="AMU118" s="383"/>
      <c r="AMV118" s="383"/>
      <c r="AMW118" s="383"/>
      <c r="AMX118" s="383"/>
      <c r="AMY118" s="383"/>
      <c r="AMZ118" s="383"/>
      <c r="ANA118" s="383"/>
      <c r="ANB118" s="383"/>
      <c r="ANC118" s="383"/>
      <c r="AND118" s="383"/>
      <c r="ANE118" s="383"/>
      <c r="ANF118" s="383"/>
      <c r="ANG118" s="383"/>
      <c r="ANH118" s="383"/>
      <c r="ANI118" s="383"/>
      <c r="ANJ118" s="383"/>
      <c r="ANK118" s="383"/>
      <c r="ANL118" s="383"/>
      <c r="ANM118" s="383"/>
      <c r="ANN118" s="383"/>
      <c r="ANO118" s="383"/>
      <c r="ANP118" s="383"/>
      <c r="ANQ118" s="383"/>
      <c r="ANR118" s="383"/>
      <c r="ANS118" s="383"/>
      <c r="ANT118" s="383"/>
      <c r="ANU118" s="383"/>
      <c r="ANV118" s="383"/>
      <c r="ANW118" s="383"/>
      <c r="ANX118" s="383"/>
      <c r="ANY118" s="383"/>
      <c r="ANZ118" s="383"/>
      <c r="AOA118" s="383"/>
      <c r="AOB118" s="383"/>
      <c r="AOC118" s="383"/>
      <c r="AOD118" s="383"/>
      <c r="AOE118" s="383"/>
      <c r="AOF118" s="383"/>
      <c r="AOG118" s="383"/>
      <c r="AOH118" s="383"/>
      <c r="AOI118" s="383"/>
      <c r="AOJ118" s="383"/>
      <c r="AOK118" s="383"/>
      <c r="AOL118" s="383"/>
      <c r="AOM118" s="383"/>
      <c r="AON118" s="383"/>
      <c r="AOO118" s="383"/>
      <c r="AOP118" s="383"/>
      <c r="AOQ118" s="383"/>
      <c r="AOR118" s="383"/>
      <c r="AOS118" s="383"/>
      <c r="AOT118" s="383"/>
      <c r="AOU118" s="383"/>
      <c r="AOV118" s="383"/>
      <c r="AOW118" s="383"/>
      <c r="AOX118" s="383"/>
      <c r="AOY118" s="383"/>
      <c r="AOZ118" s="383"/>
      <c r="APA118" s="383"/>
      <c r="APB118" s="383"/>
      <c r="APC118" s="383"/>
      <c r="APD118" s="383"/>
      <c r="APE118" s="383"/>
      <c r="APF118" s="383"/>
      <c r="APG118" s="383"/>
      <c r="APH118" s="383"/>
      <c r="API118" s="383"/>
      <c r="APJ118" s="383"/>
      <c r="APK118" s="383"/>
      <c r="APL118" s="383"/>
      <c r="APM118" s="383"/>
      <c r="APN118" s="383"/>
      <c r="APO118" s="383"/>
      <c r="APP118" s="383"/>
      <c r="APQ118" s="383"/>
      <c r="APR118" s="383"/>
      <c r="APS118" s="383"/>
      <c r="APT118" s="383"/>
      <c r="APU118" s="383"/>
      <c r="APV118" s="383"/>
      <c r="APW118" s="383"/>
      <c r="APX118" s="383"/>
      <c r="APY118" s="383"/>
      <c r="APZ118" s="383"/>
      <c r="AQA118" s="383"/>
      <c r="AQB118" s="383"/>
      <c r="AQC118" s="383"/>
      <c r="AQD118" s="383"/>
      <c r="AQE118" s="383"/>
      <c r="AQF118" s="383"/>
      <c r="AQG118" s="383"/>
      <c r="AQH118" s="383"/>
      <c r="AQI118" s="383"/>
      <c r="AQJ118" s="383"/>
      <c r="AQK118" s="383"/>
      <c r="AQL118" s="383"/>
      <c r="AQM118" s="383"/>
      <c r="AQN118" s="383"/>
      <c r="AQO118" s="383"/>
      <c r="AQP118" s="383"/>
      <c r="AQQ118" s="383"/>
      <c r="AQR118" s="383"/>
      <c r="AQS118" s="383"/>
      <c r="AQT118" s="383"/>
      <c r="AQU118" s="383"/>
      <c r="AQV118" s="383"/>
      <c r="AQW118" s="383"/>
      <c r="AQX118" s="383"/>
      <c r="AQY118" s="383"/>
      <c r="AQZ118" s="383"/>
      <c r="ARA118" s="383"/>
      <c r="ARB118" s="383"/>
      <c r="ARC118" s="383"/>
      <c r="ARD118" s="383"/>
      <c r="ARE118" s="383"/>
      <c r="ARF118" s="383"/>
      <c r="ARG118" s="383"/>
      <c r="ARH118" s="383"/>
      <c r="ARI118" s="383"/>
      <c r="ARJ118" s="383"/>
      <c r="ARK118" s="383"/>
      <c r="ARL118" s="383"/>
      <c r="ARM118" s="383"/>
      <c r="ARN118" s="383"/>
      <c r="ARO118" s="383"/>
      <c r="ARP118" s="383"/>
      <c r="ARQ118" s="383"/>
      <c r="ARR118" s="383"/>
      <c r="ARS118" s="383"/>
      <c r="ART118" s="383"/>
      <c r="ARU118" s="383"/>
      <c r="ARV118" s="383"/>
      <c r="ARW118" s="383"/>
      <c r="ARX118" s="383"/>
      <c r="ARY118" s="383"/>
      <c r="ARZ118" s="383"/>
      <c r="ASA118" s="383"/>
      <c r="ASB118" s="383"/>
      <c r="ASC118" s="383"/>
      <c r="ASD118" s="383"/>
      <c r="ASE118" s="383"/>
      <c r="ASF118" s="383"/>
      <c r="ASG118" s="383"/>
      <c r="ASH118" s="383"/>
      <c r="ASI118" s="383"/>
      <c r="ASJ118" s="383"/>
      <c r="ASK118" s="383"/>
      <c r="ASL118" s="383"/>
      <c r="ASM118" s="383"/>
      <c r="ASN118" s="383"/>
      <c r="ASO118" s="383"/>
      <c r="ASP118" s="383"/>
      <c r="ASQ118" s="383"/>
      <c r="ASR118" s="383"/>
      <c r="ASS118" s="383"/>
      <c r="AST118" s="383"/>
      <c r="ASU118" s="383"/>
      <c r="ASV118" s="383"/>
      <c r="ASW118" s="383"/>
      <c r="ASX118" s="383"/>
      <c r="ASY118" s="383"/>
      <c r="ASZ118" s="383"/>
      <c r="ATA118" s="383"/>
      <c r="ATB118" s="383"/>
      <c r="ATC118" s="383"/>
      <c r="ATD118" s="383"/>
      <c r="ATE118" s="383"/>
      <c r="ATF118" s="383"/>
      <c r="ATG118" s="383"/>
      <c r="ATH118" s="383"/>
      <c r="ATI118" s="383"/>
      <c r="ATJ118" s="383"/>
      <c r="ATK118" s="383"/>
      <c r="ATL118" s="383"/>
      <c r="ATM118" s="383"/>
      <c r="ATN118" s="383"/>
      <c r="ATO118" s="383"/>
      <c r="ATP118" s="383"/>
      <c r="ATQ118" s="383"/>
      <c r="ATR118" s="383"/>
      <c r="ATS118" s="383"/>
      <c r="ATT118" s="383"/>
      <c r="ATU118" s="383"/>
      <c r="ATV118" s="383"/>
      <c r="ATW118" s="383"/>
      <c r="ATX118" s="383"/>
      <c r="ATY118" s="383"/>
      <c r="ATZ118" s="383"/>
      <c r="AUA118" s="383"/>
      <c r="AUB118" s="383"/>
      <c r="AUC118" s="383"/>
      <c r="AUD118" s="383"/>
      <c r="AUE118" s="383"/>
      <c r="AUF118" s="383"/>
      <c r="AUG118" s="383"/>
      <c r="AUH118" s="383"/>
      <c r="AUI118" s="383"/>
      <c r="AUJ118" s="383"/>
      <c r="AUK118" s="383"/>
      <c r="AUL118" s="383"/>
      <c r="AUM118" s="383"/>
      <c r="AUN118" s="383"/>
      <c r="AUO118" s="383"/>
      <c r="AUP118" s="383"/>
      <c r="AUQ118" s="383"/>
      <c r="AUR118" s="383"/>
      <c r="AUS118" s="383"/>
      <c r="AUT118" s="383"/>
      <c r="AUU118" s="383"/>
      <c r="AUV118" s="383"/>
      <c r="AUW118" s="383"/>
      <c r="AUX118" s="383"/>
      <c r="AUY118" s="383"/>
      <c r="AUZ118" s="383"/>
      <c r="AVA118" s="383"/>
      <c r="AVB118" s="383"/>
      <c r="AVC118" s="383"/>
      <c r="AVD118" s="383"/>
      <c r="AVE118" s="383"/>
      <c r="AVF118" s="383"/>
      <c r="AVG118" s="383"/>
      <c r="AVH118" s="383"/>
      <c r="AVI118" s="383"/>
      <c r="AVJ118" s="383"/>
      <c r="AVK118" s="383"/>
      <c r="AVL118" s="383"/>
      <c r="AVM118" s="383"/>
      <c r="AVN118" s="383"/>
      <c r="AVO118" s="383"/>
      <c r="AVP118" s="383"/>
      <c r="AVQ118" s="383"/>
      <c r="AVR118" s="383"/>
      <c r="AVS118" s="383"/>
      <c r="AVT118" s="383"/>
      <c r="AVU118" s="383"/>
      <c r="AVV118" s="383"/>
      <c r="AVW118" s="383"/>
      <c r="AVX118" s="383"/>
      <c r="AVY118" s="383"/>
      <c r="AVZ118" s="383"/>
      <c r="AWA118" s="383"/>
      <c r="AWB118" s="383"/>
      <c r="AWC118" s="383"/>
      <c r="AWD118" s="383"/>
      <c r="AWE118" s="383"/>
      <c r="AWF118" s="383"/>
      <c r="AWG118" s="383"/>
      <c r="AWH118" s="383"/>
      <c r="AWI118" s="383"/>
      <c r="AWJ118" s="383"/>
      <c r="AWK118" s="383"/>
      <c r="AWL118" s="383"/>
      <c r="AWM118" s="383"/>
      <c r="AWN118" s="383"/>
      <c r="AWO118" s="383"/>
      <c r="AWP118" s="383"/>
      <c r="AWQ118" s="383"/>
      <c r="AWR118" s="383"/>
      <c r="AWS118" s="383"/>
      <c r="AWT118" s="383"/>
      <c r="AWU118" s="383"/>
      <c r="AWV118" s="383"/>
      <c r="AWW118" s="383"/>
      <c r="AWX118" s="383"/>
      <c r="AWY118" s="383"/>
      <c r="AWZ118" s="383"/>
      <c r="AXA118" s="383"/>
      <c r="AXB118" s="383"/>
      <c r="AXC118" s="383"/>
      <c r="AXD118" s="383"/>
      <c r="AXE118" s="383"/>
      <c r="AXF118" s="383"/>
      <c r="AXG118" s="383"/>
      <c r="AXH118" s="383"/>
      <c r="AXI118" s="383"/>
      <c r="AXJ118" s="383"/>
      <c r="AXK118" s="383"/>
      <c r="AXL118" s="383"/>
      <c r="AXM118" s="383"/>
      <c r="AXN118" s="383"/>
      <c r="AXO118" s="383"/>
      <c r="AXP118" s="383"/>
      <c r="AXQ118" s="383"/>
      <c r="AXR118" s="383"/>
      <c r="AXS118" s="383"/>
      <c r="AXT118" s="383"/>
      <c r="AXU118" s="383"/>
      <c r="AXV118" s="383"/>
      <c r="AXW118" s="383"/>
      <c r="AXX118" s="383"/>
      <c r="AXY118" s="383"/>
      <c r="AXZ118" s="383"/>
      <c r="AYA118" s="383"/>
      <c r="AYB118" s="383"/>
      <c r="AYC118" s="383"/>
      <c r="AYD118" s="383"/>
      <c r="AYE118" s="383"/>
      <c r="AYF118" s="383"/>
      <c r="AYG118" s="383"/>
      <c r="AYH118" s="383"/>
      <c r="AYI118" s="383"/>
      <c r="AYJ118" s="383"/>
      <c r="AYK118" s="383"/>
      <c r="AYL118" s="383"/>
      <c r="AYM118" s="383"/>
      <c r="AYN118" s="383"/>
      <c r="AYO118" s="383"/>
      <c r="AYP118" s="383"/>
      <c r="AYQ118" s="383"/>
      <c r="AYR118" s="383"/>
      <c r="AYS118" s="383"/>
      <c r="AYT118" s="383"/>
      <c r="AYU118" s="383"/>
      <c r="AYV118" s="383"/>
      <c r="AYW118" s="383"/>
      <c r="AYX118" s="383"/>
      <c r="AYY118" s="383"/>
      <c r="AYZ118" s="383"/>
      <c r="AZA118" s="383"/>
      <c r="AZB118" s="383"/>
      <c r="AZC118" s="383"/>
      <c r="AZD118" s="383"/>
      <c r="AZE118" s="383"/>
      <c r="AZF118" s="383"/>
      <c r="AZG118" s="383"/>
      <c r="AZH118" s="383"/>
      <c r="AZI118" s="383"/>
      <c r="AZJ118" s="383"/>
      <c r="AZK118" s="383"/>
      <c r="AZL118" s="383"/>
      <c r="AZM118" s="383"/>
      <c r="AZN118" s="383"/>
      <c r="AZO118" s="383"/>
      <c r="AZP118" s="383"/>
      <c r="AZQ118" s="383"/>
      <c r="AZR118" s="383"/>
      <c r="AZS118" s="383"/>
      <c r="AZT118" s="383"/>
      <c r="AZU118" s="383"/>
      <c r="AZV118" s="383"/>
      <c r="AZW118" s="383"/>
      <c r="AZX118" s="383"/>
      <c r="AZY118" s="383"/>
      <c r="AZZ118" s="383"/>
      <c r="BAA118" s="383"/>
      <c r="BAB118" s="383"/>
      <c r="BAC118" s="383"/>
      <c r="BAD118" s="383"/>
      <c r="BAE118" s="383"/>
      <c r="BAF118" s="383"/>
      <c r="BAG118" s="383"/>
      <c r="BAH118" s="383"/>
      <c r="BAI118" s="383"/>
      <c r="BAJ118" s="383"/>
      <c r="BAK118" s="383"/>
      <c r="BAL118" s="383"/>
      <c r="BAM118" s="383"/>
      <c r="BAN118" s="383"/>
      <c r="BAO118" s="383"/>
      <c r="BAP118" s="383"/>
      <c r="BAQ118" s="383"/>
      <c r="BAR118" s="383"/>
      <c r="BAS118" s="383"/>
      <c r="BAT118" s="383"/>
      <c r="BAU118" s="383"/>
      <c r="BAV118" s="383"/>
      <c r="BAW118" s="383"/>
      <c r="BAX118" s="383"/>
      <c r="BAY118" s="383"/>
      <c r="BAZ118" s="383"/>
      <c r="BBA118" s="383"/>
      <c r="BBB118" s="383"/>
      <c r="BBC118" s="383"/>
      <c r="BBD118" s="383"/>
      <c r="BBE118" s="383"/>
      <c r="BBF118" s="383"/>
      <c r="BBG118" s="383"/>
      <c r="BBH118" s="383"/>
      <c r="BBI118" s="383"/>
      <c r="BBJ118" s="383"/>
      <c r="BBK118" s="383"/>
      <c r="BBL118" s="383"/>
      <c r="BBM118" s="383"/>
      <c r="BBN118" s="383"/>
      <c r="BBO118" s="383"/>
      <c r="BBP118" s="383"/>
      <c r="BBQ118" s="383"/>
      <c r="BBR118" s="383"/>
      <c r="BBS118" s="383"/>
      <c r="BBT118" s="383"/>
      <c r="BBU118" s="383"/>
      <c r="BBV118" s="383"/>
      <c r="BBW118" s="383"/>
      <c r="BBX118" s="383"/>
      <c r="BBY118" s="383"/>
      <c r="BBZ118" s="383"/>
      <c r="BCA118" s="383"/>
      <c r="BCB118" s="383"/>
      <c r="BCC118" s="383"/>
      <c r="BCD118" s="383"/>
      <c r="BCE118" s="383"/>
      <c r="BCF118" s="383"/>
      <c r="BCG118" s="383"/>
      <c r="BCH118" s="383"/>
      <c r="BCI118" s="383"/>
      <c r="BCJ118" s="383"/>
      <c r="BCK118" s="383"/>
      <c r="BCL118" s="383"/>
      <c r="BCM118" s="383"/>
      <c r="BCN118" s="383"/>
      <c r="BCO118" s="383"/>
      <c r="BCP118" s="383"/>
      <c r="BCQ118" s="383"/>
      <c r="BCR118" s="383"/>
      <c r="BCS118" s="383"/>
      <c r="BCT118" s="383"/>
      <c r="BCU118" s="383"/>
      <c r="BCV118" s="383"/>
      <c r="BCW118" s="383"/>
      <c r="BCX118" s="383"/>
      <c r="BCY118" s="383"/>
      <c r="BCZ118" s="383"/>
      <c r="BDA118" s="383"/>
      <c r="BDB118" s="383"/>
      <c r="BDC118" s="383"/>
      <c r="BDD118" s="383"/>
      <c r="BDE118" s="383"/>
      <c r="BDF118" s="383"/>
      <c r="BDG118" s="383"/>
      <c r="BDH118" s="383"/>
      <c r="BDI118" s="383"/>
      <c r="BDJ118" s="383"/>
      <c r="BDK118" s="383"/>
      <c r="BDL118" s="383"/>
      <c r="BDM118" s="383"/>
      <c r="BDN118" s="383"/>
      <c r="BDO118" s="383"/>
      <c r="BDP118" s="383"/>
      <c r="BDQ118" s="383"/>
      <c r="BDR118" s="383"/>
      <c r="BDS118" s="383"/>
      <c r="BDT118" s="383"/>
      <c r="BDU118" s="383"/>
      <c r="BDV118" s="383"/>
      <c r="BDW118" s="383"/>
      <c r="BDX118" s="383"/>
      <c r="BDY118" s="383"/>
      <c r="BDZ118" s="383"/>
      <c r="BEA118" s="383"/>
      <c r="BEB118" s="383"/>
      <c r="BEC118" s="383"/>
      <c r="BED118" s="383"/>
      <c r="BEE118" s="383"/>
      <c r="BEF118" s="383"/>
      <c r="BEG118" s="383"/>
      <c r="BEH118" s="383"/>
      <c r="BEI118" s="383"/>
      <c r="BEJ118" s="383"/>
      <c r="BEK118" s="383"/>
      <c r="BEL118" s="383"/>
      <c r="BEM118" s="383"/>
      <c r="BEN118" s="383"/>
      <c r="BEO118" s="383"/>
      <c r="BEP118" s="383"/>
      <c r="BEQ118" s="383"/>
      <c r="BER118" s="383"/>
      <c r="BES118" s="383"/>
      <c r="BET118" s="383"/>
      <c r="BEU118" s="383"/>
      <c r="BEV118" s="383"/>
      <c r="BEW118" s="383"/>
      <c r="BEX118" s="383"/>
      <c r="BEY118" s="383"/>
      <c r="BEZ118" s="383"/>
      <c r="BFA118" s="383"/>
      <c r="BFB118" s="383"/>
      <c r="BFC118" s="383"/>
      <c r="BFD118" s="383"/>
      <c r="BFE118" s="383"/>
      <c r="BFF118" s="383"/>
      <c r="BFG118" s="383"/>
      <c r="BFH118" s="383"/>
      <c r="BFI118" s="383"/>
      <c r="BFJ118" s="383"/>
      <c r="BFK118" s="383"/>
      <c r="BFL118" s="383"/>
      <c r="BFM118" s="383"/>
      <c r="BFN118" s="383"/>
      <c r="BFO118" s="383"/>
      <c r="BFP118" s="383"/>
      <c r="BFQ118" s="383"/>
      <c r="BFR118" s="383"/>
      <c r="BFS118" s="383"/>
      <c r="BFT118" s="383"/>
      <c r="BFU118" s="383"/>
      <c r="BFV118" s="383"/>
      <c r="BFW118" s="383"/>
      <c r="BFX118" s="383"/>
      <c r="BFY118" s="383"/>
      <c r="BFZ118" s="383"/>
      <c r="BGA118" s="383"/>
      <c r="BGB118" s="383"/>
      <c r="BGC118" s="383"/>
      <c r="BGD118" s="383"/>
      <c r="BGE118" s="383"/>
      <c r="BGF118" s="383"/>
      <c r="BGG118" s="383"/>
      <c r="BGH118" s="383"/>
      <c r="BGI118" s="383"/>
      <c r="BGJ118" s="383"/>
      <c r="BGK118" s="383"/>
      <c r="BGL118" s="383"/>
      <c r="BGM118" s="383"/>
      <c r="BGN118" s="383"/>
      <c r="BGO118" s="383"/>
      <c r="BGP118" s="383"/>
      <c r="BGQ118" s="383"/>
      <c r="BGR118" s="383"/>
      <c r="BGS118" s="383"/>
      <c r="BGT118" s="383"/>
      <c r="BGU118" s="383"/>
      <c r="BGV118" s="383"/>
      <c r="BGW118" s="383"/>
      <c r="BGX118" s="383"/>
      <c r="BGY118" s="383"/>
      <c r="BGZ118" s="383"/>
      <c r="BHA118" s="383"/>
      <c r="BHB118" s="383"/>
      <c r="BHC118" s="383"/>
      <c r="BHD118" s="383"/>
      <c r="BHE118" s="383"/>
      <c r="BHF118" s="383"/>
      <c r="BHG118" s="383"/>
      <c r="BHH118" s="383"/>
      <c r="BHI118" s="383"/>
      <c r="BHJ118" s="383"/>
      <c r="BHK118" s="383"/>
      <c r="BHL118" s="383"/>
      <c r="BHM118" s="383"/>
      <c r="BHN118" s="383"/>
      <c r="BHO118" s="383"/>
      <c r="BHP118" s="383"/>
      <c r="BHQ118" s="383"/>
      <c r="BHR118" s="383"/>
      <c r="BHS118" s="383"/>
      <c r="BHT118" s="383"/>
      <c r="BHU118" s="383"/>
      <c r="BHV118" s="383"/>
      <c r="BHW118" s="383"/>
      <c r="BHX118" s="383"/>
      <c r="BHY118" s="383"/>
      <c r="BHZ118" s="383"/>
      <c r="BIA118" s="383"/>
      <c r="BIB118" s="383"/>
      <c r="BIC118" s="383"/>
      <c r="BID118" s="383"/>
      <c r="BIE118" s="383"/>
      <c r="BIF118" s="383"/>
      <c r="BIG118" s="383"/>
      <c r="BIH118" s="383"/>
      <c r="BII118" s="383"/>
      <c r="BIJ118" s="383"/>
      <c r="BIK118" s="383"/>
      <c r="BIL118" s="383"/>
      <c r="BIM118" s="383"/>
      <c r="BIN118" s="383"/>
      <c r="BIO118" s="383"/>
      <c r="BIP118" s="383"/>
      <c r="BIQ118" s="383"/>
      <c r="BIR118" s="383"/>
      <c r="BIS118" s="383"/>
      <c r="BIT118" s="383"/>
      <c r="BIU118" s="383"/>
      <c r="BIV118" s="383"/>
      <c r="BIW118" s="383"/>
      <c r="BIX118" s="383"/>
      <c r="BIY118" s="383"/>
      <c r="BIZ118" s="383"/>
      <c r="BJA118" s="383"/>
      <c r="BJB118" s="383"/>
      <c r="BJC118" s="383"/>
      <c r="BJD118" s="383"/>
      <c r="BJE118" s="383"/>
      <c r="BJF118" s="383"/>
      <c r="BJG118" s="383"/>
      <c r="BJH118" s="383"/>
      <c r="BJI118" s="383"/>
      <c r="BJJ118" s="383"/>
      <c r="BJK118" s="383"/>
      <c r="BJL118" s="383"/>
      <c r="BJM118" s="383"/>
      <c r="BJN118" s="383"/>
      <c r="BJO118" s="383"/>
      <c r="BJP118" s="383"/>
      <c r="BJQ118" s="383"/>
      <c r="BJR118" s="383"/>
      <c r="BJS118" s="383"/>
      <c r="BJT118" s="383"/>
      <c r="BJU118" s="383"/>
      <c r="BJV118" s="383"/>
      <c r="BJW118" s="383"/>
      <c r="BJX118" s="383"/>
      <c r="BJY118" s="383"/>
      <c r="BJZ118" s="383"/>
      <c r="BKA118" s="383"/>
      <c r="BKB118" s="383"/>
      <c r="BKC118" s="383"/>
      <c r="BKD118" s="383"/>
      <c r="BKE118" s="383"/>
      <c r="BKF118" s="383"/>
      <c r="BKG118" s="383"/>
      <c r="BKH118" s="383"/>
      <c r="BKI118" s="383"/>
      <c r="BKJ118" s="383"/>
      <c r="BKK118" s="383"/>
      <c r="BKL118" s="383"/>
      <c r="BKM118" s="383"/>
      <c r="BKN118" s="383"/>
      <c r="BKO118" s="383"/>
      <c r="BKP118" s="383"/>
      <c r="BKQ118" s="383"/>
      <c r="BKR118" s="383"/>
      <c r="BKS118" s="383"/>
      <c r="BKT118" s="383"/>
      <c r="BKU118" s="383"/>
      <c r="BKV118" s="383"/>
      <c r="BKW118" s="383"/>
      <c r="BKX118" s="383"/>
      <c r="BKY118" s="383"/>
      <c r="BKZ118" s="383"/>
      <c r="BLA118" s="383"/>
      <c r="BLB118" s="383"/>
      <c r="BLC118" s="383"/>
      <c r="BLD118" s="383"/>
      <c r="BLE118" s="383"/>
      <c r="BLF118" s="383"/>
      <c r="BLG118" s="383"/>
      <c r="BLH118" s="383"/>
      <c r="BLI118" s="383"/>
      <c r="BLJ118" s="383"/>
      <c r="BLK118" s="383"/>
      <c r="BLL118" s="383"/>
      <c r="BLM118" s="383"/>
      <c r="BLN118" s="383"/>
      <c r="BLO118" s="383"/>
      <c r="BLP118" s="383"/>
      <c r="BLQ118" s="383"/>
      <c r="BLR118" s="383"/>
      <c r="BLS118" s="383"/>
      <c r="BLT118" s="383"/>
      <c r="BLU118" s="383"/>
      <c r="BLV118" s="383"/>
      <c r="BLW118" s="383"/>
      <c r="BLX118" s="383"/>
      <c r="BLY118" s="383"/>
      <c r="BLZ118" s="383"/>
      <c r="BMA118" s="383"/>
      <c r="BMB118" s="383"/>
      <c r="BMC118" s="383"/>
      <c r="BMD118" s="383"/>
      <c r="BME118" s="383"/>
      <c r="BMF118" s="383"/>
      <c r="BMG118" s="383"/>
      <c r="BMH118" s="383"/>
      <c r="BMI118" s="383"/>
      <c r="BMJ118" s="383"/>
      <c r="BMK118" s="383"/>
      <c r="BML118" s="383"/>
      <c r="BMM118" s="383"/>
      <c r="BMN118" s="383"/>
      <c r="BMO118" s="383"/>
      <c r="BMP118" s="383"/>
      <c r="BMQ118" s="383"/>
      <c r="BMR118" s="383"/>
      <c r="BMS118" s="383"/>
      <c r="BMT118" s="383"/>
      <c r="BMU118" s="383"/>
      <c r="BMV118" s="383"/>
      <c r="BMW118" s="383"/>
      <c r="BMX118" s="383"/>
      <c r="BMY118" s="383"/>
      <c r="BMZ118" s="383"/>
      <c r="BNA118" s="383"/>
      <c r="BNB118" s="383"/>
      <c r="BNC118" s="383"/>
      <c r="BND118" s="383"/>
      <c r="BNE118" s="383"/>
      <c r="BNF118" s="383"/>
      <c r="BNG118" s="383"/>
      <c r="BNH118" s="383"/>
      <c r="BNI118" s="383"/>
      <c r="BNJ118" s="383"/>
      <c r="BNK118" s="383"/>
      <c r="BNL118" s="383"/>
      <c r="BNM118" s="383"/>
      <c r="BNN118" s="383"/>
      <c r="BNO118" s="383"/>
      <c r="BNP118" s="383"/>
      <c r="BNQ118" s="383"/>
      <c r="BNR118" s="383"/>
      <c r="BNS118" s="383"/>
      <c r="BNT118" s="383"/>
      <c r="BNU118" s="383"/>
      <c r="BNV118" s="383"/>
      <c r="BNW118" s="383"/>
      <c r="BNX118" s="383"/>
      <c r="BNY118" s="383"/>
      <c r="BNZ118" s="383"/>
      <c r="BOA118" s="383"/>
      <c r="BOB118" s="383"/>
      <c r="BOC118" s="383"/>
      <c r="BOD118" s="383"/>
      <c r="BOE118" s="383"/>
      <c r="BOF118" s="383"/>
      <c r="BOG118" s="383"/>
      <c r="BOH118" s="383"/>
      <c r="BOI118" s="383"/>
      <c r="BOJ118" s="383"/>
      <c r="BOK118" s="383"/>
      <c r="BOL118" s="383"/>
      <c r="BOM118" s="383"/>
      <c r="BON118" s="383"/>
      <c r="BOO118" s="383"/>
      <c r="BOP118" s="383"/>
      <c r="BOQ118" s="383"/>
      <c r="BOR118" s="383"/>
      <c r="BOS118" s="383"/>
      <c r="BOT118" s="383"/>
      <c r="BOU118" s="383"/>
      <c r="BOV118" s="383"/>
      <c r="BOW118" s="383"/>
      <c r="BOX118" s="383"/>
      <c r="BOY118" s="383"/>
      <c r="BOZ118" s="383"/>
      <c r="BPA118" s="383"/>
      <c r="BPB118" s="383"/>
      <c r="BPC118" s="383"/>
      <c r="BPD118" s="383"/>
      <c r="BPE118" s="383"/>
      <c r="BPF118" s="383"/>
      <c r="BPG118" s="383"/>
      <c r="BPH118" s="383"/>
      <c r="BPI118" s="383"/>
      <c r="BPJ118" s="383"/>
      <c r="BPK118" s="383"/>
      <c r="BPL118" s="383"/>
      <c r="BPM118" s="383"/>
      <c r="BPN118" s="383"/>
      <c r="BPO118" s="383"/>
      <c r="BPP118" s="383"/>
      <c r="BPQ118" s="383"/>
      <c r="BPR118" s="383"/>
      <c r="BPS118" s="383"/>
      <c r="BPT118" s="383"/>
      <c r="BPU118" s="383"/>
      <c r="BPV118" s="383"/>
      <c r="BPW118" s="383"/>
      <c r="BPX118" s="383"/>
      <c r="BPY118" s="383"/>
      <c r="BPZ118" s="383"/>
      <c r="BQA118" s="383"/>
      <c r="BQB118" s="383"/>
      <c r="BQC118" s="383"/>
      <c r="BQD118" s="383"/>
      <c r="BQE118" s="383"/>
      <c r="BQF118" s="383"/>
      <c r="BQG118" s="383"/>
      <c r="BQH118" s="383"/>
      <c r="BQI118" s="383"/>
      <c r="BQJ118" s="383"/>
      <c r="BQK118" s="383"/>
      <c r="BQL118" s="383"/>
      <c r="BQM118" s="383"/>
      <c r="BQN118" s="383"/>
      <c r="BQO118" s="383"/>
      <c r="BQP118" s="383"/>
      <c r="BQQ118" s="383"/>
      <c r="BQR118" s="383"/>
      <c r="BQS118" s="383"/>
      <c r="BQT118" s="383"/>
      <c r="BQU118" s="383"/>
      <c r="BQV118" s="383"/>
      <c r="BQW118" s="383"/>
      <c r="BQX118" s="383"/>
      <c r="BQY118" s="383"/>
      <c r="BQZ118" s="383"/>
      <c r="BRA118" s="383"/>
      <c r="BRB118" s="383"/>
      <c r="BRC118" s="383"/>
      <c r="BRD118" s="383"/>
      <c r="BRE118" s="383"/>
      <c r="BRF118" s="383"/>
      <c r="BRG118" s="383"/>
      <c r="BRH118" s="383"/>
      <c r="BRI118" s="383"/>
      <c r="BRJ118" s="383"/>
      <c r="BRK118" s="383"/>
      <c r="BRL118" s="383"/>
      <c r="BRM118" s="383"/>
      <c r="BRN118" s="383"/>
      <c r="BRO118" s="383"/>
      <c r="BRP118" s="383"/>
      <c r="BRQ118" s="383"/>
      <c r="BRR118" s="383"/>
      <c r="BRS118" s="383"/>
      <c r="BRT118" s="383"/>
      <c r="BRU118" s="383"/>
      <c r="BRV118" s="383"/>
      <c r="BRW118" s="383"/>
      <c r="BRX118" s="383"/>
      <c r="BRY118" s="383"/>
      <c r="BRZ118" s="383"/>
      <c r="BSA118" s="383"/>
      <c r="BSB118" s="383"/>
      <c r="BSC118" s="383"/>
      <c r="BSD118" s="383"/>
      <c r="BSE118" s="383"/>
      <c r="BSF118" s="383"/>
      <c r="BSG118" s="383"/>
      <c r="BSH118" s="383"/>
      <c r="BSI118" s="383"/>
      <c r="BSJ118" s="383"/>
      <c r="BSK118" s="383"/>
      <c r="BSL118" s="383"/>
      <c r="BSM118" s="383"/>
      <c r="BSN118" s="383"/>
      <c r="BSO118" s="383"/>
      <c r="BSP118" s="383"/>
      <c r="BSQ118" s="383"/>
      <c r="BSR118" s="383"/>
      <c r="BSS118" s="383"/>
      <c r="BST118" s="383"/>
      <c r="BSU118" s="383"/>
      <c r="BSV118" s="383"/>
      <c r="BSW118" s="383"/>
      <c r="BSX118" s="383"/>
      <c r="BSY118" s="383"/>
      <c r="BSZ118" s="383"/>
      <c r="BTA118" s="383"/>
      <c r="BTB118" s="383"/>
      <c r="BTC118" s="383"/>
      <c r="BTD118" s="383"/>
      <c r="BTE118" s="383"/>
      <c r="BTF118" s="383"/>
      <c r="BTG118" s="383"/>
      <c r="BTH118" s="383"/>
      <c r="BTI118" s="383"/>
      <c r="BTJ118" s="383"/>
      <c r="BTK118" s="383"/>
      <c r="BTL118" s="383"/>
      <c r="BTM118" s="383"/>
      <c r="BTN118" s="383"/>
      <c r="BTO118" s="383"/>
      <c r="BTP118" s="383"/>
      <c r="BTQ118" s="383"/>
      <c r="BTR118" s="383"/>
      <c r="BTS118" s="383"/>
      <c r="BTT118" s="383"/>
      <c r="BTU118" s="383"/>
      <c r="BTV118" s="383"/>
      <c r="BTW118" s="383"/>
      <c r="BTX118" s="383"/>
      <c r="BTY118" s="383"/>
      <c r="BTZ118" s="383"/>
      <c r="BUA118" s="383"/>
      <c r="BUB118" s="383"/>
      <c r="BUC118" s="383"/>
      <c r="BUD118" s="383"/>
      <c r="BUE118" s="383"/>
      <c r="BUF118" s="383"/>
      <c r="BUG118" s="383"/>
      <c r="BUH118" s="383"/>
      <c r="BUI118" s="383"/>
      <c r="BUJ118" s="383"/>
      <c r="BUK118" s="383"/>
      <c r="BUL118" s="383"/>
      <c r="BUM118" s="383"/>
      <c r="BUN118" s="383"/>
      <c r="BUO118" s="383"/>
      <c r="BUP118" s="383"/>
      <c r="BUQ118" s="383"/>
      <c r="BUR118" s="383"/>
      <c r="BUS118" s="383"/>
      <c r="BUT118" s="383"/>
      <c r="BUU118" s="383"/>
      <c r="BUV118" s="383"/>
      <c r="BUW118" s="383"/>
      <c r="BUX118" s="383"/>
      <c r="BUY118" s="383"/>
      <c r="BUZ118" s="383"/>
      <c r="BVA118" s="383"/>
      <c r="BVB118" s="383"/>
      <c r="BVC118" s="383"/>
      <c r="BVD118" s="383"/>
      <c r="BVE118" s="383"/>
      <c r="BVF118" s="383"/>
      <c r="BVG118" s="383"/>
      <c r="BVH118" s="383"/>
      <c r="BVI118" s="383"/>
      <c r="BVJ118" s="383"/>
      <c r="BVK118" s="383"/>
      <c r="BVL118" s="383"/>
      <c r="BVM118" s="383"/>
      <c r="BVN118" s="383"/>
      <c r="BVO118" s="383"/>
      <c r="BVP118" s="383"/>
      <c r="BVQ118" s="383"/>
      <c r="BVR118" s="383"/>
      <c r="BVS118" s="383"/>
      <c r="BVT118" s="383"/>
      <c r="BVU118" s="383"/>
      <c r="BVV118" s="383"/>
      <c r="BVW118" s="383"/>
      <c r="BVX118" s="383"/>
      <c r="BVY118" s="383"/>
      <c r="BVZ118" s="383"/>
      <c r="BWA118" s="383"/>
      <c r="BWB118" s="383"/>
      <c r="BWC118" s="383"/>
      <c r="BWD118" s="383"/>
      <c r="BWE118" s="383"/>
      <c r="BWF118" s="383"/>
      <c r="BWG118" s="383"/>
      <c r="BWH118" s="383"/>
      <c r="BWI118" s="383"/>
      <c r="BWJ118" s="383"/>
      <c r="BWK118" s="383"/>
      <c r="BWL118" s="383"/>
      <c r="BWM118" s="383"/>
      <c r="BWN118" s="383"/>
      <c r="BWO118" s="383"/>
      <c r="BWP118" s="383"/>
      <c r="BWQ118" s="383"/>
      <c r="BWR118" s="383"/>
      <c r="BWS118" s="383"/>
      <c r="BWT118" s="383"/>
      <c r="BWU118" s="383"/>
      <c r="BWV118" s="383"/>
      <c r="BWW118" s="383"/>
      <c r="BWX118" s="383"/>
      <c r="BWY118" s="383"/>
      <c r="BWZ118" s="383"/>
      <c r="BXA118" s="383"/>
      <c r="BXB118" s="383"/>
      <c r="BXC118" s="383"/>
      <c r="BXD118" s="383"/>
      <c r="BXE118" s="383"/>
      <c r="BXF118" s="383"/>
      <c r="BXG118" s="383"/>
      <c r="BXH118" s="383"/>
      <c r="BXI118" s="383"/>
      <c r="BXJ118" s="383"/>
      <c r="BXK118" s="383"/>
      <c r="BXL118" s="383"/>
      <c r="BXM118" s="383"/>
      <c r="BXN118" s="383"/>
      <c r="BXO118" s="383"/>
      <c r="BXP118" s="383"/>
      <c r="BXQ118" s="383"/>
      <c r="BXR118" s="383"/>
      <c r="BXS118" s="383"/>
      <c r="BXT118" s="383"/>
      <c r="BXU118" s="383"/>
      <c r="BXV118" s="383"/>
      <c r="BXW118" s="383"/>
      <c r="BXX118" s="383"/>
      <c r="BXY118" s="383"/>
      <c r="BXZ118" s="383"/>
      <c r="BYA118" s="383"/>
      <c r="BYB118" s="383"/>
      <c r="BYC118" s="383"/>
      <c r="BYD118" s="383"/>
      <c r="BYE118" s="383"/>
      <c r="BYF118" s="383"/>
      <c r="BYG118" s="383"/>
      <c r="BYH118" s="383"/>
      <c r="BYI118" s="383"/>
      <c r="BYJ118" s="383"/>
      <c r="BYK118" s="383"/>
      <c r="BYL118" s="383"/>
      <c r="BYM118" s="383"/>
      <c r="BYN118" s="383"/>
      <c r="BYO118" s="383"/>
      <c r="BYP118" s="383"/>
      <c r="BYQ118" s="383"/>
      <c r="BYR118" s="383"/>
      <c r="BYS118" s="383"/>
      <c r="BYT118" s="383"/>
      <c r="BYU118" s="383"/>
      <c r="BYV118" s="383"/>
      <c r="BYW118" s="383"/>
      <c r="BYX118" s="383"/>
      <c r="BYY118" s="383"/>
      <c r="BYZ118" s="383"/>
      <c r="BZA118" s="383"/>
      <c r="BZB118" s="383"/>
      <c r="BZC118" s="383"/>
      <c r="BZD118" s="383"/>
      <c r="BZE118" s="383"/>
      <c r="BZF118" s="383"/>
      <c r="BZG118" s="383"/>
      <c r="BZH118" s="383"/>
      <c r="BZI118" s="383"/>
      <c r="BZJ118" s="383"/>
      <c r="BZK118" s="383"/>
      <c r="BZL118" s="383"/>
      <c r="BZM118" s="383"/>
      <c r="BZN118" s="383"/>
      <c r="BZO118" s="383"/>
      <c r="BZP118" s="383"/>
      <c r="BZQ118" s="383"/>
      <c r="BZR118" s="383"/>
      <c r="BZS118" s="383"/>
      <c r="BZT118" s="383"/>
      <c r="BZU118" s="383"/>
      <c r="BZV118" s="383"/>
      <c r="BZW118" s="383"/>
      <c r="BZX118" s="383"/>
      <c r="BZY118" s="383"/>
      <c r="BZZ118" s="383"/>
      <c r="CAA118" s="383"/>
      <c r="CAB118" s="383"/>
      <c r="CAC118" s="383"/>
      <c r="CAD118" s="383"/>
      <c r="CAE118" s="383"/>
      <c r="CAF118" s="383"/>
      <c r="CAG118" s="383"/>
      <c r="CAH118" s="383"/>
      <c r="CAI118" s="383"/>
      <c r="CAJ118" s="383"/>
      <c r="CAK118" s="383"/>
      <c r="CAL118" s="383"/>
      <c r="CAM118" s="383"/>
      <c r="CAN118" s="383"/>
      <c r="CAO118" s="383"/>
      <c r="CAP118" s="383"/>
      <c r="CAQ118" s="383"/>
      <c r="CAR118" s="383"/>
      <c r="CAS118" s="383"/>
      <c r="CAT118" s="383"/>
      <c r="CAU118" s="383"/>
      <c r="CAV118" s="383"/>
      <c r="CAW118" s="383"/>
      <c r="CAX118" s="383"/>
      <c r="CAY118" s="383"/>
      <c r="CAZ118" s="383"/>
      <c r="CBA118" s="383"/>
      <c r="CBB118" s="383"/>
      <c r="CBC118" s="383"/>
      <c r="CBD118" s="383"/>
      <c r="CBE118" s="383"/>
      <c r="CBF118" s="383"/>
      <c r="CBG118" s="383"/>
      <c r="CBH118" s="383"/>
      <c r="CBI118" s="383"/>
      <c r="CBJ118" s="383"/>
      <c r="CBK118" s="383"/>
      <c r="CBL118" s="383"/>
      <c r="CBM118" s="383"/>
      <c r="CBN118" s="383"/>
      <c r="CBO118" s="383"/>
      <c r="CBP118" s="383"/>
      <c r="CBQ118" s="383"/>
      <c r="CBR118" s="383"/>
      <c r="CBS118" s="383"/>
      <c r="CBT118" s="383"/>
      <c r="CBU118" s="383"/>
      <c r="CBV118" s="383"/>
      <c r="CBW118" s="383"/>
      <c r="CBX118" s="383"/>
      <c r="CBY118" s="383"/>
      <c r="CBZ118" s="383"/>
      <c r="CCA118" s="383"/>
      <c r="CCB118" s="383"/>
      <c r="CCC118" s="383"/>
      <c r="CCD118" s="383"/>
      <c r="CCE118" s="383"/>
      <c r="CCF118" s="383"/>
      <c r="CCG118" s="383"/>
      <c r="CCH118" s="383"/>
      <c r="CCI118" s="383"/>
      <c r="CCJ118" s="383"/>
      <c r="CCK118" s="383"/>
      <c r="CCL118" s="383"/>
      <c r="CCM118" s="383"/>
      <c r="CCN118" s="383"/>
      <c r="CCO118" s="383"/>
      <c r="CCP118" s="383"/>
      <c r="CCQ118" s="383"/>
      <c r="CCR118" s="383"/>
      <c r="CCS118" s="383"/>
      <c r="CCT118" s="383"/>
      <c r="CCU118" s="383"/>
      <c r="CCV118" s="383"/>
      <c r="CCW118" s="383"/>
      <c r="CCX118" s="383"/>
      <c r="CCY118" s="383"/>
      <c r="CCZ118" s="383"/>
      <c r="CDA118" s="383"/>
      <c r="CDB118" s="383"/>
      <c r="CDC118" s="383"/>
      <c r="CDD118" s="383"/>
      <c r="CDE118" s="383"/>
      <c r="CDF118" s="383"/>
      <c r="CDG118" s="383"/>
      <c r="CDH118" s="383"/>
      <c r="CDI118" s="383"/>
      <c r="CDJ118" s="383"/>
      <c r="CDK118" s="383"/>
      <c r="CDL118" s="383"/>
      <c r="CDM118" s="383"/>
      <c r="CDN118" s="383"/>
      <c r="CDO118" s="383"/>
      <c r="CDP118" s="383"/>
      <c r="CDQ118" s="383"/>
      <c r="CDR118" s="383"/>
      <c r="CDS118" s="383"/>
      <c r="CDT118" s="383"/>
      <c r="CDU118" s="383"/>
      <c r="CDV118" s="383"/>
      <c r="CDW118" s="383"/>
      <c r="CDX118" s="383"/>
      <c r="CDY118" s="383"/>
      <c r="CDZ118" s="383"/>
      <c r="CEA118" s="383"/>
      <c r="CEB118" s="383"/>
      <c r="CEC118" s="383"/>
      <c r="CED118" s="383"/>
      <c r="CEE118" s="383"/>
      <c r="CEF118" s="383"/>
      <c r="CEG118" s="383"/>
      <c r="CEH118" s="383"/>
      <c r="CEI118" s="383"/>
      <c r="CEJ118" s="383"/>
      <c r="CEK118" s="383"/>
      <c r="CEL118" s="383"/>
      <c r="CEM118" s="383"/>
      <c r="CEN118" s="383"/>
      <c r="CEO118" s="383"/>
      <c r="CEP118" s="383"/>
      <c r="CEQ118" s="383"/>
      <c r="CER118" s="383"/>
      <c r="CES118" s="383"/>
      <c r="CET118" s="383"/>
      <c r="CEU118" s="383"/>
      <c r="CEV118" s="383"/>
      <c r="CEW118" s="383"/>
      <c r="CEX118" s="383"/>
      <c r="CEY118" s="383"/>
      <c r="CEZ118" s="383"/>
      <c r="CFA118" s="383"/>
      <c r="CFB118" s="383"/>
      <c r="CFC118" s="383"/>
      <c r="CFD118" s="383"/>
      <c r="CFE118" s="383"/>
      <c r="CFF118" s="383"/>
      <c r="CFG118" s="383"/>
      <c r="CFH118" s="383"/>
      <c r="CFI118" s="383"/>
      <c r="CFJ118" s="383"/>
      <c r="CFK118" s="383"/>
      <c r="CFL118" s="383"/>
      <c r="CFM118" s="383"/>
      <c r="CFN118" s="383"/>
      <c r="CFO118" s="383"/>
      <c r="CFP118" s="383"/>
      <c r="CFQ118" s="383"/>
      <c r="CFR118" s="383"/>
      <c r="CFS118" s="383"/>
      <c r="CFT118" s="383"/>
      <c r="CFU118" s="383"/>
      <c r="CFV118" s="383"/>
      <c r="CFW118" s="383"/>
      <c r="CFX118" s="383"/>
      <c r="CFY118" s="383"/>
      <c r="CFZ118" s="383"/>
      <c r="CGA118" s="383"/>
      <c r="CGB118" s="383"/>
      <c r="CGC118" s="383"/>
      <c r="CGD118" s="383"/>
      <c r="CGE118" s="383"/>
      <c r="CGF118" s="383"/>
      <c r="CGG118" s="383"/>
      <c r="CGH118" s="383"/>
      <c r="CGI118" s="383"/>
      <c r="CGJ118" s="383"/>
      <c r="CGK118" s="383"/>
      <c r="CGL118" s="383"/>
      <c r="CGM118" s="383"/>
      <c r="CGN118" s="383"/>
      <c r="CGO118" s="383"/>
      <c r="CGP118" s="383"/>
      <c r="CGQ118" s="383"/>
      <c r="CGR118" s="383"/>
      <c r="CGS118" s="383"/>
      <c r="CGT118" s="383"/>
      <c r="CGU118" s="383"/>
      <c r="CGV118" s="383"/>
      <c r="CGW118" s="383"/>
      <c r="CGX118" s="383"/>
      <c r="CGY118" s="383"/>
      <c r="CGZ118" s="383"/>
      <c r="CHA118" s="383"/>
      <c r="CHB118" s="383"/>
      <c r="CHC118" s="383"/>
      <c r="CHD118" s="383"/>
      <c r="CHE118" s="383"/>
      <c r="CHF118" s="383"/>
      <c r="CHG118" s="383"/>
      <c r="CHH118" s="383"/>
      <c r="CHI118" s="383"/>
      <c r="CHJ118" s="383"/>
      <c r="CHK118" s="383"/>
      <c r="CHL118" s="383"/>
      <c r="CHM118" s="383"/>
      <c r="CHN118" s="383"/>
      <c r="CHO118" s="383"/>
      <c r="CHP118" s="383"/>
      <c r="CHQ118" s="383"/>
      <c r="CHR118" s="383"/>
      <c r="CHS118" s="383"/>
      <c r="CHT118" s="383"/>
      <c r="CHU118" s="383"/>
      <c r="CHV118" s="383"/>
      <c r="CHW118" s="383"/>
      <c r="CHX118" s="383"/>
      <c r="CHY118" s="383"/>
      <c r="CHZ118" s="383"/>
      <c r="CIA118" s="383"/>
      <c r="CIB118" s="383"/>
      <c r="CIC118" s="383"/>
      <c r="CID118" s="383"/>
      <c r="CIE118" s="383"/>
      <c r="CIF118" s="383"/>
      <c r="CIG118" s="383"/>
      <c r="CIH118" s="383"/>
      <c r="CII118" s="383"/>
      <c r="CIJ118" s="383"/>
      <c r="CIK118" s="383"/>
      <c r="CIL118" s="383"/>
      <c r="CIM118" s="383"/>
      <c r="CIN118" s="383"/>
      <c r="CIO118" s="383"/>
      <c r="CIP118" s="383"/>
      <c r="CIQ118" s="383"/>
      <c r="CIR118" s="383"/>
      <c r="CIS118" s="383"/>
      <c r="CIT118" s="383"/>
      <c r="CIU118" s="383"/>
      <c r="CIV118" s="383"/>
      <c r="CIW118" s="383"/>
      <c r="CIX118" s="383"/>
      <c r="CIY118" s="383"/>
      <c r="CIZ118" s="383"/>
      <c r="CJA118" s="383"/>
      <c r="CJB118" s="383"/>
      <c r="CJC118" s="383"/>
      <c r="CJD118" s="383"/>
      <c r="CJE118" s="383"/>
      <c r="CJF118" s="383"/>
      <c r="CJG118" s="383"/>
      <c r="CJH118" s="383"/>
      <c r="CJI118" s="383"/>
      <c r="CJJ118" s="383"/>
      <c r="CJK118" s="383"/>
      <c r="CJL118" s="383"/>
      <c r="CJM118" s="383"/>
      <c r="CJN118" s="383"/>
      <c r="CJO118" s="383"/>
      <c r="CJP118" s="383"/>
      <c r="CJQ118" s="383"/>
      <c r="CJR118" s="383"/>
      <c r="CJS118" s="383"/>
      <c r="CJT118" s="383"/>
      <c r="CJU118" s="383"/>
      <c r="CJV118" s="383"/>
      <c r="CJW118" s="383"/>
      <c r="CJX118" s="383"/>
      <c r="CJY118" s="383"/>
      <c r="CJZ118" s="383"/>
      <c r="CKA118" s="383"/>
      <c r="CKB118" s="383"/>
      <c r="CKC118" s="383"/>
      <c r="CKD118" s="383"/>
      <c r="CKE118" s="383"/>
      <c r="CKF118" s="383"/>
      <c r="CKG118" s="383"/>
      <c r="CKH118" s="383"/>
      <c r="CKI118" s="383"/>
      <c r="CKJ118" s="383"/>
      <c r="CKK118" s="383"/>
      <c r="CKL118" s="383"/>
      <c r="CKM118" s="383"/>
      <c r="CKN118" s="383"/>
      <c r="CKO118" s="383"/>
      <c r="CKP118" s="383"/>
      <c r="CKQ118" s="383"/>
      <c r="CKR118" s="383"/>
      <c r="CKS118" s="383"/>
      <c r="CKT118" s="383"/>
      <c r="CKU118" s="383"/>
      <c r="CKV118" s="383"/>
      <c r="CKW118" s="383"/>
      <c r="CKX118" s="383"/>
      <c r="CKY118" s="383"/>
      <c r="CKZ118" s="383"/>
      <c r="CLA118" s="383"/>
      <c r="CLB118" s="383"/>
      <c r="CLC118" s="383"/>
      <c r="CLD118" s="383"/>
      <c r="CLE118" s="383"/>
      <c r="CLF118" s="383"/>
      <c r="CLG118" s="383"/>
      <c r="CLH118" s="383"/>
      <c r="CLI118" s="383"/>
      <c r="CLJ118" s="383"/>
      <c r="CLK118" s="383"/>
      <c r="CLL118" s="383"/>
      <c r="CLM118" s="383"/>
      <c r="CLN118" s="383"/>
      <c r="CLO118" s="383"/>
      <c r="CLP118" s="383"/>
      <c r="CLQ118" s="383"/>
      <c r="CLR118" s="383"/>
      <c r="CLS118" s="383"/>
      <c r="CLT118" s="383"/>
      <c r="CLU118" s="383"/>
      <c r="CLV118" s="383"/>
      <c r="CLW118" s="383"/>
      <c r="CLX118" s="383"/>
      <c r="CLY118" s="383"/>
      <c r="CLZ118" s="383"/>
      <c r="CMA118" s="383"/>
      <c r="CMB118" s="383"/>
      <c r="CMC118" s="383"/>
      <c r="CMD118" s="383"/>
      <c r="CME118" s="383"/>
      <c r="CMF118" s="383"/>
      <c r="CMG118" s="383"/>
      <c r="CMH118" s="383"/>
      <c r="CMI118" s="383"/>
      <c r="CMJ118" s="383"/>
      <c r="CMK118" s="383"/>
      <c r="CML118" s="383"/>
      <c r="CMM118" s="383"/>
      <c r="CMN118" s="383"/>
      <c r="CMO118" s="383"/>
      <c r="CMP118" s="383"/>
      <c r="CMQ118" s="383"/>
      <c r="CMR118" s="383"/>
      <c r="CMS118" s="383"/>
      <c r="CMT118" s="383"/>
      <c r="CMU118" s="383"/>
      <c r="CMV118" s="383"/>
      <c r="CMW118" s="383"/>
      <c r="CMX118" s="383"/>
      <c r="CMY118" s="383"/>
      <c r="CMZ118" s="383"/>
      <c r="CNA118" s="383"/>
      <c r="CNB118" s="383"/>
      <c r="CNC118" s="383"/>
      <c r="CND118" s="383"/>
      <c r="CNE118" s="383"/>
      <c r="CNF118" s="383"/>
      <c r="CNG118" s="383"/>
      <c r="CNH118" s="383"/>
      <c r="CNI118" s="383"/>
      <c r="CNJ118" s="383"/>
      <c r="CNK118" s="383"/>
      <c r="CNL118" s="383"/>
      <c r="CNM118" s="383"/>
      <c r="CNN118" s="383"/>
      <c r="CNO118" s="383"/>
      <c r="CNP118" s="383"/>
      <c r="CNQ118" s="383"/>
      <c r="CNR118" s="383"/>
      <c r="CNS118" s="383"/>
      <c r="CNT118" s="383"/>
      <c r="CNU118" s="383"/>
      <c r="CNV118" s="383"/>
      <c r="CNW118" s="383"/>
      <c r="CNX118" s="383"/>
      <c r="CNY118" s="383"/>
      <c r="CNZ118" s="383"/>
      <c r="COA118" s="383"/>
      <c r="COB118" s="383"/>
      <c r="COC118" s="383"/>
      <c r="COD118" s="383"/>
      <c r="COE118" s="383"/>
      <c r="COF118" s="383"/>
      <c r="COG118" s="383"/>
      <c r="COH118" s="383"/>
      <c r="COI118" s="383"/>
      <c r="COJ118" s="383"/>
      <c r="COK118" s="383"/>
      <c r="COL118" s="383"/>
      <c r="COM118" s="383"/>
      <c r="CON118" s="383"/>
      <c r="COO118" s="383"/>
      <c r="COP118" s="383"/>
      <c r="COQ118" s="383"/>
      <c r="COR118" s="383"/>
      <c r="COS118" s="383"/>
      <c r="COT118" s="383"/>
      <c r="COU118" s="383"/>
      <c r="COV118" s="383"/>
      <c r="COW118" s="383"/>
      <c r="COX118" s="383"/>
      <c r="COY118" s="383"/>
      <c r="COZ118" s="383"/>
      <c r="CPA118" s="383"/>
      <c r="CPB118" s="383"/>
      <c r="CPC118" s="383"/>
      <c r="CPD118" s="383"/>
      <c r="CPE118" s="383"/>
      <c r="CPF118" s="383"/>
      <c r="CPG118" s="383"/>
      <c r="CPH118" s="383"/>
      <c r="CPI118" s="383"/>
      <c r="CPJ118" s="383"/>
      <c r="CPK118" s="383"/>
      <c r="CPL118" s="383"/>
      <c r="CPM118" s="383"/>
      <c r="CPN118" s="383"/>
      <c r="CPO118" s="383"/>
      <c r="CPP118" s="383"/>
      <c r="CPQ118" s="383"/>
      <c r="CPR118" s="383"/>
      <c r="CPS118" s="383"/>
      <c r="CPT118" s="383"/>
      <c r="CPU118" s="383"/>
      <c r="CPV118" s="383"/>
      <c r="CPW118" s="383"/>
      <c r="CPX118" s="383"/>
      <c r="CPY118" s="383"/>
      <c r="CPZ118" s="383"/>
      <c r="CQA118" s="383"/>
      <c r="CQB118" s="383"/>
      <c r="CQC118" s="383"/>
      <c r="CQD118" s="383"/>
      <c r="CQE118" s="383"/>
      <c r="CQF118" s="383"/>
      <c r="CQG118" s="383"/>
      <c r="CQH118" s="383"/>
      <c r="CQI118" s="383"/>
      <c r="CQJ118" s="383"/>
      <c r="CQK118" s="383"/>
      <c r="CQL118" s="383"/>
      <c r="CQM118" s="383"/>
      <c r="CQN118" s="383"/>
      <c r="CQO118" s="383"/>
      <c r="CQP118" s="383"/>
      <c r="CQQ118" s="383"/>
      <c r="CQR118" s="383"/>
      <c r="CQS118" s="383"/>
      <c r="CQT118" s="383"/>
      <c r="CQU118" s="383"/>
      <c r="CQV118" s="383"/>
      <c r="CQW118" s="383"/>
      <c r="CQX118" s="383"/>
      <c r="CQY118" s="383"/>
      <c r="CQZ118" s="383"/>
      <c r="CRA118" s="383"/>
      <c r="CRB118" s="383"/>
      <c r="CRC118" s="383"/>
      <c r="CRD118" s="383"/>
      <c r="CRE118" s="383"/>
      <c r="CRF118" s="383"/>
      <c r="CRG118" s="383"/>
      <c r="CRH118" s="383"/>
      <c r="CRI118" s="383"/>
      <c r="CRJ118" s="383"/>
      <c r="CRK118" s="383"/>
      <c r="CRL118" s="383"/>
      <c r="CRM118" s="383"/>
      <c r="CRN118" s="383"/>
      <c r="CRO118" s="383"/>
      <c r="CRP118" s="383"/>
      <c r="CRQ118" s="383"/>
      <c r="CRR118" s="383"/>
      <c r="CRS118" s="383"/>
      <c r="CRT118" s="383"/>
      <c r="CRU118" s="383"/>
      <c r="CRV118" s="383"/>
      <c r="CRW118" s="383"/>
      <c r="CRX118" s="383"/>
      <c r="CRY118" s="383"/>
      <c r="CRZ118" s="383"/>
      <c r="CSA118" s="383"/>
      <c r="CSB118" s="383"/>
      <c r="CSC118" s="383"/>
      <c r="CSD118" s="383"/>
      <c r="CSE118" s="383"/>
      <c r="CSF118" s="383"/>
      <c r="CSG118" s="383"/>
      <c r="CSH118" s="383"/>
      <c r="CSI118" s="383"/>
      <c r="CSJ118" s="383"/>
      <c r="CSK118" s="383"/>
      <c r="CSL118" s="383"/>
      <c r="CSM118" s="383"/>
      <c r="CSN118" s="383"/>
      <c r="CSO118" s="383"/>
      <c r="CSP118" s="383"/>
      <c r="CSQ118" s="383"/>
      <c r="CSR118" s="383"/>
      <c r="CSS118" s="383"/>
      <c r="CST118" s="383"/>
      <c r="CSU118" s="383"/>
      <c r="CSV118" s="383"/>
      <c r="CSW118" s="383"/>
      <c r="CSX118" s="383"/>
      <c r="CSY118" s="383"/>
      <c r="CSZ118" s="383"/>
      <c r="CTA118" s="383"/>
      <c r="CTB118" s="383"/>
      <c r="CTC118" s="383"/>
      <c r="CTD118" s="383"/>
      <c r="CTE118" s="383"/>
      <c r="CTF118" s="383"/>
      <c r="CTG118" s="383"/>
      <c r="CTH118" s="383"/>
      <c r="CTI118" s="383"/>
      <c r="CTJ118" s="383"/>
      <c r="CTK118" s="383"/>
      <c r="CTL118" s="383"/>
      <c r="CTM118" s="383"/>
      <c r="CTN118" s="383"/>
      <c r="CTO118" s="383"/>
      <c r="CTP118" s="383"/>
      <c r="CTQ118" s="383"/>
      <c r="CTR118" s="383"/>
      <c r="CTS118" s="383"/>
      <c r="CTT118" s="383"/>
      <c r="CTU118" s="383"/>
      <c r="CTV118" s="383"/>
      <c r="CTW118" s="383"/>
      <c r="CTX118" s="383"/>
      <c r="CTY118" s="383"/>
      <c r="CTZ118" s="383"/>
      <c r="CUA118" s="383"/>
      <c r="CUB118" s="383"/>
      <c r="CUC118" s="383"/>
      <c r="CUD118" s="383"/>
      <c r="CUE118" s="383"/>
      <c r="CUF118" s="383"/>
      <c r="CUG118" s="383"/>
      <c r="CUH118" s="383"/>
      <c r="CUI118" s="383"/>
      <c r="CUJ118" s="383"/>
      <c r="CUK118" s="383"/>
      <c r="CUL118" s="383"/>
      <c r="CUM118" s="383"/>
      <c r="CUN118" s="383"/>
      <c r="CUO118" s="383"/>
      <c r="CUP118" s="383"/>
      <c r="CUQ118" s="383"/>
      <c r="CUR118" s="383"/>
      <c r="CUS118" s="383"/>
      <c r="CUT118" s="383"/>
      <c r="CUU118" s="383"/>
      <c r="CUV118" s="383"/>
      <c r="CUW118" s="383"/>
      <c r="CUX118" s="383"/>
      <c r="CUY118" s="383"/>
      <c r="CUZ118" s="383"/>
      <c r="CVA118" s="383"/>
      <c r="CVB118" s="383"/>
      <c r="CVC118" s="383"/>
      <c r="CVD118" s="383"/>
      <c r="CVE118" s="383"/>
      <c r="CVF118" s="383"/>
      <c r="CVG118" s="383"/>
      <c r="CVH118" s="383"/>
      <c r="CVI118" s="383"/>
      <c r="CVJ118" s="383"/>
      <c r="CVK118" s="383"/>
      <c r="CVL118" s="383"/>
      <c r="CVM118" s="383"/>
      <c r="CVN118" s="383"/>
      <c r="CVO118" s="383"/>
      <c r="CVP118" s="383"/>
      <c r="CVQ118" s="383"/>
      <c r="CVR118" s="383"/>
      <c r="CVS118" s="383"/>
      <c r="CVT118" s="383"/>
      <c r="CVU118" s="383"/>
      <c r="CVV118" s="383"/>
      <c r="CVW118" s="383"/>
      <c r="CVX118" s="383"/>
      <c r="CVY118" s="383"/>
      <c r="CVZ118" s="383"/>
      <c r="CWA118" s="383"/>
      <c r="CWB118" s="383"/>
      <c r="CWC118" s="383"/>
      <c r="CWD118" s="383"/>
      <c r="CWE118" s="383"/>
      <c r="CWF118" s="383"/>
      <c r="CWG118" s="383"/>
      <c r="CWH118" s="383"/>
      <c r="CWI118" s="383"/>
      <c r="CWJ118" s="383"/>
      <c r="CWK118" s="383"/>
      <c r="CWL118" s="383"/>
      <c r="CWM118" s="383"/>
      <c r="CWN118" s="383"/>
      <c r="CWO118" s="383"/>
      <c r="CWP118" s="383"/>
      <c r="CWQ118" s="383"/>
      <c r="CWR118" s="383"/>
      <c r="CWS118" s="383"/>
      <c r="CWT118" s="383"/>
      <c r="CWU118" s="383"/>
      <c r="CWV118" s="383"/>
      <c r="CWW118" s="383"/>
      <c r="CWX118" s="383"/>
      <c r="CWY118" s="383"/>
      <c r="CWZ118" s="383"/>
      <c r="CXA118" s="383"/>
      <c r="CXB118" s="383"/>
      <c r="CXC118" s="383"/>
      <c r="CXD118" s="383"/>
      <c r="CXE118" s="383"/>
      <c r="CXF118" s="383"/>
      <c r="CXG118" s="383"/>
      <c r="CXH118" s="383"/>
      <c r="CXI118" s="383"/>
      <c r="CXJ118" s="383"/>
      <c r="CXK118" s="383"/>
      <c r="CXL118" s="383"/>
      <c r="CXM118" s="383"/>
      <c r="CXN118" s="383"/>
      <c r="CXO118" s="383"/>
      <c r="CXP118" s="383"/>
      <c r="CXQ118" s="383"/>
      <c r="CXR118" s="383"/>
      <c r="CXS118" s="383"/>
      <c r="CXT118" s="383"/>
      <c r="CXU118" s="383"/>
      <c r="CXV118" s="383"/>
      <c r="CXW118" s="383"/>
      <c r="CXX118" s="383"/>
      <c r="CXY118" s="383"/>
      <c r="CXZ118" s="383"/>
      <c r="CYA118" s="383"/>
      <c r="CYB118" s="383"/>
      <c r="CYC118" s="383"/>
      <c r="CYD118" s="383"/>
      <c r="CYE118" s="383"/>
      <c r="CYF118" s="383"/>
      <c r="CYG118" s="383"/>
      <c r="CYH118" s="383"/>
      <c r="CYI118" s="383"/>
      <c r="CYJ118" s="383"/>
      <c r="CYK118" s="383"/>
      <c r="CYL118" s="383"/>
      <c r="CYM118" s="383"/>
      <c r="CYN118" s="383"/>
      <c r="CYO118" s="383"/>
      <c r="CYP118" s="383"/>
      <c r="CYQ118" s="383"/>
      <c r="CYR118" s="383"/>
      <c r="CYS118" s="383"/>
      <c r="CYT118" s="383"/>
      <c r="CYU118" s="383"/>
      <c r="CYV118" s="383"/>
      <c r="CYW118" s="383"/>
      <c r="CYX118" s="383"/>
      <c r="CYY118" s="383"/>
      <c r="CYZ118" s="383"/>
      <c r="CZA118" s="383"/>
      <c r="CZB118" s="383"/>
      <c r="CZC118" s="383"/>
      <c r="CZD118" s="383"/>
      <c r="CZE118" s="383"/>
      <c r="CZF118" s="383"/>
      <c r="CZG118" s="383"/>
      <c r="CZH118" s="383"/>
      <c r="CZI118" s="383"/>
      <c r="CZJ118" s="383"/>
      <c r="CZK118" s="383"/>
      <c r="CZL118" s="383"/>
      <c r="CZM118" s="383"/>
      <c r="CZN118" s="383"/>
      <c r="CZO118" s="383"/>
      <c r="CZP118" s="383"/>
      <c r="CZQ118" s="383"/>
      <c r="CZR118" s="383"/>
      <c r="CZS118" s="383"/>
      <c r="CZT118" s="383"/>
      <c r="CZU118" s="383"/>
      <c r="CZV118" s="383"/>
      <c r="CZW118" s="383"/>
      <c r="CZX118" s="383"/>
      <c r="CZY118" s="383"/>
      <c r="CZZ118" s="383"/>
      <c r="DAA118" s="383"/>
      <c r="DAB118" s="383"/>
      <c r="DAC118" s="383"/>
      <c r="DAD118" s="383"/>
      <c r="DAE118" s="383"/>
      <c r="DAF118" s="383"/>
      <c r="DAG118" s="383"/>
      <c r="DAH118" s="383"/>
      <c r="DAI118" s="383"/>
      <c r="DAJ118" s="383"/>
      <c r="DAK118" s="383"/>
      <c r="DAL118" s="383"/>
      <c r="DAM118" s="383"/>
      <c r="DAN118" s="383"/>
      <c r="DAO118" s="383"/>
      <c r="DAP118" s="383"/>
      <c r="DAQ118" s="383"/>
      <c r="DAR118" s="383"/>
      <c r="DAS118" s="383"/>
      <c r="DAT118" s="383"/>
      <c r="DAU118" s="383"/>
      <c r="DAV118" s="383"/>
      <c r="DAW118" s="383"/>
      <c r="DAX118" s="383"/>
      <c r="DAY118" s="383"/>
      <c r="DAZ118" s="383"/>
      <c r="DBA118" s="383"/>
      <c r="DBB118" s="383"/>
      <c r="DBC118" s="383"/>
      <c r="DBD118" s="383"/>
      <c r="DBE118" s="383"/>
      <c r="DBF118" s="383"/>
      <c r="DBG118" s="383"/>
      <c r="DBH118" s="383"/>
      <c r="DBI118" s="383"/>
      <c r="DBJ118" s="383"/>
      <c r="DBK118" s="383"/>
      <c r="DBL118" s="383"/>
      <c r="DBM118" s="383"/>
      <c r="DBN118" s="383"/>
      <c r="DBO118" s="383"/>
      <c r="DBP118" s="383"/>
      <c r="DBQ118" s="383"/>
      <c r="DBR118" s="383"/>
      <c r="DBS118" s="383"/>
      <c r="DBT118" s="383"/>
      <c r="DBU118" s="383"/>
      <c r="DBV118" s="383"/>
      <c r="DBW118" s="383"/>
      <c r="DBX118" s="383"/>
      <c r="DBY118" s="383"/>
      <c r="DBZ118" s="383"/>
      <c r="DCA118" s="383"/>
      <c r="DCB118" s="383"/>
      <c r="DCC118" s="383"/>
      <c r="DCD118" s="383"/>
      <c r="DCE118" s="383"/>
      <c r="DCF118" s="383"/>
      <c r="DCG118" s="383"/>
      <c r="DCH118" s="383"/>
      <c r="DCI118" s="383"/>
      <c r="DCJ118" s="383"/>
      <c r="DCK118" s="383"/>
      <c r="DCL118" s="383"/>
      <c r="DCM118" s="383"/>
      <c r="DCN118" s="383"/>
      <c r="DCO118" s="383"/>
      <c r="DCP118" s="383"/>
      <c r="DCQ118" s="383"/>
      <c r="DCR118" s="383"/>
      <c r="DCS118" s="383"/>
      <c r="DCT118" s="383"/>
      <c r="DCU118" s="383"/>
      <c r="DCV118" s="383"/>
      <c r="DCW118" s="383"/>
      <c r="DCX118" s="383"/>
      <c r="DCY118" s="383"/>
      <c r="DCZ118" s="383"/>
      <c r="DDA118" s="383"/>
      <c r="DDB118" s="383"/>
      <c r="DDC118" s="383"/>
      <c r="DDD118" s="383"/>
      <c r="DDE118" s="383"/>
      <c r="DDF118" s="383"/>
      <c r="DDG118" s="383"/>
      <c r="DDH118" s="383"/>
      <c r="DDI118" s="383"/>
      <c r="DDJ118" s="383"/>
      <c r="DDK118" s="383"/>
      <c r="DDL118" s="383"/>
      <c r="DDM118" s="383"/>
      <c r="DDN118" s="383"/>
      <c r="DDO118" s="383"/>
      <c r="DDP118" s="383"/>
      <c r="DDQ118" s="383"/>
      <c r="DDR118" s="383"/>
      <c r="DDS118" s="383"/>
      <c r="DDT118" s="383"/>
      <c r="DDU118" s="383"/>
      <c r="DDV118" s="383"/>
      <c r="DDW118" s="383"/>
      <c r="DDX118" s="383"/>
      <c r="DDY118" s="383"/>
      <c r="DDZ118" s="383"/>
      <c r="DEA118" s="383"/>
      <c r="DEB118" s="383"/>
      <c r="DEC118" s="383"/>
      <c r="DED118" s="383"/>
      <c r="DEE118" s="383"/>
      <c r="DEF118" s="383"/>
      <c r="DEG118" s="383"/>
      <c r="DEH118" s="383"/>
      <c r="DEI118" s="383"/>
      <c r="DEJ118" s="383"/>
      <c r="DEK118" s="383"/>
      <c r="DEL118" s="383"/>
      <c r="DEM118" s="383"/>
      <c r="DEN118" s="383"/>
      <c r="DEO118" s="383"/>
      <c r="DEP118" s="383"/>
      <c r="DEQ118" s="383"/>
      <c r="DER118" s="383"/>
      <c r="DES118" s="383"/>
      <c r="DET118" s="383"/>
      <c r="DEU118" s="383"/>
      <c r="DEV118" s="383"/>
      <c r="DEW118" s="383"/>
      <c r="DEX118" s="383"/>
      <c r="DEY118" s="383"/>
      <c r="DEZ118" s="383"/>
      <c r="DFA118" s="383"/>
      <c r="DFB118" s="383"/>
      <c r="DFC118" s="383"/>
      <c r="DFD118" s="383"/>
      <c r="DFE118" s="383"/>
      <c r="DFF118" s="383"/>
      <c r="DFG118" s="383"/>
      <c r="DFH118" s="383"/>
      <c r="DFI118" s="383"/>
      <c r="DFJ118" s="383"/>
      <c r="DFK118" s="383"/>
      <c r="DFL118" s="383"/>
      <c r="DFM118" s="383"/>
      <c r="DFN118" s="383"/>
      <c r="DFO118" s="383"/>
      <c r="DFP118" s="383"/>
      <c r="DFQ118" s="383"/>
      <c r="DFR118" s="383"/>
      <c r="DFS118" s="383"/>
      <c r="DFT118" s="383"/>
      <c r="DFU118" s="383"/>
      <c r="DFV118" s="383"/>
      <c r="DFW118" s="383"/>
      <c r="DFX118" s="383"/>
      <c r="DFY118" s="383"/>
      <c r="DFZ118" s="383"/>
      <c r="DGA118" s="383"/>
      <c r="DGB118" s="383"/>
      <c r="DGC118" s="383"/>
      <c r="DGD118" s="383"/>
      <c r="DGE118" s="383"/>
      <c r="DGF118" s="383"/>
      <c r="DGG118" s="383"/>
      <c r="DGH118" s="383"/>
      <c r="DGI118" s="383"/>
      <c r="DGJ118" s="383"/>
      <c r="DGK118" s="383"/>
      <c r="DGL118" s="383"/>
      <c r="DGM118" s="383"/>
      <c r="DGN118" s="383"/>
      <c r="DGO118" s="383"/>
      <c r="DGP118" s="383"/>
      <c r="DGQ118" s="383"/>
      <c r="DGR118" s="383"/>
      <c r="DGS118" s="383"/>
      <c r="DGT118" s="383"/>
      <c r="DGU118" s="383"/>
      <c r="DGV118" s="383"/>
      <c r="DGW118" s="383"/>
      <c r="DGX118" s="383"/>
      <c r="DGY118" s="383"/>
      <c r="DGZ118" s="383"/>
      <c r="DHA118" s="383"/>
      <c r="DHB118" s="383"/>
      <c r="DHC118" s="383"/>
      <c r="DHD118" s="383"/>
      <c r="DHE118" s="383"/>
      <c r="DHF118" s="383"/>
      <c r="DHG118" s="383"/>
      <c r="DHH118" s="383"/>
      <c r="DHI118" s="383"/>
      <c r="DHJ118" s="383"/>
      <c r="DHK118" s="383"/>
      <c r="DHL118" s="383"/>
      <c r="DHM118" s="383"/>
      <c r="DHN118" s="383"/>
      <c r="DHO118" s="383"/>
      <c r="DHP118" s="383"/>
      <c r="DHQ118" s="383"/>
      <c r="DHR118" s="383"/>
      <c r="DHS118" s="383"/>
      <c r="DHT118" s="383"/>
      <c r="DHU118" s="383"/>
      <c r="DHV118" s="383"/>
      <c r="DHW118" s="383"/>
      <c r="DHX118" s="383"/>
      <c r="DHY118" s="383"/>
      <c r="DHZ118" s="383"/>
      <c r="DIA118" s="383"/>
      <c r="DIB118" s="383"/>
      <c r="DIC118" s="383"/>
      <c r="DID118" s="383"/>
      <c r="DIE118" s="383"/>
      <c r="DIF118" s="383"/>
      <c r="DIG118" s="383"/>
      <c r="DIH118" s="383"/>
      <c r="DII118" s="383"/>
      <c r="DIJ118" s="383"/>
      <c r="DIK118" s="383"/>
      <c r="DIL118" s="383"/>
      <c r="DIM118" s="383"/>
      <c r="DIN118" s="383"/>
      <c r="DIO118" s="383"/>
      <c r="DIP118" s="383"/>
      <c r="DIQ118" s="383"/>
      <c r="DIR118" s="383"/>
      <c r="DIS118" s="383"/>
      <c r="DIT118" s="383"/>
      <c r="DIU118" s="383"/>
      <c r="DIV118" s="383"/>
      <c r="DIW118" s="383"/>
      <c r="DIX118" s="383"/>
      <c r="DIY118" s="383"/>
      <c r="DIZ118" s="383"/>
      <c r="DJA118" s="383"/>
      <c r="DJB118" s="383"/>
      <c r="DJC118" s="383"/>
      <c r="DJD118" s="383"/>
      <c r="DJE118" s="383"/>
      <c r="DJF118" s="383"/>
      <c r="DJG118" s="383"/>
      <c r="DJH118" s="383"/>
      <c r="DJI118" s="383"/>
      <c r="DJJ118" s="383"/>
      <c r="DJK118" s="383"/>
      <c r="DJL118" s="383"/>
      <c r="DJM118" s="383"/>
      <c r="DJN118" s="383"/>
      <c r="DJO118" s="383"/>
      <c r="DJP118" s="383"/>
      <c r="DJQ118" s="383"/>
      <c r="DJR118" s="383"/>
      <c r="DJS118" s="383"/>
      <c r="DJT118" s="383"/>
      <c r="DJU118" s="383"/>
      <c r="DJV118" s="383"/>
      <c r="DJW118" s="383"/>
      <c r="DJX118" s="383"/>
      <c r="DJY118" s="383"/>
      <c r="DJZ118" s="383"/>
      <c r="DKA118" s="383"/>
      <c r="DKB118" s="383"/>
      <c r="DKC118" s="383"/>
      <c r="DKD118" s="383"/>
      <c r="DKE118" s="383"/>
      <c r="DKF118" s="383"/>
      <c r="DKG118" s="383"/>
      <c r="DKH118" s="383"/>
      <c r="DKI118" s="383"/>
      <c r="DKJ118" s="383"/>
      <c r="DKK118" s="383"/>
      <c r="DKL118" s="383"/>
      <c r="DKM118" s="383"/>
      <c r="DKN118" s="383"/>
      <c r="DKO118" s="383"/>
      <c r="DKP118" s="383"/>
      <c r="DKQ118" s="383"/>
      <c r="DKR118" s="383"/>
      <c r="DKS118" s="383"/>
      <c r="DKT118" s="383"/>
      <c r="DKU118" s="383"/>
      <c r="DKV118" s="383"/>
      <c r="DKW118" s="383"/>
      <c r="DKX118" s="383"/>
      <c r="DKY118" s="383"/>
      <c r="DKZ118" s="383"/>
      <c r="DLA118" s="383"/>
      <c r="DLB118" s="383"/>
      <c r="DLC118" s="383"/>
      <c r="DLD118" s="383"/>
      <c r="DLE118" s="383"/>
      <c r="DLF118" s="383"/>
      <c r="DLG118" s="383"/>
      <c r="DLH118" s="383"/>
      <c r="DLI118" s="383"/>
      <c r="DLJ118" s="383"/>
      <c r="DLK118" s="383"/>
      <c r="DLL118" s="383"/>
      <c r="DLM118" s="383"/>
      <c r="DLN118" s="383"/>
      <c r="DLO118" s="383"/>
      <c r="DLP118" s="383"/>
      <c r="DLQ118" s="383"/>
      <c r="DLR118" s="383"/>
      <c r="DLS118" s="383"/>
      <c r="DLT118" s="383"/>
      <c r="DLU118" s="383"/>
      <c r="DLV118" s="383"/>
      <c r="DLW118" s="383"/>
      <c r="DLX118" s="383"/>
      <c r="DLY118" s="383"/>
      <c r="DLZ118" s="383"/>
      <c r="DMA118" s="383"/>
      <c r="DMB118" s="383"/>
      <c r="DMC118" s="383"/>
      <c r="DMD118" s="383"/>
      <c r="DME118" s="383"/>
      <c r="DMF118" s="383"/>
      <c r="DMG118" s="383"/>
      <c r="DMH118" s="383"/>
      <c r="DMI118" s="383"/>
      <c r="DMJ118" s="383"/>
      <c r="DMK118" s="383"/>
      <c r="DML118" s="383"/>
      <c r="DMM118" s="383"/>
      <c r="DMN118" s="383"/>
      <c r="DMO118" s="383"/>
      <c r="DMP118" s="383"/>
      <c r="DMQ118" s="383"/>
      <c r="DMR118" s="383"/>
      <c r="DMS118" s="383"/>
      <c r="DMT118" s="383"/>
      <c r="DMU118" s="383"/>
      <c r="DMV118" s="383"/>
      <c r="DMW118" s="383"/>
      <c r="DMX118" s="383"/>
      <c r="DMY118" s="383"/>
      <c r="DMZ118" s="383"/>
      <c r="DNA118" s="383"/>
      <c r="DNB118" s="383"/>
      <c r="DNC118" s="383"/>
      <c r="DND118" s="383"/>
      <c r="DNE118" s="383"/>
      <c r="DNF118" s="383"/>
      <c r="DNG118" s="383"/>
      <c r="DNH118" s="383"/>
      <c r="DNI118" s="383"/>
      <c r="DNJ118" s="383"/>
      <c r="DNK118" s="383"/>
      <c r="DNL118" s="383"/>
      <c r="DNM118" s="383"/>
      <c r="DNN118" s="383"/>
      <c r="DNO118" s="383"/>
      <c r="DNP118" s="383"/>
      <c r="DNQ118" s="383"/>
      <c r="DNR118" s="383"/>
      <c r="DNS118" s="383"/>
      <c r="DNT118" s="383"/>
      <c r="DNU118" s="383"/>
      <c r="DNV118" s="383"/>
      <c r="DNW118" s="383"/>
      <c r="DNX118" s="383"/>
      <c r="DNY118" s="383"/>
      <c r="DNZ118" s="383"/>
      <c r="DOA118" s="383"/>
      <c r="DOB118" s="383"/>
      <c r="DOC118" s="383"/>
      <c r="DOD118" s="383"/>
      <c r="DOE118" s="383"/>
      <c r="DOF118" s="383"/>
      <c r="DOG118" s="383"/>
      <c r="DOH118" s="383"/>
      <c r="DOI118" s="383"/>
      <c r="DOJ118" s="383"/>
      <c r="DOK118" s="383"/>
      <c r="DOL118" s="383"/>
      <c r="DOM118" s="383"/>
      <c r="DON118" s="383"/>
      <c r="DOO118" s="383"/>
      <c r="DOP118" s="383"/>
      <c r="DOQ118" s="383"/>
      <c r="DOR118" s="383"/>
      <c r="DOS118" s="383"/>
      <c r="DOT118" s="383"/>
      <c r="DOU118" s="383"/>
      <c r="DOV118" s="383"/>
      <c r="DOW118" s="383"/>
      <c r="DOX118" s="383"/>
      <c r="DOY118" s="383"/>
      <c r="DOZ118" s="383"/>
      <c r="DPA118" s="383"/>
      <c r="DPB118" s="383"/>
      <c r="DPC118" s="383"/>
      <c r="DPD118" s="383"/>
      <c r="DPE118" s="383"/>
      <c r="DPF118" s="383"/>
      <c r="DPG118" s="383"/>
      <c r="DPH118" s="383"/>
      <c r="DPI118" s="383"/>
      <c r="DPJ118" s="383"/>
      <c r="DPK118" s="383"/>
      <c r="DPL118" s="383"/>
      <c r="DPM118" s="383"/>
      <c r="DPN118" s="383"/>
      <c r="DPO118" s="383"/>
      <c r="DPP118" s="383"/>
      <c r="DPQ118" s="383"/>
      <c r="DPR118" s="383"/>
      <c r="DPS118" s="383"/>
      <c r="DPT118" s="383"/>
      <c r="DPU118" s="383"/>
      <c r="DPV118" s="383"/>
      <c r="DPW118" s="383"/>
      <c r="DPX118" s="383"/>
      <c r="DPY118" s="383"/>
      <c r="DPZ118" s="383"/>
      <c r="DQA118" s="383"/>
      <c r="DQB118" s="383"/>
      <c r="DQC118" s="383"/>
      <c r="DQD118" s="383"/>
      <c r="DQE118" s="383"/>
      <c r="DQF118" s="383"/>
      <c r="DQG118" s="383"/>
      <c r="DQH118" s="383"/>
      <c r="DQI118" s="383"/>
      <c r="DQJ118" s="383"/>
      <c r="DQK118" s="383"/>
      <c r="DQL118" s="383"/>
      <c r="DQM118" s="383"/>
      <c r="DQN118" s="383"/>
      <c r="DQO118" s="383"/>
      <c r="DQP118" s="383"/>
      <c r="DQQ118" s="383"/>
      <c r="DQR118" s="383"/>
      <c r="DQS118" s="383"/>
      <c r="DQT118" s="383"/>
      <c r="DQU118" s="383"/>
      <c r="DQV118" s="383"/>
      <c r="DQW118" s="383"/>
      <c r="DQX118" s="383"/>
      <c r="DQY118" s="383"/>
      <c r="DQZ118" s="383"/>
      <c r="DRA118" s="383"/>
      <c r="DRB118" s="383"/>
      <c r="DRC118" s="383"/>
      <c r="DRD118" s="383"/>
      <c r="DRE118" s="383"/>
      <c r="DRF118" s="383"/>
      <c r="DRG118" s="383"/>
      <c r="DRH118" s="383"/>
      <c r="DRI118" s="383"/>
      <c r="DRJ118" s="383"/>
      <c r="DRK118" s="383"/>
      <c r="DRL118" s="383"/>
      <c r="DRM118" s="383"/>
    </row>
    <row r="119" spans="1:3185" ht="30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4"/>
      <c r="K119" s="411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  <c r="AA119" s="386"/>
      <c r="AB119" s="386"/>
      <c r="AC119" s="386"/>
      <c r="AD119" s="386"/>
      <c r="AE119" s="386"/>
      <c r="AF119" s="386"/>
      <c r="AG119" s="386"/>
      <c r="AH119" s="386"/>
      <c r="AI119" s="386"/>
      <c r="AJ119" s="386"/>
      <c r="AK119" s="386"/>
      <c r="AL119" s="386"/>
      <c r="AM119" s="386"/>
      <c r="AN119" s="386"/>
      <c r="AO119" s="386"/>
      <c r="AP119" s="386"/>
      <c r="AQ119" s="386"/>
      <c r="AR119" s="386"/>
      <c r="AS119" s="386"/>
      <c r="AT119" s="386"/>
      <c r="AU119" s="386"/>
      <c r="AV119" s="386"/>
      <c r="AW119" s="386"/>
      <c r="AX119" s="386"/>
      <c r="AY119" s="386"/>
      <c r="AZ119" s="386"/>
      <c r="BA119" s="386"/>
      <c r="BB119" s="386"/>
      <c r="BC119" s="386"/>
      <c r="BD119" s="386"/>
      <c r="BE119" s="386"/>
      <c r="BF119" s="386"/>
      <c r="BG119" s="386"/>
      <c r="BH119" s="386"/>
      <c r="BI119" s="386"/>
      <c r="BJ119" s="386"/>
      <c r="BK119" s="386"/>
      <c r="BL119" s="386"/>
      <c r="BM119" s="386"/>
      <c r="BN119" s="386"/>
      <c r="BO119" s="386"/>
      <c r="BP119" s="386"/>
      <c r="BQ119" s="386"/>
      <c r="BR119" s="386"/>
      <c r="BS119" s="386"/>
      <c r="BT119" s="386"/>
      <c r="BU119" s="386"/>
      <c r="BV119" s="386"/>
      <c r="BW119" s="386"/>
      <c r="BX119" s="386"/>
      <c r="BY119" s="386"/>
      <c r="BZ119" s="386"/>
      <c r="CA119" s="386"/>
      <c r="CB119" s="386"/>
      <c r="CC119" s="386"/>
      <c r="CD119" s="386"/>
      <c r="CE119" s="386"/>
      <c r="CF119" s="386"/>
      <c r="CG119" s="386"/>
      <c r="CH119" s="386"/>
      <c r="CI119" s="386"/>
      <c r="CJ119" s="386"/>
      <c r="CK119" s="386"/>
      <c r="CL119" s="386"/>
      <c r="CM119" s="386"/>
      <c r="CN119" s="386"/>
      <c r="CO119" s="386"/>
      <c r="CP119" s="386"/>
      <c r="CQ119" s="386"/>
      <c r="CR119" s="386"/>
      <c r="CS119" s="386"/>
      <c r="CT119" s="386"/>
      <c r="CU119" s="386"/>
      <c r="CV119" s="386"/>
      <c r="CW119" s="386"/>
      <c r="CX119" s="386"/>
      <c r="CY119" s="386"/>
      <c r="CZ119" s="386"/>
      <c r="DA119" s="386"/>
      <c r="DB119" s="386"/>
      <c r="DC119" s="386"/>
      <c r="DD119" s="386"/>
      <c r="DE119" s="386"/>
      <c r="DF119" s="386"/>
      <c r="DG119" s="386"/>
      <c r="DH119" s="386"/>
      <c r="DI119" s="386"/>
      <c r="DJ119" s="386"/>
      <c r="DK119" s="386"/>
      <c r="DL119" s="386"/>
      <c r="DM119" s="386"/>
      <c r="DN119" s="386"/>
      <c r="DO119" s="386"/>
      <c r="DP119" s="386"/>
      <c r="DQ119" s="386"/>
      <c r="DR119" s="386"/>
      <c r="DS119" s="386"/>
      <c r="DT119" s="386"/>
      <c r="DU119" s="386"/>
      <c r="DV119" s="386"/>
      <c r="DW119" s="386"/>
      <c r="DX119" s="386"/>
      <c r="DY119" s="386"/>
      <c r="DZ119" s="386"/>
      <c r="EA119" s="386"/>
      <c r="EB119" s="386"/>
      <c r="EC119" s="386"/>
      <c r="ED119" s="386"/>
      <c r="EE119" s="386"/>
      <c r="EF119" s="386"/>
      <c r="EG119" s="386"/>
      <c r="EH119" s="386"/>
      <c r="EI119" s="386"/>
      <c r="EJ119" s="386"/>
      <c r="EK119" s="386"/>
      <c r="EL119" s="386"/>
      <c r="EM119" s="386"/>
      <c r="EN119" s="386"/>
      <c r="EO119" s="386"/>
      <c r="EP119" s="386"/>
      <c r="EQ119" s="386"/>
      <c r="ER119" s="386"/>
      <c r="ES119" s="386"/>
      <c r="ET119" s="386"/>
      <c r="EU119" s="386"/>
      <c r="EV119" s="386"/>
      <c r="EW119" s="386"/>
      <c r="EX119" s="386"/>
      <c r="EY119" s="386"/>
      <c r="EZ119" s="386"/>
      <c r="FA119" s="386"/>
      <c r="FB119" s="386"/>
      <c r="FC119" s="386"/>
      <c r="FD119" s="386"/>
      <c r="FE119" s="386"/>
      <c r="FF119" s="386"/>
      <c r="FG119" s="386"/>
      <c r="FH119" s="386"/>
      <c r="FI119" s="386"/>
      <c r="FJ119" s="386"/>
      <c r="FK119" s="386"/>
      <c r="FL119" s="386"/>
      <c r="FM119" s="386"/>
      <c r="FN119" s="386"/>
      <c r="FO119" s="386"/>
      <c r="FP119" s="386"/>
      <c r="FQ119" s="386"/>
      <c r="FR119" s="386"/>
      <c r="FS119" s="386"/>
      <c r="FT119" s="386"/>
      <c r="FU119" s="386"/>
      <c r="FV119" s="386"/>
      <c r="FW119" s="386"/>
      <c r="FX119" s="386"/>
      <c r="FY119" s="386"/>
      <c r="FZ119" s="386"/>
      <c r="GA119" s="386"/>
      <c r="GB119" s="386"/>
      <c r="GC119" s="386"/>
      <c r="GD119" s="386"/>
      <c r="GE119" s="386"/>
      <c r="GF119" s="386"/>
      <c r="GG119" s="386"/>
      <c r="GH119" s="386"/>
      <c r="GI119" s="386"/>
      <c r="GJ119" s="386"/>
      <c r="GK119" s="386"/>
      <c r="GL119" s="386"/>
      <c r="GM119" s="386"/>
      <c r="GN119" s="386"/>
      <c r="GO119" s="386"/>
      <c r="GP119" s="386"/>
      <c r="GQ119" s="386"/>
      <c r="GR119" s="386"/>
      <c r="GS119" s="386"/>
      <c r="GT119" s="386"/>
      <c r="GU119" s="386"/>
      <c r="GV119" s="386"/>
      <c r="GW119" s="386"/>
      <c r="GX119" s="386"/>
      <c r="GY119" s="386"/>
      <c r="GZ119" s="386"/>
      <c r="HA119" s="386"/>
      <c r="HB119" s="386"/>
      <c r="HC119" s="386"/>
      <c r="HD119" s="386"/>
      <c r="HE119" s="386"/>
      <c r="HF119" s="386"/>
      <c r="HG119" s="386"/>
      <c r="HH119" s="386"/>
      <c r="HI119" s="386"/>
      <c r="HJ119" s="386"/>
      <c r="HK119" s="386"/>
      <c r="HL119" s="386"/>
      <c r="HM119" s="386"/>
      <c r="HN119" s="386"/>
      <c r="HO119" s="386"/>
      <c r="HP119" s="386"/>
      <c r="HQ119" s="386"/>
      <c r="HR119" s="386"/>
      <c r="HS119" s="386"/>
      <c r="HT119" s="386"/>
      <c r="HU119" s="386"/>
      <c r="HV119" s="386"/>
      <c r="HW119" s="386"/>
      <c r="HX119" s="386"/>
      <c r="HY119" s="386"/>
      <c r="HZ119" s="386"/>
      <c r="IA119" s="386"/>
      <c r="IB119" s="386"/>
      <c r="IC119" s="386"/>
      <c r="ID119" s="386"/>
      <c r="IE119" s="386"/>
      <c r="IF119" s="386"/>
      <c r="IG119" s="386"/>
      <c r="IH119" s="386"/>
      <c r="II119" s="386"/>
      <c r="IJ119" s="386"/>
      <c r="IK119" s="386"/>
      <c r="IL119" s="386"/>
      <c r="IM119" s="386"/>
      <c r="IN119" s="386"/>
      <c r="IO119" s="386"/>
      <c r="IP119" s="386"/>
      <c r="IQ119" s="386"/>
      <c r="IR119" s="386"/>
      <c r="IS119" s="386"/>
      <c r="IT119" s="386"/>
      <c r="IU119" s="386"/>
      <c r="IV119" s="386"/>
      <c r="IW119" s="386"/>
      <c r="IX119" s="386"/>
      <c r="IY119" s="386"/>
      <c r="IZ119" s="386"/>
      <c r="JA119" s="386"/>
      <c r="JB119" s="386"/>
      <c r="JC119" s="386"/>
      <c r="JD119" s="386"/>
      <c r="JE119" s="386"/>
      <c r="JF119" s="386"/>
      <c r="JG119" s="386"/>
      <c r="JH119" s="386"/>
      <c r="JI119" s="386"/>
      <c r="JJ119" s="386"/>
      <c r="JK119" s="386"/>
      <c r="JL119" s="386"/>
      <c r="JM119" s="386"/>
      <c r="JN119" s="386"/>
      <c r="JO119" s="386"/>
      <c r="JP119" s="386"/>
      <c r="JQ119" s="386"/>
      <c r="JR119" s="386"/>
      <c r="JS119" s="386"/>
      <c r="JT119" s="386"/>
      <c r="JU119" s="386"/>
      <c r="JV119" s="386"/>
      <c r="JW119" s="386"/>
      <c r="JX119" s="386"/>
      <c r="JY119" s="386"/>
      <c r="JZ119" s="386"/>
      <c r="KA119" s="386"/>
      <c r="KB119" s="386"/>
      <c r="KC119" s="386"/>
      <c r="KD119" s="386"/>
      <c r="KE119" s="386"/>
      <c r="KF119" s="386"/>
      <c r="KG119" s="386"/>
      <c r="KH119" s="386"/>
      <c r="KI119" s="386"/>
      <c r="KJ119" s="386"/>
      <c r="KK119" s="386"/>
      <c r="KL119" s="386"/>
      <c r="KM119" s="386"/>
      <c r="KN119" s="386"/>
      <c r="KO119" s="386"/>
      <c r="KP119" s="386"/>
      <c r="KQ119" s="386"/>
      <c r="KR119" s="386"/>
      <c r="KS119" s="386"/>
      <c r="KT119" s="386"/>
      <c r="KU119" s="386"/>
      <c r="KV119" s="386"/>
      <c r="KW119" s="386"/>
      <c r="KX119" s="386"/>
      <c r="KY119" s="386"/>
      <c r="KZ119" s="386"/>
      <c r="LA119" s="386"/>
      <c r="LB119" s="386"/>
      <c r="LC119" s="386"/>
      <c r="LD119" s="386"/>
      <c r="LE119" s="386"/>
      <c r="LF119" s="386"/>
      <c r="LG119" s="386"/>
      <c r="LH119" s="386"/>
      <c r="LI119" s="386"/>
      <c r="LJ119" s="386"/>
      <c r="LK119" s="386"/>
      <c r="LL119" s="386"/>
      <c r="LM119" s="386"/>
      <c r="LN119" s="386"/>
      <c r="LO119" s="386"/>
      <c r="LP119" s="386"/>
      <c r="LQ119" s="386"/>
      <c r="LR119" s="386"/>
      <c r="LS119" s="386"/>
      <c r="LT119" s="386"/>
      <c r="LU119" s="386"/>
      <c r="LV119" s="386"/>
      <c r="LW119" s="386"/>
      <c r="LX119" s="386"/>
      <c r="LY119" s="386"/>
      <c r="LZ119" s="386"/>
      <c r="MA119" s="386"/>
      <c r="MB119" s="386"/>
      <c r="MC119" s="386"/>
      <c r="MD119" s="386"/>
      <c r="ME119" s="386"/>
      <c r="MF119" s="386"/>
      <c r="MG119" s="386"/>
      <c r="MH119" s="386"/>
      <c r="MI119" s="386"/>
      <c r="MJ119" s="386"/>
      <c r="MK119" s="386"/>
      <c r="ML119" s="386"/>
      <c r="MM119" s="386"/>
      <c r="MN119" s="386"/>
      <c r="MO119" s="386"/>
      <c r="MP119" s="386"/>
      <c r="MQ119" s="386"/>
      <c r="MR119" s="386"/>
      <c r="MS119" s="386"/>
      <c r="MT119" s="386"/>
      <c r="MU119" s="386"/>
      <c r="MV119" s="386"/>
      <c r="MW119" s="386"/>
      <c r="MX119" s="386"/>
      <c r="MY119" s="386"/>
      <c r="MZ119" s="386"/>
      <c r="NA119" s="386"/>
      <c r="NB119" s="386"/>
      <c r="NC119" s="386"/>
      <c r="ND119" s="386"/>
      <c r="NE119" s="386"/>
      <c r="NF119" s="386"/>
      <c r="NG119" s="386"/>
      <c r="NH119" s="386"/>
      <c r="NI119" s="386"/>
      <c r="NJ119" s="386"/>
      <c r="NK119" s="386"/>
      <c r="NL119" s="386"/>
      <c r="NM119" s="386"/>
      <c r="NN119" s="386"/>
      <c r="NO119" s="386"/>
      <c r="NP119" s="386"/>
      <c r="NQ119" s="386"/>
      <c r="NR119" s="386"/>
      <c r="NS119" s="386"/>
      <c r="NT119" s="386"/>
      <c r="NU119" s="386"/>
      <c r="NV119" s="386"/>
      <c r="NW119" s="386"/>
      <c r="NX119" s="386"/>
      <c r="NY119" s="386"/>
      <c r="NZ119" s="386"/>
      <c r="OA119" s="386"/>
      <c r="OB119" s="386"/>
      <c r="OC119" s="386"/>
      <c r="OD119" s="386"/>
      <c r="OE119" s="386"/>
      <c r="OF119" s="386"/>
      <c r="OG119" s="386"/>
      <c r="OH119" s="386"/>
      <c r="OI119" s="386"/>
      <c r="OJ119" s="386"/>
      <c r="OK119" s="386"/>
      <c r="OL119" s="386"/>
      <c r="OM119" s="386"/>
      <c r="ON119" s="386"/>
      <c r="OO119" s="386"/>
      <c r="OP119" s="386"/>
      <c r="OQ119" s="386"/>
      <c r="OR119" s="386"/>
      <c r="OS119" s="386"/>
      <c r="OT119" s="386"/>
      <c r="OU119" s="386"/>
      <c r="OV119" s="386"/>
      <c r="OW119" s="386"/>
      <c r="OX119" s="386"/>
      <c r="OY119" s="386"/>
      <c r="OZ119" s="386"/>
      <c r="PA119" s="386"/>
      <c r="PB119" s="386"/>
      <c r="PC119" s="386"/>
      <c r="PD119" s="386"/>
      <c r="PE119" s="386"/>
      <c r="PF119" s="386"/>
      <c r="PG119" s="386"/>
      <c r="PH119" s="386"/>
      <c r="PI119" s="386"/>
      <c r="PJ119" s="386"/>
      <c r="PK119" s="386"/>
      <c r="PL119" s="386"/>
      <c r="PM119" s="386"/>
      <c r="PN119" s="386"/>
      <c r="PO119" s="386"/>
      <c r="PP119" s="386"/>
      <c r="PQ119" s="386"/>
      <c r="PR119" s="386"/>
      <c r="PS119" s="386"/>
      <c r="PT119" s="386"/>
      <c r="PU119" s="386"/>
      <c r="PV119" s="386"/>
      <c r="PW119" s="386"/>
      <c r="PX119" s="386"/>
      <c r="PY119" s="386"/>
      <c r="PZ119" s="386"/>
      <c r="QA119" s="386"/>
      <c r="QB119" s="386"/>
      <c r="QC119" s="386"/>
      <c r="QD119" s="386"/>
      <c r="QE119" s="386"/>
      <c r="QF119" s="386"/>
      <c r="QG119" s="386"/>
      <c r="QH119" s="386"/>
      <c r="QI119" s="386"/>
      <c r="QJ119" s="386"/>
      <c r="QK119" s="386"/>
      <c r="QL119" s="386"/>
      <c r="QM119" s="386"/>
      <c r="QN119" s="386"/>
      <c r="QO119" s="386"/>
      <c r="QP119" s="386"/>
      <c r="QQ119" s="386"/>
      <c r="QR119" s="386"/>
      <c r="QS119" s="386"/>
      <c r="QT119" s="386"/>
      <c r="QU119" s="386"/>
      <c r="QV119" s="386"/>
      <c r="QW119" s="386"/>
      <c r="QX119" s="386"/>
      <c r="QY119" s="386"/>
      <c r="QZ119" s="386"/>
      <c r="RA119" s="386"/>
      <c r="RB119" s="386"/>
      <c r="RC119" s="386"/>
      <c r="RD119" s="386"/>
      <c r="RE119" s="386"/>
      <c r="RF119" s="386"/>
      <c r="RG119" s="386"/>
      <c r="RH119" s="386"/>
      <c r="RI119" s="386"/>
      <c r="RJ119" s="386"/>
      <c r="RK119" s="386"/>
      <c r="RL119" s="386"/>
      <c r="RM119" s="386"/>
      <c r="RN119" s="386"/>
      <c r="RO119" s="386"/>
      <c r="RP119" s="386"/>
      <c r="RQ119" s="386"/>
      <c r="RR119" s="386"/>
      <c r="RS119" s="386"/>
      <c r="RT119" s="386"/>
      <c r="RU119" s="386"/>
      <c r="RV119" s="386"/>
      <c r="RW119" s="386"/>
      <c r="RX119" s="386"/>
      <c r="RY119" s="386"/>
      <c r="RZ119" s="386"/>
      <c r="SA119" s="386"/>
      <c r="SB119" s="386"/>
      <c r="SC119" s="386"/>
      <c r="SD119" s="386"/>
      <c r="SE119" s="386"/>
      <c r="SF119" s="386"/>
      <c r="SG119" s="386"/>
      <c r="SH119" s="386"/>
      <c r="SI119" s="386"/>
      <c r="SJ119" s="386"/>
      <c r="SK119" s="386"/>
      <c r="SL119" s="386"/>
      <c r="SM119" s="386"/>
      <c r="SN119" s="386"/>
      <c r="SO119" s="386"/>
      <c r="SP119" s="386"/>
      <c r="SQ119" s="386"/>
      <c r="SR119" s="386"/>
      <c r="SS119" s="386"/>
      <c r="ST119" s="386"/>
      <c r="SU119" s="386"/>
      <c r="SV119" s="386"/>
      <c r="SW119" s="386"/>
      <c r="SX119" s="386"/>
      <c r="SY119" s="386"/>
      <c r="SZ119" s="386"/>
      <c r="TA119" s="386"/>
      <c r="TB119" s="386"/>
      <c r="TC119" s="386"/>
      <c r="TD119" s="386"/>
      <c r="TE119" s="386"/>
      <c r="TF119" s="386"/>
      <c r="TG119" s="386"/>
      <c r="TH119" s="386"/>
      <c r="TI119" s="386"/>
      <c r="TJ119" s="386"/>
      <c r="TK119" s="386"/>
      <c r="TL119" s="386"/>
      <c r="TM119" s="386"/>
      <c r="TN119" s="386"/>
      <c r="TO119" s="386"/>
      <c r="TP119" s="386"/>
      <c r="TQ119" s="386"/>
      <c r="TR119" s="386"/>
      <c r="TS119" s="386"/>
      <c r="TT119" s="386"/>
      <c r="TU119" s="386"/>
      <c r="TV119" s="386"/>
      <c r="TW119" s="386"/>
      <c r="TX119" s="386"/>
      <c r="TY119" s="386"/>
      <c r="TZ119" s="386"/>
      <c r="UA119" s="386"/>
      <c r="UB119" s="386"/>
      <c r="UC119" s="386"/>
      <c r="UD119" s="386"/>
      <c r="UE119" s="386"/>
      <c r="UF119" s="386"/>
      <c r="UG119" s="386"/>
      <c r="UH119" s="386"/>
      <c r="UI119" s="386"/>
      <c r="UJ119" s="386"/>
      <c r="UK119" s="386"/>
      <c r="UL119" s="386"/>
      <c r="UM119" s="386"/>
      <c r="UN119" s="386"/>
      <c r="UO119" s="386"/>
      <c r="UP119" s="386"/>
      <c r="UQ119" s="386"/>
      <c r="UR119" s="386"/>
      <c r="US119" s="386"/>
      <c r="UT119" s="386"/>
      <c r="UU119" s="386"/>
      <c r="UV119" s="386"/>
      <c r="UW119" s="386"/>
      <c r="UX119" s="386"/>
      <c r="UY119" s="386"/>
      <c r="UZ119" s="386"/>
      <c r="VA119" s="386"/>
      <c r="VB119" s="386"/>
      <c r="VC119" s="386"/>
      <c r="VD119" s="386"/>
      <c r="VE119" s="386"/>
      <c r="VF119" s="386"/>
      <c r="VG119" s="386"/>
      <c r="VH119" s="386"/>
      <c r="VI119" s="386"/>
      <c r="VJ119" s="386"/>
      <c r="VK119" s="386"/>
      <c r="VL119" s="386"/>
      <c r="VM119" s="386"/>
      <c r="VN119" s="386"/>
      <c r="VO119" s="386"/>
      <c r="VP119" s="386"/>
      <c r="VQ119" s="386"/>
      <c r="VR119" s="386"/>
      <c r="VS119" s="386"/>
      <c r="VT119" s="386"/>
      <c r="VU119" s="386"/>
      <c r="VV119" s="386"/>
      <c r="VW119" s="386"/>
      <c r="VX119" s="386"/>
      <c r="VY119" s="386"/>
      <c r="VZ119" s="386"/>
      <c r="WA119" s="386"/>
      <c r="WB119" s="386"/>
      <c r="WC119" s="386"/>
      <c r="WD119" s="386"/>
      <c r="WE119" s="386"/>
      <c r="WF119" s="386"/>
      <c r="WG119" s="386"/>
      <c r="WH119" s="386"/>
      <c r="WI119" s="386"/>
      <c r="WJ119" s="386"/>
      <c r="WK119" s="386"/>
      <c r="WL119" s="386"/>
      <c r="WM119" s="386"/>
      <c r="WN119" s="386"/>
      <c r="WO119" s="386"/>
      <c r="WP119" s="386"/>
      <c r="WQ119" s="386"/>
      <c r="WR119" s="386"/>
      <c r="WS119" s="386"/>
      <c r="WT119" s="386"/>
      <c r="WU119" s="386"/>
      <c r="WV119" s="386"/>
      <c r="WW119" s="386"/>
      <c r="WX119" s="386"/>
      <c r="WY119" s="386"/>
      <c r="WZ119" s="386"/>
      <c r="XA119" s="386"/>
      <c r="XB119" s="386"/>
      <c r="XC119" s="386"/>
      <c r="XD119" s="386"/>
      <c r="XE119" s="386"/>
      <c r="XF119" s="386"/>
      <c r="XG119" s="386"/>
      <c r="XH119" s="386"/>
      <c r="XI119" s="386"/>
      <c r="XJ119" s="386"/>
      <c r="XK119" s="386"/>
      <c r="XL119" s="386"/>
      <c r="XM119" s="386"/>
      <c r="XN119" s="386"/>
      <c r="XO119" s="386"/>
      <c r="XP119" s="386"/>
      <c r="XQ119" s="386"/>
      <c r="XR119" s="386"/>
      <c r="XS119" s="386"/>
      <c r="XT119" s="386"/>
      <c r="XU119" s="386"/>
      <c r="XV119" s="386"/>
      <c r="XW119" s="386"/>
      <c r="XX119" s="386"/>
      <c r="XY119" s="386"/>
      <c r="XZ119" s="386"/>
      <c r="YA119" s="386"/>
      <c r="YB119" s="386"/>
      <c r="YC119" s="386"/>
      <c r="YD119" s="386"/>
      <c r="YE119" s="386"/>
      <c r="YF119" s="386"/>
      <c r="YG119" s="386"/>
      <c r="YH119" s="386"/>
      <c r="YI119" s="386"/>
      <c r="YJ119" s="386"/>
      <c r="YK119" s="386"/>
      <c r="YL119" s="386"/>
      <c r="YM119" s="386"/>
      <c r="YN119" s="386"/>
      <c r="YO119" s="386"/>
      <c r="YP119" s="386"/>
      <c r="YQ119" s="386"/>
      <c r="YR119" s="386"/>
      <c r="YS119" s="386"/>
      <c r="YT119" s="386"/>
      <c r="YU119" s="386"/>
      <c r="YV119" s="386"/>
      <c r="YW119" s="386"/>
      <c r="YX119" s="386"/>
      <c r="YY119" s="386"/>
      <c r="YZ119" s="386"/>
      <c r="ZA119" s="386"/>
      <c r="ZB119" s="386"/>
      <c r="ZC119" s="386"/>
      <c r="ZD119" s="386"/>
      <c r="ZE119" s="386"/>
      <c r="ZF119" s="386"/>
      <c r="ZG119" s="386"/>
      <c r="ZH119" s="386"/>
      <c r="ZI119" s="386"/>
      <c r="ZJ119" s="386"/>
      <c r="ZK119" s="386"/>
      <c r="ZL119" s="386"/>
      <c r="ZM119" s="386"/>
      <c r="ZN119" s="386"/>
      <c r="ZO119" s="386"/>
      <c r="ZP119" s="386"/>
      <c r="ZQ119" s="386"/>
      <c r="ZR119" s="386"/>
      <c r="ZS119" s="386"/>
      <c r="ZT119" s="386"/>
      <c r="ZU119" s="386"/>
      <c r="ZV119" s="386"/>
      <c r="ZW119" s="386"/>
      <c r="ZX119" s="386"/>
      <c r="ZY119" s="386"/>
      <c r="ZZ119" s="386"/>
      <c r="AAA119" s="386"/>
      <c r="AAB119" s="386"/>
      <c r="AAC119" s="386"/>
      <c r="AAD119" s="386"/>
      <c r="AAE119" s="386"/>
      <c r="AAF119" s="386"/>
      <c r="AAG119" s="386"/>
      <c r="AAH119" s="386"/>
      <c r="AAI119" s="386"/>
      <c r="AAJ119" s="386"/>
      <c r="AAK119" s="386"/>
      <c r="AAL119" s="386"/>
      <c r="AAM119" s="386"/>
      <c r="AAN119" s="386"/>
      <c r="AAO119" s="386"/>
      <c r="AAP119" s="386"/>
      <c r="AAQ119" s="386"/>
      <c r="AAR119" s="386"/>
      <c r="AAS119" s="386"/>
      <c r="AAT119" s="386"/>
      <c r="AAU119" s="386"/>
      <c r="AAV119" s="386"/>
      <c r="AAW119" s="386"/>
      <c r="AAX119" s="386"/>
      <c r="AAY119" s="386"/>
      <c r="AAZ119" s="386"/>
      <c r="ABA119" s="386"/>
      <c r="ABB119" s="386"/>
      <c r="ABC119" s="386"/>
      <c r="ABD119" s="386"/>
      <c r="ABE119" s="386"/>
      <c r="ABF119" s="386"/>
      <c r="ABG119" s="386"/>
      <c r="ABH119" s="386"/>
      <c r="ABI119" s="386"/>
      <c r="ABJ119" s="386"/>
      <c r="ABK119" s="386"/>
      <c r="ABL119" s="386"/>
      <c r="ABM119" s="386"/>
      <c r="ABN119" s="386"/>
      <c r="ABO119" s="386"/>
      <c r="ABP119" s="386"/>
      <c r="ABQ119" s="386"/>
      <c r="ABR119" s="386"/>
      <c r="ABS119" s="386"/>
      <c r="ABT119" s="386"/>
      <c r="ABU119" s="386"/>
      <c r="ABV119" s="386"/>
      <c r="ABW119" s="386"/>
      <c r="ABX119" s="386"/>
      <c r="ABY119" s="386"/>
      <c r="ABZ119" s="386"/>
      <c r="ACA119" s="386"/>
      <c r="ACB119" s="386"/>
      <c r="ACC119" s="386"/>
      <c r="ACD119" s="386"/>
      <c r="ACE119" s="386"/>
      <c r="ACF119" s="386"/>
      <c r="ACG119" s="386"/>
      <c r="ACH119" s="386"/>
      <c r="ACI119" s="386"/>
      <c r="ACJ119" s="386"/>
      <c r="ACK119" s="386"/>
      <c r="ACL119" s="386"/>
      <c r="ACM119" s="386"/>
      <c r="ACN119" s="386"/>
      <c r="ACO119" s="386"/>
      <c r="ACP119" s="386"/>
      <c r="ACQ119" s="386"/>
      <c r="ACR119" s="386"/>
      <c r="ACS119" s="386"/>
      <c r="ACT119" s="386"/>
      <c r="ACU119" s="386"/>
      <c r="ACV119" s="386"/>
      <c r="ACW119" s="386"/>
      <c r="ACX119" s="386"/>
      <c r="ACY119" s="386"/>
      <c r="ACZ119" s="386"/>
      <c r="ADA119" s="386"/>
      <c r="ADB119" s="386"/>
      <c r="ADC119" s="386"/>
      <c r="ADD119" s="386"/>
      <c r="ADE119" s="386"/>
      <c r="ADF119" s="386"/>
      <c r="ADG119" s="386"/>
      <c r="ADH119" s="386"/>
      <c r="ADI119" s="386"/>
      <c r="ADJ119" s="386"/>
      <c r="ADK119" s="386"/>
      <c r="ADL119" s="386"/>
      <c r="ADM119" s="386"/>
      <c r="ADN119" s="386"/>
      <c r="ADO119" s="386"/>
      <c r="ADP119" s="386"/>
      <c r="ADQ119" s="386"/>
      <c r="ADR119" s="386"/>
      <c r="ADS119" s="386"/>
      <c r="ADT119" s="386"/>
      <c r="ADU119" s="386"/>
      <c r="ADV119" s="386"/>
      <c r="ADW119" s="386"/>
      <c r="ADX119" s="386"/>
      <c r="ADY119" s="386"/>
      <c r="ADZ119" s="386"/>
      <c r="AEA119" s="386"/>
      <c r="AEB119" s="386"/>
      <c r="AEC119" s="386"/>
      <c r="AED119" s="386"/>
      <c r="AEE119" s="386"/>
      <c r="AEF119" s="386"/>
      <c r="AEG119" s="386"/>
      <c r="AEH119" s="386"/>
      <c r="AEI119" s="386"/>
      <c r="AEJ119" s="386"/>
      <c r="AEK119" s="386"/>
      <c r="AEL119" s="386"/>
      <c r="AEM119" s="386"/>
      <c r="AEN119" s="386"/>
      <c r="AEO119" s="386"/>
      <c r="AEP119" s="386"/>
      <c r="AEQ119" s="386"/>
      <c r="AER119" s="386"/>
      <c r="AES119" s="386"/>
      <c r="AET119" s="386"/>
      <c r="AEU119" s="386"/>
      <c r="AEV119" s="386"/>
      <c r="AEW119" s="386"/>
      <c r="AEX119" s="386"/>
      <c r="AEY119" s="386"/>
      <c r="AEZ119" s="386"/>
      <c r="AFA119" s="386"/>
      <c r="AFB119" s="386"/>
      <c r="AFC119" s="386"/>
      <c r="AFD119" s="386"/>
      <c r="AFE119" s="386"/>
      <c r="AFF119" s="386"/>
      <c r="AFG119" s="386"/>
      <c r="AFH119" s="386"/>
      <c r="AFI119" s="386"/>
      <c r="AFJ119" s="386"/>
      <c r="AFK119" s="386"/>
      <c r="AFL119" s="386"/>
      <c r="AFM119" s="386"/>
      <c r="AFN119" s="386"/>
      <c r="AFO119" s="386"/>
      <c r="AFP119" s="386"/>
      <c r="AFQ119" s="386"/>
      <c r="AFR119" s="386"/>
      <c r="AFS119" s="386"/>
      <c r="AFT119" s="386"/>
      <c r="AFU119" s="386"/>
      <c r="AFV119" s="386"/>
      <c r="AFW119" s="386"/>
      <c r="AFX119" s="386"/>
      <c r="AFY119" s="386"/>
      <c r="AFZ119" s="386"/>
      <c r="AGA119" s="386"/>
      <c r="AGB119" s="386"/>
      <c r="AGC119" s="386"/>
      <c r="AGD119" s="386"/>
      <c r="AGE119" s="386"/>
      <c r="AGF119" s="386"/>
      <c r="AGG119" s="386"/>
      <c r="AGH119" s="386"/>
      <c r="AGI119" s="386"/>
      <c r="AGJ119" s="386"/>
      <c r="AGK119" s="386"/>
      <c r="AGL119" s="386"/>
      <c r="AGM119" s="386"/>
      <c r="AGN119" s="386"/>
      <c r="AGO119" s="386"/>
      <c r="AGP119" s="386"/>
      <c r="AGQ119" s="386"/>
      <c r="AGR119" s="386"/>
      <c r="AGS119" s="386"/>
      <c r="AGT119" s="386"/>
      <c r="AGU119" s="386"/>
      <c r="AGV119" s="386"/>
      <c r="AGW119" s="386"/>
      <c r="AGX119" s="386"/>
      <c r="AGY119" s="386"/>
      <c r="AGZ119" s="386"/>
      <c r="AHA119" s="386"/>
      <c r="AHB119" s="386"/>
      <c r="AHC119" s="386"/>
      <c r="AHD119" s="386"/>
      <c r="AHE119" s="386"/>
      <c r="AHF119" s="386"/>
      <c r="AHG119" s="386"/>
      <c r="AHH119" s="386"/>
      <c r="AHI119" s="386"/>
      <c r="AHJ119" s="386"/>
      <c r="AHK119" s="386"/>
      <c r="AHL119" s="386"/>
      <c r="AHM119" s="386"/>
      <c r="AHN119" s="386"/>
      <c r="AHO119" s="386"/>
      <c r="AHP119" s="386"/>
      <c r="AHQ119" s="386"/>
      <c r="AHR119" s="386"/>
      <c r="AHS119" s="386"/>
      <c r="AHT119" s="386"/>
      <c r="AHU119" s="386"/>
      <c r="AHV119" s="386"/>
      <c r="AHW119" s="386"/>
      <c r="AHX119" s="386"/>
      <c r="AHY119" s="386"/>
      <c r="AHZ119" s="386"/>
      <c r="AIA119" s="386"/>
      <c r="AIB119" s="386"/>
      <c r="AIC119" s="386"/>
      <c r="AID119" s="386"/>
      <c r="AIE119" s="386"/>
      <c r="AIF119" s="386"/>
      <c r="AIG119" s="386"/>
      <c r="AIH119" s="386"/>
      <c r="AII119" s="386"/>
      <c r="AIJ119" s="386"/>
      <c r="AIK119" s="386"/>
      <c r="AIL119" s="386"/>
      <c r="AIM119" s="386"/>
      <c r="AIN119" s="386"/>
      <c r="AIO119" s="386"/>
      <c r="AIP119" s="386"/>
      <c r="AIQ119" s="386"/>
      <c r="AIR119" s="386"/>
      <c r="AIS119" s="386"/>
      <c r="AIT119" s="386"/>
      <c r="AIU119" s="386"/>
      <c r="AIV119" s="386"/>
      <c r="AIW119" s="386"/>
      <c r="AIX119" s="386"/>
      <c r="AIY119" s="386"/>
      <c r="AIZ119" s="386"/>
      <c r="AJA119" s="386"/>
      <c r="AJB119" s="386"/>
      <c r="AJC119" s="386"/>
      <c r="AJD119" s="386"/>
      <c r="AJE119" s="386"/>
      <c r="AJF119" s="386"/>
      <c r="AJG119" s="386"/>
      <c r="AJH119" s="386"/>
      <c r="AJI119" s="386"/>
      <c r="AJJ119" s="386"/>
      <c r="AJK119" s="386"/>
      <c r="AJL119" s="386"/>
      <c r="AJM119" s="386"/>
      <c r="AJN119" s="386"/>
      <c r="AJO119" s="386"/>
      <c r="AJP119" s="386"/>
      <c r="AJQ119" s="386"/>
      <c r="AJR119" s="386"/>
      <c r="AJS119" s="386"/>
      <c r="AJT119" s="386"/>
      <c r="AJU119" s="386"/>
      <c r="AJV119" s="386"/>
      <c r="AJW119" s="386"/>
      <c r="AJX119" s="386"/>
      <c r="AJY119" s="386"/>
      <c r="AJZ119" s="386"/>
      <c r="AKA119" s="386"/>
      <c r="AKB119" s="386"/>
      <c r="AKC119" s="386"/>
      <c r="AKD119" s="386"/>
      <c r="AKE119" s="386"/>
      <c r="AKF119" s="386"/>
      <c r="AKG119" s="386"/>
      <c r="AKH119" s="386"/>
      <c r="AKI119" s="386"/>
      <c r="AKJ119" s="386"/>
      <c r="AKK119" s="386"/>
      <c r="AKL119" s="386"/>
      <c r="AKM119" s="386"/>
      <c r="AKN119" s="386"/>
      <c r="AKO119" s="386"/>
      <c r="AKP119" s="386"/>
      <c r="AKQ119" s="386"/>
      <c r="AKR119" s="386"/>
      <c r="AKS119" s="386"/>
      <c r="AKT119" s="386"/>
      <c r="AKU119" s="386"/>
      <c r="AKV119" s="386"/>
      <c r="AKW119" s="386"/>
      <c r="AKX119" s="386"/>
      <c r="AKY119" s="386"/>
      <c r="AKZ119" s="386"/>
      <c r="ALA119" s="386"/>
      <c r="ALB119" s="386"/>
      <c r="ALC119" s="386"/>
      <c r="ALD119" s="386"/>
      <c r="ALE119" s="386"/>
      <c r="ALF119" s="386"/>
      <c r="ALG119" s="386"/>
      <c r="ALH119" s="386"/>
      <c r="ALI119" s="386"/>
      <c r="ALJ119" s="386"/>
      <c r="ALK119" s="386"/>
      <c r="ALL119" s="386"/>
      <c r="ALM119" s="386"/>
      <c r="ALN119" s="386"/>
      <c r="ALO119" s="386"/>
      <c r="ALP119" s="386"/>
      <c r="ALQ119" s="386"/>
      <c r="ALR119" s="386"/>
      <c r="ALS119" s="386"/>
      <c r="ALT119" s="386"/>
      <c r="ALU119" s="386"/>
      <c r="ALV119" s="386"/>
      <c r="ALW119" s="386"/>
      <c r="ALX119" s="386"/>
      <c r="ALY119" s="386"/>
      <c r="ALZ119" s="386"/>
      <c r="AMA119" s="386"/>
      <c r="AMB119" s="386"/>
      <c r="AMC119" s="386"/>
      <c r="AMD119" s="386"/>
      <c r="AME119" s="386"/>
      <c r="AMF119" s="386"/>
      <c r="AMG119" s="386"/>
      <c r="AMH119" s="386"/>
      <c r="AMI119" s="386"/>
      <c r="AMJ119" s="386"/>
      <c r="AMK119" s="386"/>
      <c r="AML119" s="386"/>
      <c r="AMM119" s="386"/>
      <c r="AMN119" s="386"/>
      <c r="AMO119" s="386"/>
      <c r="AMP119" s="386"/>
      <c r="AMQ119" s="386"/>
      <c r="AMR119" s="386"/>
      <c r="AMS119" s="386"/>
      <c r="AMT119" s="386"/>
      <c r="AMU119" s="386"/>
      <c r="AMV119" s="386"/>
      <c r="AMW119" s="386"/>
      <c r="AMX119" s="386"/>
      <c r="AMY119" s="386"/>
      <c r="AMZ119" s="386"/>
      <c r="ANA119" s="386"/>
      <c r="ANB119" s="386"/>
      <c r="ANC119" s="386"/>
      <c r="AND119" s="386"/>
      <c r="ANE119" s="386"/>
      <c r="ANF119" s="386"/>
      <c r="ANG119" s="386"/>
      <c r="ANH119" s="386"/>
      <c r="ANI119" s="386"/>
      <c r="ANJ119" s="386"/>
      <c r="ANK119" s="386"/>
      <c r="ANL119" s="386"/>
      <c r="ANM119" s="386"/>
      <c r="ANN119" s="386"/>
      <c r="ANO119" s="386"/>
      <c r="ANP119" s="386"/>
      <c r="ANQ119" s="386"/>
      <c r="ANR119" s="386"/>
      <c r="ANS119" s="386"/>
      <c r="ANT119" s="386"/>
      <c r="ANU119" s="386"/>
      <c r="ANV119" s="386"/>
      <c r="ANW119" s="386"/>
      <c r="ANX119" s="386"/>
      <c r="ANY119" s="386"/>
      <c r="ANZ119" s="386"/>
      <c r="AOA119" s="386"/>
      <c r="AOB119" s="386"/>
      <c r="AOC119" s="386"/>
      <c r="AOD119" s="386"/>
      <c r="AOE119" s="386"/>
      <c r="AOF119" s="386"/>
      <c r="AOG119" s="386"/>
      <c r="AOH119" s="386"/>
      <c r="AOI119" s="386"/>
      <c r="AOJ119" s="386"/>
      <c r="AOK119" s="386"/>
      <c r="AOL119" s="386"/>
      <c r="AOM119" s="386"/>
      <c r="AON119" s="386"/>
      <c r="AOO119" s="386"/>
      <c r="AOP119" s="386"/>
      <c r="AOQ119" s="386"/>
      <c r="AOR119" s="386"/>
      <c r="AOS119" s="386"/>
      <c r="AOT119" s="386"/>
      <c r="AOU119" s="386"/>
      <c r="AOV119" s="386"/>
      <c r="AOW119" s="386"/>
      <c r="AOX119" s="386"/>
      <c r="AOY119" s="386"/>
      <c r="AOZ119" s="386"/>
      <c r="APA119" s="386"/>
      <c r="APB119" s="386"/>
      <c r="APC119" s="386"/>
      <c r="APD119" s="386"/>
      <c r="APE119" s="386"/>
      <c r="APF119" s="386"/>
      <c r="APG119" s="386"/>
      <c r="APH119" s="386"/>
      <c r="API119" s="386"/>
      <c r="APJ119" s="386"/>
      <c r="APK119" s="386"/>
      <c r="APL119" s="386"/>
      <c r="APM119" s="386"/>
      <c r="APN119" s="386"/>
      <c r="APO119" s="386"/>
      <c r="APP119" s="386"/>
      <c r="APQ119" s="386"/>
      <c r="APR119" s="386"/>
      <c r="APS119" s="386"/>
      <c r="APT119" s="386"/>
      <c r="APU119" s="386"/>
      <c r="APV119" s="386"/>
      <c r="APW119" s="386"/>
      <c r="APX119" s="386"/>
      <c r="APY119" s="386"/>
      <c r="APZ119" s="386"/>
      <c r="AQA119" s="386"/>
      <c r="AQB119" s="386"/>
      <c r="AQC119" s="386"/>
      <c r="AQD119" s="386"/>
      <c r="AQE119" s="386"/>
      <c r="AQF119" s="386"/>
      <c r="AQG119" s="386"/>
      <c r="AQH119" s="386"/>
      <c r="AQI119" s="386"/>
      <c r="AQJ119" s="386"/>
      <c r="AQK119" s="386"/>
      <c r="AQL119" s="386"/>
      <c r="AQM119" s="386"/>
      <c r="AQN119" s="386"/>
      <c r="AQO119" s="386"/>
      <c r="AQP119" s="386"/>
      <c r="AQQ119" s="386"/>
      <c r="AQR119" s="386"/>
      <c r="AQS119" s="386"/>
      <c r="AQT119" s="386"/>
      <c r="AQU119" s="386"/>
      <c r="AQV119" s="386"/>
      <c r="AQW119" s="386"/>
      <c r="AQX119" s="386"/>
      <c r="AQY119" s="386"/>
      <c r="AQZ119" s="386"/>
      <c r="ARA119" s="386"/>
      <c r="ARB119" s="386"/>
      <c r="ARC119" s="386"/>
      <c r="ARD119" s="386"/>
      <c r="ARE119" s="386"/>
      <c r="ARF119" s="386"/>
      <c r="ARG119" s="386"/>
      <c r="ARH119" s="386"/>
      <c r="ARI119" s="386"/>
      <c r="ARJ119" s="386"/>
      <c r="ARK119" s="386"/>
      <c r="ARL119" s="386"/>
      <c r="ARM119" s="386"/>
      <c r="ARN119" s="386"/>
      <c r="ARO119" s="386"/>
      <c r="ARP119" s="386"/>
      <c r="ARQ119" s="386"/>
      <c r="ARR119" s="386"/>
      <c r="ARS119" s="386"/>
      <c r="ART119" s="386"/>
      <c r="ARU119" s="386"/>
      <c r="ARV119" s="386"/>
      <c r="ARW119" s="386"/>
      <c r="ARX119" s="386"/>
      <c r="ARY119" s="386"/>
      <c r="ARZ119" s="386"/>
      <c r="ASA119" s="386"/>
      <c r="ASB119" s="386"/>
      <c r="ASC119" s="386"/>
      <c r="ASD119" s="386"/>
      <c r="ASE119" s="386"/>
      <c r="ASF119" s="386"/>
      <c r="ASG119" s="386"/>
      <c r="ASH119" s="386"/>
      <c r="ASI119" s="386"/>
      <c r="ASJ119" s="386"/>
      <c r="ASK119" s="386"/>
      <c r="ASL119" s="386"/>
      <c r="ASM119" s="386"/>
      <c r="ASN119" s="386"/>
      <c r="ASO119" s="386"/>
      <c r="ASP119" s="386"/>
      <c r="ASQ119" s="386"/>
      <c r="ASR119" s="386"/>
      <c r="ASS119" s="386"/>
      <c r="AST119" s="386"/>
      <c r="ASU119" s="386"/>
      <c r="ASV119" s="386"/>
      <c r="ASW119" s="386"/>
      <c r="ASX119" s="386"/>
      <c r="ASY119" s="386"/>
      <c r="ASZ119" s="386"/>
      <c r="ATA119" s="386"/>
      <c r="ATB119" s="386"/>
      <c r="ATC119" s="386"/>
      <c r="ATD119" s="386"/>
      <c r="ATE119" s="386"/>
      <c r="ATF119" s="386"/>
      <c r="ATG119" s="386"/>
      <c r="ATH119" s="386"/>
      <c r="ATI119" s="386"/>
      <c r="ATJ119" s="386"/>
      <c r="ATK119" s="386"/>
      <c r="ATL119" s="386"/>
      <c r="ATM119" s="386"/>
      <c r="ATN119" s="386"/>
      <c r="ATO119" s="386"/>
      <c r="ATP119" s="386"/>
      <c r="ATQ119" s="386"/>
      <c r="ATR119" s="386"/>
      <c r="ATS119" s="386"/>
      <c r="ATT119" s="386"/>
      <c r="ATU119" s="386"/>
      <c r="ATV119" s="386"/>
      <c r="ATW119" s="386"/>
      <c r="ATX119" s="386"/>
      <c r="ATY119" s="386"/>
      <c r="ATZ119" s="386"/>
      <c r="AUA119" s="386"/>
      <c r="AUB119" s="386"/>
      <c r="AUC119" s="386"/>
      <c r="AUD119" s="386"/>
      <c r="AUE119" s="386"/>
      <c r="AUF119" s="386"/>
      <c r="AUG119" s="386"/>
      <c r="AUH119" s="386"/>
      <c r="AUI119" s="386"/>
      <c r="AUJ119" s="386"/>
      <c r="AUK119" s="386"/>
      <c r="AUL119" s="386"/>
      <c r="AUM119" s="386"/>
      <c r="AUN119" s="386"/>
      <c r="AUO119" s="386"/>
      <c r="AUP119" s="386"/>
      <c r="AUQ119" s="386"/>
      <c r="AUR119" s="386"/>
      <c r="AUS119" s="386"/>
      <c r="AUT119" s="386"/>
      <c r="AUU119" s="386"/>
      <c r="AUV119" s="386"/>
      <c r="AUW119" s="386"/>
      <c r="AUX119" s="386"/>
      <c r="AUY119" s="386"/>
      <c r="AUZ119" s="386"/>
      <c r="AVA119" s="386"/>
      <c r="AVB119" s="386"/>
      <c r="AVC119" s="386"/>
      <c r="AVD119" s="386"/>
      <c r="AVE119" s="386"/>
      <c r="AVF119" s="386"/>
      <c r="AVG119" s="386"/>
      <c r="AVH119" s="386"/>
      <c r="AVI119" s="386"/>
      <c r="AVJ119" s="386"/>
      <c r="AVK119" s="386"/>
      <c r="AVL119" s="386"/>
      <c r="AVM119" s="386"/>
      <c r="AVN119" s="386"/>
      <c r="AVO119" s="386"/>
      <c r="AVP119" s="386"/>
      <c r="AVQ119" s="386"/>
      <c r="AVR119" s="386"/>
      <c r="AVS119" s="386"/>
      <c r="AVT119" s="386"/>
      <c r="AVU119" s="386"/>
      <c r="AVV119" s="386"/>
      <c r="AVW119" s="386"/>
      <c r="AVX119" s="386"/>
      <c r="AVY119" s="386"/>
      <c r="AVZ119" s="386"/>
      <c r="AWA119" s="386"/>
      <c r="AWB119" s="386"/>
      <c r="AWC119" s="386"/>
      <c r="AWD119" s="386"/>
      <c r="AWE119" s="386"/>
      <c r="AWF119" s="386"/>
      <c r="AWG119" s="386"/>
      <c r="AWH119" s="386"/>
      <c r="AWI119" s="386"/>
      <c r="AWJ119" s="386"/>
      <c r="AWK119" s="386"/>
      <c r="AWL119" s="386"/>
      <c r="AWM119" s="386"/>
      <c r="AWN119" s="386"/>
      <c r="AWO119" s="386"/>
      <c r="AWP119" s="386"/>
      <c r="AWQ119" s="386"/>
      <c r="AWR119" s="386"/>
      <c r="AWS119" s="386"/>
      <c r="AWT119" s="386"/>
      <c r="AWU119" s="386"/>
      <c r="AWV119" s="386"/>
      <c r="AWW119" s="386"/>
      <c r="AWX119" s="386"/>
      <c r="AWY119" s="386"/>
      <c r="AWZ119" s="386"/>
      <c r="AXA119" s="386"/>
      <c r="AXB119" s="386"/>
      <c r="AXC119" s="386"/>
      <c r="AXD119" s="386"/>
      <c r="AXE119" s="386"/>
      <c r="AXF119" s="386"/>
      <c r="AXG119" s="386"/>
      <c r="AXH119" s="386"/>
      <c r="AXI119" s="386"/>
      <c r="AXJ119" s="386"/>
      <c r="AXK119" s="386"/>
      <c r="AXL119" s="386"/>
      <c r="AXM119" s="386"/>
      <c r="AXN119" s="386"/>
      <c r="AXO119" s="386"/>
      <c r="AXP119" s="386"/>
      <c r="AXQ119" s="386"/>
      <c r="AXR119" s="386"/>
      <c r="AXS119" s="386"/>
      <c r="AXT119" s="386"/>
      <c r="AXU119" s="386"/>
      <c r="AXV119" s="386"/>
      <c r="AXW119" s="386"/>
      <c r="AXX119" s="386"/>
      <c r="AXY119" s="386"/>
      <c r="AXZ119" s="386"/>
      <c r="AYA119" s="386"/>
      <c r="AYB119" s="386"/>
      <c r="AYC119" s="386"/>
      <c r="AYD119" s="386"/>
      <c r="AYE119" s="386"/>
      <c r="AYF119" s="386"/>
      <c r="AYG119" s="386"/>
      <c r="AYH119" s="386"/>
      <c r="AYI119" s="386"/>
      <c r="AYJ119" s="386"/>
      <c r="AYK119" s="386"/>
      <c r="AYL119" s="386"/>
      <c r="AYM119" s="386"/>
      <c r="AYN119" s="386"/>
      <c r="AYO119" s="386"/>
      <c r="AYP119" s="386"/>
      <c r="AYQ119" s="386"/>
      <c r="AYR119" s="386"/>
      <c r="AYS119" s="386"/>
      <c r="AYT119" s="386"/>
      <c r="AYU119" s="386"/>
      <c r="AYV119" s="386"/>
      <c r="AYW119" s="386"/>
      <c r="AYX119" s="386"/>
      <c r="AYY119" s="386"/>
      <c r="AYZ119" s="386"/>
      <c r="AZA119" s="386"/>
      <c r="AZB119" s="386"/>
      <c r="AZC119" s="386"/>
      <c r="AZD119" s="386"/>
      <c r="AZE119" s="386"/>
      <c r="AZF119" s="386"/>
      <c r="AZG119" s="386"/>
      <c r="AZH119" s="386"/>
      <c r="AZI119" s="386"/>
      <c r="AZJ119" s="386"/>
      <c r="AZK119" s="386"/>
      <c r="AZL119" s="386"/>
      <c r="AZM119" s="386"/>
      <c r="AZN119" s="386"/>
      <c r="AZO119" s="386"/>
      <c r="AZP119" s="386"/>
      <c r="AZQ119" s="386"/>
      <c r="AZR119" s="386"/>
      <c r="AZS119" s="386"/>
      <c r="AZT119" s="386"/>
      <c r="AZU119" s="386"/>
      <c r="AZV119" s="386"/>
      <c r="AZW119" s="386"/>
      <c r="AZX119" s="386"/>
      <c r="AZY119" s="386"/>
      <c r="AZZ119" s="386"/>
      <c r="BAA119" s="386"/>
      <c r="BAB119" s="386"/>
      <c r="BAC119" s="386"/>
      <c r="BAD119" s="386"/>
      <c r="BAE119" s="386"/>
      <c r="BAF119" s="386"/>
      <c r="BAG119" s="386"/>
      <c r="BAH119" s="386"/>
      <c r="BAI119" s="386"/>
      <c r="BAJ119" s="386"/>
      <c r="BAK119" s="386"/>
      <c r="BAL119" s="386"/>
      <c r="BAM119" s="386"/>
      <c r="BAN119" s="386"/>
      <c r="BAO119" s="386"/>
      <c r="BAP119" s="386"/>
      <c r="BAQ119" s="386"/>
      <c r="BAR119" s="386"/>
      <c r="BAS119" s="386"/>
      <c r="BAT119" s="386"/>
      <c r="BAU119" s="386"/>
      <c r="BAV119" s="386"/>
      <c r="BAW119" s="386"/>
      <c r="BAX119" s="386"/>
      <c r="BAY119" s="386"/>
      <c r="BAZ119" s="386"/>
      <c r="BBA119" s="386"/>
      <c r="BBB119" s="386"/>
      <c r="BBC119" s="386"/>
      <c r="BBD119" s="386"/>
      <c r="BBE119" s="386"/>
      <c r="BBF119" s="386"/>
      <c r="BBG119" s="386"/>
      <c r="BBH119" s="386"/>
      <c r="BBI119" s="386"/>
      <c r="BBJ119" s="386"/>
      <c r="BBK119" s="386"/>
      <c r="BBL119" s="386"/>
      <c r="BBM119" s="386"/>
      <c r="BBN119" s="386"/>
      <c r="BBO119" s="386"/>
      <c r="BBP119" s="386"/>
      <c r="BBQ119" s="386"/>
      <c r="BBR119" s="386"/>
      <c r="BBS119" s="386"/>
      <c r="BBT119" s="386"/>
      <c r="BBU119" s="386"/>
      <c r="BBV119" s="386"/>
      <c r="BBW119" s="386"/>
      <c r="BBX119" s="386"/>
      <c r="BBY119" s="386"/>
      <c r="BBZ119" s="386"/>
      <c r="BCA119" s="386"/>
      <c r="BCB119" s="386"/>
      <c r="BCC119" s="386"/>
      <c r="BCD119" s="386"/>
      <c r="BCE119" s="386"/>
      <c r="BCF119" s="386"/>
      <c r="BCG119" s="386"/>
      <c r="BCH119" s="386"/>
      <c r="BCI119" s="386"/>
      <c r="BCJ119" s="386"/>
      <c r="BCK119" s="386"/>
      <c r="BCL119" s="386"/>
      <c r="BCM119" s="386"/>
      <c r="BCN119" s="386"/>
      <c r="BCO119" s="386"/>
      <c r="BCP119" s="386"/>
      <c r="BCQ119" s="386"/>
      <c r="BCR119" s="386"/>
      <c r="BCS119" s="386"/>
      <c r="BCT119" s="386"/>
      <c r="BCU119" s="386"/>
      <c r="BCV119" s="386"/>
      <c r="BCW119" s="386"/>
      <c r="BCX119" s="386"/>
      <c r="BCY119" s="386"/>
      <c r="BCZ119" s="386"/>
      <c r="BDA119" s="386"/>
      <c r="BDB119" s="386"/>
      <c r="BDC119" s="386"/>
      <c r="BDD119" s="386"/>
      <c r="BDE119" s="386"/>
      <c r="BDF119" s="386"/>
      <c r="BDG119" s="386"/>
      <c r="BDH119" s="386"/>
      <c r="BDI119" s="386"/>
      <c r="BDJ119" s="386"/>
      <c r="BDK119" s="386"/>
      <c r="BDL119" s="386"/>
      <c r="BDM119" s="386"/>
      <c r="BDN119" s="386"/>
      <c r="BDO119" s="386"/>
      <c r="BDP119" s="386"/>
      <c r="BDQ119" s="386"/>
      <c r="BDR119" s="386"/>
      <c r="BDS119" s="386"/>
      <c r="BDT119" s="386"/>
      <c r="BDU119" s="386"/>
      <c r="BDV119" s="386"/>
      <c r="BDW119" s="386"/>
      <c r="BDX119" s="386"/>
      <c r="BDY119" s="386"/>
      <c r="BDZ119" s="386"/>
      <c r="BEA119" s="386"/>
      <c r="BEB119" s="386"/>
      <c r="BEC119" s="386"/>
      <c r="BED119" s="386"/>
      <c r="BEE119" s="386"/>
      <c r="BEF119" s="386"/>
      <c r="BEG119" s="386"/>
      <c r="BEH119" s="386"/>
      <c r="BEI119" s="386"/>
      <c r="BEJ119" s="386"/>
      <c r="BEK119" s="386"/>
      <c r="BEL119" s="386"/>
      <c r="BEM119" s="386"/>
      <c r="BEN119" s="386"/>
      <c r="BEO119" s="386"/>
      <c r="BEP119" s="386"/>
      <c r="BEQ119" s="386"/>
      <c r="BER119" s="386"/>
      <c r="BES119" s="386"/>
      <c r="BET119" s="386"/>
      <c r="BEU119" s="386"/>
      <c r="BEV119" s="386"/>
      <c r="BEW119" s="386"/>
      <c r="BEX119" s="386"/>
      <c r="BEY119" s="386"/>
      <c r="BEZ119" s="386"/>
      <c r="BFA119" s="386"/>
      <c r="BFB119" s="386"/>
      <c r="BFC119" s="386"/>
      <c r="BFD119" s="386"/>
      <c r="BFE119" s="386"/>
      <c r="BFF119" s="386"/>
      <c r="BFG119" s="386"/>
      <c r="BFH119" s="386"/>
      <c r="BFI119" s="386"/>
      <c r="BFJ119" s="386"/>
      <c r="BFK119" s="386"/>
      <c r="BFL119" s="386"/>
      <c r="BFM119" s="386"/>
      <c r="BFN119" s="386"/>
      <c r="BFO119" s="386"/>
      <c r="BFP119" s="386"/>
      <c r="BFQ119" s="386"/>
      <c r="BFR119" s="386"/>
      <c r="BFS119" s="386"/>
      <c r="BFT119" s="386"/>
      <c r="BFU119" s="386"/>
      <c r="BFV119" s="386"/>
      <c r="BFW119" s="386"/>
      <c r="BFX119" s="386"/>
      <c r="BFY119" s="386"/>
      <c r="BFZ119" s="386"/>
      <c r="BGA119" s="386"/>
      <c r="BGB119" s="386"/>
      <c r="BGC119" s="386"/>
      <c r="BGD119" s="386"/>
      <c r="BGE119" s="386"/>
      <c r="BGF119" s="386"/>
      <c r="BGG119" s="386"/>
      <c r="BGH119" s="386"/>
      <c r="BGI119" s="386"/>
      <c r="BGJ119" s="386"/>
      <c r="BGK119" s="386"/>
      <c r="BGL119" s="386"/>
      <c r="BGM119" s="386"/>
      <c r="BGN119" s="386"/>
      <c r="BGO119" s="386"/>
      <c r="BGP119" s="386"/>
      <c r="BGQ119" s="386"/>
      <c r="BGR119" s="386"/>
      <c r="BGS119" s="386"/>
      <c r="BGT119" s="386"/>
      <c r="BGU119" s="386"/>
      <c r="BGV119" s="386"/>
      <c r="BGW119" s="386"/>
      <c r="BGX119" s="386"/>
      <c r="BGY119" s="386"/>
      <c r="BGZ119" s="386"/>
      <c r="BHA119" s="386"/>
      <c r="BHB119" s="386"/>
      <c r="BHC119" s="386"/>
      <c r="BHD119" s="386"/>
      <c r="BHE119" s="386"/>
      <c r="BHF119" s="386"/>
      <c r="BHG119" s="386"/>
      <c r="BHH119" s="386"/>
      <c r="BHI119" s="386"/>
      <c r="BHJ119" s="386"/>
      <c r="BHK119" s="386"/>
      <c r="BHL119" s="386"/>
      <c r="BHM119" s="386"/>
      <c r="BHN119" s="386"/>
      <c r="BHO119" s="386"/>
      <c r="BHP119" s="386"/>
      <c r="BHQ119" s="386"/>
      <c r="BHR119" s="386"/>
      <c r="BHS119" s="386"/>
      <c r="BHT119" s="386"/>
      <c r="BHU119" s="386"/>
      <c r="BHV119" s="386"/>
      <c r="BHW119" s="386"/>
      <c r="BHX119" s="386"/>
      <c r="BHY119" s="386"/>
      <c r="BHZ119" s="386"/>
      <c r="BIA119" s="386"/>
      <c r="BIB119" s="386"/>
      <c r="BIC119" s="386"/>
      <c r="BID119" s="386"/>
      <c r="BIE119" s="386"/>
      <c r="BIF119" s="386"/>
      <c r="BIG119" s="386"/>
      <c r="BIH119" s="386"/>
      <c r="BII119" s="386"/>
      <c r="BIJ119" s="386"/>
      <c r="BIK119" s="386"/>
      <c r="BIL119" s="386"/>
      <c r="BIM119" s="386"/>
      <c r="BIN119" s="386"/>
      <c r="BIO119" s="386"/>
      <c r="BIP119" s="386"/>
      <c r="BIQ119" s="386"/>
      <c r="BIR119" s="386"/>
      <c r="BIS119" s="386"/>
      <c r="BIT119" s="386"/>
      <c r="BIU119" s="386"/>
      <c r="BIV119" s="386"/>
      <c r="BIW119" s="386"/>
      <c r="BIX119" s="386"/>
      <c r="BIY119" s="386"/>
      <c r="BIZ119" s="386"/>
      <c r="BJA119" s="386"/>
      <c r="BJB119" s="386"/>
      <c r="BJC119" s="386"/>
      <c r="BJD119" s="386"/>
      <c r="BJE119" s="386"/>
      <c r="BJF119" s="386"/>
      <c r="BJG119" s="386"/>
      <c r="BJH119" s="386"/>
      <c r="BJI119" s="386"/>
      <c r="BJJ119" s="386"/>
      <c r="BJK119" s="386"/>
      <c r="BJL119" s="386"/>
      <c r="BJM119" s="386"/>
      <c r="BJN119" s="386"/>
      <c r="BJO119" s="386"/>
      <c r="BJP119" s="386"/>
      <c r="BJQ119" s="386"/>
      <c r="BJR119" s="386"/>
      <c r="BJS119" s="386"/>
      <c r="BJT119" s="386"/>
      <c r="BJU119" s="386"/>
      <c r="BJV119" s="386"/>
      <c r="BJW119" s="386"/>
      <c r="BJX119" s="386"/>
      <c r="BJY119" s="386"/>
      <c r="BJZ119" s="386"/>
      <c r="BKA119" s="386"/>
      <c r="BKB119" s="386"/>
      <c r="BKC119" s="386"/>
      <c r="BKD119" s="386"/>
      <c r="BKE119" s="386"/>
      <c r="BKF119" s="386"/>
      <c r="BKG119" s="386"/>
      <c r="BKH119" s="386"/>
      <c r="BKI119" s="386"/>
      <c r="BKJ119" s="386"/>
      <c r="BKK119" s="386"/>
      <c r="BKL119" s="386"/>
      <c r="BKM119" s="386"/>
      <c r="BKN119" s="386"/>
      <c r="BKO119" s="386"/>
      <c r="BKP119" s="386"/>
      <c r="BKQ119" s="386"/>
      <c r="BKR119" s="386"/>
      <c r="BKS119" s="386"/>
      <c r="BKT119" s="386"/>
      <c r="BKU119" s="386"/>
      <c r="BKV119" s="386"/>
      <c r="BKW119" s="386"/>
      <c r="BKX119" s="386"/>
      <c r="BKY119" s="386"/>
      <c r="BKZ119" s="386"/>
      <c r="BLA119" s="386"/>
      <c r="BLB119" s="386"/>
      <c r="BLC119" s="386"/>
      <c r="BLD119" s="386"/>
      <c r="BLE119" s="386"/>
      <c r="BLF119" s="386"/>
      <c r="BLG119" s="386"/>
      <c r="BLH119" s="386"/>
      <c r="BLI119" s="386"/>
      <c r="BLJ119" s="386"/>
      <c r="BLK119" s="386"/>
      <c r="BLL119" s="386"/>
      <c r="BLM119" s="386"/>
      <c r="BLN119" s="386"/>
      <c r="BLO119" s="386"/>
      <c r="BLP119" s="386"/>
      <c r="BLQ119" s="386"/>
      <c r="BLR119" s="386"/>
      <c r="BLS119" s="386"/>
      <c r="BLT119" s="386"/>
      <c r="BLU119" s="386"/>
      <c r="BLV119" s="386"/>
      <c r="BLW119" s="386"/>
      <c r="BLX119" s="386"/>
      <c r="BLY119" s="386"/>
      <c r="BLZ119" s="386"/>
      <c r="BMA119" s="386"/>
      <c r="BMB119" s="386"/>
      <c r="BMC119" s="386"/>
      <c r="BMD119" s="386"/>
      <c r="BME119" s="386"/>
      <c r="BMF119" s="386"/>
      <c r="BMG119" s="386"/>
      <c r="BMH119" s="386"/>
      <c r="BMI119" s="386"/>
      <c r="BMJ119" s="386"/>
      <c r="BMK119" s="386"/>
      <c r="BML119" s="386"/>
      <c r="BMM119" s="386"/>
      <c r="BMN119" s="386"/>
      <c r="BMO119" s="386"/>
      <c r="BMP119" s="386"/>
      <c r="BMQ119" s="386"/>
      <c r="BMR119" s="386"/>
      <c r="BMS119" s="386"/>
      <c r="BMT119" s="386"/>
      <c r="BMU119" s="386"/>
      <c r="BMV119" s="386"/>
      <c r="BMW119" s="386"/>
      <c r="BMX119" s="386"/>
      <c r="BMY119" s="386"/>
      <c r="BMZ119" s="386"/>
      <c r="BNA119" s="386"/>
      <c r="BNB119" s="386"/>
      <c r="BNC119" s="386"/>
      <c r="BND119" s="386"/>
      <c r="BNE119" s="386"/>
      <c r="BNF119" s="386"/>
      <c r="BNG119" s="386"/>
      <c r="BNH119" s="386"/>
      <c r="BNI119" s="386"/>
      <c r="BNJ119" s="386"/>
      <c r="BNK119" s="386"/>
      <c r="BNL119" s="386"/>
      <c r="BNM119" s="386"/>
      <c r="BNN119" s="386"/>
      <c r="BNO119" s="386"/>
      <c r="BNP119" s="386"/>
      <c r="BNQ119" s="386"/>
      <c r="BNR119" s="386"/>
      <c r="BNS119" s="386"/>
      <c r="BNT119" s="386"/>
      <c r="BNU119" s="386"/>
      <c r="BNV119" s="386"/>
      <c r="BNW119" s="386"/>
      <c r="BNX119" s="386"/>
      <c r="BNY119" s="386"/>
      <c r="BNZ119" s="386"/>
      <c r="BOA119" s="386"/>
      <c r="BOB119" s="386"/>
      <c r="BOC119" s="386"/>
      <c r="BOD119" s="386"/>
      <c r="BOE119" s="386"/>
      <c r="BOF119" s="386"/>
      <c r="BOG119" s="386"/>
      <c r="BOH119" s="386"/>
      <c r="BOI119" s="386"/>
      <c r="BOJ119" s="386"/>
      <c r="BOK119" s="386"/>
      <c r="BOL119" s="386"/>
      <c r="BOM119" s="386"/>
      <c r="BON119" s="386"/>
      <c r="BOO119" s="386"/>
      <c r="BOP119" s="386"/>
      <c r="BOQ119" s="386"/>
      <c r="BOR119" s="386"/>
      <c r="BOS119" s="386"/>
      <c r="BOT119" s="386"/>
      <c r="BOU119" s="386"/>
      <c r="BOV119" s="386"/>
      <c r="BOW119" s="386"/>
      <c r="BOX119" s="386"/>
      <c r="BOY119" s="386"/>
      <c r="BOZ119" s="386"/>
      <c r="BPA119" s="386"/>
      <c r="BPB119" s="386"/>
      <c r="BPC119" s="386"/>
      <c r="BPD119" s="386"/>
      <c r="BPE119" s="386"/>
      <c r="BPF119" s="386"/>
      <c r="BPG119" s="386"/>
      <c r="BPH119" s="386"/>
      <c r="BPI119" s="386"/>
      <c r="BPJ119" s="386"/>
      <c r="BPK119" s="386"/>
      <c r="BPL119" s="386"/>
      <c r="BPM119" s="386"/>
      <c r="BPN119" s="386"/>
      <c r="BPO119" s="386"/>
      <c r="BPP119" s="386"/>
      <c r="BPQ119" s="386"/>
      <c r="BPR119" s="386"/>
      <c r="BPS119" s="386"/>
      <c r="BPT119" s="386"/>
      <c r="BPU119" s="386"/>
      <c r="BPV119" s="386"/>
      <c r="BPW119" s="386"/>
      <c r="BPX119" s="386"/>
      <c r="BPY119" s="386"/>
      <c r="BPZ119" s="386"/>
      <c r="BQA119" s="386"/>
      <c r="BQB119" s="386"/>
      <c r="BQC119" s="386"/>
      <c r="BQD119" s="386"/>
      <c r="BQE119" s="386"/>
      <c r="BQF119" s="386"/>
      <c r="BQG119" s="386"/>
      <c r="BQH119" s="386"/>
      <c r="BQI119" s="386"/>
      <c r="BQJ119" s="386"/>
      <c r="BQK119" s="386"/>
      <c r="BQL119" s="386"/>
      <c r="BQM119" s="386"/>
      <c r="BQN119" s="386"/>
      <c r="BQO119" s="386"/>
      <c r="BQP119" s="386"/>
      <c r="BQQ119" s="386"/>
      <c r="BQR119" s="386"/>
      <c r="BQS119" s="386"/>
      <c r="BQT119" s="386"/>
      <c r="BQU119" s="386"/>
      <c r="BQV119" s="386"/>
      <c r="BQW119" s="386"/>
      <c r="BQX119" s="386"/>
      <c r="BQY119" s="386"/>
      <c r="BQZ119" s="386"/>
      <c r="BRA119" s="386"/>
      <c r="BRB119" s="386"/>
      <c r="BRC119" s="386"/>
      <c r="BRD119" s="386"/>
      <c r="BRE119" s="386"/>
      <c r="BRF119" s="386"/>
      <c r="BRG119" s="386"/>
      <c r="BRH119" s="386"/>
      <c r="BRI119" s="386"/>
      <c r="BRJ119" s="386"/>
      <c r="BRK119" s="386"/>
      <c r="BRL119" s="386"/>
      <c r="BRM119" s="386"/>
      <c r="BRN119" s="386"/>
      <c r="BRO119" s="386"/>
      <c r="BRP119" s="386"/>
      <c r="BRQ119" s="386"/>
      <c r="BRR119" s="386"/>
      <c r="BRS119" s="386"/>
      <c r="BRT119" s="386"/>
      <c r="BRU119" s="386"/>
      <c r="BRV119" s="386"/>
      <c r="BRW119" s="386"/>
      <c r="BRX119" s="386"/>
      <c r="BRY119" s="386"/>
      <c r="BRZ119" s="386"/>
      <c r="BSA119" s="386"/>
      <c r="BSB119" s="386"/>
      <c r="BSC119" s="386"/>
      <c r="BSD119" s="386"/>
      <c r="BSE119" s="386"/>
      <c r="BSF119" s="386"/>
      <c r="BSG119" s="386"/>
      <c r="BSH119" s="386"/>
      <c r="BSI119" s="386"/>
      <c r="BSJ119" s="386"/>
      <c r="BSK119" s="386"/>
      <c r="BSL119" s="386"/>
      <c r="BSM119" s="386"/>
      <c r="BSN119" s="386"/>
      <c r="BSO119" s="386"/>
      <c r="BSP119" s="386"/>
      <c r="BSQ119" s="386"/>
      <c r="BSR119" s="386"/>
      <c r="BSS119" s="386"/>
      <c r="BST119" s="386"/>
      <c r="BSU119" s="386"/>
      <c r="BSV119" s="386"/>
      <c r="BSW119" s="386"/>
      <c r="BSX119" s="386"/>
      <c r="BSY119" s="386"/>
      <c r="BSZ119" s="386"/>
      <c r="BTA119" s="386"/>
      <c r="BTB119" s="386"/>
      <c r="BTC119" s="386"/>
      <c r="BTD119" s="386"/>
      <c r="BTE119" s="386"/>
      <c r="BTF119" s="386"/>
      <c r="BTG119" s="386"/>
      <c r="BTH119" s="386"/>
      <c r="BTI119" s="386"/>
      <c r="BTJ119" s="386"/>
      <c r="BTK119" s="386"/>
      <c r="BTL119" s="386"/>
      <c r="BTM119" s="386"/>
      <c r="BTN119" s="386"/>
      <c r="BTO119" s="386"/>
      <c r="BTP119" s="386"/>
      <c r="BTQ119" s="386"/>
      <c r="BTR119" s="386"/>
      <c r="BTS119" s="386"/>
      <c r="BTT119" s="386"/>
      <c r="BTU119" s="386"/>
      <c r="BTV119" s="386"/>
      <c r="BTW119" s="386"/>
      <c r="BTX119" s="386"/>
      <c r="BTY119" s="386"/>
      <c r="BTZ119" s="386"/>
      <c r="BUA119" s="386"/>
      <c r="BUB119" s="386"/>
      <c r="BUC119" s="386"/>
      <c r="BUD119" s="386"/>
      <c r="BUE119" s="386"/>
      <c r="BUF119" s="386"/>
      <c r="BUG119" s="386"/>
      <c r="BUH119" s="386"/>
      <c r="BUI119" s="386"/>
      <c r="BUJ119" s="386"/>
      <c r="BUK119" s="386"/>
      <c r="BUL119" s="386"/>
      <c r="BUM119" s="386"/>
      <c r="BUN119" s="386"/>
      <c r="BUO119" s="386"/>
      <c r="BUP119" s="386"/>
      <c r="BUQ119" s="386"/>
      <c r="BUR119" s="386"/>
      <c r="BUS119" s="386"/>
      <c r="BUT119" s="386"/>
      <c r="BUU119" s="386"/>
      <c r="BUV119" s="386"/>
      <c r="BUW119" s="386"/>
      <c r="BUX119" s="386"/>
      <c r="BUY119" s="386"/>
      <c r="BUZ119" s="386"/>
      <c r="BVA119" s="386"/>
      <c r="BVB119" s="386"/>
      <c r="BVC119" s="386"/>
      <c r="BVD119" s="386"/>
      <c r="BVE119" s="386"/>
      <c r="BVF119" s="386"/>
      <c r="BVG119" s="386"/>
      <c r="BVH119" s="386"/>
      <c r="BVI119" s="386"/>
      <c r="BVJ119" s="386"/>
      <c r="BVK119" s="386"/>
      <c r="BVL119" s="386"/>
      <c r="BVM119" s="386"/>
      <c r="BVN119" s="386"/>
      <c r="BVO119" s="386"/>
      <c r="BVP119" s="386"/>
      <c r="BVQ119" s="386"/>
      <c r="BVR119" s="386"/>
      <c r="BVS119" s="386"/>
      <c r="BVT119" s="386"/>
      <c r="BVU119" s="386"/>
      <c r="BVV119" s="386"/>
      <c r="BVW119" s="386"/>
      <c r="BVX119" s="386"/>
      <c r="BVY119" s="386"/>
      <c r="BVZ119" s="386"/>
      <c r="BWA119" s="386"/>
      <c r="BWB119" s="386"/>
      <c r="BWC119" s="386"/>
      <c r="BWD119" s="386"/>
      <c r="BWE119" s="386"/>
      <c r="BWF119" s="386"/>
      <c r="BWG119" s="386"/>
      <c r="BWH119" s="386"/>
      <c r="BWI119" s="386"/>
      <c r="BWJ119" s="386"/>
      <c r="BWK119" s="386"/>
      <c r="BWL119" s="386"/>
      <c r="BWM119" s="386"/>
      <c r="BWN119" s="386"/>
      <c r="BWO119" s="386"/>
      <c r="BWP119" s="386"/>
      <c r="BWQ119" s="386"/>
      <c r="BWR119" s="386"/>
      <c r="BWS119" s="386"/>
      <c r="BWT119" s="386"/>
      <c r="BWU119" s="386"/>
      <c r="BWV119" s="386"/>
      <c r="BWW119" s="386"/>
      <c r="BWX119" s="386"/>
      <c r="BWY119" s="386"/>
      <c r="BWZ119" s="386"/>
      <c r="BXA119" s="386"/>
      <c r="BXB119" s="386"/>
      <c r="BXC119" s="386"/>
      <c r="BXD119" s="386"/>
      <c r="BXE119" s="386"/>
      <c r="BXF119" s="386"/>
      <c r="BXG119" s="386"/>
      <c r="BXH119" s="386"/>
      <c r="BXI119" s="386"/>
      <c r="BXJ119" s="386"/>
      <c r="BXK119" s="386"/>
      <c r="BXL119" s="386"/>
      <c r="BXM119" s="386"/>
      <c r="BXN119" s="386"/>
      <c r="BXO119" s="386"/>
      <c r="BXP119" s="386"/>
      <c r="BXQ119" s="386"/>
      <c r="BXR119" s="386"/>
      <c r="BXS119" s="386"/>
      <c r="BXT119" s="386"/>
      <c r="BXU119" s="386"/>
      <c r="BXV119" s="386"/>
      <c r="BXW119" s="386"/>
      <c r="BXX119" s="386"/>
      <c r="BXY119" s="386"/>
      <c r="BXZ119" s="386"/>
      <c r="BYA119" s="386"/>
      <c r="BYB119" s="386"/>
      <c r="BYC119" s="386"/>
      <c r="BYD119" s="386"/>
      <c r="BYE119" s="386"/>
      <c r="BYF119" s="386"/>
      <c r="BYG119" s="386"/>
      <c r="BYH119" s="386"/>
      <c r="BYI119" s="386"/>
      <c r="BYJ119" s="386"/>
      <c r="BYK119" s="386"/>
      <c r="BYL119" s="386"/>
      <c r="BYM119" s="386"/>
      <c r="BYN119" s="386"/>
      <c r="BYO119" s="386"/>
      <c r="BYP119" s="386"/>
      <c r="BYQ119" s="386"/>
      <c r="BYR119" s="386"/>
      <c r="BYS119" s="386"/>
      <c r="BYT119" s="386"/>
      <c r="BYU119" s="386"/>
      <c r="BYV119" s="386"/>
      <c r="BYW119" s="386"/>
      <c r="BYX119" s="386"/>
      <c r="BYY119" s="386"/>
      <c r="BYZ119" s="386"/>
      <c r="BZA119" s="386"/>
      <c r="BZB119" s="386"/>
      <c r="BZC119" s="386"/>
      <c r="BZD119" s="386"/>
      <c r="BZE119" s="386"/>
      <c r="BZF119" s="386"/>
      <c r="BZG119" s="386"/>
      <c r="BZH119" s="386"/>
      <c r="BZI119" s="386"/>
      <c r="BZJ119" s="386"/>
      <c r="BZK119" s="386"/>
      <c r="BZL119" s="386"/>
      <c r="BZM119" s="386"/>
      <c r="BZN119" s="386"/>
      <c r="BZO119" s="386"/>
      <c r="BZP119" s="386"/>
      <c r="BZQ119" s="386"/>
      <c r="BZR119" s="386"/>
      <c r="BZS119" s="386"/>
      <c r="BZT119" s="386"/>
      <c r="BZU119" s="386"/>
      <c r="BZV119" s="386"/>
      <c r="BZW119" s="386"/>
      <c r="BZX119" s="386"/>
      <c r="BZY119" s="386"/>
      <c r="BZZ119" s="386"/>
      <c r="CAA119" s="386"/>
      <c r="CAB119" s="386"/>
      <c r="CAC119" s="386"/>
      <c r="CAD119" s="386"/>
      <c r="CAE119" s="386"/>
      <c r="CAF119" s="386"/>
      <c r="CAG119" s="386"/>
      <c r="CAH119" s="386"/>
      <c r="CAI119" s="386"/>
      <c r="CAJ119" s="386"/>
      <c r="CAK119" s="386"/>
      <c r="CAL119" s="386"/>
      <c r="CAM119" s="386"/>
      <c r="CAN119" s="386"/>
      <c r="CAO119" s="386"/>
      <c r="CAP119" s="386"/>
      <c r="CAQ119" s="386"/>
      <c r="CAR119" s="386"/>
      <c r="CAS119" s="386"/>
      <c r="CAT119" s="386"/>
      <c r="CAU119" s="386"/>
      <c r="CAV119" s="386"/>
      <c r="CAW119" s="386"/>
      <c r="CAX119" s="386"/>
      <c r="CAY119" s="386"/>
      <c r="CAZ119" s="386"/>
      <c r="CBA119" s="386"/>
      <c r="CBB119" s="386"/>
      <c r="CBC119" s="386"/>
      <c r="CBD119" s="386"/>
      <c r="CBE119" s="386"/>
      <c r="CBF119" s="386"/>
      <c r="CBG119" s="386"/>
      <c r="CBH119" s="386"/>
      <c r="CBI119" s="386"/>
      <c r="CBJ119" s="386"/>
      <c r="CBK119" s="386"/>
      <c r="CBL119" s="386"/>
      <c r="CBM119" s="386"/>
      <c r="CBN119" s="386"/>
      <c r="CBO119" s="386"/>
      <c r="CBP119" s="386"/>
      <c r="CBQ119" s="386"/>
      <c r="CBR119" s="386"/>
      <c r="CBS119" s="386"/>
      <c r="CBT119" s="386"/>
      <c r="CBU119" s="386"/>
      <c r="CBV119" s="386"/>
      <c r="CBW119" s="386"/>
      <c r="CBX119" s="386"/>
      <c r="CBY119" s="386"/>
      <c r="CBZ119" s="386"/>
      <c r="CCA119" s="386"/>
      <c r="CCB119" s="386"/>
      <c r="CCC119" s="386"/>
      <c r="CCD119" s="386"/>
      <c r="CCE119" s="386"/>
      <c r="CCF119" s="386"/>
      <c r="CCG119" s="386"/>
      <c r="CCH119" s="386"/>
      <c r="CCI119" s="386"/>
      <c r="CCJ119" s="386"/>
      <c r="CCK119" s="386"/>
      <c r="CCL119" s="386"/>
      <c r="CCM119" s="386"/>
      <c r="CCN119" s="386"/>
      <c r="CCO119" s="386"/>
      <c r="CCP119" s="386"/>
      <c r="CCQ119" s="386"/>
      <c r="CCR119" s="386"/>
      <c r="CCS119" s="386"/>
      <c r="CCT119" s="386"/>
      <c r="CCU119" s="386"/>
      <c r="CCV119" s="386"/>
      <c r="CCW119" s="386"/>
      <c r="CCX119" s="386"/>
      <c r="CCY119" s="386"/>
      <c r="CCZ119" s="386"/>
      <c r="CDA119" s="386"/>
      <c r="CDB119" s="386"/>
      <c r="CDC119" s="386"/>
      <c r="CDD119" s="386"/>
      <c r="CDE119" s="386"/>
      <c r="CDF119" s="386"/>
      <c r="CDG119" s="386"/>
      <c r="CDH119" s="386"/>
      <c r="CDI119" s="386"/>
      <c r="CDJ119" s="386"/>
      <c r="CDK119" s="386"/>
      <c r="CDL119" s="386"/>
      <c r="CDM119" s="386"/>
      <c r="CDN119" s="386"/>
      <c r="CDO119" s="386"/>
      <c r="CDP119" s="386"/>
      <c r="CDQ119" s="386"/>
      <c r="CDR119" s="386"/>
      <c r="CDS119" s="386"/>
      <c r="CDT119" s="386"/>
      <c r="CDU119" s="386"/>
      <c r="CDV119" s="386"/>
      <c r="CDW119" s="386"/>
      <c r="CDX119" s="386"/>
      <c r="CDY119" s="386"/>
      <c r="CDZ119" s="386"/>
      <c r="CEA119" s="386"/>
      <c r="CEB119" s="386"/>
      <c r="CEC119" s="386"/>
      <c r="CED119" s="386"/>
      <c r="CEE119" s="386"/>
      <c r="CEF119" s="386"/>
      <c r="CEG119" s="386"/>
      <c r="CEH119" s="386"/>
      <c r="CEI119" s="386"/>
      <c r="CEJ119" s="386"/>
      <c r="CEK119" s="386"/>
      <c r="CEL119" s="386"/>
      <c r="CEM119" s="386"/>
      <c r="CEN119" s="386"/>
      <c r="CEO119" s="386"/>
      <c r="CEP119" s="386"/>
      <c r="CEQ119" s="386"/>
      <c r="CER119" s="386"/>
      <c r="CES119" s="386"/>
      <c r="CET119" s="386"/>
      <c r="CEU119" s="386"/>
      <c r="CEV119" s="386"/>
      <c r="CEW119" s="386"/>
      <c r="CEX119" s="386"/>
      <c r="CEY119" s="386"/>
      <c r="CEZ119" s="386"/>
      <c r="CFA119" s="386"/>
      <c r="CFB119" s="386"/>
      <c r="CFC119" s="386"/>
      <c r="CFD119" s="386"/>
      <c r="CFE119" s="386"/>
      <c r="CFF119" s="386"/>
      <c r="CFG119" s="386"/>
      <c r="CFH119" s="386"/>
      <c r="CFI119" s="386"/>
      <c r="CFJ119" s="386"/>
      <c r="CFK119" s="386"/>
      <c r="CFL119" s="386"/>
      <c r="CFM119" s="386"/>
      <c r="CFN119" s="386"/>
      <c r="CFO119" s="386"/>
      <c r="CFP119" s="386"/>
      <c r="CFQ119" s="386"/>
      <c r="CFR119" s="386"/>
      <c r="CFS119" s="386"/>
      <c r="CFT119" s="386"/>
      <c r="CFU119" s="386"/>
      <c r="CFV119" s="386"/>
      <c r="CFW119" s="386"/>
      <c r="CFX119" s="386"/>
      <c r="CFY119" s="386"/>
      <c r="CFZ119" s="386"/>
      <c r="CGA119" s="386"/>
      <c r="CGB119" s="386"/>
      <c r="CGC119" s="386"/>
      <c r="CGD119" s="386"/>
      <c r="CGE119" s="386"/>
      <c r="CGF119" s="386"/>
      <c r="CGG119" s="386"/>
      <c r="CGH119" s="386"/>
      <c r="CGI119" s="386"/>
      <c r="CGJ119" s="386"/>
      <c r="CGK119" s="386"/>
      <c r="CGL119" s="386"/>
      <c r="CGM119" s="386"/>
      <c r="CGN119" s="386"/>
      <c r="CGO119" s="386"/>
      <c r="CGP119" s="386"/>
      <c r="CGQ119" s="386"/>
      <c r="CGR119" s="386"/>
      <c r="CGS119" s="386"/>
      <c r="CGT119" s="386"/>
      <c r="CGU119" s="386"/>
      <c r="CGV119" s="386"/>
      <c r="CGW119" s="386"/>
      <c r="CGX119" s="386"/>
      <c r="CGY119" s="386"/>
      <c r="CGZ119" s="386"/>
      <c r="CHA119" s="386"/>
      <c r="CHB119" s="386"/>
      <c r="CHC119" s="386"/>
      <c r="CHD119" s="386"/>
      <c r="CHE119" s="386"/>
      <c r="CHF119" s="386"/>
      <c r="CHG119" s="386"/>
      <c r="CHH119" s="386"/>
      <c r="CHI119" s="386"/>
      <c r="CHJ119" s="386"/>
      <c r="CHK119" s="386"/>
      <c r="CHL119" s="386"/>
      <c r="CHM119" s="386"/>
      <c r="CHN119" s="386"/>
      <c r="CHO119" s="386"/>
      <c r="CHP119" s="386"/>
      <c r="CHQ119" s="386"/>
      <c r="CHR119" s="386"/>
      <c r="CHS119" s="386"/>
      <c r="CHT119" s="386"/>
      <c r="CHU119" s="386"/>
      <c r="CHV119" s="386"/>
      <c r="CHW119" s="386"/>
      <c r="CHX119" s="386"/>
      <c r="CHY119" s="386"/>
      <c r="CHZ119" s="386"/>
      <c r="CIA119" s="386"/>
      <c r="CIB119" s="386"/>
      <c r="CIC119" s="386"/>
      <c r="CID119" s="386"/>
      <c r="CIE119" s="386"/>
      <c r="CIF119" s="386"/>
      <c r="CIG119" s="386"/>
      <c r="CIH119" s="386"/>
      <c r="CII119" s="386"/>
      <c r="CIJ119" s="386"/>
      <c r="CIK119" s="386"/>
      <c r="CIL119" s="386"/>
      <c r="CIM119" s="386"/>
      <c r="CIN119" s="386"/>
      <c r="CIO119" s="386"/>
      <c r="CIP119" s="386"/>
      <c r="CIQ119" s="386"/>
      <c r="CIR119" s="386"/>
      <c r="CIS119" s="386"/>
      <c r="CIT119" s="386"/>
      <c r="CIU119" s="386"/>
      <c r="CIV119" s="386"/>
      <c r="CIW119" s="386"/>
      <c r="CIX119" s="386"/>
      <c r="CIY119" s="386"/>
      <c r="CIZ119" s="386"/>
      <c r="CJA119" s="386"/>
      <c r="CJB119" s="386"/>
      <c r="CJC119" s="386"/>
      <c r="CJD119" s="386"/>
      <c r="CJE119" s="386"/>
      <c r="CJF119" s="386"/>
      <c r="CJG119" s="386"/>
      <c r="CJH119" s="386"/>
      <c r="CJI119" s="386"/>
      <c r="CJJ119" s="386"/>
      <c r="CJK119" s="386"/>
      <c r="CJL119" s="386"/>
      <c r="CJM119" s="386"/>
      <c r="CJN119" s="386"/>
      <c r="CJO119" s="386"/>
      <c r="CJP119" s="386"/>
      <c r="CJQ119" s="386"/>
      <c r="CJR119" s="386"/>
      <c r="CJS119" s="386"/>
      <c r="CJT119" s="386"/>
      <c r="CJU119" s="386"/>
      <c r="CJV119" s="386"/>
      <c r="CJW119" s="386"/>
      <c r="CJX119" s="386"/>
      <c r="CJY119" s="386"/>
      <c r="CJZ119" s="386"/>
      <c r="CKA119" s="386"/>
      <c r="CKB119" s="386"/>
      <c r="CKC119" s="386"/>
      <c r="CKD119" s="386"/>
      <c r="CKE119" s="386"/>
      <c r="CKF119" s="386"/>
      <c r="CKG119" s="386"/>
      <c r="CKH119" s="386"/>
      <c r="CKI119" s="386"/>
      <c r="CKJ119" s="386"/>
      <c r="CKK119" s="386"/>
      <c r="CKL119" s="386"/>
      <c r="CKM119" s="386"/>
      <c r="CKN119" s="386"/>
      <c r="CKO119" s="386"/>
      <c r="CKP119" s="386"/>
      <c r="CKQ119" s="386"/>
      <c r="CKR119" s="386"/>
      <c r="CKS119" s="386"/>
      <c r="CKT119" s="386"/>
      <c r="CKU119" s="386"/>
      <c r="CKV119" s="386"/>
      <c r="CKW119" s="386"/>
      <c r="CKX119" s="386"/>
      <c r="CKY119" s="386"/>
      <c r="CKZ119" s="386"/>
      <c r="CLA119" s="386"/>
      <c r="CLB119" s="386"/>
      <c r="CLC119" s="386"/>
      <c r="CLD119" s="386"/>
      <c r="CLE119" s="386"/>
      <c r="CLF119" s="386"/>
      <c r="CLG119" s="386"/>
      <c r="CLH119" s="386"/>
      <c r="CLI119" s="386"/>
      <c r="CLJ119" s="386"/>
      <c r="CLK119" s="386"/>
      <c r="CLL119" s="386"/>
      <c r="CLM119" s="386"/>
      <c r="CLN119" s="386"/>
      <c r="CLO119" s="386"/>
      <c r="CLP119" s="386"/>
      <c r="CLQ119" s="386"/>
      <c r="CLR119" s="386"/>
      <c r="CLS119" s="386"/>
      <c r="CLT119" s="386"/>
      <c r="CLU119" s="386"/>
      <c r="CLV119" s="386"/>
      <c r="CLW119" s="386"/>
      <c r="CLX119" s="386"/>
      <c r="CLY119" s="386"/>
      <c r="CLZ119" s="386"/>
      <c r="CMA119" s="386"/>
      <c r="CMB119" s="386"/>
      <c r="CMC119" s="386"/>
      <c r="CMD119" s="386"/>
      <c r="CME119" s="386"/>
      <c r="CMF119" s="386"/>
      <c r="CMG119" s="386"/>
      <c r="CMH119" s="386"/>
      <c r="CMI119" s="386"/>
      <c r="CMJ119" s="386"/>
      <c r="CMK119" s="386"/>
      <c r="CML119" s="386"/>
      <c r="CMM119" s="386"/>
      <c r="CMN119" s="386"/>
      <c r="CMO119" s="386"/>
      <c r="CMP119" s="386"/>
      <c r="CMQ119" s="386"/>
      <c r="CMR119" s="386"/>
      <c r="CMS119" s="386"/>
      <c r="CMT119" s="386"/>
      <c r="CMU119" s="386"/>
      <c r="CMV119" s="386"/>
      <c r="CMW119" s="386"/>
      <c r="CMX119" s="386"/>
      <c r="CMY119" s="386"/>
      <c r="CMZ119" s="386"/>
      <c r="CNA119" s="386"/>
      <c r="CNB119" s="386"/>
      <c r="CNC119" s="386"/>
      <c r="CND119" s="386"/>
      <c r="CNE119" s="386"/>
      <c r="CNF119" s="386"/>
      <c r="CNG119" s="386"/>
      <c r="CNH119" s="386"/>
      <c r="CNI119" s="386"/>
      <c r="CNJ119" s="386"/>
      <c r="CNK119" s="386"/>
      <c r="CNL119" s="386"/>
      <c r="CNM119" s="386"/>
      <c r="CNN119" s="386"/>
      <c r="CNO119" s="386"/>
      <c r="CNP119" s="386"/>
      <c r="CNQ119" s="386"/>
      <c r="CNR119" s="386"/>
      <c r="CNS119" s="386"/>
      <c r="CNT119" s="386"/>
      <c r="CNU119" s="386"/>
      <c r="CNV119" s="386"/>
      <c r="CNW119" s="386"/>
      <c r="CNX119" s="386"/>
      <c r="CNY119" s="386"/>
      <c r="CNZ119" s="386"/>
      <c r="COA119" s="386"/>
      <c r="COB119" s="386"/>
      <c r="COC119" s="386"/>
      <c r="COD119" s="386"/>
      <c r="COE119" s="386"/>
      <c r="COF119" s="386"/>
      <c r="COG119" s="386"/>
      <c r="COH119" s="386"/>
      <c r="COI119" s="386"/>
      <c r="COJ119" s="386"/>
      <c r="COK119" s="386"/>
      <c r="COL119" s="386"/>
      <c r="COM119" s="386"/>
      <c r="CON119" s="386"/>
      <c r="COO119" s="386"/>
      <c r="COP119" s="386"/>
      <c r="COQ119" s="386"/>
      <c r="COR119" s="386"/>
      <c r="COS119" s="386"/>
      <c r="COT119" s="386"/>
      <c r="COU119" s="386"/>
      <c r="COV119" s="386"/>
      <c r="COW119" s="386"/>
      <c r="COX119" s="386"/>
      <c r="COY119" s="386"/>
      <c r="COZ119" s="386"/>
      <c r="CPA119" s="386"/>
      <c r="CPB119" s="386"/>
      <c r="CPC119" s="386"/>
      <c r="CPD119" s="386"/>
      <c r="CPE119" s="386"/>
      <c r="CPF119" s="386"/>
      <c r="CPG119" s="386"/>
      <c r="CPH119" s="386"/>
      <c r="CPI119" s="386"/>
      <c r="CPJ119" s="386"/>
      <c r="CPK119" s="386"/>
      <c r="CPL119" s="386"/>
      <c r="CPM119" s="386"/>
      <c r="CPN119" s="386"/>
      <c r="CPO119" s="386"/>
      <c r="CPP119" s="386"/>
      <c r="CPQ119" s="386"/>
      <c r="CPR119" s="386"/>
      <c r="CPS119" s="386"/>
      <c r="CPT119" s="386"/>
      <c r="CPU119" s="386"/>
      <c r="CPV119" s="386"/>
      <c r="CPW119" s="386"/>
      <c r="CPX119" s="386"/>
      <c r="CPY119" s="386"/>
      <c r="CPZ119" s="386"/>
      <c r="CQA119" s="386"/>
      <c r="CQB119" s="386"/>
      <c r="CQC119" s="386"/>
      <c r="CQD119" s="386"/>
      <c r="CQE119" s="386"/>
      <c r="CQF119" s="386"/>
      <c r="CQG119" s="386"/>
      <c r="CQH119" s="386"/>
      <c r="CQI119" s="386"/>
      <c r="CQJ119" s="386"/>
      <c r="CQK119" s="386"/>
      <c r="CQL119" s="386"/>
      <c r="CQM119" s="386"/>
      <c r="CQN119" s="386"/>
      <c r="CQO119" s="386"/>
      <c r="CQP119" s="386"/>
      <c r="CQQ119" s="386"/>
      <c r="CQR119" s="386"/>
      <c r="CQS119" s="386"/>
      <c r="CQT119" s="386"/>
      <c r="CQU119" s="386"/>
      <c r="CQV119" s="386"/>
      <c r="CQW119" s="386"/>
      <c r="CQX119" s="386"/>
      <c r="CQY119" s="386"/>
      <c r="CQZ119" s="386"/>
      <c r="CRA119" s="386"/>
      <c r="CRB119" s="386"/>
      <c r="CRC119" s="386"/>
      <c r="CRD119" s="386"/>
      <c r="CRE119" s="386"/>
      <c r="CRF119" s="386"/>
      <c r="CRG119" s="386"/>
      <c r="CRH119" s="386"/>
      <c r="CRI119" s="386"/>
      <c r="CRJ119" s="386"/>
      <c r="CRK119" s="386"/>
      <c r="CRL119" s="386"/>
      <c r="CRM119" s="386"/>
      <c r="CRN119" s="386"/>
      <c r="CRO119" s="386"/>
      <c r="CRP119" s="386"/>
      <c r="CRQ119" s="386"/>
      <c r="CRR119" s="386"/>
      <c r="CRS119" s="386"/>
      <c r="CRT119" s="386"/>
      <c r="CRU119" s="386"/>
      <c r="CRV119" s="386"/>
      <c r="CRW119" s="386"/>
      <c r="CRX119" s="386"/>
      <c r="CRY119" s="386"/>
      <c r="CRZ119" s="386"/>
      <c r="CSA119" s="386"/>
      <c r="CSB119" s="386"/>
      <c r="CSC119" s="386"/>
      <c r="CSD119" s="386"/>
      <c r="CSE119" s="386"/>
      <c r="CSF119" s="386"/>
      <c r="CSG119" s="386"/>
      <c r="CSH119" s="386"/>
      <c r="CSI119" s="386"/>
      <c r="CSJ119" s="386"/>
      <c r="CSK119" s="386"/>
      <c r="CSL119" s="386"/>
      <c r="CSM119" s="386"/>
      <c r="CSN119" s="386"/>
      <c r="CSO119" s="386"/>
      <c r="CSP119" s="386"/>
      <c r="CSQ119" s="386"/>
      <c r="CSR119" s="386"/>
      <c r="CSS119" s="386"/>
      <c r="CST119" s="386"/>
      <c r="CSU119" s="386"/>
      <c r="CSV119" s="386"/>
      <c r="CSW119" s="386"/>
      <c r="CSX119" s="386"/>
      <c r="CSY119" s="386"/>
      <c r="CSZ119" s="386"/>
      <c r="CTA119" s="386"/>
      <c r="CTB119" s="386"/>
      <c r="CTC119" s="386"/>
      <c r="CTD119" s="386"/>
      <c r="CTE119" s="386"/>
      <c r="CTF119" s="386"/>
      <c r="CTG119" s="386"/>
      <c r="CTH119" s="386"/>
      <c r="CTI119" s="386"/>
      <c r="CTJ119" s="386"/>
      <c r="CTK119" s="386"/>
      <c r="CTL119" s="386"/>
      <c r="CTM119" s="386"/>
      <c r="CTN119" s="386"/>
      <c r="CTO119" s="386"/>
      <c r="CTP119" s="386"/>
      <c r="CTQ119" s="386"/>
      <c r="CTR119" s="386"/>
      <c r="CTS119" s="386"/>
      <c r="CTT119" s="386"/>
      <c r="CTU119" s="386"/>
      <c r="CTV119" s="386"/>
      <c r="CTW119" s="386"/>
      <c r="CTX119" s="386"/>
      <c r="CTY119" s="386"/>
      <c r="CTZ119" s="386"/>
      <c r="CUA119" s="386"/>
      <c r="CUB119" s="386"/>
      <c r="CUC119" s="386"/>
      <c r="CUD119" s="386"/>
      <c r="CUE119" s="386"/>
      <c r="CUF119" s="386"/>
      <c r="CUG119" s="386"/>
      <c r="CUH119" s="386"/>
      <c r="CUI119" s="386"/>
      <c r="CUJ119" s="386"/>
      <c r="CUK119" s="386"/>
      <c r="CUL119" s="386"/>
      <c r="CUM119" s="386"/>
      <c r="CUN119" s="386"/>
      <c r="CUO119" s="386"/>
      <c r="CUP119" s="386"/>
      <c r="CUQ119" s="386"/>
      <c r="CUR119" s="386"/>
      <c r="CUS119" s="386"/>
      <c r="CUT119" s="386"/>
      <c r="CUU119" s="386"/>
      <c r="CUV119" s="386"/>
      <c r="CUW119" s="386"/>
      <c r="CUX119" s="386"/>
      <c r="CUY119" s="386"/>
      <c r="CUZ119" s="386"/>
      <c r="CVA119" s="386"/>
      <c r="CVB119" s="386"/>
      <c r="CVC119" s="386"/>
      <c r="CVD119" s="386"/>
      <c r="CVE119" s="386"/>
      <c r="CVF119" s="386"/>
      <c r="CVG119" s="386"/>
      <c r="CVH119" s="386"/>
      <c r="CVI119" s="386"/>
      <c r="CVJ119" s="386"/>
      <c r="CVK119" s="386"/>
      <c r="CVL119" s="386"/>
      <c r="CVM119" s="386"/>
      <c r="CVN119" s="386"/>
      <c r="CVO119" s="386"/>
      <c r="CVP119" s="386"/>
      <c r="CVQ119" s="386"/>
      <c r="CVR119" s="386"/>
      <c r="CVS119" s="386"/>
      <c r="CVT119" s="386"/>
      <c r="CVU119" s="386"/>
      <c r="CVV119" s="386"/>
      <c r="CVW119" s="386"/>
      <c r="CVX119" s="386"/>
      <c r="CVY119" s="386"/>
      <c r="CVZ119" s="386"/>
      <c r="CWA119" s="386"/>
      <c r="CWB119" s="386"/>
      <c r="CWC119" s="386"/>
      <c r="CWD119" s="386"/>
      <c r="CWE119" s="386"/>
      <c r="CWF119" s="386"/>
      <c r="CWG119" s="386"/>
      <c r="CWH119" s="386"/>
      <c r="CWI119" s="386"/>
      <c r="CWJ119" s="386"/>
      <c r="CWK119" s="386"/>
      <c r="CWL119" s="386"/>
      <c r="CWM119" s="386"/>
      <c r="CWN119" s="386"/>
      <c r="CWO119" s="386"/>
      <c r="CWP119" s="386"/>
      <c r="CWQ119" s="386"/>
      <c r="CWR119" s="386"/>
      <c r="CWS119" s="386"/>
      <c r="CWT119" s="386"/>
      <c r="CWU119" s="386"/>
      <c r="CWV119" s="386"/>
      <c r="CWW119" s="386"/>
      <c r="CWX119" s="386"/>
      <c r="CWY119" s="386"/>
      <c r="CWZ119" s="386"/>
      <c r="CXA119" s="386"/>
      <c r="CXB119" s="386"/>
      <c r="CXC119" s="386"/>
      <c r="CXD119" s="386"/>
      <c r="CXE119" s="386"/>
      <c r="CXF119" s="386"/>
      <c r="CXG119" s="386"/>
      <c r="CXH119" s="386"/>
      <c r="CXI119" s="386"/>
      <c r="CXJ119" s="386"/>
      <c r="CXK119" s="386"/>
      <c r="CXL119" s="386"/>
      <c r="CXM119" s="386"/>
      <c r="CXN119" s="386"/>
      <c r="CXO119" s="386"/>
      <c r="CXP119" s="386"/>
      <c r="CXQ119" s="386"/>
      <c r="CXR119" s="386"/>
      <c r="CXS119" s="386"/>
      <c r="CXT119" s="386"/>
      <c r="CXU119" s="386"/>
      <c r="CXV119" s="386"/>
      <c r="CXW119" s="386"/>
      <c r="CXX119" s="386"/>
      <c r="CXY119" s="386"/>
      <c r="CXZ119" s="386"/>
      <c r="CYA119" s="386"/>
      <c r="CYB119" s="386"/>
      <c r="CYC119" s="386"/>
      <c r="CYD119" s="386"/>
      <c r="CYE119" s="386"/>
      <c r="CYF119" s="386"/>
      <c r="CYG119" s="386"/>
      <c r="CYH119" s="386"/>
      <c r="CYI119" s="386"/>
      <c r="CYJ119" s="386"/>
      <c r="CYK119" s="386"/>
      <c r="CYL119" s="386"/>
      <c r="CYM119" s="386"/>
      <c r="CYN119" s="386"/>
      <c r="CYO119" s="386"/>
      <c r="CYP119" s="386"/>
      <c r="CYQ119" s="386"/>
      <c r="CYR119" s="386"/>
      <c r="CYS119" s="386"/>
      <c r="CYT119" s="386"/>
      <c r="CYU119" s="386"/>
      <c r="CYV119" s="386"/>
      <c r="CYW119" s="386"/>
      <c r="CYX119" s="386"/>
      <c r="CYY119" s="386"/>
      <c r="CYZ119" s="386"/>
      <c r="CZA119" s="386"/>
      <c r="CZB119" s="386"/>
      <c r="CZC119" s="386"/>
      <c r="CZD119" s="386"/>
      <c r="CZE119" s="386"/>
      <c r="CZF119" s="386"/>
      <c r="CZG119" s="386"/>
      <c r="CZH119" s="386"/>
      <c r="CZI119" s="386"/>
      <c r="CZJ119" s="386"/>
      <c r="CZK119" s="386"/>
      <c r="CZL119" s="386"/>
      <c r="CZM119" s="386"/>
      <c r="CZN119" s="386"/>
      <c r="CZO119" s="386"/>
      <c r="CZP119" s="386"/>
      <c r="CZQ119" s="386"/>
      <c r="CZR119" s="386"/>
      <c r="CZS119" s="386"/>
      <c r="CZT119" s="386"/>
      <c r="CZU119" s="386"/>
      <c r="CZV119" s="386"/>
      <c r="CZW119" s="386"/>
      <c r="CZX119" s="386"/>
      <c r="CZY119" s="386"/>
      <c r="CZZ119" s="386"/>
      <c r="DAA119" s="386"/>
      <c r="DAB119" s="386"/>
      <c r="DAC119" s="386"/>
      <c r="DAD119" s="386"/>
      <c r="DAE119" s="386"/>
      <c r="DAF119" s="386"/>
      <c r="DAG119" s="386"/>
      <c r="DAH119" s="386"/>
      <c r="DAI119" s="386"/>
      <c r="DAJ119" s="386"/>
      <c r="DAK119" s="386"/>
      <c r="DAL119" s="386"/>
      <c r="DAM119" s="386"/>
      <c r="DAN119" s="386"/>
      <c r="DAO119" s="386"/>
      <c r="DAP119" s="386"/>
      <c r="DAQ119" s="386"/>
      <c r="DAR119" s="386"/>
      <c r="DAS119" s="386"/>
      <c r="DAT119" s="386"/>
      <c r="DAU119" s="386"/>
      <c r="DAV119" s="386"/>
      <c r="DAW119" s="386"/>
      <c r="DAX119" s="386"/>
      <c r="DAY119" s="386"/>
      <c r="DAZ119" s="386"/>
      <c r="DBA119" s="386"/>
      <c r="DBB119" s="386"/>
      <c r="DBC119" s="386"/>
      <c r="DBD119" s="386"/>
      <c r="DBE119" s="386"/>
      <c r="DBF119" s="386"/>
      <c r="DBG119" s="386"/>
      <c r="DBH119" s="386"/>
      <c r="DBI119" s="386"/>
      <c r="DBJ119" s="386"/>
      <c r="DBK119" s="386"/>
      <c r="DBL119" s="386"/>
      <c r="DBM119" s="386"/>
      <c r="DBN119" s="386"/>
      <c r="DBO119" s="386"/>
      <c r="DBP119" s="386"/>
      <c r="DBQ119" s="386"/>
      <c r="DBR119" s="386"/>
      <c r="DBS119" s="386"/>
      <c r="DBT119" s="386"/>
      <c r="DBU119" s="386"/>
      <c r="DBV119" s="386"/>
      <c r="DBW119" s="386"/>
      <c r="DBX119" s="386"/>
      <c r="DBY119" s="386"/>
      <c r="DBZ119" s="386"/>
      <c r="DCA119" s="386"/>
      <c r="DCB119" s="386"/>
      <c r="DCC119" s="386"/>
      <c r="DCD119" s="386"/>
      <c r="DCE119" s="386"/>
      <c r="DCF119" s="386"/>
      <c r="DCG119" s="386"/>
      <c r="DCH119" s="386"/>
      <c r="DCI119" s="386"/>
      <c r="DCJ119" s="386"/>
      <c r="DCK119" s="386"/>
      <c r="DCL119" s="386"/>
      <c r="DCM119" s="386"/>
      <c r="DCN119" s="386"/>
      <c r="DCO119" s="386"/>
      <c r="DCP119" s="386"/>
      <c r="DCQ119" s="386"/>
      <c r="DCR119" s="386"/>
      <c r="DCS119" s="386"/>
      <c r="DCT119" s="386"/>
      <c r="DCU119" s="386"/>
      <c r="DCV119" s="386"/>
      <c r="DCW119" s="386"/>
      <c r="DCX119" s="386"/>
      <c r="DCY119" s="386"/>
      <c r="DCZ119" s="386"/>
      <c r="DDA119" s="386"/>
      <c r="DDB119" s="386"/>
      <c r="DDC119" s="386"/>
      <c r="DDD119" s="386"/>
      <c r="DDE119" s="386"/>
      <c r="DDF119" s="386"/>
      <c r="DDG119" s="386"/>
      <c r="DDH119" s="386"/>
      <c r="DDI119" s="386"/>
      <c r="DDJ119" s="386"/>
      <c r="DDK119" s="386"/>
      <c r="DDL119" s="386"/>
      <c r="DDM119" s="386"/>
      <c r="DDN119" s="386"/>
      <c r="DDO119" s="386"/>
      <c r="DDP119" s="386"/>
      <c r="DDQ119" s="386"/>
      <c r="DDR119" s="386"/>
      <c r="DDS119" s="386"/>
      <c r="DDT119" s="386"/>
      <c r="DDU119" s="386"/>
      <c r="DDV119" s="386"/>
      <c r="DDW119" s="386"/>
      <c r="DDX119" s="386"/>
      <c r="DDY119" s="386"/>
      <c r="DDZ119" s="386"/>
      <c r="DEA119" s="386"/>
      <c r="DEB119" s="386"/>
      <c r="DEC119" s="386"/>
      <c r="DED119" s="386"/>
      <c r="DEE119" s="386"/>
      <c r="DEF119" s="386"/>
      <c r="DEG119" s="386"/>
      <c r="DEH119" s="386"/>
      <c r="DEI119" s="386"/>
      <c r="DEJ119" s="386"/>
      <c r="DEK119" s="386"/>
      <c r="DEL119" s="386"/>
      <c r="DEM119" s="386"/>
      <c r="DEN119" s="386"/>
      <c r="DEO119" s="386"/>
      <c r="DEP119" s="386"/>
      <c r="DEQ119" s="386"/>
      <c r="DER119" s="386"/>
      <c r="DES119" s="386"/>
      <c r="DET119" s="386"/>
      <c r="DEU119" s="386"/>
      <c r="DEV119" s="386"/>
      <c r="DEW119" s="386"/>
      <c r="DEX119" s="386"/>
      <c r="DEY119" s="386"/>
      <c r="DEZ119" s="386"/>
      <c r="DFA119" s="386"/>
      <c r="DFB119" s="386"/>
      <c r="DFC119" s="386"/>
      <c r="DFD119" s="386"/>
      <c r="DFE119" s="386"/>
      <c r="DFF119" s="386"/>
      <c r="DFG119" s="386"/>
      <c r="DFH119" s="386"/>
      <c r="DFI119" s="386"/>
      <c r="DFJ119" s="386"/>
      <c r="DFK119" s="386"/>
      <c r="DFL119" s="386"/>
      <c r="DFM119" s="386"/>
      <c r="DFN119" s="386"/>
      <c r="DFO119" s="386"/>
      <c r="DFP119" s="386"/>
      <c r="DFQ119" s="386"/>
      <c r="DFR119" s="386"/>
      <c r="DFS119" s="386"/>
      <c r="DFT119" s="386"/>
      <c r="DFU119" s="386"/>
      <c r="DFV119" s="386"/>
      <c r="DFW119" s="386"/>
      <c r="DFX119" s="386"/>
      <c r="DFY119" s="386"/>
      <c r="DFZ119" s="386"/>
      <c r="DGA119" s="386"/>
      <c r="DGB119" s="386"/>
      <c r="DGC119" s="386"/>
      <c r="DGD119" s="386"/>
      <c r="DGE119" s="386"/>
      <c r="DGF119" s="386"/>
      <c r="DGG119" s="386"/>
      <c r="DGH119" s="386"/>
      <c r="DGI119" s="386"/>
      <c r="DGJ119" s="386"/>
      <c r="DGK119" s="386"/>
      <c r="DGL119" s="386"/>
      <c r="DGM119" s="386"/>
      <c r="DGN119" s="386"/>
      <c r="DGO119" s="386"/>
      <c r="DGP119" s="386"/>
      <c r="DGQ119" s="386"/>
      <c r="DGR119" s="386"/>
      <c r="DGS119" s="386"/>
      <c r="DGT119" s="386"/>
      <c r="DGU119" s="386"/>
      <c r="DGV119" s="386"/>
      <c r="DGW119" s="386"/>
      <c r="DGX119" s="386"/>
      <c r="DGY119" s="386"/>
      <c r="DGZ119" s="386"/>
      <c r="DHA119" s="386"/>
      <c r="DHB119" s="386"/>
      <c r="DHC119" s="386"/>
      <c r="DHD119" s="386"/>
      <c r="DHE119" s="386"/>
      <c r="DHF119" s="386"/>
      <c r="DHG119" s="386"/>
      <c r="DHH119" s="386"/>
      <c r="DHI119" s="386"/>
      <c r="DHJ119" s="386"/>
      <c r="DHK119" s="386"/>
      <c r="DHL119" s="386"/>
      <c r="DHM119" s="386"/>
      <c r="DHN119" s="386"/>
      <c r="DHO119" s="386"/>
      <c r="DHP119" s="386"/>
      <c r="DHQ119" s="386"/>
      <c r="DHR119" s="386"/>
      <c r="DHS119" s="386"/>
      <c r="DHT119" s="386"/>
      <c r="DHU119" s="386"/>
      <c r="DHV119" s="386"/>
      <c r="DHW119" s="386"/>
      <c r="DHX119" s="386"/>
      <c r="DHY119" s="386"/>
      <c r="DHZ119" s="386"/>
      <c r="DIA119" s="386"/>
      <c r="DIB119" s="386"/>
      <c r="DIC119" s="386"/>
      <c r="DID119" s="386"/>
      <c r="DIE119" s="386"/>
      <c r="DIF119" s="386"/>
      <c r="DIG119" s="386"/>
      <c r="DIH119" s="386"/>
      <c r="DII119" s="386"/>
      <c r="DIJ119" s="386"/>
      <c r="DIK119" s="386"/>
      <c r="DIL119" s="386"/>
      <c r="DIM119" s="386"/>
      <c r="DIN119" s="386"/>
      <c r="DIO119" s="386"/>
      <c r="DIP119" s="386"/>
      <c r="DIQ119" s="386"/>
      <c r="DIR119" s="386"/>
      <c r="DIS119" s="386"/>
      <c r="DIT119" s="386"/>
      <c r="DIU119" s="386"/>
      <c r="DIV119" s="386"/>
      <c r="DIW119" s="386"/>
      <c r="DIX119" s="386"/>
      <c r="DIY119" s="386"/>
      <c r="DIZ119" s="386"/>
      <c r="DJA119" s="386"/>
      <c r="DJB119" s="386"/>
      <c r="DJC119" s="386"/>
      <c r="DJD119" s="386"/>
      <c r="DJE119" s="386"/>
      <c r="DJF119" s="386"/>
      <c r="DJG119" s="386"/>
      <c r="DJH119" s="386"/>
      <c r="DJI119" s="386"/>
      <c r="DJJ119" s="386"/>
      <c r="DJK119" s="386"/>
      <c r="DJL119" s="386"/>
      <c r="DJM119" s="386"/>
      <c r="DJN119" s="386"/>
      <c r="DJO119" s="386"/>
      <c r="DJP119" s="386"/>
      <c r="DJQ119" s="386"/>
      <c r="DJR119" s="386"/>
      <c r="DJS119" s="386"/>
      <c r="DJT119" s="386"/>
      <c r="DJU119" s="386"/>
      <c r="DJV119" s="386"/>
      <c r="DJW119" s="386"/>
      <c r="DJX119" s="386"/>
      <c r="DJY119" s="386"/>
      <c r="DJZ119" s="386"/>
      <c r="DKA119" s="386"/>
      <c r="DKB119" s="386"/>
      <c r="DKC119" s="386"/>
      <c r="DKD119" s="386"/>
      <c r="DKE119" s="386"/>
      <c r="DKF119" s="386"/>
      <c r="DKG119" s="386"/>
      <c r="DKH119" s="386"/>
      <c r="DKI119" s="386"/>
      <c r="DKJ119" s="386"/>
      <c r="DKK119" s="386"/>
      <c r="DKL119" s="386"/>
      <c r="DKM119" s="386"/>
      <c r="DKN119" s="386"/>
      <c r="DKO119" s="386"/>
      <c r="DKP119" s="386"/>
      <c r="DKQ119" s="386"/>
      <c r="DKR119" s="386"/>
      <c r="DKS119" s="386"/>
      <c r="DKT119" s="386"/>
      <c r="DKU119" s="386"/>
      <c r="DKV119" s="386"/>
      <c r="DKW119" s="386"/>
      <c r="DKX119" s="386"/>
      <c r="DKY119" s="386"/>
      <c r="DKZ119" s="386"/>
      <c r="DLA119" s="386"/>
      <c r="DLB119" s="386"/>
      <c r="DLC119" s="386"/>
      <c r="DLD119" s="386"/>
      <c r="DLE119" s="386"/>
      <c r="DLF119" s="386"/>
      <c r="DLG119" s="386"/>
      <c r="DLH119" s="386"/>
      <c r="DLI119" s="386"/>
      <c r="DLJ119" s="386"/>
      <c r="DLK119" s="386"/>
      <c r="DLL119" s="386"/>
      <c r="DLM119" s="386"/>
      <c r="DLN119" s="386"/>
      <c r="DLO119" s="386"/>
      <c r="DLP119" s="386"/>
      <c r="DLQ119" s="386"/>
      <c r="DLR119" s="386"/>
      <c r="DLS119" s="386"/>
      <c r="DLT119" s="386"/>
      <c r="DLU119" s="386"/>
      <c r="DLV119" s="386"/>
      <c r="DLW119" s="386"/>
      <c r="DLX119" s="386"/>
      <c r="DLY119" s="386"/>
      <c r="DLZ119" s="386"/>
      <c r="DMA119" s="386"/>
      <c r="DMB119" s="386"/>
      <c r="DMC119" s="386"/>
      <c r="DMD119" s="386"/>
      <c r="DME119" s="386"/>
      <c r="DMF119" s="386"/>
      <c r="DMG119" s="386"/>
      <c r="DMH119" s="386"/>
      <c r="DMI119" s="386"/>
      <c r="DMJ119" s="386"/>
      <c r="DMK119" s="386"/>
      <c r="DML119" s="386"/>
      <c r="DMM119" s="386"/>
      <c r="DMN119" s="386"/>
      <c r="DMO119" s="386"/>
      <c r="DMP119" s="386"/>
      <c r="DMQ119" s="386"/>
      <c r="DMR119" s="386"/>
      <c r="DMS119" s="386"/>
      <c r="DMT119" s="386"/>
      <c r="DMU119" s="386"/>
      <c r="DMV119" s="386"/>
      <c r="DMW119" s="386"/>
      <c r="DMX119" s="386"/>
      <c r="DMY119" s="386"/>
      <c r="DMZ119" s="386"/>
      <c r="DNA119" s="386"/>
      <c r="DNB119" s="386"/>
      <c r="DNC119" s="386"/>
      <c r="DND119" s="386"/>
      <c r="DNE119" s="386"/>
      <c r="DNF119" s="386"/>
      <c r="DNG119" s="386"/>
      <c r="DNH119" s="386"/>
      <c r="DNI119" s="386"/>
      <c r="DNJ119" s="386"/>
      <c r="DNK119" s="386"/>
      <c r="DNL119" s="386"/>
      <c r="DNM119" s="386"/>
      <c r="DNN119" s="386"/>
      <c r="DNO119" s="386"/>
      <c r="DNP119" s="386"/>
      <c r="DNQ119" s="386"/>
      <c r="DNR119" s="386"/>
      <c r="DNS119" s="386"/>
      <c r="DNT119" s="386"/>
      <c r="DNU119" s="386"/>
      <c r="DNV119" s="386"/>
      <c r="DNW119" s="386"/>
      <c r="DNX119" s="386"/>
      <c r="DNY119" s="386"/>
      <c r="DNZ119" s="386"/>
      <c r="DOA119" s="386"/>
      <c r="DOB119" s="386"/>
      <c r="DOC119" s="386"/>
      <c r="DOD119" s="386"/>
      <c r="DOE119" s="386"/>
      <c r="DOF119" s="386"/>
      <c r="DOG119" s="386"/>
      <c r="DOH119" s="386"/>
      <c r="DOI119" s="386"/>
      <c r="DOJ119" s="386"/>
      <c r="DOK119" s="386"/>
      <c r="DOL119" s="386"/>
      <c r="DOM119" s="386"/>
      <c r="DON119" s="386"/>
      <c r="DOO119" s="386"/>
      <c r="DOP119" s="386"/>
      <c r="DOQ119" s="386"/>
      <c r="DOR119" s="386"/>
      <c r="DOS119" s="386"/>
      <c r="DOT119" s="386"/>
      <c r="DOU119" s="386"/>
      <c r="DOV119" s="386"/>
      <c r="DOW119" s="386"/>
      <c r="DOX119" s="386"/>
      <c r="DOY119" s="386"/>
      <c r="DOZ119" s="386"/>
      <c r="DPA119" s="386"/>
      <c r="DPB119" s="386"/>
      <c r="DPC119" s="386"/>
      <c r="DPD119" s="386"/>
      <c r="DPE119" s="386"/>
      <c r="DPF119" s="386"/>
      <c r="DPG119" s="386"/>
      <c r="DPH119" s="386"/>
      <c r="DPI119" s="386"/>
      <c r="DPJ119" s="386"/>
      <c r="DPK119" s="386"/>
      <c r="DPL119" s="386"/>
      <c r="DPM119" s="386"/>
      <c r="DPN119" s="386"/>
      <c r="DPO119" s="386"/>
      <c r="DPP119" s="386"/>
      <c r="DPQ119" s="386"/>
      <c r="DPR119" s="386"/>
      <c r="DPS119" s="386"/>
      <c r="DPT119" s="386"/>
      <c r="DPU119" s="386"/>
      <c r="DPV119" s="386"/>
      <c r="DPW119" s="386"/>
      <c r="DPX119" s="386"/>
      <c r="DPY119" s="386"/>
      <c r="DPZ119" s="386"/>
      <c r="DQA119" s="386"/>
      <c r="DQB119" s="386"/>
      <c r="DQC119" s="386"/>
      <c r="DQD119" s="386"/>
      <c r="DQE119" s="386"/>
      <c r="DQF119" s="386"/>
      <c r="DQG119" s="386"/>
      <c r="DQH119" s="386"/>
      <c r="DQI119" s="386"/>
      <c r="DQJ119" s="386"/>
      <c r="DQK119" s="386"/>
      <c r="DQL119" s="386"/>
      <c r="DQM119" s="386"/>
      <c r="DQN119" s="386"/>
      <c r="DQO119" s="386"/>
      <c r="DQP119" s="386"/>
      <c r="DQQ119" s="386"/>
      <c r="DQR119" s="386"/>
      <c r="DQS119" s="386"/>
      <c r="DQT119" s="386"/>
      <c r="DQU119" s="386"/>
      <c r="DQV119" s="386"/>
      <c r="DQW119" s="386"/>
      <c r="DQX119" s="386"/>
      <c r="DQY119" s="386"/>
      <c r="DQZ119" s="386"/>
      <c r="DRA119" s="386"/>
      <c r="DRB119" s="386"/>
      <c r="DRC119" s="386"/>
      <c r="DRD119" s="386"/>
      <c r="DRE119" s="386"/>
      <c r="DRF119" s="386"/>
      <c r="DRG119" s="386"/>
      <c r="DRH119" s="386"/>
      <c r="DRI119" s="386"/>
      <c r="DRJ119" s="386"/>
      <c r="DRK119" s="386"/>
      <c r="DRL119" s="386"/>
      <c r="DRM119" s="386"/>
    </row>
    <row r="120" spans="1:3185" s="386" customFormat="1" ht="48" customHeight="1">
      <c r="A120" s="387"/>
      <c r="B120" s="388"/>
      <c r="C120" s="389"/>
      <c r="D120" s="390"/>
      <c r="E120" s="391"/>
      <c r="F120" s="421"/>
      <c r="G120" s="399"/>
      <c r="H120" s="392"/>
      <c r="I120" s="422"/>
      <c r="J120" s="394"/>
      <c r="K120" s="411"/>
      <c r="L120" s="350"/>
      <c r="M120" s="350"/>
      <c r="N120" s="350"/>
    </row>
    <row r="121" spans="1:3185" ht="43.4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3185" ht="30" customHeight="1">
      <c r="A122" s="387"/>
      <c r="B122" s="388"/>
      <c r="C122" s="389"/>
      <c r="D122" s="390"/>
      <c r="E122" s="391"/>
      <c r="F122" s="421"/>
      <c r="G122" s="399"/>
      <c r="H122" s="389"/>
      <c r="I122" s="422"/>
      <c r="J122" s="394"/>
      <c r="K122" s="411"/>
    </row>
    <row r="123" spans="1:3185" ht="30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3185" ht="30" customHeight="1">
      <c r="A124" s="387"/>
      <c r="B124" s="388"/>
      <c r="C124" s="389"/>
      <c r="D124" s="390"/>
      <c r="E124" s="391"/>
      <c r="F124" s="421"/>
      <c r="G124" s="396"/>
      <c r="H124" s="392"/>
      <c r="I124" s="422"/>
      <c r="J124" s="394"/>
      <c r="K124" s="411"/>
    </row>
    <row r="125" spans="1:3185" s="386" customFormat="1" ht="30" customHeight="1">
      <c r="A125" s="387"/>
      <c r="B125" s="388"/>
      <c r="C125" s="389"/>
      <c r="D125" s="390"/>
      <c r="E125" s="391"/>
      <c r="F125" s="421"/>
      <c r="G125" s="399"/>
      <c r="H125" s="392"/>
      <c r="I125" s="422"/>
      <c r="J125" s="397"/>
      <c r="K125" s="411"/>
      <c r="L125" s="406"/>
      <c r="M125" s="406"/>
      <c r="N125" s="406"/>
      <c r="O125" s="383"/>
      <c r="P125" s="383"/>
      <c r="Q125" s="383"/>
      <c r="R125" s="383"/>
      <c r="S125" s="383"/>
      <c r="T125" s="383"/>
      <c r="U125" s="383"/>
      <c r="V125" s="383"/>
      <c r="W125" s="383"/>
      <c r="X125" s="383"/>
      <c r="Y125" s="383"/>
      <c r="Z125" s="383"/>
      <c r="AA125" s="383"/>
      <c r="AB125" s="383"/>
      <c r="AC125" s="383"/>
      <c r="AD125" s="383"/>
      <c r="AE125" s="383"/>
      <c r="AF125" s="383"/>
      <c r="AG125" s="383"/>
      <c r="AH125" s="383"/>
      <c r="AI125" s="383"/>
      <c r="AJ125" s="383"/>
      <c r="AK125" s="383"/>
      <c r="AL125" s="383"/>
      <c r="AM125" s="383"/>
      <c r="AN125" s="383"/>
      <c r="AO125" s="383"/>
      <c r="AP125" s="383"/>
      <c r="AQ125" s="383"/>
      <c r="AR125" s="383"/>
      <c r="AS125" s="383"/>
      <c r="AT125" s="383"/>
      <c r="AU125" s="383"/>
      <c r="AV125" s="383"/>
      <c r="AW125" s="383"/>
      <c r="AX125" s="383"/>
      <c r="AY125" s="383"/>
      <c r="AZ125" s="383"/>
      <c r="BA125" s="383"/>
      <c r="BB125" s="383"/>
      <c r="BC125" s="383"/>
      <c r="BD125" s="383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83"/>
      <c r="BS125" s="383"/>
      <c r="BT125" s="383"/>
      <c r="BU125" s="383"/>
      <c r="BV125" s="383"/>
      <c r="BW125" s="383"/>
      <c r="BX125" s="383"/>
      <c r="BY125" s="383"/>
      <c r="BZ125" s="383"/>
      <c r="CA125" s="383"/>
      <c r="CB125" s="383"/>
      <c r="CC125" s="383"/>
      <c r="CD125" s="383"/>
      <c r="CE125" s="383"/>
      <c r="CF125" s="383"/>
      <c r="CG125" s="383"/>
      <c r="CH125" s="383"/>
      <c r="CI125" s="383"/>
      <c r="CJ125" s="383"/>
      <c r="CK125" s="383"/>
      <c r="CL125" s="383"/>
      <c r="CM125" s="383"/>
      <c r="CN125" s="383"/>
      <c r="CO125" s="383"/>
      <c r="CP125" s="383"/>
      <c r="CQ125" s="383"/>
      <c r="CR125" s="383"/>
      <c r="CS125" s="383"/>
      <c r="CT125" s="383"/>
      <c r="CU125" s="383"/>
      <c r="CV125" s="383"/>
      <c r="CW125" s="383"/>
      <c r="CX125" s="383"/>
      <c r="CY125" s="383"/>
      <c r="CZ125" s="383"/>
      <c r="DA125" s="383"/>
      <c r="DB125" s="383"/>
      <c r="DC125" s="383"/>
      <c r="DD125" s="383"/>
      <c r="DE125" s="383"/>
      <c r="DF125" s="383"/>
      <c r="DG125" s="383"/>
      <c r="DH125" s="383"/>
      <c r="DI125" s="383"/>
      <c r="DJ125" s="383"/>
      <c r="DK125" s="383"/>
      <c r="DL125" s="383"/>
      <c r="DM125" s="383"/>
      <c r="DN125" s="383"/>
      <c r="DO125" s="383"/>
      <c r="DP125" s="383"/>
      <c r="DQ125" s="383"/>
      <c r="DR125" s="383"/>
      <c r="DS125" s="383"/>
      <c r="DT125" s="383"/>
      <c r="DU125" s="383"/>
      <c r="DV125" s="383"/>
      <c r="DW125" s="383"/>
      <c r="DX125" s="383"/>
      <c r="DY125" s="383"/>
      <c r="DZ125" s="383"/>
      <c r="EA125" s="383"/>
      <c r="EB125" s="383"/>
      <c r="EC125" s="383"/>
      <c r="ED125" s="383"/>
      <c r="EE125" s="383"/>
      <c r="EF125" s="383"/>
      <c r="EG125" s="383"/>
      <c r="EH125" s="383"/>
      <c r="EI125" s="383"/>
      <c r="EJ125" s="383"/>
      <c r="EK125" s="383"/>
      <c r="EL125" s="383"/>
      <c r="EM125" s="383"/>
      <c r="EN125" s="383"/>
      <c r="EO125" s="383"/>
      <c r="EP125" s="383"/>
      <c r="EQ125" s="383"/>
      <c r="ER125" s="383"/>
      <c r="ES125" s="383"/>
      <c r="ET125" s="383"/>
      <c r="EU125" s="383"/>
      <c r="EV125" s="383"/>
      <c r="EW125" s="383"/>
      <c r="EX125" s="383"/>
      <c r="EY125" s="383"/>
      <c r="EZ125" s="383"/>
      <c r="FA125" s="383"/>
      <c r="FB125" s="383"/>
      <c r="FC125" s="383"/>
      <c r="FD125" s="383"/>
      <c r="FE125" s="383"/>
      <c r="FF125" s="383"/>
      <c r="FG125" s="383"/>
      <c r="FH125" s="383"/>
      <c r="FI125" s="383"/>
      <c r="FJ125" s="383"/>
      <c r="FK125" s="383"/>
      <c r="FL125" s="383"/>
      <c r="FM125" s="383"/>
      <c r="FN125" s="383"/>
      <c r="FO125" s="383"/>
      <c r="FP125" s="383"/>
      <c r="FQ125" s="383"/>
      <c r="FR125" s="383"/>
      <c r="FS125" s="383"/>
      <c r="FT125" s="383"/>
      <c r="FU125" s="383"/>
      <c r="FV125" s="383"/>
      <c r="FW125" s="383"/>
      <c r="FX125" s="383"/>
      <c r="FY125" s="383"/>
      <c r="FZ125" s="383"/>
      <c r="GA125" s="383"/>
      <c r="GB125" s="383"/>
      <c r="GC125" s="383"/>
      <c r="GD125" s="383"/>
      <c r="GE125" s="383"/>
      <c r="GF125" s="383"/>
      <c r="GG125" s="383"/>
      <c r="GH125" s="383"/>
      <c r="GI125" s="383"/>
      <c r="GJ125" s="383"/>
      <c r="GK125" s="383"/>
      <c r="GL125" s="383"/>
      <c r="GM125" s="383"/>
      <c r="GN125" s="383"/>
      <c r="GO125" s="383"/>
      <c r="GP125" s="383"/>
      <c r="GQ125" s="383"/>
      <c r="GR125" s="383"/>
      <c r="GS125" s="383"/>
      <c r="GT125" s="383"/>
      <c r="GU125" s="383"/>
      <c r="GV125" s="383"/>
      <c r="GW125" s="383"/>
      <c r="GX125" s="383"/>
      <c r="GY125" s="383"/>
      <c r="GZ125" s="383"/>
      <c r="HA125" s="383"/>
      <c r="HB125" s="383"/>
      <c r="HC125" s="383"/>
      <c r="HD125" s="383"/>
      <c r="HE125" s="383"/>
      <c r="HF125" s="383"/>
      <c r="HG125" s="383"/>
      <c r="HH125" s="383"/>
      <c r="HI125" s="383"/>
      <c r="HJ125" s="383"/>
      <c r="HK125" s="383"/>
      <c r="HL125" s="383"/>
      <c r="HM125" s="383"/>
      <c r="HN125" s="383"/>
      <c r="HO125" s="383"/>
      <c r="HP125" s="383"/>
      <c r="HQ125" s="383"/>
      <c r="HR125" s="383"/>
      <c r="HS125" s="383"/>
      <c r="HT125" s="383"/>
      <c r="HU125" s="383"/>
      <c r="HV125" s="383"/>
      <c r="HW125" s="383"/>
      <c r="HX125" s="383"/>
      <c r="HY125" s="383"/>
      <c r="HZ125" s="383"/>
      <c r="IA125" s="383"/>
      <c r="IB125" s="383"/>
      <c r="IC125" s="383"/>
      <c r="ID125" s="383"/>
      <c r="IE125" s="383"/>
      <c r="IF125" s="383"/>
      <c r="IG125" s="383"/>
      <c r="IH125" s="383"/>
      <c r="II125" s="383"/>
      <c r="IJ125" s="383"/>
      <c r="IK125" s="383"/>
      <c r="IL125" s="383"/>
      <c r="IM125" s="383"/>
      <c r="IN125" s="383"/>
      <c r="IO125" s="383"/>
      <c r="IP125" s="383"/>
      <c r="IQ125" s="383"/>
      <c r="IR125" s="383"/>
      <c r="IS125" s="383"/>
      <c r="IT125" s="383"/>
      <c r="IU125" s="383"/>
      <c r="IV125" s="383"/>
      <c r="IW125" s="383"/>
      <c r="IX125" s="383"/>
      <c r="IY125" s="383"/>
      <c r="IZ125" s="383"/>
      <c r="JA125" s="383"/>
      <c r="JB125" s="383"/>
      <c r="JC125" s="383"/>
      <c r="JD125" s="383"/>
      <c r="JE125" s="383"/>
      <c r="JF125" s="383"/>
      <c r="JG125" s="383"/>
      <c r="JH125" s="383"/>
      <c r="JI125" s="383"/>
      <c r="JJ125" s="383"/>
      <c r="JK125" s="383"/>
      <c r="JL125" s="383"/>
      <c r="JM125" s="383"/>
      <c r="JN125" s="383"/>
      <c r="JO125" s="383"/>
      <c r="JP125" s="383"/>
      <c r="JQ125" s="383"/>
      <c r="JR125" s="383"/>
      <c r="JS125" s="383"/>
      <c r="JT125" s="383"/>
      <c r="JU125" s="383"/>
      <c r="JV125" s="383"/>
      <c r="JW125" s="383"/>
      <c r="JX125" s="383"/>
      <c r="JY125" s="383"/>
      <c r="JZ125" s="383"/>
      <c r="KA125" s="383"/>
      <c r="KB125" s="383"/>
      <c r="KC125" s="383"/>
      <c r="KD125" s="383"/>
      <c r="KE125" s="383"/>
      <c r="KF125" s="383"/>
      <c r="KG125" s="383"/>
      <c r="KH125" s="383"/>
      <c r="KI125" s="383"/>
      <c r="KJ125" s="383"/>
      <c r="KK125" s="383"/>
      <c r="KL125" s="383"/>
      <c r="KM125" s="383"/>
      <c r="KN125" s="383"/>
      <c r="KO125" s="383"/>
      <c r="KP125" s="383"/>
      <c r="KQ125" s="383"/>
      <c r="KR125" s="383"/>
      <c r="KS125" s="383"/>
      <c r="KT125" s="383"/>
      <c r="KU125" s="383"/>
      <c r="KV125" s="383"/>
      <c r="KW125" s="383"/>
      <c r="KX125" s="383"/>
      <c r="KY125" s="383"/>
      <c r="KZ125" s="383"/>
      <c r="LA125" s="383"/>
      <c r="LB125" s="383"/>
      <c r="LC125" s="383"/>
      <c r="LD125" s="383"/>
      <c r="LE125" s="383"/>
      <c r="LF125" s="383"/>
      <c r="LG125" s="383"/>
      <c r="LH125" s="383"/>
      <c r="LI125" s="383"/>
      <c r="LJ125" s="383"/>
      <c r="LK125" s="383"/>
      <c r="LL125" s="383"/>
      <c r="LM125" s="383"/>
      <c r="LN125" s="383"/>
      <c r="LO125" s="383"/>
      <c r="LP125" s="383"/>
      <c r="LQ125" s="383"/>
      <c r="LR125" s="383"/>
      <c r="LS125" s="383"/>
      <c r="LT125" s="383"/>
      <c r="LU125" s="383"/>
      <c r="LV125" s="383"/>
      <c r="LW125" s="383"/>
      <c r="LX125" s="383"/>
      <c r="LY125" s="383"/>
      <c r="LZ125" s="383"/>
      <c r="MA125" s="383"/>
      <c r="MB125" s="383"/>
      <c r="MC125" s="383"/>
      <c r="MD125" s="383"/>
      <c r="ME125" s="383"/>
      <c r="MF125" s="383"/>
      <c r="MG125" s="383"/>
      <c r="MH125" s="383"/>
      <c r="MI125" s="383"/>
      <c r="MJ125" s="383"/>
      <c r="MK125" s="383"/>
      <c r="ML125" s="383"/>
      <c r="MM125" s="383"/>
      <c r="MN125" s="383"/>
      <c r="MO125" s="383"/>
      <c r="MP125" s="383"/>
      <c r="MQ125" s="383"/>
      <c r="MR125" s="383"/>
      <c r="MS125" s="383"/>
      <c r="MT125" s="383"/>
      <c r="MU125" s="383"/>
      <c r="MV125" s="383"/>
      <c r="MW125" s="383"/>
      <c r="MX125" s="383"/>
      <c r="MY125" s="383"/>
      <c r="MZ125" s="383"/>
      <c r="NA125" s="383"/>
      <c r="NB125" s="383"/>
      <c r="NC125" s="383"/>
      <c r="ND125" s="383"/>
      <c r="NE125" s="383"/>
      <c r="NF125" s="383"/>
      <c r="NG125" s="383"/>
      <c r="NH125" s="383"/>
      <c r="NI125" s="383"/>
      <c r="NJ125" s="383"/>
      <c r="NK125" s="383"/>
      <c r="NL125" s="383"/>
      <c r="NM125" s="383"/>
      <c r="NN125" s="383"/>
      <c r="NO125" s="383"/>
      <c r="NP125" s="383"/>
      <c r="NQ125" s="383"/>
      <c r="NR125" s="383"/>
      <c r="NS125" s="383"/>
      <c r="NT125" s="383"/>
      <c r="NU125" s="383"/>
      <c r="NV125" s="383"/>
      <c r="NW125" s="383"/>
      <c r="NX125" s="383"/>
      <c r="NY125" s="383"/>
      <c r="NZ125" s="383"/>
      <c r="OA125" s="383"/>
      <c r="OB125" s="383"/>
      <c r="OC125" s="383"/>
      <c r="OD125" s="383"/>
      <c r="OE125" s="383"/>
      <c r="OF125" s="383"/>
      <c r="OG125" s="383"/>
      <c r="OH125" s="383"/>
      <c r="OI125" s="383"/>
      <c r="OJ125" s="383"/>
      <c r="OK125" s="383"/>
      <c r="OL125" s="383"/>
      <c r="OM125" s="383"/>
      <c r="ON125" s="383"/>
      <c r="OO125" s="383"/>
      <c r="OP125" s="383"/>
      <c r="OQ125" s="383"/>
      <c r="OR125" s="383"/>
      <c r="OS125" s="383"/>
      <c r="OT125" s="383"/>
      <c r="OU125" s="383"/>
      <c r="OV125" s="383"/>
      <c r="OW125" s="383"/>
      <c r="OX125" s="383"/>
      <c r="OY125" s="383"/>
      <c r="OZ125" s="383"/>
      <c r="PA125" s="383"/>
      <c r="PB125" s="383"/>
      <c r="PC125" s="383"/>
      <c r="PD125" s="383"/>
      <c r="PE125" s="383"/>
      <c r="PF125" s="383"/>
      <c r="PG125" s="383"/>
      <c r="PH125" s="383"/>
      <c r="PI125" s="383"/>
      <c r="PJ125" s="383"/>
      <c r="PK125" s="383"/>
      <c r="PL125" s="383"/>
      <c r="PM125" s="383"/>
      <c r="PN125" s="383"/>
      <c r="PO125" s="383"/>
      <c r="PP125" s="383"/>
      <c r="PQ125" s="383"/>
      <c r="PR125" s="383"/>
      <c r="PS125" s="383"/>
      <c r="PT125" s="383"/>
      <c r="PU125" s="383"/>
      <c r="PV125" s="383"/>
      <c r="PW125" s="383"/>
      <c r="PX125" s="383"/>
      <c r="PY125" s="383"/>
      <c r="PZ125" s="383"/>
      <c r="QA125" s="383"/>
      <c r="QB125" s="383"/>
      <c r="QC125" s="383"/>
      <c r="QD125" s="383"/>
      <c r="QE125" s="383"/>
      <c r="QF125" s="383"/>
      <c r="QG125" s="383"/>
      <c r="QH125" s="383"/>
      <c r="QI125" s="383"/>
      <c r="QJ125" s="383"/>
      <c r="QK125" s="383"/>
      <c r="QL125" s="383"/>
      <c r="QM125" s="383"/>
      <c r="QN125" s="383"/>
      <c r="QO125" s="383"/>
      <c r="QP125" s="383"/>
      <c r="QQ125" s="383"/>
      <c r="QR125" s="383"/>
      <c r="QS125" s="383"/>
      <c r="QT125" s="383"/>
      <c r="QU125" s="383"/>
      <c r="QV125" s="383"/>
      <c r="QW125" s="383"/>
      <c r="QX125" s="383"/>
      <c r="QY125" s="383"/>
      <c r="QZ125" s="383"/>
      <c r="RA125" s="383"/>
      <c r="RB125" s="383"/>
      <c r="RC125" s="383"/>
      <c r="RD125" s="383"/>
      <c r="RE125" s="383"/>
      <c r="RF125" s="383"/>
      <c r="RG125" s="383"/>
      <c r="RH125" s="383"/>
      <c r="RI125" s="383"/>
      <c r="RJ125" s="383"/>
      <c r="RK125" s="383"/>
      <c r="RL125" s="383"/>
      <c r="RM125" s="383"/>
      <c r="RN125" s="383"/>
      <c r="RO125" s="383"/>
      <c r="RP125" s="383"/>
      <c r="RQ125" s="383"/>
      <c r="RR125" s="383"/>
      <c r="RS125" s="383"/>
      <c r="RT125" s="383"/>
      <c r="RU125" s="383"/>
      <c r="RV125" s="383"/>
      <c r="RW125" s="383"/>
      <c r="RX125" s="383"/>
      <c r="RY125" s="383"/>
      <c r="RZ125" s="383"/>
      <c r="SA125" s="383"/>
      <c r="SB125" s="383"/>
      <c r="SC125" s="383"/>
      <c r="SD125" s="383"/>
      <c r="SE125" s="383"/>
      <c r="SF125" s="383"/>
      <c r="SG125" s="383"/>
      <c r="SH125" s="383"/>
      <c r="SI125" s="383"/>
      <c r="SJ125" s="383"/>
      <c r="SK125" s="383"/>
      <c r="SL125" s="383"/>
      <c r="SM125" s="383"/>
      <c r="SN125" s="383"/>
      <c r="SO125" s="383"/>
      <c r="SP125" s="383"/>
      <c r="SQ125" s="383"/>
      <c r="SR125" s="383"/>
      <c r="SS125" s="383"/>
      <c r="ST125" s="383"/>
      <c r="SU125" s="383"/>
      <c r="SV125" s="383"/>
      <c r="SW125" s="383"/>
      <c r="SX125" s="383"/>
      <c r="SY125" s="383"/>
      <c r="SZ125" s="383"/>
      <c r="TA125" s="383"/>
      <c r="TB125" s="383"/>
      <c r="TC125" s="383"/>
      <c r="TD125" s="383"/>
      <c r="TE125" s="383"/>
      <c r="TF125" s="383"/>
      <c r="TG125" s="383"/>
      <c r="TH125" s="383"/>
      <c r="TI125" s="383"/>
      <c r="TJ125" s="383"/>
      <c r="TK125" s="383"/>
      <c r="TL125" s="383"/>
      <c r="TM125" s="383"/>
      <c r="TN125" s="383"/>
      <c r="TO125" s="383"/>
      <c r="TP125" s="383"/>
      <c r="TQ125" s="383"/>
      <c r="TR125" s="383"/>
      <c r="TS125" s="383"/>
      <c r="TT125" s="383"/>
      <c r="TU125" s="383"/>
      <c r="TV125" s="383"/>
      <c r="TW125" s="383"/>
      <c r="TX125" s="383"/>
      <c r="TY125" s="383"/>
      <c r="TZ125" s="383"/>
      <c r="UA125" s="383"/>
      <c r="UB125" s="383"/>
      <c r="UC125" s="383"/>
      <c r="UD125" s="383"/>
      <c r="UE125" s="383"/>
      <c r="UF125" s="383"/>
      <c r="UG125" s="383"/>
      <c r="UH125" s="383"/>
      <c r="UI125" s="383"/>
      <c r="UJ125" s="383"/>
      <c r="UK125" s="383"/>
      <c r="UL125" s="383"/>
      <c r="UM125" s="383"/>
      <c r="UN125" s="383"/>
      <c r="UO125" s="383"/>
      <c r="UP125" s="383"/>
      <c r="UQ125" s="383"/>
      <c r="UR125" s="383"/>
      <c r="US125" s="383"/>
      <c r="UT125" s="383"/>
      <c r="UU125" s="383"/>
      <c r="UV125" s="383"/>
      <c r="UW125" s="383"/>
      <c r="UX125" s="383"/>
      <c r="UY125" s="383"/>
      <c r="UZ125" s="383"/>
      <c r="VA125" s="383"/>
      <c r="VB125" s="383"/>
      <c r="VC125" s="383"/>
      <c r="VD125" s="383"/>
      <c r="VE125" s="383"/>
      <c r="VF125" s="383"/>
      <c r="VG125" s="383"/>
      <c r="VH125" s="383"/>
      <c r="VI125" s="383"/>
      <c r="VJ125" s="383"/>
      <c r="VK125" s="383"/>
      <c r="VL125" s="383"/>
      <c r="VM125" s="383"/>
      <c r="VN125" s="383"/>
      <c r="VO125" s="383"/>
      <c r="VP125" s="383"/>
      <c r="VQ125" s="383"/>
      <c r="VR125" s="383"/>
      <c r="VS125" s="383"/>
      <c r="VT125" s="383"/>
      <c r="VU125" s="383"/>
      <c r="VV125" s="383"/>
      <c r="VW125" s="383"/>
      <c r="VX125" s="383"/>
      <c r="VY125" s="383"/>
      <c r="VZ125" s="383"/>
      <c r="WA125" s="383"/>
      <c r="WB125" s="383"/>
      <c r="WC125" s="383"/>
      <c r="WD125" s="383"/>
      <c r="WE125" s="383"/>
      <c r="WF125" s="383"/>
      <c r="WG125" s="383"/>
      <c r="WH125" s="383"/>
      <c r="WI125" s="383"/>
      <c r="WJ125" s="383"/>
      <c r="WK125" s="383"/>
      <c r="WL125" s="383"/>
      <c r="WM125" s="383"/>
      <c r="WN125" s="383"/>
      <c r="WO125" s="383"/>
      <c r="WP125" s="383"/>
      <c r="WQ125" s="383"/>
      <c r="WR125" s="383"/>
      <c r="WS125" s="383"/>
      <c r="WT125" s="383"/>
      <c r="WU125" s="383"/>
      <c r="WV125" s="383"/>
      <c r="WW125" s="383"/>
      <c r="WX125" s="383"/>
      <c r="WY125" s="383"/>
      <c r="WZ125" s="383"/>
      <c r="XA125" s="383"/>
      <c r="XB125" s="383"/>
      <c r="XC125" s="383"/>
      <c r="XD125" s="383"/>
      <c r="XE125" s="383"/>
      <c r="XF125" s="383"/>
      <c r="XG125" s="383"/>
      <c r="XH125" s="383"/>
      <c r="XI125" s="383"/>
      <c r="XJ125" s="383"/>
      <c r="XK125" s="383"/>
      <c r="XL125" s="383"/>
      <c r="XM125" s="383"/>
      <c r="XN125" s="383"/>
      <c r="XO125" s="383"/>
      <c r="XP125" s="383"/>
      <c r="XQ125" s="383"/>
      <c r="XR125" s="383"/>
      <c r="XS125" s="383"/>
      <c r="XT125" s="383"/>
      <c r="XU125" s="383"/>
      <c r="XV125" s="383"/>
      <c r="XW125" s="383"/>
      <c r="XX125" s="383"/>
      <c r="XY125" s="383"/>
      <c r="XZ125" s="383"/>
      <c r="YA125" s="383"/>
      <c r="YB125" s="383"/>
      <c r="YC125" s="383"/>
      <c r="YD125" s="383"/>
      <c r="YE125" s="383"/>
      <c r="YF125" s="383"/>
      <c r="YG125" s="383"/>
      <c r="YH125" s="383"/>
      <c r="YI125" s="383"/>
      <c r="YJ125" s="383"/>
      <c r="YK125" s="383"/>
      <c r="YL125" s="383"/>
      <c r="YM125" s="383"/>
      <c r="YN125" s="383"/>
      <c r="YO125" s="383"/>
      <c r="YP125" s="383"/>
      <c r="YQ125" s="383"/>
      <c r="YR125" s="383"/>
      <c r="YS125" s="383"/>
      <c r="YT125" s="383"/>
      <c r="YU125" s="383"/>
      <c r="YV125" s="383"/>
      <c r="YW125" s="383"/>
      <c r="YX125" s="383"/>
      <c r="YY125" s="383"/>
      <c r="YZ125" s="383"/>
      <c r="ZA125" s="383"/>
      <c r="ZB125" s="383"/>
      <c r="ZC125" s="383"/>
      <c r="ZD125" s="383"/>
      <c r="ZE125" s="383"/>
      <c r="ZF125" s="383"/>
      <c r="ZG125" s="383"/>
      <c r="ZH125" s="383"/>
      <c r="ZI125" s="383"/>
      <c r="ZJ125" s="383"/>
      <c r="ZK125" s="383"/>
      <c r="ZL125" s="383"/>
      <c r="ZM125" s="383"/>
      <c r="ZN125" s="383"/>
      <c r="ZO125" s="383"/>
      <c r="ZP125" s="383"/>
      <c r="ZQ125" s="383"/>
      <c r="ZR125" s="383"/>
      <c r="ZS125" s="383"/>
      <c r="ZT125" s="383"/>
      <c r="ZU125" s="383"/>
      <c r="ZV125" s="383"/>
      <c r="ZW125" s="383"/>
      <c r="ZX125" s="383"/>
      <c r="ZY125" s="383"/>
      <c r="ZZ125" s="383"/>
      <c r="AAA125" s="383"/>
      <c r="AAB125" s="383"/>
      <c r="AAC125" s="383"/>
      <c r="AAD125" s="383"/>
      <c r="AAE125" s="383"/>
      <c r="AAF125" s="383"/>
      <c r="AAG125" s="383"/>
      <c r="AAH125" s="383"/>
      <c r="AAI125" s="383"/>
      <c r="AAJ125" s="383"/>
      <c r="AAK125" s="383"/>
      <c r="AAL125" s="383"/>
      <c r="AAM125" s="383"/>
      <c r="AAN125" s="383"/>
      <c r="AAO125" s="383"/>
      <c r="AAP125" s="383"/>
      <c r="AAQ125" s="383"/>
      <c r="AAR125" s="383"/>
      <c r="AAS125" s="383"/>
      <c r="AAT125" s="383"/>
      <c r="AAU125" s="383"/>
      <c r="AAV125" s="383"/>
      <c r="AAW125" s="383"/>
      <c r="AAX125" s="383"/>
      <c r="AAY125" s="383"/>
      <c r="AAZ125" s="383"/>
      <c r="ABA125" s="383"/>
      <c r="ABB125" s="383"/>
      <c r="ABC125" s="383"/>
      <c r="ABD125" s="383"/>
      <c r="ABE125" s="383"/>
      <c r="ABF125" s="383"/>
      <c r="ABG125" s="383"/>
      <c r="ABH125" s="383"/>
      <c r="ABI125" s="383"/>
      <c r="ABJ125" s="383"/>
      <c r="ABK125" s="383"/>
      <c r="ABL125" s="383"/>
      <c r="ABM125" s="383"/>
      <c r="ABN125" s="383"/>
      <c r="ABO125" s="383"/>
      <c r="ABP125" s="383"/>
      <c r="ABQ125" s="383"/>
      <c r="ABR125" s="383"/>
      <c r="ABS125" s="383"/>
      <c r="ABT125" s="383"/>
      <c r="ABU125" s="383"/>
      <c r="ABV125" s="383"/>
      <c r="ABW125" s="383"/>
      <c r="ABX125" s="383"/>
      <c r="ABY125" s="383"/>
      <c r="ABZ125" s="383"/>
      <c r="ACA125" s="383"/>
      <c r="ACB125" s="383"/>
      <c r="ACC125" s="383"/>
      <c r="ACD125" s="383"/>
      <c r="ACE125" s="383"/>
      <c r="ACF125" s="383"/>
      <c r="ACG125" s="383"/>
      <c r="ACH125" s="383"/>
      <c r="ACI125" s="383"/>
      <c r="ACJ125" s="383"/>
      <c r="ACK125" s="383"/>
      <c r="ACL125" s="383"/>
      <c r="ACM125" s="383"/>
      <c r="ACN125" s="383"/>
      <c r="ACO125" s="383"/>
      <c r="ACP125" s="383"/>
      <c r="ACQ125" s="383"/>
      <c r="ACR125" s="383"/>
      <c r="ACS125" s="383"/>
      <c r="ACT125" s="383"/>
      <c r="ACU125" s="383"/>
      <c r="ACV125" s="383"/>
      <c r="ACW125" s="383"/>
      <c r="ACX125" s="383"/>
      <c r="ACY125" s="383"/>
      <c r="ACZ125" s="383"/>
      <c r="ADA125" s="383"/>
      <c r="ADB125" s="383"/>
      <c r="ADC125" s="383"/>
      <c r="ADD125" s="383"/>
      <c r="ADE125" s="383"/>
      <c r="ADF125" s="383"/>
      <c r="ADG125" s="383"/>
      <c r="ADH125" s="383"/>
      <c r="ADI125" s="383"/>
      <c r="ADJ125" s="383"/>
      <c r="ADK125" s="383"/>
      <c r="ADL125" s="383"/>
      <c r="ADM125" s="383"/>
      <c r="ADN125" s="383"/>
      <c r="ADO125" s="383"/>
      <c r="ADP125" s="383"/>
      <c r="ADQ125" s="383"/>
      <c r="ADR125" s="383"/>
      <c r="ADS125" s="383"/>
      <c r="ADT125" s="383"/>
      <c r="ADU125" s="383"/>
      <c r="ADV125" s="383"/>
      <c r="ADW125" s="383"/>
      <c r="ADX125" s="383"/>
      <c r="ADY125" s="383"/>
      <c r="ADZ125" s="383"/>
      <c r="AEA125" s="383"/>
      <c r="AEB125" s="383"/>
      <c r="AEC125" s="383"/>
      <c r="AED125" s="383"/>
      <c r="AEE125" s="383"/>
      <c r="AEF125" s="383"/>
      <c r="AEG125" s="383"/>
      <c r="AEH125" s="383"/>
      <c r="AEI125" s="383"/>
      <c r="AEJ125" s="383"/>
      <c r="AEK125" s="383"/>
      <c r="AEL125" s="383"/>
      <c r="AEM125" s="383"/>
      <c r="AEN125" s="383"/>
      <c r="AEO125" s="383"/>
      <c r="AEP125" s="383"/>
      <c r="AEQ125" s="383"/>
      <c r="AER125" s="383"/>
      <c r="AES125" s="383"/>
      <c r="AET125" s="383"/>
      <c r="AEU125" s="383"/>
      <c r="AEV125" s="383"/>
      <c r="AEW125" s="383"/>
      <c r="AEX125" s="383"/>
      <c r="AEY125" s="383"/>
      <c r="AEZ125" s="383"/>
      <c r="AFA125" s="383"/>
      <c r="AFB125" s="383"/>
      <c r="AFC125" s="383"/>
      <c r="AFD125" s="383"/>
      <c r="AFE125" s="383"/>
      <c r="AFF125" s="383"/>
      <c r="AFG125" s="383"/>
      <c r="AFH125" s="383"/>
      <c r="AFI125" s="383"/>
      <c r="AFJ125" s="383"/>
      <c r="AFK125" s="383"/>
      <c r="AFL125" s="383"/>
      <c r="AFM125" s="383"/>
      <c r="AFN125" s="383"/>
      <c r="AFO125" s="383"/>
      <c r="AFP125" s="383"/>
      <c r="AFQ125" s="383"/>
      <c r="AFR125" s="383"/>
      <c r="AFS125" s="383"/>
      <c r="AFT125" s="383"/>
      <c r="AFU125" s="383"/>
      <c r="AFV125" s="383"/>
      <c r="AFW125" s="383"/>
      <c r="AFX125" s="383"/>
      <c r="AFY125" s="383"/>
      <c r="AFZ125" s="383"/>
      <c r="AGA125" s="383"/>
      <c r="AGB125" s="383"/>
      <c r="AGC125" s="383"/>
      <c r="AGD125" s="383"/>
      <c r="AGE125" s="383"/>
      <c r="AGF125" s="383"/>
      <c r="AGG125" s="383"/>
      <c r="AGH125" s="383"/>
      <c r="AGI125" s="383"/>
      <c r="AGJ125" s="383"/>
      <c r="AGK125" s="383"/>
      <c r="AGL125" s="383"/>
      <c r="AGM125" s="383"/>
      <c r="AGN125" s="383"/>
      <c r="AGO125" s="383"/>
      <c r="AGP125" s="383"/>
      <c r="AGQ125" s="383"/>
      <c r="AGR125" s="383"/>
      <c r="AGS125" s="383"/>
      <c r="AGT125" s="383"/>
      <c r="AGU125" s="383"/>
      <c r="AGV125" s="383"/>
      <c r="AGW125" s="383"/>
      <c r="AGX125" s="383"/>
      <c r="AGY125" s="383"/>
      <c r="AGZ125" s="383"/>
      <c r="AHA125" s="383"/>
      <c r="AHB125" s="383"/>
      <c r="AHC125" s="383"/>
      <c r="AHD125" s="383"/>
      <c r="AHE125" s="383"/>
      <c r="AHF125" s="383"/>
      <c r="AHG125" s="383"/>
      <c r="AHH125" s="383"/>
      <c r="AHI125" s="383"/>
      <c r="AHJ125" s="383"/>
      <c r="AHK125" s="383"/>
      <c r="AHL125" s="383"/>
      <c r="AHM125" s="383"/>
      <c r="AHN125" s="383"/>
      <c r="AHO125" s="383"/>
      <c r="AHP125" s="383"/>
      <c r="AHQ125" s="383"/>
      <c r="AHR125" s="383"/>
      <c r="AHS125" s="383"/>
      <c r="AHT125" s="383"/>
      <c r="AHU125" s="383"/>
      <c r="AHV125" s="383"/>
      <c r="AHW125" s="383"/>
      <c r="AHX125" s="383"/>
      <c r="AHY125" s="383"/>
      <c r="AHZ125" s="383"/>
      <c r="AIA125" s="383"/>
      <c r="AIB125" s="383"/>
      <c r="AIC125" s="383"/>
      <c r="AID125" s="383"/>
      <c r="AIE125" s="383"/>
      <c r="AIF125" s="383"/>
      <c r="AIG125" s="383"/>
      <c r="AIH125" s="383"/>
      <c r="AII125" s="383"/>
      <c r="AIJ125" s="383"/>
      <c r="AIK125" s="383"/>
      <c r="AIL125" s="383"/>
      <c r="AIM125" s="383"/>
      <c r="AIN125" s="383"/>
      <c r="AIO125" s="383"/>
      <c r="AIP125" s="383"/>
      <c r="AIQ125" s="383"/>
      <c r="AIR125" s="383"/>
      <c r="AIS125" s="383"/>
      <c r="AIT125" s="383"/>
      <c r="AIU125" s="383"/>
      <c r="AIV125" s="383"/>
      <c r="AIW125" s="383"/>
      <c r="AIX125" s="383"/>
      <c r="AIY125" s="383"/>
      <c r="AIZ125" s="383"/>
      <c r="AJA125" s="383"/>
      <c r="AJB125" s="383"/>
      <c r="AJC125" s="383"/>
      <c r="AJD125" s="383"/>
      <c r="AJE125" s="383"/>
      <c r="AJF125" s="383"/>
      <c r="AJG125" s="383"/>
      <c r="AJH125" s="383"/>
      <c r="AJI125" s="383"/>
      <c r="AJJ125" s="383"/>
      <c r="AJK125" s="383"/>
      <c r="AJL125" s="383"/>
      <c r="AJM125" s="383"/>
      <c r="AJN125" s="383"/>
      <c r="AJO125" s="383"/>
      <c r="AJP125" s="383"/>
      <c r="AJQ125" s="383"/>
      <c r="AJR125" s="383"/>
      <c r="AJS125" s="383"/>
      <c r="AJT125" s="383"/>
      <c r="AJU125" s="383"/>
      <c r="AJV125" s="383"/>
      <c r="AJW125" s="383"/>
      <c r="AJX125" s="383"/>
      <c r="AJY125" s="383"/>
      <c r="AJZ125" s="383"/>
      <c r="AKA125" s="383"/>
      <c r="AKB125" s="383"/>
      <c r="AKC125" s="383"/>
      <c r="AKD125" s="383"/>
      <c r="AKE125" s="383"/>
      <c r="AKF125" s="383"/>
      <c r="AKG125" s="383"/>
      <c r="AKH125" s="383"/>
      <c r="AKI125" s="383"/>
      <c r="AKJ125" s="383"/>
      <c r="AKK125" s="383"/>
      <c r="AKL125" s="383"/>
      <c r="AKM125" s="383"/>
      <c r="AKN125" s="383"/>
      <c r="AKO125" s="383"/>
      <c r="AKP125" s="383"/>
      <c r="AKQ125" s="383"/>
      <c r="AKR125" s="383"/>
      <c r="AKS125" s="383"/>
      <c r="AKT125" s="383"/>
      <c r="AKU125" s="383"/>
      <c r="AKV125" s="383"/>
      <c r="AKW125" s="383"/>
      <c r="AKX125" s="383"/>
      <c r="AKY125" s="383"/>
      <c r="AKZ125" s="383"/>
      <c r="ALA125" s="383"/>
      <c r="ALB125" s="383"/>
      <c r="ALC125" s="383"/>
      <c r="ALD125" s="383"/>
      <c r="ALE125" s="383"/>
      <c r="ALF125" s="383"/>
      <c r="ALG125" s="383"/>
      <c r="ALH125" s="383"/>
      <c r="ALI125" s="383"/>
      <c r="ALJ125" s="383"/>
      <c r="ALK125" s="383"/>
      <c r="ALL125" s="383"/>
      <c r="ALM125" s="383"/>
      <c r="ALN125" s="383"/>
      <c r="ALO125" s="383"/>
      <c r="ALP125" s="383"/>
      <c r="ALQ125" s="383"/>
      <c r="ALR125" s="383"/>
      <c r="ALS125" s="383"/>
      <c r="ALT125" s="383"/>
      <c r="ALU125" s="383"/>
      <c r="ALV125" s="383"/>
      <c r="ALW125" s="383"/>
      <c r="ALX125" s="383"/>
      <c r="ALY125" s="383"/>
      <c r="ALZ125" s="383"/>
      <c r="AMA125" s="383"/>
      <c r="AMB125" s="383"/>
      <c r="AMC125" s="383"/>
      <c r="AMD125" s="383"/>
      <c r="AME125" s="383"/>
      <c r="AMF125" s="383"/>
      <c r="AMG125" s="383"/>
      <c r="AMH125" s="383"/>
      <c r="AMI125" s="383"/>
      <c r="AMJ125" s="383"/>
      <c r="AMK125" s="383"/>
      <c r="AML125" s="383"/>
      <c r="AMM125" s="383"/>
      <c r="AMN125" s="383"/>
      <c r="AMO125" s="383"/>
      <c r="AMP125" s="383"/>
      <c r="AMQ125" s="383"/>
      <c r="AMR125" s="383"/>
      <c r="AMS125" s="383"/>
      <c r="AMT125" s="383"/>
      <c r="AMU125" s="383"/>
      <c r="AMV125" s="383"/>
      <c r="AMW125" s="383"/>
      <c r="AMX125" s="383"/>
      <c r="AMY125" s="383"/>
      <c r="AMZ125" s="383"/>
      <c r="ANA125" s="383"/>
      <c r="ANB125" s="383"/>
      <c r="ANC125" s="383"/>
      <c r="AND125" s="383"/>
      <c r="ANE125" s="383"/>
      <c r="ANF125" s="383"/>
      <c r="ANG125" s="383"/>
      <c r="ANH125" s="383"/>
      <c r="ANI125" s="383"/>
      <c r="ANJ125" s="383"/>
      <c r="ANK125" s="383"/>
      <c r="ANL125" s="383"/>
      <c r="ANM125" s="383"/>
      <c r="ANN125" s="383"/>
      <c r="ANO125" s="383"/>
      <c r="ANP125" s="383"/>
      <c r="ANQ125" s="383"/>
      <c r="ANR125" s="383"/>
      <c r="ANS125" s="383"/>
      <c r="ANT125" s="383"/>
      <c r="ANU125" s="383"/>
      <c r="ANV125" s="383"/>
      <c r="ANW125" s="383"/>
      <c r="ANX125" s="383"/>
      <c r="ANY125" s="383"/>
      <c r="ANZ125" s="383"/>
      <c r="AOA125" s="383"/>
      <c r="AOB125" s="383"/>
      <c r="AOC125" s="383"/>
      <c r="AOD125" s="383"/>
      <c r="AOE125" s="383"/>
      <c r="AOF125" s="383"/>
      <c r="AOG125" s="383"/>
      <c r="AOH125" s="383"/>
      <c r="AOI125" s="383"/>
      <c r="AOJ125" s="383"/>
      <c r="AOK125" s="383"/>
      <c r="AOL125" s="383"/>
      <c r="AOM125" s="383"/>
      <c r="AON125" s="383"/>
      <c r="AOO125" s="383"/>
      <c r="AOP125" s="383"/>
      <c r="AOQ125" s="383"/>
      <c r="AOR125" s="383"/>
      <c r="AOS125" s="383"/>
      <c r="AOT125" s="383"/>
      <c r="AOU125" s="383"/>
      <c r="AOV125" s="383"/>
      <c r="AOW125" s="383"/>
      <c r="AOX125" s="383"/>
      <c r="AOY125" s="383"/>
      <c r="AOZ125" s="383"/>
      <c r="APA125" s="383"/>
      <c r="APB125" s="383"/>
      <c r="APC125" s="383"/>
      <c r="APD125" s="383"/>
      <c r="APE125" s="383"/>
      <c r="APF125" s="383"/>
      <c r="APG125" s="383"/>
      <c r="APH125" s="383"/>
      <c r="API125" s="383"/>
      <c r="APJ125" s="383"/>
      <c r="APK125" s="383"/>
      <c r="APL125" s="383"/>
      <c r="APM125" s="383"/>
      <c r="APN125" s="383"/>
      <c r="APO125" s="383"/>
      <c r="APP125" s="383"/>
      <c r="APQ125" s="383"/>
      <c r="APR125" s="383"/>
      <c r="APS125" s="383"/>
      <c r="APT125" s="383"/>
      <c r="APU125" s="383"/>
      <c r="APV125" s="383"/>
      <c r="APW125" s="383"/>
      <c r="APX125" s="383"/>
      <c r="APY125" s="383"/>
      <c r="APZ125" s="383"/>
      <c r="AQA125" s="383"/>
      <c r="AQB125" s="383"/>
      <c r="AQC125" s="383"/>
      <c r="AQD125" s="383"/>
      <c r="AQE125" s="383"/>
      <c r="AQF125" s="383"/>
      <c r="AQG125" s="383"/>
      <c r="AQH125" s="383"/>
      <c r="AQI125" s="383"/>
      <c r="AQJ125" s="383"/>
      <c r="AQK125" s="383"/>
      <c r="AQL125" s="383"/>
      <c r="AQM125" s="383"/>
      <c r="AQN125" s="383"/>
      <c r="AQO125" s="383"/>
      <c r="AQP125" s="383"/>
      <c r="AQQ125" s="383"/>
      <c r="AQR125" s="383"/>
      <c r="AQS125" s="383"/>
      <c r="AQT125" s="383"/>
      <c r="AQU125" s="383"/>
      <c r="AQV125" s="383"/>
      <c r="AQW125" s="383"/>
      <c r="AQX125" s="383"/>
      <c r="AQY125" s="383"/>
      <c r="AQZ125" s="383"/>
      <c r="ARA125" s="383"/>
      <c r="ARB125" s="383"/>
      <c r="ARC125" s="383"/>
      <c r="ARD125" s="383"/>
      <c r="ARE125" s="383"/>
      <c r="ARF125" s="383"/>
      <c r="ARG125" s="383"/>
      <c r="ARH125" s="383"/>
      <c r="ARI125" s="383"/>
      <c r="ARJ125" s="383"/>
      <c r="ARK125" s="383"/>
      <c r="ARL125" s="383"/>
      <c r="ARM125" s="383"/>
      <c r="ARN125" s="383"/>
      <c r="ARO125" s="383"/>
      <c r="ARP125" s="383"/>
      <c r="ARQ125" s="383"/>
      <c r="ARR125" s="383"/>
      <c r="ARS125" s="383"/>
      <c r="ART125" s="383"/>
      <c r="ARU125" s="383"/>
      <c r="ARV125" s="383"/>
      <c r="ARW125" s="383"/>
      <c r="ARX125" s="383"/>
      <c r="ARY125" s="383"/>
      <c r="ARZ125" s="383"/>
      <c r="ASA125" s="383"/>
      <c r="ASB125" s="383"/>
      <c r="ASC125" s="383"/>
      <c r="ASD125" s="383"/>
      <c r="ASE125" s="383"/>
      <c r="ASF125" s="383"/>
      <c r="ASG125" s="383"/>
      <c r="ASH125" s="383"/>
      <c r="ASI125" s="383"/>
      <c r="ASJ125" s="383"/>
      <c r="ASK125" s="383"/>
      <c r="ASL125" s="383"/>
      <c r="ASM125" s="383"/>
      <c r="ASN125" s="383"/>
      <c r="ASO125" s="383"/>
      <c r="ASP125" s="383"/>
      <c r="ASQ125" s="383"/>
      <c r="ASR125" s="383"/>
      <c r="ASS125" s="383"/>
      <c r="AST125" s="383"/>
      <c r="ASU125" s="383"/>
      <c r="ASV125" s="383"/>
      <c r="ASW125" s="383"/>
      <c r="ASX125" s="383"/>
      <c r="ASY125" s="383"/>
      <c r="ASZ125" s="383"/>
      <c r="ATA125" s="383"/>
      <c r="ATB125" s="383"/>
      <c r="ATC125" s="383"/>
      <c r="ATD125" s="383"/>
      <c r="ATE125" s="383"/>
      <c r="ATF125" s="383"/>
      <c r="ATG125" s="383"/>
      <c r="ATH125" s="383"/>
      <c r="ATI125" s="383"/>
      <c r="ATJ125" s="383"/>
      <c r="ATK125" s="383"/>
      <c r="ATL125" s="383"/>
      <c r="ATM125" s="383"/>
      <c r="ATN125" s="383"/>
      <c r="ATO125" s="383"/>
      <c r="ATP125" s="383"/>
      <c r="ATQ125" s="383"/>
      <c r="ATR125" s="383"/>
      <c r="ATS125" s="383"/>
      <c r="ATT125" s="383"/>
      <c r="ATU125" s="383"/>
      <c r="ATV125" s="383"/>
      <c r="ATW125" s="383"/>
      <c r="ATX125" s="383"/>
      <c r="ATY125" s="383"/>
      <c r="ATZ125" s="383"/>
      <c r="AUA125" s="383"/>
      <c r="AUB125" s="383"/>
      <c r="AUC125" s="383"/>
      <c r="AUD125" s="383"/>
      <c r="AUE125" s="383"/>
      <c r="AUF125" s="383"/>
      <c r="AUG125" s="383"/>
      <c r="AUH125" s="383"/>
      <c r="AUI125" s="383"/>
      <c r="AUJ125" s="383"/>
      <c r="AUK125" s="383"/>
      <c r="AUL125" s="383"/>
      <c r="AUM125" s="383"/>
      <c r="AUN125" s="383"/>
      <c r="AUO125" s="383"/>
      <c r="AUP125" s="383"/>
      <c r="AUQ125" s="383"/>
      <c r="AUR125" s="383"/>
      <c r="AUS125" s="383"/>
      <c r="AUT125" s="383"/>
      <c r="AUU125" s="383"/>
      <c r="AUV125" s="383"/>
      <c r="AUW125" s="383"/>
      <c r="AUX125" s="383"/>
      <c r="AUY125" s="383"/>
      <c r="AUZ125" s="383"/>
      <c r="AVA125" s="383"/>
      <c r="AVB125" s="383"/>
      <c r="AVC125" s="383"/>
      <c r="AVD125" s="383"/>
      <c r="AVE125" s="383"/>
      <c r="AVF125" s="383"/>
      <c r="AVG125" s="383"/>
      <c r="AVH125" s="383"/>
      <c r="AVI125" s="383"/>
      <c r="AVJ125" s="383"/>
      <c r="AVK125" s="383"/>
      <c r="AVL125" s="383"/>
      <c r="AVM125" s="383"/>
      <c r="AVN125" s="383"/>
      <c r="AVO125" s="383"/>
      <c r="AVP125" s="383"/>
      <c r="AVQ125" s="383"/>
      <c r="AVR125" s="383"/>
      <c r="AVS125" s="383"/>
      <c r="AVT125" s="383"/>
      <c r="AVU125" s="383"/>
      <c r="AVV125" s="383"/>
      <c r="AVW125" s="383"/>
      <c r="AVX125" s="383"/>
      <c r="AVY125" s="383"/>
      <c r="AVZ125" s="383"/>
      <c r="AWA125" s="383"/>
      <c r="AWB125" s="383"/>
      <c r="AWC125" s="383"/>
      <c r="AWD125" s="383"/>
      <c r="AWE125" s="383"/>
      <c r="AWF125" s="383"/>
      <c r="AWG125" s="383"/>
      <c r="AWH125" s="383"/>
      <c r="AWI125" s="383"/>
      <c r="AWJ125" s="383"/>
      <c r="AWK125" s="383"/>
      <c r="AWL125" s="383"/>
      <c r="AWM125" s="383"/>
      <c r="AWN125" s="383"/>
      <c r="AWO125" s="383"/>
      <c r="AWP125" s="383"/>
      <c r="AWQ125" s="383"/>
      <c r="AWR125" s="383"/>
      <c r="AWS125" s="383"/>
      <c r="AWT125" s="383"/>
      <c r="AWU125" s="383"/>
      <c r="AWV125" s="383"/>
      <c r="AWW125" s="383"/>
      <c r="AWX125" s="383"/>
      <c r="AWY125" s="383"/>
      <c r="AWZ125" s="383"/>
      <c r="AXA125" s="383"/>
      <c r="AXB125" s="383"/>
      <c r="AXC125" s="383"/>
      <c r="AXD125" s="383"/>
      <c r="AXE125" s="383"/>
      <c r="AXF125" s="383"/>
      <c r="AXG125" s="383"/>
      <c r="AXH125" s="383"/>
      <c r="AXI125" s="383"/>
      <c r="AXJ125" s="383"/>
      <c r="AXK125" s="383"/>
      <c r="AXL125" s="383"/>
      <c r="AXM125" s="383"/>
      <c r="AXN125" s="383"/>
      <c r="AXO125" s="383"/>
      <c r="AXP125" s="383"/>
      <c r="AXQ125" s="383"/>
      <c r="AXR125" s="383"/>
      <c r="AXS125" s="383"/>
      <c r="AXT125" s="383"/>
      <c r="AXU125" s="383"/>
      <c r="AXV125" s="383"/>
      <c r="AXW125" s="383"/>
      <c r="AXX125" s="383"/>
      <c r="AXY125" s="383"/>
      <c r="AXZ125" s="383"/>
      <c r="AYA125" s="383"/>
      <c r="AYB125" s="383"/>
      <c r="AYC125" s="383"/>
      <c r="AYD125" s="383"/>
      <c r="AYE125" s="383"/>
      <c r="AYF125" s="383"/>
      <c r="AYG125" s="383"/>
      <c r="AYH125" s="383"/>
      <c r="AYI125" s="383"/>
      <c r="AYJ125" s="383"/>
      <c r="AYK125" s="383"/>
      <c r="AYL125" s="383"/>
      <c r="AYM125" s="383"/>
      <c r="AYN125" s="383"/>
      <c r="AYO125" s="383"/>
      <c r="AYP125" s="383"/>
      <c r="AYQ125" s="383"/>
      <c r="AYR125" s="383"/>
      <c r="AYS125" s="383"/>
      <c r="AYT125" s="383"/>
      <c r="AYU125" s="383"/>
      <c r="AYV125" s="383"/>
      <c r="AYW125" s="383"/>
      <c r="AYX125" s="383"/>
      <c r="AYY125" s="383"/>
      <c r="AYZ125" s="383"/>
      <c r="AZA125" s="383"/>
      <c r="AZB125" s="383"/>
      <c r="AZC125" s="383"/>
      <c r="AZD125" s="383"/>
      <c r="AZE125" s="383"/>
      <c r="AZF125" s="383"/>
      <c r="AZG125" s="383"/>
      <c r="AZH125" s="383"/>
      <c r="AZI125" s="383"/>
      <c r="AZJ125" s="383"/>
      <c r="AZK125" s="383"/>
      <c r="AZL125" s="383"/>
      <c r="AZM125" s="383"/>
      <c r="AZN125" s="383"/>
      <c r="AZO125" s="383"/>
      <c r="AZP125" s="383"/>
      <c r="AZQ125" s="383"/>
      <c r="AZR125" s="383"/>
      <c r="AZS125" s="383"/>
      <c r="AZT125" s="383"/>
      <c r="AZU125" s="383"/>
      <c r="AZV125" s="383"/>
      <c r="AZW125" s="383"/>
      <c r="AZX125" s="383"/>
      <c r="AZY125" s="383"/>
      <c r="AZZ125" s="383"/>
      <c r="BAA125" s="383"/>
      <c r="BAB125" s="383"/>
      <c r="BAC125" s="383"/>
      <c r="BAD125" s="383"/>
      <c r="BAE125" s="383"/>
      <c r="BAF125" s="383"/>
      <c r="BAG125" s="383"/>
      <c r="BAH125" s="383"/>
      <c r="BAI125" s="383"/>
      <c r="BAJ125" s="383"/>
      <c r="BAK125" s="383"/>
      <c r="BAL125" s="383"/>
      <c r="BAM125" s="383"/>
      <c r="BAN125" s="383"/>
      <c r="BAO125" s="383"/>
      <c r="BAP125" s="383"/>
      <c r="BAQ125" s="383"/>
      <c r="BAR125" s="383"/>
      <c r="BAS125" s="383"/>
      <c r="BAT125" s="383"/>
      <c r="BAU125" s="383"/>
      <c r="BAV125" s="383"/>
      <c r="BAW125" s="383"/>
      <c r="BAX125" s="383"/>
      <c r="BAY125" s="383"/>
      <c r="BAZ125" s="383"/>
      <c r="BBA125" s="383"/>
      <c r="BBB125" s="383"/>
      <c r="BBC125" s="383"/>
      <c r="BBD125" s="383"/>
      <c r="BBE125" s="383"/>
      <c r="BBF125" s="383"/>
      <c r="BBG125" s="383"/>
      <c r="BBH125" s="383"/>
      <c r="BBI125" s="383"/>
      <c r="BBJ125" s="383"/>
      <c r="BBK125" s="383"/>
      <c r="BBL125" s="383"/>
      <c r="BBM125" s="383"/>
      <c r="BBN125" s="383"/>
      <c r="BBO125" s="383"/>
      <c r="BBP125" s="383"/>
      <c r="BBQ125" s="383"/>
      <c r="BBR125" s="383"/>
      <c r="BBS125" s="383"/>
      <c r="BBT125" s="383"/>
      <c r="BBU125" s="383"/>
      <c r="BBV125" s="383"/>
      <c r="BBW125" s="383"/>
      <c r="BBX125" s="383"/>
      <c r="BBY125" s="383"/>
      <c r="BBZ125" s="383"/>
      <c r="BCA125" s="383"/>
      <c r="BCB125" s="383"/>
      <c r="BCC125" s="383"/>
      <c r="BCD125" s="383"/>
      <c r="BCE125" s="383"/>
      <c r="BCF125" s="383"/>
      <c r="BCG125" s="383"/>
      <c r="BCH125" s="383"/>
      <c r="BCI125" s="383"/>
      <c r="BCJ125" s="383"/>
      <c r="BCK125" s="383"/>
      <c r="BCL125" s="383"/>
      <c r="BCM125" s="383"/>
      <c r="BCN125" s="383"/>
      <c r="BCO125" s="383"/>
      <c r="BCP125" s="383"/>
      <c r="BCQ125" s="383"/>
      <c r="BCR125" s="383"/>
      <c r="BCS125" s="383"/>
      <c r="BCT125" s="383"/>
      <c r="BCU125" s="383"/>
      <c r="BCV125" s="383"/>
      <c r="BCW125" s="383"/>
      <c r="BCX125" s="383"/>
      <c r="BCY125" s="383"/>
      <c r="BCZ125" s="383"/>
      <c r="BDA125" s="383"/>
      <c r="BDB125" s="383"/>
      <c r="BDC125" s="383"/>
      <c r="BDD125" s="383"/>
      <c r="BDE125" s="383"/>
      <c r="BDF125" s="383"/>
      <c r="BDG125" s="383"/>
      <c r="BDH125" s="383"/>
      <c r="BDI125" s="383"/>
      <c r="BDJ125" s="383"/>
      <c r="BDK125" s="383"/>
      <c r="BDL125" s="383"/>
      <c r="BDM125" s="383"/>
      <c r="BDN125" s="383"/>
      <c r="BDO125" s="383"/>
      <c r="BDP125" s="383"/>
      <c r="BDQ125" s="383"/>
      <c r="BDR125" s="383"/>
      <c r="BDS125" s="383"/>
      <c r="BDT125" s="383"/>
      <c r="BDU125" s="383"/>
      <c r="BDV125" s="383"/>
      <c r="BDW125" s="383"/>
      <c r="BDX125" s="383"/>
      <c r="BDY125" s="383"/>
      <c r="BDZ125" s="383"/>
      <c r="BEA125" s="383"/>
      <c r="BEB125" s="383"/>
      <c r="BEC125" s="383"/>
      <c r="BED125" s="383"/>
      <c r="BEE125" s="383"/>
      <c r="BEF125" s="383"/>
      <c r="BEG125" s="383"/>
      <c r="BEH125" s="383"/>
      <c r="BEI125" s="383"/>
      <c r="BEJ125" s="383"/>
      <c r="BEK125" s="383"/>
      <c r="BEL125" s="383"/>
      <c r="BEM125" s="383"/>
      <c r="BEN125" s="383"/>
      <c r="BEO125" s="383"/>
      <c r="BEP125" s="383"/>
      <c r="BEQ125" s="383"/>
      <c r="BER125" s="383"/>
      <c r="BES125" s="383"/>
      <c r="BET125" s="383"/>
      <c r="BEU125" s="383"/>
      <c r="BEV125" s="383"/>
      <c r="BEW125" s="383"/>
      <c r="BEX125" s="383"/>
      <c r="BEY125" s="383"/>
      <c r="BEZ125" s="383"/>
      <c r="BFA125" s="383"/>
      <c r="BFB125" s="383"/>
      <c r="BFC125" s="383"/>
      <c r="BFD125" s="383"/>
      <c r="BFE125" s="383"/>
      <c r="BFF125" s="383"/>
      <c r="BFG125" s="383"/>
      <c r="BFH125" s="383"/>
      <c r="BFI125" s="383"/>
      <c r="BFJ125" s="383"/>
      <c r="BFK125" s="383"/>
      <c r="BFL125" s="383"/>
      <c r="BFM125" s="383"/>
      <c r="BFN125" s="383"/>
      <c r="BFO125" s="383"/>
      <c r="BFP125" s="383"/>
      <c r="BFQ125" s="383"/>
      <c r="BFR125" s="383"/>
      <c r="BFS125" s="383"/>
      <c r="BFT125" s="383"/>
      <c r="BFU125" s="383"/>
      <c r="BFV125" s="383"/>
      <c r="BFW125" s="383"/>
      <c r="BFX125" s="383"/>
      <c r="BFY125" s="383"/>
      <c r="BFZ125" s="383"/>
      <c r="BGA125" s="383"/>
      <c r="BGB125" s="383"/>
      <c r="BGC125" s="383"/>
      <c r="BGD125" s="383"/>
      <c r="BGE125" s="383"/>
      <c r="BGF125" s="383"/>
      <c r="BGG125" s="383"/>
      <c r="BGH125" s="383"/>
      <c r="BGI125" s="383"/>
      <c r="BGJ125" s="383"/>
      <c r="BGK125" s="383"/>
      <c r="BGL125" s="383"/>
      <c r="BGM125" s="383"/>
      <c r="BGN125" s="383"/>
      <c r="BGO125" s="383"/>
      <c r="BGP125" s="383"/>
      <c r="BGQ125" s="383"/>
      <c r="BGR125" s="383"/>
      <c r="BGS125" s="383"/>
      <c r="BGT125" s="383"/>
      <c r="BGU125" s="383"/>
      <c r="BGV125" s="383"/>
      <c r="BGW125" s="383"/>
      <c r="BGX125" s="383"/>
      <c r="BGY125" s="383"/>
      <c r="BGZ125" s="383"/>
      <c r="BHA125" s="383"/>
      <c r="BHB125" s="383"/>
      <c r="BHC125" s="383"/>
      <c r="BHD125" s="383"/>
      <c r="BHE125" s="383"/>
      <c r="BHF125" s="383"/>
      <c r="BHG125" s="383"/>
      <c r="BHH125" s="383"/>
      <c r="BHI125" s="383"/>
      <c r="BHJ125" s="383"/>
      <c r="BHK125" s="383"/>
      <c r="BHL125" s="383"/>
      <c r="BHM125" s="383"/>
      <c r="BHN125" s="383"/>
      <c r="BHO125" s="383"/>
      <c r="BHP125" s="383"/>
      <c r="BHQ125" s="383"/>
      <c r="BHR125" s="383"/>
      <c r="BHS125" s="383"/>
      <c r="BHT125" s="383"/>
      <c r="BHU125" s="383"/>
      <c r="BHV125" s="383"/>
      <c r="BHW125" s="383"/>
      <c r="BHX125" s="383"/>
      <c r="BHY125" s="383"/>
      <c r="BHZ125" s="383"/>
      <c r="BIA125" s="383"/>
      <c r="BIB125" s="383"/>
      <c r="BIC125" s="383"/>
      <c r="BID125" s="383"/>
      <c r="BIE125" s="383"/>
      <c r="BIF125" s="383"/>
      <c r="BIG125" s="383"/>
      <c r="BIH125" s="383"/>
      <c r="BII125" s="383"/>
      <c r="BIJ125" s="383"/>
      <c r="BIK125" s="383"/>
      <c r="BIL125" s="383"/>
      <c r="BIM125" s="383"/>
      <c r="BIN125" s="383"/>
      <c r="BIO125" s="383"/>
      <c r="BIP125" s="383"/>
      <c r="BIQ125" s="383"/>
      <c r="BIR125" s="383"/>
      <c r="BIS125" s="383"/>
      <c r="BIT125" s="383"/>
      <c r="BIU125" s="383"/>
      <c r="BIV125" s="383"/>
      <c r="BIW125" s="383"/>
      <c r="BIX125" s="383"/>
      <c r="BIY125" s="383"/>
      <c r="BIZ125" s="383"/>
      <c r="BJA125" s="383"/>
      <c r="BJB125" s="383"/>
      <c r="BJC125" s="383"/>
      <c r="BJD125" s="383"/>
      <c r="BJE125" s="383"/>
      <c r="BJF125" s="383"/>
      <c r="BJG125" s="383"/>
      <c r="BJH125" s="383"/>
      <c r="BJI125" s="383"/>
      <c r="BJJ125" s="383"/>
      <c r="BJK125" s="383"/>
      <c r="BJL125" s="383"/>
      <c r="BJM125" s="383"/>
      <c r="BJN125" s="383"/>
      <c r="BJO125" s="383"/>
      <c r="BJP125" s="383"/>
      <c r="BJQ125" s="383"/>
      <c r="BJR125" s="383"/>
      <c r="BJS125" s="383"/>
      <c r="BJT125" s="383"/>
      <c r="BJU125" s="383"/>
      <c r="BJV125" s="383"/>
      <c r="BJW125" s="383"/>
      <c r="BJX125" s="383"/>
      <c r="BJY125" s="383"/>
      <c r="BJZ125" s="383"/>
      <c r="BKA125" s="383"/>
      <c r="BKB125" s="383"/>
      <c r="BKC125" s="383"/>
      <c r="BKD125" s="383"/>
      <c r="BKE125" s="383"/>
      <c r="BKF125" s="383"/>
      <c r="BKG125" s="383"/>
      <c r="BKH125" s="383"/>
      <c r="BKI125" s="383"/>
      <c r="BKJ125" s="383"/>
      <c r="BKK125" s="383"/>
      <c r="BKL125" s="383"/>
      <c r="BKM125" s="383"/>
      <c r="BKN125" s="383"/>
      <c r="BKO125" s="383"/>
      <c r="BKP125" s="383"/>
      <c r="BKQ125" s="383"/>
      <c r="BKR125" s="383"/>
      <c r="BKS125" s="383"/>
      <c r="BKT125" s="383"/>
      <c r="BKU125" s="383"/>
      <c r="BKV125" s="383"/>
      <c r="BKW125" s="383"/>
      <c r="BKX125" s="383"/>
      <c r="BKY125" s="383"/>
      <c r="BKZ125" s="383"/>
      <c r="BLA125" s="383"/>
      <c r="BLB125" s="383"/>
      <c r="BLC125" s="383"/>
      <c r="BLD125" s="383"/>
      <c r="BLE125" s="383"/>
      <c r="BLF125" s="383"/>
      <c r="BLG125" s="383"/>
      <c r="BLH125" s="383"/>
      <c r="BLI125" s="383"/>
      <c r="BLJ125" s="383"/>
      <c r="BLK125" s="383"/>
      <c r="BLL125" s="383"/>
      <c r="BLM125" s="383"/>
      <c r="BLN125" s="383"/>
      <c r="BLO125" s="383"/>
      <c r="BLP125" s="383"/>
      <c r="BLQ125" s="383"/>
      <c r="BLR125" s="383"/>
      <c r="BLS125" s="383"/>
      <c r="BLT125" s="383"/>
      <c r="BLU125" s="383"/>
      <c r="BLV125" s="383"/>
      <c r="BLW125" s="383"/>
      <c r="BLX125" s="383"/>
      <c r="BLY125" s="383"/>
      <c r="BLZ125" s="383"/>
      <c r="BMA125" s="383"/>
      <c r="BMB125" s="383"/>
      <c r="BMC125" s="383"/>
      <c r="BMD125" s="383"/>
      <c r="BME125" s="383"/>
      <c r="BMF125" s="383"/>
      <c r="BMG125" s="383"/>
      <c r="BMH125" s="383"/>
      <c r="BMI125" s="383"/>
      <c r="BMJ125" s="383"/>
      <c r="BMK125" s="383"/>
      <c r="BML125" s="383"/>
      <c r="BMM125" s="383"/>
      <c r="BMN125" s="383"/>
      <c r="BMO125" s="383"/>
      <c r="BMP125" s="383"/>
      <c r="BMQ125" s="383"/>
      <c r="BMR125" s="383"/>
      <c r="BMS125" s="383"/>
      <c r="BMT125" s="383"/>
      <c r="BMU125" s="383"/>
      <c r="BMV125" s="383"/>
      <c r="BMW125" s="383"/>
      <c r="BMX125" s="383"/>
      <c r="BMY125" s="383"/>
      <c r="BMZ125" s="383"/>
      <c r="BNA125" s="383"/>
      <c r="BNB125" s="383"/>
      <c r="BNC125" s="383"/>
      <c r="BND125" s="383"/>
      <c r="BNE125" s="383"/>
      <c r="BNF125" s="383"/>
      <c r="BNG125" s="383"/>
      <c r="BNH125" s="383"/>
      <c r="BNI125" s="383"/>
      <c r="BNJ125" s="383"/>
      <c r="BNK125" s="383"/>
      <c r="BNL125" s="383"/>
      <c r="BNM125" s="383"/>
      <c r="BNN125" s="383"/>
      <c r="BNO125" s="383"/>
      <c r="BNP125" s="383"/>
      <c r="BNQ125" s="383"/>
      <c r="BNR125" s="383"/>
      <c r="BNS125" s="383"/>
      <c r="BNT125" s="383"/>
      <c r="BNU125" s="383"/>
      <c r="BNV125" s="383"/>
      <c r="BNW125" s="383"/>
      <c r="BNX125" s="383"/>
      <c r="BNY125" s="383"/>
      <c r="BNZ125" s="383"/>
      <c r="BOA125" s="383"/>
      <c r="BOB125" s="383"/>
      <c r="BOC125" s="383"/>
      <c r="BOD125" s="383"/>
      <c r="BOE125" s="383"/>
      <c r="BOF125" s="383"/>
      <c r="BOG125" s="383"/>
      <c r="BOH125" s="383"/>
      <c r="BOI125" s="383"/>
      <c r="BOJ125" s="383"/>
      <c r="BOK125" s="383"/>
      <c r="BOL125" s="383"/>
      <c r="BOM125" s="383"/>
      <c r="BON125" s="383"/>
      <c r="BOO125" s="383"/>
      <c r="BOP125" s="383"/>
      <c r="BOQ125" s="383"/>
      <c r="BOR125" s="383"/>
      <c r="BOS125" s="383"/>
      <c r="BOT125" s="383"/>
      <c r="BOU125" s="383"/>
      <c r="BOV125" s="383"/>
      <c r="BOW125" s="383"/>
      <c r="BOX125" s="383"/>
      <c r="BOY125" s="383"/>
      <c r="BOZ125" s="383"/>
      <c r="BPA125" s="383"/>
      <c r="BPB125" s="383"/>
      <c r="BPC125" s="383"/>
      <c r="BPD125" s="383"/>
      <c r="BPE125" s="383"/>
      <c r="BPF125" s="383"/>
      <c r="BPG125" s="383"/>
      <c r="BPH125" s="383"/>
      <c r="BPI125" s="383"/>
      <c r="BPJ125" s="383"/>
      <c r="BPK125" s="383"/>
      <c r="BPL125" s="383"/>
      <c r="BPM125" s="383"/>
      <c r="BPN125" s="383"/>
      <c r="BPO125" s="383"/>
      <c r="BPP125" s="383"/>
      <c r="BPQ125" s="383"/>
      <c r="BPR125" s="383"/>
      <c r="BPS125" s="383"/>
      <c r="BPT125" s="383"/>
      <c r="BPU125" s="383"/>
      <c r="BPV125" s="383"/>
      <c r="BPW125" s="383"/>
      <c r="BPX125" s="383"/>
      <c r="BPY125" s="383"/>
      <c r="BPZ125" s="383"/>
      <c r="BQA125" s="383"/>
      <c r="BQB125" s="383"/>
      <c r="BQC125" s="383"/>
      <c r="BQD125" s="383"/>
      <c r="BQE125" s="383"/>
      <c r="BQF125" s="383"/>
      <c r="BQG125" s="383"/>
      <c r="BQH125" s="383"/>
      <c r="BQI125" s="383"/>
      <c r="BQJ125" s="383"/>
      <c r="BQK125" s="383"/>
      <c r="BQL125" s="383"/>
      <c r="BQM125" s="383"/>
      <c r="BQN125" s="383"/>
      <c r="BQO125" s="383"/>
      <c r="BQP125" s="383"/>
      <c r="BQQ125" s="383"/>
      <c r="BQR125" s="383"/>
      <c r="BQS125" s="383"/>
      <c r="BQT125" s="383"/>
      <c r="BQU125" s="383"/>
      <c r="BQV125" s="383"/>
      <c r="BQW125" s="383"/>
      <c r="BQX125" s="383"/>
      <c r="BQY125" s="383"/>
      <c r="BQZ125" s="383"/>
      <c r="BRA125" s="383"/>
      <c r="BRB125" s="383"/>
      <c r="BRC125" s="383"/>
      <c r="BRD125" s="383"/>
      <c r="BRE125" s="383"/>
      <c r="BRF125" s="383"/>
      <c r="BRG125" s="383"/>
      <c r="BRH125" s="383"/>
      <c r="BRI125" s="383"/>
      <c r="BRJ125" s="383"/>
      <c r="BRK125" s="383"/>
      <c r="BRL125" s="383"/>
      <c r="BRM125" s="383"/>
      <c r="BRN125" s="383"/>
      <c r="BRO125" s="383"/>
      <c r="BRP125" s="383"/>
      <c r="BRQ125" s="383"/>
      <c r="BRR125" s="383"/>
      <c r="BRS125" s="383"/>
      <c r="BRT125" s="383"/>
      <c r="BRU125" s="383"/>
      <c r="BRV125" s="383"/>
      <c r="BRW125" s="383"/>
      <c r="BRX125" s="383"/>
      <c r="BRY125" s="383"/>
      <c r="BRZ125" s="383"/>
      <c r="BSA125" s="383"/>
      <c r="BSB125" s="383"/>
      <c r="BSC125" s="383"/>
      <c r="BSD125" s="383"/>
      <c r="BSE125" s="383"/>
      <c r="BSF125" s="383"/>
      <c r="BSG125" s="383"/>
      <c r="BSH125" s="383"/>
      <c r="BSI125" s="383"/>
      <c r="BSJ125" s="383"/>
      <c r="BSK125" s="383"/>
      <c r="BSL125" s="383"/>
      <c r="BSM125" s="383"/>
      <c r="BSN125" s="383"/>
      <c r="BSO125" s="383"/>
      <c r="BSP125" s="383"/>
      <c r="BSQ125" s="383"/>
      <c r="BSR125" s="383"/>
      <c r="BSS125" s="383"/>
      <c r="BST125" s="383"/>
      <c r="BSU125" s="383"/>
      <c r="BSV125" s="383"/>
      <c r="BSW125" s="383"/>
      <c r="BSX125" s="383"/>
      <c r="BSY125" s="383"/>
      <c r="BSZ125" s="383"/>
      <c r="BTA125" s="383"/>
      <c r="BTB125" s="383"/>
      <c r="BTC125" s="383"/>
      <c r="BTD125" s="383"/>
      <c r="BTE125" s="383"/>
      <c r="BTF125" s="383"/>
      <c r="BTG125" s="383"/>
      <c r="BTH125" s="383"/>
      <c r="BTI125" s="383"/>
      <c r="BTJ125" s="383"/>
      <c r="BTK125" s="383"/>
      <c r="BTL125" s="383"/>
      <c r="BTM125" s="383"/>
      <c r="BTN125" s="383"/>
      <c r="BTO125" s="383"/>
      <c r="BTP125" s="383"/>
      <c r="BTQ125" s="383"/>
      <c r="BTR125" s="383"/>
      <c r="BTS125" s="383"/>
      <c r="BTT125" s="383"/>
      <c r="BTU125" s="383"/>
      <c r="BTV125" s="383"/>
      <c r="BTW125" s="383"/>
      <c r="BTX125" s="383"/>
      <c r="BTY125" s="383"/>
      <c r="BTZ125" s="383"/>
      <c r="BUA125" s="383"/>
      <c r="BUB125" s="383"/>
      <c r="BUC125" s="383"/>
      <c r="BUD125" s="383"/>
      <c r="BUE125" s="383"/>
      <c r="BUF125" s="383"/>
      <c r="BUG125" s="383"/>
      <c r="BUH125" s="383"/>
      <c r="BUI125" s="383"/>
      <c r="BUJ125" s="383"/>
      <c r="BUK125" s="383"/>
      <c r="BUL125" s="383"/>
      <c r="BUM125" s="383"/>
      <c r="BUN125" s="383"/>
      <c r="BUO125" s="383"/>
      <c r="BUP125" s="383"/>
      <c r="BUQ125" s="383"/>
      <c r="BUR125" s="383"/>
      <c r="BUS125" s="383"/>
      <c r="BUT125" s="383"/>
      <c r="BUU125" s="383"/>
      <c r="BUV125" s="383"/>
      <c r="BUW125" s="383"/>
      <c r="BUX125" s="383"/>
      <c r="BUY125" s="383"/>
      <c r="BUZ125" s="383"/>
      <c r="BVA125" s="383"/>
      <c r="BVB125" s="383"/>
      <c r="BVC125" s="383"/>
      <c r="BVD125" s="383"/>
      <c r="BVE125" s="383"/>
      <c r="BVF125" s="383"/>
      <c r="BVG125" s="383"/>
      <c r="BVH125" s="383"/>
      <c r="BVI125" s="383"/>
      <c r="BVJ125" s="383"/>
      <c r="BVK125" s="383"/>
      <c r="BVL125" s="383"/>
      <c r="BVM125" s="383"/>
      <c r="BVN125" s="383"/>
      <c r="BVO125" s="383"/>
      <c r="BVP125" s="383"/>
      <c r="BVQ125" s="383"/>
      <c r="BVR125" s="383"/>
      <c r="BVS125" s="383"/>
      <c r="BVT125" s="383"/>
      <c r="BVU125" s="383"/>
      <c r="BVV125" s="383"/>
      <c r="BVW125" s="383"/>
      <c r="BVX125" s="383"/>
      <c r="BVY125" s="383"/>
      <c r="BVZ125" s="383"/>
      <c r="BWA125" s="383"/>
      <c r="BWB125" s="383"/>
      <c r="BWC125" s="383"/>
      <c r="BWD125" s="383"/>
      <c r="BWE125" s="383"/>
      <c r="BWF125" s="383"/>
      <c r="BWG125" s="383"/>
      <c r="BWH125" s="383"/>
      <c r="BWI125" s="383"/>
      <c r="BWJ125" s="383"/>
      <c r="BWK125" s="383"/>
      <c r="BWL125" s="383"/>
      <c r="BWM125" s="383"/>
      <c r="BWN125" s="383"/>
      <c r="BWO125" s="383"/>
      <c r="BWP125" s="383"/>
      <c r="BWQ125" s="383"/>
      <c r="BWR125" s="383"/>
      <c r="BWS125" s="383"/>
      <c r="BWT125" s="383"/>
      <c r="BWU125" s="383"/>
      <c r="BWV125" s="383"/>
      <c r="BWW125" s="383"/>
      <c r="BWX125" s="383"/>
      <c r="BWY125" s="383"/>
      <c r="BWZ125" s="383"/>
      <c r="BXA125" s="383"/>
      <c r="BXB125" s="383"/>
      <c r="BXC125" s="383"/>
      <c r="BXD125" s="383"/>
      <c r="BXE125" s="383"/>
      <c r="BXF125" s="383"/>
      <c r="BXG125" s="383"/>
      <c r="BXH125" s="383"/>
      <c r="BXI125" s="383"/>
      <c r="BXJ125" s="383"/>
      <c r="BXK125" s="383"/>
      <c r="BXL125" s="383"/>
      <c r="BXM125" s="383"/>
      <c r="BXN125" s="383"/>
      <c r="BXO125" s="383"/>
      <c r="BXP125" s="383"/>
      <c r="BXQ125" s="383"/>
      <c r="BXR125" s="383"/>
      <c r="BXS125" s="383"/>
      <c r="BXT125" s="383"/>
      <c r="BXU125" s="383"/>
      <c r="BXV125" s="383"/>
      <c r="BXW125" s="383"/>
      <c r="BXX125" s="383"/>
      <c r="BXY125" s="383"/>
      <c r="BXZ125" s="383"/>
      <c r="BYA125" s="383"/>
      <c r="BYB125" s="383"/>
      <c r="BYC125" s="383"/>
      <c r="BYD125" s="383"/>
      <c r="BYE125" s="383"/>
      <c r="BYF125" s="383"/>
      <c r="BYG125" s="383"/>
      <c r="BYH125" s="383"/>
      <c r="BYI125" s="383"/>
      <c r="BYJ125" s="383"/>
      <c r="BYK125" s="383"/>
      <c r="BYL125" s="383"/>
      <c r="BYM125" s="383"/>
      <c r="BYN125" s="383"/>
      <c r="BYO125" s="383"/>
      <c r="BYP125" s="383"/>
      <c r="BYQ125" s="383"/>
      <c r="BYR125" s="383"/>
      <c r="BYS125" s="383"/>
      <c r="BYT125" s="383"/>
      <c r="BYU125" s="383"/>
      <c r="BYV125" s="383"/>
      <c r="BYW125" s="383"/>
      <c r="BYX125" s="383"/>
      <c r="BYY125" s="383"/>
      <c r="BYZ125" s="383"/>
      <c r="BZA125" s="383"/>
      <c r="BZB125" s="383"/>
      <c r="BZC125" s="383"/>
      <c r="BZD125" s="383"/>
      <c r="BZE125" s="383"/>
      <c r="BZF125" s="383"/>
      <c r="BZG125" s="383"/>
      <c r="BZH125" s="383"/>
      <c r="BZI125" s="383"/>
      <c r="BZJ125" s="383"/>
      <c r="BZK125" s="383"/>
      <c r="BZL125" s="383"/>
      <c r="BZM125" s="383"/>
      <c r="BZN125" s="383"/>
      <c r="BZO125" s="383"/>
      <c r="BZP125" s="383"/>
      <c r="BZQ125" s="383"/>
      <c r="BZR125" s="383"/>
      <c r="BZS125" s="383"/>
      <c r="BZT125" s="383"/>
      <c r="BZU125" s="383"/>
      <c r="BZV125" s="383"/>
      <c r="BZW125" s="383"/>
      <c r="BZX125" s="383"/>
      <c r="BZY125" s="383"/>
      <c r="BZZ125" s="383"/>
      <c r="CAA125" s="383"/>
      <c r="CAB125" s="383"/>
      <c r="CAC125" s="383"/>
      <c r="CAD125" s="383"/>
      <c r="CAE125" s="383"/>
      <c r="CAF125" s="383"/>
      <c r="CAG125" s="383"/>
      <c r="CAH125" s="383"/>
      <c r="CAI125" s="383"/>
      <c r="CAJ125" s="383"/>
      <c r="CAK125" s="383"/>
      <c r="CAL125" s="383"/>
      <c r="CAM125" s="383"/>
      <c r="CAN125" s="383"/>
      <c r="CAO125" s="383"/>
      <c r="CAP125" s="383"/>
      <c r="CAQ125" s="383"/>
      <c r="CAR125" s="383"/>
      <c r="CAS125" s="383"/>
      <c r="CAT125" s="383"/>
      <c r="CAU125" s="383"/>
      <c r="CAV125" s="383"/>
      <c r="CAW125" s="383"/>
      <c r="CAX125" s="383"/>
      <c r="CAY125" s="383"/>
      <c r="CAZ125" s="383"/>
      <c r="CBA125" s="383"/>
      <c r="CBB125" s="383"/>
      <c r="CBC125" s="383"/>
      <c r="CBD125" s="383"/>
      <c r="CBE125" s="383"/>
      <c r="CBF125" s="383"/>
      <c r="CBG125" s="383"/>
      <c r="CBH125" s="383"/>
      <c r="CBI125" s="383"/>
      <c r="CBJ125" s="383"/>
      <c r="CBK125" s="383"/>
      <c r="CBL125" s="383"/>
      <c r="CBM125" s="383"/>
      <c r="CBN125" s="383"/>
      <c r="CBO125" s="383"/>
      <c r="CBP125" s="383"/>
      <c r="CBQ125" s="383"/>
      <c r="CBR125" s="383"/>
      <c r="CBS125" s="383"/>
      <c r="CBT125" s="383"/>
      <c r="CBU125" s="383"/>
      <c r="CBV125" s="383"/>
      <c r="CBW125" s="383"/>
      <c r="CBX125" s="383"/>
      <c r="CBY125" s="383"/>
      <c r="CBZ125" s="383"/>
      <c r="CCA125" s="383"/>
      <c r="CCB125" s="383"/>
      <c r="CCC125" s="383"/>
      <c r="CCD125" s="383"/>
      <c r="CCE125" s="383"/>
      <c r="CCF125" s="383"/>
      <c r="CCG125" s="383"/>
      <c r="CCH125" s="383"/>
      <c r="CCI125" s="383"/>
      <c r="CCJ125" s="383"/>
      <c r="CCK125" s="383"/>
      <c r="CCL125" s="383"/>
      <c r="CCM125" s="383"/>
      <c r="CCN125" s="383"/>
      <c r="CCO125" s="383"/>
      <c r="CCP125" s="383"/>
      <c r="CCQ125" s="383"/>
      <c r="CCR125" s="383"/>
      <c r="CCS125" s="383"/>
      <c r="CCT125" s="383"/>
      <c r="CCU125" s="383"/>
      <c r="CCV125" s="383"/>
      <c r="CCW125" s="383"/>
      <c r="CCX125" s="383"/>
      <c r="CCY125" s="383"/>
      <c r="CCZ125" s="383"/>
      <c r="CDA125" s="383"/>
      <c r="CDB125" s="383"/>
      <c r="CDC125" s="383"/>
      <c r="CDD125" s="383"/>
      <c r="CDE125" s="383"/>
      <c r="CDF125" s="383"/>
      <c r="CDG125" s="383"/>
      <c r="CDH125" s="383"/>
      <c r="CDI125" s="383"/>
      <c r="CDJ125" s="383"/>
      <c r="CDK125" s="383"/>
      <c r="CDL125" s="383"/>
      <c r="CDM125" s="383"/>
      <c r="CDN125" s="383"/>
      <c r="CDO125" s="383"/>
      <c r="CDP125" s="383"/>
      <c r="CDQ125" s="383"/>
      <c r="CDR125" s="383"/>
      <c r="CDS125" s="383"/>
      <c r="CDT125" s="383"/>
      <c r="CDU125" s="383"/>
      <c r="CDV125" s="383"/>
      <c r="CDW125" s="383"/>
      <c r="CDX125" s="383"/>
      <c r="CDY125" s="383"/>
      <c r="CDZ125" s="383"/>
      <c r="CEA125" s="383"/>
      <c r="CEB125" s="383"/>
      <c r="CEC125" s="383"/>
      <c r="CED125" s="383"/>
      <c r="CEE125" s="383"/>
      <c r="CEF125" s="383"/>
      <c r="CEG125" s="383"/>
      <c r="CEH125" s="383"/>
      <c r="CEI125" s="383"/>
      <c r="CEJ125" s="383"/>
      <c r="CEK125" s="383"/>
      <c r="CEL125" s="383"/>
      <c r="CEM125" s="383"/>
      <c r="CEN125" s="383"/>
      <c r="CEO125" s="383"/>
      <c r="CEP125" s="383"/>
      <c r="CEQ125" s="383"/>
      <c r="CER125" s="383"/>
      <c r="CES125" s="383"/>
      <c r="CET125" s="383"/>
      <c r="CEU125" s="383"/>
      <c r="CEV125" s="383"/>
      <c r="CEW125" s="383"/>
      <c r="CEX125" s="383"/>
      <c r="CEY125" s="383"/>
      <c r="CEZ125" s="383"/>
      <c r="CFA125" s="383"/>
      <c r="CFB125" s="383"/>
      <c r="CFC125" s="383"/>
      <c r="CFD125" s="383"/>
      <c r="CFE125" s="383"/>
      <c r="CFF125" s="383"/>
      <c r="CFG125" s="383"/>
      <c r="CFH125" s="383"/>
      <c r="CFI125" s="383"/>
      <c r="CFJ125" s="383"/>
      <c r="CFK125" s="383"/>
      <c r="CFL125" s="383"/>
      <c r="CFM125" s="383"/>
      <c r="CFN125" s="383"/>
      <c r="CFO125" s="383"/>
      <c r="CFP125" s="383"/>
      <c r="CFQ125" s="383"/>
      <c r="CFR125" s="383"/>
      <c r="CFS125" s="383"/>
      <c r="CFT125" s="383"/>
      <c r="CFU125" s="383"/>
      <c r="CFV125" s="383"/>
      <c r="CFW125" s="383"/>
      <c r="CFX125" s="383"/>
      <c r="CFY125" s="383"/>
      <c r="CFZ125" s="383"/>
      <c r="CGA125" s="383"/>
      <c r="CGB125" s="383"/>
      <c r="CGC125" s="383"/>
      <c r="CGD125" s="383"/>
      <c r="CGE125" s="383"/>
      <c r="CGF125" s="383"/>
      <c r="CGG125" s="383"/>
      <c r="CGH125" s="383"/>
      <c r="CGI125" s="383"/>
      <c r="CGJ125" s="383"/>
      <c r="CGK125" s="383"/>
      <c r="CGL125" s="383"/>
      <c r="CGM125" s="383"/>
      <c r="CGN125" s="383"/>
      <c r="CGO125" s="383"/>
      <c r="CGP125" s="383"/>
      <c r="CGQ125" s="383"/>
      <c r="CGR125" s="383"/>
      <c r="CGS125" s="383"/>
      <c r="CGT125" s="383"/>
      <c r="CGU125" s="383"/>
      <c r="CGV125" s="383"/>
      <c r="CGW125" s="383"/>
      <c r="CGX125" s="383"/>
      <c r="CGY125" s="383"/>
      <c r="CGZ125" s="383"/>
      <c r="CHA125" s="383"/>
      <c r="CHB125" s="383"/>
      <c r="CHC125" s="383"/>
      <c r="CHD125" s="383"/>
      <c r="CHE125" s="383"/>
      <c r="CHF125" s="383"/>
      <c r="CHG125" s="383"/>
      <c r="CHH125" s="383"/>
      <c r="CHI125" s="383"/>
      <c r="CHJ125" s="383"/>
      <c r="CHK125" s="383"/>
      <c r="CHL125" s="383"/>
      <c r="CHM125" s="383"/>
      <c r="CHN125" s="383"/>
      <c r="CHO125" s="383"/>
      <c r="CHP125" s="383"/>
      <c r="CHQ125" s="383"/>
      <c r="CHR125" s="383"/>
      <c r="CHS125" s="383"/>
      <c r="CHT125" s="383"/>
      <c r="CHU125" s="383"/>
      <c r="CHV125" s="383"/>
      <c r="CHW125" s="383"/>
      <c r="CHX125" s="383"/>
      <c r="CHY125" s="383"/>
      <c r="CHZ125" s="383"/>
      <c r="CIA125" s="383"/>
      <c r="CIB125" s="383"/>
      <c r="CIC125" s="383"/>
      <c r="CID125" s="383"/>
      <c r="CIE125" s="383"/>
      <c r="CIF125" s="383"/>
      <c r="CIG125" s="383"/>
      <c r="CIH125" s="383"/>
      <c r="CII125" s="383"/>
      <c r="CIJ125" s="383"/>
      <c r="CIK125" s="383"/>
      <c r="CIL125" s="383"/>
      <c r="CIM125" s="383"/>
      <c r="CIN125" s="383"/>
      <c r="CIO125" s="383"/>
      <c r="CIP125" s="383"/>
      <c r="CIQ125" s="383"/>
      <c r="CIR125" s="383"/>
      <c r="CIS125" s="383"/>
      <c r="CIT125" s="383"/>
      <c r="CIU125" s="383"/>
      <c r="CIV125" s="383"/>
      <c r="CIW125" s="383"/>
      <c r="CIX125" s="383"/>
      <c r="CIY125" s="383"/>
      <c r="CIZ125" s="383"/>
      <c r="CJA125" s="383"/>
      <c r="CJB125" s="383"/>
      <c r="CJC125" s="383"/>
      <c r="CJD125" s="383"/>
      <c r="CJE125" s="383"/>
      <c r="CJF125" s="383"/>
      <c r="CJG125" s="383"/>
      <c r="CJH125" s="383"/>
      <c r="CJI125" s="383"/>
      <c r="CJJ125" s="383"/>
      <c r="CJK125" s="383"/>
      <c r="CJL125" s="383"/>
      <c r="CJM125" s="383"/>
      <c r="CJN125" s="383"/>
      <c r="CJO125" s="383"/>
      <c r="CJP125" s="383"/>
      <c r="CJQ125" s="383"/>
      <c r="CJR125" s="383"/>
      <c r="CJS125" s="383"/>
      <c r="CJT125" s="383"/>
      <c r="CJU125" s="383"/>
      <c r="CJV125" s="383"/>
      <c r="CJW125" s="383"/>
      <c r="CJX125" s="383"/>
      <c r="CJY125" s="383"/>
      <c r="CJZ125" s="383"/>
      <c r="CKA125" s="383"/>
      <c r="CKB125" s="383"/>
      <c r="CKC125" s="383"/>
      <c r="CKD125" s="383"/>
      <c r="CKE125" s="383"/>
      <c r="CKF125" s="383"/>
      <c r="CKG125" s="383"/>
      <c r="CKH125" s="383"/>
      <c r="CKI125" s="383"/>
      <c r="CKJ125" s="383"/>
      <c r="CKK125" s="383"/>
      <c r="CKL125" s="383"/>
      <c r="CKM125" s="383"/>
      <c r="CKN125" s="383"/>
      <c r="CKO125" s="383"/>
      <c r="CKP125" s="383"/>
      <c r="CKQ125" s="383"/>
      <c r="CKR125" s="383"/>
      <c r="CKS125" s="383"/>
      <c r="CKT125" s="383"/>
      <c r="CKU125" s="383"/>
      <c r="CKV125" s="383"/>
      <c r="CKW125" s="383"/>
      <c r="CKX125" s="383"/>
      <c r="CKY125" s="383"/>
      <c r="CKZ125" s="383"/>
      <c r="CLA125" s="383"/>
      <c r="CLB125" s="383"/>
      <c r="CLC125" s="383"/>
      <c r="CLD125" s="383"/>
      <c r="CLE125" s="383"/>
      <c r="CLF125" s="383"/>
      <c r="CLG125" s="383"/>
      <c r="CLH125" s="383"/>
      <c r="CLI125" s="383"/>
      <c r="CLJ125" s="383"/>
      <c r="CLK125" s="383"/>
      <c r="CLL125" s="383"/>
      <c r="CLM125" s="383"/>
      <c r="CLN125" s="383"/>
      <c r="CLO125" s="383"/>
      <c r="CLP125" s="383"/>
      <c r="CLQ125" s="383"/>
      <c r="CLR125" s="383"/>
      <c r="CLS125" s="383"/>
      <c r="CLT125" s="383"/>
      <c r="CLU125" s="383"/>
      <c r="CLV125" s="383"/>
      <c r="CLW125" s="383"/>
      <c r="CLX125" s="383"/>
      <c r="CLY125" s="383"/>
      <c r="CLZ125" s="383"/>
      <c r="CMA125" s="383"/>
      <c r="CMB125" s="383"/>
      <c r="CMC125" s="383"/>
      <c r="CMD125" s="383"/>
      <c r="CME125" s="383"/>
      <c r="CMF125" s="383"/>
      <c r="CMG125" s="383"/>
      <c r="CMH125" s="383"/>
      <c r="CMI125" s="383"/>
      <c r="CMJ125" s="383"/>
      <c r="CMK125" s="383"/>
      <c r="CML125" s="383"/>
      <c r="CMM125" s="383"/>
      <c r="CMN125" s="383"/>
      <c r="CMO125" s="383"/>
      <c r="CMP125" s="383"/>
      <c r="CMQ125" s="383"/>
      <c r="CMR125" s="383"/>
      <c r="CMS125" s="383"/>
      <c r="CMT125" s="383"/>
      <c r="CMU125" s="383"/>
      <c r="CMV125" s="383"/>
      <c r="CMW125" s="383"/>
      <c r="CMX125" s="383"/>
      <c r="CMY125" s="383"/>
      <c r="CMZ125" s="383"/>
      <c r="CNA125" s="383"/>
      <c r="CNB125" s="383"/>
      <c r="CNC125" s="383"/>
      <c r="CND125" s="383"/>
      <c r="CNE125" s="383"/>
      <c r="CNF125" s="383"/>
      <c r="CNG125" s="383"/>
      <c r="CNH125" s="383"/>
      <c r="CNI125" s="383"/>
      <c r="CNJ125" s="383"/>
      <c r="CNK125" s="383"/>
      <c r="CNL125" s="383"/>
      <c r="CNM125" s="383"/>
      <c r="CNN125" s="383"/>
      <c r="CNO125" s="383"/>
      <c r="CNP125" s="383"/>
      <c r="CNQ125" s="383"/>
      <c r="CNR125" s="383"/>
      <c r="CNS125" s="383"/>
      <c r="CNT125" s="383"/>
      <c r="CNU125" s="383"/>
      <c r="CNV125" s="383"/>
      <c r="CNW125" s="383"/>
      <c r="CNX125" s="383"/>
      <c r="CNY125" s="383"/>
      <c r="CNZ125" s="383"/>
      <c r="COA125" s="383"/>
      <c r="COB125" s="383"/>
      <c r="COC125" s="383"/>
      <c r="COD125" s="383"/>
      <c r="COE125" s="383"/>
      <c r="COF125" s="383"/>
      <c r="COG125" s="383"/>
      <c r="COH125" s="383"/>
      <c r="COI125" s="383"/>
      <c r="COJ125" s="383"/>
      <c r="COK125" s="383"/>
      <c r="COL125" s="383"/>
      <c r="COM125" s="383"/>
      <c r="CON125" s="383"/>
      <c r="COO125" s="383"/>
      <c r="COP125" s="383"/>
      <c r="COQ125" s="383"/>
      <c r="COR125" s="383"/>
      <c r="COS125" s="383"/>
      <c r="COT125" s="383"/>
      <c r="COU125" s="383"/>
      <c r="COV125" s="383"/>
      <c r="COW125" s="383"/>
      <c r="COX125" s="383"/>
      <c r="COY125" s="383"/>
      <c r="COZ125" s="383"/>
      <c r="CPA125" s="383"/>
      <c r="CPB125" s="383"/>
      <c r="CPC125" s="383"/>
      <c r="CPD125" s="383"/>
      <c r="CPE125" s="383"/>
      <c r="CPF125" s="383"/>
      <c r="CPG125" s="383"/>
      <c r="CPH125" s="383"/>
      <c r="CPI125" s="383"/>
      <c r="CPJ125" s="383"/>
      <c r="CPK125" s="383"/>
      <c r="CPL125" s="383"/>
      <c r="CPM125" s="383"/>
      <c r="CPN125" s="383"/>
      <c r="CPO125" s="383"/>
      <c r="CPP125" s="383"/>
      <c r="CPQ125" s="383"/>
      <c r="CPR125" s="383"/>
      <c r="CPS125" s="383"/>
      <c r="CPT125" s="383"/>
      <c r="CPU125" s="383"/>
      <c r="CPV125" s="383"/>
      <c r="CPW125" s="383"/>
      <c r="CPX125" s="383"/>
      <c r="CPY125" s="383"/>
      <c r="CPZ125" s="383"/>
      <c r="CQA125" s="383"/>
      <c r="CQB125" s="383"/>
      <c r="CQC125" s="383"/>
      <c r="CQD125" s="383"/>
      <c r="CQE125" s="383"/>
      <c r="CQF125" s="383"/>
      <c r="CQG125" s="383"/>
      <c r="CQH125" s="383"/>
      <c r="CQI125" s="383"/>
      <c r="CQJ125" s="383"/>
      <c r="CQK125" s="383"/>
      <c r="CQL125" s="383"/>
      <c r="CQM125" s="383"/>
      <c r="CQN125" s="383"/>
      <c r="CQO125" s="383"/>
      <c r="CQP125" s="383"/>
      <c r="CQQ125" s="383"/>
      <c r="CQR125" s="383"/>
      <c r="CQS125" s="383"/>
      <c r="CQT125" s="383"/>
      <c r="CQU125" s="383"/>
      <c r="CQV125" s="383"/>
      <c r="CQW125" s="383"/>
      <c r="CQX125" s="383"/>
      <c r="CQY125" s="383"/>
      <c r="CQZ125" s="383"/>
      <c r="CRA125" s="383"/>
      <c r="CRB125" s="383"/>
      <c r="CRC125" s="383"/>
      <c r="CRD125" s="383"/>
      <c r="CRE125" s="383"/>
      <c r="CRF125" s="383"/>
      <c r="CRG125" s="383"/>
      <c r="CRH125" s="383"/>
      <c r="CRI125" s="383"/>
      <c r="CRJ125" s="383"/>
      <c r="CRK125" s="383"/>
      <c r="CRL125" s="383"/>
      <c r="CRM125" s="383"/>
      <c r="CRN125" s="383"/>
      <c r="CRO125" s="383"/>
      <c r="CRP125" s="383"/>
      <c r="CRQ125" s="383"/>
      <c r="CRR125" s="383"/>
      <c r="CRS125" s="383"/>
      <c r="CRT125" s="383"/>
      <c r="CRU125" s="383"/>
      <c r="CRV125" s="383"/>
      <c r="CRW125" s="383"/>
      <c r="CRX125" s="383"/>
      <c r="CRY125" s="383"/>
      <c r="CRZ125" s="383"/>
      <c r="CSA125" s="383"/>
      <c r="CSB125" s="383"/>
      <c r="CSC125" s="383"/>
      <c r="CSD125" s="383"/>
      <c r="CSE125" s="383"/>
      <c r="CSF125" s="383"/>
      <c r="CSG125" s="383"/>
      <c r="CSH125" s="383"/>
      <c r="CSI125" s="383"/>
      <c r="CSJ125" s="383"/>
      <c r="CSK125" s="383"/>
      <c r="CSL125" s="383"/>
      <c r="CSM125" s="383"/>
      <c r="CSN125" s="383"/>
      <c r="CSO125" s="383"/>
      <c r="CSP125" s="383"/>
      <c r="CSQ125" s="383"/>
      <c r="CSR125" s="383"/>
      <c r="CSS125" s="383"/>
      <c r="CST125" s="383"/>
      <c r="CSU125" s="383"/>
      <c r="CSV125" s="383"/>
      <c r="CSW125" s="383"/>
      <c r="CSX125" s="383"/>
      <c r="CSY125" s="383"/>
      <c r="CSZ125" s="383"/>
      <c r="CTA125" s="383"/>
      <c r="CTB125" s="383"/>
      <c r="CTC125" s="383"/>
      <c r="CTD125" s="383"/>
      <c r="CTE125" s="383"/>
      <c r="CTF125" s="383"/>
      <c r="CTG125" s="383"/>
      <c r="CTH125" s="383"/>
      <c r="CTI125" s="383"/>
      <c r="CTJ125" s="383"/>
      <c r="CTK125" s="383"/>
      <c r="CTL125" s="383"/>
      <c r="CTM125" s="383"/>
      <c r="CTN125" s="383"/>
      <c r="CTO125" s="383"/>
      <c r="CTP125" s="383"/>
      <c r="CTQ125" s="383"/>
      <c r="CTR125" s="383"/>
      <c r="CTS125" s="383"/>
      <c r="CTT125" s="383"/>
      <c r="CTU125" s="383"/>
      <c r="CTV125" s="383"/>
      <c r="CTW125" s="383"/>
      <c r="CTX125" s="383"/>
      <c r="CTY125" s="383"/>
      <c r="CTZ125" s="383"/>
      <c r="CUA125" s="383"/>
      <c r="CUB125" s="383"/>
      <c r="CUC125" s="383"/>
      <c r="CUD125" s="383"/>
      <c r="CUE125" s="383"/>
      <c r="CUF125" s="383"/>
      <c r="CUG125" s="383"/>
      <c r="CUH125" s="383"/>
      <c r="CUI125" s="383"/>
      <c r="CUJ125" s="383"/>
      <c r="CUK125" s="383"/>
      <c r="CUL125" s="383"/>
      <c r="CUM125" s="383"/>
      <c r="CUN125" s="383"/>
      <c r="CUO125" s="383"/>
      <c r="CUP125" s="383"/>
      <c r="CUQ125" s="383"/>
      <c r="CUR125" s="383"/>
      <c r="CUS125" s="383"/>
      <c r="CUT125" s="383"/>
      <c r="CUU125" s="383"/>
      <c r="CUV125" s="383"/>
      <c r="CUW125" s="383"/>
      <c r="CUX125" s="383"/>
      <c r="CUY125" s="383"/>
      <c r="CUZ125" s="383"/>
      <c r="CVA125" s="383"/>
      <c r="CVB125" s="383"/>
      <c r="CVC125" s="383"/>
      <c r="CVD125" s="383"/>
      <c r="CVE125" s="383"/>
      <c r="CVF125" s="383"/>
      <c r="CVG125" s="383"/>
      <c r="CVH125" s="383"/>
      <c r="CVI125" s="383"/>
      <c r="CVJ125" s="383"/>
      <c r="CVK125" s="383"/>
      <c r="CVL125" s="383"/>
      <c r="CVM125" s="383"/>
      <c r="CVN125" s="383"/>
      <c r="CVO125" s="383"/>
      <c r="CVP125" s="383"/>
      <c r="CVQ125" s="383"/>
      <c r="CVR125" s="383"/>
      <c r="CVS125" s="383"/>
      <c r="CVT125" s="383"/>
      <c r="CVU125" s="383"/>
      <c r="CVV125" s="383"/>
      <c r="CVW125" s="383"/>
      <c r="CVX125" s="383"/>
      <c r="CVY125" s="383"/>
      <c r="CVZ125" s="383"/>
      <c r="CWA125" s="383"/>
      <c r="CWB125" s="383"/>
      <c r="CWC125" s="383"/>
      <c r="CWD125" s="383"/>
      <c r="CWE125" s="383"/>
      <c r="CWF125" s="383"/>
      <c r="CWG125" s="383"/>
      <c r="CWH125" s="383"/>
      <c r="CWI125" s="383"/>
      <c r="CWJ125" s="383"/>
      <c r="CWK125" s="383"/>
      <c r="CWL125" s="383"/>
      <c r="CWM125" s="383"/>
      <c r="CWN125" s="383"/>
      <c r="CWO125" s="383"/>
      <c r="CWP125" s="383"/>
      <c r="CWQ125" s="383"/>
      <c r="CWR125" s="383"/>
      <c r="CWS125" s="383"/>
      <c r="CWT125" s="383"/>
      <c r="CWU125" s="383"/>
      <c r="CWV125" s="383"/>
      <c r="CWW125" s="383"/>
      <c r="CWX125" s="383"/>
      <c r="CWY125" s="383"/>
      <c r="CWZ125" s="383"/>
      <c r="CXA125" s="383"/>
      <c r="CXB125" s="383"/>
      <c r="CXC125" s="383"/>
      <c r="CXD125" s="383"/>
      <c r="CXE125" s="383"/>
      <c r="CXF125" s="383"/>
      <c r="CXG125" s="383"/>
      <c r="CXH125" s="383"/>
      <c r="CXI125" s="383"/>
      <c r="CXJ125" s="383"/>
      <c r="CXK125" s="383"/>
      <c r="CXL125" s="383"/>
      <c r="CXM125" s="383"/>
      <c r="CXN125" s="383"/>
      <c r="CXO125" s="383"/>
      <c r="CXP125" s="383"/>
      <c r="CXQ125" s="383"/>
      <c r="CXR125" s="383"/>
      <c r="CXS125" s="383"/>
      <c r="CXT125" s="383"/>
      <c r="CXU125" s="383"/>
      <c r="CXV125" s="383"/>
      <c r="CXW125" s="383"/>
      <c r="CXX125" s="383"/>
      <c r="CXY125" s="383"/>
      <c r="CXZ125" s="383"/>
      <c r="CYA125" s="383"/>
      <c r="CYB125" s="383"/>
      <c r="CYC125" s="383"/>
      <c r="CYD125" s="383"/>
      <c r="CYE125" s="383"/>
      <c r="CYF125" s="383"/>
      <c r="CYG125" s="383"/>
      <c r="CYH125" s="383"/>
      <c r="CYI125" s="383"/>
      <c r="CYJ125" s="383"/>
      <c r="CYK125" s="383"/>
      <c r="CYL125" s="383"/>
      <c r="CYM125" s="383"/>
      <c r="CYN125" s="383"/>
      <c r="CYO125" s="383"/>
      <c r="CYP125" s="383"/>
      <c r="CYQ125" s="383"/>
      <c r="CYR125" s="383"/>
      <c r="CYS125" s="383"/>
      <c r="CYT125" s="383"/>
      <c r="CYU125" s="383"/>
      <c r="CYV125" s="383"/>
      <c r="CYW125" s="383"/>
      <c r="CYX125" s="383"/>
      <c r="CYY125" s="383"/>
      <c r="CYZ125" s="383"/>
      <c r="CZA125" s="383"/>
      <c r="CZB125" s="383"/>
      <c r="CZC125" s="383"/>
      <c r="CZD125" s="383"/>
      <c r="CZE125" s="383"/>
      <c r="CZF125" s="383"/>
      <c r="CZG125" s="383"/>
      <c r="CZH125" s="383"/>
      <c r="CZI125" s="383"/>
      <c r="CZJ125" s="383"/>
      <c r="CZK125" s="383"/>
      <c r="CZL125" s="383"/>
      <c r="CZM125" s="383"/>
      <c r="CZN125" s="383"/>
      <c r="CZO125" s="383"/>
      <c r="CZP125" s="383"/>
      <c r="CZQ125" s="383"/>
      <c r="CZR125" s="383"/>
      <c r="CZS125" s="383"/>
      <c r="CZT125" s="383"/>
      <c r="CZU125" s="383"/>
      <c r="CZV125" s="383"/>
      <c r="CZW125" s="383"/>
      <c r="CZX125" s="383"/>
      <c r="CZY125" s="383"/>
      <c r="CZZ125" s="383"/>
      <c r="DAA125" s="383"/>
      <c r="DAB125" s="383"/>
      <c r="DAC125" s="383"/>
      <c r="DAD125" s="383"/>
      <c r="DAE125" s="383"/>
      <c r="DAF125" s="383"/>
      <c r="DAG125" s="383"/>
      <c r="DAH125" s="383"/>
      <c r="DAI125" s="383"/>
      <c r="DAJ125" s="383"/>
      <c r="DAK125" s="383"/>
      <c r="DAL125" s="383"/>
      <c r="DAM125" s="383"/>
      <c r="DAN125" s="383"/>
      <c r="DAO125" s="383"/>
      <c r="DAP125" s="383"/>
      <c r="DAQ125" s="383"/>
      <c r="DAR125" s="383"/>
      <c r="DAS125" s="383"/>
      <c r="DAT125" s="383"/>
      <c r="DAU125" s="383"/>
      <c r="DAV125" s="383"/>
      <c r="DAW125" s="383"/>
      <c r="DAX125" s="383"/>
      <c r="DAY125" s="383"/>
      <c r="DAZ125" s="383"/>
      <c r="DBA125" s="383"/>
      <c r="DBB125" s="383"/>
      <c r="DBC125" s="383"/>
      <c r="DBD125" s="383"/>
      <c r="DBE125" s="383"/>
      <c r="DBF125" s="383"/>
      <c r="DBG125" s="383"/>
      <c r="DBH125" s="383"/>
      <c r="DBI125" s="383"/>
      <c r="DBJ125" s="383"/>
      <c r="DBK125" s="383"/>
      <c r="DBL125" s="383"/>
      <c r="DBM125" s="383"/>
      <c r="DBN125" s="383"/>
      <c r="DBO125" s="383"/>
      <c r="DBP125" s="383"/>
      <c r="DBQ125" s="383"/>
      <c r="DBR125" s="383"/>
      <c r="DBS125" s="383"/>
      <c r="DBT125" s="383"/>
      <c r="DBU125" s="383"/>
      <c r="DBV125" s="383"/>
      <c r="DBW125" s="383"/>
      <c r="DBX125" s="383"/>
      <c r="DBY125" s="383"/>
      <c r="DBZ125" s="383"/>
      <c r="DCA125" s="383"/>
      <c r="DCB125" s="383"/>
      <c r="DCC125" s="383"/>
      <c r="DCD125" s="383"/>
      <c r="DCE125" s="383"/>
      <c r="DCF125" s="383"/>
      <c r="DCG125" s="383"/>
      <c r="DCH125" s="383"/>
      <c r="DCI125" s="383"/>
      <c r="DCJ125" s="383"/>
      <c r="DCK125" s="383"/>
      <c r="DCL125" s="383"/>
      <c r="DCM125" s="383"/>
      <c r="DCN125" s="383"/>
      <c r="DCO125" s="383"/>
      <c r="DCP125" s="383"/>
      <c r="DCQ125" s="383"/>
      <c r="DCR125" s="383"/>
      <c r="DCS125" s="383"/>
      <c r="DCT125" s="383"/>
      <c r="DCU125" s="383"/>
      <c r="DCV125" s="383"/>
      <c r="DCW125" s="383"/>
      <c r="DCX125" s="383"/>
      <c r="DCY125" s="383"/>
      <c r="DCZ125" s="383"/>
      <c r="DDA125" s="383"/>
      <c r="DDB125" s="383"/>
      <c r="DDC125" s="383"/>
      <c r="DDD125" s="383"/>
      <c r="DDE125" s="383"/>
      <c r="DDF125" s="383"/>
      <c r="DDG125" s="383"/>
      <c r="DDH125" s="383"/>
      <c r="DDI125" s="383"/>
      <c r="DDJ125" s="383"/>
      <c r="DDK125" s="383"/>
      <c r="DDL125" s="383"/>
      <c r="DDM125" s="383"/>
      <c r="DDN125" s="383"/>
      <c r="DDO125" s="383"/>
      <c r="DDP125" s="383"/>
      <c r="DDQ125" s="383"/>
      <c r="DDR125" s="383"/>
      <c r="DDS125" s="383"/>
      <c r="DDT125" s="383"/>
      <c r="DDU125" s="383"/>
      <c r="DDV125" s="383"/>
      <c r="DDW125" s="383"/>
      <c r="DDX125" s="383"/>
      <c r="DDY125" s="383"/>
      <c r="DDZ125" s="383"/>
      <c r="DEA125" s="383"/>
      <c r="DEB125" s="383"/>
      <c r="DEC125" s="383"/>
      <c r="DED125" s="383"/>
      <c r="DEE125" s="383"/>
      <c r="DEF125" s="383"/>
      <c r="DEG125" s="383"/>
      <c r="DEH125" s="383"/>
      <c r="DEI125" s="383"/>
      <c r="DEJ125" s="383"/>
      <c r="DEK125" s="383"/>
      <c r="DEL125" s="383"/>
      <c r="DEM125" s="383"/>
      <c r="DEN125" s="383"/>
      <c r="DEO125" s="383"/>
      <c r="DEP125" s="383"/>
      <c r="DEQ125" s="383"/>
      <c r="DER125" s="383"/>
      <c r="DES125" s="383"/>
      <c r="DET125" s="383"/>
      <c r="DEU125" s="383"/>
      <c r="DEV125" s="383"/>
      <c r="DEW125" s="383"/>
      <c r="DEX125" s="383"/>
      <c r="DEY125" s="383"/>
      <c r="DEZ125" s="383"/>
      <c r="DFA125" s="383"/>
      <c r="DFB125" s="383"/>
      <c r="DFC125" s="383"/>
      <c r="DFD125" s="383"/>
      <c r="DFE125" s="383"/>
      <c r="DFF125" s="383"/>
      <c r="DFG125" s="383"/>
      <c r="DFH125" s="383"/>
      <c r="DFI125" s="383"/>
      <c r="DFJ125" s="383"/>
      <c r="DFK125" s="383"/>
      <c r="DFL125" s="383"/>
      <c r="DFM125" s="383"/>
      <c r="DFN125" s="383"/>
      <c r="DFO125" s="383"/>
      <c r="DFP125" s="383"/>
      <c r="DFQ125" s="383"/>
      <c r="DFR125" s="383"/>
      <c r="DFS125" s="383"/>
      <c r="DFT125" s="383"/>
      <c r="DFU125" s="383"/>
      <c r="DFV125" s="383"/>
      <c r="DFW125" s="383"/>
      <c r="DFX125" s="383"/>
      <c r="DFY125" s="383"/>
      <c r="DFZ125" s="383"/>
      <c r="DGA125" s="383"/>
      <c r="DGB125" s="383"/>
      <c r="DGC125" s="383"/>
      <c r="DGD125" s="383"/>
      <c r="DGE125" s="383"/>
      <c r="DGF125" s="383"/>
      <c r="DGG125" s="383"/>
      <c r="DGH125" s="383"/>
      <c r="DGI125" s="383"/>
      <c r="DGJ125" s="383"/>
      <c r="DGK125" s="383"/>
      <c r="DGL125" s="383"/>
      <c r="DGM125" s="383"/>
      <c r="DGN125" s="383"/>
      <c r="DGO125" s="383"/>
      <c r="DGP125" s="383"/>
      <c r="DGQ125" s="383"/>
      <c r="DGR125" s="383"/>
      <c r="DGS125" s="383"/>
      <c r="DGT125" s="383"/>
      <c r="DGU125" s="383"/>
      <c r="DGV125" s="383"/>
      <c r="DGW125" s="383"/>
      <c r="DGX125" s="383"/>
      <c r="DGY125" s="383"/>
      <c r="DGZ125" s="383"/>
      <c r="DHA125" s="383"/>
      <c r="DHB125" s="383"/>
      <c r="DHC125" s="383"/>
      <c r="DHD125" s="383"/>
      <c r="DHE125" s="383"/>
      <c r="DHF125" s="383"/>
      <c r="DHG125" s="383"/>
      <c r="DHH125" s="383"/>
      <c r="DHI125" s="383"/>
      <c r="DHJ125" s="383"/>
      <c r="DHK125" s="383"/>
      <c r="DHL125" s="383"/>
      <c r="DHM125" s="383"/>
      <c r="DHN125" s="383"/>
      <c r="DHO125" s="383"/>
      <c r="DHP125" s="383"/>
      <c r="DHQ125" s="383"/>
      <c r="DHR125" s="383"/>
      <c r="DHS125" s="383"/>
      <c r="DHT125" s="383"/>
      <c r="DHU125" s="383"/>
      <c r="DHV125" s="383"/>
      <c r="DHW125" s="383"/>
      <c r="DHX125" s="383"/>
      <c r="DHY125" s="383"/>
      <c r="DHZ125" s="383"/>
      <c r="DIA125" s="383"/>
      <c r="DIB125" s="383"/>
      <c r="DIC125" s="383"/>
      <c r="DID125" s="383"/>
      <c r="DIE125" s="383"/>
      <c r="DIF125" s="383"/>
      <c r="DIG125" s="383"/>
      <c r="DIH125" s="383"/>
      <c r="DII125" s="383"/>
      <c r="DIJ125" s="383"/>
      <c r="DIK125" s="383"/>
      <c r="DIL125" s="383"/>
      <c r="DIM125" s="383"/>
      <c r="DIN125" s="383"/>
      <c r="DIO125" s="383"/>
      <c r="DIP125" s="383"/>
      <c r="DIQ125" s="383"/>
      <c r="DIR125" s="383"/>
      <c r="DIS125" s="383"/>
      <c r="DIT125" s="383"/>
      <c r="DIU125" s="383"/>
      <c r="DIV125" s="383"/>
      <c r="DIW125" s="383"/>
      <c r="DIX125" s="383"/>
      <c r="DIY125" s="383"/>
      <c r="DIZ125" s="383"/>
      <c r="DJA125" s="383"/>
      <c r="DJB125" s="383"/>
      <c r="DJC125" s="383"/>
      <c r="DJD125" s="383"/>
      <c r="DJE125" s="383"/>
      <c r="DJF125" s="383"/>
      <c r="DJG125" s="383"/>
      <c r="DJH125" s="383"/>
      <c r="DJI125" s="383"/>
      <c r="DJJ125" s="383"/>
      <c r="DJK125" s="383"/>
      <c r="DJL125" s="383"/>
      <c r="DJM125" s="383"/>
      <c r="DJN125" s="383"/>
      <c r="DJO125" s="383"/>
      <c r="DJP125" s="383"/>
      <c r="DJQ125" s="383"/>
      <c r="DJR125" s="383"/>
      <c r="DJS125" s="383"/>
      <c r="DJT125" s="383"/>
      <c r="DJU125" s="383"/>
      <c r="DJV125" s="383"/>
      <c r="DJW125" s="383"/>
      <c r="DJX125" s="383"/>
      <c r="DJY125" s="383"/>
      <c r="DJZ125" s="383"/>
      <c r="DKA125" s="383"/>
      <c r="DKB125" s="383"/>
      <c r="DKC125" s="383"/>
      <c r="DKD125" s="383"/>
      <c r="DKE125" s="383"/>
      <c r="DKF125" s="383"/>
      <c r="DKG125" s="383"/>
      <c r="DKH125" s="383"/>
      <c r="DKI125" s="383"/>
      <c r="DKJ125" s="383"/>
      <c r="DKK125" s="383"/>
      <c r="DKL125" s="383"/>
      <c r="DKM125" s="383"/>
      <c r="DKN125" s="383"/>
      <c r="DKO125" s="383"/>
      <c r="DKP125" s="383"/>
      <c r="DKQ125" s="383"/>
      <c r="DKR125" s="383"/>
      <c r="DKS125" s="383"/>
      <c r="DKT125" s="383"/>
      <c r="DKU125" s="383"/>
      <c r="DKV125" s="383"/>
      <c r="DKW125" s="383"/>
      <c r="DKX125" s="383"/>
      <c r="DKY125" s="383"/>
      <c r="DKZ125" s="383"/>
      <c r="DLA125" s="383"/>
      <c r="DLB125" s="383"/>
      <c r="DLC125" s="383"/>
      <c r="DLD125" s="383"/>
      <c r="DLE125" s="383"/>
      <c r="DLF125" s="383"/>
      <c r="DLG125" s="383"/>
      <c r="DLH125" s="383"/>
      <c r="DLI125" s="383"/>
      <c r="DLJ125" s="383"/>
      <c r="DLK125" s="383"/>
      <c r="DLL125" s="383"/>
      <c r="DLM125" s="383"/>
      <c r="DLN125" s="383"/>
      <c r="DLO125" s="383"/>
      <c r="DLP125" s="383"/>
      <c r="DLQ125" s="383"/>
      <c r="DLR125" s="383"/>
      <c r="DLS125" s="383"/>
      <c r="DLT125" s="383"/>
      <c r="DLU125" s="383"/>
      <c r="DLV125" s="383"/>
      <c r="DLW125" s="383"/>
      <c r="DLX125" s="383"/>
      <c r="DLY125" s="383"/>
      <c r="DLZ125" s="383"/>
      <c r="DMA125" s="383"/>
      <c r="DMB125" s="383"/>
      <c r="DMC125" s="383"/>
      <c r="DMD125" s="383"/>
      <c r="DME125" s="383"/>
      <c r="DMF125" s="383"/>
      <c r="DMG125" s="383"/>
      <c r="DMH125" s="383"/>
      <c r="DMI125" s="383"/>
      <c r="DMJ125" s="383"/>
      <c r="DMK125" s="383"/>
      <c r="DML125" s="383"/>
      <c r="DMM125" s="383"/>
      <c r="DMN125" s="383"/>
      <c r="DMO125" s="383"/>
      <c r="DMP125" s="383"/>
      <c r="DMQ125" s="383"/>
      <c r="DMR125" s="383"/>
      <c r="DMS125" s="383"/>
      <c r="DMT125" s="383"/>
      <c r="DMU125" s="383"/>
      <c r="DMV125" s="383"/>
      <c r="DMW125" s="383"/>
      <c r="DMX125" s="383"/>
      <c r="DMY125" s="383"/>
      <c r="DMZ125" s="383"/>
      <c r="DNA125" s="383"/>
      <c r="DNB125" s="383"/>
      <c r="DNC125" s="383"/>
      <c r="DND125" s="383"/>
      <c r="DNE125" s="383"/>
      <c r="DNF125" s="383"/>
      <c r="DNG125" s="383"/>
      <c r="DNH125" s="383"/>
      <c r="DNI125" s="383"/>
      <c r="DNJ125" s="383"/>
      <c r="DNK125" s="383"/>
      <c r="DNL125" s="383"/>
      <c r="DNM125" s="383"/>
      <c r="DNN125" s="383"/>
      <c r="DNO125" s="383"/>
      <c r="DNP125" s="383"/>
      <c r="DNQ125" s="383"/>
      <c r="DNR125" s="383"/>
      <c r="DNS125" s="383"/>
      <c r="DNT125" s="383"/>
      <c r="DNU125" s="383"/>
      <c r="DNV125" s="383"/>
      <c r="DNW125" s="383"/>
      <c r="DNX125" s="383"/>
      <c r="DNY125" s="383"/>
      <c r="DNZ125" s="383"/>
      <c r="DOA125" s="383"/>
      <c r="DOB125" s="383"/>
      <c r="DOC125" s="383"/>
      <c r="DOD125" s="383"/>
      <c r="DOE125" s="383"/>
      <c r="DOF125" s="383"/>
      <c r="DOG125" s="383"/>
      <c r="DOH125" s="383"/>
      <c r="DOI125" s="383"/>
      <c r="DOJ125" s="383"/>
      <c r="DOK125" s="383"/>
      <c r="DOL125" s="383"/>
      <c r="DOM125" s="383"/>
      <c r="DON125" s="383"/>
      <c r="DOO125" s="383"/>
      <c r="DOP125" s="383"/>
      <c r="DOQ125" s="383"/>
      <c r="DOR125" s="383"/>
      <c r="DOS125" s="383"/>
      <c r="DOT125" s="383"/>
      <c r="DOU125" s="383"/>
      <c r="DOV125" s="383"/>
      <c r="DOW125" s="383"/>
      <c r="DOX125" s="383"/>
      <c r="DOY125" s="383"/>
      <c r="DOZ125" s="383"/>
      <c r="DPA125" s="383"/>
      <c r="DPB125" s="383"/>
      <c r="DPC125" s="383"/>
      <c r="DPD125" s="383"/>
      <c r="DPE125" s="383"/>
      <c r="DPF125" s="383"/>
      <c r="DPG125" s="383"/>
      <c r="DPH125" s="383"/>
      <c r="DPI125" s="383"/>
      <c r="DPJ125" s="383"/>
      <c r="DPK125" s="383"/>
      <c r="DPL125" s="383"/>
      <c r="DPM125" s="383"/>
      <c r="DPN125" s="383"/>
      <c r="DPO125" s="383"/>
      <c r="DPP125" s="383"/>
      <c r="DPQ125" s="383"/>
      <c r="DPR125" s="383"/>
      <c r="DPS125" s="383"/>
      <c r="DPT125" s="383"/>
      <c r="DPU125" s="383"/>
      <c r="DPV125" s="383"/>
      <c r="DPW125" s="383"/>
      <c r="DPX125" s="383"/>
      <c r="DPY125" s="383"/>
      <c r="DPZ125" s="383"/>
      <c r="DQA125" s="383"/>
      <c r="DQB125" s="383"/>
      <c r="DQC125" s="383"/>
      <c r="DQD125" s="383"/>
      <c r="DQE125" s="383"/>
      <c r="DQF125" s="383"/>
      <c r="DQG125" s="383"/>
      <c r="DQH125" s="383"/>
      <c r="DQI125" s="383"/>
      <c r="DQJ125" s="383"/>
      <c r="DQK125" s="383"/>
      <c r="DQL125" s="383"/>
      <c r="DQM125" s="383"/>
      <c r="DQN125" s="383"/>
      <c r="DQO125" s="383"/>
      <c r="DQP125" s="383"/>
      <c r="DQQ125" s="383"/>
      <c r="DQR125" s="383"/>
      <c r="DQS125" s="383"/>
      <c r="DQT125" s="383"/>
      <c r="DQU125" s="383"/>
      <c r="DQV125" s="383"/>
      <c r="DQW125" s="383"/>
      <c r="DQX125" s="383"/>
      <c r="DQY125" s="383"/>
      <c r="DQZ125" s="383"/>
      <c r="DRA125" s="383"/>
      <c r="DRB125" s="383"/>
      <c r="DRC125" s="383"/>
      <c r="DRD125" s="383"/>
      <c r="DRE125" s="383"/>
      <c r="DRF125" s="383"/>
      <c r="DRG125" s="383"/>
      <c r="DRH125" s="383"/>
      <c r="DRI125" s="383"/>
      <c r="DRJ125" s="383"/>
      <c r="DRK125" s="383"/>
      <c r="DRL125" s="383"/>
      <c r="DRM125" s="383"/>
    </row>
    <row r="126" spans="1:3185" s="386" customFormat="1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  <c r="L126" s="350"/>
      <c r="M126" s="408"/>
      <c r="N126" s="350"/>
      <c r="O126" s="383"/>
      <c r="P126" s="383"/>
      <c r="Q126" s="383"/>
      <c r="R126" s="383"/>
      <c r="S126" s="383"/>
      <c r="T126" s="383"/>
      <c r="U126" s="383"/>
      <c r="V126" s="383"/>
      <c r="W126" s="383"/>
      <c r="X126" s="383"/>
      <c r="Y126" s="383"/>
      <c r="Z126" s="383"/>
      <c r="AA126" s="383"/>
      <c r="AB126" s="383"/>
      <c r="AC126" s="383"/>
      <c r="AD126" s="383"/>
      <c r="AE126" s="383"/>
      <c r="AF126" s="383"/>
      <c r="AG126" s="383"/>
      <c r="AH126" s="383"/>
      <c r="AI126" s="383"/>
      <c r="AJ126" s="383"/>
      <c r="AK126" s="383"/>
      <c r="AL126" s="383"/>
      <c r="AM126" s="383"/>
      <c r="AN126" s="383"/>
      <c r="AO126" s="383"/>
      <c r="AP126" s="383"/>
      <c r="AQ126" s="383"/>
      <c r="AR126" s="383"/>
      <c r="AS126" s="383"/>
      <c r="AT126" s="383"/>
      <c r="AU126" s="383"/>
      <c r="AV126" s="383"/>
      <c r="AW126" s="383"/>
      <c r="AX126" s="383"/>
      <c r="AY126" s="383"/>
      <c r="AZ126" s="383"/>
      <c r="BA126" s="383"/>
      <c r="BB126" s="383"/>
      <c r="BC126" s="383"/>
      <c r="BD126" s="383"/>
      <c r="BE126" s="383"/>
      <c r="BF126" s="383"/>
      <c r="BG126" s="383"/>
      <c r="BH126" s="383"/>
      <c r="BI126" s="383"/>
      <c r="BJ126" s="383"/>
      <c r="BK126" s="383"/>
      <c r="BL126" s="383"/>
      <c r="BM126" s="383"/>
      <c r="BN126" s="383"/>
      <c r="BO126" s="383"/>
      <c r="BP126" s="383"/>
      <c r="BQ126" s="383"/>
      <c r="BR126" s="383"/>
      <c r="BS126" s="383"/>
      <c r="BT126" s="383"/>
      <c r="BU126" s="383"/>
      <c r="BV126" s="383"/>
      <c r="BW126" s="383"/>
      <c r="BX126" s="383"/>
      <c r="BY126" s="383"/>
      <c r="BZ126" s="383"/>
      <c r="CA126" s="383"/>
      <c r="CB126" s="383"/>
      <c r="CC126" s="383"/>
      <c r="CD126" s="383"/>
      <c r="CE126" s="383"/>
      <c r="CF126" s="383"/>
      <c r="CG126" s="383"/>
      <c r="CH126" s="383"/>
      <c r="CI126" s="383"/>
      <c r="CJ126" s="383"/>
      <c r="CK126" s="383"/>
      <c r="CL126" s="383"/>
      <c r="CM126" s="383"/>
      <c r="CN126" s="383"/>
      <c r="CO126" s="383"/>
      <c r="CP126" s="383"/>
      <c r="CQ126" s="383"/>
      <c r="CR126" s="383"/>
      <c r="CS126" s="383"/>
      <c r="CT126" s="383"/>
      <c r="CU126" s="383"/>
      <c r="CV126" s="383"/>
      <c r="CW126" s="383"/>
      <c r="CX126" s="383"/>
      <c r="CY126" s="383"/>
      <c r="CZ126" s="383"/>
      <c r="DA126" s="383"/>
      <c r="DB126" s="383"/>
      <c r="DC126" s="383"/>
      <c r="DD126" s="383"/>
      <c r="DE126" s="383"/>
      <c r="DF126" s="383"/>
      <c r="DG126" s="383"/>
      <c r="DH126" s="383"/>
      <c r="DI126" s="383"/>
      <c r="DJ126" s="383"/>
      <c r="DK126" s="383"/>
      <c r="DL126" s="383"/>
      <c r="DM126" s="383"/>
      <c r="DN126" s="383"/>
      <c r="DO126" s="383"/>
      <c r="DP126" s="383"/>
      <c r="DQ126" s="383"/>
      <c r="DR126" s="383"/>
      <c r="DS126" s="383"/>
      <c r="DT126" s="383"/>
      <c r="DU126" s="383"/>
      <c r="DV126" s="383"/>
      <c r="DW126" s="383"/>
      <c r="DX126" s="383"/>
      <c r="DY126" s="383"/>
      <c r="DZ126" s="383"/>
      <c r="EA126" s="383"/>
      <c r="EB126" s="383"/>
      <c r="EC126" s="383"/>
      <c r="ED126" s="383"/>
      <c r="EE126" s="383"/>
      <c r="EF126" s="383"/>
      <c r="EG126" s="383"/>
      <c r="EH126" s="383"/>
      <c r="EI126" s="383"/>
      <c r="EJ126" s="383"/>
      <c r="EK126" s="383"/>
      <c r="EL126" s="383"/>
      <c r="EM126" s="383"/>
      <c r="EN126" s="383"/>
      <c r="EO126" s="383"/>
      <c r="EP126" s="383"/>
      <c r="EQ126" s="383"/>
      <c r="ER126" s="383"/>
      <c r="ES126" s="383"/>
      <c r="ET126" s="383"/>
      <c r="EU126" s="383"/>
      <c r="EV126" s="383"/>
      <c r="EW126" s="383"/>
      <c r="EX126" s="383"/>
      <c r="EY126" s="383"/>
      <c r="EZ126" s="383"/>
      <c r="FA126" s="383"/>
      <c r="FB126" s="383"/>
      <c r="FC126" s="383"/>
      <c r="FD126" s="383"/>
      <c r="FE126" s="383"/>
      <c r="FF126" s="383"/>
      <c r="FG126" s="383"/>
      <c r="FH126" s="383"/>
      <c r="FI126" s="383"/>
      <c r="FJ126" s="383"/>
      <c r="FK126" s="383"/>
      <c r="FL126" s="383"/>
      <c r="FM126" s="383"/>
      <c r="FN126" s="383"/>
      <c r="FO126" s="383"/>
      <c r="FP126" s="383"/>
      <c r="FQ126" s="383"/>
      <c r="FR126" s="383"/>
      <c r="FS126" s="383"/>
      <c r="FT126" s="383"/>
      <c r="FU126" s="383"/>
      <c r="FV126" s="383"/>
      <c r="FW126" s="383"/>
      <c r="FX126" s="383"/>
      <c r="FY126" s="383"/>
      <c r="FZ126" s="383"/>
      <c r="GA126" s="383"/>
      <c r="GB126" s="383"/>
      <c r="GC126" s="383"/>
      <c r="GD126" s="383"/>
      <c r="GE126" s="383"/>
      <c r="GF126" s="383"/>
      <c r="GG126" s="383"/>
      <c r="GH126" s="383"/>
      <c r="GI126" s="383"/>
      <c r="GJ126" s="383"/>
      <c r="GK126" s="383"/>
      <c r="GL126" s="383"/>
      <c r="GM126" s="383"/>
      <c r="GN126" s="383"/>
      <c r="GO126" s="383"/>
      <c r="GP126" s="383"/>
      <c r="GQ126" s="383"/>
      <c r="GR126" s="383"/>
      <c r="GS126" s="383"/>
      <c r="GT126" s="383"/>
      <c r="GU126" s="383"/>
      <c r="GV126" s="383"/>
      <c r="GW126" s="383"/>
      <c r="GX126" s="383"/>
      <c r="GY126" s="383"/>
      <c r="GZ126" s="383"/>
      <c r="HA126" s="383"/>
      <c r="HB126" s="383"/>
      <c r="HC126" s="383"/>
      <c r="HD126" s="383"/>
      <c r="HE126" s="383"/>
      <c r="HF126" s="383"/>
      <c r="HG126" s="383"/>
      <c r="HH126" s="383"/>
      <c r="HI126" s="383"/>
      <c r="HJ126" s="383"/>
      <c r="HK126" s="383"/>
      <c r="HL126" s="383"/>
      <c r="HM126" s="383"/>
      <c r="HN126" s="383"/>
      <c r="HO126" s="383"/>
      <c r="HP126" s="383"/>
      <c r="HQ126" s="383"/>
      <c r="HR126" s="383"/>
      <c r="HS126" s="383"/>
      <c r="HT126" s="383"/>
      <c r="HU126" s="383"/>
      <c r="HV126" s="383"/>
      <c r="HW126" s="383"/>
      <c r="HX126" s="383"/>
      <c r="HY126" s="383"/>
      <c r="HZ126" s="383"/>
      <c r="IA126" s="383"/>
      <c r="IB126" s="383"/>
      <c r="IC126" s="383"/>
      <c r="ID126" s="383"/>
      <c r="IE126" s="383"/>
      <c r="IF126" s="383"/>
      <c r="IG126" s="383"/>
      <c r="IH126" s="383"/>
      <c r="II126" s="383"/>
      <c r="IJ126" s="383"/>
      <c r="IK126" s="383"/>
      <c r="IL126" s="383"/>
      <c r="IM126" s="383"/>
      <c r="IN126" s="383"/>
      <c r="IO126" s="383"/>
      <c r="IP126" s="383"/>
      <c r="IQ126" s="383"/>
      <c r="IR126" s="383"/>
      <c r="IS126" s="383"/>
      <c r="IT126" s="383"/>
      <c r="IU126" s="383"/>
      <c r="IV126" s="383"/>
      <c r="IW126" s="383"/>
      <c r="IX126" s="383"/>
      <c r="IY126" s="383"/>
      <c r="IZ126" s="383"/>
      <c r="JA126" s="383"/>
      <c r="JB126" s="383"/>
      <c r="JC126" s="383"/>
      <c r="JD126" s="383"/>
      <c r="JE126" s="383"/>
      <c r="JF126" s="383"/>
      <c r="JG126" s="383"/>
      <c r="JH126" s="383"/>
      <c r="JI126" s="383"/>
      <c r="JJ126" s="383"/>
      <c r="JK126" s="383"/>
      <c r="JL126" s="383"/>
      <c r="JM126" s="383"/>
      <c r="JN126" s="383"/>
      <c r="JO126" s="383"/>
      <c r="JP126" s="383"/>
      <c r="JQ126" s="383"/>
      <c r="JR126" s="383"/>
      <c r="JS126" s="383"/>
      <c r="JT126" s="383"/>
      <c r="JU126" s="383"/>
      <c r="JV126" s="383"/>
      <c r="JW126" s="383"/>
      <c r="JX126" s="383"/>
      <c r="JY126" s="383"/>
      <c r="JZ126" s="383"/>
      <c r="KA126" s="383"/>
      <c r="KB126" s="383"/>
      <c r="KC126" s="383"/>
      <c r="KD126" s="383"/>
      <c r="KE126" s="383"/>
      <c r="KF126" s="383"/>
      <c r="KG126" s="383"/>
      <c r="KH126" s="383"/>
      <c r="KI126" s="383"/>
      <c r="KJ126" s="383"/>
      <c r="KK126" s="383"/>
      <c r="KL126" s="383"/>
      <c r="KM126" s="383"/>
      <c r="KN126" s="383"/>
      <c r="KO126" s="383"/>
      <c r="KP126" s="383"/>
      <c r="KQ126" s="383"/>
      <c r="KR126" s="383"/>
      <c r="KS126" s="383"/>
      <c r="KT126" s="383"/>
      <c r="KU126" s="383"/>
      <c r="KV126" s="383"/>
      <c r="KW126" s="383"/>
      <c r="KX126" s="383"/>
      <c r="KY126" s="383"/>
      <c r="KZ126" s="383"/>
      <c r="LA126" s="383"/>
      <c r="LB126" s="383"/>
      <c r="LC126" s="383"/>
      <c r="LD126" s="383"/>
      <c r="LE126" s="383"/>
      <c r="LF126" s="383"/>
      <c r="LG126" s="383"/>
      <c r="LH126" s="383"/>
      <c r="LI126" s="383"/>
      <c r="LJ126" s="383"/>
      <c r="LK126" s="383"/>
      <c r="LL126" s="383"/>
      <c r="LM126" s="383"/>
      <c r="LN126" s="383"/>
      <c r="LO126" s="383"/>
      <c r="LP126" s="383"/>
      <c r="LQ126" s="383"/>
      <c r="LR126" s="383"/>
      <c r="LS126" s="383"/>
      <c r="LT126" s="383"/>
      <c r="LU126" s="383"/>
      <c r="LV126" s="383"/>
      <c r="LW126" s="383"/>
      <c r="LX126" s="383"/>
      <c r="LY126" s="383"/>
      <c r="LZ126" s="383"/>
      <c r="MA126" s="383"/>
      <c r="MB126" s="383"/>
      <c r="MC126" s="383"/>
      <c r="MD126" s="383"/>
      <c r="ME126" s="383"/>
      <c r="MF126" s="383"/>
      <c r="MG126" s="383"/>
      <c r="MH126" s="383"/>
      <c r="MI126" s="383"/>
      <c r="MJ126" s="383"/>
      <c r="MK126" s="383"/>
      <c r="ML126" s="383"/>
      <c r="MM126" s="383"/>
      <c r="MN126" s="383"/>
      <c r="MO126" s="383"/>
      <c r="MP126" s="383"/>
      <c r="MQ126" s="383"/>
      <c r="MR126" s="383"/>
      <c r="MS126" s="383"/>
      <c r="MT126" s="383"/>
      <c r="MU126" s="383"/>
      <c r="MV126" s="383"/>
      <c r="MW126" s="383"/>
      <c r="MX126" s="383"/>
      <c r="MY126" s="383"/>
      <c r="MZ126" s="383"/>
      <c r="NA126" s="383"/>
      <c r="NB126" s="383"/>
      <c r="NC126" s="383"/>
      <c r="ND126" s="383"/>
      <c r="NE126" s="383"/>
      <c r="NF126" s="383"/>
      <c r="NG126" s="383"/>
      <c r="NH126" s="383"/>
      <c r="NI126" s="383"/>
      <c r="NJ126" s="383"/>
      <c r="NK126" s="383"/>
      <c r="NL126" s="383"/>
      <c r="NM126" s="383"/>
      <c r="NN126" s="383"/>
      <c r="NO126" s="383"/>
      <c r="NP126" s="383"/>
      <c r="NQ126" s="383"/>
      <c r="NR126" s="383"/>
      <c r="NS126" s="383"/>
      <c r="NT126" s="383"/>
      <c r="NU126" s="383"/>
      <c r="NV126" s="383"/>
      <c r="NW126" s="383"/>
      <c r="NX126" s="383"/>
      <c r="NY126" s="383"/>
      <c r="NZ126" s="383"/>
      <c r="OA126" s="383"/>
      <c r="OB126" s="383"/>
      <c r="OC126" s="383"/>
      <c r="OD126" s="383"/>
      <c r="OE126" s="383"/>
      <c r="OF126" s="383"/>
      <c r="OG126" s="383"/>
      <c r="OH126" s="383"/>
      <c r="OI126" s="383"/>
      <c r="OJ126" s="383"/>
      <c r="OK126" s="383"/>
      <c r="OL126" s="383"/>
      <c r="OM126" s="383"/>
      <c r="ON126" s="383"/>
      <c r="OO126" s="383"/>
      <c r="OP126" s="383"/>
      <c r="OQ126" s="383"/>
      <c r="OR126" s="383"/>
      <c r="OS126" s="383"/>
      <c r="OT126" s="383"/>
      <c r="OU126" s="383"/>
      <c r="OV126" s="383"/>
      <c r="OW126" s="383"/>
      <c r="OX126" s="383"/>
      <c r="OY126" s="383"/>
      <c r="OZ126" s="383"/>
      <c r="PA126" s="383"/>
      <c r="PB126" s="383"/>
      <c r="PC126" s="383"/>
      <c r="PD126" s="383"/>
      <c r="PE126" s="383"/>
      <c r="PF126" s="383"/>
      <c r="PG126" s="383"/>
      <c r="PH126" s="383"/>
      <c r="PI126" s="383"/>
      <c r="PJ126" s="383"/>
      <c r="PK126" s="383"/>
      <c r="PL126" s="383"/>
      <c r="PM126" s="383"/>
      <c r="PN126" s="383"/>
      <c r="PO126" s="383"/>
      <c r="PP126" s="383"/>
      <c r="PQ126" s="383"/>
      <c r="PR126" s="383"/>
      <c r="PS126" s="383"/>
      <c r="PT126" s="383"/>
      <c r="PU126" s="383"/>
      <c r="PV126" s="383"/>
      <c r="PW126" s="383"/>
      <c r="PX126" s="383"/>
      <c r="PY126" s="383"/>
      <c r="PZ126" s="383"/>
      <c r="QA126" s="383"/>
      <c r="QB126" s="383"/>
      <c r="QC126" s="383"/>
      <c r="QD126" s="383"/>
      <c r="QE126" s="383"/>
      <c r="QF126" s="383"/>
      <c r="QG126" s="383"/>
      <c r="QH126" s="383"/>
      <c r="QI126" s="383"/>
      <c r="QJ126" s="383"/>
      <c r="QK126" s="383"/>
      <c r="QL126" s="383"/>
      <c r="QM126" s="383"/>
      <c r="QN126" s="383"/>
      <c r="QO126" s="383"/>
      <c r="QP126" s="383"/>
      <c r="QQ126" s="383"/>
      <c r="QR126" s="383"/>
      <c r="QS126" s="383"/>
      <c r="QT126" s="383"/>
      <c r="QU126" s="383"/>
      <c r="QV126" s="383"/>
      <c r="QW126" s="383"/>
      <c r="QX126" s="383"/>
      <c r="QY126" s="383"/>
      <c r="QZ126" s="383"/>
      <c r="RA126" s="383"/>
      <c r="RB126" s="383"/>
      <c r="RC126" s="383"/>
      <c r="RD126" s="383"/>
      <c r="RE126" s="383"/>
      <c r="RF126" s="383"/>
      <c r="RG126" s="383"/>
      <c r="RH126" s="383"/>
      <c r="RI126" s="383"/>
      <c r="RJ126" s="383"/>
      <c r="RK126" s="383"/>
      <c r="RL126" s="383"/>
      <c r="RM126" s="383"/>
      <c r="RN126" s="383"/>
      <c r="RO126" s="383"/>
      <c r="RP126" s="383"/>
      <c r="RQ126" s="383"/>
      <c r="RR126" s="383"/>
      <c r="RS126" s="383"/>
      <c r="RT126" s="383"/>
      <c r="RU126" s="383"/>
      <c r="RV126" s="383"/>
      <c r="RW126" s="383"/>
      <c r="RX126" s="383"/>
      <c r="RY126" s="383"/>
      <c r="RZ126" s="383"/>
      <c r="SA126" s="383"/>
      <c r="SB126" s="383"/>
      <c r="SC126" s="383"/>
      <c r="SD126" s="383"/>
      <c r="SE126" s="383"/>
      <c r="SF126" s="383"/>
      <c r="SG126" s="383"/>
      <c r="SH126" s="383"/>
      <c r="SI126" s="383"/>
      <c r="SJ126" s="383"/>
      <c r="SK126" s="383"/>
      <c r="SL126" s="383"/>
      <c r="SM126" s="383"/>
      <c r="SN126" s="383"/>
      <c r="SO126" s="383"/>
      <c r="SP126" s="383"/>
      <c r="SQ126" s="383"/>
      <c r="SR126" s="383"/>
      <c r="SS126" s="383"/>
      <c r="ST126" s="383"/>
      <c r="SU126" s="383"/>
      <c r="SV126" s="383"/>
      <c r="SW126" s="383"/>
      <c r="SX126" s="383"/>
      <c r="SY126" s="383"/>
      <c r="SZ126" s="383"/>
      <c r="TA126" s="383"/>
      <c r="TB126" s="383"/>
      <c r="TC126" s="383"/>
      <c r="TD126" s="383"/>
      <c r="TE126" s="383"/>
      <c r="TF126" s="383"/>
      <c r="TG126" s="383"/>
      <c r="TH126" s="383"/>
      <c r="TI126" s="383"/>
      <c r="TJ126" s="383"/>
      <c r="TK126" s="383"/>
      <c r="TL126" s="383"/>
      <c r="TM126" s="383"/>
      <c r="TN126" s="383"/>
      <c r="TO126" s="383"/>
      <c r="TP126" s="383"/>
      <c r="TQ126" s="383"/>
      <c r="TR126" s="383"/>
      <c r="TS126" s="383"/>
      <c r="TT126" s="383"/>
      <c r="TU126" s="383"/>
      <c r="TV126" s="383"/>
      <c r="TW126" s="383"/>
      <c r="TX126" s="383"/>
      <c r="TY126" s="383"/>
      <c r="TZ126" s="383"/>
      <c r="UA126" s="383"/>
      <c r="UB126" s="383"/>
      <c r="UC126" s="383"/>
      <c r="UD126" s="383"/>
      <c r="UE126" s="383"/>
      <c r="UF126" s="383"/>
      <c r="UG126" s="383"/>
      <c r="UH126" s="383"/>
      <c r="UI126" s="383"/>
      <c r="UJ126" s="383"/>
      <c r="UK126" s="383"/>
      <c r="UL126" s="383"/>
      <c r="UM126" s="383"/>
      <c r="UN126" s="383"/>
      <c r="UO126" s="383"/>
      <c r="UP126" s="383"/>
      <c r="UQ126" s="383"/>
      <c r="UR126" s="383"/>
      <c r="US126" s="383"/>
      <c r="UT126" s="383"/>
      <c r="UU126" s="383"/>
      <c r="UV126" s="383"/>
      <c r="UW126" s="383"/>
      <c r="UX126" s="383"/>
      <c r="UY126" s="383"/>
      <c r="UZ126" s="383"/>
      <c r="VA126" s="383"/>
      <c r="VB126" s="383"/>
      <c r="VC126" s="383"/>
      <c r="VD126" s="383"/>
      <c r="VE126" s="383"/>
      <c r="VF126" s="383"/>
      <c r="VG126" s="383"/>
      <c r="VH126" s="383"/>
      <c r="VI126" s="383"/>
      <c r="VJ126" s="383"/>
      <c r="VK126" s="383"/>
      <c r="VL126" s="383"/>
      <c r="VM126" s="383"/>
      <c r="VN126" s="383"/>
      <c r="VO126" s="383"/>
      <c r="VP126" s="383"/>
      <c r="VQ126" s="383"/>
      <c r="VR126" s="383"/>
      <c r="VS126" s="383"/>
      <c r="VT126" s="383"/>
      <c r="VU126" s="383"/>
      <c r="VV126" s="383"/>
      <c r="VW126" s="383"/>
      <c r="VX126" s="383"/>
      <c r="VY126" s="383"/>
      <c r="VZ126" s="383"/>
      <c r="WA126" s="383"/>
      <c r="WB126" s="383"/>
      <c r="WC126" s="383"/>
      <c r="WD126" s="383"/>
      <c r="WE126" s="383"/>
      <c r="WF126" s="383"/>
      <c r="WG126" s="383"/>
      <c r="WH126" s="383"/>
      <c r="WI126" s="383"/>
      <c r="WJ126" s="383"/>
      <c r="WK126" s="383"/>
      <c r="WL126" s="383"/>
      <c r="WM126" s="383"/>
      <c r="WN126" s="383"/>
      <c r="WO126" s="383"/>
      <c r="WP126" s="383"/>
      <c r="WQ126" s="383"/>
      <c r="WR126" s="383"/>
      <c r="WS126" s="383"/>
      <c r="WT126" s="383"/>
      <c r="WU126" s="383"/>
      <c r="WV126" s="383"/>
      <c r="WW126" s="383"/>
      <c r="WX126" s="383"/>
      <c r="WY126" s="383"/>
      <c r="WZ126" s="383"/>
      <c r="XA126" s="383"/>
      <c r="XB126" s="383"/>
      <c r="XC126" s="383"/>
      <c r="XD126" s="383"/>
      <c r="XE126" s="383"/>
      <c r="XF126" s="383"/>
      <c r="XG126" s="383"/>
      <c r="XH126" s="383"/>
      <c r="XI126" s="383"/>
      <c r="XJ126" s="383"/>
      <c r="XK126" s="383"/>
      <c r="XL126" s="383"/>
      <c r="XM126" s="383"/>
      <c r="XN126" s="383"/>
      <c r="XO126" s="383"/>
      <c r="XP126" s="383"/>
      <c r="XQ126" s="383"/>
      <c r="XR126" s="383"/>
      <c r="XS126" s="383"/>
      <c r="XT126" s="383"/>
      <c r="XU126" s="383"/>
      <c r="XV126" s="383"/>
      <c r="XW126" s="383"/>
      <c r="XX126" s="383"/>
      <c r="XY126" s="383"/>
      <c r="XZ126" s="383"/>
      <c r="YA126" s="383"/>
      <c r="YB126" s="383"/>
      <c r="YC126" s="383"/>
      <c r="YD126" s="383"/>
      <c r="YE126" s="383"/>
      <c r="YF126" s="383"/>
      <c r="YG126" s="383"/>
      <c r="YH126" s="383"/>
      <c r="YI126" s="383"/>
      <c r="YJ126" s="383"/>
      <c r="YK126" s="383"/>
      <c r="YL126" s="383"/>
      <c r="YM126" s="383"/>
      <c r="YN126" s="383"/>
      <c r="YO126" s="383"/>
      <c r="YP126" s="383"/>
      <c r="YQ126" s="383"/>
      <c r="YR126" s="383"/>
      <c r="YS126" s="383"/>
      <c r="YT126" s="383"/>
      <c r="YU126" s="383"/>
      <c r="YV126" s="383"/>
      <c r="YW126" s="383"/>
      <c r="YX126" s="383"/>
      <c r="YY126" s="383"/>
      <c r="YZ126" s="383"/>
      <c r="ZA126" s="383"/>
      <c r="ZB126" s="383"/>
      <c r="ZC126" s="383"/>
      <c r="ZD126" s="383"/>
      <c r="ZE126" s="383"/>
      <c r="ZF126" s="383"/>
      <c r="ZG126" s="383"/>
      <c r="ZH126" s="383"/>
      <c r="ZI126" s="383"/>
      <c r="ZJ126" s="383"/>
      <c r="ZK126" s="383"/>
      <c r="ZL126" s="383"/>
      <c r="ZM126" s="383"/>
      <c r="ZN126" s="383"/>
      <c r="ZO126" s="383"/>
      <c r="ZP126" s="383"/>
      <c r="ZQ126" s="383"/>
      <c r="ZR126" s="383"/>
      <c r="ZS126" s="383"/>
      <c r="ZT126" s="383"/>
      <c r="ZU126" s="383"/>
      <c r="ZV126" s="383"/>
      <c r="ZW126" s="383"/>
      <c r="ZX126" s="383"/>
      <c r="ZY126" s="383"/>
      <c r="ZZ126" s="383"/>
      <c r="AAA126" s="383"/>
      <c r="AAB126" s="383"/>
      <c r="AAC126" s="383"/>
      <c r="AAD126" s="383"/>
      <c r="AAE126" s="383"/>
      <c r="AAF126" s="383"/>
      <c r="AAG126" s="383"/>
      <c r="AAH126" s="383"/>
      <c r="AAI126" s="383"/>
      <c r="AAJ126" s="383"/>
      <c r="AAK126" s="383"/>
      <c r="AAL126" s="383"/>
      <c r="AAM126" s="383"/>
      <c r="AAN126" s="383"/>
      <c r="AAO126" s="383"/>
      <c r="AAP126" s="383"/>
      <c r="AAQ126" s="383"/>
      <c r="AAR126" s="383"/>
      <c r="AAS126" s="383"/>
      <c r="AAT126" s="383"/>
      <c r="AAU126" s="383"/>
      <c r="AAV126" s="383"/>
      <c r="AAW126" s="383"/>
      <c r="AAX126" s="383"/>
      <c r="AAY126" s="383"/>
      <c r="AAZ126" s="383"/>
      <c r="ABA126" s="383"/>
      <c r="ABB126" s="383"/>
      <c r="ABC126" s="383"/>
      <c r="ABD126" s="383"/>
      <c r="ABE126" s="383"/>
      <c r="ABF126" s="383"/>
      <c r="ABG126" s="383"/>
      <c r="ABH126" s="383"/>
      <c r="ABI126" s="383"/>
      <c r="ABJ126" s="383"/>
      <c r="ABK126" s="383"/>
      <c r="ABL126" s="383"/>
      <c r="ABM126" s="383"/>
      <c r="ABN126" s="383"/>
      <c r="ABO126" s="383"/>
      <c r="ABP126" s="383"/>
      <c r="ABQ126" s="383"/>
      <c r="ABR126" s="383"/>
      <c r="ABS126" s="383"/>
      <c r="ABT126" s="383"/>
      <c r="ABU126" s="383"/>
      <c r="ABV126" s="383"/>
      <c r="ABW126" s="383"/>
      <c r="ABX126" s="383"/>
      <c r="ABY126" s="383"/>
      <c r="ABZ126" s="383"/>
      <c r="ACA126" s="383"/>
      <c r="ACB126" s="383"/>
      <c r="ACC126" s="383"/>
      <c r="ACD126" s="383"/>
      <c r="ACE126" s="383"/>
      <c r="ACF126" s="383"/>
      <c r="ACG126" s="383"/>
      <c r="ACH126" s="383"/>
      <c r="ACI126" s="383"/>
      <c r="ACJ126" s="383"/>
      <c r="ACK126" s="383"/>
      <c r="ACL126" s="383"/>
      <c r="ACM126" s="383"/>
      <c r="ACN126" s="383"/>
      <c r="ACO126" s="383"/>
      <c r="ACP126" s="383"/>
      <c r="ACQ126" s="383"/>
      <c r="ACR126" s="383"/>
      <c r="ACS126" s="383"/>
      <c r="ACT126" s="383"/>
      <c r="ACU126" s="383"/>
      <c r="ACV126" s="383"/>
      <c r="ACW126" s="383"/>
      <c r="ACX126" s="383"/>
      <c r="ACY126" s="383"/>
      <c r="ACZ126" s="383"/>
      <c r="ADA126" s="383"/>
      <c r="ADB126" s="383"/>
      <c r="ADC126" s="383"/>
      <c r="ADD126" s="383"/>
      <c r="ADE126" s="383"/>
      <c r="ADF126" s="383"/>
      <c r="ADG126" s="383"/>
      <c r="ADH126" s="383"/>
      <c r="ADI126" s="383"/>
      <c r="ADJ126" s="383"/>
      <c r="ADK126" s="383"/>
      <c r="ADL126" s="383"/>
      <c r="ADM126" s="383"/>
      <c r="ADN126" s="383"/>
      <c r="ADO126" s="383"/>
      <c r="ADP126" s="383"/>
      <c r="ADQ126" s="383"/>
      <c r="ADR126" s="383"/>
      <c r="ADS126" s="383"/>
      <c r="ADT126" s="383"/>
      <c r="ADU126" s="383"/>
      <c r="ADV126" s="383"/>
      <c r="ADW126" s="383"/>
      <c r="ADX126" s="383"/>
      <c r="ADY126" s="383"/>
      <c r="ADZ126" s="383"/>
      <c r="AEA126" s="383"/>
      <c r="AEB126" s="383"/>
      <c r="AEC126" s="383"/>
      <c r="AED126" s="383"/>
      <c r="AEE126" s="383"/>
      <c r="AEF126" s="383"/>
      <c r="AEG126" s="383"/>
      <c r="AEH126" s="383"/>
      <c r="AEI126" s="383"/>
      <c r="AEJ126" s="383"/>
      <c r="AEK126" s="383"/>
      <c r="AEL126" s="383"/>
      <c r="AEM126" s="383"/>
      <c r="AEN126" s="383"/>
      <c r="AEO126" s="383"/>
      <c r="AEP126" s="383"/>
      <c r="AEQ126" s="383"/>
      <c r="AER126" s="383"/>
      <c r="AES126" s="383"/>
      <c r="AET126" s="383"/>
      <c r="AEU126" s="383"/>
      <c r="AEV126" s="383"/>
      <c r="AEW126" s="383"/>
      <c r="AEX126" s="383"/>
      <c r="AEY126" s="383"/>
      <c r="AEZ126" s="383"/>
      <c r="AFA126" s="383"/>
      <c r="AFB126" s="383"/>
      <c r="AFC126" s="383"/>
      <c r="AFD126" s="383"/>
      <c r="AFE126" s="383"/>
      <c r="AFF126" s="383"/>
      <c r="AFG126" s="383"/>
      <c r="AFH126" s="383"/>
      <c r="AFI126" s="383"/>
      <c r="AFJ126" s="383"/>
      <c r="AFK126" s="383"/>
      <c r="AFL126" s="383"/>
      <c r="AFM126" s="383"/>
      <c r="AFN126" s="383"/>
      <c r="AFO126" s="383"/>
      <c r="AFP126" s="383"/>
      <c r="AFQ126" s="383"/>
      <c r="AFR126" s="383"/>
      <c r="AFS126" s="383"/>
      <c r="AFT126" s="383"/>
      <c r="AFU126" s="383"/>
      <c r="AFV126" s="383"/>
      <c r="AFW126" s="383"/>
      <c r="AFX126" s="383"/>
      <c r="AFY126" s="383"/>
      <c r="AFZ126" s="383"/>
      <c r="AGA126" s="383"/>
      <c r="AGB126" s="383"/>
      <c r="AGC126" s="383"/>
      <c r="AGD126" s="383"/>
      <c r="AGE126" s="383"/>
      <c r="AGF126" s="383"/>
      <c r="AGG126" s="383"/>
      <c r="AGH126" s="383"/>
      <c r="AGI126" s="383"/>
      <c r="AGJ126" s="383"/>
      <c r="AGK126" s="383"/>
      <c r="AGL126" s="383"/>
      <c r="AGM126" s="383"/>
      <c r="AGN126" s="383"/>
      <c r="AGO126" s="383"/>
      <c r="AGP126" s="383"/>
      <c r="AGQ126" s="383"/>
      <c r="AGR126" s="383"/>
      <c r="AGS126" s="383"/>
      <c r="AGT126" s="383"/>
      <c r="AGU126" s="383"/>
      <c r="AGV126" s="383"/>
      <c r="AGW126" s="383"/>
      <c r="AGX126" s="383"/>
      <c r="AGY126" s="383"/>
      <c r="AGZ126" s="383"/>
      <c r="AHA126" s="383"/>
      <c r="AHB126" s="383"/>
      <c r="AHC126" s="383"/>
      <c r="AHD126" s="383"/>
      <c r="AHE126" s="383"/>
      <c r="AHF126" s="383"/>
      <c r="AHG126" s="383"/>
      <c r="AHH126" s="383"/>
      <c r="AHI126" s="383"/>
      <c r="AHJ126" s="383"/>
      <c r="AHK126" s="383"/>
      <c r="AHL126" s="383"/>
      <c r="AHM126" s="383"/>
      <c r="AHN126" s="383"/>
      <c r="AHO126" s="383"/>
      <c r="AHP126" s="383"/>
      <c r="AHQ126" s="383"/>
      <c r="AHR126" s="383"/>
      <c r="AHS126" s="383"/>
      <c r="AHT126" s="383"/>
      <c r="AHU126" s="383"/>
      <c r="AHV126" s="383"/>
      <c r="AHW126" s="383"/>
      <c r="AHX126" s="383"/>
      <c r="AHY126" s="383"/>
      <c r="AHZ126" s="383"/>
      <c r="AIA126" s="383"/>
      <c r="AIB126" s="383"/>
      <c r="AIC126" s="383"/>
      <c r="AID126" s="383"/>
      <c r="AIE126" s="383"/>
      <c r="AIF126" s="383"/>
      <c r="AIG126" s="383"/>
      <c r="AIH126" s="383"/>
      <c r="AII126" s="383"/>
      <c r="AIJ126" s="383"/>
      <c r="AIK126" s="383"/>
      <c r="AIL126" s="383"/>
      <c r="AIM126" s="383"/>
      <c r="AIN126" s="383"/>
      <c r="AIO126" s="383"/>
      <c r="AIP126" s="383"/>
      <c r="AIQ126" s="383"/>
      <c r="AIR126" s="383"/>
      <c r="AIS126" s="383"/>
      <c r="AIT126" s="383"/>
      <c r="AIU126" s="383"/>
      <c r="AIV126" s="383"/>
      <c r="AIW126" s="383"/>
      <c r="AIX126" s="383"/>
      <c r="AIY126" s="383"/>
      <c r="AIZ126" s="383"/>
      <c r="AJA126" s="383"/>
      <c r="AJB126" s="383"/>
      <c r="AJC126" s="383"/>
      <c r="AJD126" s="383"/>
      <c r="AJE126" s="383"/>
      <c r="AJF126" s="383"/>
      <c r="AJG126" s="383"/>
      <c r="AJH126" s="383"/>
      <c r="AJI126" s="383"/>
      <c r="AJJ126" s="383"/>
      <c r="AJK126" s="383"/>
      <c r="AJL126" s="383"/>
      <c r="AJM126" s="383"/>
      <c r="AJN126" s="383"/>
      <c r="AJO126" s="383"/>
      <c r="AJP126" s="383"/>
      <c r="AJQ126" s="383"/>
      <c r="AJR126" s="383"/>
      <c r="AJS126" s="383"/>
      <c r="AJT126" s="383"/>
      <c r="AJU126" s="383"/>
      <c r="AJV126" s="383"/>
      <c r="AJW126" s="383"/>
      <c r="AJX126" s="383"/>
      <c r="AJY126" s="383"/>
      <c r="AJZ126" s="383"/>
      <c r="AKA126" s="383"/>
      <c r="AKB126" s="383"/>
      <c r="AKC126" s="383"/>
      <c r="AKD126" s="383"/>
      <c r="AKE126" s="383"/>
      <c r="AKF126" s="383"/>
      <c r="AKG126" s="383"/>
      <c r="AKH126" s="383"/>
      <c r="AKI126" s="383"/>
      <c r="AKJ126" s="383"/>
      <c r="AKK126" s="383"/>
      <c r="AKL126" s="383"/>
      <c r="AKM126" s="383"/>
      <c r="AKN126" s="383"/>
      <c r="AKO126" s="383"/>
      <c r="AKP126" s="383"/>
      <c r="AKQ126" s="383"/>
      <c r="AKR126" s="383"/>
      <c r="AKS126" s="383"/>
      <c r="AKT126" s="383"/>
      <c r="AKU126" s="383"/>
      <c r="AKV126" s="383"/>
      <c r="AKW126" s="383"/>
      <c r="AKX126" s="383"/>
      <c r="AKY126" s="383"/>
      <c r="AKZ126" s="383"/>
      <c r="ALA126" s="383"/>
      <c r="ALB126" s="383"/>
      <c r="ALC126" s="383"/>
      <c r="ALD126" s="383"/>
      <c r="ALE126" s="383"/>
      <c r="ALF126" s="383"/>
      <c r="ALG126" s="383"/>
      <c r="ALH126" s="383"/>
      <c r="ALI126" s="383"/>
      <c r="ALJ126" s="383"/>
      <c r="ALK126" s="383"/>
      <c r="ALL126" s="383"/>
      <c r="ALM126" s="383"/>
      <c r="ALN126" s="383"/>
      <c r="ALO126" s="383"/>
      <c r="ALP126" s="383"/>
      <c r="ALQ126" s="383"/>
      <c r="ALR126" s="383"/>
      <c r="ALS126" s="383"/>
      <c r="ALT126" s="383"/>
      <c r="ALU126" s="383"/>
      <c r="ALV126" s="383"/>
      <c r="ALW126" s="383"/>
      <c r="ALX126" s="383"/>
      <c r="ALY126" s="383"/>
      <c r="ALZ126" s="383"/>
      <c r="AMA126" s="383"/>
      <c r="AMB126" s="383"/>
      <c r="AMC126" s="383"/>
      <c r="AMD126" s="383"/>
      <c r="AME126" s="383"/>
      <c r="AMF126" s="383"/>
      <c r="AMG126" s="383"/>
      <c r="AMH126" s="383"/>
      <c r="AMI126" s="383"/>
      <c r="AMJ126" s="383"/>
      <c r="AMK126" s="383"/>
      <c r="AML126" s="383"/>
      <c r="AMM126" s="383"/>
      <c r="AMN126" s="383"/>
      <c r="AMO126" s="383"/>
      <c r="AMP126" s="383"/>
      <c r="AMQ126" s="383"/>
      <c r="AMR126" s="383"/>
      <c r="AMS126" s="383"/>
      <c r="AMT126" s="383"/>
      <c r="AMU126" s="383"/>
      <c r="AMV126" s="383"/>
      <c r="AMW126" s="383"/>
      <c r="AMX126" s="383"/>
      <c r="AMY126" s="383"/>
      <c r="AMZ126" s="383"/>
      <c r="ANA126" s="383"/>
      <c r="ANB126" s="383"/>
      <c r="ANC126" s="383"/>
      <c r="AND126" s="383"/>
      <c r="ANE126" s="383"/>
      <c r="ANF126" s="383"/>
      <c r="ANG126" s="383"/>
      <c r="ANH126" s="383"/>
      <c r="ANI126" s="383"/>
      <c r="ANJ126" s="383"/>
      <c r="ANK126" s="383"/>
      <c r="ANL126" s="383"/>
      <c r="ANM126" s="383"/>
      <c r="ANN126" s="383"/>
      <c r="ANO126" s="383"/>
      <c r="ANP126" s="383"/>
      <c r="ANQ126" s="383"/>
      <c r="ANR126" s="383"/>
      <c r="ANS126" s="383"/>
      <c r="ANT126" s="383"/>
      <c r="ANU126" s="383"/>
      <c r="ANV126" s="383"/>
      <c r="ANW126" s="383"/>
      <c r="ANX126" s="383"/>
      <c r="ANY126" s="383"/>
      <c r="ANZ126" s="383"/>
      <c r="AOA126" s="383"/>
      <c r="AOB126" s="383"/>
      <c r="AOC126" s="383"/>
      <c r="AOD126" s="383"/>
      <c r="AOE126" s="383"/>
      <c r="AOF126" s="383"/>
      <c r="AOG126" s="383"/>
      <c r="AOH126" s="383"/>
      <c r="AOI126" s="383"/>
      <c r="AOJ126" s="383"/>
      <c r="AOK126" s="383"/>
      <c r="AOL126" s="383"/>
      <c r="AOM126" s="383"/>
      <c r="AON126" s="383"/>
      <c r="AOO126" s="383"/>
      <c r="AOP126" s="383"/>
      <c r="AOQ126" s="383"/>
      <c r="AOR126" s="383"/>
      <c r="AOS126" s="383"/>
      <c r="AOT126" s="383"/>
      <c r="AOU126" s="383"/>
      <c r="AOV126" s="383"/>
      <c r="AOW126" s="383"/>
      <c r="AOX126" s="383"/>
      <c r="AOY126" s="383"/>
      <c r="AOZ126" s="383"/>
      <c r="APA126" s="383"/>
      <c r="APB126" s="383"/>
      <c r="APC126" s="383"/>
      <c r="APD126" s="383"/>
      <c r="APE126" s="383"/>
      <c r="APF126" s="383"/>
      <c r="APG126" s="383"/>
      <c r="APH126" s="383"/>
      <c r="API126" s="383"/>
      <c r="APJ126" s="383"/>
      <c r="APK126" s="383"/>
      <c r="APL126" s="383"/>
      <c r="APM126" s="383"/>
      <c r="APN126" s="383"/>
      <c r="APO126" s="383"/>
      <c r="APP126" s="383"/>
      <c r="APQ126" s="383"/>
      <c r="APR126" s="383"/>
      <c r="APS126" s="383"/>
      <c r="APT126" s="383"/>
      <c r="APU126" s="383"/>
      <c r="APV126" s="383"/>
      <c r="APW126" s="383"/>
      <c r="APX126" s="383"/>
      <c r="APY126" s="383"/>
      <c r="APZ126" s="383"/>
      <c r="AQA126" s="383"/>
      <c r="AQB126" s="383"/>
      <c r="AQC126" s="383"/>
      <c r="AQD126" s="383"/>
      <c r="AQE126" s="383"/>
      <c r="AQF126" s="383"/>
      <c r="AQG126" s="383"/>
      <c r="AQH126" s="383"/>
      <c r="AQI126" s="383"/>
      <c r="AQJ126" s="383"/>
      <c r="AQK126" s="383"/>
      <c r="AQL126" s="383"/>
      <c r="AQM126" s="383"/>
      <c r="AQN126" s="383"/>
      <c r="AQO126" s="383"/>
      <c r="AQP126" s="383"/>
      <c r="AQQ126" s="383"/>
      <c r="AQR126" s="383"/>
      <c r="AQS126" s="383"/>
      <c r="AQT126" s="383"/>
      <c r="AQU126" s="383"/>
      <c r="AQV126" s="383"/>
      <c r="AQW126" s="383"/>
      <c r="AQX126" s="383"/>
      <c r="AQY126" s="383"/>
      <c r="AQZ126" s="383"/>
      <c r="ARA126" s="383"/>
      <c r="ARB126" s="383"/>
      <c r="ARC126" s="383"/>
      <c r="ARD126" s="383"/>
      <c r="ARE126" s="383"/>
      <c r="ARF126" s="383"/>
      <c r="ARG126" s="383"/>
      <c r="ARH126" s="383"/>
      <c r="ARI126" s="383"/>
      <c r="ARJ126" s="383"/>
      <c r="ARK126" s="383"/>
      <c r="ARL126" s="383"/>
      <c r="ARM126" s="383"/>
      <c r="ARN126" s="383"/>
      <c r="ARO126" s="383"/>
      <c r="ARP126" s="383"/>
      <c r="ARQ126" s="383"/>
      <c r="ARR126" s="383"/>
      <c r="ARS126" s="383"/>
      <c r="ART126" s="383"/>
      <c r="ARU126" s="383"/>
      <c r="ARV126" s="383"/>
      <c r="ARW126" s="383"/>
      <c r="ARX126" s="383"/>
      <c r="ARY126" s="383"/>
      <c r="ARZ126" s="383"/>
      <c r="ASA126" s="383"/>
      <c r="ASB126" s="383"/>
      <c r="ASC126" s="383"/>
      <c r="ASD126" s="383"/>
      <c r="ASE126" s="383"/>
      <c r="ASF126" s="383"/>
      <c r="ASG126" s="383"/>
      <c r="ASH126" s="383"/>
      <c r="ASI126" s="383"/>
      <c r="ASJ126" s="383"/>
      <c r="ASK126" s="383"/>
      <c r="ASL126" s="383"/>
      <c r="ASM126" s="383"/>
      <c r="ASN126" s="383"/>
      <c r="ASO126" s="383"/>
      <c r="ASP126" s="383"/>
      <c r="ASQ126" s="383"/>
      <c r="ASR126" s="383"/>
      <c r="ASS126" s="383"/>
      <c r="AST126" s="383"/>
      <c r="ASU126" s="383"/>
      <c r="ASV126" s="383"/>
      <c r="ASW126" s="383"/>
      <c r="ASX126" s="383"/>
      <c r="ASY126" s="383"/>
      <c r="ASZ126" s="383"/>
      <c r="ATA126" s="383"/>
      <c r="ATB126" s="383"/>
      <c r="ATC126" s="383"/>
      <c r="ATD126" s="383"/>
      <c r="ATE126" s="383"/>
      <c r="ATF126" s="383"/>
      <c r="ATG126" s="383"/>
      <c r="ATH126" s="383"/>
      <c r="ATI126" s="383"/>
      <c r="ATJ126" s="383"/>
      <c r="ATK126" s="383"/>
      <c r="ATL126" s="383"/>
      <c r="ATM126" s="383"/>
      <c r="ATN126" s="383"/>
      <c r="ATO126" s="383"/>
      <c r="ATP126" s="383"/>
      <c r="ATQ126" s="383"/>
      <c r="ATR126" s="383"/>
      <c r="ATS126" s="383"/>
      <c r="ATT126" s="383"/>
      <c r="ATU126" s="383"/>
      <c r="ATV126" s="383"/>
      <c r="ATW126" s="383"/>
      <c r="ATX126" s="383"/>
      <c r="ATY126" s="383"/>
      <c r="ATZ126" s="383"/>
      <c r="AUA126" s="383"/>
      <c r="AUB126" s="383"/>
      <c r="AUC126" s="383"/>
      <c r="AUD126" s="383"/>
      <c r="AUE126" s="383"/>
      <c r="AUF126" s="383"/>
      <c r="AUG126" s="383"/>
      <c r="AUH126" s="383"/>
      <c r="AUI126" s="383"/>
      <c r="AUJ126" s="383"/>
      <c r="AUK126" s="383"/>
      <c r="AUL126" s="383"/>
      <c r="AUM126" s="383"/>
      <c r="AUN126" s="383"/>
      <c r="AUO126" s="383"/>
      <c r="AUP126" s="383"/>
      <c r="AUQ126" s="383"/>
      <c r="AUR126" s="383"/>
      <c r="AUS126" s="383"/>
      <c r="AUT126" s="383"/>
      <c r="AUU126" s="383"/>
      <c r="AUV126" s="383"/>
      <c r="AUW126" s="383"/>
      <c r="AUX126" s="383"/>
      <c r="AUY126" s="383"/>
      <c r="AUZ126" s="383"/>
      <c r="AVA126" s="383"/>
      <c r="AVB126" s="383"/>
      <c r="AVC126" s="383"/>
      <c r="AVD126" s="383"/>
      <c r="AVE126" s="383"/>
      <c r="AVF126" s="383"/>
      <c r="AVG126" s="383"/>
      <c r="AVH126" s="383"/>
      <c r="AVI126" s="383"/>
      <c r="AVJ126" s="383"/>
      <c r="AVK126" s="383"/>
      <c r="AVL126" s="383"/>
      <c r="AVM126" s="383"/>
      <c r="AVN126" s="383"/>
      <c r="AVO126" s="383"/>
      <c r="AVP126" s="383"/>
      <c r="AVQ126" s="383"/>
      <c r="AVR126" s="383"/>
      <c r="AVS126" s="383"/>
      <c r="AVT126" s="383"/>
      <c r="AVU126" s="383"/>
      <c r="AVV126" s="383"/>
      <c r="AVW126" s="383"/>
      <c r="AVX126" s="383"/>
      <c r="AVY126" s="383"/>
      <c r="AVZ126" s="383"/>
      <c r="AWA126" s="383"/>
      <c r="AWB126" s="383"/>
      <c r="AWC126" s="383"/>
      <c r="AWD126" s="383"/>
      <c r="AWE126" s="383"/>
      <c r="AWF126" s="383"/>
      <c r="AWG126" s="383"/>
      <c r="AWH126" s="383"/>
      <c r="AWI126" s="383"/>
      <c r="AWJ126" s="383"/>
      <c r="AWK126" s="383"/>
      <c r="AWL126" s="383"/>
      <c r="AWM126" s="383"/>
      <c r="AWN126" s="383"/>
      <c r="AWO126" s="383"/>
      <c r="AWP126" s="383"/>
      <c r="AWQ126" s="383"/>
      <c r="AWR126" s="383"/>
      <c r="AWS126" s="383"/>
      <c r="AWT126" s="383"/>
      <c r="AWU126" s="383"/>
      <c r="AWV126" s="383"/>
      <c r="AWW126" s="383"/>
      <c r="AWX126" s="383"/>
      <c r="AWY126" s="383"/>
      <c r="AWZ126" s="383"/>
      <c r="AXA126" s="383"/>
      <c r="AXB126" s="383"/>
      <c r="AXC126" s="383"/>
      <c r="AXD126" s="383"/>
      <c r="AXE126" s="383"/>
      <c r="AXF126" s="383"/>
      <c r="AXG126" s="383"/>
      <c r="AXH126" s="383"/>
      <c r="AXI126" s="383"/>
      <c r="AXJ126" s="383"/>
      <c r="AXK126" s="383"/>
      <c r="AXL126" s="383"/>
      <c r="AXM126" s="383"/>
      <c r="AXN126" s="383"/>
      <c r="AXO126" s="383"/>
      <c r="AXP126" s="383"/>
      <c r="AXQ126" s="383"/>
      <c r="AXR126" s="383"/>
      <c r="AXS126" s="383"/>
      <c r="AXT126" s="383"/>
      <c r="AXU126" s="383"/>
      <c r="AXV126" s="383"/>
      <c r="AXW126" s="383"/>
      <c r="AXX126" s="383"/>
      <c r="AXY126" s="383"/>
      <c r="AXZ126" s="383"/>
      <c r="AYA126" s="383"/>
      <c r="AYB126" s="383"/>
      <c r="AYC126" s="383"/>
      <c r="AYD126" s="383"/>
      <c r="AYE126" s="383"/>
      <c r="AYF126" s="383"/>
      <c r="AYG126" s="383"/>
      <c r="AYH126" s="383"/>
      <c r="AYI126" s="383"/>
      <c r="AYJ126" s="383"/>
      <c r="AYK126" s="383"/>
      <c r="AYL126" s="383"/>
      <c r="AYM126" s="383"/>
      <c r="AYN126" s="383"/>
      <c r="AYO126" s="383"/>
      <c r="AYP126" s="383"/>
      <c r="AYQ126" s="383"/>
      <c r="AYR126" s="383"/>
      <c r="AYS126" s="383"/>
      <c r="AYT126" s="383"/>
      <c r="AYU126" s="383"/>
      <c r="AYV126" s="383"/>
      <c r="AYW126" s="383"/>
      <c r="AYX126" s="383"/>
      <c r="AYY126" s="383"/>
      <c r="AYZ126" s="383"/>
      <c r="AZA126" s="383"/>
      <c r="AZB126" s="383"/>
      <c r="AZC126" s="383"/>
      <c r="AZD126" s="383"/>
      <c r="AZE126" s="383"/>
      <c r="AZF126" s="383"/>
      <c r="AZG126" s="383"/>
      <c r="AZH126" s="383"/>
      <c r="AZI126" s="383"/>
      <c r="AZJ126" s="383"/>
      <c r="AZK126" s="383"/>
      <c r="AZL126" s="383"/>
      <c r="AZM126" s="383"/>
      <c r="AZN126" s="383"/>
      <c r="AZO126" s="383"/>
      <c r="AZP126" s="383"/>
      <c r="AZQ126" s="383"/>
      <c r="AZR126" s="383"/>
      <c r="AZS126" s="383"/>
      <c r="AZT126" s="383"/>
      <c r="AZU126" s="383"/>
      <c r="AZV126" s="383"/>
      <c r="AZW126" s="383"/>
      <c r="AZX126" s="383"/>
      <c r="AZY126" s="383"/>
      <c r="AZZ126" s="383"/>
      <c r="BAA126" s="383"/>
      <c r="BAB126" s="383"/>
      <c r="BAC126" s="383"/>
      <c r="BAD126" s="383"/>
      <c r="BAE126" s="383"/>
      <c r="BAF126" s="383"/>
      <c r="BAG126" s="383"/>
      <c r="BAH126" s="383"/>
      <c r="BAI126" s="383"/>
      <c r="BAJ126" s="383"/>
      <c r="BAK126" s="383"/>
      <c r="BAL126" s="383"/>
      <c r="BAM126" s="383"/>
      <c r="BAN126" s="383"/>
      <c r="BAO126" s="383"/>
      <c r="BAP126" s="383"/>
      <c r="BAQ126" s="383"/>
      <c r="BAR126" s="383"/>
      <c r="BAS126" s="383"/>
      <c r="BAT126" s="383"/>
      <c r="BAU126" s="383"/>
      <c r="BAV126" s="383"/>
      <c r="BAW126" s="383"/>
      <c r="BAX126" s="383"/>
      <c r="BAY126" s="383"/>
      <c r="BAZ126" s="383"/>
      <c r="BBA126" s="383"/>
      <c r="BBB126" s="383"/>
      <c r="BBC126" s="383"/>
      <c r="BBD126" s="383"/>
      <c r="BBE126" s="383"/>
      <c r="BBF126" s="383"/>
      <c r="BBG126" s="383"/>
      <c r="BBH126" s="383"/>
      <c r="BBI126" s="383"/>
      <c r="BBJ126" s="383"/>
      <c r="BBK126" s="383"/>
      <c r="BBL126" s="383"/>
      <c r="BBM126" s="383"/>
      <c r="BBN126" s="383"/>
      <c r="BBO126" s="383"/>
      <c r="BBP126" s="383"/>
      <c r="BBQ126" s="383"/>
      <c r="BBR126" s="383"/>
      <c r="BBS126" s="383"/>
      <c r="BBT126" s="383"/>
      <c r="BBU126" s="383"/>
      <c r="BBV126" s="383"/>
      <c r="BBW126" s="383"/>
      <c r="BBX126" s="383"/>
      <c r="BBY126" s="383"/>
      <c r="BBZ126" s="383"/>
      <c r="BCA126" s="383"/>
      <c r="BCB126" s="383"/>
      <c r="BCC126" s="383"/>
      <c r="BCD126" s="383"/>
      <c r="BCE126" s="383"/>
      <c r="BCF126" s="383"/>
      <c r="BCG126" s="383"/>
      <c r="BCH126" s="383"/>
      <c r="BCI126" s="383"/>
      <c r="BCJ126" s="383"/>
      <c r="BCK126" s="383"/>
      <c r="BCL126" s="383"/>
      <c r="BCM126" s="383"/>
      <c r="BCN126" s="383"/>
      <c r="BCO126" s="383"/>
      <c r="BCP126" s="383"/>
      <c r="BCQ126" s="383"/>
      <c r="BCR126" s="383"/>
      <c r="BCS126" s="383"/>
      <c r="BCT126" s="383"/>
      <c r="BCU126" s="383"/>
      <c r="BCV126" s="383"/>
      <c r="BCW126" s="383"/>
      <c r="BCX126" s="383"/>
      <c r="BCY126" s="383"/>
      <c r="BCZ126" s="383"/>
      <c r="BDA126" s="383"/>
      <c r="BDB126" s="383"/>
      <c r="BDC126" s="383"/>
      <c r="BDD126" s="383"/>
      <c r="BDE126" s="383"/>
      <c r="BDF126" s="383"/>
      <c r="BDG126" s="383"/>
      <c r="BDH126" s="383"/>
      <c r="BDI126" s="383"/>
      <c r="BDJ126" s="383"/>
      <c r="BDK126" s="383"/>
      <c r="BDL126" s="383"/>
      <c r="BDM126" s="383"/>
      <c r="BDN126" s="383"/>
      <c r="BDO126" s="383"/>
      <c r="BDP126" s="383"/>
      <c r="BDQ126" s="383"/>
      <c r="BDR126" s="383"/>
      <c r="BDS126" s="383"/>
      <c r="BDT126" s="383"/>
      <c r="BDU126" s="383"/>
      <c r="BDV126" s="383"/>
      <c r="BDW126" s="383"/>
      <c r="BDX126" s="383"/>
      <c r="BDY126" s="383"/>
      <c r="BDZ126" s="383"/>
      <c r="BEA126" s="383"/>
      <c r="BEB126" s="383"/>
      <c r="BEC126" s="383"/>
      <c r="BED126" s="383"/>
      <c r="BEE126" s="383"/>
      <c r="BEF126" s="383"/>
      <c r="BEG126" s="383"/>
      <c r="BEH126" s="383"/>
      <c r="BEI126" s="383"/>
      <c r="BEJ126" s="383"/>
      <c r="BEK126" s="383"/>
      <c r="BEL126" s="383"/>
      <c r="BEM126" s="383"/>
      <c r="BEN126" s="383"/>
      <c r="BEO126" s="383"/>
      <c r="BEP126" s="383"/>
      <c r="BEQ126" s="383"/>
      <c r="BER126" s="383"/>
      <c r="BES126" s="383"/>
      <c r="BET126" s="383"/>
      <c r="BEU126" s="383"/>
      <c r="BEV126" s="383"/>
      <c r="BEW126" s="383"/>
      <c r="BEX126" s="383"/>
      <c r="BEY126" s="383"/>
      <c r="BEZ126" s="383"/>
      <c r="BFA126" s="383"/>
      <c r="BFB126" s="383"/>
      <c r="BFC126" s="383"/>
      <c r="BFD126" s="383"/>
      <c r="BFE126" s="383"/>
      <c r="BFF126" s="383"/>
      <c r="BFG126" s="383"/>
      <c r="BFH126" s="383"/>
      <c r="BFI126" s="383"/>
      <c r="BFJ126" s="383"/>
      <c r="BFK126" s="383"/>
      <c r="BFL126" s="383"/>
      <c r="BFM126" s="383"/>
      <c r="BFN126" s="383"/>
      <c r="BFO126" s="383"/>
      <c r="BFP126" s="383"/>
      <c r="BFQ126" s="383"/>
      <c r="BFR126" s="383"/>
      <c r="BFS126" s="383"/>
      <c r="BFT126" s="383"/>
      <c r="BFU126" s="383"/>
      <c r="BFV126" s="383"/>
      <c r="BFW126" s="383"/>
      <c r="BFX126" s="383"/>
      <c r="BFY126" s="383"/>
      <c r="BFZ126" s="383"/>
      <c r="BGA126" s="383"/>
      <c r="BGB126" s="383"/>
      <c r="BGC126" s="383"/>
      <c r="BGD126" s="383"/>
      <c r="BGE126" s="383"/>
      <c r="BGF126" s="383"/>
      <c r="BGG126" s="383"/>
      <c r="BGH126" s="383"/>
      <c r="BGI126" s="383"/>
      <c r="BGJ126" s="383"/>
      <c r="BGK126" s="383"/>
      <c r="BGL126" s="383"/>
      <c r="BGM126" s="383"/>
      <c r="BGN126" s="383"/>
      <c r="BGO126" s="383"/>
      <c r="BGP126" s="383"/>
      <c r="BGQ126" s="383"/>
      <c r="BGR126" s="383"/>
      <c r="BGS126" s="383"/>
      <c r="BGT126" s="383"/>
      <c r="BGU126" s="383"/>
      <c r="BGV126" s="383"/>
      <c r="BGW126" s="383"/>
      <c r="BGX126" s="383"/>
      <c r="BGY126" s="383"/>
      <c r="BGZ126" s="383"/>
      <c r="BHA126" s="383"/>
      <c r="BHB126" s="383"/>
      <c r="BHC126" s="383"/>
      <c r="BHD126" s="383"/>
      <c r="BHE126" s="383"/>
      <c r="BHF126" s="383"/>
      <c r="BHG126" s="383"/>
      <c r="BHH126" s="383"/>
      <c r="BHI126" s="383"/>
      <c r="BHJ126" s="383"/>
      <c r="BHK126" s="383"/>
      <c r="BHL126" s="383"/>
      <c r="BHM126" s="383"/>
      <c r="BHN126" s="383"/>
      <c r="BHO126" s="383"/>
      <c r="BHP126" s="383"/>
      <c r="BHQ126" s="383"/>
      <c r="BHR126" s="383"/>
      <c r="BHS126" s="383"/>
      <c r="BHT126" s="383"/>
      <c r="BHU126" s="383"/>
      <c r="BHV126" s="383"/>
      <c r="BHW126" s="383"/>
      <c r="BHX126" s="383"/>
      <c r="BHY126" s="383"/>
      <c r="BHZ126" s="383"/>
      <c r="BIA126" s="383"/>
      <c r="BIB126" s="383"/>
      <c r="BIC126" s="383"/>
      <c r="BID126" s="383"/>
      <c r="BIE126" s="383"/>
      <c r="BIF126" s="383"/>
      <c r="BIG126" s="383"/>
      <c r="BIH126" s="383"/>
      <c r="BII126" s="383"/>
      <c r="BIJ126" s="383"/>
      <c r="BIK126" s="383"/>
      <c r="BIL126" s="383"/>
      <c r="BIM126" s="383"/>
      <c r="BIN126" s="383"/>
      <c r="BIO126" s="383"/>
      <c r="BIP126" s="383"/>
      <c r="BIQ126" s="383"/>
      <c r="BIR126" s="383"/>
      <c r="BIS126" s="383"/>
      <c r="BIT126" s="383"/>
      <c r="BIU126" s="383"/>
      <c r="BIV126" s="383"/>
      <c r="BIW126" s="383"/>
      <c r="BIX126" s="383"/>
      <c r="BIY126" s="383"/>
      <c r="BIZ126" s="383"/>
      <c r="BJA126" s="383"/>
      <c r="BJB126" s="383"/>
      <c r="BJC126" s="383"/>
      <c r="BJD126" s="383"/>
      <c r="BJE126" s="383"/>
      <c r="BJF126" s="383"/>
      <c r="BJG126" s="383"/>
      <c r="BJH126" s="383"/>
      <c r="BJI126" s="383"/>
      <c r="BJJ126" s="383"/>
      <c r="BJK126" s="383"/>
      <c r="BJL126" s="383"/>
      <c r="BJM126" s="383"/>
      <c r="BJN126" s="383"/>
      <c r="BJO126" s="383"/>
      <c r="BJP126" s="383"/>
      <c r="BJQ126" s="383"/>
      <c r="BJR126" s="383"/>
      <c r="BJS126" s="383"/>
      <c r="BJT126" s="383"/>
      <c r="BJU126" s="383"/>
      <c r="BJV126" s="383"/>
      <c r="BJW126" s="383"/>
      <c r="BJX126" s="383"/>
      <c r="BJY126" s="383"/>
      <c r="BJZ126" s="383"/>
      <c r="BKA126" s="383"/>
      <c r="BKB126" s="383"/>
      <c r="BKC126" s="383"/>
      <c r="BKD126" s="383"/>
      <c r="BKE126" s="383"/>
      <c r="BKF126" s="383"/>
      <c r="BKG126" s="383"/>
      <c r="BKH126" s="383"/>
      <c r="BKI126" s="383"/>
      <c r="BKJ126" s="383"/>
      <c r="BKK126" s="383"/>
      <c r="BKL126" s="383"/>
      <c r="BKM126" s="383"/>
      <c r="BKN126" s="383"/>
      <c r="BKO126" s="383"/>
      <c r="BKP126" s="383"/>
      <c r="BKQ126" s="383"/>
      <c r="BKR126" s="383"/>
      <c r="BKS126" s="383"/>
      <c r="BKT126" s="383"/>
      <c r="BKU126" s="383"/>
      <c r="BKV126" s="383"/>
      <c r="BKW126" s="383"/>
      <c r="BKX126" s="383"/>
      <c r="BKY126" s="383"/>
      <c r="BKZ126" s="383"/>
      <c r="BLA126" s="383"/>
      <c r="BLB126" s="383"/>
      <c r="BLC126" s="383"/>
      <c r="BLD126" s="383"/>
      <c r="BLE126" s="383"/>
      <c r="BLF126" s="383"/>
      <c r="BLG126" s="383"/>
      <c r="BLH126" s="383"/>
      <c r="BLI126" s="383"/>
      <c r="BLJ126" s="383"/>
      <c r="BLK126" s="383"/>
      <c r="BLL126" s="383"/>
      <c r="BLM126" s="383"/>
      <c r="BLN126" s="383"/>
      <c r="BLO126" s="383"/>
      <c r="BLP126" s="383"/>
      <c r="BLQ126" s="383"/>
      <c r="BLR126" s="383"/>
      <c r="BLS126" s="383"/>
      <c r="BLT126" s="383"/>
      <c r="BLU126" s="383"/>
      <c r="BLV126" s="383"/>
      <c r="BLW126" s="383"/>
      <c r="BLX126" s="383"/>
      <c r="BLY126" s="383"/>
      <c r="BLZ126" s="383"/>
      <c r="BMA126" s="383"/>
      <c r="BMB126" s="383"/>
      <c r="BMC126" s="383"/>
      <c r="BMD126" s="383"/>
      <c r="BME126" s="383"/>
      <c r="BMF126" s="383"/>
      <c r="BMG126" s="383"/>
      <c r="BMH126" s="383"/>
      <c r="BMI126" s="383"/>
      <c r="BMJ126" s="383"/>
      <c r="BMK126" s="383"/>
      <c r="BML126" s="383"/>
      <c r="BMM126" s="383"/>
      <c r="BMN126" s="383"/>
      <c r="BMO126" s="383"/>
      <c r="BMP126" s="383"/>
      <c r="BMQ126" s="383"/>
      <c r="BMR126" s="383"/>
      <c r="BMS126" s="383"/>
      <c r="BMT126" s="383"/>
      <c r="BMU126" s="383"/>
      <c r="BMV126" s="383"/>
      <c r="BMW126" s="383"/>
      <c r="BMX126" s="383"/>
      <c r="BMY126" s="383"/>
      <c r="BMZ126" s="383"/>
      <c r="BNA126" s="383"/>
      <c r="BNB126" s="383"/>
      <c r="BNC126" s="383"/>
      <c r="BND126" s="383"/>
      <c r="BNE126" s="383"/>
      <c r="BNF126" s="383"/>
      <c r="BNG126" s="383"/>
      <c r="BNH126" s="383"/>
      <c r="BNI126" s="383"/>
      <c r="BNJ126" s="383"/>
      <c r="BNK126" s="383"/>
      <c r="BNL126" s="383"/>
      <c r="BNM126" s="383"/>
      <c r="BNN126" s="383"/>
      <c r="BNO126" s="383"/>
      <c r="BNP126" s="383"/>
      <c r="BNQ126" s="383"/>
      <c r="BNR126" s="383"/>
      <c r="BNS126" s="383"/>
      <c r="BNT126" s="383"/>
      <c r="BNU126" s="383"/>
      <c r="BNV126" s="383"/>
      <c r="BNW126" s="383"/>
      <c r="BNX126" s="383"/>
      <c r="BNY126" s="383"/>
      <c r="BNZ126" s="383"/>
      <c r="BOA126" s="383"/>
      <c r="BOB126" s="383"/>
      <c r="BOC126" s="383"/>
      <c r="BOD126" s="383"/>
      <c r="BOE126" s="383"/>
      <c r="BOF126" s="383"/>
      <c r="BOG126" s="383"/>
      <c r="BOH126" s="383"/>
      <c r="BOI126" s="383"/>
      <c r="BOJ126" s="383"/>
      <c r="BOK126" s="383"/>
      <c r="BOL126" s="383"/>
      <c r="BOM126" s="383"/>
      <c r="BON126" s="383"/>
      <c r="BOO126" s="383"/>
      <c r="BOP126" s="383"/>
      <c r="BOQ126" s="383"/>
      <c r="BOR126" s="383"/>
      <c r="BOS126" s="383"/>
      <c r="BOT126" s="383"/>
      <c r="BOU126" s="383"/>
      <c r="BOV126" s="383"/>
      <c r="BOW126" s="383"/>
      <c r="BOX126" s="383"/>
      <c r="BOY126" s="383"/>
      <c r="BOZ126" s="383"/>
      <c r="BPA126" s="383"/>
      <c r="BPB126" s="383"/>
      <c r="BPC126" s="383"/>
      <c r="BPD126" s="383"/>
      <c r="BPE126" s="383"/>
      <c r="BPF126" s="383"/>
      <c r="BPG126" s="383"/>
      <c r="BPH126" s="383"/>
      <c r="BPI126" s="383"/>
      <c r="BPJ126" s="383"/>
      <c r="BPK126" s="383"/>
      <c r="BPL126" s="383"/>
      <c r="BPM126" s="383"/>
      <c r="BPN126" s="383"/>
      <c r="BPO126" s="383"/>
      <c r="BPP126" s="383"/>
      <c r="BPQ126" s="383"/>
      <c r="BPR126" s="383"/>
      <c r="BPS126" s="383"/>
      <c r="BPT126" s="383"/>
      <c r="BPU126" s="383"/>
      <c r="BPV126" s="383"/>
      <c r="BPW126" s="383"/>
      <c r="BPX126" s="383"/>
      <c r="BPY126" s="383"/>
      <c r="BPZ126" s="383"/>
      <c r="BQA126" s="383"/>
      <c r="BQB126" s="383"/>
      <c r="BQC126" s="383"/>
      <c r="BQD126" s="383"/>
      <c r="BQE126" s="383"/>
      <c r="BQF126" s="383"/>
      <c r="BQG126" s="383"/>
      <c r="BQH126" s="383"/>
      <c r="BQI126" s="383"/>
      <c r="BQJ126" s="383"/>
      <c r="BQK126" s="383"/>
      <c r="BQL126" s="383"/>
      <c r="BQM126" s="383"/>
      <c r="BQN126" s="383"/>
      <c r="BQO126" s="383"/>
      <c r="BQP126" s="383"/>
      <c r="BQQ126" s="383"/>
      <c r="BQR126" s="383"/>
      <c r="BQS126" s="383"/>
      <c r="BQT126" s="383"/>
      <c r="BQU126" s="383"/>
      <c r="BQV126" s="383"/>
      <c r="BQW126" s="383"/>
      <c r="BQX126" s="383"/>
      <c r="BQY126" s="383"/>
      <c r="BQZ126" s="383"/>
      <c r="BRA126" s="383"/>
      <c r="BRB126" s="383"/>
      <c r="BRC126" s="383"/>
      <c r="BRD126" s="383"/>
      <c r="BRE126" s="383"/>
      <c r="BRF126" s="383"/>
      <c r="BRG126" s="383"/>
      <c r="BRH126" s="383"/>
      <c r="BRI126" s="383"/>
      <c r="BRJ126" s="383"/>
      <c r="BRK126" s="383"/>
      <c r="BRL126" s="383"/>
      <c r="BRM126" s="383"/>
      <c r="BRN126" s="383"/>
      <c r="BRO126" s="383"/>
      <c r="BRP126" s="383"/>
      <c r="BRQ126" s="383"/>
      <c r="BRR126" s="383"/>
      <c r="BRS126" s="383"/>
      <c r="BRT126" s="383"/>
      <c r="BRU126" s="383"/>
      <c r="BRV126" s="383"/>
      <c r="BRW126" s="383"/>
      <c r="BRX126" s="383"/>
      <c r="BRY126" s="383"/>
      <c r="BRZ126" s="383"/>
      <c r="BSA126" s="383"/>
      <c r="BSB126" s="383"/>
      <c r="BSC126" s="383"/>
      <c r="BSD126" s="383"/>
      <c r="BSE126" s="383"/>
      <c r="BSF126" s="383"/>
      <c r="BSG126" s="383"/>
      <c r="BSH126" s="383"/>
      <c r="BSI126" s="383"/>
      <c r="BSJ126" s="383"/>
      <c r="BSK126" s="383"/>
      <c r="BSL126" s="383"/>
      <c r="BSM126" s="383"/>
      <c r="BSN126" s="383"/>
      <c r="BSO126" s="383"/>
      <c r="BSP126" s="383"/>
      <c r="BSQ126" s="383"/>
      <c r="BSR126" s="383"/>
      <c r="BSS126" s="383"/>
      <c r="BST126" s="383"/>
      <c r="BSU126" s="383"/>
      <c r="BSV126" s="383"/>
      <c r="BSW126" s="383"/>
      <c r="BSX126" s="383"/>
      <c r="BSY126" s="383"/>
      <c r="BSZ126" s="383"/>
      <c r="BTA126" s="383"/>
      <c r="BTB126" s="383"/>
      <c r="BTC126" s="383"/>
      <c r="BTD126" s="383"/>
      <c r="BTE126" s="383"/>
      <c r="BTF126" s="383"/>
      <c r="BTG126" s="383"/>
      <c r="BTH126" s="383"/>
      <c r="BTI126" s="383"/>
      <c r="BTJ126" s="383"/>
      <c r="BTK126" s="383"/>
      <c r="BTL126" s="383"/>
      <c r="BTM126" s="383"/>
      <c r="BTN126" s="383"/>
      <c r="BTO126" s="383"/>
      <c r="BTP126" s="383"/>
      <c r="BTQ126" s="383"/>
      <c r="BTR126" s="383"/>
      <c r="BTS126" s="383"/>
      <c r="BTT126" s="383"/>
      <c r="BTU126" s="383"/>
      <c r="BTV126" s="383"/>
      <c r="BTW126" s="383"/>
      <c r="BTX126" s="383"/>
      <c r="BTY126" s="383"/>
      <c r="BTZ126" s="383"/>
      <c r="BUA126" s="383"/>
      <c r="BUB126" s="383"/>
      <c r="BUC126" s="383"/>
      <c r="BUD126" s="383"/>
      <c r="BUE126" s="383"/>
      <c r="BUF126" s="383"/>
      <c r="BUG126" s="383"/>
      <c r="BUH126" s="383"/>
      <c r="BUI126" s="383"/>
      <c r="BUJ126" s="383"/>
      <c r="BUK126" s="383"/>
      <c r="BUL126" s="383"/>
      <c r="BUM126" s="383"/>
      <c r="BUN126" s="383"/>
      <c r="BUO126" s="383"/>
      <c r="BUP126" s="383"/>
      <c r="BUQ126" s="383"/>
      <c r="BUR126" s="383"/>
      <c r="BUS126" s="383"/>
      <c r="BUT126" s="383"/>
      <c r="BUU126" s="383"/>
      <c r="BUV126" s="383"/>
      <c r="BUW126" s="383"/>
      <c r="BUX126" s="383"/>
      <c r="BUY126" s="383"/>
      <c r="BUZ126" s="383"/>
      <c r="BVA126" s="383"/>
      <c r="BVB126" s="383"/>
      <c r="BVC126" s="383"/>
      <c r="BVD126" s="383"/>
      <c r="BVE126" s="383"/>
      <c r="BVF126" s="383"/>
      <c r="BVG126" s="383"/>
      <c r="BVH126" s="383"/>
      <c r="BVI126" s="383"/>
      <c r="BVJ126" s="383"/>
      <c r="BVK126" s="383"/>
      <c r="BVL126" s="383"/>
      <c r="BVM126" s="383"/>
      <c r="BVN126" s="383"/>
      <c r="BVO126" s="383"/>
      <c r="BVP126" s="383"/>
      <c r="BVQ126" s="383"/>
      <c r="BVR126" s="383"/>
      <c r="BVS126" s="383"/>
      <c r="BVT126" s="383"/>
      <c r="BVU126" s="383"/>
      <c r="BVV126" s="383"/>
      <c r="BVW126" s="383"/>
      <c r="BVX126" s="383"/>
      <c r="BVY126" s="383"/>
      <c r="BVZ126" s="383"/>
      <c r="BWA126" s="383"/>
      <c r="BWB126" s="383"/>
      <c r="BWC126" s="383"/>
      <c r="BWD126" s="383"/>
      <c r="BWE126" s="383"/>
      <c r="BWF126" s="383"/>
      <c r="BWG126" s="383"/>
      <c r="BWH126" s="383"/>
      <c r="BWI126" s="383"/>
      <c r="BWJ126" s="383"/>
      <c r="BWK126" s="383"/>
      <c r="BWL126" s="383"/>
      <c r="BWM126" s="383"/>
      <c r="BWN126" s="383"/>
      <c r="BWO126" s="383"/>
      <c r="BWP126" s="383"/>
      <c r="BWQ126" s="383"/>
      <c r="BWR126" s="383"/>
      <c r="BWS126" s="383"/>
      <c r="BWT126" s="383"/>
      <c r="BWU126" s="383"/>
      <c r="BWV126" s="383"/>
      <c r="BWW126" s="383"/>
      <c r="BWX126" s="383"/>
      <c r="BWY126" s="383"/>
      <c r="BWZ126" s="383"/>
      <c r="BXA126" s="383"/>
      <c r="BXB126" s="383"/>
      <c r="BXC126" s="383"/>
      <c r="BXD126" s="383"/>
      <c r="BXE126" s="383"/>
      <c r="BXF126" s="383"/>
      <c r="BXG126" s="383"/>
      <c r="BXH126" s="383"/>
      <c r="BXI126" s="383"/>
      <c r="BXJ126" s="383"/>
      <c r="BXK126" s="383"/>
      <c r="BXL126" s="383"/>
      <c r="BXM126" s="383"/>
      <c r="BXN126" s="383"/>
      <c r="BXO126" s="383"/>
      <c r="BXP126" s="383"/>
      <c r="BXQ126" s="383"/>
      <c r="BXR126" s="383"/>
      <c r="BXS126" s="383"/>
      <c r="BXT126" s="383"/>
      <c r="BXU126" s="383"/>
      <c r="BXV126" s="383"/>
      <c r="BXW126" s="383"/>
      <c r="BXX126" s="383"/>
      <c r="BXY126" s="383"/>
      <c r="BXZ126" s="383"/>
      <c r="BYA126" s="383"/>
      <c r="BYB126" s="383"/>
      <c r="BYC126" s="383"/>
      <c r="BYD126" s="383"/>
      <c r="BYE126" s="383"/>
      <c r="BYF126" s="383"/>
      <c r="BYG126" s="383"/>
      <c r="BYH126" s="383"/>
      <c r="BYI126" s="383"/>
      <c r="BYJ126" s="383"/>
      <c r="BYK126" s="383"/>
      <c r="BYL126" s="383"/>
      <c r="BYM126" s="383"/>
      <c r="BYN126" s="383"/>
      <c r="BYO126" s="383"/>
      <c r="BYP126" s="383"/>
      <c r="BYQ126" s="383"/>
      <c r="BYR126" s="383"/>
      <c r="BYS126" s="383"/>
      <c r="BYT126" s="383"/>
      <c r="BYU126" s="383"/>
      <c r="BYV126" s="383"/>
      <c r="BYW126" s="383"/>
      <c r="BYX126" s="383"/>
      <c r="BYY126" s="383"/>
      <c r="BYZ126" s="383"/>
      <c r="BZA126" s="383"/>
      <c r="BZB126" s="383"/>
      <c r="BZC126" s="383"/>
      <c r="BZD126" s="383"/>
      <c r="BZE126" s="383"/>
      <c r="BZF126" s="383"/>
      <c r="BZG126" s="383"/>
      <c r="BZH126" s="383"/>
      <c r="BZI126" s="383"/>
      <c r="BZJ126" s="383"/>
      <c r="BZK126" s="383"/>
      <c r="BZL126" s="383"/>
      <c r="BZM126" s="383"/>
      <c r="BZN126" s="383"/>
      <c r="BZO126" s="383"/>
      <c r="BZP126" s="383"/>
      <c r="BZQ126" s="383"/>
      <c r="BZR126" s="383"/>
      <c r="BZS126" s="383"/>
      <c r="BZT126" s="383"/>
      <c r="BZU126" s="383"/>
      <c r="BZV126" s="383"/>
      <c r="BZW126" s="383"/>
      <c r="BZX126" s="383"/>
      <c r="BZY126" s="383"/>
      <c r="BZZ126" s="383"/>
      <c r="CAA126" s="383"/>
      <c r="CAB126" s="383"/>
      <c r="CAC126" s="383"/>
      <c r="CAD126" s="383"/>
      <c r="CAE126" s="383"/>
      <c r="CAF126" s="383"/>
      <c r="CAG126" s="383"/>
      <c r="CAH126" s="383"/>
      <c r="CAI126" s="383"/>
      <c r="CAJ126" s="383"/>
      <c r="CAK126" s="383"/>
      <c r="CAL126" s="383"/>
      <c r="CAM126" s="383"/>
      <c r="CAN126" s="383"/>
      <c r="CAO126" s="383"/>
      <c r="CAP126" s="383"/>
      <c r="CAQ126" s="383"/>
      <c r="CAR126" s="383"/>
      <c r="CAS126" s="383"/>
      <c r="CAT126" s="383"/>
      <c r="CAU126" s="383"/>
      <c r="CAV126" s="383"/>
      <c r="CAW126" s="383"/>
      <c r="CAX126" s="383"/>
      <c r="CAY126" s="383"/>
      <c r="CAZ126" s="383"/>
      <c r="CBA126" s="383"/>
      <c r="CBB126" s="383"/>
      <c r="CBC126" s="383"/>
      <c r="CBD126" s="383"/>
      <c r="CBE126" s="383"/>
      <c r="CBF126" s="383"/>
      <c r="CBG126" s="383"/>
      <c r="CBH126" s="383"/>
      <c r="CBI126" s="383"/>
      <c r="CBJ126" s="383"/>
      <c r="CBK126" s="383"/>
      <c r="CBL126" s="383"/>
      <c r="CBM126" s="383"/>
      <c r="CBN126" s="383"/>
      <c r="CBO126" s="383"/>
      <c r="CBP126" s="383"/>
      <c r="CBQ126" s="383"/>
      <c r="CBR126" s="383"/>
      <c r="CBS126" s="383"/>
      <c r="CBT126" s="383"/>
      <c r="CBU126" s="383"/>
      <c r="CBV126" s="383"/>
      <c r="CBW126" s="383"/>
      <c r="CBX126" s="383"/>
      <c r="CBY126" s="383"/>
      <c r="CBZ126" s="383"/>
      <c r="CCA126" s="383"/>
      <c r="CCB126" s="383"/>
      <c r="CCC126" s="383"/>
      <c r="CCD126" s="383"/>
      <c r="CCE126" s="383"/>
      <c r="CCF126" s="383"/>
      <c r="CCG126" s="383"/>
      <c r="CCH126" s="383"/>
      <c r="CCI126" s="383"/>
      <c r="CCJ126" s="383"/>
      <c r="CCK126" s="383"/>
      <c r="CCL126" s="383"/>
      <c r="CCM126" s="383"/>
      <c r="CCN126" s="383"/>
      <c r="CCO126" s="383"/>
      <c r="CCP126" s="383"/>
      <c r="CCQ126" s="383"/>
      <c r="CCR126" s="383"/>
      <c r="CCS126" s="383"/>
      <c r="CCT126" s="383"/>
      <c r="CCU126" s="383"/>
      <c r="CCV126" s="383"/>
      <c r="CCW126" s="383"/>
      <c r="CCX126" s="383"/>
      <c r="CCY126" s="383"/>
      <c r="CCZ126" s="383"/>
      <c r="CDA126" s="383"/>
      <c r="CDB126" s="383"/>
      <c r="CDC126" s="383"/>
      <c r="CDD126" s="383"/>
      <c r="CDE126" s="383"/>
      <c r="CDF126" s="383"/>
      <c r="CDG126" s="383"/>
      <c r="CDH126" s="383"/>
      <c r="CDI126" s="383"/>
      <c r="CDJ126" s="383"/>
      <c r="CDK126" s="383"/>
      <c r="CDL126" s="383"/>
      <c r="CDM126" s="383"/>
      <c r="CDN126" s="383"/>
      <c r="CDO126" s="383"/>
      <c r="CDP126" s="383"/>
      <c r="CDQ126" s="383"/>
      <c r="CDR126" s="383"/>
      <c r="CDS126" s="383"/>
      <c r="CDT126" s="383"/>
      <c r="CDU126" s="383"/>
      <c r="CDV126" s="383"/>
      <c r="CDW126" s="383"/>
      <c r="CDX126" s="383"/>
      <c r="CDY126" s="383"/>
      <c r="CDZ126" s="383"/>
      <c r="CEA126" s="383"/>
      <c r="CEB126" s="383"/>
      <c r="CEC126" s="383"/>
      <c r="CED126" s="383"/>
      <c r="CEE126" s="383"/>
      <c r="CEF126" s="383"/>
      <c r="CEG126" s="383"/>
      <c r="CEH126" s="383"/>
      <c r="CEI126" s="383"/>
      <c r="CEJ126" s="383"/>
      <c r="CEK126" s="383"/>
      <c r="CEL126" s="383"/>
      <c r="CEM126" s="383"/>
      <c r="CEN126" s="383"/>
      <c r="CEO126" s="383"/>
      <c r="CEP126" s="383"/>
      <c r="CEQ126" s="383"/>
      <c r="CER126" s="383"/>
      <c r="CES126" s="383"/>
      <c r="CET126" s="383"/>
      <c r="CEU126" s="383"/>
      <c r="CEV126" s="383"/>
      <c r="CEW126" s="383"/>
      <c r="CEX126" s="383"/>
      <c r="CEY126" s="383"/>
      <c r="CEZ126" s="383"/>
      <c r="CFA126" s="383"/>
      <c r="CFB126" s="383"/>
      <c r="CFC126" s="383"/>
      <c r="CFD126" s="383"/>
      <c r="CFE126" s="383"/>
      <c r="CFF126" s="383"/>
      <c r="CFG126" s="383"/>
      <c r="CFH126" s="383"/>
      <c r="CFI126" s="383"/>
      <c r="CFJ126" s="383"/>
      <c r="CFK126" s="383"/>
      <c r="CFL126" s="383"/>
      <c r="CFM126" s="383"/>
      <c r="CFN126" s="383"/>
      <c r="CFO126" s="383"/>
      <c r="CFP126" s="383"/>
      <c r="CFQ126" s="383"/>
      <c r="CFR126" s="383"/>
      <c r="CFS126" s="383"/>
      <c r="CFT126" s="383"/>
      <c r="CFU126" s="383"/>
      <c r="CFV126" s="383"/>
      <c r="CFW126" s="383"/>
      <c r="CFX126" s="383"/>
      <c r="CFY126" s="383"/>
      <c r="CFZ126" s="383"/>
      <c r="CGA126" s="383"/>
      <c r="CGB126" s="383"/>
      <c r="CGC126" s="383"/>
      <c r="CGD126" s="383"/>
      <c r="CGE126" s="383"/>
      <c r="CGF126" s="383"/>
      <c r="CGG126" s="383"/>
      <c r="CGH126" s="383"/>
      <c r="CGI126" s="383"/>
      <c r="CGJ126" s="383"/>
      <c r="CGK126" s="383"/>
      <c r="CGL126" s="383"/>
      <c r="CGM126" s="383"/>
      <c r="CGN126" s="383"/>
      <c r="CGO126" s="383"/>
      <c r="CGP126" s="383"/>
      <c r="CGQ126" s="383"/>
      <c r="CGR126" s="383"/>
      <c r="CGS126" s="383"/>
      <c r="CGT126" s="383"/>
      <c r="CGU126" s="383"/>
      <c r="CGV126" s="383"/>
      <c r="CGW126" s="383"/>
      <c r="CGX126" s="383"/>
      <c r="CGY126" s="383"/>
      <c r="CGZ126" s="383"/>
      <c r="CHA126" s="383"/>
      <c r="CHB126" s="383"/>
      <c r="CHC126" s="383"/>
      <c r="CHD126" s="383"/>
      <c r="CHE126" s="383"/>
      <c r="CHF126" s="383"/>
      <c r="CHG126" s="383"/>
      <c r="CHH126" s="383"/>
      <c r="CHI126" s="383"/>
      <c r="CHJ126" s="383"/>
      <c r="CHK126" s="383"/>
      <c r="CHL126" s="383"/>
      <c r="CHM126" s="383"/>
      <c r="CHN126" s="383"/>
      <c r="CHO126" s="383"/>
      <c r="CHP126" s="383"/>
      <c r="CHQ126" s="383"/>
      <c r="CHR126" s="383"/>
      <c r="CHS126" s="383"/>
      <c r="CHT126" s="383"/>
      <c r="CHU126" s="383"/>
      <c r="CHV126" s="383"/>
      <c r="CHW126" s="383"/>
      <c r="CHX126" s="383"/>
      <c r="CHY126" s="383"/>
      <c r="CHZ126" s="383"/>
      <c r="CIA126" s="383"/>
      <c r="CIB126" s="383"/>
      <c r="CIC126" s="383"/>
      <c r="CID126" s="383"/>
      <c r="CIE126" s="383"/>
      <c r="CIF126" s="383"/>
      <c r="CIG126" s="383"/>
      <c r="CIH126" s="383"/>
      <c r="CII126" s="383"/>
      <c r="CIJ126" s="383"/>
      <c r="CIK126" s="383"/>
      <c r="CIL126" s="383"/>
      <c r="CIM126" s="383"/>
      <c r="CIN126" s="383"/>
      <c r="CIO126" s="383"/>
      <c r="CIP126" s="383"/>
      <c r="CIQ126" s="383"/>
      <c r="CIR126" s="383"/>
      <c r="CIS126" s="383"/>
      <c r="CIT126" s="383"/>
      <c r="CIU126" s="383"/>
      <c r="CIV126" s="383"/>
      <c r="CIW126" s="383"/>
      <c r="CIX126" s="383"/>
      <c r="CIY126" s="383"/>
      <c r="CIZ126" s="383"/>
      <c r="CJA126" s="383"/>
      <c r="CJB126" s="383"/>
      <c r="CJC126" s="383"/>
      <c r="CJD126" s="383"/>
      <c r="CJE126" s="383"/>
      <c r="CJF126" s="383"/>
      <c r="CJG126" s="383"/>
      <c r="CJH126" s="383"/>
      <c r="CJI126" s="383"/>
      <c r="CJJ126" s="383"/>
      <c r="CJK126" s="383"/>
      <c r="CJL126" s="383"/>
      <c r="CJM126" s="383"/>
      <c r="CJN126" s="383"/>
      <c r="CJO126" s="383"/>
      <c r="CJP126" s="383"/>
      <c r="CJQ126" s="383"/>
      <c r="CJR126" s="383"/>
      <c r="CJS126" s="383"/>
      <c r="CJT126" s="383"/>
      <c r="CJU126" s="383"/>
      <c r="CJV126" s="383"/>
      <c r="CJW126" s="383"/>
      <c r="CJX126" s="383"/>
      <c r="CJY126" s="383"/>
      <c r="CJZ126" s="383"/>
      <c r="CKA126" s="383"/>
      <c r="CKB126" s="383"/>
      <c r="CKC126" s="383"/>
      <c r="CKD126" s="383"/>
      <c r="CKE126" s="383"/>
      <c r="CKF126" s="383"/>
      <c r="CKG126" s="383"/>
      <c r="CKH126" s="383"/>
      <c r="CKI126" s="383"/>
      <c r="CKJ126" s="383"/>
      <c r="CKK126" s="383"/>
      <c r="CKL126" s="383"/>
      <c r="CKM126" s="383"/>
      <c r="CKN126" s="383"/>
      <c r="CKO126" s="383"/>
      <c r="CKP126" s="383"/>
      <c r="CKQ126" s="383"/>
      <c r="CKR126" s="383"/>
      <c r="CKS126" s="383"/>
      <c r="CKT126" s="383"/>
      <c r="CKU126" s="383"/>
      <c r="CKV126" s="383"/>
      <c r="CKW126" s="383"/>
      <c r="CKX126" s="383"/>
      <c r="CKY126" s="383"/>
      <c r="CKZ126" s="383"/>
      <c r="CLA126" s="383"/>
      <c r="CLB126" s="383"/>
      <c r="CLC126" s="383"/>
      <c r="CLD126" s="383"/>
      <c r="CLE126" s="383"/>
      <c r="CLF126" s="383"/>
      <c r="CLG126" s="383"/>
      <c r="CLH126" s="383"/>
      <c r="CLI126" s="383"/>
      <c r="CLJ126" s="383"/>
      <c r="CLK126" s="383"/>
      <c r="CLL126" s="383"/>
      <c r="CLM126" s="383"/>
      <c r="CLN126" s="383"/>
      <c r="CLO126" s="383"/>
      <c r="CLP126" s="383"/>
      <c r="CLQ126" s="383"/>
      <c r="CLR126" s="383"/>
      <c r="CLS126" s="383"/>
      <c r="CLT126" s="383"/>
      <c r="CLU126" s="383"/>
      <c r="CLV126" s="383"/>
      <c r="CLW126" s="383"/>
      <c r="CLX126" s="383"/>
      <c r="CLY126" s="383"/>
      <c r="CLZ126" s="383"/>
      <c r="CMA126" s="383"/>
      <c r="CMB126" s="383"/>
      <c r="CMC126" s="383"/>
      <c r="CMD126" s="383"/>
      <c r="CME126" s="383"/>
      <c r="CMF126" s="383"/>
      <c r="CMG126" s="383"/>
      <c r="CMH126" s="383"/>
      <c r="CMI126" s="383"/>
      <c r="CMJ126" s="383"/>
      <c r="CMK126" s="383"/>
      <c r="CML126" s="383"/>
      <c r="CMM126" s="383"/>
      <c r="CMN126" s="383"/>
      <c r="CMO126" s="383"/>
      <c r="CMP126" s="383"/>
      <c r="CMQ126" s="383"/>
      <c r="CMR126" s="383"/>
      <c r="CMS126" s="383"/>
      <c r="CMT126" s="383"/>
      <c r="CMU126" s="383"/>
      <c r="CMV126" s="383"/>
      <c r="CMW126" s="383"/>
      <c r="CMX126" s="383"/>
      <c r="CMY126" s="383"/>
      <c r="CMZ126" s="383"/>
      <c r="CNA126" s="383"/>
      <c r="CNB126" s="383"/>
      <c r="CNC126" s="383"/>
      <c r="CND126" s="383"/>
      <c r="CNE126" s="383"/>
      <c r="CNF126" s="383"/>
      <c r="CNG126" s="383"/>
      <c r="CNH126" s="383"/>
      <c r="CNI126" s="383"/>
      <c r="CNJ126" s="383"/>
      <c r="CNK126" s="383"/>
      <c r="CNL126" s="383"/>
      <c r="CNM126" s="383"/>
      <c r="CNN126" s="383"/>
      <c r="CNO126" s="383"/>
      <c r="CNP126" s="383"/>
      <c r="CNQ126" s="383"/>
      <c r="CNR126" s="383"/>
      <c r="CNS126" s="383"/>
      <c r="CNT126" s="383"/>
      <c r="CNU126" s="383"/>
      <c r="CNV126" s="383"/>
      <c r="CNW126" s="383"/>
      <c r="CNX126" s="383"/>
      <c r="CNY126" s="383"/>
      <c r="CNZ126" s="383"/>
      <c r="COA126" s="383"/>
      <c r="COB126" s="383"/>
      <c r="COC126" s="383"/>
      <c r="COD126" s="383"/>
      <c r="COE126" s="383"/>
      <c r="COF126" s="383"/>
      <c r="COG126" s="383"/>
      <c r="COH126" s="383"/>
      <c r="COI126" s="383"/>
      <c r="COJ126" s="383"/>
      <c r="COK126" s="383"/>
      <c r="COL126" s="383"/>
      <c r="COM126" s="383"/>
      <c r="CON126" s="383"/>
      <c r="COO126" s="383"/>
      <c r="COP126" s="383"/>
      <c r="COQ126" s="383"/>
      <c r="COR126" s="383"/>
      <c r="COS126" s="383"/>
      <c r="COT126" s="383"/>
      <c r="COU126" s="383"/>
      <c r="COV126" s="383"/>
      <c r="COW126" s="383"/>
      <c r="COX126" s="383"/>
      <c r="COY126" s="383"/>
      <c r="COZ126" s="383"/>
      <c r="CPA126" s="383"/>
      <c r="CPB126" s="383"/>
      <c r="CPC126" s="383"/>
      <c r="CPD126" s="383"/>
      <c r="CPE126" s="383"/>
      <c r="CPF126" s="383"/>
      <c r="CPG126" s="383"/>
      <c r="CPH126" s="383"/>
      <c r="CPI126" s="383"/>
      <c r="CPJ126" s="383"/>
      <c r="CPK126" s="383"/>
      <c r="CPL126" s="383"/>
      <c r="CPM126" s="383"/>
      <c r="CPN126" s="383"/>
      <c r="CPO126" s="383"/>
      <c r="CPP126" s="383"/>
      <c r="CPQ126" s="383"/>
      <c r="CPR126" s="383"/>
      <c r="CPS126" s="383"/>
      <c r="CPT126" s="383"/>
      <c r="CPU126" s="383"/>
      <c r="CPV126" s="383"/>
      <c r="CPW126" s="383"/>
      <c r="CPX126" s="383"/>
      <c r="CPY126" s="383"/>
      <c r="CPZ126" s="383"/>
      <c r="CQA126" s="383"/>
      <c r="CQB126" s="383"/>
      <c r="CQC126" s="383"/>
      <c r="CQD126" s="383"/>
      <c r="CQE126" s="383"/>
      <c r="CQF126" s="383"/>
      <c r="CQG126" s="383"/>
      <c r="CQH126" s="383"/>
      <c r="CQI126" s="383"/>
      <c r="CQJ126" s="383"/>
      <c r="CQK126" s="383"/>
      <c r="CQL126" s="383"/>
      <c r="CQM126" s="383"/>
      <c r="CQN126" s="383"/>
      <c r="CQO126" s="383"/>
      <c r="CQP126" s="383"/>
      <c r="CQQ126" s="383"/>
      <c r="CQR126" s="383"/>
      <c r="CQS126" s="383"/>
      <c r="CQT126" s="383"/>
      <c r="CQU126" s="383"/>
      <c r="CQV126" s="383"/>
      <c r="CQW126" s="383"/>
      <c r="CQX126" s="383"/>
      <c r="CQY126" s="383"/>
      <c r="CQZ126" s="383"/>
      <c r="CRA126" s="383"/>
      <c r="CRB126" s="383"/>
      <c r="CRC126" s="383"/>
      <c r="CRD126" s="383"/>
      <c r="CRE126" s="383"/>
      <c r="CRF126" s="383"/>
      <c r="CRG126" s="383"/>
      <c r="CRH126" s="383"/>
      <c r="CRI126" s="383"/>
      <c r="CRJ126" s="383"/>
      <c r="CRK126" s="383"/>
      <c r="CRL126" s="383"/>
      <c r="CRM126" s="383"/>
      <c r="CRN126" s="383"/>
      <c r="CRO126" s="383"/>
      <c r="CRP126" s="383"/>
      <c r="CRQ126" s="383"/>
      <c r="CRR126" s="383"/>
      <c r="CRS126" s="383"/>
      <c r="CRT126" s="383"/>
      <c r="CRU126" s="383"/>
      <c r="CRV126" s="383"/>
      <c r="CRW126" s="383"/>
      <c r="CRX126" s="383"/>
      <c r="CRY126" s="383"/>
      <c r="CRZ126" s="383"/>
      <c r="CSA126" s="383"/>
      <c r="CSB126" s="383"/>
      <c r="CSC126" s="383"/>
      <c r="CSD126" s="383"/>
      <c r="CSE126" s="383"/>
      <c r="CSF126" s="383"/>
      <c r="CSG126" s="383"/>
      <c r="CSH126" s="383"/>
      <c r="CSI126" s="383"/>
      <c r="CSJ126" s="383"/>
      <c r="CSK126" s="383"/>
      <c r="CSL126" s="383"/>
      <c r="CSM126" s="383"/>
      <c r="CSN126" s="383"/>
      <c r="CSO126" s="383"/>
      <c r="CSP126" s="383"/>
      <c r="CSQ126" s="383"/>
      <c r="CSR126" s="383"/>
      <c r="CSS126" s="383"/>
      <c r="CST126" s="383"/>
      <c r="CSU126" s="383"/>
      <c r="CSV126" s="383"/>
      <c r="CSW126" s="383"/>
      <c r="CSX126" s="383"/>
      <c r="CSY126" s="383"/>
      <c r="CSZ126" s="383"/>
      <c r="CTA126" s="383"/>
      <c r="CTB126" s="383"/>
      <c r="CTC126" s="383"/>
      <c r="CTD126" s="383"/>
      <c r="CTE126" s="383"/>
      <c r="CTF126" s="383"/>
      <c r="CTG126" s="383"/>
      <c r="CTH126" s="383"/>
      <c r="CTI126" s="383"/>
      <c r="CTJ126" s="383"/>
      <c r="CTK126" s="383"/>
      <c r="CTL126" s="383"/>
      <c r="CTM126" s="383"/>
      <c r="CTN126" s="383"/>
      <c r="CTO126" s="383"/>
      <c r="CTP126" s="383"/>
      <c r="CTQ126" s="383"/>
      <c r="CTR126" s="383"/>
      <c r="CTS126" s="383"/>
      <c r="CTT126" s="383"/>
      <c r="CTU126" s="383"/>
      <c r="CTV126" s="383"/>
      <c r="CTW126" s="383"/>
      <c r="CTX126" s="383"/>
      <c r="CTY126" s="383"/>
      <c r="CTZ126" s="383"/>
      <c r="CUA126" s="383"/>
      <c r="CUB126" s="383"/>
      <c r="CUC126" s="383"/>
      <c r="CUD126" s="383"/>
      <c r="CUE126" s="383"/>
      <c r="CUF126" s="383"/>
      <c r="CUG126" s="383"/>
      <c r="CUH126" s="383"/>
      <c r="CUI126" s="383"/>
      <c r="CUJ126" s="383"/>
      <c r="CUK126" s="383"/>
      <c r="CUL126" s="383"/>
      <c r="CUM126" s="383"/>
      <c r="CUN126" s="383"/>
      <c r="CUO126" s="383"/>
      <c r="CUP126" s="383"/>
      <c r="CUQ126" s="383"/>
      <c r="CUR126" s="383"/>
      <c r="CUS126" s="383"/>
      <c r="CUT126" s="383"/>
      <c r="CUU126" s="383"/>
      <c r="CUV126" s="383"/>
      <c r="CUW126" s="383"/>
      <c r="CUX126" s="383"/>
      <c r="CUY126" s="383"/>
      <c r="CUZ126" s="383"/>
      <c r="CVA126" s="383"/>
      <c r="CVB126" s="383"/>
      <c r="CVC126" s="383"/>
      <c r="CVD126" s="383"/>
      <c r="CVE126" s="383"/>
      <c r="CVF126" s="383"/>
      <c r="CVG126" s="383"/>
      <c r="CVH126" s="383"/>
      <c r="CVI126" s="383"/>
      <c r="CVJ126" s="383"/>
      <c r="CVK126" s="383"/>
      <c r="CVL126" s="383"/>
      <c r="CVM126" s="383"/>
      <c r="CVN126" s="383"/>
      <c r="CVO126" s="383"/>
      <c r="CVP126" s="383"/>
      <c r="CVQ126" s="383"/>
      <c r="CVR126" s="383"/>
      <c r="CVS126" s="383"/>
      <c r="CVT126" s="383"/>
      <c r="CVU126" s="383"/>
      <c r="CVV126" s="383"/>
      <c r="CVW126" s="383"/>
      <c r="CVX126" s="383"/>
      <c r="CVY126" s="383"/>
      <c r="CVZ126" s="383"/>
      <c r="CWA126" s="383"/>
      <c r="CWB126" s="383"/>
      <c r="CWC126" s="383"/>
      <c r="CWD126" s="383"/>
      <c r="CWE126" s="383"/>
      <c r="CWF126" s="383"/>
      <c r="CWG126" s="383"/>
      <c r="CWH126" s="383"/>
      <c r="CWI126" s="383"/>
      <c r="CWJ126" s="383"/>
      <c r="CWK126" s="383"/>
      <c r="CWL126" s="383"/>
      <c r="CWM126" s="383"/>
      <c r="CWN126" s="383"/>
      <c r="CWO126" s="383"/>
      <c r="CWP126" s="383"/>
      <c r="CWQ126" s="383"/>
      <c r="CWR126" s="383"/>
      <c r="CWS126" s="383"/>
      <c r="CWT126" s="383"/>
      <c r="CWU126" s="383"/>
      <c r="CWV126" s="383"/>
      <c r="CWW126" s="383"/>
      <c r="CWX126" s="383"/>
      <c r="CWY126" s="383"/>
      <c r="CWZ126" s="383"/>
      <c r="CXA126" s="383"/>
      <c r="CXB126" s="383"/>
      <c r="CXC126" s="383"/>
      <c r="CXD126" s="383"/>
      <c r="CXE126" s="383"/>
      <c r="CXF126" s="383"/>
      <c r="CXG126" s="383"/>
      <c r="CXH126" s="383"/>
      <c r="CXI126" s="383"/>
      <c r="CXJ126" s="383"/>
      <c r="CXK126" s="383"/>
      <c r="CXL126" s="383"/>
      <c r="CXM126" s="383"/>
      <c r="CXN126" s="383"/>
      <c r="CXO126" s="383"/>
      <c r="CXP126" s="383"/>
      <c r="CXQ126" s="383"/>
      <c r="CXR126" s="383"/>
      <c r="CXS126" s="383"/>
      <c r="CXT126" s="383"/>
      <c r="CXU126" s="383"/>
      <c r="CXV126" s="383"/>
      <c r="CXW126" s="383"/>
      <c r="CXX126" s="383"/>
      <c r="CXY126" s="383"/>
      <c r="CXZ126" s="383"/>
      <c r="CYA126" s="383"/>
      <c r="CYB126" s="383"/>
      <c r="CYC126" s="383"/>
      <c r="CYD126" s="383"/>
      <c r="CYE126" s="383"/>
      <c r="CYF126" s="383"/>
      <c r="CYG126" s="383"/>
      <c r="CYH126" s="383"/>
      <c r="CYI126" s="383"/>
      <c r="CYJ126" s="383"/>
      <c r="CYK126" s="383"/>
      <c r="CYL126" s="383"/>
      <c r="CYM126" s="383"/>
      <c r="CYN126" s="383"/>
      <c r="CYO126" s="383"/>
      <c r="CYP126" s="383"/>
      <c r="CYQ126" s="383"/>
      <c r="CYR126" s="383"/>
      <c r="CYS126" s="383"/>
      <c r="CYT126" s="383"/>
      <c r="CYU126" s="383"/>
      <c r="CYV126" s="383"/>
      <c r="CYW126" s="383"/>
      <c r="CYX126" s="383"/>
      <c r="CYY126" s="383"/>
      <c r="CYZ126" s="383"/>
      <c r="CZA126" s="383"/>
      <c r="CZB126" s="383"/>
      <c r="CZC126" s="383"/>
      <c r="CZD126" s="383"/>
      <c r="CZE126" s="383"/>
      <c r="CZF126" s="383"/>
      <c r="CZG126" s="383"/>
      <c r="CZH126" s="383"/>
      <c r="CZI126" s="383"/>
      <c r="CZJ126" s="383"/>
      <c r="CZK126" s="383"/>
      <c r="CZL126" s="383"/>
      <c r="CZM126" s="383"/>
      <c r="CZN126" s="383"/>
      <c r="CZO126" s="383"/>
      <c r="CZP126" s="383"/>
      <c r="CZQ126" s="383"/>
      <c r="CZR126" s="383"/>
      <c r="CZS126" s="383"/>
      <c r="CZT126" s="383"/>
      <c r="CZU126" s="383"/>
      <c r="CZV126" s="383"/>
      <c r="CZW126" s="383"/>
      <c r="CZX126" s="383"/>
      <c r="CZY126" s="383"/>
      <c r="CZZ126" s="383"/>
      <c r="DAA126" s="383"/>
      <c r="DAB126" s="383"/>
      <c r="DAC126" s="383"/>
      <c r="DAD126" s="383"/>
      <c r="DAE126" s="383"/>
      <c r="DAF126" s="383"/>
      <c r="DAG126" s="383"/>
      <c r="DAH126" s="383"/>
      <c r="DAI126" s="383"/>
      <c r="DAJ126" s="383"/>
      <c r="DAK126" s="383"/>
      <c r="DAL126" s="383"/>
      <c r="DAM126" s="383"/>
      <c r="DAN126" s="383"/>
      <c r="DAO126" s="383"/>
      <c r="DAP126" s="383"/>
      <c r="DAQ126" s="383"/>
      <c r="DAR126" s="383"/>
      <c r="DAS126" s="383"/>
      <c r="DAT126" s="383"/>
      <c r="DAU126" s="383"/>
      <c r="DAV126" s="383"/>
      <c r="DAW126" s="383"/>
      <c r="DAX126" s="383"/>
      <c r="DAY126" s="383"/>
      <c r="DAZ126" s="383"/>
      <c r="DBA126" s="383"/>
      <c r="DBB126" s="383"/>
      <c r="DBC126" s="383"/>
      <c r="DBD126" s="383"/>
      <c r="DBE126" s="383"/>
      <c r="DBF126" s="383"/>
      <c r="DBG126" s="383"/>
      <c r="DBH126" s="383"/>
      <c r="DBI126" s="383"/>
      <c r="DBJ126" s="383"/>
      <c r="DBK126" s="383"/>
      <c r="DBL126" s="383"/>
      <c r="DBM126" s="383"/>
      <c r="DBN126" s="383"/>
      <c r="DBO126" s="383"/>
      <c r="DBP126" s="383"/>
      <c r="DBQ126" s="383"/>
      <c r="DBR126" s="383"/>
      <c r="DBS126" s="383"/>
      <c r="DBT126" s="383"/>
      <c r="DBU126" s="383"/>
      <c r="DBV126" s="383"/>
      <c r="DBW126" s="383"/>
      <c r="DBX126" s="383"/>
      <c r="DBY126" s="383"/>
      <c r="DBZ126" s="383"/>
      <c r="DCA126" s="383"/>
      <c r="DCB126" s="383"/>
      <c r="DCC126" s="383"/>
      <c r="DCD126" s="383"/>
      <c r="DCE126" s="383"/>
      <c r="DCF126" s="383"/>
      <c r="DCG126" s="383"/>
      <c r="DCH126" s="383"/>
      <c r="DCI126" s="383"/>
      <c r="DCJ126" s="383"/>
      <c r="DCK126" s="383"/>
      <c r="DCL126" s="383"/>
      <c r="DCM126" s="383"/>
      <c r="DCN126" s="383"/>
      <c r="DCO126" s="383"/>
      <c r="DCP126" s="383"/>
      <c r="DCQ126" s="383"/>
      <c r="DCR126" s="383"/>
      <c r="DCS126" s="383"/>
      <c r="DCT126" s="383"/>
      <c r="DCU126" s="383"/>
      <c r="DCV126" s="383"/>
      <c r="DCW126" s="383"/>
      <c r="DCX126" s="383"/>
      <c r="DCY126" s="383"/>
      <c r="DCZ126" s="383"/>
      <c r="DDA126" s="383"/>
      <c r="DDB126" s="383"/>
      <c r="DDC126" s="383"/>
      <c r="DDD126" s="383"/>
      <c r="DDE126" s="383"/>
      <c r="DDF126" s="383"/>
      <c r="DDG126" s="383"/>
      <c r="DDH126" s="383"/>
      <c r="DDI126" s="383"/>
      <c r="DDJ126" s="383"/>
      <c r="DDK126" s="383"/>
      <c r="DDL126" s="383"/>
      <c r="DDM126" s="383"/>
      <c r="DDN126" s="383"/>
      <c r="DDO126" s="383"/>
      <c r="DDP126" s="383"/>
      <c r="DDQ126" s="383"/>
      <c r="DDR126" s="383"/>
      <c r="DDS126" s="383"/>
      <c r="DDT126" s="383"/>
      <c r="DDU126" s="383"/>
      <c r="DDV126" s="383"/>
      <c r="DDW126" s="383"/>
      <c r="DDX126" s="383"/>
      <c r="DDY126" s="383"/>
      <c r="DDZ126" s="383"/>
      <c r="DEA126" s="383"/>
      <c r="DEB126" s="383"/>
      <c r="DEC126" s="383"/>
      <c r="DED126" s="383"/>
      <c r="DEE126" s="383"/>
      <c r="DEF126" s="383"/>
      <c r="DEG126" s="383"/>
      <c r="DEH126" s="383"/>
      <c r="DEI126" s="383"/>
      <c r="DEJ126" s="383"/>
      <c r="DEK126" s="383"/>
      <c r="DEL126" s="383"/>
      <c r="DEM126" s="383"/>
      <c r="DEN126" s="383"/>
      <c r="DEO126" s="383"/>
      <c r="DEP126" s="383"/>
      <c r="DEQ126" s="383"/>
      <c r="DER126" s="383"/>
      <c r="DES126" s="383"/>
      <c r="DET126" s="383"/>
      <c r="DEU126" s="383"/>
      <c r="DEV126" s="383"/>
      <c r="DEW126" s="383"/>
      <c r="DEX126" s="383"/>
      <c r="DEY126" s="383"/>
      <c r="DEZ126" s="383"/>
      <c r="DFA126" s="383"/>
      <c r="DFB126" s="383"/>
      <c r="DFC126" s="383"/>
      <c r="DFD126" s="383"/>
      <c r="DFE126" s="383"/>
      <c r="DFF126" s="383"/>
      <c r="DFG126" s="383"/>
      <c r="DFH126" s="383"/>
      <c r="DFI126" s="383"/>
      <c r="DFJ126" s="383"/>
      <c r="DFK126" s="383"/>
      <c r="DFL126" s="383"/>
      <c r="DFM126" s="383"/>
      <c r="DFN126" s="383"/>
      <c r="DFO126" s="383"/>
      <c r="DFP126" s="383"/>
      <c r="DFQ126" s="383"/>
      <c r="DFR126" s="383"/>
      <c r="DFS126" s="383"/>
      <c r="DFT126" s="383"/>
      <c r="DFU126" s="383"/>
      <c r="DFV126" s="383"/>
      <c r="DFW126" s="383"/>
      <c r="DFX126" s="383"/>
      <c r="DFY126" s="383"/>
      <c r="DFZ126" s="383"/>
      <c r="DGA126" s="383"/>
      <c r="DGB126" s="383"/>
      <c r="DGC126" s="383"/>
      <c r="DGD126" s="383"/>
      <c r="DGE126" s="383"/>
      <c r="DGF126" s="383"/>
      <c r="DGG126" s="383"/>
      <c r="DGH126" s="383"/>
      <c r="DGI126" s="383"/>
      <c r="DGJ126" s="383"/>
      <c r="DGK126" s="383"/>
      <c r="DGL126" s="383"/>
      <c r="DGM126" s="383"/>
      <c r="DGN126" s="383"/>
      <c r="DGO126" s="383"/>
      <c r="DGP126" s="383"/>
      <c r="DGQ126" s="383"/>
      <c r="DGR126" s="383"/>
      <c r="DGS126" s="383"/>
      <c r="DGT126" s="383"/>
      <c r="DGU126" s="383"/>
      <c r="DGV126" s="383"/>
      <c r="DGW126" s="383"/>
      <c r="DGX126" s="383"/>
      <c r="DGY126" s="383"/>
      <c r="DGZ126" s="383"/>
      <c r="DHA126" s="383"/>
      <c r="DHB126" s="383"/>
      <c r="DHC126" s="383"/>
      <c r="DHD126" s="383"/>
      <c r="DHE126" s="383"/>
      <c r="DHF126" s="383"/>
      <c r="DHG126" s="383"/>
      <c r="DHH126" s="383"/>
      <c r="DHI126" s="383"/>
      <c r="DHJ126" s="383"/>
      <c r="DHK126" s="383"/>
      <c r="DHL126" s="383"/>
      <c r="DHM126" s="383"/>
      <c r="DHN126" s="383"/>
      <c r="DHO126" s="383"/>
      <c r="DHP126" s="383"/>
      <c r="DHQ126" s="383"/>
      <c r="DHR126" s="383"/>
      <c r="DHS126" s="383"/>
      <c r="DHT126" s="383"/>
      <c r="DHU126" s="383"/>
      <c r="DHV126" s="383"/>
      <c r="DHW126" s="383"/>
      <c r="DHX126" s="383"/>
      <c r="DHY126" s="383"/>
      <c r="DHZ126" s="383"/>
      <c r="DIA126" s="383"/>
      <c r="DIB126" s="383"/>
      <c r="DIC126" s="383"/>
      <c r="DID126" s="383"/>
      <c r="DIE126" s="383"/>
      <c r="DIF126" s="383"/>
      <c r="DIG126" s="383"/>
      <c r="DIH126" s="383"/>
      <c r="DII126" s="383"/>
      <c r="DIJ126" s="383"/>
      <c r="DIK126" s="383"/>
      <c r="DIL126" s="383"/>
      <c r="DIM126" s="383"/>
      <c r="DIN126" s="383"/>
      <c r="DIO126" s="383"/>
      <c r="DIP126" s="383"/>
      <c r="DIQ126" s="383"/>
      <c r="DIR126" s="383"/>
      <c r="DIS126" s="383"/>
      <c r="DIT126" s="383"/>
      <c r="DIU126" s="383"/>
      <c r="DIV126" s="383"/>
      <c r="DIW126" s="383"/>
      <c r="DIX126" s="383"/>
      <c r="DIY126" s="383"/>
      <c r="DIZ126" s="383"/>
      <c r="DJA126" s="383"/>
      <c r="DJB126" s="383"/>
      <c r="DJC126" s="383"/>
      <c r="DJD126" s="383"/>
      <c r="DJE126" s="383"/>
      <c r="DJF126" s="383"/>
      <c r="DJG126" s="383"/>
      <c r="DJH126" s="383"/>
      <c r="DJI126" s="383"/>
      <c r="DJJ126" s="383"/>
      <c r="DJK126" s="383"/>
      <c r="DJL126" s="383"/>
      <c r="DJM126" s="383"/>
      <c r="DJN126" s="383"/>
      <c r="DJO126" s="383"/>
      <c r="DJP126" s="383"/>
      <c r="DJQ126" s="383"/>
      <c r="DJR126" s="383"/>
      <c r="DJS126" s="383"/>
      <c r="DJT126" s="383"/>
      <c r="DJU126" s="383"/>
      <c r="DJV126" s="383"/>
      <c r="DJW126" s="383"/>
      <c r="DJX126" s="383"/>
      <c r="DJY126" s="383"/>
      <c r="DJZ126" s="383"/>
      <c r="DKA126" s="383"/>
      <c r="DKB126" s="383"/>
      <c r="DKC126" s="383"/>
      <c r="DKD126" s="383"/>
      <c r="DKE126" s="383"/>
      <c r="DKF126" s="383"/>
      <c r="DKG126" s="383"/>
      <c r="DKH126" s="383"/>
      <c r="DKI126" s="383"/>
      <c r="DKJ126" s="383"/>
      <c r="DKK126" s="383"/>
      <c r="DKL126" s="383"/>
      <c r="DKM126" s="383"/>
      <c r="DKN126" s="383"/>
      <c r="DKO126" s="383"/>
      <c r="DKP126" s="383"/>
      <c r="DKQ126" s="383"/>
      <c r="DKR126" s="383"/>
      <c r="DKS126" s="383"/>
      <c r="DKT126" s="383"/>
      <c r="DKU126" s="383"/>
      <c r="DKV126" s="383"/>
      <c r="DKW126" s="383"/>
      <c r="DKX126" s="383"/>
      <c r="DKY126" s="383"/>
      <c r="DKZ126" s="383"/>
      <c r="DLA126" s="383"/>
      <c r="DLB126" s="383"/>
      <c r="DLC126" s="383"/>
      <c r="DLD126" s="383"/>
      <c r="DLE126" s="383"/>
      <c r="DLF126" s="383"/>
      <c r="DLG126" s="383"/>
      <c r="DLH126" s="383"/>
      <c r="DLI126" s="383"/>
      <c r="DLJ126" s="383"/>
      <c r="DLK126" s="383"/>
      <c r="DLL126" s="383"/>
      <c r="DLM126" s="383"/>
      <c r="DLN126" s="383"/>
      <c r="DLO126" s="383"/>
      <c r="DLP126" s="383"/>
      <c r="DLQ126" s="383"/>
      <c r="DLR126" s="383"/>
      <c r="DLS126" s="383"/>
      <c r="DLT126" s="383"/>
      <c r="DLU126" s="383"/>
      <c r="DLV126" s="383"/>
      <c r="DLW126" s="383"/>
      <c r="DLX126" s="383"/>
      <c r="DLY126" s="383"/>
      <c r="DLZ126" s="383"/>
      <c r="DMA126" s="383"/>
      <c r="DMB126" s="383"/>
      <c r="DMC126" s="383"/>
      <c r="DMD126" s="383"/>
      <c r="DME126" s="383"/>
      <c r="DMF126" s="383"/>
      <c r="DMG126" s="383"/>
      <c r="DMH126" s="383"/>
      <c r="DMI126" s="383"/>
      <c r="DMJ126" s="383"/>
      <c r="DMK126" s="383"/>
      <c r="DML126" s="383"/>
      <c r="DMM126" s="383"/>
      <c r="DMN126" s="383"/>
      <c r="DMO126" s="383"/>
      <c r="DMP126" s="383"/>
      <c r="DMQ126" s="383"/>
      <c r="DMR126" s="383"/>
      <c r="DMS126" s="383"/>
      <c r="DMT126" s="383"/>
      <c r="DMU126" s="383"/>
      <c r="DMV126" s="383"/>
      <c r="DMW126" s="383"/>
      <c r="DMX126" s="383"/>
      <c r="DMY126" s="383"/>
      <c r="DMZ126" s="383"/>
      <c r="DNA126" s="383"/>
      <c r="DNB126" s="383"/>
      <c r="DNC126" s="383"/>
      <c r="DND126" s="383"/>
      <c r="DNE126" s="383"/>
      <c r="DNF126" s="383"/>
      <c r="DNG126" s="383"/>
      <c r="DNH126" s="383"/>
      <c r="DNI126" s="383"/>
      <c r="DNJ126" s="383"/>
      <c r="DNK126" s="383"/>
      <c r="DNL126" s="383"/>
      <c r="DNM126" s="383"/>
      <c r="DNN126" s="383"/>
      <c r="DNO126" s="383"/>
      <c r="DNP126" s="383"/>
      <c r="DNQ126" s="383"/>
      <c r="DNR126" s="383"/>
      <c r="DNS126" s="383"/>
      <c r="DNT126" s="383"/>
      <c r="DNU126" s="383"/>
      <c r="DNV126" s="383"/>
      <c r="DNW126" s="383"/>
      <c r="DNX126" s="383"/>
      <c r="DNY126" s="383"/>
      <c r="DNZ126" s="383"/>
      <c r="DOA126" s="383"/>
      <c r="DOB126" s="383"/>
      <c r="DOC126" s="383"/>
      <c r="DOD126" s="383"/>
      <c r="DOE126" s="383"/>
      <c r="DOF126" s="383"/>
      <c r="DOG126" s="383"/>
      <c r="DOH126" s="383"/>
      <c r="DOI126" s="383"/>
      <c r="DOJ126" s="383"/>
      <c r="DOK126" s="383"/>
      <c r="DOL126" s="383"/>
      <c r="DOM126" s="383"/>
      <c r="DON126" s="383"/>
      <c r="DOO126" s="383"/>
      <c r="DOP126" s="383"/>
      <c r="DOQ126" s="383"/>
      <c r="DOR126" s="383"/>
      <c r="DOS126" s="383"/>
      <c r="DOT126" s="383"/>
      <c r="DOU126" s="383"/>
      <c r="DOV126" s="383"/>
      <c r="DOW126" s="383"/>
      <c r="DOX126" s="383"/>
      <c r="DOY126" s="383"/>
      <c r="DOZ126" s="383"/>
      <c r="DPA126" s="383"/>
      <c r="DPB126" s="383"/>
      <c r="DPC126" s="383"/>
      <c r="DPD126" s="383"/>
      <c r="DPE126" s="383"/>
      <c r="DPF126" s="383"/>
      <c r="DPG126" s="383"/>
      <c r="DPH126" s="383"/>
      <c r="DPI126" s="383"/>
      <c r="DPJ126" s="383"/>
      <c r="DPK126" s="383"/>
      <c r="DPL126" s="383"/>
      <c r="DPM126" s="383"/>
      <c r="DPN126" s="383"/>
      <c r="DPO126" s="383"/>
      <c r="DPP126" s="383"/>
      <c r="DPQ126" s="383"/>
      <c r="DPR126" s="383"/>
      <c r="DPS126" s="383"/>
      <c r="DPT126" s="383"/>
      <c r="DPU126" s="383"/>
      <c r="DPV126" s="383"/>
      <c r="DPW126" s="383"/>
      <c r="DPX126" s="383"/>
      <c r="DPY126" s="383"/>
      <c r="DPZ126" s="383"/>
      <c r="DQA126" s="383"/>
      <c r="DQB126" s="383"/>
      <c r="DQC126" s="383"/>
      <c r="DQD126" s="383"/>
      <c r="DQE126" s="383"/>
      <c r="DQF126" s="383"/>
      <c r="DQG126" s="383"/>
      <c r="DQH126" s="383"/>
      <c r="DQI126" s="383"/>
      <c r="DQJ126" s="383"/>
      <c r="DQK126" s="383"/>
      <c r="DQL126" s="383"/>
      <c r="DQM126" s="383"/>
      <c r="DQN126" s="383"/>
      <c r="DQO126" s="383"/>
      <c r="DQP126" s="383"/>
      <c r="DQQ126" s="383"/>
      <c r="DQR126" s="383"/>
      <c r="DQS126" s="383"/>
      <c r="DQT126" s="383"/>
      <c r="DQU126" s="383"/>
      <c r="DQV126" s="383"/>
      <c r="DQW126" s="383"/>
      <c r="DQX126" s="383"/>
      <c r="DQY126" s="383"/>
      <c r="DQZ126" s="383"/>
      <c r="DRA126" s="383"/>
      <c r="DRB126" s="383"/>
      <c r="DRC126" s="383"/>
      <c r="DRD126" s="383"/>
      <c r="DRE126" s="383"/>
      <c r="DRF126" s="383"/>
      <c r="DRG126" s="383"/>
      <c r="DRH126" s="383"/>
      <c r="DRI126" s="383"/>
      <c r="DRJ126" s="383"/>
      <c r="DRK126" s="383"/>
      <c r="DRL126" s="383"/>
      <c r="DRM126" s="383"/>
    </row>
    <row r="127" spans="1:3185" ht="30" customHeight="1">
      <c r="A127" s="387"/>
      <c r="B127" s="388"/>
      <c r="C127" s="389"/>
      <c r="D127" s="390"/>
      <c r="E127" s="391"/>
      <c r="F127" s="421"/>
      <c r="G127" s="396"/>
      <c r="H127" s="392"/>
      <c r="I127" s="422"/>
      <c r="J127" s="394"/>
      <c r="K127" s="411"/>
    </row>
    <row r="128" spans="1:3185" ht="30" customHeight="1">
      <c r="A128" s="387"/>
      <c r="B128" s="388"/>
      <c r="C128" s="389"/>
      <c r="D128" s="390"/>
      <c r="E128" s="391"/>
      <c r="F128" s="421"/>
      <c r="G128" s="396"/>
      <c r="H128" s="406"/>
      <c r="I128" s="422"/>
      <c r="J128" s="394"/>
      <c r="K128" s="411"/>
      <c r="M128" s="408"/>
    </row>
    <row r="129" spans="1:14" ht="30" customHeight="1">
      <c r="A129" s="387"/>
      <c r="B129" s="388"/>
      <c r="C129" s="389"/>
      <c r="D129" s="390"/>
      <c r="E129" s="391"/>
      <c r="F129" s="421"/>
      <c r="G129" s="399"/>
      <c r="H129" s="389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392"/>
      <c r="I130" s="422"/>
      <c r="J130" s="394"/>
      <c r="K130" s="411"/>
    </row>
    <row r="131" spans="1:14" ht="30" customHeight="1">
      <c r="A131" s="387"/>
      <c r="B131" s="388"/>
      <c r="C131" s="389"/>
      <c r="D131" s="390"/>
      <c r="E131" s="391"/>
      <c r="F131" s="421"/>
      <c r="G131" s="396"/>
      <c r="H131" s="392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7"/>
      <c r="K135" s="411"/>
      <c r="L135" s="406"/>
      <c r="M135" s="406"/>
      <c r="N135" s="406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4"/>
      <c r="K137" s="411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  <c r="M140" s="408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3185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  <c r="M145" s="408"/>
    </row>
    <row r="146" spans="1:3185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  <c r="M146" s="408"/>
    </row>
    <row r="147" spans="1:3185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3185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</row>
    <row r="149" spans="1:3185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</row>
    <row r="150" spans="1:3185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  <c r="M150" s="409"/>
    </row>
    <row r="151" spans="1:3185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3185" ht="30" customHeight="1">
      <c r="A152" s="387"/>
      <c r="B152" s="400"/>
      <c r="C152" s="387"/>
      <c r="D152" s="401"/>
      <c r="E152" s="391"/>
      <c r="F152" s="422"/>
      <c r="G152" s="396"/>
      <c r="H152" s="392"/>
      <c r="I152" s="422"/>
      <c r="J152" s="394"/>
      <c r="K152" s="412"/>
    </row>
    <row r="153" spans="1:3185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3185" ht="30" customHeight="1">
      <c r="A154" s="387"/>
      <c r="B154" s="388"/>
      <c r="C154" s="389"/>
      <c r="D154" s="390"/>
      <c r="E154" s="391"/>
      <c r="F154" s="421"/>
      <c r="G154" s="396"/>
      <c r="H154" s="392"/>
      <c r="I154" s="422"/>
      <c r="J154" s="394"/>
      <c r="K154" s="411"/>
    </row>
    <row r="155" spans="1:3185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3185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3185" ht="30" customHeight="1">
      <c r="A157" s="387"/>
      <c r="B157" s="388"/>
      <c r="C157" s="389"/>
      <c r="D157" s="390"/>
      <c r="E157" s="391"/>
      <c r="F157" s="421"/>
      <c r="G157" s="399"/>
      <c r="H157" s="392"/>
      <c r="I157" s="422"/>
      <c r="J157" s="394"/>
      <c r="K157" s="411"/>
    </row>
    <row r="158" spans="1:3185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3185" ht="30" customHeight="1">
      <c r="A159" s="387"/>
      <c r="B159" s="388"/>
      <c r="C159" s="389"/>
      <c r="D159" s="390"/>
      <c r="E159" s="391"/>
      <c r="F159" s="421"/>
      <c r="G159" s="396"/>
      <c r="H159" s="392"/>
      <c r="I159" s="422"/>
      <c r="J159" s="394"/>
      <c r="K159" s="411"/>
    </row>
    <row r="160" spans="1:3185" ht="30" customHeight="1">
      <c r="A160" s="387"/>
      <c r="B160" s="388"/>
      <c r="C160" s="389"/>
      <c r="D160" s="390"/>
      <c r="E160" s="391"/>
      <c r="F160" s="421"/>
      <c r="G160" s="399"/>
      <c r="H160" s="392"/>
      <c r="I160" s="422"/>
      <c r="J160" s="394"/>
      <c r="K160" s="411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  <c r="AA160" s="386"/>
      <c r="AB160" s="386"/>
      <c r="AC160" s="386"/>
      <c r="AD160" s="386"/>
      <c r="AE160" s="386"/>
      <c r="AF160" s="386"/>
      <c r="AG160" s="386"/>
      <c r="AH160" s="386"/>
      <c r="AI160" s="386"/>
      <c r="AJ160" s="386"/>
      <c r="AK160" s="386"/>
      <c r="AL160" s="386"/>
      <c r="AM160" s="386"/>
      <c r="AN160" s="386"/>
      <c r="AO160" s="386"/>
      <c r="AP160" s="386"/>
      <c r="AQ160" s="386"/>
      <c r="AR160" s="386"/>
      <c r="AS160" s="386"/>
      <c r="AT160" s="386"/>
      <c r="AU160" s="386"/>
      <c r="AV160" s="386"/>
      <c r="AW160" s="386"/>
      <c r="AX160" s="386"/>
      <c r="AY160" s="386"/>
      <c r="AZ160" s="386"/>
      <c r="BA160" s="386"/>
      <c r="BB160" s="386"/>
      <c r="BC160" s="386"/>
      <c r="BD160" s="386"/>
      <c r="BE160" s="386"/>
      <c r="BF160" s="386"/>
      <c r="BG160" s="386"/>
      <c r="BH160" s="386"/>
      <c r="BI160" s="386"/>
      <c r="BJ160" s="386"/>
      <c r="BK160" s="386"/>
      <c r="BL160" s="386"/>
      <c r="BM160" s="386"/>
      <c r="BN160" s="386"/>
      <c r="BO160" s="386"/>
      <c r="BP160" s="386"/>
      <c r="BQ160" s="386"/>
      <c r="BR160" s="386"/>
      <c r="BS160" s="386"/>
      <c r="BT160" s="386"/>
      <c r="BU160" s="386"/>
      <c r="BV160" s="386"/>
      <c r="BW160" s="386"/>
      <c r="BX160" s="386"/>
      <c r="BY160" s="386"/>
      <c r="BZ160" s="386"/>
      <c r="CA160" s="386"/>
      <c r="CB160" s="386"/>
      <c r="CC160" s="386"/>
      <c r="CD160" s="386"/>
      <c r="CE160" s="386"/>
      <c r="CF160" s="386"/>
      <c r="CG160" s="386"/>
      <c r="CH160" s="386"/>
      <c r="CI160" s="386"/>
      <c r="CJ160" s="386"/>
      <c r="CK160" s="386"/>
      <c r="CL160" s="386"/>
      <c r="CM160" s="386"/>
      <c r="CN160" s="386"/>
      <c r="CO160" s="386"/>
      <c r="CP160" s="386"/>
      <c r="CQ160" s="386"/>
      <c r="CR160" s="386"/>
      <c r="CS160" s="386"/>
      <c r="CT160" s="386"/>
      <c r="CU160" s="386"/>
      <c r="CV160" s="386"/>
      <c r="CW160" s="386"/>
      <c r="CX160" s="386"/>
      <c r="CY160" s="386"/>
      <c r="CZ160" s="386"/>
      <c r="DA160" s="386"/>
      <c r="DB160" s="386"/>
      <c r="DC160" s="386"/>
      <c r="DD160" s="386"/>
      <c r="DE160" s="386"/>
      <c r="DF160" s="386"/>
      <c r="DG160" s="386"/>
      <c r="DH160" s="386"/>
      <c r="DI160" s="386"/>
      <c r="DJ160" s="386"/>
      <c r="DK160" s="386"/>
      <c r="DL160" s="386"/>
      <c r="DM160" s="386"/>
      <c r="DN160" s="386"/>
      <c r="DO160" s="386"/>
      <c r="DP160" s="386"/>
      <c r="DQ160" s="386"/>
      <c r="DR160" s="386"/>
      <c r="DS160" s="386"/>
      <c r="DT160" s="386"/>
      <c r="DU160" s="386"/>
      <c r="DV160" s="386"/>
      <c r="DW160" s="386"/>
      <c r="DX160" s="386"/>
      <c r="DY160" s="386"/>
      <c r="DZ160" s="386"/>
      <c r="EA160" s="386"/>
      <c r="EB160" s="386"/>
      <c r="EC160" s="386"/>
      <c r="ED160" s="386"/>
      <c r="EE160" s="386"/>
      <c r="EF160" s="386"/>
      <c r="EG160" s="386"/>
      <c r="EH160" s="386"/>
      <c r="EI160" s="386"/>
      <c r="EJ160" s="386"/>
      <c r="EK160" s="386"/>
      <c r="EL160" s="386"/>
      <c r="EM160" s="386"/>
      <c r="EN160" s="386"/>
      <c r="EO160" s="386"/>
      <c r="EP160" s="386"/>
      <c r="EQ160" s="386"/>
      <c r="ER160" s="386"/>
      <c r="ES160" s="386"/>
      <c r="ET160" s="386"/>
      <c r="EU160" s="386"/>
      <c r="EV160" s="386"/>
      <c r="EW160" s="386"/>
      <c r="EX160" s="386"/>
      <c r="EY160" s="386"/>
      <c r="EZ160" s="386"/>
      <c r="FA160" s="386"/>
      <c r="FB160" s="386"/>
      <c r="FC160" s="386"/>
      <c r="FD160" s="386"/>
      <c r="FE160" s="386"/>
      <c r="FF160" s="386"/>
      <c r="FG160" s="386"/>
      <c r="FH160" s="386"/>
      <c r="FI160" s="386"/>
      <c r="FJ160" s="386"/>
      <c r="FK160" s="386"/>
      <c r="FL160" s="386"/>
      <c r="FM160" s="386"/>
      <c r="FN160" s="386"/>
      <c r="FO160" s="386"/>
      <c r="FP160" s="386"/>
      <c r="FQ160" s="386"/>
      <c r="FR160" s="386"/>
      <c r="FS160" s="386"/>
      <c r="FT160" s="386"/>
      <c r="FU160" s="386"/>
      <c r="FV160" s="386"/>
      <c r="FW160" s="386"/>
      <c r="FX160" s="386"/>
      <c r="FY160" s="386"/>
      <c r="FZ160" s="386"/>
      <c r="GA160" s="386"/>
      <c r="GB160" s="386"/>
      <c r="GC160" s="386"/>
      <c r="GD160" s="386"/>
      <c r="GE160" s="386"/>
      <c r="GF160" s="386"/>
      <c r="GG160" s="386"/>
      <c r="GH160" s="386"/>
      <c r="GI160" s="386"/>
      <c r="GJ160" s="386"/>
      <c r="GK160" s="386"/>
      <c r="GL160" s="386"/>
      <c r="GM160" s="386"/>
      <c r="GN160" s="386"/>
      <c r="GO160" s="386"/>
      <c r="GP160" s="386"/>
      <c r="GQ160" s="386"/>
      <c r="GR160" s="386"/>
      <c r="GS160" s="386"/>
      <c r="GT160" s="386"/>
      <c r="GU160" s="386"/>
      <c r="GV160" s="386"/>
      <c r="GW160" s="386"/>
      <c r="GX160" s="386"/>
      <c r="GY160" s="386"/>
      <c r="GZ160" s="386"/>
      <c r="HA160" s="386"/>
      <c r="HB160" s="386"/>
      <c r="HC160" s="386"/>
      <c r="HD160" s="386"/>
      <c r="HE160" s="386"/>
      <c r="HF160" s="386"/>
      <c r="HG160" s="386"/>
      <c r="HH160" s="386"/>
      <c r="HI160" s="386"/>
      <c r="HJ160" s="386"/>
      <c r="HK160" s="386"/>
      <c r="HL160" s="386"/>
      <c r="HM160" s="386"/>
      <c r="HN160" s="386"/>
      <c r="HO160" s="386"/>
      <c r="HP160" s="386"/>
      <c r="HQ160" s="386"/>
      <c r="HR160" s="386"/>
      <c r="HS160" s="386"/>
      <c r="HT160" s="386"/>
      <c r="HU160" s="386"/>
      <c r="HV160" s="386"/>
      <c r="HW160" s="386"/>
      <c r="HX160" s="386"/>
      <c r="HY160" s="386"/>
      <c r="HZ160" s="386"/>
      <c r="IA160" s="386"/>
      <c r="IB160" s="386"/>
      <c r="IC160" s="386"/>
      <c r="ID160" s="386"/>
      <c r="IE160" s="386"/>
      <c r="IF160" s="386"/>
      <c r="IG160" s="386"/>
      <c r="IH160" s="386"/>
      <c r="II160" s="386"/>
      <c r="IJ160" s="386"/>
      <c r="IK160" s="386"/>
      <c r="IL160" s="386"/>
      <c r="IM160" s="386"/>
      <c r="IN160" s="386"/>
      <c r="IO160" s="386"/>
      <c r="IP160" s="386"/>
      <c r="IQ160" s="386"/>
      <c r="IR160" s="386"/>
      <c r="IS160" s="386"/>
      <c r="IT160" s="386"/>
      <c r="IU160" s="386"/>
      <c r="IV160" s="386"/>
      <c r="IW160" s="386"/>
      <c r="IX160" s="386"/>
      <c r="IY160" s="386"/>
      <c r="IZ160" s="386"/>
      <c r="JA160" s="386"/>
      <c r="JB160" s="386"/>
      <c r="JC160" s="386"/>
      <c r="JD160" s="386"/>
      <c r="JE160" s="386"/>
      <c r="JF160" s="386"/>
      <c r="JG160" s="386"/>
      <c r="JH160" s="386"/>
      <c r="JI160" s="386"/>
      <c r="JJ160" s="386"/>
      <c r="JK160" s="386"/>
      <c r="JL160" s="386"/>
      <c r="JM160" s="386"/>
      <c r="JN160" s="386"/>
      <c r="JO160" s="386"/>
      <c r="JP160" s="386"/>
      <c r="JQ160" s="386"/>
      <c r="JR160" s="386"/>
      <c r="JS160" s="386"/>
      <c r="JT160" s="386"/>
      <c r="JU160" s="386"/>
      <c r="JV160" s="386"/>
      <c r="JW160" s="386"/>
      <c r="JX160" s="386"/>
      <c r="JY160" s="386"/>
      <c r="JZ160" s="386"/>
      <c r="KA160" s="386"/>
      <c r="KB160" s="386"/>
      <c r="KC160" s="386"/>
      <c r="KD160" s="386"/>
      <c r="KE160" s="386"/>
      <c r="KF160" s="386"/>
      <c r="KG160" s="386"/>
      <c r="KH160" s="386"/>
      <c r="KI160" s="386"/>
      <c r="KJ160" s="386"/>
      <c r="KK160" s="386"/>
      <c r="KL160" s="386"/>
      <c r="KM160" s="386"/>
      <c r="KN160" s="386"/>
      <c r="KO160" s="386"/>
      <c r="KP160" s="386"/>
      <c r="KQ160" s="386"/>
      <c r="KR160" s="386"/>
      <c r="KS160" s="386"/>
      <c r="KT160" s="386"/>
      <c r="KU160" s="386"/>
      <c r="KV160" s="386"/>
      <c r="KW160" s="386"/>
      <c r="KX160" s="386"/>
      <c r="KY160" s="386"/>
      <c r="KZ160" s="386"/>
      <c r="LA160" s="386"/>
      <c r="LB160" s="386"/>
      <c r="LC160" s="386"/>
      <c r="LD160" s="386"/>
      <c r="LE160" s="386"/>
      <c r="LF160" s="386"/>
      <c r="LG160" s="386"/>
      <c r="LH160" s="386"/>
      <c r="LI160" s="386"/>
      <c r="LJ160" s="386"/>
      <c r="LK160" s="386"/>
      <c r="LL160" s="386"/>
      <c r="LM160" s="386"/>
      <c r="LN160" s="386"/>
      <c r="LO160" s="386"/>
      <c r="LP160" s="386"/>
      <c r="LQ160" s="386"/>
      <c r="LR160" s="386"/>
      <c r="LS160" s="386"/>
      <c r="LT160" s="386"/>
      <c r="LU160" s="386"/>
      <c r="LV160" s="386"/>
      <c r="LW160" s="386"/>
      <c r="LX160" s="386"/>
      <c r="LY160" s="386"/>
      <c r="LZ160" s="386"/>
      <c r="MA160" s="386"/>
      <c r="MB160" s="386"/>
      <c r="MC160" s="386"/>
      <c r="MD160" s="386"/>
      <c r="ME160" s="386"/>
      <c r="MF160" s="386"/>
      <c r="MG160" s="386"/>
      <c r="MH160" s="386"/>
      <c r="MI160" s="386"/>
      <c r="MJ160" s="386"/>
      <c r="MK160" s="386"/>
      <c r="ML160" s="386"/>
      <c r="MM160" s="386"/>
      <c r="MN160" s="386"/>
      <c r="MO160" s="386"/>
      <c r="MP160" s="386"/>
      <c r="MQ160" s="386"/>
      <c r="MR160" s="386"/>
      <c r="MS160" s="386"/>
      <c r="MT160" s="386"/>
      <c r="MU160" s="386"/>
      <c r="MV160" s="386"/>
      <c r="MW160" s="386"/>
      <c r="MX160" s="386"/>
      <c r="MY160" s="386"/>
      <c r="MZ160" s="386"/>
      <c r="NA160" s="386"/>
      <c r="NB160" s="386"/>
      <c r="NC160" s="386"/>
      <c r="ND160" s="386"/>
      <c r="NE160" s="386"/>
      <c r="NF160" s="386"/>
      <c r="NG160" s="386"/>
      <c r="NH160" s="386"/>
      <c r="NI160" s="386"/>
      <c r="NJ160" s="386"/>
      <c r="NK160" s="386"/>
      <c r="NL160" s="386"/>
      <c r="NM160" s="386"/>
      <c r="NN160" s="386"/>
      <c r="NO160" s="386"/>
      <c r="NP160" s="386"/>
      <c r="NQ160" s="386"/>
      <c r="NR160" s="386"/>
      <c r="NS160" s="386"/>
      <c r="NT160" s="386"/>
      <c r="NU160" s="386"/>
      <c r="NV160" s="386"/>
      <c r="NW160" s="386"/>
      <c r="NX160" s="386"/>
      <c r="NY160" s="386"/>
      <c r="NZ160" s="386"/>
      <c r="OA160" s="386"/>
      <c r="OB160" s="386"/>
      <c r="OC160" s="386"/>
      <c r="OD160" s="386"/>
      <c r="OE160" s="386"/>
      <c r="OF160" s="386"/>
      <c r="OG160" s="386"/>
      <c r="OH160" s="386"/>
      <c r="OI160" s="386"/>
      <c r="OJ160" s="386"/>
      <c r="OK160" s="386"/>
      <c r="OL160" s="386"/>
      <c r="OM160" s="386"/>
      <c r="ON160" s="386"/>
      <c r="OO160" s="386"/>
      <c r="OP160" s="386"/>
      <c r="OQ160" s="386"/>
      <c r="OR160" s="386"/>
      <c r="OS160" s="386"/>
      <c r="OT160" s="386"/>
      <c r="OU160" s="386"/>
      <c r="OV160" s="386"/>
      <c r="OW160" s="386"/>
      <c r="OX160" s="386"/>
      <c r="OY160" s="386"/>
      <c r="OZ160" s="386"/>
      <c r="PA160" s="386"/>
      <c r="PB160" s="386"/>
      <c r="PC160" s="386"/>
      <c r="PD160" s="386"/>
      <c r="PE160" s="386"/>
      <c r="PF160" s="386"/>
      <c r="PG160" s="386"/>
      <c r="PH160" s="386"/>
      <c r="PI160" s="386"/>
      <c r="PJ160" s="386"/>
      <c r="PK160" s="386"/>
      <c r="PL160" s="386"/>
      <c r="PM160" s="386"/>
      <c r="PN160" s="386"/>
      <c r="PO160" s="386"/>
      <c r="PP160" s="386"/>
      <c r="PQ160" s="386"/>
      <c r="PR160" s="386"/>
      <c r="PS160" s="386"/>
      <c r="PT160" s="386"/>
      <c r="PU160" s="386"/>
      <c r="PV160" s="386"/>
      <c r="PW160" s="386"/>
      <c r="PX160" s="386"/>
      <c r="PY160" s="386"/>
      <c r="PZ160" s="386"/>
      <c r="QA160" s="386"/>
      <c r="QB160" s="386"/>
      <c r="QC160" s="386"/>
      <c r="QD160" s="386"/>
      <c r="QE160" s="386"/>
      <c r="QF160" s="386"/>
      <c r="QG160" s="386"/>
      <c r="QH160" s="386"/>
      <c r="QI160" s="386"/>
      <c r="QJ160" s="386"/>
      <c r="QK160" s="386"/>
      <c r="QL160" s="386"/>
      <c r="QM160" s="386"/>
      <c r="QN160" s="386"/>
      <c r="QO160" s="386"/>
      <c r="QP160" s="386"/>
      <c r="QQ160" s="386"/>
      <c r="QR160" s="386"/>
      <c r="QS160" s="386"/>
      <c r="QT160" s="386"/>
      <c r="QU160" s="386"/>
      <c r="QV160" s="386"/>
      <c r="QW160" s="386"/>
      <c r="QX160" s="386"/>
      <c r="QY160" s="386"/>
      <c r="QZ160" s="386"/>
      <c r="RA160" s="386"/>
      <c r="RB160" s="386"/>
      <c r="RC160" s="386"/>
      <c r="RD160" s="386"/>
      <c r="RE160" s="386"/>
      <c r="RF160" s="386"/>
      <c r="RG160" s="386"/>
      <c r="RH160" s="386"/>
      <c r="RI160" s="386"/>
      <c r="RJ160" s="386"/>
      <c r="RK160" s="386"/>
      <c r="RL160" s="386"/>
      <c r="RM160" s="386"/>
      <c r="RN160" s="386"/>
      <c r="RO160" s="386"/>
      <c r="RP160" s="386"/>
      <c r="RQ160" s="386"/>
      <c r="RR160" s="386"/>
      <c r="RS160" s="386"/>
      <c r="RT160" s="386"/>
      <c r="RU160" s="386"/>
      <c r="RV160" s="386"/>
      <c r="RW160" s="386"/>
      <c r="RX160" s="386"/>
      <c r="RY160" s="386"/>
      <c r="RZ160" s="386"/>
      <c r="SA160" s="386"/>
      <c r="SB160" s="386"/>
      <c r="SC160" s="386"/>
      <c r="SD160" s="386"/>
      <c r="SE160" s="386"/>
      <c r="SF160" s="386"/>
      <c r="SG160" s="386"/>
      <c r="SH160" s="386"/>
      <c r="SI160" s="386"/>
      <c r="SJ160" s="386"/>
      <c r="SK160" s="386"/>
      <c r="SL160" s="386"/>
      <c r="SM160" s="386"/>
      <c r="SN160" s="386"/>
      <c r="SO160" s="386"/>
      <c r="SP160" s="386"/>
      <c r="SQ160" s="386"/>
      <c r="SR160" s="386"/>
      <c r="SS160" s="386"/>
      <c r="ST160" s="386"/>
      <c r="SU160" s="386"/>
      <c r="SV160" s="386"/>
      <c r="SW160" s="386"/>
      <c r="SX160" s="386"/>
      <c r="SY160" s="386"/>
      <c r="SZ160" s="386"/>
      <c r="TA160" s="386"/>
      <c r="TB160" s="386"/>
      <c r="TC160" s="386"/>
      <c r="TD160" s="386"/>
      <c r="TE160" s="386"/>
      <c r="TF160" s="386"/>
      <c r="TG160" s="386"/>
      <c r="TH160" s="386"/>
      <c r="TI160" s="386"/>
      <c r="TJ160" s="386"/>
      <c r="TK160" s="386"/>
      <c r="TL160" s="386"/>
      <c r="TM160" s="386"/>
      <c r="TN160" s="386"/>
      <c r="TO160" s="386"/>
      <c r="TP160" s="386"/>
      <c r="TQ160" s="386"/>
      <c r="TR160" s="386"/>
      <c r="TS160" s="386"/>
      <c r="TT160" s="386"/>
      <c r="TU160" s="386"/>
      <c r="TV160" s="386"/>
      <c r="TW160" s="386"/>
      <c r="TX160" s="386"/>
      <c r="TY160" s="386"/>
      <c r="TZ160" s="386"/>
      <c r="UA160" s="386"/>
      <c r="UB160" s="386"/>
      <c r="UC160" s="386"/>
      <c r="UD160" s="386"/>
      <c r="UE160" s="386"/>
      <c r="UF160" s="386"/>
      <c r="UG160" s="386"/>
      <c r="UH160" s="386"/>
      <c r="UI160" s="386"/>
      <c r="UJ160" s="386"/>
      <c r="UK160" s="386"/>
      <c r="UL160" s="386"/>
      <c r="UM160" s="386"/>
      <c r="UN160" s="386"/>
      <c r="UO160" s="386"/>
      <c r="UP160" s="386"/>
      <c r="UQ160" s="386"/>
      <c r="UR160" s="386"/>
      <c r="US160" s="386"/>
      <c r="UT160" s="386"/>
      <c r="UU160" s="386"/>
      <c r="UV160" s="386"/>
      <c r="UW160" s="386"/>
      <c r="UX160" s="386"/>
      <c r="UY160" s="386"/>
      <c r="UZ160" s="386"/>
      <c r="VA160" s="386"/>
      <c r="VB160" s="386"/>
      <c r="VC160" s="386"/>
      <c r="VD160" s="386"/>
      <c r="VE160" s="386"/>
      <c r="VF160" s="386"/>
      <c r="VG160" s="386"/>
      <c r="VH160" s="386"/>
      <c r="VI160" s="386"/>
      <c r="VJ160" s="386"/>
      <c r="VK160" s="386"/>
      <c r="VL160" s="386"/>
      <c r="VM160" s="386"/>
      <c r="VN160" s="386"/>
      <c r="VO160" s="386"/>
      <c r="VP160" s="386"/>
      <c r="VQ160" s="386"/>
      <c r="VR160" s="386"/>
      <c r="VS160" s="386"/>
      <c r="VT160" s="386"/>
      <c r="VU160" s="386"/>
      <c r="VV160" s="386"/>
      <c r="VW160" s="386"/>
      <c r="VX160" s="386"/>
      <c r="VY160" s="386"/>
      <c r="VZ160" s="386"/>
      <c r="WA160" s="386"/>
      <c r="WB160" s="386"/>
      <c r="WC160" s="386"/>
      <c r="WD160" s="386"/>
      <c r="WE160" s="386"/>
      <c r="WF160" s="386"/>
      <c r="WG160" s="386"/>
      <c r="WH160" s="386"/>
      <c r="WI160" s="386"/>
      <c r="WJ160" s="386"/>
      <c r="WK160" s="386"/>
      <c r="WL160" s="386"/>
      <c r="WM160" s="386"/>
      <c r="WN160" s="386"/>
      <c r="WO160" s="386"/>
      <c r="WP160" s="386"/>
      <c r="WQ160" s="386"/>
      <c r="WR160" s="386"/>
      <c r="WS160" s="386"/>
      <c r="WT160" s="386"/>
      <c r="WU160" s="386"/>
      <c r="WV160" s="386"/>
      <c r="WW160" s="386"/>
      <c r="WX160" s="386"/>
      <c r="WY160" s="386"/>
      <c r="WZ160" s="386"/>
      <c r="XA160" s="386"/>
      <c r="XB160" s="386"/>
      <c r="XC160" s="386"/>
      <c r="XD160" s="386"/>
      <c r="XE160" s="386"/>
      <c r="XF160" s="386"/>
      <c r="XG160" s="386"/>
      <c r="XH160" s="386"/>
      <c r="XI160" s="386"/>
      <c r="XJ160" s="386"/>
      <c r="XK160" s="386"/>
      <c r="XL160" s="386"/>
      <c r="XM160" s="386"/>
      <c r="XN160" s="386"/>
      <c r="XO160" s="386"/>
      <c r="XP160" s="386"/>
      <c r="XQ160" s="386"/>
      <c r="XR160" s="386"/>
      <c r="XS160" s="386"/>
      <c r="XT160" s="386"/>
      <c r="XU160" s="386"/>
      <c r="XV160" s="386"/>
      <c r="XW160" s="386"/>
      <c r="XX160" s="386"/>
      <c r="XY160" s="386"/>
      <c r="XZ160" s="386"/>
      <c r="YA160" s="386"/>
      <c r="YB160" s="386"/>
      <c r="YC160" s="386"/>
      <c r="YD160" s="386"/>
      <c r="YE160" s="386"/>
      <c r="YF160" s="386"/>
      <c r="YG160" s="386"/>
      <c r="YH160" s="386"/>
      <c r="YI160" s="386"/>
      <c r="YJ160" s="386"/>
      <c r="YK160" s="386"/>
      <c r="YL160" s="386"/>
      <c r="YM160" s="386"/>
      <c r="YN160" s="386"/>
      <c r="YO160" s="386"/>
      <c r="YP160" s="386"/>
      <c r="YQ160" s="386"/>
      <c r="YR160" s="386"/>
      <c r="YS160" s="386"/>
      <c r="YT160" s="386"/>
      <c r="YU160" s="386"/>
      <c r="YV160" s="386"/>
      <c r="YW160" s="386"/>
      <c r="YX160" s="386"/>
      <c r="YY160" s="386"/>
      <c r="YZ160" s="386"/>
      <c r="ZA160" s="386"/>
      <c r="ZB160" s="386"/>
      <c r="ZC160" s="386"/>
      <c r="ZD160" s="386"/>
      <c r="ZE160" s="386"/>
      <c r="ZF160" s="386"/>
      <c r="ZG160" s="386"/>
      <c r="ZH160" s="386"/>
      <c r="ZI160" s="386"/>
      <c r="ZJ160" s="386"/>
      <c r="ZK160" s="386"/>
      <c r="ZL160" s="386"/>
      <c r="ZM160" s="386"/>
      <c r="ZN160" s="386"/>
      <c r="ZO160" s="386"/>
      <c r="ZP160" s="386"/>
      <c r="ZQ160" s="386"/>
      <c r="ZR160" s="386"/>
      <c r="ZS160" s="386"/>
      <c r="ZT160" s="386"/>
      <c r="ZU160" s="386"/>
      <c r="ZV160" s="386"/>
      <c r="ZW160" s="386"/>
      <c r="ZX160" s="386"/>
      <c r="ZY160" s="386"/>
      <c r="ZZ160" s="386"/>
      <c r="AAA160" s="386"/>
      <c r="AAB160" s="386"/>
      <c r="AAC160" s="386"/>
      <c r="AAD160" s="386"/>
      <c r="AAE160" s="386"/>
      <c r="AAF160" s="386"/>
      <c r="AAG160" s="386"/>
      <c r="AAH160" s="386"/>
      <c r="AAI160" s="386"/>
      <c r="AAJ160" s="386"/>
      <c r="AAK160" s="386"/>
      <c r="AAL160" s="386"/>
      <c r="AAM160" s="386"/>
      <c r="AAN160" s="386"/>
      <c r="AAO160" s="386"/>
      <c r="AAP160" s="386"/>
      <c r="AAQ160" s="386"/>
      <c r="AAR160" s="386"/>
      <c r="AAS160" s="386"/>
      <c r="AAT160" s="386"/>
      <c r="AAU160" s="386"/>
      <c r="AAV160" s="386"/>
      <c r="AAW160" s="386"/>
      <c r="AAX160" s="386"/>
      <c r="AAY160" s="386"/>
      <c r="AAZ160" s="386"/>
      <c r="ABA160" s="386"/>
      <c r="ABB160" s="386"/>
      <c r="ABC160" s="386"/>
      <c r="ABD160" s="386"/>
      <c r="ABE160" s="386"/>
      <c r="ABF160" s="386"/>
      <c r="ABG160" s="386"/>
      <c r="ABH160" s="386"/>
      <c r="ABI160" s="386"/>
      <c r="ABJ160" s="386"/>
      <c r="ABK160" s="386"/>
      <c r="ABL160" s="386"/>
      <c r="ABM160" s="386"/>
      <c r="ABN160" s="386"/>
      <c r="ABO160" s="386"/>
      <c r="ABP160" s="386"/>
      <c r="ABQ160" s="386"/>
      <c r="ABR160" s="386"/>
      <c r="ABS160" s="386"/>
      <c r="ABT160" s="386"/>
      <c r="ABU160" s="386"/>
      <c r="ABV160" s="386"/>
      <c r="ABW160" s="386"/>
      <c r="ABX160" s="386"/>
      <c r="ABY160" s="386"/>
      <c r="ABZ160" s="386"/>
      <c r="ACA160" s="386"/>
      <c r="ACB160" s="386"/>
      <c r="ACC160" s="386"/>
      <c r="ACD160" s="386"/>
      <c r="ACE160" s="386"/>
      <c r="ACF160" s="386"/>
      <c r="ACG160" s="386"/>
      <c r="ACH160" s="386"/>
      <c r="ACI160" s="386"/>
      <c r="ACJ160" s="386"/>
      <c r="ACK160" s="386"/>
      <c r="ACL160" s="386"/>
      <c r="ACM160" s="386"/>
      <c r="ACN160" s="386"/>
      <c r="ACO160" s="386"/>
      <c r="ACP160" s="386"/>
      <c r="ACQ160" s="386"/>
      <c r="ACR160" s="386"/>
      <c r="ACS160" s="386"/>
      <c r="ACT160" s="386"/>
      <c r="ACU160" s="386"/>
      <c r="ACV160" s="386"/>
      <c r="ACW160" s="386"/>
      <c r="ACX160" s="386"/>
      <c r="ACY160" s="386"/>
      <c r="ACZ160" s="386"/>
      <c r="ADA160" s="386"/>
      <c r="ADB160" s="386"/>
      <c r="ADC160" s="386"/>
      <c r="ADD160" s="386"/>
      <c r="ADE160" s="386"/>
      <c r="ADF160" s="386"/>
      <c r="ADG160" s="386"/>
      <c r="ADH160" s="386"/>
      <c r="ADI160" s="386"/>
      <c r="ADJ160" s="386"/>
      <c r="ADK160" s="386"/>
      <c r="ADL160" s="386"/>
      <c r="ADM160" s="386"/>
      <c r="ADN160" s="386"/>
      <c r="ADO160" s="386"/>
      <c r="ADP160" s="386"/>
      <c r="ADQ160" s="386"/>
      <c r="ADR160" s="386"/>
      <c r="ADS160" s="386"/>
      <c r="ADT160" s="386"/>
      <c r="ADU160" s="386"/>
      <c r="ADV160" s="386"/>
      <c r="ADW160" s="386"/>
      <c r="ADX160" s="386"/>
      <c r="ADY160" s="386"/>
      <c r="ADZ160" s="386"/>
      <c r="AEA160" s="386"/>
      <c r="AEB160" s="386"/>
      <c r="AEC160" s="386"/>
      <c r="AED160" s="386"/>
      <c r="AEE160" s="386"/>
      <c r="AEF160" s="386"/>
      <c r="AEG160" s="386"/>
      <c r="AEH160" s="386"/>
      <c r="AEI160" s="386"/>
      <c r="AEJ160" s="386"/>
      <c r="AEK160" s="386"/>
      <c r="AEL160" s="386"/>
      <c r="AEM160" s="386"/>
      <c r="AEN160" s="386"/>
      <c r="AEO160" s="386"/>
      <c r="AEP160" s="386"/>
      <c r="AEQ160" s="386"/>
      <c r="AER160" s="386"/>
      <c r="AES160" s="386"/>
      <c r="AET160" s="386"/>
      <c r="AEU160" s="386"/>
      <c r="AEV160" s="386"/>
      <c r="AEW160" s="386"/>
      <c r="AEX160" s="386"/>
      <c r="AEY160" s="386"/>
      <c r="AEZ160" s="386"/>
      <c r="AFA160" s="386"/>
      <c r="AFB160" s="386"/>
      <c r="AFC160" s="386"/>
      <c r="AFD160" s="386"/>
      <c r="AFE160" s="386"/>
      <c r="AFF160" s="386"/>
      <c r="AFG160" s="386"/>
      <c r="AFH160" s="386"/>
      <c r="AFI160" s="386"/>
      <c r="AFJ160" s="386"/>
      <c r="AFK160" s="386"/>
      <c r="AFL160" s="386"/>
      <c r="AFM160" s="386"/>
      <c r="AFN160" s="386"/>
      <c r="AFO160" s="386"/>
      <c r="AFP160" s="386"/>
      <c r="AFQ160" s="386"/>
      <c r="AFR160" s="386"/>
      <c r="AFS160" s="386"/>
      <c r="AFT160" s="386"/>
      <c r="AFU160" s="386"/>
      <c r="AFV160" s="386"/>
      <c r="AFW160" s="386"/>
      <c r="AFX160" s="386"/>
      <c r="AFY160" s="386"/>
      <c r="AFZ160" s="386"/>
      <c r="AGA160" s="386"/>
      <c r="AGB160" s="386"/>
      <c r="AGC160" s="386"/>
      <c r="AGD160" s="386"/>
      <c r="AGE160" s="386"/>
      <c r="AGF160" s="386"/>
      <c r="AGG160" s="386"/>
      <c r="AGH160" s="386"/>
      <c r="AGI160" s="386"/>
      <c r="AGJ160" s="386"/>
      <c r="AGK160" s="386"/>
      <c r="AGL160" s="386"/>
      <c r="AGM160" s="386"/>
      <c r="AGN160" s="386"/>
      <c r="AGO160" s="386"/>
      <c r="AGP160" s="386"/>
      <c r="AGQ160" s="386"/>
      <c r="AGR160" s="386"/>
      <c r="AGS160" s="386"/>
      <c r="AGT160" s="386"/>
      <c r="AGU160" s="386"/>
      <c r="AGV160" s="386"/>
      <c r="AGW160" s="386"/>
      <c r="AGX160" s="386"/>
      <c r="AGY160" s="386"/>
      <c r="AGZ160" s="386"/>
      <c r="AHA160" s="386"/>
      <c r="AHB160" s="386"/>
      <c r="AHC160" s="386"/>
      <c r="AHD160" s="386"/>
      <c r="AHE160" s="386"/>
      <c r="AHF160" s="386"/>
      <c r="AHG160" s="386"/>
      <c r="AHH160" s="386"/>
      <c r="AHI160" s="386"/>
      <c r="AHJ160" s="386"/>
      <c r="AHK160" s="386"/>
      <c r="AHL160" s="386"/>
      <c r="AHM160" s="386"/>
      <c r="AHN160" s="386"/>
      <c r="AHO160" s="386"/>
      <c r="AHP160" s="386"/>
      <c r="AHQ160" s="386"/>
      <c r="AHR160" s="386"/>
      <c r="AHS160" s="386"/>
      <c r="AHT160" s="386"/>
      <c r="AHU160" s="386"/>
      <c r="AHV160" s="386"/>
      <c r="AHW160" s="386"/>
      <c r="AHX160" s="386"/>
      <c r="AHY160" s="386"/>
      <c r="AHZ160" s="386"/>
      <c r="AIA160" s="386"/>
      <c r="AIB160" s="386"/>
      <c r="AIC160" s="386"/>
      <c r="AID160" s="386"/>
      <c r="AIE160" s="386"/>
      <c r="AIF160" s="386"/>
      <c r="AIG160" s="386"/>
      <c r="AIH160" s="386"/>
      <c r="AII160" s="386"/>
      <c r="AIJ160" s="386"/>
      <c r="AIK160" s="386"/>
      <c r="AIL160" s="386"/>
      <c r="AIM160" s="386"/>
      <c r="AIN160" s="386"/>
      <c r="AIO160" s="386"/>
      <c r="AIP160" s="386"/>
      <c r="AIQ160" s="386"/>
      <c r="AIR160" s="386"/>
      <c r="AIS160" s="386"/>
      <c r="AIT160" s="386"/>
      <c r="AIU160" s="386"/>
      <c r="AIV160" s="386"/>
      <c r="AIW160" s="386"/>
      <c r="AIX160" s="386"/>
      <c r="AIY160" s="386"/>
      <c r="AIZ160" s="386"/>
      <c r="AJA160" s="386"/>
      <c r="AJB160" s="386"/>
      <c r="AJC160" s="386"/>
      <c r="AJD160" s="386"/>
      <c r="AJE160" s="386"/>
      <c r="AJF160" s="386"/>
      <c r="AJG160" s="386"/>
      <c r="AJH160" s="386"/>
      <c r="AJI160" s="386"/>
      <c r="AJJ160" s="386"/>
      <c r="AJK160" s="386"/>
      <c r="AJL160" s="386"/>
      <c r="AJM160" s="386"/>
      <c r="AJN160" s="386"/>
      <c r="AJO160" s="386"/>
      <c r="AJP160" s="386"/>
      <c r="AJQ160" s="386"/>
      <c r="AJR160" s="386"/>
      <c r="AJS160" s="386"/>
      <c r="AJT160" s="386"/>
      <c r="AJU160" s="386"/>
      <c r="AJV160" s="386"/>
      <c r="AJW160" s="386"/>
      <c r="AJX160" s="386"/>
      <c r="AJY160" s="386"/>
      <c r="AJZ160" s="386"/>
      <c r="AKA160" s="386"/>
      <c r="AKB160" s="386"/>
      <c r="AKC160" s="386"/>
      <c r="AKD160" s="386"/>
      <c r="AKE160" s="386"/>
      <c r="AKF160" s="386"/>
      <c r="AKG160" s="386"/>
      <c r="AKH160" s="386"/>
      <c r="AKI160" s="386"/>
      <c r="AKJ160" s="386"/>
      <c r="AKK160" s="386"/>
      <c r="AKL160" s="386"/>
      <c r="AKM160" s="386"/>
      <c r="AKN160" s="386"/>
      <c r="AKO160" s="386"/>
      <c r="AKP160" s="386"/>
      <c r="AKQ160" s="386"/>
      <c r="AKR160" s="386"/>
      <c r="AKS160" s="386"/>
      <c r="AKT160" s="386"/>
      <c r="AKU160" s="386"/>
      <c r="AKV160" s="386"/>
      <c r="AKW160" s="386"/>
      <c r="AKX160" s="386"/>
      <c r="AKY160" s="386"/>
      <c r="AKZ160" s="386"/>
      <c r="ALA160" s="386"/>
      <c r="ALB160" s="386"/>
      <c r="ALC160" s="386"/>
      <c r="ALD160" s="386"/>
      <c r="ALE160" s="386"/>
      <c r="ALF160" s="386"/>
      <c r="ALG160" s="386"/>
      <c r="ALH160" s="386"/>
      <c r="ALI160" s="386"/>
      <c r="ALJ160" s="386"/>
      <c r="ALK160" s="386"/>
      <c r="ALL160" s="386"/>
      <c r="ALM160" s="386"/>
      <c r="ALN160" s="386"/>
      <c r="ALO160" s="386"/>
      <c r="ALP160" s="386"/>
      <c r="ALQ160" s="386"/>
      <c r="ALR160" s="386"/>
      <c r="ALS160" s="386"/>
      <c r="ALT160" s="386"/>
      <c r="ALU160" s="386"/>
      <c r="ALV160" s="386"/>
      <c r="ALW160" s="386"/>
      <c r="ALX160" s="386"/>
      <c r="ALY160" s="386"/>
      <c r="ALZ160" s="386"/>
      <c r="AMA160" s="386"/>
      <c r="AMB160" s="386"/>
      <c r="AMC160" s="386"/>
      <c r="AMD160" s="386"/>
      <c r="AME160" s="386"/>
      <c r="AMF160" s="386"/>
      <c r="AMG160" s="386"/>
      <c r="AMH160" s="386"/>
      <c r="AMI160" s="386"/>
      <c r="AMJ160" s="386"/>
      <c r="AMK160" s="386"/>
      <c r="AML160" s="386"/>
      <c r="AMM160" s="386"/>
      <c r="AMN160" s="386"/>
      <c r="AMO160" s="386"/>
      <c r="AMP160" s="386"/>
      <c r="AMQ160" s="386"/>
      <c r="AMR160" s="386"/>
      <c r="AMS160" s="386"/>
      <c r="AMT160" s="386"/>
      <c r="AMU160" s="386"/>
      <c r="AMV160" s="386"/>
      <c r="AMW160" s="386"/>
      <c r="AMX160" s="386"/>
      <c r="AMY160" s="386"/>
      <c r="AMZ160" s="386"/>
      <c r="ANA160" s="386"/>
      <c r="ANB160" s="386"/>
      <c r="ANC160" s="386"/>
      <c r="AND160" s="386"/>
      <c r="ANE160" s="386"/>
      <c r="ANF160" s="386"/>
      <c r="ANG160" s="386"/>
      <c r="ANH160" s="386"/>
      <c r="ANI160" s="386"/>
      <c r="ANJ160" s="386"/>
      <c r="ANK160" s="386"/>
      <c r="ANL160" s="386"/>
      <c r="ANM160" s="386"/>
      <c r="ANN160" s="386"/>
      <c r="ANO160" s="386"/>
      <c r="ANP160" s="386"/>
      <c r="ANQ160" s="386"/>
      <c r="ANR160" s="386"/>
      <c r="ANS160" s="386"/>
      <c r="ANT160" s="386"/>
      <c r="ANU160" s="386"/>
      <c r="ANV160" s="386"/>
      <c r="ANW160" s="386"/>
      <c r="ANX160" s="386"/>
      <c r="ANY160" s="386"/>
      <c r="ANZ160" s="386"/>
      <c r="AOA160" s="386"/>
      <c r="AOB160" s="386"/>
      <c r="AOC160" s="386"/>
      <c r="AOD160" s="386"/>
      <c r="AOE160" s="386"/>
      <c r="AOF160" s="386"/>
      <c r="AOG160" s="386"/>
      <c r="AOH160" s="386"/>
      <c r="AOI160" s="386"/>
      <c r="AOJ160" s="386"/>
      <c r="AOK160" s="386"/>
      <c r="AOL160" s="386"/>
      <c r="AOM160" s="386"/>
      <c r="AON160" s="386"/>
      <c r="AOO160" s="386"/>
      <c r="AOP160" s="386"/>
      <c r="AOQ160" s="386"/>
      <c r="AOR160" s="386"/>
      <c r="AOS160" s="386"/>
      <c r="AOT160" s="386"/>
      <c r="AOU160" s="386"/>
      <c r="AOV160" s="386"/>
      <c r="AOW160" s="386"/>
      <c r="AOX160" s="386"/>
      <c r="AOY160" s="386"/>
      <c r="AOZ160" s="386"/>
      <c r="APA160" s="386"/>
      <c r="APB160" s="386"/>
      <c r="APC160" s="386"/>
      <c r="APD160" s="386"/>
      <c r="APE160" s="386"/>
      <c r="APF160" s="386"/>
      <c r="APG160" s="386"/>
      <c r="APH160" s="386"/>
      <c r="API160" s="386"/>
      <c r="APJ160" s="386"/>
      <c r="APK160" s="386"/>
      <c r="APL160" s="386"/>
      <c r="APM160" s="386"/>
      <c r="APN160" s="386"/>
      <c r="APO160" s="386"/>
      <c r="APP160" s="386"/>
      <c r="APQ160" s="386"/>
      <c r="APR160" s="386"/>
      <c r="APS160" s="386"/>
      <c r="APT160" s="386"/>
      <c r="APU160" s="386"/>
      <c r="APV160" s="386"/>
      <c r="APW160" s="386"/>
      <c r="APX160" s="386"/>
      <c r="APY160" s="386"/>
      <c r="APZ160" s="386"/>
      <c r="AQA160" s="386"/>
      <c r="AQB160" s="386"/>
      <c r="AQC160" s="386"/>
      <c r="AQD160" s="386"/>
      <c r="AQE160" s="386"/>
      <c r="AQF160" s="386"/>
      <c r="AQG160" s="386"/>
      <c r="AQH160" s="386"/>
      <c r="AQI160" s="386"/>
      <c r="AQJ160" s="386"/>
      <c r="AQK160" s="386"/>
      <c r="AQL160" s="386"/>
      <c r="AQM160" s="386"/>
      <c r="AQN160" s="386"/>
      <c r="AQO160" s="386"/>
      <c r="AQP160" s="386"/>
      <c r="AQQ160" s="386"/>
      <c r="AQR160" s="386"/>
      <c r="AQS160" s="386"/>
      <c r="AQT160" s="386"/>
      <c r="AQU160" s="386"/>
      <c r="AQV160" s="386"/>
      <c r="AQW160" s="386"/>
      <c r="AQX160" s="386"/>
      <c r="AQY160" s="386"/>
      <c r="AQZ160" s="386"/>
      <c r="ARA160" s="386"/>
      <c r="ARB160" s="386"/>
      <c r="ARC160" s="386"/>
      <c r="ARD160" s="386"/>
      <c r="ARE160" s="386"/>
      <c r="ARF160" s="386"/>
      <c r="ARG160" s="386"/>
      <c r="ARH160" s="386"/>
      <c r="ARI160" s="386"/>
      <c r="ARJ160" s="386"/>
      <c r="ARK160" s="386"/>
      <c r="ARL160" s="386"/>
      <c r="ARM160" s="386"/>
      <c r="ARN160" s="386"/>
      <c r="ARO160" s="386"/>
      <c r="ARP160" s="386"/>
      <c r="ARQ160" s="386"/>
      <c r="ARR160" s="386"/>
      <c r="ARS160" s="386"/>
      <c r="ART160" s="386"/>
      <c r="ARU160" s="386"/>
      <c r="ARV160" s="386"/>
      <c r="ARW160" s="386"/>
      <c r="ARX160" s="386"/>
      <c r="ARY160" s="386"/>
      <c r="ARZ160" s="386"/>
      <c r="ASA160" s="386"/>
      <c r="ASB160" s="386"/>
      <c r="ASC160" s="386"/>
      <c r="ASD160" s="386"/>
      <c r="ASE160" s="386"/>
      <c r="ASF160" s="386"/>
      <c r="ASG160" s="386"/>
      <c r="ASH160" s="386"/>
      <c r="ASI160" s="386"/>
      <c r="ASJ160" s="386"/>
      <c r="ASK160" s="386"/>
      <c r="ASL160" s="386"/>
      <c r="ASM160" s="386"/>
      <c r="ASN160" s="386"/>
      <c r="ASO160" s="386"/>
      <c r="ASP160" s="386"/>
      <c r="ASQ160" s="386"/>
      <c r="ASR160" s="386"/>
      <c r="ASS160" s="386"/>
      <c r="AST160" s="386"/>
      <c r="ASU160" s="386"/>
      <c r="ASV160" s="386"/>
      <c r="ASW160" s="386"/>
      <c r="ASX160" s="386"/>
      <c r="ASY160" s="386"/>
      <c r="ASZ160" s="386"/>
      <c r="ATA160" s="386"/>
      <c r="ATB160" s="386"/>
      <c r="ATC160" s="386"/>
      <c r="ATD160" s="386"/>
      <c r="ATE160" s="386"/>
      <c r="ATF160" s="386"/>
      <c r="ATG160" s="386"/>
      <c r="ATH160" s="386"/>
      <c r="ATI160" s="386"/>
      <c r="ATJ160" s="386"/>
      <c r="ATK160" s="386"/>
      <c r="ATL160" s="386"/>
      <c r="ATM160" s="386"/>
      <c r="ATN160" s="386"/>
      <c r="ATO160" s="386"/>
      <c r="ATP160" s="386"/>
      <c r="ATQ160" s="386"/>
      <c r="ATR160" s="386"/>
      <c r="ATS160" s="386"/>
      <c r="ATT160" s="386"/>
      <c r="ATU160" s="386"/>
      <c r="ATV160" s="386"/>
      <c r="ATW160" s="386"/>
      <c r="ATX160" s="386"/>
      <c r="ATY160" s="386"/>
      <c r="ATZ160" s="386"/>
      <c r="AUA160" s="386"/>
      <c r="AUB160" s="386"/>
      <c r="AUC160" s="386"/>
      <c r="AUD160" s="386"/>
      <c r="AUE160" s="386"/>
      <c r="AUF160" s="386"/>
      <c r="AUG160" s="386"/>
      <c r="AUH160" s="386"/>
      <c r="AUI160" s="386"/>
      <c r="AUJ160" s="386"/>
      <c r="AUK160" s="386"/>
      <c r="AUL160" s="386"/>
      <c r="AUM160" s="386"/>
      <c r="AUN160" s="386"/>
      <c r="AUO160" s="386"/>
      <c r="AUP160" s="386"/>
      <c r="AUQ160" s="386"/>
      <c r="AUR160" s="386"/>
      <c r="AUS160" s="386"/>
      <c r="AUT160" s="386"/>
      <c r="AUU160" s="386"/>
      <c r="AUV160" s="386"/>
      <c r="AUW160" s="386"/>
      <c r="AUX160" s="386"/>
      <c r="AUY160" s="386"/>
      <c r="AUZ160" s="386"/>
      <c r="AVA160" s="386"/>
      <c r="AVB160" s="386"/>
      <c r="AVC160" s="386"/>
      <c r="AVD160" s="386"/>
      <c r="AVE160" s="386"/>
      <c r="AVF160" s="386"/>
      <c r="AVG160" s="386"/>
      <c r="AVH160" s="386"/>
      <c r="AVI160" s="386"/>
      <c r="AVJ160" s="386"/>
      <c r="AVK160" s="386"/>
      <c r="AVL160" s="386"/>
      <c r="AVM160" s="386"/>
      <c r="AVN160" s="386"/>
      <c r="AVO160" s="386"/>
      <c r="AVP160" s="386"/>
      <c r="AVQ160" s="386"/>
      <c r="AVR160" s="386"/>
      <c r="AVS160" s="386"/>
      <c r="AVT160" s="386"/>
      <c r="AVU160" s="386"/>
      <c r="AVV160" s="386"/>
      <c r="AVW160" s="386"/>
      <c r="AVX160" s="386"/>
      <c r="AVY160" s="386"/>
      <c r="AVZ160" s="386"/>
      <c r="AWA160" s="386"/>
      <c r="AWB160" s="386"/>
      <c r="AWC160" s="386"/>
      <c r="AWD160" s="386"/>
      <c r="AWE160" s="386"/>
      <c r="AWF160" s="386"/>
      <c r="AWG160" s="386"/>
      <c r="AWH160" s="386"/>
      <c r="AWI160" s="386"/>
      <c r="AWJ160" s="386"/>
      <c r="AWK160" s="386"/>
      <c r="AWL160" s="386"/>
      <c r="AWM160" s="386"/>
      <c r="AWN160" s="386"/>
      <c r="AWO160" s="386"/>
      <c r="AWP160" s="386"/>
      <c r="AWQ160" s="386"/>
      <c r="AWR160" s="386"/>
      <c r="AWS160" s="386"/>
      <c r="AWT160" s="386"/>
      <c r="AWU160" s="386"/>
      <c r="AWV160" s="386"/>
      <c r="AWW160" s="386"/>
      <c r="AWX160" s="386"/>
      <c r="AWY160" s="386"/>
      <c r="AWZ160" s="386"/>
      <c r="AXA160" s="386"/>
      <c r="AXB160" s="386"/>
      <c r="AXC160" s="386"/>
      <c r="AXD160" s="386"/>
      <c r="AXE160" s="386"/>
      <c r="AXF160" s="386"/>
      <c r="AXG160" s="386"/>
      <c r="AXH160" s="386"/>
      <c r="AXI160" s="386"/>
      <c r="AXJ160" s="386"/>
      <c r="AXK160" s="386"/>
      <c r="AXL160" s="386"/>
      <c r="AXM160" s="386"/>
      <c r="AXN160" s="386"/>
      <c r="AXO160" s="386"/>
      <c r="AXP160" s="386"/>
      <c r="AXQ160" s="386"/>
      <c r="AXR160" s="386"/>
      <c r="AXS160" s="386"/>
      <c r="AXT160" s="386"/>
      <c r="AXU160" s="386"/>
      <c r="AXV160" s="386"/>
      <c r="AXW160" s="386"/>
      <c r="AXX160" s="386"/>
      <c r="AXY160" s="386"/>
      <c r="AXZ160" s="386"/>
      <c r="AYA160" s="386"/>
      <c r="AYB160" s="386"/>
      <c r="AYC160" s="386"/>
      <c r="AYD160" s="386"/>
      <c r="AYE160" s="386"/>
      <c r="AYF160" s="386"/>
      <c r="AYG160" s="386"/>
      <c r="AYH160" s="386"/>
      <c r="AYI160" s="386"/>
      <c r="AYJ160" s="386"/>
      <c r="AYK160" s="386"/>
      <c r="AYL160" s="386"/>
      <c r="AYM160" s="386"/>
      <c r="AYN160" s="386"/>
      <c r="AYO160" s="386"/>
      <c r="AYP160" s="386"/>
      <c r="AYQ160" s="386"/>
      <c r="AYR160" s="386"/>
      <c r="AYS160" s="386"/>
      <c r="AYT160" s="386"/>
      <c r="AYU160" s="386"/>
      <c r="AYV160" s="386"/>
      <c r="AYW160" s="386"/>
      <c r="AYX160" s="386"/>
      <c r="AYY160" s="386"/>
      <c r="AYZ160" s="386"/>
      <c r="AZA160" s="386"/>
      <c r="AZB160" s="386"/>
      <c r="AZC160" s="386"/>
      <c r="AZD160" s="386"/>
      <c r="AZE160" s="386"/>
      <c r="AZF160" s="386"/>
      <c r="AZG160" s="386"/>
      <c r="AZH160" s="386"/>
      <c r="AZI160" s="386"/>
      <c r="AZJ160" s="386"/>
      <c r="AZK160" s="386"/>
      <c r="AZL160" s="386"/>
      <c r="AZM160" s="386"/>
      <c r="AZN160" s="386"/>
      <c r="AZO160" s="386"/>
      <c r="AZP160" s="386"/>
      <c r="AZQ160" s="386"/>
      <c r="AZR160" s="386"/>
      <c r="AZS160" s="386"/>
      <c r="AZT160" s="386"/>
      <c r="AZU160" s="386"/>
      <c r="AZV160" s="386"/>
      <c r="AZW160" s="386"/>
      <c r="AZX160" s="386"/>
      <c r="AZY160" s="386"/>
      <c r="AZZ160" s="386"/>
      <c r="BAA160" s="386"/>
      <c r="BAB160" s="386"/>
      <c r="BAC160" s="386"/>
      <c r="BAD160" s="386"/>
      <c r="BAE160" s="386"/>
      <c r="BAF160" s="386"/>
      <c r="BAG160" s="386"/>
      <c r="BAH160" s="386"/>
      <c r="BAI160" s="386"/>
      <c r="BAJ160" s="386"/>
      <c r="BAK160" s="386"/>
      <c r="BAL160" s="386"/>
      <c r="BAM160" s="386"/>
      <c r="BAN160" s="386"/>
      <c r="BAO160" s="386"/>
      <c r="BAP160" s="386"/>
      <c r="BAQ160" s="386"/>
      <c r="BAR160" s="386"/>
      <c r="BAS160" s="386"/>
      <c r="BAT160" s="386"/>
      <c r="BAU160" s="386"/>
      <c r="BAV160" s="386"/>
      <c r="BAW160" s="386"/>
      <c r="BAX160" s="386"/>
      <c r="BAY160" s="386"/>
      <c r="BAZ160" s="386"/>
      <c r="BBA160" s="386"/>
      <c r="BBB160" s="386"/>
      <c r="BBC160" s="386"/>
      <c r="BBD160" s="386"/>
      <c r="BBE160" s="386"/>
      <c r="BBF160" s="386"/>
      <c r="BBG160" s="386"/>
      <c r="BBH160" s="386"/>
      <c r="BBI160" s="386"/>
      <c r="BBJ160" s="386"/>
      <c r="BBK160" s="386"/>
      <c r="BBL160" s="386"/>
      <c r="BBM160" s="386"/>
      <c r="BBN160" s="386"/>
      <c r="BBO160" s="386"/>
      <c r="BBP160" s="386"/>
      <c r="BBQ160" s="386"/>
      <c r="BBR160" s="386"/>
      <c r="BBS160" s="386"/>
      <c r="BBT160" s="386"/>
      <c r="BBU160" s="386"/>
      <c r="BBV160" s="386"/>
      <c r="BBW160" s="386"/>
      <c r="BBX160" s="386"/>
      <c r="BBY160" s="386"/>
      <c r="BBZ160" s="386"/>
      <c r="BCA160" s="386"/>
      <c r="BCB160" s="386"/>
      <c r="BCC160" s="386"/>
      <c r="BCD160" s="386"/>
      <c r="BCE160" s="386"/>
      <c r="BCF160" s="386"/>
      <c r="BCG160" s="386"/>
      <c r="BCH160" s="386"/>
      <c r="BCI160" s="386"/>
      <c r="BCJ160" s="386"/>
      <c r="BCK160" s="386"/>
      <c r="BCL160" s="386"/>
      <c r="BCM160" s="386"/>
      <c r="BCN160" s="386"/>
      <c r="BCO160" s="386"/>
      <c r="BCP160" s="386"/>
      <c r="BCQ160" s="386"/>
      <c r="BCR160" s="386"/>
      <c r="BCS160" s="386"/>
      <c r="BCT160" s="386"/>
      <c r="BCU160" s="386"/>
      <c r="BCV160" s="386"/>
      <c r="BCW160" s="386"/>
      <c r="BCX160" s="386"/>
      <c r="BCY160" s="386"/>
      <c r="BCZ160" s="386"/>
      <c r="BDA160" s="386"/>
      <c r="BDB160" s="386"/>
      <c r="BDC160" s="386"/>
      <c r="BDD160" s="386"/>
      <c r="BDE160" s="386"/>
      <c r="BDF160" s="386"/>
      <c r="BDG160" s="386"/>
      <c r="BDH160" s="386"/>
      <c r="BDI160" s="386"/>
      <c r="BDJ160" s="386"/>
      <c r="BDK160" s="386"/>
      <c r="BDL160" s="386"/>
      <c r="BDM160" s="386"/>
      <c r="BDN160" s="386"/>
      <c r="BDO160" s="386"/>
      <c r="BDP160" s="386"/>
      <c r="BDQ160" s="386"/>
      <c r="BDR160" s="386"/>
      <c r="BDS160" s="386"/>
      <c r="BDT160" s="386"/>
      <c r="BDU160" s="386"/>
      <c r="BDV160" s="386"/>
      <c r="BDW160" s="386"/>
      <c r="BDX160" s="386"/>
      <c r="BDY160" s="386"/>
      <c r="BDZ160" s="386"/>
      <c r="BEA160" s="386"/>
      <c r="BEB160" s="386"/>
      <c r="BEC160" s="386"/>
      <c r="BED160" s="386"/>
      <c r="BEE160" s="386"/>
      <c r="BEF160" s="386"/>
      <c r="BEG160" s="386"/>
      <c r="BEH160" s="386"/>
      <c r="BEI160" s="386"/>
      <c r="BEJ160" s="386"/>
      <c r="BEK160" s="386"/>
      <c r="BEL160" s="386"/>
      <c r="BEM160" s="386"/>
      <c r="BEN160" s="386"/>
      <c r="BEO160" s="386"/>
      <c r="BEP160" s="386"/>
      <c r="BEQ160" s="386"/>
      <c r="BER160" s="386"/>
      <c r="BES160" s="386"/>
      <c r="BET160" s="386"/>
      <c r="BEU160" s="386"/>
      <c r="BEV160" s="386"/>
      <c r="BEW160" s="386"/>
      <c r="BEX160" s="386"/>
      <c r="BEY160" s="386"/>
      <c r="BEZ160" s="386"/>
      <c r="BFA160" s="386"/>
      <c r="BFB160" s="386"/>
      <c r="BFC160" s="386"/>
      <c r="BFD160" s="386"/>
      <c r="BFE160" s="386"/>
      <c r="BFF160" s="386"/>
      <c r="BFG160" s="386"/>
      <c r="BFH160" s="386"/>
      <c r="BFI160" s="386"/>
      <c r="BFJ160" s="386"/>
      <c r="BFK160" s="386"/>
      <c r="BFL160" s="386"/>
      <c r="BFM160" s="386"/>
      <c r="BFN160" s="386"/>
      <c r="BFO160" s="386"/>
      <c r="BFP160" s="386"/>
      <c r="BFQ160" s="386"/>
      <c r="BFR160" s="386"/>
      <c r="BFS160" s="386"/>
      <c r="BFT160" s="386"/>
      <c r="BFU160" s="386"/>
      <c r="BFV160" s="386"/>
      <c r="BFW160" s="386"/>
      <c r="BFX160" s="386"/>
      <c r="BFY160" s="386"/>
      <c r="BFZ160" s="386"/>
      <c r="BGA160" s="386"/>
      <c r="BGB160" s="386"/>
      <c r="BGC160" s="386"/>
      <c r="BGD160" s="386"/>
      <c r="BGE160" s="386"/>
      <c r="BGF160" s="386"/>
      <c r="BGG160" s="386"/>
      <c r="BGH160" s="386"/>
      <c r="BGI160" s="386"/>
      <c r="BGJ160" s="386"/>
      <c r="BGK160" s="386"/>
      <c r="BGL160" s="386"/>
      <c r="BGM160" s="386"/>
      <c r="BGN160" s="386"/>
      <c r="BGO160" s="386"/>
      <c r="BGP160" s="386"/>
      <c r="BGQ160" s="386"/>
      <c r="BGR160" s="386"/>
      <c r="BGS160" s="386"/>
      <c r="BGT160" s="386"/>
      <c r="BGU160" s="386"/>
      <c r="BGV160" s="386"/>
      <c r="BGW160" s="386"/>
      <c r="BGX160" s="386"/>
      <c r="BGY160" s="386"/>
      <c r="BGZ160" s="386"/>
      <c r="BHA160" s="386"/>
      <c r="BHB160" s="386"/>
      <c r="BHC160" s="386"/>
      <c r="BHD160" s="386"/>
      <c r="BHE160" s="386"/>
      <c r="BHF160" s="386"/>
      <c r="BHG160" s="386"/>
      <c r="BHH160" s="386"/>
      <c r="BHI160" s="386"/>
      <c r="BHJ160" s="386"/>
      <c r="BHK160" s="386"/>
      <c r="BHL160" s="386"/>
      <c r="BHM160" s="386"/>
      <c r="BHN160" s="386"/>
      <c r="BHO160" s="386"/>
      <c r="BHP160" s="386"/>
      <c r="BHQ160" s="386"/>
      <c r="BHR160" s="386"/>
      <c r="BHS160" s="386"/>
      <c r="BHT160" s="386"/>
      <c r="BHU160" s="386"/>
      <c r="BHV160" s="386"/>
      <c r="BHW160" s="386"/>
      <c r="BHX160" s="386"/>
      <c r="BHY160" s="386"/>
      <c r="BHZ160" s="386"/>
      <c r="BIA160" s="386"/>
      <c r="BIB160" s="386"/>
      <c r="BIC160" s="386"/>
      <c r="BID160" s="386"/>
      <c r="BIE160" s="386"/>
      <c r="BIF160" s="386"/>
      <c r="BIG160" s="386"/>
      <c r="BIH160" s="386"/>
      <c r="BII160" s="386"/>
      <c r="BIJ160" s="386"/>
      <c r="BIK160" s="386"/>
      <c r="BIL160" s="386"/>
      <c r="BIM160" s="386"/>
      <c r="BIN160" s="386"/>
      <c r="BIO160" s="386"/>
      <c r="BIP160" s="386"/>
      <c r="BIQ160" s="386"/>
      <c r="BIR160" s="386"/>
      <c r="BIS160" s="386"/>
      <c r="BIT160" s="386"/>
      <c r="BIU160" s="386"/>
      <c r="BIV160" s="386"/>
      <c r="BIW160" s="386"/>
      <c r="BIX160" s="386"/>
      <c r="BIY160" s="386"/>
      <c r="BIZ160" s="386"/>
      <c r="BJA160" s="386"/>
      <c r="BJB160" s="386"/>
      <c r="BJC160" s="386"/>
      <c r="BJD160" s="386"/>
      <c r="BJE160" s="386"/>
      <c r="BJF160" s="386"/>
      <c r="BJG160" s="386"/>
      <c r="BJH160" s="386"/>
      <c r="BJI160" s="386"/>
      <c r="BJJ160" s="386"/>
      <c r="BJK160" s="386"/>
      <c r="BJL160" s="386"/>
      <c r="BJM160" s="386"/>
      <c r="BJN160" s="386"/>
      <c r="BJO160" s="386"/>
      <c r="BJP160" s="386"/>
      <c r="BJQ160" s="386"/>
      <c r="BJR160" s="386"/>
      <c r="BJS160" s="386"/>
      <c r="BJT160" s="386"/>
      <c r="BJU160" s="386"/>
      <c r="BJV160" s="386"/>
      <c r="BJW160" s="386"/>
      <c r="BJX160" s="386"/>
      <c r="BJY160" s="386"/>
      <c r="BJZ160" s="386"/>
      <c r="BKA160" s="386"/>
      <c r="BKB160" s="386"/>
      <c r="BKC160" s="386"/>
      <c r="BKD160" s="386"/>
      <c r="BKE160" s="386"/>
      <c r="BKF160" s="386"/>
      <c r="BKG160" s="386"/>
      <c r="BKH160" s="386"/>
      <c r="BKI160" s="386"/>
      <c r="BKJ160" s="386"/>
      <c r="BKK160" s="386"/>
      <c r="BKL160" s="386"/>
      <c r="BKM160" s="386"/>
      <c r="BKN160" s="386"/>
      <c r="BKO160" s="386"/>
      <c r="BKP160" s="386"/>
      <c r="BKQ160" s="386"/>
      <c r="BKR160" s="386"/>
      <c r="BKS160" s="386"/>
      <c r="BKT160" s="386"/>
      <c r="BKU160" s="386"/>
      <c r="BKV160" s="386"/>
      <c r="BKW160" s="386"/>
      <c r="BKX160" s="386"/>
      <c r="BKY160" s="386"/>
      <c r="BKZ160" s="386"/>
      <c r="BLA160" s="386"/>
      <c r="BLB160" s="386"/>
      <c r="BLC160" s="386"/>
      <c r="BLD160" s="386"/>
      <c r="BLE160" s="386"/>
      <c r="BLF160" s="386"/>
      <c r="BLG160" s="386"/>
      <c r="BLH160" s="386"/>
      <c r="BLI160" s="386"/>
      <c r="BLJ160" s="386"/>
      <c r="BLK160" s="386"/>
      <c r="BLL160" s="386"/>
      <c r="BLM160" s="386"/>
      <c r="BLN160" s="386"/>
      <c r="BLO160" s="386"/>
      <c r="BLP160" s="386"/>
      <c r="BLQ160" s="386"/>
      <c r="BLR160" s="386"/>
      <c r="BLS160" s="386"/>
      <c r="BLT160" s="386"/>
      <c r="BLU160" s="386"/>
      <c r="BLV160" s="386"/>
      <c r="BLW160" s="386"/>
      <c r="BLX160" s="386"/>
      <c r="BLY160" s="386"/>
      <c r="BLZ160" s="386"/>
      <c r="BMA160" s="386"/>
      <c r="BMB160" s="386"/>
      <c r="BMC160" s="386"/>
      <c r="BMD160" s="386"/>
      <c r="BME160" s="386"/>
      <c r="BMF160" s="386"/>
      <c r="BMG160" s="386"/>
      <c r="BMH160" s="386"/>
      <c r="BMI160" s="386"/>
      <c r="BMJ160" s="386"/>
      <c r="BMK160" s="386"/>
      <c r="BML160" s="386"/>
      <c r="BMM160" s="386"/>
      <c r="BMN160" s="386"/>
      <c r="BMO160" s="386"/>
      <c r="BMP160" s="386"/>
      <c r="BMQ160" s="386"/>
      <c r="BMR160" s="386"/>
      <c r="BMS160" s="386"/>
      <c r="BMT160" s="386"/>
      <c r="BMU160" s="386"/>
      <c r="BMV160" s="386"/>
      <c r="BMW160" s="386"/>
      <c r="BMX160" s="386"/>
      <c r="BMY160" s="386"/>
      <c r="BMZ160" s="386"/>
      <c r="BNA160" s="386"/>
      <c r="BNB160" s="386"/>
      <c r="BNC160" s="386"/>
      <c r="BND160" s="386"/>
      <c r="BNE160" s="386"/>
      <c r="BNF160" s="386"/>
      <c r="BNG160" s="386"/>
      <c r="BNH160" s="386"/>
      <c r="BNI160" s="386"/>
      <c r="BNJ160" s="386"/>
      <c r="BNK160" s="386"/>
      <c r="BNL160" s="386"/>
      <c r="BNM160" s="386"/>
      <c r="BNN160" s="386"/>
      <c r="BNO160" s="386"/>
      <c r="BNP160" s="386"/>
      <c r="BNQ160" s="386"/>
      <c r="BNR160" s="386"/>
      <c r="BNS160" s="386"/>
      <c r="BNT160" s="386"/>
      <c r="BNU160" s="386"/>
      <c r="BNV160" s="386"/>
      <c r="BNW160" s="386"/>
      <c r="BNX160" s="386"/>
      <c r="BNY160" s="386"/>
      <c r="BNZ160" s="386"/>
      <c r="BOA160" s="386"/>
      <c r="BOB160" s="386"/>
      <c r="BOC160" s="386"/>
      <c r="BOD160" s="386"/>
      <c r="BOE160" s="386"/>
      <c r="BOF160" s="386"/>
      <c r="BOG160" s="386"/>
      <c r="BOH160" s="386"/>
      <c r="BOI160" s="386"/>
      <c r="BOJ160" s="386"/>
      <c r="BOK160" s="386"/>
      <c r="BOL160" s="386"/>
      <c r="BOM160" s="386"/>
      <c r="BON160" s="386"/>
      <c r="BOO160" s="386"/>
      <c r="BOP160" s="386"/>
      <c r="BOQ160" s="386"/>
      <c r="BOR160" s="386"/>
      <c r="BOS160" s="386"/>
      <c r="BOT160" s="386"/>
      <c r="BOU160" s="386"/>
      <c r="BOV160" s="386"/>
      <c r="BOW160" s="386"/>
      <c r="BOX160" s="386"/>
      <c r="BOY160" s="386"/>
      <c r="BOZ160" s="386"/>
      <c r="BPA160" s="386"/>
      <c r="BPB160" s="386"/>
      <c r="BPC160" s="386"/>
      <c r="BPD160" s="386"/>
      <c r="BPE160" s="386"/>
      <c r="BPF160" s="386"/>
      <c r="BPG160" s="386"/>
      <c r="BPH160" s="386"/>
      <c r="BPI160" s="386"/>
      <c r="BPJ160" s="386"/>
      <c r="BPK160" s="386"/>
      <c r="BPL160" s="386"/>
      <c r="BPM160" s="386"/>
      <c r="BPN160" s="386"/>
      <c r="BPO160" s="386"/>
      <c r="BPP160" s="386"/>
      <c r="BPQ160" s="386"/>
      <c r="BPR160" s="386"/>
      <c r="BPS160" s="386"/>
      <c r="BPT160" s="386"/>
      <c r="BPU160" s="386"/>
      <c r="BPV160" s="386"/>
      <c r="BPW160" s="386"/>
      <c r="BPX160" s="386"/>
      <c r="BPY160" s="386"/>
      <c r="BPZ160" s="386"/>
      <c r="BQA160" s="386"/>
      <c r="BQB160" s="386"/>
      <c r="BQC160" s="386"/>
      <c r="BQD160" s="386"/>
      <c r="BQE160" s="386"/>
      <c r="BQF160" s="386"/>
      <c r="BQG160" s="386"/>
      <c r="BQH160" s="386"/>
      <c r="BQI160" s="386"/>
      <c r="BQJ160" s="386"/>
      <c r="BQK160" s="386"/>
      <c r="BQL160" s="386"/>
      <c r="BQM160" s="386"/>
      <c r="BQN160" s="386"/>
      <c r="BQO160" s="386"/>
      <c r="BQP160" s="386"/>
      <c r="BQQ160" s="386"/>
      <c r="BQR160" s="386"/>
      <c r="BQS160" s="386"/>
      <c r="BQT160" s="386"/>
      <c r="BQU160" s="386"/>
      <c r="BQV160" s="386"/>
      <c r="BQW160" s="386"/>
      <c r="BQX160" s="386"/>
      <c r="BQY160" s="386"/>
      <c r="BQZ160" s="386"/>
      <c r="BRA160" s="386"/>
      <c r="BRB160" s="386"/>
      <c r="BRC160" s="386"/>
      <c r="BRD160" s="386"/>
      <c r="BRE160" s="386"/>
      <c r="BRF160" s="386"/>
      <c r="BRG160" s="386"/>
      <c r="BRH160" s="386"/>
      <c r="BRI160" s="386"/>
      <c r="BRJ160" s="386"/>
      <c r="BRK160" s="386"/>
      <c r="BRL160" s="386"/>
      <c r="BRM160" s="386"/>
      <c r="BRN160" s="386"/>
      <c r="BRO160" s="386"/>
      <c r="BRP160" s="386"/>
      <c r="BRQ160" s="386"/>
      <c r="BRR160" s="386"/>
      <c r="BRS160" s="386"/>
      <c r="BRT160" s="386"/>
      <c r="BRU160" s="386"/>
      <c r="BRV160" s="386"/>
      <c r="BRW160" s="386"/>
      <c r="BRX160" s="386"/>
      <c r="BRY160" s="386"/>
      <c r="BRZ160" s="386"/>
      <c r="BSA160" s="386"/>
      <c r="BSB160" s="386"/>
      <c r="BSC160" s="386"/>
      <c r="BSD160" s="386"/>
      <c r="BSE160" s="386"/>
      <c r="BSF160" s="386"/>
      <c r="BSG160" s="386"/>
      <c r="BSH160" s="386"/>
      <c r="BSI160" s="386"/>
      <c r="BSJ160" s="386"/>
      <c r="BSK160" s="386"/>
      <c r="BSL160" s="386"/>
      <c r="BSM160" s="386"/>
      <c r="BSN160" s="386"/>
      <c r="BSO160" s="386"/>
      <c r="BSP160" s="386"/>
      <c r="BSQ160" s="386"/>
      <c r="BSR160" s="386"/>
      <c r="BSS160" s="386"/>
      <c r="BST160" s="386"/>
      <c r="BSU160" s="386"/>
      <c r="BSV160" s="386"/>
      <c r="BSW160" s="386"/>
      <c r="BSX160" s="386"/>
      <c r="BSY160" s="386"/>
      <c r="BSZ160" s="386"/>
      <c r="BTA160" s="386"/>
      <c r="BTB160" s="386"/>
      <c r="BTC160" s="386"/>
      <c r="BTD160" s="386"/>
      <c r="BTE160" s="386"/>
      <c r="BTF160" s="386"/>
      <c r="BTG160" s="386"/>
      <c r="BTH160" s="386"/>
      <c r="BTI160" s="386"/>
      <c r="BTJ160" s="386"/>
      <c r="BTK160" s="386"/>
      <c r="BTL160" s="386"/>
      <c r="BTM160" s="386"/>
      <c r="BTN160" s="386"/>
      <c r="BTO160" s="386"/>
      <c r="BTP160" s="386"/>
      <c r="BTQ160" s="386"/>
      <c r="BTR160" s="386"/>
      <c r="BTS160" s="386"/>
      <c r="BTT160" s="386"/>
      <c r="BTU160" s="386"/>
      <c r="BTV160" s="386"/>
      <c r="BTW160" s="386"/>
      <c r="BTX160" s="386"/>
      <c r="BTY160" s="386"/>
      <c r="BTZ160" s="386"/>
      <c r="BUA160" s="386"/>
      <c r="BUB160" s="386"/>
      <c r="BUC160" s="386"/>
      <c r="BUD160" s="386"/>
      <c r="BUE160" s="386"/>
      <c r="BUF160" s="386"/>
      <c r="BUG160" s="386"/>
      <c r="BUH160" s="386"/>
      <c r="BUI160" s="386"/>
      <c r="BUJ160" s="386"/>
      <c r="BUK160" s="386"/>
      <c r="BUL160" s="386"/>
      <c r="BUM160" s="386"/>
      <c r="BUN160" s="386"/>
      <c r="BUO160" s="386"/>
      <c r="BUP160" s="386"/>
      <c r="BUQ160" s="386"/>
      <c r="BUR160" s="386"/>
      <c r="BUS160" s="386"/>
      <c r="BUT160" s="386"/>
      <c r="BUU160" s="386"/>
      <c r="BUV160" s="386"/>
      <c r="BUW160" s="386"/>
      <c r="BUX160" s="386"/>
      <c r="BUY160" s="386"/>
      <c r="BUZ160" s="386"/>
      <c r="BVA160" s="386"/>
      <c r="BVB160" s="386"/>
      <c r="BVC160" s="386"/>
      <c r="BVD160" s="386"/>
      <c r="BVE160" s="386"/>
      <c r="BVF160" s="386"/>
      <c r="BVG160" s="386"/>
      <c r="BVH160" s="386"/>
      <c r="BVI160" s="386"/>
      <c r="BVJ160" s="386"/>
      <c r="BVK160" s="386"/>
      <c r="BVL160" s="386"/>
      <c r="BVM160" s="386"/>
      <c r="BVN160" s="386"/>
      <c r="BVO160" s="386"/>
      <c r="BVP160" s="386"/>
      <c r="BVQ160" s="386"/>
      <c r="BVR160" s="386"/>
      <c r="BVS160" s="386"/>
      <c r="BVT160" s="386"/>
      <c r="BVU160" s="386"/>
      <c r="BVV160" s="386"/>
      <c r="BVW160" s="386"/>
      <c r="BVX160" s="386"/>
      <c r="BVY160" s="386"/>
      <c r="BVZ160" s="386"/>
      <c r="BWA160" s="386"/>
      <c r="BWB160" s="386"/>
      <c r="BWC160" s="386"/>
      <c r="BWD160" s="386"/>
      <c r="BWE160" s="386"/>
      <c r="BWF160" s="386"/>
      <c r="BWG160" s="386"/>
      <c r="BWH160" s="386"/>
      <c r="BWI160" s="386"/>
      <c r="BWJ160" s="386"/>
      <c r="BWK160" s="386"/>
      <c r="BWL160" s="386"/>
      <c r="BWM160" s="386"/>
      <c r="BWN160" s="386"/>
      <c r="BWO160" s="386"/>
      <c r="BWP160" s="386"/>
      <c r="BWQ160" s="386"/>
      <c r="BWR160" s="386"/>
      <c r="BWS160" s="386"/>
      <c r="BWT160" s="386"/>
      <c r="BWU160" s="386"/>
      <c r="BWV160" s="386"/>
      <c r="BWW160" s="386"/>
      <c r="BWX160" s="386"/>
      <c r="BWY160" s="386"/>
      <c r="BWZ160" s="386"/>
      <c r="BXA160" s="386"/>
      <c r="BXB160" s="386"/>
      <c r="BXC160" s="386"/>
      <c r="BXD160" s="386"/>
      <c r="BXE160" s="386"/>
      <c r="BXF160" s="386"/>
      <c r="BXG160" s="386"/>
      <c r="BXH160" s="386"/>
      <c r="BXI160" s="386"/>
      <c r="BXJ160" s="386"/>
      <c r="BXK160" s="386"/>
      <c r="BXL160" s="386"/>
      <c r="BXM160" s="386"/>
      <c r="BXN160" s="386"/>
      <c r="BXO160" s="386"/>
      <c r="BXP160" s="386"/>
      <c r="BXQ160" s="386"/>
      <c r="BXR160" s="386"/>
      <c r="BXS160" s="386"/>
      <c r="BXT160" s="386"/>
      <c r="BXU160" s="386"/>
      <c r="BXV160" s="386"/>
      <c r="BXW160" s="386"/>
      <c r="BXX160" s="386"/>
      <c r="BXY160" s="386"/>
      <c r="BXZ160" s="386"/>
      <c r="BYA160" s="386"/>
      <c r="BYB160" s="386"/>
      <c r="BYC160" s="386"/>
      <c r="BYD160" s="386"/>
      <c r="BYE160" s="386"/>
      <c r="BYF160" s="386"/>
      <c r="BYG160" s="386"/>
      <c r="BYH160" s="386"/>
      <c r="BYI160" s="386"/>
      <c r="BYJ160" s="386"/>
      <c r="BYK160" s="386"/>
      <c r="BYL160" s="386"/>
      <c r="BYM160" s="386"/>
      <c r="BYN160" s="386"/>
      <c r="BYO160" s="386"/>
      <c r="BYP160" s="386"/>
      <c r="BYQ160" s="386"/>
      <c r="BYR160" s="386"/>
      <c r="BYS160" s="386"/>
      <c r="BYT160" s="386"/>
      <c r="BYU160" s="386"/>
      <c r="BYV160" s="386"/>
      <c r="BYW160" s="386"/>
      <c r="BYX160" s="386"/>
      <c r="BYY160" s="386"/>
      <c r="BYZ160" s="386"/>
      <c r="BZA160" s="386"/>
      <c r="BZB160" s="386"/>
      <c r="BZC160" s="386"/>
      <c r="BZD160" s="386"/>
      <c r="BZE160" s="386"/>
      <c r="BZF160" s="386"/>
      <c r="BZG160" s="386"/>
      <c r="BZH160" s="386"/>
      <c r="BZI160" s="386"/>
      <c r="BZJ160" s="386"/>
      <c r="BZK160" s="386"/>
      <c r="BZL160" s="386"/>
      <c r="BZM160" s="386"/>
      <c r="BZN160" s="386"/>
      <c r="BZO160" s="386"/>
      <c r="BZP160" s="386"/>
      <c r="BZQ160" s="386"/>
      <c r="BZR160" s="386"/>
      <c r="BZS160" s="386"/>
      <c r="BZT160" s="386"/>
      <c r="BZU160" s="386"/>
      <c r="BZV160" s="386"/>
      <c r="BZW160" s="386"/>
      <c r="BZX160" s="386"/>
      <c r="BZY160" s="386"/>
      <c r="BZZ160" s="386"/>
      <c r="CAA160" s="386"/>
      <c r="CAB160" s="386"/>
      <c r="CAC160" s="386"/>
      <c r="CAD160" s="386"/>
      <c r="CAE160" s="386"/>
      <c r="CAF160" s="386"/>
      <c r="CAG160" s="386"/>
      <c r="CAH160" s="386"/>
      <c r="CAI160" s="386"/>
      <c r="CAJ160" s="386"/>
      <c r="CAK160" s="386"/>
      <c r="CAL160" s="386"/>
      <c r="CAM160" s="386"/>
      <c r="CAN160" s="386"/>
      <c r="CAO160" s="386"/>
      <c r="CAP160" s="386"/>
      <c r="CAQ160" s="386"/>
      <c r="CAR160" s="386"/>
      <c r="CAS160" s="386"/>
      <c r="CAT160" s="386"/>
      <c r="CAU160" s="386"/>
      <c r="CAV160" s="386"/>
      <c r="CAW160" s="386"/>
      <c r="CAX160" s="386"/>
      <c r="CAY160" s="386"/>
      <c r="CAZ160" s="386"/>
      <c r="CBA160" s="386"/>
      <c r="CBB160" s="386"/>
      <c r="CBC160" s="386"/>
      <c r="CBD160" s="386"/>
      <c r="CBE160" s="386"/>
      <c r="CBF160" s="386"/>
      <c r="CBG160" s="386"/>
      <c r="CBH160" s="386"/>
      <c r="CBI160" s="386"/>
      <c r="CBJ160" s="386"/>
      <c r="CBK160" s="386"/>
      <c r="CBL160" s="386"/>
      <c r="CBM160" s="386"/>
      <c r="CBN160" s="386"/>
      <c r="CBO160" s="386"/>
      <c r="CBP160" s="386"/>
      <c r="CBQ160" s="386"/>
      <c r="CBR160" s="386"/>
      <c r="CBS160" s="386"/>
      <c r="CBT160" s="386"/>
      <c r="CBU160" s="386"/>
      <c r="CBV160" s="386"/>
      <c r="CBW160" s="386"/>
      <c r="CBX160" s="386"/>
      <c r="CBY160" s="386"/>
      <c r="CBZ160" s="386"/>
      <c r="CCA160" s="386"/>
      <c r="CCB160" s="386"/>
      <c r="CCC160" s="386"/>
      <c r="CCD160" s="386"/>
      <c r="CCE160" s="386"/>
      <c r="CCF160" s="386"/>
      <c r="CCG160" s="386"/>
      <c r="CCH160" s="386"/>
      <c r="CCI160" s="386"/>
      <c r="CCJ160" s="386"/>
      <c r="CCK160" s="386"/>
      <c r="CCL160" s="386"/>
      <c r="CCM160" s="386"/>
      <c r="CCN160" s="386"/>
      <c r="CCO160" s="386"/>
      <c r="CCP160" s="386"/>
      <c r="CCQ160" s="386"/>
      <c r="CCR160" s="386"/>
      <c r="CCS160" s="386"/>
      <c r="CCT160" s="386"/>
      <c r="CCU160" s="386"/>
      <c r="CCV160" s="386"/>
      <c r="CCW160" s="386"/>
      <c r="CCX160" s="386"/>
      <c r="CCY160" s="386"/>
      <c r="CCZ160" s="386"/>
      <c r="CDA160" s="386"/>
      <c r="CDB160" s="386"/>
      <c r="CDC160" s="386"/>
      <c r="CDD160" s="386"/>
      <c r="CDE160" s="386"/>
      <c r="CDF160" s="386"/>
      <c r="CDG160" s="386"/>
      <c r="CDH160" s="386"/>
      <c r="CDI160" s="386"/>
      <c r="CDJ160" s="386"/>
      <c r="CDK160" s="386"/>
      <c r="CDL160" s="386"/>
      <c r="CDM160" s="386"/>
      <c r="CDN160" s="386"/>
      <c r="CDO160" s="386"/>
      <c r="CDP160" s="386"/>
      <c r="CDQ160" s="386"/>
      <c r="CDR160" s="386"/>
      <c r="CDS160" s="386"/>
      <c r="CDT160" s="386"/>
      <c r="CDU160" s="386"/>
      <c r="CDV160" s="386"/>
      <c r="CDW160" s="386"/>
      <c r="CDX160" s="386"/>
      <c r="CDY160" s="386"/>
      <c r="CDZ160" s="386"/>
      <c r="CEA160" s="386"/>
      <c r="CEB160" s="386"/>
      <c r="CEC160" s="386"/>
      <c r="CED160" s="386"/>
      <c r="CEE160" s="386"/>
      <c r="CEF160" s="386"/>
      <c r="CEG160" s="386"/>
      <c r="CEH160" s="386"/>
      <c r="CEI160" s="386"/>
      <c r="CEJ160" s="386"/>
      <c r="CEK160" s="386"/>
      <c r="CEL160" s="386"/>
      <c r="CEM160" s="386"/>
      <c r="CEN160" s="386"/>
      <c r="CEO160" s="386"/>
      <c r="CEP160" s="386"/>
      <c r="CEQ160" s="386"/>
      <c r="CER160" s="386"/>
      <c r="CES160" s="386"/>
      <c r="CET160" s="386"/>
      <c r="CEU160" s="386"/>
      <c r="CEV160" s="386"/>
      <c r="CEW160" s="386"/>
      <c r="CEX160" s="386"/>
      <c r="CEY160" s="386"/>
      <c r="CEZ160" s="386"/>
      <c r="CFA160" s="386"/>
      <c r="CFB160" s="386"/>
      <c r="CFC160" s="386"/>
      <c r="CFD160" s="386"/>
      <c r="CFE160" s="386"/>
      <c r="CFF160" s="386"/>
      <c r="CFG160" s="386"/>
      <c r="CFH160" s="386"/>
      <c r="CFI160" s="386"/>
      <c r="CFJ160" s="386"/>
      <c r="CFK160" s="386"/>
      <c r="CFL160" s="386"/>
      <c r="CFM160" s="386"/>
      <c r="CFN160" s="386"/>
      <c r="CFO160" s="386"/>
      <c r="CFP160" s="386"/>
      <c r="CFQ160" s="386"/>
      <c r="CFR160" s="386"/>
      <c r="CFS160" s="386"/>
      <c r="CFT160" s="386"/>
      <c r="CFU160" s="386"/>
      <c r="CFV160" s="386"/>
      <c r="CFW160" s="386"/>
      <c r="CFX160" s="386"/>
      <c r="CFY160" s="386"/>
      <c r="CFZ160" s="386"/>
      <c r="CGA160" s="386"/>
      <c r="CGB160" s="386"/>
      <c r="CGC160" s="386"/>
      <c r="CGD160" s="386"/>
      <c r="CGE160" s="386"/>
      <c r="CGF160" s="386"/>
      <c r="CGG160" s="386"/>
      <c r="CGH160" s="386"/>
      <c r="CGI160" s="386"/>
      <c r="CGJ160" s="386"/>
      <c r="CGK160" s="386"/>
      <c r="CGL160" s="386"/>
      <c r="CGM160" s="386"/>
      <c r="CGN160" s="386"/>
      <c r="CGO160" s="386"/>
      <c r="CGP160" s="386"/>
      <c r="CGQ160" s="386"/>
      <c r="CGR160" s="386"/>
      <c r="CGS160" s="386"/>
      <c r="CGT160" s="386"/>
      <c r="CGU160" s="386"/>
      <c r="CGV160" s="386"/>
      <c r="CGW160" s="386"/>
      <c r="CGX160" s="386"/>
      <c r="CGY160" s="386"/>
      <c r="CGZ160" s="386"/>
      <c r="CHA160" s="386"/>
      <c r="CHB160" s="386"/>
      <c r="CHC160" s="386"/>
      <c r="CHD160" s="386"/>
      <c r="CHE160" s="386"/>
      <c r="CHF160" s="386"/>
      <c r="CHG160" s="386"/>
      <c r="CHH160" s="386"/>
      <c r="CHI160" s="386"/>
      <c r="CHJ160" s="386"/>
      <c r="CHK160" s="386"/>
      <c r="CHL160" s="386"/>
      <c r="CHM160" s="386"/>
      <c r="CHN160" s="386"/>
      <c r="CHO160" s="386"/>
      <c r="CHP160" s="386"/>
      <c r="CHQ160" s="386"/>
      <c r="CHR160" s="386"/>
      <c r="CHS160" s="386"/>
      <c r="CHT160" s="386"/>
      <c r="CHU160" s="386"/>
      <c r="CHV160" s="386"/>
      <c r="CHW160" s="386"/>
      <c r="CHX160" s="386"/>
      <c r="CHY160" s="386"/>
      <c r="CHZ160" s="386"/>
      <c r="CIA160" s="386"/>
      <c r="CIB160" s="386"/>
      <c r="CIC160" s="386"/>
      <c r="CID160" s="386"/>
      <c r="CIE160" s="386"/>
      <c r="CIF160" s="386"/>
      <c r="CIG160" s="386"/>
      <c r="CIH160" s="386"/>
      <c r="CII160" s="386"/>
      <c r="CIJ160" s="386"/>
      <c r="CIK160" s="386"/>
      <c r="CIL160" s="386"/>
      <c r="CIM160" s="386"/>
      <c r="CIN160" s="386"/>
      <c r="CIO160" s="386"/>
      <c r="CIP160" s="386"/>
      <c r="CIQ160" s="386"/>
      <c r="CIR160" s="386"/>
      <c r="CIS160" s="386"/>
      <c r="CIT160" s="386"/>
      <c r="CIU160" s="386"/>
      <c r="CIV160" s="386"/>
      <c r="CIW160" s="386"/>
      <c r="CIX160" s="386"/>
      <c r="CIY160" s="386"/>
      <c r="CIZ160" s="386"/>
      <c r="CJA160" s="386"/>
      <c r="CJB160" s="386"/>
      <c r="CJC160" s="386"/>
      <c r="CJD160" s="386"/>
      <c r="CJE160" s="386"/>
      <c r="CJF160" s="386"/>
      <c r="CJG160" s="386"/>
      <c r="CJH160" s="386"/>
      <c r="CJI160" s="386"/>
      <c r="CJJ160" s="386"/>
      <c r="CJK160" s="386"/>
      <c r="CJL160" s="386"/>
      <c r="CJM160" s="386"/>
      <c r="CJN160" s="386"/>
      <c r="CJO160" s="386"/>
      <c r="CJP160" s="386"/>
      <c r="CJQ160" s="386"/>
      <c r="CJR160" s="386"/>
      <c r="CJS160" s="386"/>
      <c r="CJT160" s="386"/>
      <c r="CJU160" s="386"/>
      <c r="CJV160" s="386"/>
      <c r="CJW160" s="386"/>
      <c r="CJX160" s="386"/>
      <c r="CJY160" s="386"/>
      <c r="CJZ160" s="386"/>
      <c r="CKA160" s="386"/>
      <c r="CKB160" s="386"/>
      <c r="CKC160" s="386"/>
      <c r="CKD160" s="386"/>
      <c r="CKE160" s="386"/>
      <c r="CKF160" s="386"/>
      <c r="CKG160" s="386"/>
      <c r="CKH160" s="386"/>
      <c r="CKI160" s="386"/>
      <c r="CKJ160" s="386"/>
      <c r="CKK160" s="386"/>
      <c r="CKL160" s="386"/>
      <c r="CKM160" s="386"/>
      <c r="CKN160" s="386"/>
      <c r="CKO160" s="386"/>
      <c r="CKP160" s="386"/>
      <c r="CKQ160" s="386"/>
      <c r="CKR160" s="386"/>
      <c r="CKS160" s="386"/>
      <c r="CKT160" s="386"/>
      <c r="CKU160" s="386"/>
      <c r="CKV160" s="386"/>
      <c r="CKW160" s="386"/>
      <c r="CKX160" s="386"/>
      <c r="CKY160" s="386"/>
      <c r="CKZ160" s="386"/>
      <c r="CLA160" s="386"/>
      <c r="CLB160" s="386"/>
      <c r="CLC160" s="386"/>
      <c r="CLD160" s="386"/>
      <c r="CLE160" s="386"/>
      <c r="CLF160" s="386"/>
      <c r="CLG160" s="386"/>
      <c r="CLH160" s="386"/>
      <c r="CLI160" s="386"/>
      <c r="CLJ160" s="386"/>
      <c r="CLK160" s="386"/>
      <c r="CLL160" s="386"/>
      <c r="CLM160" s="386"/>
      <c r="CLN160" s="386"/>
      <c r="CLO160" s="386"/>
      <c r="CLP160" s="386"/>
      <c r="CLQ160" s="386"/>
      <c r="CLR160" s="386"/>
      <c r="CLS160" s="386"/>
      <c r="CLT160" s="386"/>
      <c r="CLU160" s="386"/>
      <c r="CLV160" s="386"/>
      <c r="CLW160" s="386"/>
      <c r="CLX160" s="386"/>
      <c r="CLY160" s="386"/>
      <c r="CLZ160" s="386"/>
      <c r="CMA160" s="386"/>
      <c r="CMB160" s="386"/>
      <c r="CMC160" s="386"/>
      <c r="CMD160" s="386"/>
      <c r="CME160" s="386"/>
      <c r="CMF160" s="386"/>
      <c r="CMG160" s="386"/>
      <c r="CMH160" s="386"/>
      <c r="CMI160" s="386"/>
      <c r="CMJ160" s="386"/>
      <c r="CMK160" s="386"/>
      <c r="CML160" s="386"/>
      <c r="CMM160" s="386"/>
      <c r="CMN160" s="386"/>
      <c r="CMO160" s="386"/>
      <c r="CMP160" s="386"/>
      <c r="CMQ160" s="386"/>
      <c r="CMR160" s="386"/>
      <c r="CMS160" s="386"/>
      <c r="CMT160" s="386"/>
      <c r="CMU160" s="386"/>
      <c r="CMV160" s="386"/>
      <c r="CMW160" s="386"/>
      <c r="CMX160" s="386"/>
      <c r="CMY160" s="386"/>
      <c r="CMZ160" s="386"/>
      <c r="CNA160" s="386"/>
      <c r="CNB160" s="386"/>
      <c r="CNC160" s="386"/>
      <c r="CND160" s="386"/>
      <c r="CNE160" s="386"/>
      <c r="CNF160" s="386"/>
      <c r="CNG160" s="386"/>
      <c r="CNH160" s="386"/>
      <c r="CNI160" s="386"/>
      <c r="CNJ160" s="386"/>
      <c r="CNK160" s="386"/>
      <c r="CNL160" s="386"/>
      <c r="CNM160" s="386"/>
      <c r="CNN160" s="386"/>
      <c r="CNO160" s="386"/>
      <c r="CNP160" s="386"/>
      <c r="CNQ160" s="386"/>
      <c r="CNR160" s="386"/>
      <c r="CNS160" s="386"/>
      <c r="CNT160" s="386"/>
      <c r="CNU160" s="386"/>
      <c r="CNV160" s="386"/>
      <c r="CNW160" s="386"/>
      <c r="CNX160" s="386"/>
      <c r="CNY160" s="386"/>
      <c r="CNZ160" s="386"/>
      <c r="COA160" s="386"/>
      <c r="COB160" s="386"/>
      <c r="COC160" s="386"/>
      <c r="COD160" s="386"/>
      <c r="COE160" s="386"/>
      <c r="COF160" s="386"/>
      <c r="COG160" s="386"/>
      <c r="COH160" s="386"/>
      <c r="COI160" s="386"/>
      <c r="COJ160" s="386"/>
      <c r="COK160" s="386"/>
      <c r="COL160" s="386"/>
      <c r="COM160" s="386"/>
      <c r="CON160" s="386"/>
      <c r="COO160" s="386"/>
      <c r="COP160" s="386"/>
      <c r="COQ160" s="386"/>
      <c r="COR160" s="386"/>
      <c r="COS160" s="386"/>
      <c r="COT160" s="386"/>
      <c r="COU160" s="386"/>
      <c r="COV160" s="386"/>
      <c r="COW160" s="386"/>
      <c r="COX160" s="386"/>
      <c r="COY160" s="386"/>
      <c r="COZ160" s="386"/>
      <c r="CPA160" s="386"/>
      <c r="CPB160" s="386"/>
      <c r="CPC160" s="386"/>
      <c r="CPD160" s="386"/>
      <c r="CPE160" s="386"/>
      <c r="CPF160" s="386"/>
      <c r="CPG160" s="386"/>
      <c r="CPH160" s="386"/>
      <c r="CPI160" s="386"/>
      <c r="CPJ160" s="386"/>
      <c r="CPK160" s="386"/>
      <c r="CPL160" s="386"/>
      <c r="CPM160" s="386"/>
      <c r="CPN160" s="386"/>
      <c r="CPO160" s="386"/>
      <c r="CPP160" s="386"/>
      <c r="CPQ160" s="386"/>
      <c r="CPR160" s="386"/>
      <c r="CPS160" s="386"/>
      <c r="CPT160" s="386"/>
      <c r="CPU160" s="386"/>
      <c r="CPV160" s="386"/>
      <c r="CPW160" s="386"/>
      <c r="CPX160" s="386"/>
      <c r="CPY160" s="386"/>
      <c r="CPZ160" s="386"/>
      <c r="CQA160" s="386"/>
      <c r="CQB160" s="386"/>
      <c r="CQC160" s="386"/>
      <c r="CQD160" s="386"/>
      <c r="CQE160" s="386"/>
      <c r="CQF160" s="386"/>
      <c r="CQG160" s="386"/>
      <c r="CQH160" s="386"/>
      <c r="CQI160" s="386"/>
      <c r="CQJ160" s="386"/>
      <c r="CQK160" s="386"/>
      <c r="CQL160" s="386"/>
      <c r="CQM160" s="386"/>
      <c r="CQN160" s="386"/>
      <c r="CQO160" s="386"/>
      <c r="CQP160" s="386"/>
      <c r="CQQ160" s="386"/>
      <c r="CQR160" s="386"/>
      <c r="CQS160" s="386"/>
      <c r="CQT160" s="386"/>
      <c r="CQU160" s="386"/>
      <c r="CQV160" s="386"/>
      <c r="CQW160" s="386"/>
      <c r="CQX160" s="386"/>
      <c r="CQY160" s="386"/>
      <c r="CQZ160" s="386"/>
      <c r="CRA160" s="386"/>
      <c r="CRB160" s="386"/>
      <c r="CRC160" s="386"/>
      <c r="CRD160" s="386"/>
      <c r="CRE160" s="386"/>
      <c r="CRF160" s="386"/>
      <c r="CRG160" s="386"/>
      <c r="CRH160" s="386"/>
      <c r="CRI160" s="386"/>
      <c r="CRJ160" s="386"/>
      <c r="CRK160" s="386"/>
      <c r="CRL160" s="386"/>
      <c r="CRM160" s="386"/>
      <c r="CRN160" s="386"/>
      <c r="CRO160" s="386"/>
      <c r="CRP160" s="386"/>
      <c r="CRQ160" s="386"/>
      <c r="CRR160" s="386"/>
      <c r="CRS160" s="386"/>
      <c r="CRT160" s="386"/>
      <c r="CRU160" s="386"/>
      <c r="CRV160" s="386"/>
      <c r="CRW160" s="386"/>
      <c r="CRX160" s="386"/>
      <c r="CRY160" s="386"/>
      <c r="CRZ160" s="386"/>
      <c r="CSA160" s="386"/>
      <c r="CSB160" s="386"/>
      <c r="CSC160" s="386"/>
      <c r="CSD160" s="386"/>
      <c r="CSE160" s="386"/>
      <c r="CSF160" s="386"/>
      <c r="CSG160" s="386"/>
      <c r="CSH160" s="386"/>
      <c r="CSI160" s="386"/>
      <c r="CSJ160" s="386"/>
      <c r="CSK160" s="386"/>
      <c r="CSL160" s="386"/>
      <c r="CSM160" s="386"/>
      <c r="CSN160" s="386"/>
      <c r="CSO160" s="386"/>
      <c r="CSP160" s="386"/>
      <c r="CSQ160" s="386"/>
      <c r="CSR160" s="386"/>
      <c r="CSS160" s="386"/>
      <c r="CST160" s="386"/>
      <c r="CSU160" s="386"/>
      <c r="CSV160" s="386"/>
      <c r="CSW160" s="386"/>
      <c r="CSX160" s="386"/>
      <c r="CSY160" s="386"/>
      <c r="CSZ160" s="386"/>
      <c r="CTA160" s="386"/>
      <c r="CTB160" s="386"/>
      <c r="CTC160" s="386"/>
      <c r="CTD160" s="386"/>
      <c r="CTE160" s="386"/>
      <c r="CTF160" s="386"/>
      <c r="CTG160" s="386"/>
      <c r="CTH160" s="386"/>
      <c r="CTI160" s="386"/>
      <c r="CTJ160" s="386"/>
      <c r="CTK160" s="386"/>
      <c r="CTL160" s="386"/>
      <c r="CTM160" s="386"/>
      <c r="CTN160" s="386"/>
      <c r="CTO160" s="386"/>
      <c r="CTP160" s="386"/>
      <c r="CTQ160" s="386"/>
      <c r="CTR160" s="386"/>
      <c r="CTS160" s="386"/>
      <c r="CTT160" s="386"/>
      <c r="CTU160" s="386"/>
      <c r="CTV160" s="386"/>
      <c r="CTW160" s="386"/>
      <c r="CTX160" s="386"/>
      <c r="CTY160" s="386"/>
      <c r="CTZ160" s="386"/>
      <c r="CUA160" s="386"/>
      <c r="CUB160" s="386"/>
      <c r="CUC160" s="386"/>
      <c r="CUD160" s="386"/>
      <c r="CUE160" s="386"/>
      <c r="CUF160" s="386"/>
      <c r="CUG160" s="386"/>
      <c r="CUH160" s="386"/>
      <c r="CUI160" s="386"/>
      <c r="CUJ160" s="386"/>
      <c r="CUK160" s="386"/>
      <c r="CUL160" s="386"/>
      <c r="CUM160" s="386"/>
      <c r="CUN160" s="386"/>
      <c r="CUO160" s="386"/>
      <c r="CUP160" s="386"/>
      <c r="CUQ160" s="386"/>
      <c r="CUR160" s="386"/>
      <c r="CUS160" s="386"/>
      <c r="CUT160" s="386"/>
      <c r="CUU160" s="386"/>
      <c r="CUV160" s="386"/>
      <c r="CUW160" s="386"/>
      <c r="CUX160" s="386"/>
      <c r="CUY160" s="386"/>
      <c r="CUZ160" s="386"/>
      <c r="CVA160" s="386"/>
      <c r="CVB160" s="386"/>
      <c r="CVC160" s="386"/>
      <c r="CVD160" s="386"/>
      <c r="CVE160" s="386"/>
      <c r="CVF160" s="386"/>
      <c r="CVG160" s="386"/>
      <c r="CVH160" s="386"/>
      <c r="CVI160" s="386"/>
      <c r="CVJ160" s="386"/>
      <c r="CVK160" s="386"/>
      <c r="CVL160" s="386"/>
      <c r="CVM160" s="386"/>
      <c r="CVN160" s="386"/>
      <c r="CVO160" s="386"/>
      <c r="CVP160" s="386"/>
      <c r="CVQ160" s="386"/>
      <c r="CVR160" s="386"/>
      <c r="CVS160" s="386"/>
      <c r="CVT160" s="386"/>
      <c r="CVU160" s="386"/>
      <c r="CVV160" s="386"/>
      <c r="CVW160" s="386"/>
      <c r="CVX160" s="386"/>
      <c r="CVY160" s="386"/>
      <c r="CVZ160" s="386"/>
      <c r="CWA160" s="386"/>
      <c r="CWB160" s="386"/>
      <c r="CWC160" s="386"/>
      <c r="CWD160" s="386"/>
      <c r="CWE160" s="386"/>
      <c r="CWF160" s="386"/>
      <c r="CWG160" s="386"/>
      <c r="CWH160" s="386"/>
      <c r="CWI160" s="386"/>
      <c r="CWJ160" s="386"/>
      <c r="CWK160" s="386"/>
      <c r="CWL160" s="386"/>
      <c r="CWM160" s="386"/>
      <c r="CWN160" s="386"/>
      <c r="CWO160" s="386"/>
      <c r="CWP160" s="386"/>
      <c r="CWQ160" s="386"/>
      <c r="CWR160" s="386"/>
      <c r="CWS160" s="386"/>
      <c r="CWT160" s="386"/>
      <c r="CWU160" s="386"/>
      <c r="CWV160" s="386"/>
      <c r="CWW160" s="386"/>
      <c r="CWX160" s="386"/>
      <c r="CWY160" s="386"/>
      <c r="CWZ160" s="386"/>
      <c r="CXA160" s="386"/>
      <c r="CXB160" s="386"/>
      <c r="CXC160" s="386"/>
      <c r="CXD160" s="386"/>
      <c r="CXE160" s="386"/>
      <c r="CXF160" s="386"/>
      <c r="CXG160" s="386"/>
      <c r="CXH160" s="386"/>
      <c r="CXI160" s="386"/>
      <c r="CXJ160" s="386"/>
      <c r="CXK160" s="386"/>
      <c r="CXL160" s="386"/>
      <c r="CXM160" s="386"/>
      <c r="CXN160" s="386"/>
      <c r="CXO160" s="386"/>
      <c r="CXP160" s="386"/>
      <c r="CXQ160" s="386"/>
      <c r="CXR160" s="386"/>
      <c r="CXS160" s="386"/>
      <c r="CXT160" s="386"/>
      <c r="CXU160" s="386"/>
      <c r="CXV160" s="386"/>
      <c r="CXW160" s="386"/>
      <c r="CXX160" s="386"/>
      <c r="CXY160" s="386"/>
      <c r="CXZ160" s="386"/>
      <c r="CYA160" s="386"/>
      <c r="CYB160" s="386"/>
      <c r="CYC160" s="386"/>
      <c r="CYD160" s="386"/>
      <c r="CYE160" s="386"/>
      <c r="CYF160" s="386"/>
      <c r="CYG160" s="386"/>
      <c r="CYH160" s="386"/>
      <c r="CYI160" s="386"/>
      <c r="CYJ160" s="386"/>
      <c r="CYK160" s="386"/>
      <c r="CYL160" s="386"/>
      <c r="CYM160" s="386"/>
      <c r="CYN160" s="386"/>
      <c r="CYO160" s="386"/>
      <c r="CYP160" s="386"/>
      <c r="CYQ160" s="386"/>
      <c r="CYR160" s="386"/>
      <c r="CYS160" s="386"/>
      <c r="CYT160" s="386"/>
      <c r="CYU160" s="386"/>
      <c r="CYV160" s="386"/>
      <c r="CYW160" s="386"/>
      <c r="CYX160" s="386"/>
      <c r="CYY160" s="386"/>
      <c r="CYZ160" s="386"/>
      <c r="CZA160" s="386"/>
      <c r="CZB160" s="386"/>
      <c r="CZC160" s="386"/>
      <c r="CZD160" s="386"/>
      <c r="CZE160" s="386"/>
      <c r="CZF160" s="386"/>
      <c r="CZG160" s="386"/>
      <c r="CZH160" s="386"/>
      <c r="CZI160" s="386"/>
      <c r="CZJ160" s="386"/>
      <c r="CZK160" s="386"/>
      <c r="CZL160" s="386"/>
      <c r="CZM160" s="386"/>
      <c r="CZN160" s="386"/>
      <c r="CZO160" s="386"/>
      <c r="CZP160" s="386"/>
      <c r="CZQ160" s="386"/>
      <c r="CZR160" s="386"/>
      <c r="CZS160" s="386"/>
      <c r="CZT160" s="386"/>
      <c r="CZU160" s="386"/>
      <c r="CZV160" s="386"/>
      <c r="CZW160" s="386"/>
      <c r="CZX160" s="386"/>
      <c r="CZY160" s="386"/>
      <c r="CZZ160" s="386"/>
      <c r="DAA160" s="386"/>
      <c r="DAB160" s="386"/>
      <c r="DAC160" s="386"/>
      <c r="DAD160" s="386"/>
      <c r="DAE160" s="386"/>
      <c r="DAF160" s="386"/>
      <c r="DAG160" s="386"/>
      <c r="DAH160" s="386"/>
      <c r="DAI160" s="386"/>
      <c r="DAJ160" s="386"/>
      <c r="DAK160" s="386"/>
      <c r="DAL160" s="386"/>
      <c r="DAM160" s="386"/>
      <c r="DAN160" s="386"/>
      <c r="DAO160" s="386"/>
      <c r="DAP160" s="386"/>
      <c r="DAQ160" s="386"/>
      <c r="DAR160" s="386"/>
      <c r="DAS160" s="386"/>
      <c r="DAT160" s="386"/>
      <c r="DAU160" s="386"/>
      <c r="DAV160" s="386"/>
      <c r="DAW160" s="386"/>
      <c r="DAX160" s="386"/>
      <c r="DAY160" s="386"/>
      <c r="DAZ160" s="386"/>
      <c r="DBA160" s="386"/>
      <c r="DBB160" s="386"/>
      <c r="DBC160" s="386"/>
      <c r="DBD160" s="386"/>
      <c r="DBE160" s="386"/>
      <c r="DBF160" s="386"/>
      <c r="DBG160" s="386"/>
      <c r="DBH160" s="386"/>
      <c r="DBI160" s="386"/>
      <c r="DBJ160" s="386"/>
      <c r="DBK160" s="386"/>
      <c r="DBL160" s="386"/>
      <c r="DBM160" s="386"/>
      <c r="DBN160" s="386"/>
      <c r="DBO160" s="386"/>
      <c r="DBP160" s="386"/>
      <c r="DBQ160" s="386"/>
      <c r="DBR160" s="386"/>
      <c r="DBS160" s="386"/>
      <c r="DBT160" s="386"/>
      <c r="DBU160" s="386"/>
      <c r="DBV160" s="386"/>
      <c r="DBW160" s="386"/>
      <c r="DBX160" s="386"/>
      <c r="DBY160" s="386"/>
      <c r="DBZ160" s="386"/>
      <c r="DCA160" s="386"/>
      <c r="DCB160" s="386"/>
      <c r="DCC160" s="386"/>
      <c r="DCD160" s="386"/>
      <c r="DCE160" s="386"/>
      <c r="DCF160" s="386"/>
      <c r="DCG160" s="386"/>
      <c r="DCH160" s="386"/>
      <c r="DCI160" s="386"/>
      <c r="DCJ160" s="386"/>
      <c r="DCK160" s="386"/>
      <c r="DCL160" s="386"/>
      <c r="DCM160" s="386"/>
      <c r="DCN160" s="386"/>
      <c r="DCO160" s="386"/>
      <c r="DCP160" s="386"/>
      <c r="DCQ160" s="386"/>
      <c r="DCR160" s="386"/>
      <c r="DCS160" s="386"/>
      <c r="DCT160" s="386"/>
      <c r="DCU160" s="386"/>
      <c r="DCV160" s="386"/>
      <c r="DCW160" s="386"/>
      <c r="DCX160" s="386"/>
      <c r="DCY160" s="386"/>
      <c r="DCZ160" s="386"/>
      <c r="DDA160" s="386"/>
      <c r="DDB160" s="386"/>
      <c r="DDC160" s="386"/>
      <c r="DDD160" s="386"/>
      <c r="DDE160" s="386"/>
      <c r="DDF160" s="386"/>
      <c r="DDG160" s="386"/>
      <c r="DDH160" s="386"/>
      <c r="DDI160" s="386"/>
      <c r="DDJ160" s="386"/>
      <c r="DDK160" s="386"/>
      <c r="DDL160" s="386"/>
      <c r="DDM160" s="386"/>
      <c r="DDN160" s="386"/>
      <c r="DDO160" s="386"/>
      <c r="DDP160" s="386"/>
      <c r="DDQ160" s="386"/>
      <c r="DDR160" s="386"/>
      <c r="DDS160" s="386"/>
      <c r="DDT160" s="386"/>
      <c r="DDU160" s="386"/>
      <c r="DDV160" s="386"/>
      <c r="DDW160" s="386"/>
      <c r="DDX160" s="386"/>
      <c r="DDY160" s="386"/>
      <c r="DDZ160" s="386"/>
      <c r="DEA160" s="386"/>
      <c r="DEB160" s="386"/>
      <c r="DEC160" s="386"/>
      <c r="DED160" s="386"/>
      <c r="DEE160" s="386"/>
      <c r="DEF160" s="386"/>
      <c r="DEG160" s="386"/>
      <c r="DEH160" s="386"/>
      <c r="DEI160" s="386"/>
      <c r="DEJ160" s="386"/>
      <c r="DEK160" s="386"/>
      <c r="DEL160" s="386"/>
      <c r="DEM160" s="386"/>
      <c r="DEN160" s="386"/>
      <c r="DEO160" s="386"/>
      <c r="DEP160" s="386"/>
      <c r="DEQ160" s="386"/>
      <c r="DER160" s="386"/>
      <c r="DES160" s="386"/>
      <c r="DET160" s="386"/>
      <c r="DEU160" s="386"/>
      <c r="DEV160" s="386"/>
      <c r="DEW160" s="386"/>
      <c r="DEX160" s="386"/>
      <c r="DEY160" s="386"/>
      <c r="DEZ160" s="386"/>
      <c r="DFA160" s="386"/>
      <c r="DFB160" s="386"/>
      <c r="DFC160" s="386"/>
      <c r="DFD160" s="386"/>
      <c r="DFE160" s="386"/>
      <c r="DFF160" s="386"/>
      <c r="DFG160" s="386"/>
      <c r="DFH160" s="386"/>
      <c r="DFI160" s="386"/>
      <c r="DFJ160" s="386"/>
      <c r="DFK160" s="386"/>
      <c r="DFL160" s="386"/>
      <c r="DFM160" s="386"/>
      <c r="DFN160" s="386"/>
      <c r="DFO160" s="386"/>
      <c r="DFP160" s="386"/>
      <c r="DFQ160" s="386"/>
      <c r="DFR160" s="386"/>
      <c r="DFS160" s="386"/>
      <c r="DFT160" s="386"/>
      <c r="DFU160" s="386"/>
      <c r="DFV160" s="386"/>
      <c r="DFW160" s="386"/>
      <c r="DFX160" s="386"/>
      <c r="DFY160" s="386"/>
      <c r="DFZ160" s="386"/>
      <c r="DGA160" s="386"/>
      <c r="DGB160" s="386"/>
      <c r="DGC160" s="386"/>
      <c r="DGD160" s="386"/>
      <c r="DGE160" s="386"/>
      <c r="DGF160" s="386"/>
      <c r="DGG160" s="386"/>
      <c r="DGH160" s="386"/>
      <c r="DGI160" s="386"/>
      <c r="DGJ160" s="386"/>
      <c r="DGK160" s="386"/>
      <c r="DGL160" s="386"/>
      <c r="DGM160" s="386"/>
      <c r="DGN160" s="386"/>
      <c r="DGO160" s="386"/>
      <c r="DGP160" s="386"/>
      <c r="DGQ160" s="386"/>
      <c r="DGR160" s="386"/>
      <c r="DGS160" s="386"/>
      <c r="DGT160" s="386"/>
      <c r="DGU160" s="386"/>
      <c r="DGV160" s="386"/>
      <c r="DGW160" s="386"/>
      <c r="DGX160" s="386"/>
      <c r="DGY160" s="386"/>
      <c r="DGZ160" s="386"/>
      <c r="DHA160" s="386"/>
      <c r="DHB160" s="386"/>
      <c r="DHC160" s="386"/>
      <c r="DHD160" s="386"/>
      <c r="DHE160" s="386"/>
      <c r="DHF160" s="386"/>
      <c r="DHG160" s="386"/>
      <c r="DHH160" s="386"/>
      <c r="DHI160" s="386"/>
      <c r="DHJ160" s="386"/>
      <c r="DHK160" s="386"/>
      <c r="DHL160" s="386"/>
      <c r="DHM160" s="386"/>
      <c r="DHN160" s="386"/>
      <c r="DHO160" s="386"/>
      <c r="DHP160" s="386"/>
      <c r="DHQ160" s="386"/>
      <c r="DHR160" s="386"/>
      <c r="DHS160" s="386"/>
      <c r="DHT160" s="386"/>
      <c r="DHU160" s="386"/>
      <c r="DHV160" s="386"/>
      <c r="DHW160" s="386"/>
      <c r="DHX160" s="386"/>
      <c r="DHY160" s="386"/>
      <c r="DHZ160" s="386"/>
      <c r="DIA160" s="386"/>
      <c r="DIB160" s="386"/>
      <c r="DIC160" s="386"/>
      <c r="DID160" s="386"/>
      <c r="DIE160" s="386"/>
      <c r="DIF160" s="386"/>
      <c r="DIG160" s="386"/>
      <c r="DIH160" s="386"/>
      <c r="DII160" s="386"/>
      <c r="DIJ160" s="386"/>
      <c r="DIK160" s="386"/>
      <c r="DIL160" s="386"/>
      <c r="DIM160" s="386"/>
      <c r="DIN160" s="386"/>
      <c r="DIO160" s="386"/>
      <c r="DIP160" s="386"/>
      <c r="DIQ160" s="386"/>
      <c r="DIR160" s="386"/>
      <c r="DIS160" s="386"/>
      <c r="DIT160" s="386"/>
      <c r="DIU160" s="386"/>
      <c r="DIV160" s="386"/>
      <c r="DIW160" s="386"/>
      <c r="DIX160" s="386"/>
      <c r="DIY160" s="386"/>
      <c r="DIZ160" s="386"/>
      <c r="DJA160" s="386"/>
      <c r="DJB160" s="386"/>
      <c r="DJC160" s="386"/>
      <c r="DJD160" s="386"/>
      <c r="DJE160" s="386"/>
      <c r="DJF160" s="386"/>
      <c r="DJG160" s="386"/>
      <c r="DJH160" s="386"/>
      <c r="DJI160" s="386"/>
      <c r="DJJ160" s="386"/>
      <c r="DJK160" s="386"/>
      <c r="DJL160" s="386"/>
      <c r="DJM160" s="386"/>
      <c r="DJN160" s="386"/>
      <c r="DJO160" s="386"/>
      <c r="DJP160" s="386"/>
      <c r="DJQ160" s="386"/>
      <c r="DJR160" s="386"/>
      <c r="DJS160" s="386"/>
      <c r="DJT160" s="386"/>
      <c r="DJU160" s="386"/>
      <c r="DJV160" s="386"/>
      <c r="DJW160" s="386"/>
      <c r="DJX160" s="386"/>
      <c r="DJY160" s="386"/>
      <c r="DJZ160" s="386"/>
      <c r="DKA160" s="386"/>
      <c r="DKB160" s="386"/>
      <c r="DKC160" s="386"/>
      <c r="DKD160" s="386"/>
      <c r="DKE160" s="386"/>
      <c r="DKF160" s="386"/>
      <c r="DKG160" s="386"/>
      <c r="DKH160" s="386"/>
      <c r="DKI160" s="386"/>
      <c r="DKJ160" s="386"/>
      <c r="DKK160" s="386"/>
      <c r="DKL160" s="386"/>
      <c r="DKM160" s="386"/>
      <c r="DKN160" s="386"/>
      <c r="DKO160" s="386"/>
      <c r="DKP160" s="386"/>
      <c r="DKQ160" s="386"/>
      <c r="DKR160" s="386"/>
      <c r="DKS160" s="386"/>
      <c r="DKT160" s="386"/>
      <c r="DKU160" s="386"/>
      <c r="DKV160" s="386"/>
      <c r="DKW160" s="386"/>
      <c r="DKX160" s="386"/>
      <c r="DKY160" s="386"/>
      <c r="DKZ160" s="386"/>
      <c r="DLA160" s="386"/>
      <c r="DLB160" s="386"/>
      <c r="DLC160" s="386"/>
      <c r="DLD160" s="386"/>
      <c r="DLE160" s="386"/>
      <c r="DLF160" s="386"/>
      <c r="DLG160" s="386"/>
      <c r="DLH160" s="386"/>
      <c r="DLI160" s="386"/>
      <c r="DLJ160" s="386"/>
      <c r="DLK160" s="386"/>
      <c r="DLL160" s="386"/>
      <c r="DLM160" s="386"/>
      <c r="DLN160" s="386"/>
      <c r="DLO160" s="386"/>
      <c r="DLP160" s="386"/>
      <c r="DLQ160" s="386"/>
      <c r="DLR160" s="386"/>
      <c r="DLS160" s="386"/>
      <c r="DLT160" s="386"/>
      <c r="DLU160" s="386"/>
      <c r="DLV160" s="386"/>
      <c r="DLW160" s="386"/>
      <c r="DLX160" s="386"/>
      <c r="DLY160" s="386"/>
      <c r="DLZ160" s="386"/>
      <c r="DMA160" s="386"/>
      <c r="DMB160" s="386"/>
      <c r="DMC160" s="386"/>
      <c r="DMD160" s="386"/>
      <c r="DME160" s="386"/>
      <c r="DMF160" s="386"/>
      <c r="DMG160" s="386"/>
      <c r="DMH160" s="386"/>
      <c r="DMI160" s="386"/>
      <c r="DMJ160" s="386"/>
      <c r="DMK160" s="386"/>
      <c r="DML160" s="386"/>
      <c r="DMM160" s="386"/>
      <c r="DMN160" s="386"/>
      <c r="DMO160" s="386"/>
      <c r="DMP160" s="386"/>
      <c r="DMQ160" s="386"/>
      <c r="DMR160" s="386"/>
      <c r="DMS160" s="386"/>
      <c r="DMT160" s="386"/>
      <c r="DMU160" s="386"/>
      <c r="DMV160" s="386"/>
      <c r="DMW160" s="386"/>
      <c r="DMX160" s="386"/>
      <c r="DMY160" s="386"/>
      <c r="DMZ160" s="386"/>
      <c r="DNA160" s="386"/>
      <c r="DNB160" s="386"/>
      <c r="DNC160" s="386"/>
      <c r="DND160" s="386"/>
      <c r="DNE160" s="386"/>
      <c r="DNF160" s="386"/>
      <c r="DNG160" s="386"/>
      <c r="DNH160" s="386"/>
      <c r="DNI160" s="386"/>
      <c r="DNJ160" s="386"/>
      <c r="DNK160" s="386"/>
      <c r="DNL160" s="386"/>
      <c r="DNM160" s="386"/>
      <c r="DNN160" s="386"/>
      <c r="DNO160" s="386"/>
      <c r="DNP160" s="386"/>
      <c r="DNQ160" s="386"/>
      <c r="DNR160" s="386"/>
      <c r="DNS160" s="386"/>
      <c r="DNT160" s="386"/>
      <c r="DNU160" s="386"/>
      <c r="DNV160" s="386"/>
      <c r="DNW160" s="386"/>
      <c r="DNX160" s="386"/>
      <c r="DNY160" s="386"/>
      <c r="DNZ160" s="386"/>
      <c r="DOA160" s="386"/>
      <c r="DOB160" s="386"/>
      <c r="DOC160" s="386"/>
      <c r="DOD160" s="386"/>
      <c r="DOE160" s="386"/>
      <c r="DOF160" s="386"/>
      <c r="DOG160" s="386"/>
      <c r="DOH160" s="386"/>
      <c r="DOI160" s="386"/>
      <c r="DOJ160" s="386"/>
      <c r="DOK160" s="386"/>
      <c r="DOL160" s="386"/>
      <c r="DOM160" s="386"/>
      <c r="DON160" s="386"/>
      <c r="DOO160" s="386"/>
      <c r="DOP160" s="386"/>
      <c r="DOQ160" s="386"/>
      <c r="DOR160" s="386"/>
      <c r="DOS160" s="386"/>
      <c r="DOT160" s="386"/>
      <c r="DOU160" s="386"/>
      <c r="DOV160" s="386"/>
      <c r="DOW160" s="386"/>
      <c r="DOX160" s="386"/>
      <c r="DOY160" s="386"/>
      <c r="DOZ160" s="386"/>
      <c r="DPA160" s="386"/>
      <c r="DPB160" s="386"/>
      <c r="DPC160" s="386"/>
      <c r="DPD160" s="386"/>
      <c r="DPE160" s="386"/>
      <c r="DPF160" s="386"/>
      <c r="DPG160" s="386"/>
      <c r="DPH160" s="386"/>
      <c r="DPI160" s="386"/>
      <c r="DPJ160" s="386"/>
      <c r="DPK160" s="386"/>
      <c r="DPL160" s="386"/>
      <c r="DPM160" s="386"/>
      <c r="DPN160" s="386"/>
      <c r="DPO160" s="386"/>
      <c r="DPP160" s="386"/>
      <c r="DPQ160" s="386"/>
      <c r="DPR160" s="386"/>
      <c r="DPS160" s="386"/>
      <c r="DPT160" s="386"/>
      <c r="DPU160" s="386"/>
      <c r="DPV160" s="386"/>
      <c r="DPW160" s="386"/>
      <c r="DPX160" s="386"/>
      <c r="DPY160" s="386"/>
      <c r="DPZ160" s="386"/>
      <c r="DQA160" s="386"/>
      <c r="DQB160" s="386"/>
      <c r="DQC160" s="386"/>
      <c r="DQD160" s="386"/>
      <c r="DQE160" s="386"/>
      <c r="DQF160" s="386"/>
      <c r="DQG160" s="386"/>
      <c r="DQH160" s="386"/>
      <c r="DQI160" s="386"/>
      <c r="DQJ160" s="386"/>
      <c r="DQK160" s="386"/>
      <c r="DQL160" s="386"/>
      <c r="DQM160" s="386"/>
      <c r="DQN160" s="386"/>
      <c r="DQO160" s="386"/>
      <c r="DQP160" s="386"/>
      <c r="DQQ160" s="386"/>
      <c r="DQR160" s="386"/>
      <c r="DQS160" s="386"/>
      <c r="DQT160" s="386"/>
      <c r="DQU160" s="386"/>
      <c r="DQV160" s="386"/>
      <c r="DQW160" s="386"/>
      <c r="DQX160" s="386"/>
      <c r="DQY160" s="386"/>
      <c r="DQZ160" s="386"/>
      <c r="DRA160" s="386"/>
      <c r="DRB160" s="386"/>
      <c r="DRC160" s="386"/>
      <c r="DRD160" s="386"/>
      <c r="DRE160" s="386"/>
      <c r="DRF160" s="386"/>
      <c r="DRG160" s="386"/>
      <c r="DRH160" s="386"/>
      <c r="DRI160" s="386"/>
      <c r="DRJ160" s="386"/>
      <c r="DRK160" s="386"/>
      <c r="DRL160" s="386"/>
      <c r="DRM160" s="386"/>
    </row>
    <row r="161" spans="1:3185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3185" ht="30" customHeight="1">
      <c r="A162" s="387"/>
      <c r="B162" s="388"/>
      <c r="C162" s="389"/>
      <c r="D162" s="390"/>
      <c r="E162" s="391"/>
      <c r="F162" s="421"/>
      <c r="G162" s="396"/>
      <c r="H162" s="392"/>
      <c r="I162" s="422"/>
      <c r="J162" s="394"/>
      <c r="K162" s="411"/>
    </row>
    <row r="163" spans="1:3185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3185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3185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3185" s="386" customFormat="1" ht="30" customHeight="1">
      <c r="A166" s="387"/>
      <c r="B166" s="388"/>
      <c r="C166" s="389"/>
      <c r="D166" s="390"/>
      <c r="E166" s="391"/>
      <c r="F166" s="422"/>
      <c r="G166" s="415"/>
      <c r="H166" s="392"/>
      <c r="I166" s="422"/>
      <c r="J166" s="394"/>
      <c r="K166" s="411"/>
      <c r="L166" s="406"/>
      <c r="M166" s="350"/>
      <c r="N166" s="350"/>
      <c r="O166" s="383"/>
      <c r="P166" s="383"/>
      <c r="Q166" s="383"/>
      <c r="R166" s="383"/>
      <c r="S166" s="383"/>
      <c r="T166" s="383"/>
      <c r="U166" s="383"/>
      <c r="V166" s="383"/>
      <c r="W166" s="383"/>
      <c r="X166" s="383"/>
      <c r="Y166" s="383"/>
      <c r="Z166" s="383"/>
      <c r="AA166" s="383"/>
      <c r="AB166" s="383"/>
      <c r="AC166" s="383"/>
      <c r="AD166" s="383"/>
      <c r="AE166" s="383"/>
      <c r="AF166" s="383"/>
      <c r="AG166" s="383"/>
      <c r="AH166" s="383"/>
      <c r="AI166" s="383"/>
      <c r="AJ166" s="383"/>
      <c r="AK166" s="383"/>
      <c r="AL166" s="383"/>
      <c r="AM166" s="383"/>
      <c r="AN166" s="383"/>
      <c r="AO166" s="383"/>
      <c r="AP166" s="383"/>
      <c r="AQ166" s="383"/>
      <c r="AR166" s="383"/>
      <c r="AS166" s="383"/>
      <c r="AT166" s="383"/>
      <c r="AU166" s="383"/>
      <c r="AV166" s="383"/>
      <c r="AW166" s="383"/>
      <c r="AX166" s="383"/>
      <c r="AY166" s="383"/>
      <c r="AZ166" s="383"/>
      <c r="BA166" s="383"/>
      <c r="BB166" s="383"/>
      <c r="BC166" s="383"/>
      <c r="BD166" s="383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83"/>
      <c r="BS166" s="383"/>
      <c r="BT166" s="383"/>
      <c r="BU166" s="383"/>
      <c r="BV166" s="383"/>
      <c r="BW166" s="383"/>
      <c r="BX166" s="383"/>
      <c r="BY166" s="383"/>
      <c r="BZ166" s="383"/>
      <c r="CA166" s="383"/>
      <c r="CB166" s="383"/>
      <c r="CC166" s="383"/>
      <c r="CD166" s="383"/>
      <c r="CE166" s="383"/>
      <c r="CF166" s="383"/>
      <c r="CG166" s="383"/>
      <c r="CH166" s="383"/>
      <c r="CI166" s="383"/>
      <c r="CJ166" s="383"/>
      <c r="CK166" s="383"/>
      <c r="CL166" s="383"/>
      <c r="CM166" s="383"/>
      <c r="CN166" s="383"/>
      <c r="CO166" s="383"/>
      <c r="CP166" s="383"/>
      <c r="CQ166" s="383"/>
      <c r="CR166" s="383"/>
      <c r="CS166" s="383"/>
      <c r="CT166" s="383"/>
      <c r="CU166" s="383"/>
      <c r="CV166" s="383"/>
      <c r="CW166" s="383"/>
      <c r="CX166" s="383"/>
      <c r="CY166" s="383"/>
      <c r="CZ166" s="383"/>
      <c r="DA166" s="383"/>
      <c r="DB166" s="383"/>
      <c r="DC166" s="383"/>
      <c r="DD166" s="383"/>
      <c r="DE166" s="383"/>
      <c r="DF166" s="383"/>
      <c r="DG166" s="383"/>
      <c r="DH166" s="383"/>
      <c r="DI166" s="383"/>
      <c r="DJ166" s="383"/>
      <c r="DK166" s="383"/>
      <c r="DL166" s="383"/>
      <c r="DM166" s="383"/>
      <c r="DN166" s="383"/>
      <c r="DO166" s="383"/>
      <c r="DP166" s="383"/>
      <c r="DQ166" s="383"/>
      <c r="DR166" s="383"/>
      <c r="DS166" s="383"/>
      <c r="DT166" s="383"/>
      <c r="DU166" s="383"/>
      <c r="DV166" s="383"/>
      <c r="DW166" s="383"/>
      <c r="DX166" s="383"/>
      <c r="DY166" s="383"/>
      <c r="DZ166" s="383"/>
      <c r="EA166" s="383"/>
      <c r="EB166" s="383"/>
      <c r="EC166" s="383"/>
      <c r="ED166" s="383"/>
      <c r="EE166" s="383"/>
      <c r="EF166" s="383"/>
      <c r="EG166" s="383"/>
      <c r="EH166" s="383"/>
      <c r="EI166" s="383"/>
      <c r="EJ166" s="383"/>
      <c r="EK166" s="383"/>
      <c r="EL166" s="383"/>
      <c r="EM166" s="383"/>
      <c r="EN166" s="383"/>
      <c r="EO166" s="383"/>
      <c r="EP166" s="383"/>
      <c r="EQ166" s="383"/>
      <c r="ER166" s="383"/>
      <c r="ES166" s="383"/>
      <c r="ET166" s="383"/>
      <c r="EU166" s="383"/>
      <c r="EV166" s="383"/>
      <c r="EW166" s="383"/>
      <c r="EX166" s="383"/>
      <c r="EY166" s="383"/>
      <c r="EZ166" s="383"/>
      <c r="FA166" s="383"/>
      <c r="FB166" s="383"/>
      <c r="FC166" s="383"/>
      <c r="FD166" s="383"/>
      <c r="FE166" s="383"/>
      <c r="FF166" s="383"/>
      <c r="FG166" s="383"/>
      <c r="FH166" s="383"/>
      <c r="FI166" s="383"/>
      <c r="FJ166" s="383"/>
      <c r="FK166" s="383"/>
      <c r="FL166" s="383"/>
      <c r="FM166" s="383"/>
      <c r="FN166" s="383"/>
      <c r="FO166" s="383"/>
      <c r="FP166" s="383"/>
      <c r="FQ166" s="383"/>
      <c r="FR166" s="383"/>
      <c r="FS166" s="383"/>
      <c r="FT166" s="383"/>
      <c r="FU166" s="383"/>
      <c r="FV166" s="383"/>
      <c r="FW166" s="383"/>
      <c r="FX166" s="383"/>
      <c r="FY166" s="383"/>
      <c r="FZ166" s="383"/>
      <c r="GA166" s="383"/>
      <c r="GB166" s="383"/>
      <c r="GC166" s="383"/>
      <c r="GD166" s="383"/>
      <c r="GE166" s="383"/>
      <c r="GF166" s="383"/>
      <c r="GG166" s="383"/>
      <c r="GH166" s="383"/>
      <c r="GI166" s="383"/>
      <c r="GJ166" s="383"/>
      <c r="GK166" s="383"/>
      <c r="GL166" s="383"/>
      <c r="GM166" s="383"/>
      <c r="GN166" s="383"/>
      <c r="GO166" s="383"/>
      <c r="GP166" s="383"/>
      <c r="GQ166" s="383"/>
      <c r="GR166" s="383"/>
      <c r="GS166" s="383"/>
      <c r="GT166" s="383"/>
      <c r="GU166" s="383"/>
      <c r="GV166" s="383"/>
      <c r="GW166" s="383"/>
      <c r="GX166" s="383"/>
      <c r="GY166" s="383"/>
      <c r="GZ166" s="383"/>
      <c r="HA166" s="383"/>
      <c r="HB166" s="383"/>
      <c r="HC166" s="383"/>
      <c r="HD166" s="383"/>
      <c r="HE166" s="383"/>
      <c r="HF166" s="383"/>
      <c r="HG166" s="383"/>
      <c r="HH166" s="383"/>
      <c r="HI166" s="383"/>
      <c r="HJ166" s="383"/>
      <c r="HK166" s="383"/>
      <c r="HL166" s="383"/>
      <c r="HM166" s="383"/>
      <c r="HN166" s="383"/>
      <c r="HO166" s="383"/>
      <c r="HP166" s="383"/>
      <c r="HQ166" s="383"/>
      <c r="HR166" s="383"/>
      <c r="HS166" s="383"/>
      <c r="HT166" s="383"/>
      <c r="HU166" s="383"/>
      <c r="HV166" s="383"/>
      <c r="HW166" s="383"/>
      <c r="HX166" s="383"/>
      <c r="HY166" s="383"/>
      <c r="HZ166" s="383"/>
      <c r="IA166" s="383"/>
      <c r="IB166" s="383"/>
      <c r="IC166" s="383"/>
      <c r="ID166" s="383"/>
      <c r="IE166" s="383"/>
      <c r="IF166" s="383"/>
      <c r="IG166" s="383"/>
      <c r="IH166" s="383"/>
      <c r="II166" s="383"/>
      <c r="IJ166" s="383"/>
      <c r="IK166" s="383"/>
      <c r="IL166" s="383"/>
      <c r="IM166" s="383"/>
      <c r="IN166" s="383"/>
      <c r="IO166" s="383"/>
      <c r="IP166" s="383"/>
      <c r="IQ166" s="383"/>
      <c r="IR166" s="383"/>
      <c r="IS166" s="383"/>
      <c r="IT166" s="383"/>
      <c r="IU166" s="383"/>
      <c r="IV166" s="383"/>
      <c r="IW166" s="383"/>
      <c r="IX166" s="383"/>
      <c r="IY166" s="383"/>
      <c r="IZ166" s="383"/>
      <c r="JA166" s="383"/>
      <c r="JB166" s="383"/>
      <c r="JC166" s="383"/>
      <c r="JD166" s="383"/>
      <c r="JE166" s="383"/>
      <c r="JF166" s="383"/>
      <c r="JG166" s="383"/>
      <c r="JH166" s="383"/>
      <c r="JI166" s="383"/>
      <c r="JJ166" s="383"/>
      <c r="JK166" s="383"/>
      <c r="JL166" s="383"/>
      <c r="JM166" s="383"/>
      <c r="JN166" s="383"/>
      <c r="JO166" s="383"/>
      <c r="JP166" s="383"/>
      <c r="JQ166" s="383"/>
      <c r="JR166" s="383"/>
      <c r="JS166" s="383"/>
      <c r="JT166" s="383"/>
      <c r="JU166" s="383"/>
      <c r="JV166" s="383"/>
      <c r="JW166" s="383"/>
      <c r="JX166" s="383"/>
      <c r="JY166" s="383"/>
      <c r="JZ166" s="383"/>
      <c r="KA166" s="383"/>
      <c r="KB166" s="383"/>
      <c r="KC166" s="383"/>
      <c r="KD166" s="383"/>
      <c r="KE166" s="383"/>
      <c r="KF166" s="383"/>
      <c r="KG166" s="383"/>
      <c r="KH166" s="383"/>
      <c r="KI166" s="383"/>
      <c r="KJ166" s="383"/>
      <c r="KK166" s="383"/>
      <c r="KL166" s="383"/>
      <c r="KM166" s="383"/>
      <c r="KN166" s="383"/>
      <c r="KO166" s="383"/>
      <c r="KP166" s="383"/>
      <c r="KQ166" s="383"/>
      <c r="KR166" s="383"/>
      <c r="KS166" s="383"/>
      <c r="KT166" s="383"/>
      <c r="KU166" s="383"/>
      <c r="KV166" s="383"/>
      <c r="KW166" s="383"/>
      <c r="KX166" s="383"/>
      <c r="KY166" s="383"/>
      <c r="KZ166" s="383"/>
      <c r="LA166" s="383"/>
      <c r="LB166" s="383"/>
      <c r="LC166" s="383"/>
      <c r="LD166" s="383"/>
      <c r="LE166" s="383"/>
      <c r="LF166" s="383"/>
      <c r="LG166" s="383"/>
      <c r="LH166" s="383"/>
      <c r="LI166" s="383"/>
      <c r="LJ166" s="383"/>
      <c r="LK166" s="383"/>
      <c r="LL166" s="383"/>
      <c r="LM166" s="383"/>
      <c r="LN166" s="383"/>
      <c r="LO166" s="383"/>
      <c r="LP166" s="383"/>
      <c r="LQ166" s="383"/>
      <c r="LR166" s="383"/>
      <c r="LS166" s="383"/>
      <c r="LT166" s="383"/>
      <c r="LU166" s="383"/>
      <c r="LV166" s="383"/>
      <c r="LW166" s="383"/>
      <c r="LX166" s="383"/>
      <c r="LY166" s="383"/>
      <c r="LZ166" s="383"/>
      <c r="MA166" s="383"/>
      <c r="MB166" s="383"/>
      <c r="MC166" s="383"/>
      <c r="MD166" s="383"/>
      <c r="ME166" s="383"/>
      <c r="MF166" s="383"/>
      <c r="MG166" s="383"/>
      <c r="MH166" s="383"/>
      <c r="MI166" s="383"/>
      <c r="MJ166" s="383"/>
      <c r="MK166" s="383"/>
      <c r="ML166" s="383"/>
      <c r="MM166" s="383"/>
      <c r="MN166" s="383"/>
      <c r="MO166" s="383"/>
      <c r="MP166" s="383"/>
      <c r="MQ166" s="383"/>
      <c r="MR166" s="383"/>
      <c r="MS166" s="383"/>
      <c r="MT166" s="383"/>
      <c r="MU166" s="383"/>
      <c r="MV166" s="383"/>
      <c r="MW166" s="383"/>
      <c r="MX166" s="383"/>
      <c r="MY166" s="383"/>
      <c r="MZ166" s="383"/>
      <c r="NA166" s="383"/>
      <c r="NB166" s="383"/>
      <c r="NC166" s="383"/>
      <c r="ND166" s="383"/>
      <c r="NE166" s="383"/>
      <c r="NF166" s="383"/>
      <c r="NG166" s="383"/>
      <c r="NH166" s="383"/>
      <c r="NI166" s="383"/>
      <c r="NJ166" s="383"/>
      <c r="NK166" s="383"/>
      <c r="NL166" s="383"/>
      <c r="NM166" s="383"/>
      <c r="NN166" s="383"/>
      <c r="NO166" s="383"/>
      <c r="NP166" s="383"/>
      <c r="NQ166" s="383"/>
      <c r="NR166" s="383"/>
      <c r="NS166" s="383"/>
      <c r="NT166" s="383"/>
      <c r="NU166" s="383"/>
      <c r="NV166" s="383"/>
      <c r="NW166" s="383"/>
      <c r="NX166" s="383"/>
      <c r="NY166" s="383"/>
      <c r="NZ166" s="383"/>
      <c r="OA166" s="383"/>
      <c r="OB166" s="383"/>
      <c r="OC166" s="383"/>
      <c r="OD166" s="383"/>
      <c r="OE166" s="383"/>
      <c r="OF166" s="383"/>
      <c r="OG166" s="383"/>
      <c r="OH166" s="383"/>
      <c r="OI166" s="383"/>
      <c r="OJ166" s="383"/>
      <c r="OK166" s="383"/>
      <c r="OL166" s="383"/>
      <c r="OM166" s="383"/>
      <c r="ON166" s="383"/>
      <c r="OO166" s="383"/>
      <c r="OP166" s="383"/>
      <c r="OQ166" s="383"/>
      <c r="OR166" s="383"/>
      <c r="OS166" s="383"/>
      <c r="OT166" s="383"/>
      <c r="OU166" s="383"/>
      <c r="OV166" s="383"/>
      <c r="OW166" s="383"/>
      <c r="OX166" s="383"/>
      <c r="OY166" s="383"/>
      <c r="OZ166" s="383"/>
      <c r="PA166" s="383"/>
      <c r="PB166" s="383"/>
      <c r="PC166" s="383"/>
      <c r="PD166" s="383"/>
      <c r="PE166" s="383"/>
      <c r="PF166" s="383"/>
      <c r="PG166" s="383"/>
      <c r="PH166" s="383"/>
      <c r="PI166" s="383"/>
      <c r="PJ166" s="383"/>
      <c r="PK166" s="383"/>
      <c r="PL166" s="383"/>
      <c r="PM166" s="383"/>
      <c r="PN166" s="383"/>
      <c r="PO166" s="383"/>
      <c r="PP166" s="383"/>
      <c r="PQ166" s="383"/>
      <c r="PR166" s="383"/>
      <c r="PS166" s="383"/>
      <c r="PT166" s="383"/>
      <c r="PU166" s="383"/>
      <c r="PV166" s="383"/>
      <c r="PW166" s="383"/>
      <c r="PX166" s="383"/>
      <c r="PY166" s="383"/>
      <c r="PZ166" s="383"/>
      <c r="QA166" s="383"/>
      <c r="QB166" s="383"/>
      <c r="QC166" s="383"/>
      <c r="QD166" s="383"/>
      <c r="QE166" s="383"/>
      <c r="QF166" s="383"/>
      <c r="QG166" s="383"/>
      <c r="QH166" s="383"/>
      <c r="QI166" s="383"/>
      <c r="QJ166" s="383"/>
      <c r="QK166" s="383"/>
      <c r="QL166" s="383"/>
      <c r="QM166" s="383"/>
      <c r="QN166" s="383"/>
      <c r="QO166" s="383"/>
      <c r="QP166" s="383"/>
      <c r="QQ166" s="383"/>
      <c r="QR166" s="383"/>
      <c r="QS166" s="383"/>
      <c r="QT166" s="383"/>
      <c r="QU166" s="383"/>
      <c r="QV166" s="383"/>
      <c r="QW166" s="383"/>
      <c r="QX166" s="383"/>
      <c r="QY166" s="383"/>
      <c r="QZ166" s="383"/>
      <c r="RA166" s="383"/>
      <c r="RB166" s="383"/>
      <c r="RC166" s="383"/>
      <c r="RD166" s="383"/>
      <c r="RE166" s="383"/>
      <c r="RF166" s="383"/>
      <c r="RG166" s="383"/>
      <c r="RH166" s="383"/>
      <c r="RI166" s="383"/>
      <c r="RJ166" s="383"/>
      <c r="RK166" s="383"/>
      <c r="RL166" s="383"/>
      <c r="RM166" s="383"/>
      <c r="RN166" s="383"/>
      <c r="RO166" s="383"/>
      <c r="RP166" s="383"/>
      <c r="RQ166" s="383"/>
      <c r="RR166" s="383"/>
      <c r="RS166" s="383"/>
      <c r="RT166" s="383"/>
      <c r="RU166" s="383"/>
      <c r="RV166" s="383"/>
      <c r="RW166" s="383"/>
      <c r="RX166" s="383"/>
      <c r="RY166" s="383"/>
      <c r="RZ166" s="383"/>
      <c r="SA166" s="383"/>
      <c r="SB166" s="383"/>
      <c r="SC166" s="383"/>
      <c r="SD166" s="383"/>
      <c r="SE166" s="383"/>
      <c r="SF166" s="383"/>
      <c r="SG166" s="383"/>
      <c r="SH166" s="383"/>
      <c r="SI166" s="383"/>
      <c r="SJ166" s="383"/>
      <c r="SK166" s="383"/>
      <c r="SL166" s="383"/>
      <c r="SM166" s="383"/>
      <c r="SN166" s="383"/>
      <c r="SO166" s="383"/>
      <c r="SP166" s="383"/>
      <c r="SQ166" s="383"/>
      <c r="SR166" s="383"/>
      <c r="SS166" s="383"/>
      <c r="ST166" s="383"/>
      <c r="SU166" s="383"/>
      <c r="SV166" s="383"/>
      <c r="SW166" s="383"/>
      <c r="SX166" s="383"/>
      <c r="SY166" s="383"/>
      <c r="SZ166" s="383"/>
      <c r="TA166" s="383"/>
      <c r="TB166" s="383"/>
      <c r="TC166" s="383"/>
      <c r="TD166" s="383"/>
      <c r="TE166" s="383"/>
      <c r="TF166" s="383"/>
      <c r="TG166" s="383"/>
      <c r="TH166" s="383"/>
      <c r="TI166" s="383"/>
      <c r="TJ166" s="383"/>
      <c r="TK166" s="383"/>
      <c r="TL166" s="383"/>
      <c r="TM166" s="383"/>
      <c r="TN166" s="383"/>
      <c r="TO166" s="383"/>
      <c r="TP166" s="383"/>
      <c r="TQ166" s="383"/>
      <c r="TR166" s="383"/>
      <c r="TS166" s="383"/>
      <c r="TT166" s="383"/>
      <c r="TU166" s="383"/>
      <c r="TV166" s="383"/>
      <c r="TW166" s="383"/>
      <c r="TX166" s="383"/>
      <c r="TY166" s="383"/>
      <c r="TZ166" s="383"/>
      <c r="UA166" s="383"/>
      <c r="UB166" s="383"/>
      <c r="UC166" s="383"/>
      <c r="UD166" s="383"/>
      <c r="UE166" s="383"/>
      <c r="UF166" s="383"/>
      <c r="UG166" s="383"/>
      <c r="UH166" s="383"/>
      <c r="UI166" s="383"/>
      <c r="UJ166" s="383"/>
      <c r="UK166" s="383"/>
      <c r="UL166" s="383"/>
      <c r="UM166" s="383"/>
      <c r="UN166" s="383"/>
      <c r="UO166" s="383"/>
      <c r="UP166" s="383"/>
      <c r="UQ166" s="383"/>
      <c r="UR166" s="383"/>
      <c r="US166" s="383"/>
      <c r="UT166" s="383"/>
      <c r="UU166" s="383"/>
      <c r="UV166" s="383"/>
      <c r="UW166" s="383"/>
      <c r="UX166" s="383"/>
      <c r="UY166" s="383"/>
      <c r="UZ166" s="383"/>
      <c r="VA166" s="383"/>
      <c r="VB166" s="383"/>
      <c r="VC166" s="383"/>
      <c r="VD166" s="383"/>
      <c r="VE166" s="383"/>
      <c r="VF166" s="383"/>
      <c r="VG166" s="383"/>
      <c r="VH166" s="383"/>
      <c r="VI166" s="383"/>
      <c r="VJ166" s="383"/>
      <c r="VK166" s="383"/>
      <c r="VL166" s="383"/>
      <c r="VM166" s="383"/>
      <c r="VN166" s="383"/>
      <c r="VO166" s="383"/>
      <c r="VP166" s="383"/>
      <c r="VQ166" s="383"/>
      <c r="VR166" s="383"/>
      <c r="VS166" s="383"/>
      <c r="VT166" s="383"/>
      <c r="VU166" s="383"/>
      <c r="VV166" s="383"/>
      <c r="VW166" s="383"/>
      <c r="VX166" s="383"/>
      <c r="VY166" s="383"/>
      <c r="VZ166" s="383"/>
      <c r="WA166" s="383"/>
      <c r="WB166" s="383"/>
      <c r="WC166" s="383"/>
      <c r="WD166" s="383"/>
      <c r="WE166" s="383"/>
      <c r="WF166" s="383"/>
      <c r="WG166" s="383"/>
      <c r="WH166" s="383"/>
      <c r="WI166" s="383"/>
      <c r="WJ166" s="383"/>
      <c r="WK166" s="383"/>
      <c r="WL166" s="383"/>
      <c r="WM166" s="383"/>
      <c r="WN166" s="383"/>
      <c r="WO166" s="383"/>
      <c r="WP166" s="383"/>
      <c r="WQ166" s="383"/>
      <c r="WR166" s="383"/>
      <c r="WS166" s="383"/>
      <c r="WT166" s="383"/>
      <c r="WU166" s="383"/>
      <c r="WV166" s="383"/>
      <c r="WW166" s="383"/>
      <c r="WX166" s="383"/>
      <c r="WY166" s="383"/>
      <c r="WZ166" s="383"/>
      <c r="XA166" s="383"/>
      <c r="XB166" s="383"/>
      <c r="XC166" s="383"/>
      <c r="XD166" s="383"/>
      <c r="XE166" s="383"/>
      <c r="XF166" s="383"/>
      <c r="XG166" s="383"/>
      <c r="XH166" s="383"/>
      <c r="XI166" s="383"/>
      <c r="XJ166" s="383"/>
      <c r="XK166" s="383"/>
      <c r="XL166" s="383"/>
      <c r="XM166" s="383"/>
      <c r="XN166" s="383"/>
      <c r="XO166" s="383"/>
      <c r="XP166" s="383"/>
      <c r="XQ166" s="383"/>
      <c r="XR166" s="383"/>
      <c r="XS166" s="383"/>
      <c r="XT166" s="383"/>
      <c r="XU166" s="383"/>
      <c r="XV166" s="383"/>
      <c r="XW166" s="383"/>
      <c r="XX166" s="383"/>
      <c r="XY166" s="383"/>
      <c r="XZ166" s="383"/>
      <c r="YA166" s="383"/>
      <c r="YB166" s="383"/>
      <c r="YC166" s="383"/>
      <c r="YD166" s="383"/>
      <c r="YE166" s="383"/>
      <c r="YF166" s="383"/>
      <c r="YG166" s="383"/>
      <c r="YH166" s="383"/>
      <c r="YI166" s="383"/>
      <c r="YJ166" s="383"/>
      <c r="YK166" s="383"/>
      <c r="YL166" s="383"/>
      <c r="YM166" s="383"/>
      <c r="YN166" s="383"/>
      <c r="YO166" s="383"/>
      <c r="YP166" s="383"/>
      <c r="YQ166" s="383"/>
      <c r="YR166" s="383"/>
      <c r="YS166" s="383"/>
      <c r="YT166" s="383"/>
      <c r="YU166" s="383"/>
      <c r="YV166" s="383"/>
      <c r="YW166" s="383"/>
      <c r="YX166" s="383"/>
      <c r="YY166" s="383"/>
      <c r="YZ166" s="383"/>
      <c r="ZA166" s="383"/>
      <c r="ZB166" s="383"/>
      <c r="ZC166" s="383"/>
      <c r="ZD166" s="383"/>
      <c r="ZE166" s="383"/>
      <c r="ZF166" s="383"/>
      <c r="ZG166" s="383"/>
      <c r="ZH166" s="383"/>
      <c r="ZI166" s="383"/>
      <c r="ZJ166" s="383"/>
      <c r="ZK166" s="383"/>
      <c r="ZL166" s="383"/>
      <c r="ZM166" s="383"/>
      <c r="ZN166" s="383"/>
      <c r="ZO166" s="383"/>
      <c r="ZP166" s="383"/>
      <c r="ZQ166" s="383"/>
      <c r="ZR166" s="383"/>
      <c r="ZS166" s="383"/>
      <c r="ZT166" s="383"/>
      <c r="ZU166" s="383"/>
      <c r="ZV166" s="383"/>
      <c r="ZW166" s="383"/>
      <c r="ZX166" s="383"/>
      <c r="ZY166" s="383"/>
      <c r="ZZ166" s="383"/>
      <c r="AAA166" s="383"/>
      <c r="AAB166" s="383"/>
      <c r="AAC166" s="383"/>
      <c r="AAD166" s="383"/>
      <c r="AAE166" s="383"/>
      <c r="AAF166" s="383"/>
      <c r="AAG166" s="383"/>
      <c r="AAH166" s="383"/>
      <c r="AAI166" s="383"/>
      <c r="AAJ166" s="383"/>
      <c r="AAK166" s="383"/>
      <c r="AAL166" s="383"/>
      <c r="AAM166" s="383"/>
      <c r="AAN166" s="383"/>
      <c r="AAO166" s="383"/>
      <c r="AAP166" s="383"/>
      <c r="AAQ166" s="383"/>
      <c r="AAR166" s="383"/>
      <c r="AAS166" s="383"/>
      <c r="AAT166" s="383"/>
      <c r="AAU166" s="383"/>
      <c r="AAV166" s="383"/>
      <c r="AAW166" s="383"/>
      <c r="AAX166" s="383"/>
      <c r="AAY166" s="383"/>
      <c r="AAZ166" s="383"/>
      <c r="ABA166" s="383"/>
      <c r="ABB166" s="383"/>
      <c r="ABC166" s="383"/>
      <c r="ABD166" s="383"/>
      <c r="ABE166" s="383"/>
      <c r="ABF166" s="383"/>
      <c r="ABG166" s="383"/>
      <c r="ABH166" s="383"/>
      <c r="ABI166" s="383"/>
      <c r="ABJ166" s="383"/>
      <c r="ABK166" s="383"/>
      <c r="ABL166" s="383"/>
      <c r="ABM166" s="383"/>
      <c r="ABN166" s="383"/>
      <c r="ABO166" s="383"/>
      <c r="ABP166" s="383"/>
      <c r="ABQ166" s="383"/>
      <c r="ABR166" s="383"/>
      <c r="ABS166" s="383"/>
      <c r="ABT166" s="383"/>
      <c r="ABU166" s="383"/>
      <c r="ABV166" s="383"/>
      <c r="ABW166" s="383"/>
      <c r="ABX166" s="383"/>
      <c r="ABY166" s="383"/>
      <c r="ABZ166" s="383"/>
      <c r="ACA166" s="383"/>
      <c r="ACB166" s="383"/>
      <c r="ACC166" s="383"/>
      <c r="ACD166" s="383"/>
      <c r="ACE166" s="383"/>
      <c r="ACF166" s="383"/>
      <c r="ACG166" s="383"/>
      <c r="ACH166" s="383"/>
      <c r="ACI166" s="383"/>
      <c r="ACJ166" s="383"/>
      <c r="ACK166" s="383"/>
      <c r="ACL166" s="383"/>
      <c r="ACM166" s="383"/>
      <c r="ACN166" s="383"/>
      <c r="ACO166" s="383"/>
      <c r="ACP166" s="383"/>
      <c r="ACQ166" s="383"/>
      <c r="ACR166" s="383"/>
      <c r="ACS166" s="383"/>
      <c r="ACT166" s="383"/>
      <c r="ACU166" s="383"/>
      <c r="ACV166" s="383"/>
      <c r="ACW166" s="383"/>
      <c r="ACX166" s="383"/>
      <c r="ACY166" s="383"/>
      <c r="ACZ166" s="383"/>
      <c r="ADA166" s="383"/>
      <c r="ADB166" s="383"/>
      <c r="ADC166" s="383"/>
      <c r="ADD166" s="383"/>
      <c r="ADE166" s="383"/>
      <c r="ADF166" s="383"/>
      <c r="ADG166" s="383"/>
      <c r="ADH166" s="383"/>
      <c r="ADI166" s="383"/>
      <c r="ADJ166" s="383"/>
      <c r="ADK166" s="383"/>
      <c r="ADL166" s="383"/>
      <c r="ADM166" s="383"/>
      <c r="ADN166" s="383"/>
      <c r="ADO166" s="383"/>
      <c r="ADP166" s="383"/>
      <c r="ADQ166" s="383"/>
      <c r="ADR166" s="383"/>
      <c r="ADS166" s="383"/>
      <c r="ADT166" s="383"/>
      <c r="ADU166" s="383"/>
      <c r="ADV166" s="383"/>
      <c r="ADW166" s="383"/>
      <c r="ADX166" s="383"/>
      <c r="ADY166" s="383"/>
      <c r="ADZ166" s="383"/>
      <c r="AEA166" s="383"/>
      <c r="AEB166" s="383"/>
      <c r="AEC166" s="383"/>
      <c r="AED166" s="383"/>
      <c r="AEE166" s="383"/>
      <c r="AEF166" s="383"/>
      <c r="AEG166" s="383"/>
      <c r="AEH166" s="383"/>
      <c r="AEI166" s="383"/>
      <c r="AEJ166" s="383"/>
      <c r="AEK166" s="383"/>
      <c r="AEL166" s="383"/>
      <c r="AEM166" s="383"/>
      <c r="AEN166" s="383"/>
      <c r="AEO166" s="383"/>
      <c r="AEP166" s="383"/>
      <c r="AEQ166" s="383"/>
      <c r="AER166" s="383"/>
      <c r="AES166" s="383"/>
      <c r="AET166" s="383"/>
      <c r="AEU166" s="383"/>
      <c r="AEV166" s="383"/>
      <c r="AEW166" s="383"/>
      <c r="AEX166" s="383"/>
      <c r="AEY166" s="383"/>
      <c r="AEZ166" s="383"/>
      <c r="AFA166" s="383"/>
      <c r="AFB166" s="383"/>
      <c r="AFC166" s="383"/>
      <c r="AFD166" s="383"/>
      <c r="AFE166" s="383"/>
      <c r="AFF166" s="383"/>
      <c r="AFG166" s="383"/>
      <c r="AFH166" s="383"/>
      <c r="AFI166" s="383"/>
      <c r="AFJ166" s="383"/>
      <c r="AFK166" s="383"/>
      <c r="AFL166" s="383"/>
      <c r="AFM166" s="383"/>
      <c r="AFN166" s="383"/>
      <c r="AFO166" s="383"/>
      <c r="AFP166" s="383"/>
      <c r="AFQ166" s="383"/>
      <c r="AFR166" s="383"/>
      <c r="AFS166" s="383"/>
      <c r="AFT166" s="383"/>
      <c r="AFU166" s="383"/>
      <c r="AFV166" s="383"/>
      <c r="AFW166" s="383"/>
      <c r="AFX166" s="383"/>
      <c r="AFY166" s="383"/>
      <c r="AFZ166" s="383"/>
      <c r="AGA166" s="383"/>
      <c r="AGB166" s="383"/>
      <c r="AGC166" s="383"/>
      <c r="AGD166" s="383"/>
      <c r="AGE166" s="383"/>
      <c r="AGF166" s="383"/>
      <c r="AGG166" s="383"/>
      <c r="AGH166" s="383"/>
      <c r="AGI166" s="383"/>
      <c r="AGJ166" s="383"/>
      <c r="AGK166" s="383"/>
      <c r="AGL166" s="383"/>
      <c r="AGM166" s="383"/>
      <c r="AGN166" s="383"/>
      <c r="AGO166" s="383"/>
      <c r="AGP166" s="383"/>
      <c r="AGQ166" s="383"/>
      <c r="AGR166" s="383"/>
      <c r="AGS166" s="383"/>
      <c r="AGT166" s="383"/>
      <c r="AGU166" s="383"/>
      <c r="AGV166" s="383"/>
      <c r="AGW166" s="383"/>
      <c r="AGX166" s="383"/>
      <c r="AGY166" s="383"/>
      <c r="AGZ166" s="383"/>
      <c r="AHA166" s="383"/>
      <c r="AHB166" s="383"/>
      <c r="AHC166" s="383"/>
      <c r="AHD166" s="383"/>
      <c r="AHE166" s="383"/>
      <c r="AHF166" s="383"/>
      <c r="AHG166" s="383"/>
      <c r="AHH166" s="383"/>
      <c r="AHI166" s="383"/>
      <c r="AHJ166" s="383"/>
      <c r="AHK166" s="383"/>
      <c r="AHL166" s="383"/>
      <c r="AHM166" s="383"/>
      <c r="AHN166" s="383"/>
      <c r="AHO166" s="383"/>
      <c r="AHP166" s="383"/>
      <c r="AHQ166" s="383"/>
      <c r="AHR166" s="383"/>
      <c r="AHS166" s="383"/>
      <c r="AHT166" s="383"/>
      <c r="AHU166" s="383"/>
      <c r="AHV166" s="383"/>
      <c r="AHW166" s="383"/>
      <c r="AHX166" s="383"/>
      <c r="AHY166" s="383"/>
      <c r="AHZ166" s="383"/>
      <c r="AIA166" s="383"/>
      <c r="AIB166" s="383"/>
      <c r="AIC166" s="383"/>
      <c r="AID166" s="383"/>
      <c r="AIE166" s="383"/>
      <c r="AIF166" s="383"/>
      <c r="AIG166" s="383"/>
      <c r="AIH166" s="383"/>
      <c r="AII166" s="383"/>
      <c r="AIJ166" s="383"/>
      <c r="AIK166" s="383"/>
      <c r="AIL166" s="383"/>
      <c r="AIM166" s="383"/>
      <c r="AIN166" s="383"/>
      <c r="AIO166" s="383"/>
      <c r="AIP166" s="383"/>
      <c r="AIQ166" s="383"/>
      <c r="AIR166" s="383"/>
      <c r="AIS166" s="383"/>
      <c r="AIT166" s="383"/>
      <c r="AIU166" s="383"/>
      <c r="AIV166" s="383"/>
      <c r="AIW166" s="383"/>
      <c r="AIX166" s="383"/>
      <c r="AIY166" s="383"/>
      <c r="AIZ166" s="383"/>
      <c r="AJA166" s="383"/>
      <c r="AJB166" s="383"/>
      <c r="AJC166" s="383"/>
      <c r="AJD166" s="383"/>
      <c r="AJE166" s="383"/>
      <c r="AJF166" s="383"/>
      <c r="AJG166" s="383"/>
      <c r="AJH166" s="383"/>
      <c r="AJI166" s="383"/>
      <c r="AJJ166" s="383"/>
      <c r="AJK166" s="383"/>
      <c r="AJL166" s="383"/>
      <c r="AJM166" s="383"/>
      <c r="AJN166" s="383"/>
      <c r="AJO166" s="383"/>
      <c r="AJP166" s="383"/>
      <c r="AJQ166" s="383"/>
      <c r="AJR166" s="383"/>
      <c r="AJS166" s="383"/>
      <c r="AJT166" s="383"/>
      <c r="AJU166" s="383"/>
      <c r="AJV166" s="383"/>
      <c r="AJW166" s="383"/>
      <c r="AJX166" s="383"/>
      <c r="AJY166" s="383"/>
      <c r="AJZ166" s="383"/>
      <c r="AKA166" s="383"/>
      <c r="AKB166" s="383"/>
      <c r="AKC166" s="383"/>
      <c r="AKD166" s="383"/>
      <c r="AKE166" s="383"/>
      <c r="AKF166" s="383"/>
      <c r="AKG166" s="383"/>
      <c r="AKH166" s="383"/>
      <c r="AKI166" s="383"/>
      <c r="AKJ166" s="383"/>
      <c r="AKK166" s="383"/>
      <c r="AKL166" s="383"/>
      <c r="AKM166" s="383"/>
      <c r="AKN166" s="383"/>
      <c r="AKO166" s="383"/>
      <c r="AKP166" s="383"/>
      <c r="AKQ166" s="383"/>
      <c r="AKR166" s="383"/>
      <c r="AKS166" s="383"/>
      <c r="AKT166" s="383"/>
      <c r="AKU166" s="383"/>
      <c r="AKV166" s="383"/>
      <c r="AKW166" s="383"/>
      <c r="AKX166" s="383"/>
      <c r="AKY166" s="383"/>
      <c r="AKZ166" s="383"/>
      <c r="ALA166" s="383"/>
      <c r="ALB166" s="383"/>
      <c r="ALC166" s="383"/>
      <c r="ALD166" s="383"/>
      <c r="ALE166" s="383"/>
      <c r="ALF166" s="383"/>
      <c r="ALG166" s="383"/>
      <c r="ALH166" s="383"/>
      <c r="ALI166" s="383"/>
      <c r="ALJ166" s="383"/>
      <c r="ALK166" s="383"/>
      <c r="ALL166" s="383"/>
      <c r="ALM166" s="383"/>
      <c r="ALN166" s="383"/>
      <c r="ALO166" s="383"/>
      <c r="ALP166" s="383"/>
      <c r="ALQ166" s="383"/>
      <c r="ALR166" s="383"/>
      <c r="ALS166" s="383"/>
      <c r="ALT166" s="383"/>
      <c r="ALU166" s="383"/>
      <c r="ALV166" s="383"/>
      <c r="ALW166" s="383"/>
      <c r="ALX166" s="383"/>
      <c r="ALY166" s="383"/>
      <c r="ALZ166" s="383"/>
      <c r="AMA166" s="383"/>
      <c r="AMB166" s="383"/>
      <c r="AMC166" s="383"/>
      <c r="AMD166" s="383"/>
      <c r="AME166" s="383"/>
      <c r="AMF166" s="383"/>
      <c r="AMG166" s="383"/>
      <c r="AMH166" s="383"/>
      <c r="AMI166" s="383"/>
      <c r="AMJ166" s="383"/>
      <c r="AMK166" s="383"/>
      <c r="AML166" s="383"/>
      <c r="AMM166" s="383"/>
      <c r="AMN166" s="383"/>
      <c r="AMO166" s="383"/>
      <c r="AMP166" s="383"/>
      <c r="AMQ166" s="383"/>
      <c r="AMR166" s="383"/>
      <c r="AMS166" s="383"/>
      <c r="AMT166" s="383"/>
      <c r="AMU166" s="383"/>
      <c r="AMV166" s="383"/>
      <c r="AMW166" s="383"/>
      <c r="AMX166" s="383"/>
      <c r="AMY166" s="383"/>
      <c r="AMZ166" s="383"/>
      <c r="ANA166" s="383"/>
      <c r="ANB166" s="383"/>
      <c r="ANC166" s="383"/>
      <c r="AND166" s="383"/>
      <c r="ANE166" s="383"/>
      <c r="ANF166" s="383"/>
      <c r="ANG166" s="383"/>
      <c r="ANH166" s="383"/>
      <c r="ANI166" s="383"/>
      <c r="ANJ166" s="383"/>
      <c r="ANK166" s="383"/>
      <c r="ANL166" s="383"/>
      <c r="ANM166" s="383"/>
      <c r="ANN166" s="383"/>
      <c r="ANO166" s="383"/>
      <c r="ANP166" s="383"/>
      <c r="ANQ166" s="383"/>
      <c r="ANR166" s="383"/>
      <c r="ANS166" s="383"/>
      <c r="ANT166" s="383"/>
      <c r="ANU166" s="383"/>
      <c r="ANV166" s="383"/>
      <c r="ANW166" s="383"/>
      <c r="ANX166" s="383"/>
      <c r="ANY166" s="383"/>
      <c r="ANZ166" s="383"/>
      <c r="AOA166" s="383"/>
      <c r="AOB166" s="383"/>
      <c r="AOC166" s="383"/>
      <c r="AOD166" s="383"/>
      <c r="AOE166" s="383"/>
      <c r="AOF166" s="383"/>
      <c r="AOG166" s="383"/>
      <c r="AOH166" s="383"/>
      <c r="AOI166" s="383"/>
      <c r="AOJ166" s="383"/>
      <c r="AOK166" s="383"/>
      <c r="AOL166" s="383"/>
      <c r="AOM166" s="383"/>
      <c r="AON166" s="383"/>
      <c r="AOO166" s="383"/>
      <c r="AOP166" s="383"/>
      <c r="AOQ166" s="383"/>
      <c r="AOR166" s="383"/>
      <c r="AOS166" s="383"/>
      <c r="AOT166" s="383"/>
      <c r="AOU166" s="383"/>
      <c r="AOV166" s="383"/>
      <c r="AOW166" s="383"/>
      <c r="AOX166" s="383"/>
      <c r="AOY166" s="383"/>
      <c r="AOZ166" s="383"/>
      <c r="APA166" s="383"/>
      <c r="APB166" s="383"/>
      <c r="APC166" s="383"/>
      <c r="APD166" s="383"/>
      <c r="APE166" s="383"/>
      <c r="APF166" s="383"/>
      <c r="APG166" s="383"/>
      <c r="APH166" s="383"/>
      <c r="API166" s="383"/>
      <c r="APJ166" s="383"/>
      <c r="APK166" s="383"/>
      <c r="APL166" s="383"/>
      <c r="APM166" s="383"/>
      <c r="APN166" s="383"/>
      <c r="APO166" s="383"/>
      <c r="APP166" s="383"/>
      <c r="APQ166" s="383"/>
      <c r="APR166" s="383"/>
      <c r="APS166" s="383"/>
      <c r="APT166" s="383"/>
      <c r="APU166" s="383"/>
      <c r="APV166" s="383"/>
      <c r="APW166" s="383"/>
      <c r="APX166" s="383"/>
      <c r="APY166" s="383"/>
      <c r="APZ166" s="383"/>
      <c r="AQA166" s="383"/>
      <c r="AQB166" s="383"/>
      <c r="AQC166" s="383"/>
      <c r="AQD166" s="383"/>
      <c r="AQE166" s="383"/>
      <c r="AQF166" s="383"/>
      <c r="AQG166" s="383"/>
      <c r="AQH166" s="383"/>
      <c r="AQI166" s="383"/>
      <c r="AQJ166" s="383"/>
      <c r="AQK166" s="383"/>
      <c r="AQL166" s="383"/>
      <c r="AQM166" s="383"/>
      <c r="AQN166" s="383"/>
      <c r="AQO166" s="383"/>
      <c r="AQP166" s="383"/>
      <c r="AQQ166" s="383"/>
      <c r="AQR166" s="383"/>
      <c r="AQS166" s="383"/>
      <c r="AQT166" s="383"/>
      <c r="AQU166" s="383"/>
      <c r="AQV166" s="383"/>
      <c r="AQW166" s="383"/>
      <c r="AQX166" s="383"/>
      <c r="AQY166" s="383"/>
      <c r="AQZ166" s="383"/>
      <c r="ARA166" s="383"/>
      <c r="ARB166" s="383"/>
      <c r="ARC166" s="383"/>
      <c r="ARD166" s="383"/>
      <c r="ARE166" s="383"/>
      <c r="ARF166" s="383"/>
      <c r="ARG166" s="383"/>
      <c r="ARH166" s="383"/>
      <c r="ARI166" s="383"/>
      <c r="ARJ166" s="383"/>
      <c r="ARK166" s="383"/>
      <c r="ARL166" s="383"/>
      <c r="ARM166" s="383"/>
      <c r="ARN166" s="383"/>
      <c r="ARO166" s="383"/>
      <c r="ARP166" s="383"/>
      <c r="ARQ166" s="383"/>
      <c r="ARR166" s="383"/>
      <c r="ARS166" s="383"/>
      <c r="ART166" s="383"/>
      <c r="ARU166" s="383"/>
      <c r="ARV166" s="383"/>
      <c r="ARW166" s="383"/>
      <c r="ARX166" s="383"/>
      <c r="ARY166" s="383"/>
      <c r="ARZ166" s="383"/>
      <c r="ASA166" s="383"/>
      <c r="ASB166" s="383"/>
      <c r="ASC166" s="383"/>
      <c r="ASD166" s="383"/>
      <c r="ASE166" s="383"/>
      <c r="ASF166" s="383"/>
      <c r="ASG166" s="383"/>
      <c r="ASH166" s="383"/>
      <c r="ASI166" s="383"/>
      <c r="ASJ166" s="383"/>
      <c r="ASK166" s="383"/>
      <c r="ASL166" s="383"/>
      <c r="ASM166" s="383"/>
      <c r="ASN166" s="383"/>
      <c r="ASO166" s="383"/>
      <c r="ASP166" s="383"/>
      <c r="ASQ166" s="383"/>
      <c r="ASR166" s="383"/>
      <c r="ASS166" s="383"/>
      <c r="AST166" s="383"/>
      <c r="ASU166" s="383"/>
      <c r="ASV166" s="383"/>
      <c r="ASW166" s="383"/>
      <c r="ASX166" s="383"/>
      <c r="ASY166" s="383"/>
      <c r="ASZ166" s="383"/>
      <c r="ATA166" s="383"/>
      <c r="ATB166" s="383"/>
      <c r="ATC166" s="383"/>
      <c r="ATD166" s="383"/>
      <c r="ATE166" s="383"/>
      <c r="ATF166" s="383"/>
      <c r="ATG166" s="383"/>
      <c r="ATH166" s="383"/>
      <c r="ATI166" s="383"/>
      <c r="ATJ166" s="383"/>
      <c r="ATK166" s="383"/>
      <c r="ATL166" s="383"/>
      <c r="ATM166" s="383"/>
      <c r="ATN166" s="383"/>
      <c r="ATO166" s="383"/>
      <c r="ATP166" s="383"/>
      <c r="ATQ166" s="383"/>
      <c r="ATR166" s="383"/>
      <c r="ATS166" s="383"/>
      <c r="ATT166" s="383"/>
      <c r="ATU166" s="383"/>
      <c r="ATV166" s="383"/>
      <c r="ATW166" s="383"/>
      <c r="ATX166" s="383"/>
      <c r="ATY166" s="383"/>
      <c r="ATZ166" s="383"/>
      <c r="AUA166" s="383"/>
      <c r="AUB166" s="383"/>
      <c r="AUC166" s="383"/>
      <c r="AUD166" s="383"/>
      <c r="AUE166" s="383"/>
      <c r="AUF166" s="383"/>
      <c r="AUG166" s="383"/>
      <c r="AUH166" s="383"/>
      <c r="AUI166" s="383"/>
      <c r="AUJ166" s="383"/>
      <c r="AUK166" s="383"/>
      <c r="AUL166" s="383"/>
      <c r="AUM166" s="383"/>
      <c r="AUN166" s="383"/>
      <c r="AUO166" s="383"/>
      <c r="AUP166" s="383"/>
      <c r="AUQ166" s="383"/>
      <c r="AUR166" s="383"/>
      <c r="AUS166" s="383"/>
      <c r="AUT166" s="383"/>
      <c r="AUU166" s="383"/>
      <c r="AUV166" s="383"/>
      <c r="AUW166" s="383"/>
      <c r="AUX166" s="383"/>
      <c r="AUY166" s="383"/>
      <c r="AUZ166" s="383"/>
      <c r="AVA166" s="383"/>
      <c r="AVB166" s="383"/>
      <c r="AVC166" s="383"/>
      <c r="AVD166" s="383"/>
      <c r="AVE166" s="383"/>
      <c r="AVF166" s="383"/>
      <c r="AVG166" s="383"/>
      <c r="AVH166" s="383"/>
      <c r="AVI166" s="383"/>
      <c r="AVJ166" s="383"/>
      <c r="AVK166" s="383"/>
      <c r="AVL166" s="383"/>
      <c r="AVM166" s="383"/>
      <c r="AVN166" s="383"/>
      <c r="AVO166" s="383"/>
      <c r="AVP166" s="383"/>
      <c r="AVQ166" s="383"/>
      <c r="AVR166" s="383"/>
      <c r="AVS166" s="383"/>
      <c r="AVT166" s="383"/>
      <c r="AVU166" s="383"/>
      <c r="AVV166" s="383"/>
      <c r="AVW166" s="383"/>
      <c r="AVX166" s="383"/>
      <c r="AVY166" s="383"/>
      <c r="AVZ166" s="383"/>
      <c r="AWA166" s="383"/>
      <c r="AWB166" s="383"/>
      <c r="AWC166" s="383"/>
      <c r="AWD166" s="383"/>
      <c r="AWE166" s="383"/>
      <c r="AWF166" s="383"/>
      <c r="AWG166" s="383"/>
      <c r="AWH166" s="383"/>
      <c r="AWI166" s="383"/>
      <c r="AWJ166" s="383"/>
      <c r="AWK166" s="383"/>
      <c r="AWL166" s="383"/>
      <c r="AWM166" s="383"/>
      <c r="AWN166" s="383"/>
      <c r="AWO166" s="383"/>
      <c r="AWP166" s="383"/>
      <c r="AWQ166" s="383"/>
      <c r="AWR166" s="383"/>
      <c r="AWS166" s="383"/>
      <c r="AWT166" s="383"/>
      <c r="AWU166" s="383"/>
      <c r="AWV166" s="383"/>
      <c r="AWW166" s="383"/>
      <c r="AWX166" s="383"/>
      <c r="AWY166" s="383"/>
      <c r="AWZ166" s="383"/>
      <c r="AXA166" s="383"/>
      <c r="AXB166" s="383"/>
      <c r="AXC166" s="383"/>
      <c r="AXD166" s="383"/>
      <c r="AXE166" s="383"/>
      <c r="AXF166" s="383"/>
      <c r="AXG166" s="383"/>
      <c r="AXH166" s="383"/>
      <c r="AXI166" s="383"/>
      <c r="AXJ166" s="383"/>
      <c r="AXK166" s="383"/>
      <c r="AXL166" s="383"/>
      <c r="AXM166" s="383"/>
      <c r="AXN166" s="383"/>
      <c r="AXO166" s="383"/>
      <c r="AXP166" s="383"/>
      <c r="AXQ166" s="383"/>
      <c r="AXR166" s="383"/>
      <c r="AXS166" s="383"/>
      <c r="AXT166" s="383"/>
      <c r="AXU166" s="383"/>
      <c r="AXV166" s="383"/>
      <c r="AXW166" s="383"/>
      <c r="AXX166" s="383"/>
      <c r="AXY166" s="383"/>
      <c r="AXZ166" s="383"/>
      <c r="AYA166" s="383"/>
      <c r="AYB166" s="383"/>
      <c r="AYC166" s="383"/>
      <c r="AYD166" s="383"/>
      <c r="AYE166" s="383"/>
      <c r="AYF166" s="383"/>
      <c r="AYG166" s="383"/>
      <c r="AYH166" s="383"/>
      <c r="AYI166" s="383"/>
      <c r="AYJ166" s="383"/>
      <c r="AYK166" s="383"/>
      <c r="AYL166" s="383"/>
      <c r="AYM166" s="383"/>
      <c r="AYN166" s="383"/>
      <c r="AYO166" s="383"/>
      <c r="AYP166" s="383"/>
      <c r="AYQ166" s="383"/>
      <c r="AYR166" s="383"/>
      <c r="AYS166" s="383"/>
      <c r="AYT166" s="383"/>
      <c r="AYU166" s="383"/>
      <c r="AYV166" s="383"/>
      <c r="AYW166" s="383"/>
      <c r="AYX166" s="383"/>
      <c r="AYY166" s="383"/>
      <c r="AYZ166" s="383"/>
      <c r="AZA166" s="383"/>
      <c r="AZB166" s="383"/>
      <c r="AZC166" s="383"/>
      <c r="AZD166" s="383"/>
      <c r="AZE166" s="383"/>
      <c r="AZF166" s="383"/>
      <c r="AZG166" s="383"/>
      <c r="AZH166" s="383"/>
      <c r="AZI166" s="383"/>
      <c r="AZJ166" s="383"/>
      <c r="AZK166" s="383"/>
      <c r="AZL166" s="383"/>
      <c r="AZM166" s="383"/>
      <c r="AZN166" s="383"/>
      <c r="AZO166" s="383"/>
      <c r="AZP166" s="383"/>
      <c r="AZQ166" s="383"/>
      <c r="AZR166" s="383"/>
      <c r="AZS166" s="383"/>
      <c r="AZT166" s="383"/>
      <c r="AZU166" s="383"/>
      <c r="AZV166" s="383"/>
      <c r="AZW166" s="383"/>
      <c r="AZX166" s="383"/>
      <c r="AZY166" s="383"/>
      <c r="AZZ166" s="383"/>
      <c r="BAA166" s="383"/>
      <c r="BAB166" s="383"/>
      <c r="BAC166" s="383"/>
      <c r="BAD166" s="383"/>
      <c r="BAE166" s="383"/>
      <c r="BAF166" s="383"/>
      <c r="BAG166" s="383"/>
      <c r="BAH166" s="383"/>
      <c r="BAI166" s="383"/>
      <c r="BAJ166" s="383"/>
      <c r="BAK166" s="383"/>
      <c r="BAL166" s="383"/>
      <c r="BAM166" s="383"/>
      <c r="BAN166" s="383"/>
      <c r="BAO166" s="383"/>
      <c r="BAP166" s="383"/>
      <c r="BAQ166" s="383"/>
      <c r="BAR166" s="383"/>
      <c r="BAS166" s="383"/>
      <c r="BAT166" s="383"/>
      <c r="BAU166" s="383"/>
      <c r="BAV166" s="383"/>
      <c r="BAW166" s="383"/>
      <c r="BAX166" s="383"/>
      <c r="BAY166" s="383"/>
      <c r="BAZ166" s="383"/>
      <c r="BBA166" s="383"/>
      <c r="BBB166" s="383"/>
      <c r="BBC166" s="383"/>
      <c r="BBD166" s="383"/>
      <c r="BBE166" s="383"/>
      <c r="BBF166" s="383"/>
      <c r="BBG166" s="383"/>
      <c r="BBH166" s="383"/>
      <c r="BBI166" s="383"/>
      <c r="BBJ166" s="383"/>
      <c r="BBK166" s="383"/>
      <c r="BBL166" s="383"/>
      <c r="BBM166" s="383"/>
      <c r="BBN166" s="383"/>
      <c r="BBO166" s="383"/>
      <c r="BBP166" s="383"/>
      <c r="BBQ166" s="383"/>
      <c r="BBR166" s="383"/>
      <c r="BBS166" s="383"/>
      <c r="BBT166" s="383"/>
      <c r="BBU166" s="383"/>
      <c r="BBV166" s="383"/>
      <c r="BBW166" s="383"/>
      <c r="BBX166" s="383"/>
      <c r="BBY166" s="383"/>
      <c r="BBZ166" s="383"/>
      <c r="BCA166" s="383"/>
      <c r="BCB166" s="383"/>
      <c r="BCC166" s="383"/>
      <c r="BCD166" s="383"/>
      <c r="BCE166" s="383"/>
      <c r="BCF166" s="383"/>
      <c r="BCG166" s="383"/>
      <c r="BCH166" s="383"/>
      <c r="BCI166" s="383"/>
      <c r="BCJ166" s="383"/>
      <c r="BCK166" s="383"/>
      <c r="BCL166" s="383"/>
      <c r="BCM166" s="383"/>
      <c r="BCN166" s="383"/>
      <c r="BCO166" s="383"/>
      <c r="BCP166" s="383"/>
      <c r="BCQ166" s="383"/>
      <c r="BCR166" s="383"/>
      <c r="BCS166" s="383"/>
      <c r="BCT166" s="383"/>
      <c r="BCU166" s="383"/>
      <c r="BCV166" s="383"/>
      <c r="BCW166" s="383"/>
      <c r="BCX166" s="383"/>
      <c r="BCY166" s="383"/>
      <c r="BCZ166" s="383"/>
      <c r="BDA166" s="383"/>
      <c r="BDB166" s="383"/>
      <c r="BDC166" s="383"/>
      <c r="BDD166" s="383"/>
      <c r="BDE166" s="383"/>
      <c r="BDF166" s="383"/>
      <c r="BDG166" s="383"/>
      <c r="BDH166" s="383"/>
      <c r="BDI166" s="383"/>
      <c r="BDJ166" s="383"/>
      <c r="BDK166" s="383"/>
      <c r="BDL166" s="383"/>
      <c r="BDM166" s="383"/>
      <c r="BDN166" s="383"/>
      <c r="BDO166" s="383"/>
      <c r="BDP166" s="383"/>
      <c r="BDQ166" s="383"/>
      <c r="BDR166" s="383"/>
      <c r="BDS166" s="383"/>
      <c r="BDT166" s="383"/>
      <c r="BDU166" s="383"/>
      <c r="BDV166" s="383"/>
      <c r="BDW166" s="383"/>
      <c r="BDX166" s="383"/>
      <c r="BDY166" s="383"/>
      <c r="BDZ166" s="383"/>
      <c r="BEA166" s="383"/>
      <c r="BEB166" s="383"/>
      <c r="BEC166" s="383"/>
      <c r="BED166" s="383"/>
      <c r="BEE166" s="383"/>
      <c r="BEF166" s="383"/>
      <c r="BEG166" s="383"/>
      <c r="BEH166" s="383"/>
      <c r="BEI166" s="383"/>
      <c r="BEJ166" s="383"/>
      <c r="BEK166" s="383"/>
      <c r="BEL166" s="383"/>
      <c r="BEM166" s="383"/>
      <c r="BEN166" s="383"/>
      <c r="BEO166" s="383"/>
      <c r="BEP166" s="383"/>
      <c r="BEQ166" s="383"/>
      <c r="BER166" s="383"/>
      <c r="BES166" s="383"/>
      <c r="BET166" s="383"/>
      <c r="BEU166" s="383"/>
      <c r="BEV166" s="383"/>
      <c r="BEW166" s="383"/>
      <c r="BEX166" s="383"/>
      <c r="BEY166" s="383"/>
      <c r="BEZ166" s="383"/>
      <c r="BFA166" s="383"/>
      <c r="BFB166" s="383"/>
      <c r="BFC166" s="383"/>
      <c r="BFD166" s="383"/>
      <c r="BFE166" s="383"/>
      <c r="BFF166" s="383"/>
      <c r="BFG166" s="383"/>
      <c r="BFH166" s="383"/>
      <c r="BFI166" s="383"/>
      <c r="BFJ166" s="383"/>
      <c r="BFK166" s="383"/>
      <c r="BFL166" s="383"/>
      <c r="BFM166" s="383"/>
      <c r="BFN166" s="383"/>
      <c r="BFO166" s="383"/>
      <c r="BFP166" s="383"/>
      <c r="BFQ166" s="383"/>
      <c r="BFR166" s="383"/>
      <c r="BFS166" s="383"/>
      <c r="BFT166" s="383"/>
      <c r="BFU166" s="383"/>
      <c r="BFV166" s="383"/>
      <c r="BFW166" s="383"/>
      <c r="BFX166" s="383"/>
      <c r="BFY166" s="383"/>
      <c r="BFZ166" s="383"/>
      <c r="BGA166" s="383"/>
      <c r="BGB166" s="383"/>
      <c r="BGC166" s="383"/>
      <c r="BGD166" s="383"/>
      <c r="BGE166" s="383"/>
      <c r="BGF166" s="383"/>
      <c r="BGG166" s="383"/>
      <c r="BGH166" s="383"/>
      <c r="BGI166" s="383"/>
      <c r="BGJ166" s="383"/>
      <c r="BGK166" s="383"/>
      <c r="BGL166" s="383"/>
      <c r="BGM166" s="383"/>
      <c r="BGN166" s="383"/>
      <c r="BGO166" s="383"/>
      <c r="BGP166" s="383"/>
      <c r="BGQ166" s="383"/>
      <c r="BGR166" s="383"/>
      <c r="BGS166" s="383"/>
      <c r="BGT166" s="383"/>
      <c r="BGU166" s="383"/>
      <c r="BGV166" s="383"/>
      <c r="BGW166" s="383"/>
      <c r="BGX166" s="383"/>
      <c r="BGY166" s="383"/>
      <c r="BGZ166" s="383"/>
      <c r="BHA166" s="383"/>
      <c r="BHB166" s="383"/>
      <c r="BHC166" s="383"/>
      <c r="BHD166" s="383"/>
      <c r="BHE166" s="383"/>
      <c r="BHF166" s="383"/>
      <c r="BHG166" s="383"/>
      <c r="BHH166" s="383"/>
      <c r="BHI166" s="383"/>
      <c r="BHJ166" s="383"/>
      <c r="BHK166" s="383"/>
      <c r="BHL166" s="383"/>
      <c r="BHM166" s="383"/>
      <c r="BHN166" s="383"/>
      <c r="BHO166" s="383"/>
      <c r="BHP166" s="383"/>
      <c r="BHQ166" s="383"/>
      <c r="BHR166" s="383"/>
      <c r="BHS166" s="383"/>
      <c r="BHT166" s="383"/>
      <c r="BHU166" s="383"/>
      <c r="BHV166" s="383"/>
      <c r="BHW166" s="383"/>
      <c r="BHX166" s="383"/>
      <c r="BHY166" s="383"/>
      <c r="BHZ166" s="383"/>
      <c r="BIA166" s="383"/>
      <c r="BIB166" s="383"/>
      <c r="BIC166" s="383"/>
      <c r="BID166" s="383"/>
      <c r="BIE166" s="383"/>
      <c r="BIF166" s="383"/>
      <c r="BIG166" s="383"/>
      <c r="BIH166" s="383"/>
      <c r="BII166" s="383"/>
      <c r="BIJ166" s="383"/>
      <c r="BIK166" s="383"/>
      <c r="BIL166" s="383"/>
      <c r="BIM166" s="383"/>
      <c r="BIN166" s="383"/>
      <c r="BIO166" s="383"/>
      <c r="BIP166" s="383"/>
      <c r="BIQ166" s="383"/>
      <c r="BIR166" s="383"/>
      <c r="BIS166" s="383"/>
      <c r="BIT166" s="383"/>
      <c r="BIU166" s="383"/>
      <c r="BIV166" s="383"/>
      <c r="BIW166" s="383"/>
      <c r="BIX166" s="383"/>
      <c r="BIY166" s="383"/>
      <c r="BIZ166" s="383"/>
      <c r="BJA166" s="383"/>
      <c r="BJB166" s="383"/>
      <c r="BJC166" s="383"/>
      <c r="BJD166" s="383"/>
      <c r="BJE166" s="383"/>
      <c r="BJF166" s="383"/>
      <c r="BJG166" s="383"/>
      <c r="BJH166" s="383"/>
      <c r="BJI166" s="383"/>
      <c r="BJJ166" s="383"/>
      <c r="BJK166" s="383"/>
      <c r="BJL166" s="383"/>
      <c r="BJM166" s="383"/>
      <c r="BJN166" s="383"/>
      <c r="BJO166" s="383"/>
      <c r="BJP166" s="383"/>
      <c r="BJQ166" s="383"/>
      <c r="BJR166" s="383"/>
      <c r="BJS166" s="383"/>
      <c r="BJT166" s="383"/>
      <c r="BJU166" s="383"/>
      <c r="BJV166" s="383"/>
      <c r="BJW166" s="383"/>
      <c r="BJX166" s="383"/>
      <c r="BJY166" s="383"/>
      <c r="BJZ166" s="383"/>
      <c r="BKA166" s="383"/>
      <c r="BKB166" s="383"/>
      <c r="BKC166" s="383"/>
      <c r="BKD166" s="383"/>
      <c r="BKE166" s="383"/>
      <c r="BKF166" s="383"/>
      <c r="BKG166" s="383"/>
      <c r="BKH166" s="383"/>
      <c r="BKI166" s="383"/>
      <c r="BKJ166" s="383"/>
      <c r="BKK166" s="383"/>
      <c r="BKL166" s="383"/>
      <c r="BKM166" s="383"/>
      <c r="BKN166" s="383"/>
      <c r="BKO166" s="383"/>
      <c r="BKP166" s="383"/>
      <c r="BKQ166" s="383"/>
      <c r="BKR166" s="383"/>
      <c r="BKS166" s="383"/>
      <c r="BKT166" s="383"/>
      <c r="BKU166" s="383"/>
      <c r="BKV166" s="383"/>
      <c r="BKW166" s="383"/>
      <c r="BKX166" s="383"/>
      <c r="BKY166" s="383"/>
      <c r="BKZ166" s="383"/>
      <c r="BLA166" s="383"/>
      <c r="BLB166" s="383"/>
      <c r="BLC166" s="383"/>
      <c r="BLD166" s="383"/>
      <c r="BLE166" s="383"/>
      <c r="BLF166" s="383"/>
      <c r="BLG166" s="383"/>
      <c r="BLH166" s="383"/>
      <c r="BLI166" s="383"/>
      <c r="BLJ166" s="383"/>
      <c r="BLK166" s="383"/>
      <c r="BLL166" s="383"/>
      <c r="BLM166" s="383"/>
      <c r="BLN166" s="383"/>
      <c r="BLO166" s="383"/>
      <c r="BLP166" s="383"/>
      <c r="BLQ166" s="383"/>
      <c r="BLR166" s="383"/>
      <c r="BLS166" s="383"/>
      <c r="BLT166" s="383"/>
      <c r="BLU166" s="383"/>
      <c r="BLV166" s="383"/>
      <c r="BLW166" s="383"/>
      <c r="BLX166" s="383"/>
      <c r="BLY166" s="383"/>
      <c r="BLZ166" s="383"/>
      <c r="BMA166" s="383"/>
      <c r="BMB166" s="383"/>
      <c r="BMC166" s="383"/>
      <c r="BMD166" s="383"/>
      <c r="BME166" s="383"/>
      <c r="BMF166" s="383"/>
      <c r="BMG166" s="383"/>
      <c r="BMH166" s="383"/>
      <c r="BMI166" s="383"/>
      <c r="BMJ166" s="383"/>
      <c r="BMK166" s="383"/>
      <c r="BML166" s="383"/>
      <c r="BMM166" s="383"/>
      <c r="BMN166" s="383"/>
      <c r="BMO166" s="383"/>
      <c r="BMP166" s="383"/>
      <c r="BMQ166" s="383"/>
      <c r="BMR166" s="383"/>
      <c r="BMS166" s="383"/>
      <c r="BMT166" s="383"/>
      <c r="BMU166" s="383"/>
      <c r="BMV166" s="383"/>
      <c r="BMW166" s="383"/>
      <c r="BMX166" s="383"/>
      <c r="BMY166" s="383"/>
      <c r="BMZ166" s="383"/>
      <c r="BNA166" s="383"/>
      <c r="BNB166" s="383"/>
      <c r="BNC166" s="383"/>
      <c r="BND166" s="383"/>
      <c r="BNE166" s="383"/>
      <c r="BNF166" s="383"/>
      <c r="BNG166" s="383"/>
      <c r="BNH166" s="383"/>
      <c r="BNI166" s="383"/>
      <c r="BNJ166" s="383"/>
      <c r="BNK166" s="383"/>
      <c r="BNL166" s="383"/>
      <c r="BNM166" s="383"/>
      <c r="BNN166" s="383"/>
      <c r="BNO166" s="383"/>
      <c r="BNP166" s="383"/>
      <c r="BNQ166" s="383"/>
      <c r="BNR166" s="383"/>
      <c r="BNS166" s="383"/>
      <c r="BNT166" s="383"/>
      <c r="BNU166" s="383"/>
      <c r="BNV166" s="383"/>
      <c r="BNW166" s="383"/>
      <c r="BNX166" s="383"/>
      <c r="BNY166" s="383"/>
      <c r="BNZ166" s="383"/>
      <c r="BOA166" s="383"/>
      <c r="BOB166" s="383"/>
      <c r="BOC166" s="383"/>
      <c r="BOD166" s="383"/>
      <c r="BOE166" s="383"/>
      <c r="BOF166" s="383"/>
      <c r="BOG166" s="383"/>
      <c r="BOH166" s="383"/>
      <c r="BOI166" s="383"/>
      <c r="BOJ166" s="383"/>
      <c r="BOK166" s="383"/>
      <c r="BOL166" s="383"/>
      <c r="BOM166" s="383"/>
      <c r="BON166" s="383"/>
      <c r="BOO166" s="383"/>
      <c r="BOP166" s="383"/>
      <c r="BOQ166" s="383"/>
      <c r="BOR166" s="383"/>
      <c r="BOS166" s="383"/>
      <c r="BOT166" s="383"/>
      <c r="BOU166" s="383"/>
      <c r="BOV166" s="383"/>
      <c r="BOW166" s="383"/>
      <c r="BOX166" s="383"/>
      <c r="BOY166" s="383"/>
      <c r="BOZ166" s="383"/>
      <c r="BPA166" s="383"/>
      <c r="BPB166" s="383"/>
      <c r="BPC166" s="383"/>
      <c r="BPD166" s="383"/>
      <c r="BPE166" s="383"/>
      <c r="BPF166" s="383"/>
      <c r="BPG166" s="383"/>
      <c r="BPH166" s="383"/>
      <c r="BPI166" s="383"/>
      <c r="BPJ166" s="383"/>
      <c r="BPK166" s="383"/>
      <c r="BPL166" s="383"/>
      <c r="BPM166" s="383"/>
      <c r="BPN166" s="383"/>
      <c r="BPO166" s="383"/>
      <c r="BPP166" s="383"/>
      <c r="BPQ166" s="383"/>
      <c r="BPR166" s="383"/>
      <c r="BPS166" s="383"/>
      <c r="BPT166" s="383"/>
      <c r="BPU166" s="383"/>
      <c r="BPV166" s="383"/>
      <c r="BPW166" s="383"/>
      <c r="BPX166" s="383"/>
      <c r="BPY166" s="383"/>
      <c r="BPZ166" s="383"/>
      <c r="BQA166" s="383"/>
      <c r="BQB166" s="383"/>
      <c r="BQC166" s="383"/>
      <c r="BQD166" s="383"/>
      <c r="BQE166" s="383"/>
      <c r="BQF166" s="383"/>
      <c r="BQG166" s="383"/>
      <c r="BQH166" s="383"/>
      <c r="BQI166" s="383"/>
      <c r="BQJ166" s="383"/>
      <c r="BQK166" s="383"/>
      <c r="BQL166" s="383"/>
      <c r="BQM166" s="383"/>
      <c r="BQN166" s="383"/>
      <c r="BQO166" s="383"/>
      <c r="BQP166" s="383"/>
      <c r="BQQ166" s="383"/>
      <c r="BQR166" s="383"/>
      <c r="BQS166" s="383"/>
      <c r="BQT166" s="383"/>
      <c r="BQU166" s="383"/>
      <c r="BQV166" s="383"/>
      <c r="BQW166" s="383"/>
      <c r="BQX166" s="383"/>
      <c r="BQY166" s="383"/>
      <c r="BQZ166" s="383"/>
      <c r="BRA166" s="383"/>
      <c r="BRB166" s="383"/>
      <c r="BRC166" s="383"/>
      <c r="BRD166" s="383"/>
      <c r="BRE166" s="383"/>
      <c r="BRF166" s="383"/>
      <c r="BRG166" s="383"/>
      <c r="BRH166" s="383"/>
      <c r="BRI166" s="383"/>
      <c r="BRJ166" s="383"/>
      <c r="BRK166" s="383"/>
      <c r="BRL166" s="383"/>
      <c r="BRM166" s="383"/>
      <c r="BRN166" s="383"/>
      <c r="BRO166" s="383"/>
      <c r="BRP166" s="383"/>
      <c r="BRQ166" s="383"/>
      <c r="BRR166" s="383"/>
      <c r="BRS166" s="383"/>
      <c r="BRT166" s="383"/>
      <c r="BRU166" s="383"/>
      <c r="BRV166" s="383"/>
      <c r="BRW166" s="383"/>
      <c r="BRX166" s="383"/>
      <c r="BRY166" s="383"/>
      <c r="BRZ166" s="383"/>
      <c r="BSA166" s="383"/>
      <c r="BSB166" s="383"/>
      <c r="BSC166" s="383"/>
      <c r="BSD166" s="383"/>
      <c r="BSE166" s="383"/>
      <c r="BSF166" s="383"/>
      <c r="BSG166" s="383"/>
      <c r="BSH166" s="383"/>
      <c r="BSI166" s="383"/>
      <c r="BSJ166" s="383"/>
      <c r="BSK166" s="383"/>
      <c r="BSL166" s="383"/>
      <c r="BSM166" s="383"/>
      <c r="BSN166" s="383"/>
      <c r="BSO166" s="383"/>
      <c r="BSP166" s="383"/>
      <c r="BSQ166" s="383"/>
      <c r="BSR166" s="383"/>
      <c r="BSS166" s="383"/>
      <c r="BST166" s="383"/>
      <c r="BSU166" s="383"/>
      <c r="BSV166" s="383"/>
      <c r="BSW166" s="383"/>
      <c r="BSX166" s="383"/>
      <c r="BSY166" s="383"/>
      <c r="BSZ166" s="383"/>
      <c r="BTA166" s="383"/>
      <c r="BTB166" s="383"/>
      <c r="BTC166" s="383"/>
      <c r="BTD166" s="383"/>
      <c r="BTE166" s="383"/>
      <c r="BTF166" s="383"/>
      <c r="BTG166" s="383"/>
      <c r="BTH166" s="383"/>
      <c r="BTI166" s="383"/>
      <c r="BTJ166" s="383"/>
      <c r="BTK166" s="383"/>
      <c r="BTL166" s="383"/>
      <c r="BTM166" s="383"/>
      <c r="BTN166" s="383"/>
      <c r="BTO166" s="383"/>
      <c r="BTP166" s="383"/>
      <c r="BTQ166" s="383"/>
      <c r="BTR166" s="383"/>
      <c r="BTS166" s="383"/>
      <c r="BTT166" s="383"/>
      <c r="BTU166" s="383"/>
      <c r="BTV166" s="383"/>
      <c r="BTW166" s="383"/>
      <c r="BTX166" s="383"/>
      <c r="BTY166" s="383"/>
      <c r="BTZ166" s="383"/>
      <c r="BUA166" s="383"/>
      <c r="BUB166" s="383"/>
      <c r="BUC166" s="383"/>
      <c r="BUD166" s="383"/>
      <c r="BUE166" s="383"/>
      <c r="BUF166" s="383"/>
      <c r="BUG166" s="383"/>
      <c r="BUH166" s="383"/>
      <c r="BUI166" s="383"/>
      <c r="BUJ166" s="383"/>
      <c r="BUK166" s="383"/>
      <c r="BUL166" s="383"/>
      <c r="BUM166" s="383"/>
      <c r="BUN166" s="383"/>
      <c r="BUO166" s="383"/>
      <c r="BUP166" s="383"/>
      <c r="BUQ166" s="383"/>
      <c r="BUR166" s="383"/>
      <c r="BUS166" s="383"/>
      <c r="BUT166" s="383"/>
      <c r="BUU166" s="383"/>
      <c r="BUV166" s="383"/>
      <c r="BUW166" s="383"/>
      <c r="BUX166" s="383"/>
      <c r="BUY166" s="383"/>
      <c r="BUZ166" s="383"/>
      <c r="BVA166" s="383"/>
      <c r="BVB166" s="383"/>
      <c r="BVC166" s="383"/>
      <c r="BVD166" s="383"/>
      <c r="BVE166" s="383"/>
      <c r="BVF166" s="383"/>
      <c r="BVG166" s="383"/>
      <c r="BVH166" s="383"/>
      <c r="BVI166" s="383"/>
      <c r="BVJ166" s="383"/>
      <c r="BVK166" s="383"/>
      <c r="BVL166" s="383"/>
      <c r="BVM166" s="383"/>
      <c r="BVN166" s="383"/>
      <c r="BVO166" s="383"/>
      <c r="BVP166" s="383"/>
      <c r="BVQ166" s="383"/>
      <c r="BVR166" s="383"/>
      <c r="BVS166" s="383"/>
      <c r="BVT166" s="383"/>
      <c r="BVU166" s="383"/>
      <c r="BVV166" s="383"/>
      <c r="BVW166" s="383"/>
      <c r="BVX166" s="383"/>
      <c r="BVY166" s="383"/>
      <c r="BVZ166" s="383"/>
      <c r="BWA166" s="383"/>
      <c r="BWB166" s="383"/>
      <c r="BWC166" s="383"/>
      <c r="BWD166" s="383"/>
      <c r="BWE166" s="383"/>
      <c r="BWF166" s="383"/>
      <c r="BWG166" s="383"/>
      <c r="BWH166" s="383"/>
      <c r="BWI166" s="383"/>
      <c r="BWJ166" s="383"/>
      <c r="BWK166" s="383"/>
      <c r="BWL166" s="383"/>
      <c r="BWM166" s="383"/>
      <c r="BWN166" s="383"/>
      <c r="BWO166" s="383"/>
      <c r="BWP166" s="383"/>
      <c r="BWQ166" s="383"/>
      <c r="BWR166" s="383"/>
      <c r="BWS166" s="383"/>
      <c r="BWT166" s="383"/>
      <c r="BWU166" s="383"/>
      <c r="BWV166" s="383"/>
      <c r="BWW166" s="383"/>
      <c r="BWX166" s="383"/>
      <c r="BWY166" s="383"/>
      <c r="BWZ166" s="383"/>
      <c r="BXA166" s="383"/>
      <c r="BXB166" s="383"/>
      <c r="BXC166" s="383"/>
      <c r="BXD166" s="383"/>
      <c r="BXE166" s="383"/>
      <c r="BXF166" s="383"/>
      <c r="BXG166" s="383"/>
      <c r="BXH166" s="383"/>
      <c r="BXI166" s="383"/>
      <c r="BXJ166" s="383"/>
      <c r="BXK166" s="383"/>
      <c r="BXL166" s="383"/>
      <c r="BXM166" s="383"/>
      <c r="BXN166" s="383"/>
      <c r="BXO166" s="383"/>
      <c r="BXP166" s="383"/>
      <c r="BXQ166" s="383"/>
      <c r="BXR166" s="383"/>
      <c r="BXS166" s="383"/>
      <c r="BXT166" s="383"/>
      <c r="BXU166" s="383"/>
      <c r="BXV166" s="383"/>
      <c r="BXW166" s="383"/>
      <c r="BXX166" s="383"/>
      <c r="BXY166" s="383"/>
      <c r="BXZ166" s="383"/>
      <c r="BYA166" s="383"/>
      <c r="BYB166" s="383"/>
      <c r="BYC166" s="383"/>
      <c r="BYD166" s="383"/>
      <c r="BYE166" s="383"/>
      <c r="BYF166" s="383"/>
      <c r="BYG166" s="383"/>
      <c r="BYH166" s="383"/>
      <c r="BYI166" s="383"/>
      <c r="BYJ166" s="383"/>
      <c r="BYK166" s="383"/>
      <c r="BYL166" s="383"/>
      <c r="BYM166" s="383"/>
      <c r="BYN166" s="383"/>
      <c r="BYO166" s="383"/>
      <c r="BYP166" s="383"/>
      <c r="BYQ166" s="383"/>
      <c r="BYR166" s="383"/>
      <c r="BYS166" s="383"/>
      <c r="BYT166" s="383"/>
      <c r="BYU166" s="383"/>
      <c r="BYV166" s="383"/>
      <c r="BYW166" s="383"/>
      <c r="BYX166" s="383"/>
      <c r="BYY166" s="383"/>
      <c r="BYZ166" s="383"/>
      <c r="BZA166" s="383"/>
      <c r="BZB166" s="383"/>
      <c r="BZC166" s="383"/>
      <c r="BZD166" s="383"/>
      <c r="BZE166" s="383"/>
      <c r="BZF166" s="383"/>
      <c r="BZG166" s="383"/>
      <c r="BZH166" s="383"/>
      <c r="BZI166" s="383"/>
      <c r="BZJ166" s="383"/>
      <c r="BZK166" s="383"/>
      <c r="BZL166" s="383"/>
      <c r="BZM166" s="383"/>
      <c r="BZN166" s="383"/>
      <c r="BZO166" s="383"/>
      <c r="BZP166" s="383"/>
      <c r="BZQ166" s="383"/>
      <c r="BZR166" s="383"/>
      <c r="BZS166" s="383"/>
      <c r="BZT166" s="383"/>
      <c r="BZU166" s="383"/>
      <c r="BZV166" s="383"/>
      <c r="BZW166" s="383"/>
      <c r="BZX166" s="383"/>
      <c r="BZY166" s="383"/>
      <c r="BZZ166" s="383"/>
      <c r="CAA166" s="383"/>
      <c r="CAB166" s="383"/>
      <c r="CAC166" s="383"/>
      <c r="CAD166" s="383"/>
      <c r="CAE166" s="383"/>
      <c r="CAF166" s="383"/>
      <c r="CAG166" s="383"/>
      <c r="CAH166" s="383"/>
      <c r="CAI166" s="383"/>
      <c r="CAJ166" s="383"/>
      <c r="CAK166" s="383"/>
      <c r="CAL166" s="383"/>
      <c r="CAM166" s="383"/>
      <c r="CAN166" s="383"/>
      <c r="CAO166" s="383"/>
      <c r="CAP166" s="383"/>
      <c r="CAQ166" s="383"/>
      <c r="CAR166" s="383"/>
      <c r="CAS166" s="383"/>
      <c r="CAT166" s="383"/>
      <c r="CAU166" s="383"/>
      <c r="CAV166" s="383"/>
      <c r="CAW166" s="383"/>
      <c r="CAX166" s="383"/>
      <c r="CAY166" s="383"/>
      <c r="CAZ166" s="383"/>
      <c r="CBA166" s="383"/>
      <c r="CBB166" s="383"/>
      <c r="CBC166" s="383"/>
      <c r="CBD166" s="383"/>
      <c r="CBE166" s="383"/>
      <c r="CBF166" s="383"/>
      <c r="CBG166" s="383"/>
      <c r="CBH166" s="383"/>
      <c r="CBI166" s="383"/>
      <c r="CBJ166" s="383"/>
      <c r="CBK166" s="383"/>
      <c r="CBL166" s="383"/>
      <c r="CBM166" s="383"/>
      <c r="CBN166" s="383"/>
      <c r="CBO166" s="383"/>
      <c r="CBP166" s="383"/>
      <c r="CBQ166" s="383"/>
      <c r="CBR166" s="383"/>
      <c r="CBS166" s="383"/>
      <c r="CBT166" s="383"/>
      <c r="CBU166" s="383"/>
      <c r="CBV166" s="383"/>
      <c r="CBW166" s="383"/>
      <c r="CBX166" s="383"/>
      <c r="CBY166" s="383"/>
      <c r="CBZ166" s="383"/>
      <c r="CCA166" s="383"/>
      <c r="CCB166" s="383"/>
      <c r="CCC166" s="383"/>
      <c r="CCD166" s="383"/>
      <c r="CCE166" s="383"/>
      <c r="CCF166" s="383"/>
      <c r="CCG166" s="383"/>
      <c r="CCH166" s="383"/>
      <c r="CCI166" s="383"/>
      <c r="CCJ166" s="383"/>
      <c r="CCK166" s="383"/>
      <c r="CCL166" s="383"/>
      <c r="CCM166" s="383"/>
      <c r="CCN166" s="383"/>
      <c r="CCO166" s="383"/>
      <c r="CCP166" s="383"/>
      <c r="CCQ166" s="383"/>
      <c r="CCR166" s="383"/>
      <c r="CCS166" s="383"/>
      <c r="CCT166" s="383"/>
      <c r="CCU166" s="383"/>
      <c r="CCV166" s="383"/>
      <c r="CCW166" s="383"/>
      <c r="CCX166" s="383"/>
      <c r="CCY166" s="383"/>
      <c r="CCZ166" s="383"/>
      <c r="CDA166" s="383"/>
      <c r="CDB166" s="383"/>
      <c r="CDC166" s="383"/>
      <c r="CDD166" s="383"/>
      <c r="CDE166" s="383"/>
      <c r="CDF166" s="383"/>
      <c r="CDG166" s="383"/>
      <c r="CDH166" s="383"/>
      <c r="CDI166" s="383"/>
      <c r="CDJ166" s="383"/>
      <c r="CDK166" s="383"/>
      <c r="CDL166" s="383"/>
      <c r="CDM166" s="383"/>
      <c r="CDN166" s="383"/>
      <c r="CDO166" s="383"/>
      <c r="CDP166" s="383"/>
      <c r="CDQ166" s="383"/>
      <c r="CDR166" s="383"/>
      <c r="CDS166" s="383"/>
      <c r="CDT166" s="383"/>
      <c r="CDU166" s="383"/>
      <c r="CDV166" s="383"/>
      <c r="CDW166" s="383"/>
      <c r="CDX166" s="383"/>
      <c r="CDY166" s="383"/>
      <c r="CDZ166" s="383"/>
      <c r="CEA166" s="383"/>
      <c r="CEB166" s="383"/>
      <c r="CEC166" s="383"/>
      <c r="CED166" s="383"/>
      <c r="CEE166" s="383"/>
      <c r="CEF166" s="383"/>
      <c r="CEG166" s="383"/>
      <c r="CEH166" s="383"/>
      <c r="CEI166" s="383"/>
      <c r="CEJ166" s="383"/>
      <c r="CEK166" s="383"/>
      <c r="CEL166" s="383"/>
      <c r="CEM166" s="383"/>
      <c r="CEN166" s="383"/>
      <c r="CEO166" s="383"/>
      <c r="CEP166" s="383"/>
      <c r="CEQ166" s="383"/>
      <c r="CER166" s="383"/>
      <c r="CES166" s="383"/>
      <c r="CET166" s="383"/>
      <c r="CEU166" s="383"/>
      <c r="CEV166" s="383"/>
      <c r="CEW166" s="383"/>
      <c r="CEX166" s="383"/>
      <c r="CEY166" s="383"/>
      <c r="CEZ166" s="383"/>
      <c r="CFA166" s="383"/>
      <c r="CFB166" s="383"/>
      <c r="CFC166" s="383"/>
      <c r="CFD166" s="383"/>
      <c r="CFE166" s="383"/>
      <c r="CFF166" s="383"/>
      <c r="CFG166" s="383"/>
      <c r="CFH166" s="383"/>
      <c r="CFI166" s="383"/>
      <c r="CFJ166" s="383"/>
      <c r="CFK166" s="383"/>
      <c r="CFL166" s="383"/>
      <c r="CFM166" s="383"/>
      <c r="CFN166" s="383"/>
      <c r="CFO166" s="383"/>
      <c r="CFP166" s="383"/>
      <c r="CFQ166" s="383"/>
      <c r="CFR166" s="383"/>
      <c r="CFS166" s="383"/>
      <c r="CFT166" s="383"/>
      <c r="CFU166" s="383"/>
      <c r="CFV166" s="383"/>
      <c r="CFW166" s="383"/>
      <c r="CFX166" s="383"/>
      <c r="CFY166" s="383"/>
      <c r="CFZ166" s="383"/>
      <c r="CGA166" s="383"/>
      <c r="CGB166" s="383"/>
      <c r="CGC166" s="383"/>
      <c r="CGD166" s="383"/>
      <c r="CGE166" s="383"/>
      <c r="CGF166" s="383"/>
      <c r="CGG166" s="383"/>
      <c r="CGH166" s="383"/>
      <c r="CGI166" s="383"/>
      <c r="CGJ166" s="383"/>
      <c r="CGK166" s="383"/>
      <c r="CGL166" s="383"/>
      <c r="CGM166" s="383"/>
      <c r="CGN166" s="383"/>
      <c r="CGO166" s="383"/>
      <c r="CGP166" s="383"/>
      <c r="CGQ166" s="383"/>
      <c r="CGR166" s="383"/>
      <c r="CGS166" s="383"/>
      <c r="CGT166" s="383"/>
      <c r="CGU166" s="383"/>
      <c r="CGV166" s="383"/>
      <c r="CGW166" s="383"/>
      <c r="CGX166" s="383"/>
      <c r="CGY166" s="383"/>
      <c r="CGZ166" s="383"/>
      <c r="CHA166" s="383"/>
      <c r="CHB166" s="383"/>
      <c r="CHC166" s="383"/>
      <c r="CHD166" s="383"/>
      <c r="CHE166" s="383"/>
      <c r="CHF166" s="383"/>
      <c r="CHG166" s="383"/>
      <c r="CHH166" s="383"/>
      <c r="CHI166" s="383"/>
      <c r="CHJ166" s="383"/>
      <c r="CHK166" s="383"/>
      <c r="CHL166" s="383"/>
      <c r="CHM166" s="383"/>
      <c r="CHN166" s="383"/>
      <c r="CHO166" s="383"/>
      <c r="CHP166" s="383"/>
      <c r="CHQ166" s="383"/>
      <c r="CHR166" s="383"/>
      <c r="CHS166" s="383"/>
      <c r="CHT166" s="383"/>
      <c r="CHU166" s="383"/>
      <c r="CHV166" s="383"/>
      <c r="CHW166" s="383"/>
      <c r="CHX166" s="383"/>
      <c r="CHY166" s="383"/>
      <c r="CHZ166" s="383"/>
      <c r="CIA166" s="383"/>
      <c r="CIB166" s="383"/>
      <c r="CIC166" s="383"/>
      <c r="CID166" s="383"/>
      <c r="CIE166" s="383"/>
      <c r="CIF166" s="383"/>
      <c r="CIG166" s="383"/>
      <c r="CIH166" s="383"/>
      <c r="CII166" s="383"/>
      <c r="CIJ166" s="383"/>
      <c r="CIK166" s="383"/>
      <c r="CIL166" s="383"/>
      <c r="CIM166" s="383"/>
      <c r="CIN166" s="383"/>
      <c r="CIO166" s="383"/>
      <c r="CIP166" s="383"/>
      <c r="CIQ166" s="383"/>
      <c r="CIR166" s="383"/>
      <c r="CIS166" s="383"/>
      <c r="CIT166" s="383"/>
      <c r="CIU166" s="383"/>
      <c r="CIV166" s="383"/>
      <c r="CIW166" s="383"/>
      <c r="CIX166" s="383"/>
      <c r="CIY166" s="383"/>
      <c r="CIZ166" s="383"/>
      <c r="CJA166" s="383"/>
      <c r="CJB166" s="383"/>
      <c r="CJC166" s="383"/>
      <c r="CJD166" s="383"/>
      <c r="CJE166" s="383"/>
      <c r="CJF166" s="383"/>
      <c r="CJG166" s="383"/>
      <c r="CJH166" s="383"/>
      <c r="CJI166" s="383"/>
      <c r="CJJ166" s="383"/>
      <c r="CJK166" s="383"/>
      <c r="CJL166" s="383"/>
      <c r="CJM166" s="383"/>
      <c r="CJN166" s="383"/>
      <c r="CJO166" s="383"/>
      <c r="CJP166" s="383"/>
      <c r="CJQ166" s="383"/>
      <c r="CJR166" s="383"/>
      <c r="CJS166" s="383"/>
      <c r="CJT166" s="383"/>
      <c r="CJU166" s="383"/>
      <c r="CJV166" s="383"/>
      <c r="CJW166" s="383"/>
      <c r="CJX166" s="383"/>
      <c r="CJY166" s="383"/>
      <c r="CJZ166" s="383"/>
      <c r="CKA166" s="383"/>
      <c r="CKB166" s="383"/>
      <c r="CKC166" s="383"/>
      <c r="CKD166" s="383"/>
      <c r="CKE166" s="383"/>
      <c r="CKF166" s="383"/>
      <c r="CKG166" s="383"/>
      <c r="CKH166" s="383"/>
      <c r="CKI166" s="383"/>
      <c r="CKJ166" s="383"/>
      <c r="CKK166" s="383"/>
      <c r="CKL166" s="383"/>
      <c r="CKM166" s="383"/>
      <c r="CKN166" s="383"/>
      <c r="CKO166" s="383"/>
      <c r="CKP166" s="383"/>
      <c r="CKQ166" s="383"/>
      <c r="CKR166" s="383"/>
      <c r="CKS166" s="383"/>
      <c r="CKT166" s="383"/>
      <c r="CKU166" s="383"/>
      <c r="CKV166" s="383"/>
      <c r="CKW166" s="383"/>
      <c r="CKX166" s="383"/>
      <c r="CKY166" s="383"/>
      <c r="CKZ166" s="383"/>
      <c r="CLA166" s="383"/>
      <c r="CLB166" s="383"/>
      <c r="CLC166" s="383"/>
      <c r="CLD166" s="383"/>
      <c r="CLE166" s="383"/>
      <c r="CLF166" s="383"/>
      <c r="CLG166" s="383"/>
      <c r="CLH166" s="383"/>
      <c r="CLI166" s="383"/>
      <c r="CLJ166" s="383"/>
      <c r="CLK166" s="383"/>
      <c r="CLL166" s="383"/>
      <c r="CLM166" s="383"/>
      <c r="CLN166" s="383"/>
      <c r="CLO166" s="383"/>
      <c r="CLP166" s="383"/>
      <c r="CLQ166" s="383"/>
      <c r="CLR166" s="383"/>
      <c r="CLS166" s="383"/>
      <c r="CLT166" s="383"/>
      <c r="CLU166" s="383"/>
      <c r="CLV166" s="383"/>
      <c r="CLW166" s="383"/>
      <c r="CLX166" s="383"/>
      <c r="CLY166" s="383"/>
      <c r="CLZ166" s="383"/>
      <c r="CMA166" s="383"/>
      <c r="CMB166" s="383"/>
      <c r="CMC166" s="383"/>
      <c r="CMD166" s="383"/>
      <c r="CME166" s="383"/>
      <c r="CMF166" s="383"/>
      <c r="CMG166" s="383"/>
      <c r="CMH166" s="383"/>
      <c r="CMI166" s="383"/>
      <c r="CMJ166" s="383"/>
      <c r="CMK166" s="383"/>
      <c r="CML166" s="383"/>
      <c r="CMM166" s="383"/>
      <c r="CMN166" s="383"/>
      <c r="CMO166" s="383"/>
      <c r="CMP166" s="383"/>
      <c r="CMQ166" s="383"/>
      <c r="CMR166" s="383"/>
      <c r="CMS166" s="383"/>
      <c r="CMT166" s="383"/>
      <c r="CMU166" s="383"/>
      <c r="CMV166" s="383"/>
      <c r="CMW166" s="383"/>
      <c r="CMX166" s="383"/>
      <c r="CMY166" s="383"/>
      <c r="CMZ166" s="383"/>
      <c r="CNA166" s="383"/>
      <c r="CNB166" s="383"/>
      <c r="CNC166" s="383"/>
      <c r="CND166" s="383"/>
      <c r="CNE166" s="383"/>
      <c r="CNF166" s="383"/>
      <c r="CNG166" s="383"/>
      <c r="CNH166" s="383"/>
      <c r="CNI166" s="383"/>
      <c r="CNJ166" s="383"/>
      <c r="CNK166" s="383"/>
      <c r="CNL166" s="383"/>
      <c r="CNM166" s="383"/>
      <c r="CNN166" s="383"/>
      <c r="CNO166" s="383"/>
      <c r="CNP166" s="383"/>
      <c r="CNQ166" s="383"/>
      <c r="CNR166" s="383"/>
      <c r="CNS166" s="383"/>
      <c r="CNT166" s="383"/>
      <c r="CNU166" s="383"/>
      <c r="CNV166" s="383"/>
      <c r="CNW166" s="383"/>
      <c r="CNX166" s="383"/>
      <c r="CNY166" s="383"/>
      <c r="CNZ166" s="383"/>
      <c r="COA166" s="383"/>
      <c r="COB166" s="383"/>
      <c r="COC166" s="383"/>
      <c r="COD166" s="383"/>
      <c r="COE166" s="383"/>
      <c r="COF166" s="383"/>
      <c r="COG166" s="383"/>
      <c r="COH166" s="383"/>
      <c r="COI166" s="383"/>
      <c r="COJ166" s="383"/>
      <c r="COK166" s="383"/>
      <c r="COL166" s="383"/>
      <c r="COM166" s="383"/>
      <c r="CON166" s="383"/>
      <c r="COO166" s="383"/>
      <c r="COP166" s="383"/>
      <c r="COQ166" s="383"/>
      <c r="COR166" s="383"/>
      <c r="COS166" s="383"/>
      <c r="COT166" s="383"/>
      <c r="COU166" s="383"/>
      <c r="COV166" s="383"/>
      <c r="COW166" s="383"/>
      <c r="COX166" s="383"/>
      <c r="COY166" s="383"/>
      <c r="COZ166" s="383"/>
      <c r="CPA166" s="383"/>
      <c r="CPB166" s="383"/>
      <c r="CPC166" s="383"/>
      <c r="CPD166" s="383"/>
      <c r="CPE166" s="383"/>
      <c r="CPF166" s="383"/>
      <c r="CPG166" s="383"/>
      <c r="CPH166" s="383"/>
      <c r="CPI166" s="383"/>
      <c r="CPJ166" s="383"/>
      <c r="CPK166" s="383"/>
      <c r="CPL166" s="383"/>
      <c r="CPM166" s="383"/>
      <c r="CPN166" s="383"/>
      <c r="CPO166" s="383"/>
      <c r="CPP166" s="383"/>
      <c r="CPQ166" s="383"/>
      <c r="CPR166" s="383"/>
      <c r="CPS166" s="383"/>
      <c r="CPT166" s="383"/>
      <c r="CPU166" s="383"/>
      <c r="CPV166" s="383"/>
      <c r="CPW166" s="383"/>
      <c r="CPX166" s="383"/>
      <c r="CPY166" s="383"/>
      <c r="CPZ166" s="383"/>
      <c r="CQA166" s="383"/>
      <c r="CQB166" s="383"/>
      <c r="CQC166" s="383"/>
      <c r="CQD166" s="383"/>
      <c r="CQE166" s="383"/>
      <c r="CQF166" s="383"/>
      <c r="CQG166" s="383"/>
      <c r="CQH166" s="383"/>
      <c r="CQI166" s="383"/>
      <c r="CQJ166" s="383"/>
      <c r="CQK166" s="383"/>
      <c r="CQL166" s="383"/>
      <c r="CQM166" s="383"/>
      <c r="CQN166" s="383"/>
      <c r="CQO166" s="383"/>
      <c r="CQP166" s="383"/>
      <c r="CQQ166" s="383"/>
      <c r="CQR166" s="383"/>
      <c r="CQS166" s="383"/>
      <c r="CQT166" s="383"/>
      <c r="CQU166" s="383"/>
      <c r="CQV166" s="383"/>
      <c r="CQW166" s="383"/>
      <c r="CQX166" s="383"/>
      <c r="CQY166" s="383"/>
      <c r="CQZ166" s="383"/>
      <c r="CRA166" s="383"/>
      <c r="CRB166" s="383"/>
      <c r="CRC166" s="383"/>
      <c r="CRD166" s="383"/>
      <c r="CRE166" s="383"/>
      <c r="CRF166" s="383"/>
      <c r="CRG166" s="383"/>
      <c r="CRH166" s="383"/>
      <c r="CRI166" s="383"/>
      <c r="CRJ166" s="383"/>
      <c r="CRK166" s="383"/>
      <c r="CRL166" s="383"/>
      <c r="CRM166" s="383"/>
      <c r="CRN166" s="383"/>
      <c r="CRO166" s="383"/>
      <c r="CRP166" s="383"/>
      <c r="CRQ166" s="383"/>
      <c r="CRR166" s="383"/>
      <c r="CRS166" s="383"/>
      <c r="CRT166" s="383"/>
      <c r="CRU166" s="383"/>
      <c r="CRV166" s="383"/>
      <c r="CRW166" s="383"/>
      <c r="CRX166" s="383"/>
      <c r="CRY166" s="383"/>
      <c r="CRZ166" s="383"/>
      <c r="CSA166" s="383"/>
      <c r="CSB166" s="383"/>
      <c r="CSC166" s="383"/>
      <c r="CSD166" s="383"/>
      <c r="CSE166" s="383"/>
      <c r="CSF166" s="383"/>
      <c r="CSG166" s="383"/>
      <c r="CSH166" s="383"/>
      <c r="CSI166" s="383"/>
      <c r="CSJ166" s="383"/>
      <c r="CSK166" s="383"/>
      <c r="CSL166" s="383"/>
      <c r="CSM166" s="383"/>
      <c r="CSN166" s="383"/>
      <c r="CSO166" s="383"/>
      <c r="CSP166" s="383"/>
      <c r="CSQ166" s="383"/>
      <c r="CSR166" s="383"/>
      <c r="CSS166" s="383"/>
      <c r="CST166" s="383"/>
      <c r="CSU166" s="383"/>
      <c r="CSV166" s="383"/>
      <c r="CSW166" s="383"/>
      <c r="CSX166" s="383"/>
      <c r="CSY166" s="383"/>
      <c r="CSZ166" s="383"/>
      <c r="CTA166" s="383"/>
      <c r="CTB166" s="383"/>
      <c r="CTC166" s="383"/>
      <c r="CTD166" s="383"/>
      <c r="CTE166" s="383"/>
      <c r="CTF166" s="383"/>
      <c r="CTG166" s="383"/>
      <c r="CTH166" s="383"/>
      <c r="CTI166" s="383"/>
      <c r="CTJ166" s="383"/>
      <c r="CTK166" s="383"/>
      <c r="CTL166" s="383"/>
      <c r="CTM166" s="383"/>
      <c r="CTN166" s="383"/>
      <c r="CTO166" s="383"/>
      <c r="CTP166" s="383"/>
      <c r="CTQ166" s="383"/>
      <c r="CTR166" s="383"/>
      <c r="CTS166" s="383"/>
      <c r="CTT166" s="383"/>
      <c r="CTU166" s="383"/>
      <c r="CTV166" s="383"/>
      <c r="CTW166" s="383"/>
      <c r="CTX166" s="383"/>
      <c r="CTY166" s="383"/>
      <c r="CTZ166" s="383"/>
      <c r="CUA166" s="383"/>
      <c r="CUB166" s="383"/>
      <c r="CUC166" s="383"/>
      <c r="CUD166" s="383"/>
      <c r="CUE166" s="383"/>
      <c r="CUF166" s="383"/>
      <c r="CUG166" s="383"/>
      <c r="CUH166" s="383"/>
      <c r="CUI166" s="383"/>
      <c r="CUJ166" s="383"/>
      <c r="CUK166" s="383"/>
      <c r="CUL166" s="383"/>
      <c r="CUM166" s="383"/>
      <c r="CUN166" s="383"/>
      <c r="CUO166" s="383"/>
      <c r="CUP166" s="383"/>
      <c r="CUQ166" s="383"/>
      <c r="CUR166" s="383"/>
      <c r="CUS166" s="383"/>
      <c r="CUT166" s="383"/>
      <c r="CUU166" s="383"/>
      <c r="CUV166" s="383"/>
      <c r="CUW166" s="383"/>
      <c r="CUX166" s="383"/>
      <c r="CUY166" s="383"/>
      <c r="CUZ166" s="383"/>
      <c r="CVA166" s="383"/>
      <c r="CVB166" s="383"/>
      <c r="CVC166" s="383"/>
      <c r="CVD166" s="383"/>
      <c r="CVE166" s="383"/>
      <c r="CVF166" s="383"/>
      <c r="CVG166" s="383"/>
      <c r="CVH166" s="383"/>
      <c r="CVI166" s="383"/>
      <c r="CVJ166" s="383"/>
      <c r="CVK166" s="383"/>
      <c r="CVL166" s="383"/>
      <c r="CVM166" s="383"/>
      <c r="CVN166" s="383"/>
      <c r="CVO166" s="383"/>
      <c r="CVP166" s="383"/>
      <c r="CVQ166" s="383"/>
      <c r="CVR166" s="383"/>
      <c r="CVS166" s="383"/>
      <c r="CVT166" s="383"/>
      <c r="CVU166" s="383"/>
      <c r="CVV166" s="383"/>
      <c r="CVW166" s="383"/>
      <c r="CVX166" s="383"/>
      <c r="CVY166" s="383"/>
      <c r="CVZ166" s="383"/>
      <c r="CWA166" s="383"/>
      <c r="CWB166" s="383"/>
      <c r="CWC166" s="383"/>
      <c r="CWD166" s="383"/>
      <c r="CWE166" s="383"/>
      <c r="CWF166" s="383"/>
      <c r="CWG166" s="383"/>
      <c r="CWH166" s="383"/>
      <c r="CWI166" s="383"/>
      <c r="CWJ166" s="383"/>
      <c r="CWK166" s="383"/>
      <c r="CWL166" s="383"/>
      <c r="CWM166" s="383"/>
      <c r="CWN166" s="383"/>
      <c r="CWO166" s="383"/>
      <c r="CWP166" s="383"/>
      <c r="CWQ166" s="383"/>
      <c r="CWR166" s="383"/>
      <c r="CWS166" s="383"/>
      <c r="CWT166" s="383"/>
      <c r="CWU166" s="383"/>
      <c r="CWV166" s="383"/>
      <c r="CWW166" s="383"/>
      <c r="CWX166" s="383"/>
      <c r="CWY166" s="383"/>
      <c r="CWZ166" s="383"/>
      <c r="CXA166" s="383"/>
      <c r="CXB166" s="383"/>
      <c r="CXC166" s="383"/>
      <c r="CXD166" s="383"/>
      <c r="CXE166" s="383"/>
      <c r="CXF166" s="383"/>
      <c r="CXG166" s="383"/>
      <c r="CXH166" s="383"/>
      <c r="CXI166" s="383"/>
      <c r="CXJ166" s="383"/>
      <c r="CXK166" s="383"/>
      <c r="CXL166" s="383"/>
      <c r="CXM166" s="383"/>
      <c r="CXN166" s="383"/>
      <c r="CXO166" s="383"/>
      <c r="CXP166" s="383"/>
      <c r="CXQ166" s="383"/>
      <c r="CXR166" s="383"/>
      <c r="CXS166" s="383"/>
      <c r="CXT166" s="383"/>
      <c r="CXU166" s="383"/>
      <c r="CXV166" s="383"/>
      <c r="CXW166" s="383"/>
      <c r="CXX166" s="383"/>
      <c r="CXY166" s="383"/>
      <c r="CXZ166" s="383"/>
      <c r="CYA166" s="383"/>
      <c r="CYB166" s="383"/>
      <c r="CYC166" s="383"/>
      <c r="CYD166" s="383"/>
      <c r="CYE166" s="383"/>
      <c r="CYF166" s="383"/>
      <c r="CYG166" s="383"/>
      <c r="CYH166" s="383"/>
      <c r="CYI166" s="383"/>
      <c r="CYJ166" s="383"/>
      <c r="CYK166" s="383"/>
      <c r="CYL166" s="383"/>
      <c r="CYM166" s="383"/>
      <c r="CYN166" s="383"/>
      <c r="CYO166" s="383"/>
      <c r="CYP166" s="383"/>
      <c r="CYQ166" s="383"/>
      <c r="CYR166" s="383"/>
      <c r="CYS166" s="383"/>
      <c r="CYT166" s="383"/>
      <c r="CYU166" s="383"/>
      <c r="CYV166" s="383"/>
      <c r="CYW166" s="383"/>
      <c r="CYX166" s="383"/>
      <c r="CYY166" s="383"/>
      <c r="CYZ166" s="383"/>
      <c r="CZA166" s="383"/>
      <c r="CZB166" s="383"/>
      <c r="CZC166" s="383"/>
      <c r="CZD166" s="383"/>
      <c r="CZE166" s="383"/>
      <c r="CZF166" s="383"/>
      <c r="CZG166" s="383"/>
      <c r="CZH166" s="383"/>
      <c r="CZI166" s="383"/>
      <c r="CZJ166" s="383"/>
      <c r="CZK166" s="383"/>
      <c r="CZL166" s="383"/>
      <c r="CZM166" s="383"/>
      <c r="CZN166" s="383"/>
      <c r="CZO166" s="383"/>
      <c r="CZP166" s="383"/>
      <c r="CZQ166" s="383"/>
      <c r="CZR166" s="383"/>
      <c r="CZS166" s="383"/>
      <c r="CZT166" s="383"/>
      <c r="CZU166" s="383"/>
      <c r="CZV166" s="383"/>
      <c r="CZW166" s="383"/>
      <c r="CZX166" s="383"/>
      <c r="CZY166" s="383"/>
      <c r="CZZ166" s="383"/>
      <c r="DAA166" s="383"/>
      <c r="DAB166" s="383"/>
      <c r="DAC166" s="383"/>
      <c r="DAD166" s="383"/>
      <c r="DAE166" s="383"/>
      <c r="DAF166" s="383"/>
      <c r="DAG166" s="383"/>
      <c r="DAH166" s="383"/>
      <c r="DAI166" s="383"/>
      <c r="DAJ166" s="383"/>
      <c r="DAK166" s="383"/>
      <c r="DAL166" s="383"/>
      <c r="DAM166" s="383"/>
      <c r="DAN166" s="383"/>
      <c r="DAO166" s="383"/>
      <c r="DAP166" s="383"/>
      <c r="DAQ166" s="383"/>
      <c r="DAR166" s="383"/>
      <c r="DAS166" s="383"/>
      <c r="DAT166" s="383"/>
      <c r="DAU166" s="383"/>
      <c r="DAV166" s="383"/>
      <c r="DAW166" s="383"/>
      <c r="DAX166" s="383"/>
      <c r="DAY166" s="383"/>
      <c r="DAZ166" s="383"/>
      <c r="DBA166" s="383"/>
      <c r="DBB166" s="383"/>
      <c r="DBC166" s="383"/>
      <c r="DBD166" s="383"/>
      <c r="DBE166" s="383"/>
      <c r="DBF166" s="383"/>
      <c r="DBG166" s="383"/>
      <c r="DBH166" s="383"/>
      <c r="DBI166" s="383"/>
      <c r="DBJ166" s="383"/>
      <c r="DBK166" s="383"/>
      <c r="DBL166" s="383"/>
      <c r="DBM166" s="383"/>
      <c r="DBN166" s="383"/>
      <c r="DBO166" s="383"/>
      <c r="DBP166" s="383"/>
      <c r="DBQ166" s="383"/>
      <c r="DBR166" s="383"/>
      <c r="DBS166" s="383"/>
      <c r="DBT166" s="383"/>
      <c r="DBU166" s="383"/>
      <c r="DBV166" s="383"/>
      <c r="DBW166" s="383"/>
      <c r="DBX166" s="383"/>
      <c r="DBY166" s="383"/>
      <c r="DBZ166" s="383"/>
      <c r="DCA166" s="383"/>
      <c r="DCB166" s="383"/>
      <c r="DCC166" s="383"/>
      <c r="DCD166" s="383"/>
      <c r="DCE166" s="383"/>
      <c r="DCF166" s="383"/>
      <c r="DCG166" s="383"/>
      <c r="DCH166" s="383"/>
      <c r="DCI166" s="383"/>
      <c r="DCJ166" s="383"/>
      <c r="DCK166" s="383"/>
      <c r="DCL166" s="383"/>
      <c r="DCM166" s="383"/>
      <c r="DCN166" s="383"/>
      <c r="DCO166" s="383"/>
      <c r="DCP166" s="383"/>
      <c r="DCQ166" s="383"/>
      <c r="DCR166" s="383"/>
      <c r="DCS166" s="383"/>
      <c r="DCT166" s="383"/>
      <c r="DCU166" s="383"/>
      <c r="DCV166" s="383"/>
      <c r="DCW166" s="383"/>
      <c r="DCX166" s="383"/>
      <c r="DCY166" s="383"/>
      <c r="DCZ166" s="383"/>
      <c r="DDA166" s="383"/>
      <c r="DDB166" s="383"/>
      <c r="DDC166" s="383"/>
      <c r="DDD166" s="383"/>
      <c r="DDE166" s="383"/>
      <c r="DDF166" s="383"/>
      <c r="DDG166" s="383"/>
      <c r="DDH166" s="383"/>
      <c r="DDI166" s="383"/>
      <c r="DDJ166" s="383"/>
      <c r="DDK166" s="383"/>
      <c r="DDL166" s="383"/>
      <c r="DDM166" s="383"/>
      <c r="DDN166" s="383"/>
      <c r="DDO166" s="383"/>
      <c r="DDP166" s="383"/>
      <c r="DDQ166" s="383"/>
      <c r="DDR166" s="383"/>
      <c r="DDS166" s="383"/>
      <c r="DDT166" s="383"/>
      <c r="DDU166" s="383"/>
      <c r="DDV166" s="383"/>
      <c r="DDW166" s="383"/>
      <c r="DDX166" s="383"/>
      <c r="DDY166" s="383"/>
      <c r="DDZ166" s="383"/>
      <c r="DEA166" s="383"/>
      <c r="DEB166" s="383"/>
      <c r="DEC166" s="383"/>
      <c r="DED166" s="383"/>
      <c r="DEE166" s="383"/>
      <c r="DEF166" s="383"/>
      <c r="DEG166" s="383"/>
      <c r="DEH166" s="383"/>
      <c r="DEI166" s="383"/>
      <c r="DEJ166" s="383"/>
      <c r="DEK166" s="383"/>
      <c r="DEL166" s="383"/>
      <c r="DEM166" s="383"/>
      <c r="DEN166" s="383"/>
      <c r="DEO166" s="383"/>
      <c r="DEP166" s="383"/>
      <c r="DEQ166" s="383"/>
      <c r="DER166" s="383"/>
      <c r="DES166" s="383"/>
      <c r="DET166" s="383"/>
      <c r="DEU166" s="383"/>
      <c r="DEV166" s="383"/>
      <c r="DEW166" s="383"/>
      <c r="DEX166" s="383"/>
      <c r="DEY166" s="383"/>
      <c r="DEZ166" s="383"/>
      <c r="DFA166" s="383"/>
      <c r="DFB166" s="383"/>
      <c r="DFC166" s="383"/>
      <c r="DFD166" s="383"/>
      <c r="DFE166" s="383"/>
      <c r="DFF166" s="383"/>
      <c r="DFG166" s="383"/>
      <c r="DFH166" s="383"/>
      <c r="DFI166" s="383"/>
      <c r="DFJ166" s="383"/>
      <c r="DFK166" s="383"/>
      <c r="DFL166" s="383"/>
      <c r="DFM166" s="383"/>
      <c r="DFN166" s="383"/>
      <c r="DFO166" s="383"/>
      <c r="DFP166" s="383"/>
      <c r="DFQ166" s="383"/>
      <c r="DFR166" s="383"/>
      <c r="DFS166" s="383"/>
      <c r="DFT166" s="383"/>
      <c r="DFU166" s="383"/>
      <c r="DFV166" s="383"/>
      <c r="DFW166" s="383"/>
      <c r="DFX166" s="383"/>
      <c r="DFY166" s="383"/>
      <c r="DFZ166" s="383"/>
      <c r="DGA166" s="383"/>
      <c r="DGB166" s="383"/>
      <c r="DGC166" s="383"/>
      <c r="DGD166" s="383"/>
      <c r="DGE166" s="383"/>
      <c r="DGF166" s="383"/>
      <c r="DGG166" s="383"/>
      <c r="DGH166" s="383"/>
      <c r="DGI166" s="383"/>
      <c r="DGJ166" s="383"/>
      <c r="DGK166" s="383"/>
      <c r="DGL166" s="383"/>
      <c r="DGM166" s="383"/>
      <c r="DGN166" s="383"/>
      <c r="DGO166" s="383"/>
      <c r="DGP166" s="383"/>
      <c r="DGQ166" s="383"/>
      <c r="DGR166" s="383"/>
      <c r="DGS166" s="383"/>
      <c r="DGT166" s="383"/>
      <c r="DGU166" s="383"/>
      <c r="DGV166" s="383"/>
      <c r="DGW166" s="383"/>
      <c r="DGX166" s="383"/>
      <c r="DGY166" s="383"/>
      <c r="DGZ166" s="383"/>
      <c r="DHA166" s="383"/>
      <c r="DHB166" s="383"/>
      <c r="DHC166" s="383"/>
      <c r="DHD166" s="383"/>
      <c r="DHE166" s="383"/>
      <c r="DHF166" s="383"/>
      <c r="DHG166" s="383"/>
      <c r="DHH166" s="383"/>
      <c r="DHI166" s="383"/>
      <c r="DHJ166" s="383"/>
      <c r="DHK166" s="383"/>
      <c r="DHL166" s="383"/>
      <c r="DHM166" s="383"/>
      <c r="DHN166" s="383"/>
      <c r="DHO166" s="383"/>
      <c r="DHP166" s="383"/>
      <c r="DHQ166" s="383"/>
      <c r="DHR166" s="383"/>
      <c r="DHS166" s="383"/>
      <c r="DHT166" s="383"/>
      <c r="DHU166" s="383"/>
      <c r="DHV166" s="383"/>
      <c r="DHW166" s="383"/>
      <c r="DHX166" s="383"/>
      <c r="DHY166" s="383"/>
      <c r="DHZ166" s="383"/>
      <c r="DIA166" s="383"/>
      <c r="DIB166" s="383"/>
      <c r="DIC166" s="383"/>
      <c r="DID166" s="383"/>
      <c r="DIE166" s="383"/>
      <c r="DIF166" s="383"/>
      <c r="DIG166" s="383"/>
      <c r="DIH166" s="383"/>
      <c r="DII166" s="383"/>
      <c r="DIJ166" s="383"/>
      <c r="DIK166" s="383"/>
      <c r="DIL166" s="383"/>
      <c r="DIM166" s="383"/>
      <c r="DIN166" s="383"/>
      <c r="DIO166" s="383"/>
      <c r="DIP166" s="383"/>
      <c r="DIQ166" s="383"/>
      <c r="DIR166" s="383"/>
      <c r="DIS166" s="383"/>
      <c r="DIT166" s="383"/>
      <c r="DIU166" s="383"/>
      <c r="DIV166" s="383"/>
      <c r="DIW166" s="383"/>
      <c r="DIX166" s="383"/>
      <c r="DIY166" s="383"/>
      <c r="DIZ166" s="383"/>
      <c r="DJA166" s="383"/>
      <c r="DJB166" s="383"/>
      <c r="DJC166" s="383"/>
      <c r="DJD166" s="383"/>
      <c r="DJE166" s="383"/>
      <c r="DJF166" s="383"/>
      <c r="DJG166" s="383"/>
      <c r="DJH166" s="383"/>
      <c r="DJI166" s="383"/>
      <c r="DJJ166" s="383"/>
      <c r="DJK166" s="383"/>
      <c r="DJL166" s="383"/>
      <c r="DJM166" s="383"/>
      <c r="DJN166" s="383"/>
      <c r="DJO166" s="383"/>
      <c r="DJP166" s="383"/>
      <c r="DJQ166" s="383"/>
      <c r="DJR166" s="383"/>
      <c r="DJS166" s="383"/>
      <c r="DJT166" s="383"/>
      <c r="DJU166" s="383"/>
      <c r="DJV166" s="383"/>
      <c r="DJW166" s="383"/>
      <c r="DJX166" s="383"/>
      <c r="DJY166" s="383"/>
      <c r="DJZ166" s="383"/>
      <c r="DKA166" s="383"/>
      <c r="DKB166" s="383"/>
      <c r="DKC166" s="383"/>
      <c r="DKD166" s="383"/>
      <c r="DKE166" s="383"/>
      <c r="DKF166" s="383"/>
      <c r="DKG166" s="383"/>
      <c r="DKH166" s="383"/>
      <c r="DKI166" s="383"/>
      <c r="DKJ166" s="383"/>
      <c r="DKK166" s="383"/>
      <c r="DKL166" s="383"/>
      <c r="DKM166" s="383"/>
      <c r="DKN166" s="383"/>
      <c r="DKO166" s="383"/>
      <c r="DKP166" s="383"/>
      <c r="DKQ166" s="383"/>
      <c r="DKR166" s="383"/>
      <c r="DKS166" s="383"/>
      <c r="DKT166" s="383"/>
      <c r="DKU166" s="383"/>
      <c r="DKV166" s="383"/>
      <c r="DKW166" s="383"/>
      <c r="DKX166" s="383"/>
      <c r="DKY166" s="383"/>
      <c r="DKZ166" s="383"/>
      <c r="DLA166" s="383"/>
      <c r="DLB166" s="383"/>
      <c r="DLC166" s="383"/>
      <c r="DLD166" s="383"/>
      <c r="DLE166" s="383"/>
      <c r="DLF166" s="383"/>
      <c r="DLG166" s="383"/>
      <c r="DLH166" s="383"/>
      <c r="DLI166" s="383"/>
      <c r="DLJ166" s="383"/>
      <c r="DLK166" s="383"/>
      <c r="DLL166" s="383"/>
      <c r="DLM166" s="383"/>
      <c r="DLN166" s="383"/>
      <c r="DLO166" s="383"/>
      <c r="DLP166" s="383"/>
      <c r="DLQ166" s="383"/>
      <c r="DLR166" s="383"/>
      <c r="DLS166" s="383"/>
      <c r="DLT166" s="383"/>
      <c r="DLU166" s="383"/>
      <c r="DLV166" s="383"/>
      <c r="DLW166" s="383"/>
      <c r="DLX166" s="383"/>
      <c r="DLY166" s="383"/>
      <c r="DLZ166" s="383"/>
      <c r="DMA166" s="383"/>
      <c r="DMB166" s="383"/>
      <c r="DMC166" s="383"/>
      <c r="DMD166" s="383"/>
      <c r="DME166" s="383"/>
      <c r="DMF166" s="383"/>
      <c r="DMG166" s="383"/>
      <c r="DMH166" s="383"/>
      <c r="DMI166" s="383"/>
      <c r="DMJ166" s="383"/>
      <c r="DMK166" s="383"/>
      <c r="DML166" s="383"/>
      <c r="DMM166" s="383"/>
      <c r="DMN166" s="383"/>
      <c r="DMO166" s="383"/>
      <c r="DMP166" s="383"/>
      <c r="DMQ166" s="383"/>
      <c r="DMR166" s="383"/>
      <c r="DMS166" s="383"/>
      <c r="DMT166" s="383"/>
      <c r="DMU166" s="383"/>
      <c r="DMV166" s="383"/>
      <c r="DMW166" s="383"/>
      <c r="DMX166" s="383"/>
      <c r="DMY166" s="383"/>
      <c r="DMZ166" s="383"/>
      <c r="DNA166" s="383"/>
      <c r="DNB166" s="383"/>
      <c r="DNC166" s="383"/>
      <c r="DND166" s="383"/>
      <c r="DNE166" s="383"/>
      <c r="DNF166" s="383"/>
      <c r="DNG166" s="383"/>
      <c r="DNH166" s="383"/>
      <c r="DNI166" s="383"/>
      <c r="DNJ166" s="383"/>
      <c r="DNK166" s="383"/>
      <c r="DNL166" s="383"/>
      <c r="DNM166" s="383"/>
      <c r="DNN166" s="383"/>
      <c r="DNO166" s="383"/>
      <c r="DNP166" s="383"/>
      <c r="DNQ166" s="383"/>
      <c r="DNR166" s="383"/>
      <c r="DNS166" s="383"/>
      <c r="DNT166" s="383"/>
      <c r="DNU166" s="383"/>
      <c r="DNV166" s="383"/>
      <c r="DNW166" s="383"/>
      <c r="DNX166" s="383"/>
      <c r="DNY166" s="383"/>
      <c r="DNZ166" s="383"/>
      <c r="DOA166" s="383"/>
      <c r="DOB166" s="383"/>
      <c r="DOC166" s="383"/>
      <c r="DOD166" s="383"/>
      <c r="DOE166" s="383"/>
      <c r="DOF166" s="383"/>
      <c r="DOG166" s="383"/>
      <c r="DOH166" s="383"/>
      <c r="DOI166" s="383"/>
      <c r="DOJ166" s="383"/>
      <c r="DOK166" s="383"/>
      <c r="DOL166" s="383"/>
      <c r="DOM166" s="383"/>
      <c r="DON166" s="383"/>
      <c r="DOO166" s="383"/>
      <c r="DOP166" s="383"/>
      <c r="DOQ166" s="383"/>
      <c r="DOR166" s="383"/>
      <c r="DOS166" s="383"/>
      <c r="DOT166" s="383"/>
      <c r="DOU166" s="383"/>
      <c r="DOV166" s="383"/>
      <c r="DOW166" s="383"/>
      <c r="DOX166" s="383"/>
      <c r="DOY166" s="383"/>
      <c r="DOZ166" s="383"/>
      <c r="DPA166" s="383"/>
      <c r="DPB166" s="383"/>
      <c r="DPC166" s="383"/>
      <c r="DPD166" s="383"/>
      <c r="DPE166" s="383"/>
      <c r="DPF166" s="383"/>
      <c r="DPG166" s="383"/>
      <c r="DPH166" s="383"/>
      <c r="DPI166" s="383"/>
      <c r="DPJ166" s="383"/>
      <c r="DPK166" s="383"/>
      <c r="DPL166" s="383"/>
      <c r="DPM166" s="383"/>
      <c r="DPN166" s="383"/>
      <c r="DPO166" s="383"/>
      <c r="DPP166" s="383"/>
      <c r="DPQ166" s="383"/>
      <c r="DPR166" s="383"/>
      <c r="DPS166" s="383"/>
      <c r="DPT166" s="383"/>
      <c r="DPU166" s="383"/>
      <c r="DPV166" s="383"/>
      <c r="DPW166" s="383"/>
      <c r="DPX166" s="383"/>
      <c r="DPY166" s="383"/>
      <c r="DPZ166" s="383"/>
      <c r="DQA166" s="383"/>
      <c r="DQB166" s="383"/>
      <c r="DQC166" s="383"/>
      <c r="DQD166" s="383"/>
      <c r="DQE166" s="383"/>
      <c r="DQF166" s="383"/>
      <c r="DQG166" s="383"/>
      <c r="DQH166" s="383"/>
      <c r="DQI166" s="383"/>
      <c r="DQJ166" s="383"/>
      <c r="DQK166" s="383"/>
      <c r="DQL166" s="383"/>
      <c r="DQM166" s="383"/>
      <c r="DQN166" s="383"/>
      <c r="DQO166" s="383"/>
      <c r="DQP166" s="383"/>
      <c r="DQQ166" s="383"/>
      <c r="DQR166" s="383"/>
      <c r="DQS166" s="383"/>
      <c r="DQT166" s="383"/>
      <c r="DQU166" s="383"/>
      <c r="DQV166" s="383"/>
      <c r="DQW166" s="383"/>
      <c r="DQX166" s="383"/>
      <c r="DQY166" s="383"/>
      <c r="DQZ166" s="383"/>
      <c r="DRA166" s="383"/>
      <c r="DRB166" s="383"/>
      <c r="DRC166" s="383"/>
      <c r="DRD166" s="383"/>
      <c r="DRE166" s="383"/>
      <c r="DRF166" s="383"/>
      <c r="DRG166" s="383"/>
      <c r="DRH166" s="383"/>
      <c r="DRI166" s="383"/>
      <c r="DRJ166" s="383"/>
      <c r="DRK166" s="383"/>
      <c r="DRL166" s="383"/>
      <c r="DRM166" s="383"/>
    </row>
    <row r="167" spans="1:3185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3185" ht="30" customHeight="1">
      <c r="A168" s="387"/>
      <c r="B168" s="388"/>
      <c r="C168" s="389"/>
      <c r="D168" s="390"/>
      <c r="E168" s="391"/>
      <c r="F168" s="421"/>
      <c r="G168" s="396"/>
      <c r="H168" s="392"/>
      <c r="I168" s="422"/>
      <c r="J168" s="394"/>
      <c r="K168" s="411"/>
    </row>
    <row r="169" spans="1:3185" ht="30" customHeight="1">
      <c r="A169" s="387"/>
      <c r="B169" s="388"/>
      <c r="C169" s="389"/>
      <c r="D169" s="390"/>
      <c r="E169" s="391"/>
      <c r="F169" s="421"/>
      <c r="G169" s="399"/>
      <c r="H169" s="389"/>
      <c r="I169" s="422"/>
      <c r="J169" s="394"/>
      <c r="K169" s="411"/>
    </row>
    <row r="170" spans="1:3185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3185" ht="30" customHeight="1">
      <c r="A171" s="387"/>
      <c r="B171" s="388"/>
      <c r="C171" s="389"/>
      <c r="D171" s="390"/>
      <c r="E171" s="391"/>
      <c r="F171" s="421"/>
      <c r="G171" s="396"/>
      <c r="H171" s="392"/>
      <c r="I171" s="422"/>
      <c r="J171" s="394"/>
      <c r="K171" s="411"/>
    </row>
    <row r="172" spans="1:3185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3185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3185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3185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3185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401"/>
      <c r="E183" s="391"/>
      <c r="F183" s="422"/>
      <c r="G183" s="416"/>
      <c r="H183" s="392"/>
      <c r="I183" s="422"/>
      <c r="J183" s="397"/>
      <c r="K183" s="411"/>
      <c r="L183" s="406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399"/>
      <c r="H185" s="406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390"/>
      <c r="E187" s="391"/>
      <c r="F187" s="421"/>
      <c r="G187" s="396"/>
      <c r="H187" s="392"/>
      <c r="I187" s="422"/>
      <c r="J187" s="394"/>
      <c r="K187" s="411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2"/>
    </row>
    <row r="189" spans="1:12" ht="30" customHeight="1">
      <c r="A189" s="387"/>
      <c r="B189" s="388"/>
      <c r="C189" s="389"/>
      <c r="D189" s="390"/>
      <c r="E189" s="391"/>
      <c r="F189" s="421"/>
      <c r="G189" s="399"/>
      <c r="H189" s="392"/>
      <c r="I189" s="422"/>
      <c r="J189" s="394"/>
      <c r="K189" s="412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3"/>
    </row>
    <row r="191" spans="1:12" ht="30" customHeight="1">
      <c r="A191" s="387"/>
      <c r="B191" s="388"/>
      <c r="C191" s="389"/>
      <c r="D191" s="390"/>
      <c r="E191" s="391"/>
      <c r="F191" s="421"/>
      <c r="G191" s="396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2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3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1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1"/>
      <c r="L196" s="406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7"/>
      <c r="K197" s="411"/>
      <c r="L197" s="406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2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4"/>
      <c r="K199" s="411"/>
      <c r="L199" s="406"/>
      <c r="N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7"/>
      <c r="K200" s="411"/>
      <c r="L200" s="406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7"/>
      <c r="K201" s="411"/>
      <c r="L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4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7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4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9"/>
      <c r="H208" s="392"/>
      <c r="I208" s="422"/>
      <c r="J208" s="394"/>
      <c r="K208" s="412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4"/>
      <c r="K209" s="411"/>
    </row>
    <row r="210" spans="1:13" ht="30" customHeight="1">
      <c r="A210" s="387"/>
      <c r="B210" s="388"/>
      <c r="C210" s="389"/>
      <c r="D210" s="390"/>
      <c r="E210" s="391"/>
      <c r="F210" s="421"/>
      <c r="G210" s="396"/>
      <c r="H210" s="392"/>
      <c r="I210" s="422"/>
      <c r="J210" s="397"/>
      <c r="K210" s="411"/>
      <c r="L210" s="406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4"/>
      <c r="L211" s="406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1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4"/>
      <c r="K214" s="414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7"/>
      <c r="K215" s="411"/>
      <c r="L215" s="406"/>
    </row>
    <row r="216" spans="1:13" ht="30" customHeight="1">
      <c r="A216" s="387"/>
      <c r="B216" s="400"/>
      <c r="C216" s="387"/>
      <c r="D216" s="401"/>
      <c r="E216" s="391"/>
      <c r="F216" s="422"/>
      <c r="G216" s="399"/>
      <c r="H216" s="390"/>
      <c r="I216" s="422"/>
      <c r="J216" s="394"/>
      <c r="K216" s="412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388"/>
      <c r="C218" s="389"/>
      <c r="D218" s="390"/>
      <c r="E218" s="391"/>
      <c r="F218" s="421"/>
      <c r="G218" s="396"/>
      <c r="H218" s="392"/>
      <c r="I218" s="422"/>
      <c r="J218" s="394"/>
      <c r="K218" s="414"/>
      <c r="L218" s="406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  <c r="M219" s="406"/>
    </row>
    <row r="220" spans="1:13" ht="30" customHeight="1">
      <c r="A220" s="387"/>
      <c r="B220" s="388"/>
      <c r="C220" s="389"/>
      <c r="D220" s="390"/>
      <c r="E220" s="391"/>
      <c r="F220" s="421"/>
      <c r="G220" s="417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417"/>
      <c r="H221" s="392"/>
      <c r="I221" s="422"/>
      <c r="J221" s="394"/>
      <c r="K221" s="411"/>
      <c r="L221" s="406"/>
    </row>
    <row r="222" spans="1:13" ht="30" customHeight="1">
      <c r="A222" s="387"/>
      <c r="B222" s="388"/>
      <c r="C222" s="389"/>
      <c r="D222" s="390"/>
      <c r="E222" s="391"/>
      <c r="F222" s="421"/>
      <c r="G222" s="396"/>
      <c r="H222" s="392"/>
      <c r="I222" s="422"/>
      <c r="J222" s="394"/>
      <c r="K222" s="411"/>
    </row>
    <row r="223" spans="1:13" ht="30" customHeight="1">
      <c r="A223" s="387"/>
      <c r="B223" s="388"/>
      <c r="C223" s="389"/>
      <c r="D223" s="390"/>
      <c r="E223" s="391"/>
      <c r="F223" s="421"/>
      <c r="G223" s="396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4"/>
      <c r="L224" s="406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4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7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1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2"/>
      <c r="I228" s="422"/>
      <c r="J228" s="397"/>
      <c r="K228" s="411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7"/>
      <c r="K229" s="411"/>
      <c r="L229" s="406"/>
    </row>
    <row r="230" spans="1:12" ht="30" customHeight="1">
      <c r="A230" s="387"/>
      <c r="B230" s="400"/>
      <c r="C230" s="387"/>
      <c r="D230" s="401"/>
      <c r="E230" s="391"/>
      <c r="F230" s="422"/>
      <c r="G230" s="418"/>
      <c r="H230" s="392"/>
      <c r="I230" s="422"/>
      <c r="J230" s="394"/>
      <c r="K230" s="412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388"/>
      <c r="C232" s="389"/>
      <c r="D232" s="390"/>
      <c r="E232" s="391"/>
      <c r="F232" s="421"/>
      <c r="G232" s="396"/>
      <c r="H232" s="392"/>
      <c r="I232" s="422"/>
      <c r="J232" s="397"/>
      <c r="K232" s="411"/>
      <c r="L232" s="406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4"/>
      <c r="K233" s="414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7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4"/>
      <c r="K236" s="414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2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7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1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2"/>
      <c r="I242" s="422"/>
      <c r="J242" s="394"/>
      <c r="K242" s="411"/>
    </row>
    <row r="243" spans="1:24" ht="30" customHeight="1">
      <c r="A243" s="387"/>
      <c r="B243" s="400"/>
      <c r="C243" s="389"/>
      <c r="D243" s="401"/>
      <c r="E243" s="391"/>
      <c r="F243" s="422"/>
      <c r="G243" s="415"/>
      <c r="H243" s="394"/>
      <c r="I243" s="422"/>
      <c r="J243" s="394"/>
      <c r="K243" s="414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7"/>
      <c r="I244" s="422"/>
      <c r="J244" s="394"/>
      <c r="K244" s="414"/>
      <c r="L244" s="406"/>
    </row>
    <row r="245" spans="1:24" ht="30" customHeight="1">
      <c r="A245" s="387"/>
      <c r="B245" s="388"/>
      <c r="C245" s="389"/>
      <c r="D245" s="390"/>
      <c r="E245" s="391"/>
      <c r="F245" s="421"/>
      <c r="G245" s="396"/>
      <c r="H245" s="397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9"/>
      <c r="H246" s="397"/>
      <c r="I246" s="422"/>
      <c r="J246" s="394"/>
      <c r="K246" s="411"/>
      <c r="L246" s="406"/>
    </row>
    <row r="247" spans="1:24" ht="30" customHeight="1">
      <c r="A247" s="387"/>
      <c r="B247" s="400"/>
      <c r="C247" s="389"/>
      <c r="D247" s="401"/>
      <c r="E247" s="391"/>
      <c r="F247" s="422"/>
      <c r="G247" s="415"/>
      <c r="H247" s="392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6"/>
      <c r="H248" s="397"/>
      <c r="I248" s="422"/>
      <c r="J248" s="394"/>
      <c r="K248" s="414"/>
      <c r="L248" s="406"/>
      <c r="X248" s="400" t="s">
        <v>462</v>
      </c>
    </row>
    <row r="249" spans="1:24" ht="30" customHeight="1">
      <c r="A249" s="387"/>
      <c r="B249" s="388"/>
      <c r="C249" s="389"/>
      <c r="D249" s="390"/>
      <c r="E249" s="391"/>
      <c r="F249" s="421"/>
      <c r="G249" s="396"/>
      <c r="H249" s="397"/>
      <c r="I249" s="422"/>
      <c r="J249" s="394"/>
      <c r="K249" s="414"/>
      <c r="L249" s="406"/>
      <c r="X249" s="400" t="s">
        <v>463</v>
      </c>
    </row>
    <row r="250" spans="1:24" ht="30" customHeight="1">
      <c r="A250" s="387"/>
      <c r="B250" s="388"/>
      <c r="C250" s="389"/>
      <c r="D250" s="401"/>
      <c r="E250" s="391"/>
      <c r="F250" s="422"/>
      <c r="G250" s="396"/>
      <c r="H250" s="394"/>
      <c r="I250" s="422"/>
      <c r="J250" s="394"/>
      <c r="K250" s="414"/>
      <c r="L250" s="406"/>
      <c r="X250" s="400" t="s">
        <v>464</v>
      </c>
    </row>
    <row r="251" spans="1:24" ht="30" customHeight="1">
      <c r="A251" s="387"/>
      <c r="B251" s="388"/>
      <c r="C251" s="389"/>
      <c r="D251" s="401"/>
      <c r="E251" s="391"/>
      <c r="F251" s="422"/>
      <c r="G251" s="419"/>
      <c r="H251" s="403"/>
      <c r="I251" s="422"/>
      <c r="J251" s="394"/>
      <c r="K251" s="414"/>
      <c r="L251" s="406"/>
      <c r="X251" s="400"/>
    </row>
    <row r="252" spans="1:24" ht="30" customHeight="1">
      <c r="A252" s="387"/>
      <c r="B252" s="388"/>
      <c r="C252" s="389"/>
      <c r="D252" s="390"/>
      <c r="E252" s="391"/>
      <c r="F252" s="421"/>
      <c r="G252" s="396"/>
      <c r="H252" s="392"/>
      <c r="I252" s="422"/>
      <c r="J252" s="394"/>
      <c r="K252" s="414"/>
      <c r="L252" s="406"/>
      <c r="X252" s="400"/>
    </row>
    <row r="253" spans="1:24" ht="30" customHeight="1">
      <c r="A253" s="387"/>
      <c r="B253" s="388"/>
      <c r="C253" s="389"/>
      <c r="D253" s="390"/>
      <c r="E253" s="391"/>
      <c r="F253" s="421"/>
      <c r="G253" s="396"/>
      <c r="H253" s="397"/>
      <c r="I253" s="422"/>
      <c r="J253" s="394"/>
      <c r="K253" s="414"/>
      <c r="L253" s="406"/>
      <c r="X253" s="400" t="s">
        <v>418</v>
      </c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7"/>
      <c r="K254" s="411"/>
      <c r="L254" s="406"/>
      <c r="X254" s="400" t="s">
        <v>174</v>
      </c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  <c r="X255" s="400" t="s">
        <v>178</v>
      </c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179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2"/>
      <c r="I257" s="422"/>
      <c r="J257" s="394"/>
      <c r="K257" s="411"/>
      <c r="L257" s="406"/>
      <c r="X257" s="400" t="s">
        <v>176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7"/>
      <c r="I258" s="422"/>
      <c r="J258" s="394"/>
      <c r="K258" s="414"/>
      <c r="L258" s="406"/>
      <c r="X258" s="400"/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7"/>
      <c r="I259" s="422"/>
      <c r="J259" s="394"/>
      <c r="K259" s="414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/>
    </row>
    <row r="262" spans="1:24" ht="30" customHeight="1">
      <c r="A262" s="387"/>
      <c r="B262" s="400"/>
      <c r="C262" s="389"/>
      <c r="D262" s="401"/>
      <c r="E262" s="391"/>
      <c r="F262" s="422"/>
      <c r="G262" s="418"/>
      <c r="H262" s="392"/>
      <c r="I262" s="422"/>
      <c r="J262" s="394"/>
      <c r="K262" s="414"/>
      <c r="L262" s="406"/>
      <c r="X262" s="400"/>
    </row>
    <row r="263" spans="1:24" ht="30" customHeight="1">
      <c r="A263" s="387"/>
      <c r="B263" s="388"/>
      <c r="C263" s="389"/>
      <c r="D263" s="401"/>
      <c r="E263" s="391"/>
      <c r="F263" s="422"/>
      <c r="G263" s="396"/>
      <c r="H263" s="394"/>
      <c r="I263" s="422"/>
      <c r="J263" s="394"/>
      <c r="K263" s="411"/>
      <c r="L263" s="406"/>
      <c r="X263" s="400"/>
    </row>
    <row r="264" spans="1:24" ht="30" customHeight="1">
      <c r="A264" s="387"/>
      <c r="B264" s="400"/>
      <c r="C264" s="389"/>
      <c r="D264" s="401"/>
      <c r="E264" s="391"/>
      <c r="F264" s="422"/>
      <c r="G264" s="415"/>
      <c r="H264" s="392"/>
      <c r="I264" s="422"/>
      <c r="J264" s="394"/>
      <c r="K264" s="414"/>
      <c r="L264" s="406"/>
      <c r="X264" s="400"/>
    </row>
    <row r="265" spans="1:24" ht="30" customHeight="1">
      <c r="A265" s="387"/>
      <c r="B265" s="388"/>
      <c r="C265" s="389"/>
      <c r="D265" s="401"/>
      <c r="E265" s="391"/>
      <c r="F265" s="422"/>
      <c r="G265" s="416"/>
      <c r="H265" s="392"/>
      <c r="I265" s="422"/>
      <c r="J265" s="394"/>
      <c r="K265" s="414"/>
      <c r="L265" s="406"/>
      <c r="X265" s="400"/>
    </row>
    <row r="266" spans="1:24" ht="30" customHeight="1">
      <c r="A266" s="387"/>
      <c r="B266" s="388"/>
      <c r="C266" s="389"/>
      <c r="D266" s="401"/>
      <c r="E266" s="391"/>
      <c r="F266" s="422"/>
      <c r="G266" s="396"/>
      <c r="H266" s="397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396"/>
      <c r="H267" s="394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4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9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7"/>
      <c r="I271" s="422"/>
      <c r="J271" s="394"/>
      <c r="K271" s="414"/>
      <c r="L271" s="406"/>
      <c r="X271" s="400"/>
    </row>
    <row r="272" spans="1:24" ht="30" customHeight="1">
      <c r="A272" s="387"/>
      <c r="B272" s="388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389"/>
      <c r="E274" s="391"/>
      <c r="F274" s="422"/>
      <c r="G274" s="416"/>
      <c r="H274" s="392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389"/>
      <c r="E275" s="391"/>
      <c r="F275" s="422"/>
      <c r="G275" s="416"/>
      <c r="H275" s="392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396"/>
      <c r="H277" s="397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396"/>
      <c r="H278" s="397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416"/>
      <c r="H279" s="410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416"/>
      <c r="H280" s="392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396"/>
      <c r="H281" s="392"/>
      <c r="I281" s="422"/>
      <c r="J281" s="394"/>
      <c r="K281" s="414"/>
      <c r="L281" s="406"/>
      <c r="X281" s="400"/>
    </row>
    <row r="282" spans="1:24" ht="30" customHeight="1">
      <c r="A282" s="387"/>
      <c r="B282" s="400"/>
      <c r="C282" s="389"/>
      <c r="D282" s="389"/>
      <c r="E282" s="391"/>
      <c r="F282" s="422"/>
      <c r="G282" s="415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41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388"/>
      <c r="C284" s="389"/>
      <c r="D284" s="389"/>
      <c r="E284" s="391"/>
      <c r="F284" s="422"/>
      <c r="G284" s="416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400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404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4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0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0"/>
      <c r="C293" s="389"/>
      <c r="D293" s="389"/>
      <c r="E293" s="405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405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391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391"/>
      <c r="F296" s="422"/>
      <c r="G296" s="416"/>
      <c r="H296" s="392"/>
      <c r="I296" s="422"/>
      <c r="J296" s="394"/>
      <c r="K296" s="414"/>
      <c r="L296" s="406"/>
    </row>
    <row r="297" spans="1:24" ht="30" customHeight="1">
      <c r="A297" s="387"/>
      <c r="B297" s="400"/>
      <c r="C297" s="389"/>
      <c r="D297" s="389"/>
      <c r="E297" s="405"/>
      <c r="F297" s="422"/>
      <c r="G297" s="418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405"/>
      <c r="F298" s="422"/>
      <c r="G298" s="418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6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6"/>
      <c r="H300" s="410"/>
      <c r="I300" s="410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410"/>
      <c r="I301" s="410"/>
      <c r="J301" s="394"/>
      <c r="K301" s="414"/>
      <c r="L301" s="406"/>
      <c r="X301" s="400"/>
    </row>
    <row r="302" spans="1:24">
      <c r="B302" s="400"/>
      <c r="C302" s="389"/>
      <c r="F302" s="422"/>
      <c r="G302" s="418"/>
      <c r="H302" s="392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392"/>
      <c r="I303" s="422"/>
      <c r="J303" s="394"/>
      <c r="K303" s="414"/>
      <c r="L303" s="406"/>
    </row>
    <row r="304" spans="1:24" ht="30" customHeight="1">
      <c r="A304" s="387"/>
      <c r="B304" s="400"/>
      <c r="C304" s="389"/>
      <c r="D304" s="389"/>
      <c r="E304" s="405"/>
      <c r="F304" s="422"/>
      <c r="G304" s="418"/>
      <c r="H304" s="392"/>
      <c r="I304" s="422"/>
      <c r="J304" s="394"/>
      <c r="K304" s="414"/>
      <c r="L304" s="406"/>
    </row>
    <row r="305" spans="1:12" ht="30" customHeight="1">
      <c r="A305" s="387"/>
      <c r="B305" s="400"/>
      <c r="C305" s="389"/>
      <c r="D305" s="389"/>
      <c r="E305" s="405"/>
      <c r="F305" s="422"/>
      <c r="G305" s="418"/>
      <c r="H305" s="392"/>
      <c r="I305" s="422"/>
      <c r="J305" s="394"/>
      <c r="K305" s="414"/>
      <c r="L305" s="406"/>
    </row>
    <row r="306" spans="1:12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</row>
    <row r="307" spans="1:12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</row>
    <row r="308" spans="1:12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</row>
    <row r="325" spans="2:2">
      <c r="B325" s="429"/>
    </row>
    <row r="326" spans="2:2">
      <c r="B326" s="429"/>
    </row>
    <row r="327" spans="2:2">
      <c r="B327" s="429"/>
    </row>
    <row r="328" spans="2:2">
      <c r="B328" s="429"/>
    </row>
    <row r="329" spans="2:2">
      <c r="B329" s="429"/>
    </row>
    <row r="330" spans="2:2">
      <c r="B330" s="429"/>
    </row>
    <row r="331" spans="2:2">
      <c r="B331" s="429"/>
    </row>
    <row r="332" spans="2:2">
      <c r="B332" s="429"/>
    </row>
    <row r="333" spans="2:2">
      <c r="B333" s="429"/>
    </row>
    <row r="334" spans="2:2">
      <c r="B334" s="429"/>
    </row>
    <row r="335" spans="2:2">
      <c r="B335" s="429"/>
    </row>
  </sheetData>
  <autoFilter ref="A2:N308" xr:uid="{2186F83F-367B-471C-AEB0-65139BA78454}"/>
  <mergeCells count="1">
    <mergeCell ref="A1:M1"/>
  </mergeCells>
  <phoneticPr fontId="80" type="noConversion"/>
  <conditionalFormatting sqref="B101:B263 B3:B98">
    <cfRule type="duplicateValues" dxfId="204" priority="994"/>
  </conditionalFormatting>
  <conditionalFormatting sqref="B152:B301">
    <cfRule type="duplicateValues" dxfId="203" priority="720"/>
  </conditionalFormatting>
  <conditionalFormatting sqref="B264:B269 B271:B301">
    <cfRule type="duplicateValues" dxfId="202" priority="722"/>
  </conditionalFormatting>
  <conditionalFormatting sqref="B271:B301 B101:B269 B3:B98">
    <cfRule type="duplicateValues" dxfId="201" priority="998"/>
  </conditionalFormatting>
  <conditionalFormatting sqref="B271:B1048576 B101:B269 B2:B98">
    <cfRule type="duplicateValues" dxfId="200" priority="1003"/>
  </conditionalFormatting>
  <conditionalFormatting sqref="B302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3:B308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6"/>
    <cfRule type="duplicateValues" dxfId="187" priority="17"/>
    <cfRule type="duplicateValues" dxfId="186" priority="18"/>
  </conditionalFormatting>
  <conditionalFormatting sqref="B309:B319">
    <cfRule type="duplicateValues" dxfId="185" priority="431"/>
    <cfRule type="duplicateValues" dxfId="184" priority="432"/>
    <cfRule type="duplicateValues" dxfId="183" priority="433"/>
    <cfRule type="duplicateValues" dxfId="182" priority="434"/>
    <cfRule type="duplicateValues" dxfId="181" priority="435"/>
  </conditionalFormatting>
  <conditionalFormatting sqref="B336:B1048576 B271:B301 B101:B269 B2:B98">
    <cfRule type="duplicateValues" dxfId="180" priority="1008"/>
    <cfRule type="duplicateValues" dxfId="179" priority="1013"/>
    <cfRule type="duplicateValues" dxfId="178" priority="1009"/>
    <cfRule type="duplicateValues" dxfId="177" priority="1010"/>
    <cfRule type="duplicateValues" dxfId="176" priority="1011"/>
    <cfRule type="duplicateValues" dxfId="175" priority="1012"/>
  </conditionalFormatting>
  <conditionalFormatting sqref="X248:X257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58:X295">
    <cfRule type="duplicateValues" dxfId="169" priority="743"/>
    <cfRule type="duplicateValues" dxfId="168" priority="744"/>
    <cfRule type="duplicateValues" dxfId="167" priority="745"/>
    <cfRule type="duplicateValues" dxfId="166" priority="747"/>
    <cfRule type="duplicateValues" dxfId="165" priority="746"/>
  </conditionalFormatting>
  <conditionalFormatting sqref="X297:X302">
    <cfRule type="duplicateValues" dxfId="164" priority="23"/>
    <cfRule type="duplicateValues" dxfId="163" priority="22"/>
    <cfRule type="duplicateValues" dxfId="162" priority="21"/>
    <cfRule type="duplicateValues" dxfId="161" priority="20"/>
    <cfRule type="duplicateValues" dxfId="160" priority="19"/>
  </conditionalFormatting>
  <pageMargins left="0.25" right="0.25" top="0.75" bottom="0.75" header="0.3" footer="0.3"/>
  <pageSetup paperSize="9" scale="52" fitToHeight="0" orientation="portrait" r:id="rId1"/>
  <rowBreaks count="1" manualBreakCount="1">
    <brk id="41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9" zoomScale="55" zoomScaleNormal="55" zoomScaleSheetLayoutView="72" workbookViewId="0">
      <selection activeCell="F54" sqref="F54"/>
    </sheetView>
  </sheetViews>
  <sheetFormatPr defaultColWidth="8.81640625" defaultRowHeight="15.5"/>
  <cols>
    <col min="1" max="1" width="8.81640625" style="249"/>
    <col min="2" max="2" width="9.54296875" style="249" customWidth="1"/>
    <col min="3" max="3" width="12.453125" style="249" customWidth="1"/>
    <col min="4" max="4" width="14.453125" style="249" bestFit="1" customWidth="1"/>
    <col min="5" max="5" width="12.54296875" style="249" customWidth="1"/>
    <col min="6" max="6" width="21" style="249" bestFit="1" customWidth="1"/>
    <col min="7" max="7" width="17.453125" style="113" customWidth="1"/>
    <col min="8" max="9" width="29.7265625" style="249" customWidth="1"/>
    <col min="10" max="10" width="20.453125" style="249" customWidth="1"/>
    <col min="11" max="11" width="16.453125" style="249" customWidth="1"/>
    <col min="12" max="12" width="15.1796875" style="249" bestFit="1" customWidth="1"/>
    <col min="13" max="13" width="14.81640625" style="249" customWidth="1"/>
    <col min="14" max="14" width="16.453125" style="249" customWidth="1"/>
    <col min="15" max="15" width="21.54296875" style="249" customWidth="1"/>
    <col min="16" max="16" width="23.453125" style="249" customWidth="1"/>
    <col min="17" max="16384" width="8.81640625" style="249"/>
  </cols>
  <sheetData>
    <row r="1" spans="1:16" ht="16" thickBot="1"/>
    <row r="2" spans="1:16" ht="38.15" customHeight="1">
      <c r="A2" s="692" t="s">
        <v>465</v>
      </c>
      <c r="B2" s="693"/>
      <c r="C2" s="693"/>
      <c r="D2" s="693"/>
      <c r="E2" s="693"/>
      <c r="F2" s="693"/>
      <c r="G2" s="693"/>
      <c r="H2" s="693"/>
      <c r="I2" s="693"/>
      <c r="J2" s="693"/>
      <c r="K2" s="693"/>
      <c r="L2" s="693"/>
      <c r="M2" s="693"/>
      <c r="N2" s="693"/>
      <c r="O2" s="693"/>
      <c r="P2" s="430">
        <f>FDN!N1</f>
        <v>46243</v>
      </c>
    </row>
    <row r="3" spans="1:16" ht="31">
      <c r="A3" s="431" t="s">
        <v>244</v>
      </c>
      <c r="B3" s="432" t="s">
        <v>466</v>
      </c>
      <c r="C3" s="432" t="s">
        <v>467</v>
      </c>
      <c r="D3" s="433" t="s">
        <v>341</v>
      </c>
      <c r="E3" s="432" t="s">
        <v>468</v>
      </c>
      <c r="F3" s="432" t="s">
        <v>262</v>
      </c>
      <c r="G3" s="433" t="s">
        <v>344</v>
      </c>
      <c r="H3" s="434" t="s">
        <v>469</v>
      </c>
      <c r="I3" s="434" t="s">
        <v>1078</v>
      </c>
      <c r="J3" s="435" t="s">
        <v>470</v>
      </c>
      <c r="K3" s="435" t="s">
        <v>471</v>
      </c>
      <c r="L3" s="435" t="s">
        <v>33</v>
      </c>
      <c r="M3" s="432" t="s">
        <v>472</v>
      </c>
      <c r="N3" s="432" t="s">
        <v>473</v>
      </c>
      <c r="O3" s="432" t="s">
        <v>474</v>
      </c>
      <c r="P3" s="436" t="s">
        <v>475</v>
      </c>
    </row>
    <row r="4" spans="1:16" ht="25.15" customHeight="1">
      <c r="A4" s="437">
        <v>1</v>
      </c>
      <c r="B4" s="438" t="s">
        <v>176</v>
      </c>
      <c r="C4" s="438" t="s">
        <v>350</v>
      </c>
      <c r="D4" s="438">
        <v>46023</v>
      </c>
      <c r="E4" s="439">
        <v>37.729999999999997</v>
      </c>
      <c r="F4" s="440" t="s">
        <v>38</v>
      </c>
      <c r="G4" s="438">
        <v>46029</v>
      </c>
      <c r="H4" s="441" t="s">
        <v>476</v>
      </c>
      <c r="I4" s="441" t="s">
        <v>1079</v>
      </c>
      <c r="J4" s="442"/>
      <c r="K4" s="443"/>
      <c r="L4" s="444"/>
      <c r="M4" s="444"/>
      <c r="N4" s="444"/>
      <c r="O4" s="440"/>
      <c r="P4" s="618"/>
    </row>
    <row r="5" spans="1:16" ht="25.15" customHeight="1">
      <c r="A5" s="437">
        <v>2</v>
      </c>
      <c r="B5" s="438" t="s">
        <v>138</v>
      </c>
      <c r="C5" s="438" t="s">
        <v>357</v>
      </c>
      <c r="D5" s="438">
        <v>46027</v>
      </c>
      <c r="E5" s="445">
        <v>39.457999999999998</v>
      </c>
      <c r="F5" s="440" t="s">
        <v>38</v>
      </c>
      <c r="G5" s="438">
        <v>46034</v>
      </c>
      <c r="H5" s="444" t="s">
        <v>477</v>
      </c>
      <c r="I5" s="444"/>
      <c r="J5" s="440"/>
      <c r="K5" s="440"/>
      <c r="L5" s="440"/>
      <c r="M5" s="440"/>
      <c r="N5" s="440"/>
      <c r="O5" s="440"/>
      <c r="P5" s="440"/>
    </row>
    <row r="6" spans="1:16" ht="25.15" customHeight="1">
      <c r="A6" s="437">
        <v>3</v>
      </c>
      <c r="B6" s="438" t="s">
        <v>168</v>
      </c>
      <c r="C6" s="438" t="s">
        <v>300</v>
      </c>
      <c r="D6" s="438">
        <v>46030</v>
      </c>
      <c r="E6" s="439">
        <v>54.417999999999999</v>
      </c>
      <c r="F6" s="440" t="s">
        <v>38</v>
      </c>
      <c r="G6" s="438">
        <v>46035</v>
      </c>
      <c r="H6" s="441" t="s">
        <v>476</v>
      </c>
      <c r="I6" s="441" t="s">
        <v>1079</v>
      </c>
      <c r="J6" s="440"/>
      <c r="K6" s="440"/>
      <c r="L6" s="440"/>
      <c r="M6" s="440"/>
      <c r="N6" s="440"/>
      <c r="O6" s="440"/>
      <c r="P6" s="440"/>
    </row>
    <row r="7" spans="1:16" ht="25.15" customHeight="1">
      <c r="A7" s="437">
        <v>4</v>
      </c>
      <c r="B7" s="438" t="s">
        <v>136</v>
      </c>
      <c r="C7" s="438" t="s">
        <v>391</v>
      </c>
      <c r="D7" s="438">
        <v>46035</v>
      </c>
      <c r="E7" s="439">
        <v>63.509</v>
      </c>
      <c r="F7" s="440" t="s">
        <v>38</v>
      </c>
      <c r="G7" s="438">
        <v>46047</v>
      </c>
      <c r="H7" s="444" t="s">
        <v>477</v>
      </c>
      <c r="I7" s="444"/>
      <c r="J7" s="440"/>
      <c r="K7" s="440"/>
      <c r="L7" s="440"/>
      <c r="M7" s="440"/>
      <c r="N7" s="440"/>
      <c r="O7" s="440"/>
      <c r="P7" s="440"/>
    </row>
    <row r="8" spans="1:16" ht="25.15" customHeight="1">
      <c r="A8" s="437">
        <v>5</v>
      </c>
      <c r="B8" s="438" t="s">
        <v>382</v>
      </c>
      <c r="C8" s="438" t="s">
        <v>357</v>
      </c>
      <c r="D8" s="438">
        <v>46036</v>
      </c>
      <c r="E8" s="445">
        <v>39.457999999999998</v>
      </c>
      <c r="F8" s="440" t="s">
        <v>38</v>
      </c>
      <c r="G8" s="438">
        <v>46043</v>
      </c>
      <c r="H8" s="446" t="s">
        <v>476</v>
      </c>
      <c r="I8" s="446" t="s">
        <v>1079</v>
      </c>
      <c r="J8" s="440"/>
      <c r="K8" s="440"/>
      <c r="L8" s="440"/>
      <c r="M8" s="440"/>
      <c r="N8" s="440"/>
      <c r="O8" s="440"/>
      <c r="P8" s="440"/>
    </row>
    <row r="9" spans="1:16" ht="25.15" customHeight="1">
      <c r="A9" s="437">
        <v>6</v>
      </c>
      <c r="B9" s="442" t="s">
        <v>376</v>
      </c>
      <c r="C9" s="438" t="s">
        <v>357</v>
      </c>
      <c r="D9" s="438">
        <v>46038</v>
      </c>
      <c r="E9" s="445">
        <v>39.457999999999998</v>
      </c>
      <c r="F9" s="440" t="s">
        <v>38</v>
      </c>
      <c r="G9" s="438">
        <v>46051</v>
      </c>
      <c r="H9" s="446" t="s">
        <v>478</v>
      </c>
      <c r="I9" s="446"/>
      <c r="J9" s="442"/>
      <c r="K9" s="444"/>
      <c r="L9" s="444"/>
      <c r="M9" s="440" t="s">
        <v>38</v>
      </c>
      <c r="N9" s="503">
        <v>46090</v>
      </c>
      <c r="O9" s="503">
        <v>46090</v>
      </c>
      <c r="P9" s="444" t="s">
        <v>1077</v>
      </c>
    </row>
    <row r="10" spans="1:16" ht="25.15" customHeight="1">
      <c r="A10" s="437">
        <v>7</v>
      </c>
      <c r="B10" s="442" t="s">
        <v>407</v>
      </c>
      <c r="C10" s="438" t="s">
        <v>350</v>
      </c>
      <c r="D10" s="438">
        <v>46040</v>
      </c>
      <c r="E10" s="439">
        <v>37.729999999999997</v>
      </c>
      <c r="F10" s="440" t="s">
        <v>38</v>
      </c>
      <c r="G10" s="438">
        <v>46050</v>
      </c>
      <c r="H10" s="443" t="s">
        <v>477</v>
      </c>
      <c r="I10" s="443"/>
      <c r="J10" s="440"/>
      <c r="K10" s="440"/>
      <c r="L10" s="440"/>
      <c r="M10" s="440"/>
      <c r="N10" s="440"/>
      <c r="O10" s="503"/>
      <c r="P10" s="440"/>
    </row>
    <row r="11" spans="1:16" ht="25.15" customHeight="1">
      <c r="A11" s="437">
        <v>8</v>
      </c>
      <c r="B11" s="442" t="s">
        <v>388</v>
      </c>
      <c r="C11" s="438" t="s">
        <v>389</v>
      </c>
      <c r="D11" s="438">
        <v>46044</v>
      </c>
      <c r="E11" s="439">
        <v>65.757000000000005</v>
      </c>
      <c r="F11" s="440" t="s">
        <v>38</v>
      </c>
      <c r="G11" s="438">
        <v>46052</v>
      </c>
      <c r="H11" s="446" t="s">
        <v>476</v>
      </c>
      <c r="I11" s="441" t="s">
        <v>1079</v>
      </c>
      <c r="J11" s="440"/>
      <c r="K11" s="440"/>
      <c r="L11" s="440"/>
      <c r="M11" s="440" t="s">
        <v>38</v>
      </c>
      <c r="N11" s="503">
        <v>46091</v>
      </c>
      <c r="O11" s="503">
        <v>46091</v>
      </c>
      <c r="P11" s="444" t="s">
        <v>1077</v>
      </c>
    </row>
    <row r="12" spans="1:16" ht="25.15" customHeight="1">
      <c r="A12" s="437">
        <v>9</v>
      </c>
      <c r="B12" s="442" t="s">
        <v>178</v>
      </c>
      <c r="C12" s="438" t="s">
        <v>350</v>
      </c>
      <c r="D12" s="438">
        <v>46049</v>
      </c>
      <c r="E12" s="439">
        <v>37.729999999999997</v>
      </c>
      <c r="F12" s="440" t="s">
        <v>38</v>
      </c>
      <c r="G12" s="438">
        <v>46053</v>
      </c>
      <c r="H12" s="443" t="s">
        <v>477</v>
      </c>
      <c r="I12" s="443"/>
      <c r="J12" s="442"/>
      <c r="K12" s="444"/>
      <c r="L12" s="444"/>
      <c r="M12" s="444"/>
      <c r="N12" s="444"/>
      <c r="O12" s="440"/>
      <c r="P12" s="444"/>
    </row>
    <row r="13" spans="1:16" ht="25.15" customHeight="1">
      <c r="A13" s="437">
        <v>10</v>
      </c>
      <c r="B13" s="442" t="s">
        <v>392</v>
      </c>
      <c r="C13" s="438" t="s">
        <v>393</v>
      </c>
      <c r="D13" s="438">
        <v>46052</v>
      </c>
      <c r="E13" s="439">
        <v>65.757000000000005</v>
      </c>
      <c r="F13" s="440" t="s">
        <v>38</v>
      </c>
      <c r="G13" s="438">
        <v>46064</v>
      </c>
      <c r="H13" s="446" t="s">
        <v>478</v>
      </c>
      <c r="I13" s="441"/>
      <c r="J13" s="442"/>
      <c r="K13" s="444"/>
      <c r="L13" s="444"/>
      <c r="M13" s="444"/>
      <c r="N13" s="444"/>
      <c r="O13" s="444"/>
      <c r="P13" s="444"/>
    </row>
    <row r="14" spans="1:16" ht="25.15" customHeight="1">
      <c r="A14" s="437">
        <v>11</v>
      </c>
      <c r="B14" s="442" t="s">
        <v>372</v>
      </c>
      <c r="C14" s="438" t="s">
        <v>373</v>
      </c>
      <c r="D14" s="438">
        <v>46054</v>
      </c>
      <c r="E14" s="439">
        <v>64.254000000000005</v>
      </c>
      <c r="F14" s="440" t="s">
        <v>38</v>
      </c>
      <c r="G14" s="438">
        <v>46060</v>
      </c>
      <c r="H14" s="446" t="s">
        <v>476</v>
      </c>
      <c r="I14" s="446" t="s">
        <v>1079</v>
      </c>
      <c r="J14" s="440"/>
      <c r="K14" s="440"/>
      <c r="L14" s="440"/>
      <c r="M14" s="440"/>
      <c r="N14" s="440"/>
      <c r="O14" s="444"/>
      <c r="P14" s="440"/>
    </row>
    <row r="15" spans="1:16" ht="25.15" customHeight="1">
      <c r="A15" s="437">
        <v>12</v>
      </c>
      <c r="B15" s="442" t="s">
        <v>390</v>
      </c>
      <c r="C15" s="438" t="s">
        <v>350</v>
      </c>
      <c r="D15" s="438">
        <v>46061</v>
      </c>
      <c r="E15" s="439">
        <v>37.729999999999997</v>
      </c>
      <c r="F15" s="440" t="s">
        <v>38</v>
      </c>
      <c r="G15" s="438">
        <v>46066</v>
      </c>
      <c r="H15" s="446" t="s">
        <v>476</v>
      </c>
      <c r="I15" s="441" t="s">
        <v>1079</v>
      </c>
      <c r="J15" s="442"/>
      <c r="K15" s="444"/>
      <c r="L15" s="444"/>
      <c r="M15" s="444"/>
      <c r="N15" s="444"/>
      <c r="O15" s="503"/>
      <c r="P15" s="444"/>
    </row>
    <row r="16" spans="1:16" ht="25.15" customHeight="1">
      <c r="A16" s="437">
        <v>13</v>
      </c>
      <c r="B16" s="442" t="s">
        <v>180</v>
      </c>
      <c r="C16" s="438" t="s">
        <v>350</v>
      </c>
      <c r="D16" s="438">
        <v>46066</v>
      </c>
      <c r="E16" s="439">
        <v>37.729999999999997</v>
      </c>
      <c r="F16" s="440" t="s">
        <v>38</v>
      </c>
      <c r="G16" s="438">
        <v>46070</v>
      </c>
      <c r="H16" s="446" t="s">
        <v>476</v>
      </c>
      <c r="I16" s="441" t="s">
        <v>1079</v>
      </c>
      <c r="J16" s="442"/>
      <c r="K16" s="444"/>
      <c r="L16" s="444"/>
      <c r="M16" s="440" t="s">
        <v>38</v>
      </c>
      <c r="N16" s="503">
        <v>46155</v>
      </c>
      <c r="O16" s="503">
        <v>46155</v>
      </c>
      <c r="P16" s="444" t="s">
        <v>1077</v>
      </c>
    </row>
    <row r="17" spans="1:20" ht="25.15" customHeight="1">
      <c r="A17" s="437">
        <v>14</v>
      </c>
      <c r="B17" s="442" t="s">
        <v>400</v>
      </c>
      <c r="C17" s="438" t="s">
        <v>373</v>
      </c>
      <c r="D17" s="438">
        <v>46065</v>
      </c>
      <c r="E17" s="439">
        <v>64.254000000000005</v>
      </c>
      <c r="F17" s="440" t="s">
        <v>38</v>
      </c>
      <c r="G17" s="438">
        <v>46073</v>
      </c>
      <c r="H17" s="446" t="s">
        <v>478</v>
      </c>
      <c r="I17" s="446"/>
      <c r="J17" s="447"/>
      <c r="K17" s="440"/>
      <c r="L17" s="440"/>
      <c r="M17" s="440"/>
      <c r="N17" s="440"/>
      <c r="O17" s="440"/>
      <c r="P17" s="440"/>
    </row>
    <row r="18" spans="1:20" ht="25.15" customHeight="1">
      <c r="A18" s="437">
        <v>15</v>
      </c>
      <c r="B18" s="442" t="s">
        <v>385</v>
      </c>
      <c r="C18" s="438" t="s">
        <v>350</v>
      </c>
      <c r="D18" s="438">
        <v>46071</v>
      </c>
      <c r="E18" s="439">
        <v>37.729999999999997</v>
      </c>
      <c r="F18" s="440" t="s">
        <v>38</v>
      </c>
      <c r="G18" s="438">
        <v>46075</v>
      </c>
      <c r="H18" s="446" t="s">
        <v>476</v>
      </c>
      <c r="I18" s="441" t="s">
        <v>1079</v>
      </c>
      <c r="J18" s="442"/>
      <c r="K18" s="444"/>
      <c r="L18" s="444"/>
      <c r="M18" s="440" t="s">
        <v>38</v>
      </c>
      <c r="N18" s="503">
        <v>46155</v>
      </c>
      <c r="O18" s="503">
        <v>46155</v>
      </c>
      <c r="P18" s="444" t="s">
        <v>1077</v>
      </c>
    </row>
    <row r="19" spans="1:20" ht="25.15" customHeight="1">
      <c r="A19" s="437">
        <v>16</v>
      </c>
      <c r="B19" s="442" t="s">
        <v>423</v>
      </c>
      <c r="C19" s="438" t="s">
        <v>350</v>
      </c>
      <c r="D19" s="438">
        <v>46076</v>
      </c>
      <c r="E19" s="439">
        <v>37.729999999999997</v>
      </c>
      <c r="F19" s="440" t="s">
        <v>38</v>
      </c>
      <c r="G19" s="438">
        <v>46080</v>
      </c>
      <c r="H19" s="446" t="s">
        <v>476</v>
      </c>
      <c r="I19" s="441" t="s">
        <v>1079</v>
      </c>
      <c r="J19" s="442"/>
      <c r="K19" s="444"/>
      <c r="L19" s="444"/>
      <c r="M19" s="440" t="s">
        <v>38</v>
      </c>
      <c r="N19" s="503">
        <v>46157</v>
      </c>
      <c r="O19" s="503">
        <v>46157</v>
      </c>
      <c r="P19" s="444" t="s">
        <v>1077</v>
      </c>
    </row>
    <row r="20" spans="1:20" ht="25.15" customHeight="1">
      <c r="A20" s="437">
        <v>17</v>
      </c>
      <c r="B20" s="442" t="s">
        <v>403</v>
      </c>
      <c r="C20" s="438" t="s">
        <v>350</v>
      </c>
      <c r="D20" s="438">
        <v>46075</v>
      </c>
      <c r="E20" s="439">
        <v>37.729999999999997</v>
      </c>
      <c r="F20" s="440" t="s">
        <v>38</v>
      </c>
      <c r="G20" s="438">
        <v>46081</v>
      </c>
      <c r="H20" s="446" t="s">
        <v>478</v>
      </c>
      <c r="I20" s="446"/>
      <c r="J20" s="442"/>
      <c r="K20" s="444"/>
      <c r="L20" s="444"/>
      <c r="M20" s="444"/>
      <c r="N20" s="444"/>
      <c r="O20" s="444"/>
      <c r="P20" s="444"/>
    </row>
    <row r="21" spans="1:20" ht="25.15" customHeight="1">
      <c r="A21" s="437">
        <v>18</v>
      </c>
      <c r="B21" s="442" t="s">
        <v>371</v>
      </c>
      <c r="C21" s="438" t="s">
        <v>357</v>
      </c>
      <c r="D21" s="438">
        <v>46080</v>
      </c>
      <c r="E21" s="445">
        <v>39.457999999999998</v>
      </c>
      <c r="F21" s="440" t="s">
        <v>38</v>
      </c>
      <c r="G21" s="438">
        <v>46086</v>
      </c>
      <c r="H21" s="446" t="s">
        <v>476</v>
      </c>
      <c r="I21" s="441" t="s">
        <v>1079</v>
      </c>
      <c r="J21" s="442"/>
      <c r="K21" s="444"/>
      <c r="L21" s="444"/>
      <c r="M21" s="440" t="s">
        <v>38</v>
      </c>
      <c r="N21" s="503">
        <v>46155</v>
      </c>
      <c r="O21" s="503">
        <v>46155</v>
      </c>
      <c r="P21" s="444" t="s">
        <v>1077</v>
      </c>
    </row>
    <row r="22" spans="1:20" ht="25.15" customHeight="1">
      <c r="A22" s="437">
        <v>19</v>
      </c>
      <c r="B22" s="442" t="s">
        <v>397</v>
      </c>
      <c r="C22" s="438" t="s">
        <v>357</v>
      </c>
      <c r="D22" s="438">
        <v>46082</v>
      </c>
      <c r="E22" s="445">
        <v>39.457999999999998</v>
      </c>
      <c r="F22" s="440" t="s">
        <v>38</v>
      </c>
      <c r="G22" s="438">
        <v>46090</v>
      </c>
      <c r="H22" s="446" t="s">
        <v>478</v>
      </c>
      <c r="I22" s="446"/>
      <c r="J22" s="442"/>
      <c r="K22" s="444"/>
      <c r="L22" s="444"/>
      <c r="M22" s="444"/>
      <c r="N22" s="444"/>
      <c r="O22" s="444"/>
      <c r="P22" s="444"/>
    </row>
    <row r="23" spans="1:20" ht="25.15" customHeight="1">
      <c r="A23" s="437">
        <v>20</v>
      </c>
      <c r="B23" s="442" t="s">
        <v>177</v>
      </c>
      <c r="C23" s="438" t="s">
        <v>399</v>
      </c>
      <c r="D23" s="438">
        <v>46089</v>
      </c>
      <c r="E23" s="439">
        <v>44.726999999999997</v>
      </c>
      <c r="F23" s="440" t="s">
        <v>38</v>
      </c>
      <c r="G23" s="438">
        <v>46097</v>
      </c>
      <c r="H23" s="446" t="s">
        <v>476</v>
      </c>
      <c r="I23" s="441" t="s">
        <v>1079</v>
      </c>
      <c r="J23" s="442"/>
      <c r="K23" s="444"/>
      <c r="L23" s="444"/>
      <c r="M23" s="444"/>
      <c r="N23" s="444"/>
      <c r="O23" s="444"/>
      <c r="P23" s="444"/>
    </row>
    <row r="24" spans="1:20" ht="25.15" customHeight="1">
      <c r="A24" s="437">
        <v>21</v>
      </c>
      <c r="B24" s="442" t="s">
        <v>412</v>
      </c>
      <c r="C24" s="438" t="s">
        <v>350</v>
      </c>
      <c r="D24" s="438">
        <v>46091</v>
      </c>
      <c r="E24" s="439">
        <v>37.729999999999997</v>
      </c>
      <c r="F24" s="440" t="s">
        <v>38</v>
      </c>
      <c r="G24" s="438">
        <v>46098</v>
      </c>
      <c r="H24" s="446" t="s">
        <v>478</v>
      </c>
      <c r="I24" s="446"/>
      <c r="J24" s="442"/>
      <c r="K24" s="444"/>
      <c r="L24" s="444"/>
      <c r="M24" s="444"/>
      <c r="N24" s="444"/>
      <c r="O24" s="448"/>
      <c r="P24" s="444"/>
    </row>
    <row r="25" spans="1:20" ht="25.15" customHeight="1">
      <c r="A25" s="437">
        <v>22</v>
      </c>
      <c r="B25" s="442" t="s">
        <v>140</v>
      </c>
      <c r="C25" s="442" t="s">
        <v>302</v>
      </c>
      <c r="D25" s="438">
        <v>46097</v>
      </c>
      <c r="E25" s="439">
        <v>72.233999999999995</v>
      </c>
      <c r="F25" s="440" t="s">
        <v>38</v>
      </c>
      <c r="G25" s="438">
        <v>46105</v>
      </c>
      <c r="H25" s="446" t="s">
        <v>476</v>
      </c>
      <c r="I25" s="441" t="s">
        <v>1079</v>
      </c>
      <c r="J25" s="442"/>
      <c r="K25" s="444"/>
      <c r="L25" s="437"/>
      <c r="M25" s="442"/>
      <c r="N25" s="442"/>
      <c r="O25" s="444"/>
      <c r="P25" s="439"/>
      <c r="Q25" s="504"/>
      <c r="R25" s="505"/>
      <c r="S25" s="506"/>
      <c r="T25" s="113"/>
    </row>
    <row r="26" spans="1:20" ht="25.15" customHeight="1">
      <c r="A26" s="437">
        <v>23</v>
      </c>
      <c r="B26" s="442" t="s">
        <v>421</v>
      </c>
      <c r="C26" s="438" t="s">
        <v>399</v>
      </c>
      <c r="D26" s="438">
        <v>46098</v>
      </c>
      <c r="E26" s="439">
        <v>44.726999999999997</v>
      </c>
      <c r="F26" s="440" t="s">
        <v>38</v>
      </c>
      <c r="G26" s="438">
        <v>46107</v>
      </c>
      <c r="H26" s="446" t="s">
        <v>478</v>
      </c>
      <c r="I26" s="446"/>
      <c r="J26" s="442"/>
      <c r="K26" s="444"/>
      <c r="L26" s="444"/>
      <c r="M26" s="444"/>
      <c r="N26" s="444"/>
      <c r="O26" s="444"/>
      <c r="P26" s="444"/>
    </row>
    <row r="27" spans="1:20" ht="25.15" customHeight="1">
      <c r="A27" s="437">
        <v>24</v>
      </c>
      <c r="B27" s="442" t="s">
        <v>411</v>
      </c>
      <c r="C27" s="438" t="s">
        <v>300</v>
      </c>
      <c r="D27" s="438">
        <v>46105</v>
      </c>
      <c r="E27" s="439">
        <v>54.417999999999999</v>
      </c>
      <c r="F27" s="440" t="s">
        <v>38</v>
      </c>
      <c r="G27" s="438">
        <v>46111</v>
      </c>
      <c r="H27" s="446" t="s">
        <v>476</v>
      </c>
      <c r="I27" s="441" t="s">
        <v>1079</v>
      </c>
      <c r="J27" s="442"/>
      <c r="K27" s="444"/>
      <c r="L27" s="442"/>
      <c r="M27" s="440" t="s">
        <v>38</v>
      </c>
      <c r="N27" s="503">
        <v>46161</v>
      </c>
      <c r="O27" s="503">
        <v>46161</v>
      </c>
      <c r="P27" s="444" t="s">
        <v>1077</v>
      </c>
      <c r="Q27" s="507"/>
      <c r="R27" s="113"/>
      <c r="S27" s="507"/>
      <c r="T27" s="113"/>
    </row>
    <row r="28" spans="1:20" ht="25.15" customHeight="1">
      <c r="A28" s="437">
        <v>25</v>
      </c>
      <c r="B28" s="442" t="s">
        <v>408</v>
      </c>
      <c r="C28" s="438" t="s">
        <v>350</v>
      </c>
      <c r="D28" s="438">
        <v>46107</v>
      </c>
      <c r="E28" s="439">
        <v>37.729999999999997</v>
      </c>
      <c r="F28" s="440" t="s">
        <v>38</v>
      </c>
      <c r="G28" s="438">
        <v>46112</v>
      </c>
      <c r="H28" s="446" t="s">
        <v>478</v>
      </c>
      <c r="I28" s="446"/>
      <c r="J28" s="442"/>
      <c r="K28" s="444"/>
      <c r="L28" s="444"/>
      <c r="M28" s="444"/>
      <c r="N28" s="444"/>
      <c r="O28" s="503"/>
      <c r="P28" s="444"/>
    </row>
    <row r="29" spans="1:20" ht="25.15" customHeight="1">
      <c r="A29" s="437">
        <v>26</v>
      </c>
      <c r="B29" s="442" t="s">
        <v>419</v>
      </c>
      <c r="C29" s="438" t="s">
        <v>302</v>
      </c>
      <c r="D29" s="438">
        <v>46114</v>
      </c>
      <c r="E29" s="440">
        <v>72.233999999999995</v>
      </c>
      <c r="F29" s="440" t="s">
        <v>38</v>
      </c>
      <c r="G29" s="438">
        <v>46121</v>
      </c>
      <c r="H29" s="443" t="s">
        <v>476</v>
      </c>
      <c r="I29" s="441" t="s">
        <v>1079</v>
      </c>
      <c r="J29" s="442"/>
      <c r="K29" s="444"/>
      <c r="L29" s="444"/>
      <c r="M29" s="440" t="s">
        <v>38</v>
      </c>
      <c r="N29" s="503">
        <v>46158</v>
      </c>
      <c r="O29" s="503">
        <v>46158</v>
      </c>
      <c r="P29" s="444" t="s">
        <v>1077</v>
      </c>
    </row>
    <row r="30" spans="1:20" ht="25.15" customHeight="1">
      <c r="A30" s="437">
        <v>27</v>
      </c>
      <c r="B30" s="442" t="s">
        <v>405</v>
      </c>
      <c r="C30" s="442" t="s">
        <v>350</v>
      </c>
      <c r="D30" s="438">
        <v>46121</v>
      </c>
      <c r="E30" s="439">
        <v>37.795999999999999</v>
      </c>
      <c r="F30" s="440" t="s">
        <v>38</v>
      </c>
      <c r="G30" s="438">
        <v>46127</v>
      </c>
      <c r="H30" s="443" t="s">
        <v>476</v>
      </c>
      <c r="I30" s="441" t="s">
        <v>1079</v>
      </c>
      <c r="J30" s="442"/>
      <c r="K30" s="444"/>
      <c r="L30" s="444"/>
      <c r="M30" s="440" t="s">
        <v>38</v>
      </c>
      <c r="N30" s="503">
        <v>46159</v>
      </c>
      <c r="O30" s="503">
        <v>46159</v>
      </c>
      <c r="P30" s="444" t="s">
        <v>1077</v>
      </c>
    </row>
    <row r="31" spans="1:20" ht="25.15" customHeight="1">
      <c r="A31" s="437">
        <v>28</v>
      </c>
      <c r="B31" s="442" t="s">
        <v>430</v>
      </c>
      <c r="C31" s="442" t="s">
        <v>350</v>
      </c>
      <c r="D31" s="438">
        <v>46127</v>
      </c>
      <c r="E31" s="439">
        <v>37.795999999999999</v>
      </c>
      <c r="F31" s="440" t="s">
        <v>38</v>
      </c>
      <c r="G31" s="438">
        <v>46133</v>
      </c>
      <c r="H31" s="443" t="s">
        <v>476</v>
      </c>
      <c r="I31" s="441" t="s">
        <v>1079</v>
      </c>
      <c r="J31" s="442"/>
      <c r="K31" s="444"/>
      <c r="L31" s="444"/>
      <c r="M31" s="440" t="s">
        <v>38</v>
      </c>
      <c r="N31" s="503">
        <v>46160</v>
      </c>
      <c r="O31" s="503">
        <v>46160</v>
      </c>
      <c r="P31" s="444" t="s">
        <v>1077</v>
      </c>
    </row>
    <row r="32" spans="1:20" ht="25.15" customHeight="1">
      <c r="A32" s="437">
        <v>29</v>
      </c>
      <c r="B32" s="442" t="s">
        <v>406</v>
      </c>
      <c r="C32" s="442" t="s">
        <v>350</v>
      </c>
      <c r="D32" s="438">
        <v>46134</v>
      </c>
      <c r="E32" s="439">
        <v>37.795999999999999</v>
      </c>
      <c r="F32" s="440" t="s">
        <v>38</v>
      </c>
      <c r="G32" s="438">
        <v>46141</v>
      </c>
      <c r="H32" s="446" t="s">
        <v>476</v>
      </c>
      <c r="I32" s="441" t="s">
        <v>1079</v>
      </c>
      <c r="J32" s="442"/>
      <c r="K32" s="444"/>
      <c r="L32" s="444"/>
      <c r="M32" s="440" t="s">
        <v>38</v>
      </c>
      <c r="N32" s="503">
        <v>46160</v>
      </c>
      <c r="O32" s="503">
        <v>46160</v>
      </c>
      <c r="P32" s="444" t="s">
        <v>1077</v>
      </c>
    </row>
    <row r="33" spans="1:16" s="453" customFormat="1" ht="25.15" customHeight="1">
      <c r="A33" s="437">
        <v>30</v>
      </c>
      <c r="B33" s="442" t="s">
        <v>404</v>
      </c>
      <c r="C33" s="442" t="s">
        <v>350</v>
      </c>
      <c r="D33" s="438">
        <v>46142</v>
      </c>
      <c r="E33" s="439">
        <v>37.795999999999999</v>
      </c>
      <c r="F33" s="440" t="s">
        <v>38</v>
      </c>
      <c r="G33" s="438">
        <v>46148</v>
      </c>
      <c r="H33" s="446" t="s">
        <v>476</v>
      </c>
      <c r="I33" s="446" t="s">
        <v>1079</v>
      </c>
      <c r="J33" s="442"/>
      <c r="K33" s="444"/>
      <c r="L33" s="444"/>
      <c r="M33" s="440" t="s">
        <v>38</v>
      </c>
      <c r="N33" s="503">
        <v>46163</v>
      </c>
      <c r="O33" s="503">
        <v>46163</v>
      </c>
      <c r="P33" s="444" t="s">
        <v>1077</v>
      </c>
    </row>
    <row r="34" spans="1:16" s="453" customFormat="1" ht="25.15" customHeight="1">
      <c r="A34" s="437">
        <v>31</v>
      </c>
      <c r="B34" s="442" t="s">
        <v>383</v>
      </c>
      <c r="C34" s="442" t="s">
        <v>350</v>
      </c>
      <c r="D34" s="438">
        <v>46145</v>
      </c>
      <c r="E34" s="439">
        <v>37.795999999999999</v>
      </c>
      <c r="F34" s="440" t="s">
        <v>38</v>
      </c>
      <c r="G34" s="438">
        <v>46149</v>
      </c>
      <c r="H34" s="446" t="s">
        <v>479</v>
      </c>
      <c r="I34" s="446"/>
      <c r="J34" s="442"/>
      <c r="K34" s="444"/>
      <c r="L34" s="444"/>
      <c r="M34" s="444"/>
      <c r="N34" s="444"/>
      <c r="O34" s="444"/>
      <c r="P34" s="444"/>
    </row>
    <row r="35" spans="1:16" s="453" customFormat="1" ht="25.15" customHeight="1">
      <c r="A35" s="437">
        <v>32</v>
      </c>
      <c r="B35" s="442" t="s">
        <v>422</v>
      </c>
      <c r="C35" s="442" t="s">
        <v>350</v>
      </c>
      <c r="D35" s="438">
        <v>46149</v>
      </c>
      <c r="E35" s="439">
        <v>37.795999999999999</v>
      </c>
      <c r="F35" s="440" t="s">
        <v>38</v>
      </c>
      <c r="G35" s="438">
        <v>46155</v>
      </c>
      <c r="H35" s="446" t="s">
        <v>476</v>
      </c>
      <c r="I35" s="441" t="s">
        <v>1079</v>
      </c>
      <c r="J35" s="442"/>
      <c r="K35" s="444"/>
      <c r="L35" s="444"/>
      <c r="M35" s="440" t="s">
        <v>38</v>
      </c>
      <c r="N35" s="503">
        <v>46162</v>
      </c>
      <c r="O35" s="503">
        <v>46162</v>
      </c>
      <c r="P35" s="444" t="s">
        <v>1077</v>
      </c>
    </row>
    <row r="36" spans="1:16" s="453" customFormat="1" ht="25.15" customHeight="1">
      <c r="A36" s="437">
        <v>33</v>
      </c>
      <c r="B36" s="442" t="s">
        <v>386</v>
      </c>
      <c r="C36" s="442" t="s">
        <v>350</v>
      </c>
      <c r="D36" s="438">
        <v>46150</v>
      </c>
      <c r="E36" s="439">
        <v>37.795999999999999</v>
      </c>
      <c r="F36" s="440" t="s">
        <v>38</v>
      </c>
      <c r="G36" s="438">
        <v>46154</v>
      </c>
      <c r="H36" s="446" t="s">
        <v>479</v>
      </c>
      <c r="I36" s="446"/>
      <c r="J36" s="442" t="s">
        <v>67</v>
      </c>
      <c r="K36" s="444"/>
      <c r="L36" s="444"/>
      <c r="M36" s="444"/>
      <c r="N36" s="444"/>
      <c r="O36" s="444"/>
      <c r="P36" s="444"/>
    </row>
    <row r="37" spans="1:16" s="453" customFormat="1" ht="25.15" customHeight="1">
      <c r="A37" s="437">
        <v>34</v>
      </c>
      <c r="B37" s="442" t="s">
        <v>387</v>
      </c>
      <c r="C37" s="442" t="s">
        <v>350</v>
      </c>
      <c r="D37" s="438">
        <v>46155</v>
      </c>
      <c r="E37" s="439">
        <v>37.795999999999999</v>
      </c>
      <c r="F37" s="440" t="s">
        <v>38</v>
      </c>
      <c r="G37" s="438">
        <v>46159</v>
      </c>
      <c r="H37" s="446" t="s">
        <v>479</v>
      </c>
      <c r="I37" s="446"/>
      <c r="J37" s="442"/>
      <c r="K37" s="444"/>
      <c r="L37" s="444"/>
      <c r="M37" s="444"/>
      <c r="N37" s="444"/>
      <c r="O37" s="444"/>
      <c r="P37" s="444"/>
    </row>
    <row r="38" spans="1:16" s="453" customFormat="1" ht="25.15" customHeight="1">
      <c r="A38" s="437">
        <v>35</v>
      </c>
      <c r="B38" s="442" t="s">
        <v>417</v>
      </c>
      <c r="C38" s="442" t="s">
        <v>396</v>
      </c>
      <c r="D38" s="438">
        <v>46156</v>
      </c>
      <c r="E38" s="439">
        <v>36.043999999999997</v>
      </c>
      <c r="F38" s="440" t="s">
        <v>38</v>
      </c>
      <c r="G38" s="438">
        <v>46160</v>
      </c>
      <c r="H38" s="446" t="s">
        <v>476</v>
      </c>
      <c r="I38" s="441" t="s">
        <v>1079</v>
      </c>
      <c r="J38" s="442"/>
      <c r="K38" s="444"/>
      <c r="L38" s="444"/>
      <c r="M38" s="444"/>
      <c r="N38" s="444"/>
      <c r="O38" s="444"/>
      <c r="P38" s="444"/>
    </row>
    <row r="39" spans="1:16" s="453" customFormat="1" ht="25.15" customHeight="1">
      <c r="A39" s="437">
        <v>36</v>
      </c>
      <c r="B39" s="442" t="s">
        <v>139</v>
      </c>
      <c r="C39" s="442" t="s">
        <v>357</v>
      </c>
      <c r="D39" s="438">
        <v>46151</v>
      </c>
      <c r="E39" s="439">
        <v>39.457999999999998</v>
      </c>
      <c r="F39" s="440" t="s">
        <v>38</v>
      </c>
      <c r="G39" s="438">
        <v>46163</v>
      </c>
      <c r="H39" s="446" t="s">
        <v>478</v>
      </c>
      <c r="I39" s="446"/>
      <c r="J39" s="442" t="s">
        <v>67</v>
      </c>
      <c r="K39" s="444"/>
      <c r="L39" s="444"/>
      <c r="M39" s="444"/>
      <c r="N39" s="444"/>
      <c r="O39" s="444"/>
      <c r="P39" s="444"/>
    </row>
    <row r="40" spans="1:16" s="453" customFormat="1" ht="30.75" customHeight="1">
      <c r="A40" s="437">
        <v>37</v>
      </c>
      <c r="B40" s="442" t="s">
        <v>410</v>
      </c>
      <c r="C40" s="442" t="s">
        <v>396</v>
      </c>
      <c r="D40" s="438">
        <v>46160</v>
      </c>
      <c r="E40" s="439">
        <v>36.043999999999997</v>
      </c>
      <c r="F40" s="440" t="s">
        <v>38</v>
      </c>
      <c r="G40" s="438">
        <v>46164</v>
      </c>
      <c r="H40" s="446" t="s">
        <v>476</v>
      </c>
      <c r="I40" s="441" t="s">
        <v>1079</v>
      </c>
      <c r="J40" s="442" t="s">
        <v>67</v>
      </c>
      <c r="K40" s="444"/>
      <c r="L40" s="444"/>
      <c r="M40" s="444"/>
      <c r="N40" s="444"/>
      <c r="O40" s="444"/>
      <c r="P40" s="444"/>
    </row>
    <row r="41" spans="1:16" ht="30.75" customHeight="1">
      <c r="A41" s="437">
        <v>38</v>
      </c>
      <c r="B41" s="442" t="s">
        <v>425</v>
      </c>
      <c r="C41" s="442" t="s">
        <v>330</v>
      </c>
      <c r="D41" s="438">
        <v>46161</v>
      </c>
      <c r="E41" s="439">
        <v>64.254000000000005</v>
      </c>
      <c r="F41" s="440" t="s">
        <v>38</v>
      </c>
      <c r="G41" s="438">
        <v>46167</v>
      </c>
      <c r="H41" s="446" t="s">
        <v>479</v>
      </c>
      <c r="I41" s="446"/>
      <c r="J41" s="442" t="s">
        <v>67</v>
      </c>
      <c r="K41" s="444"/>
      <c r="L41" s="444"/>
      <c r="M41" s="444"/>
      <c r="N41" s="444"/>
      <c r="O41" s="444"/>
      <c r="P41" s="444"/>
    </row>
    <row r="42" spans="1:16" ht="30.75" customHeight="1">
      <c r="A42" s="437">
        <v>39</v>
      </c>
      <c r="B42" s="442" t="s">
        <v>418</v>
      </c>
      <c r="C42" s="442" t="s">
        <v>300</v>
      </c>
      <c r="D42" s="438">
        <v>46165</v>
      </c>
      <c r="E42" s="439">
        <v>54.417999999999999</v>
      </c>
      <c r="F42" s="440" t="s">
        <v>38</v>
      </c>
      <c r="G42" s="438">
        <v>46170</v>
      </c>
      <c r="H42" s="446" t="s">
        <v>476</v>
      </c>
      <c r="I42" s="446"/>
      <c r="J42" s="442" t="s">
        <v>67</v>
      </c>
      <c r="K42" s="444"/>
      <c r="L42" s="444"/>
      <c r="M42" s="444"/>
      <c r="N42" s="444"/>
      <c r="O42" s="444"/>
      <c r="P42" s="444"/>
    </row>
    <row r="43" spans="1:16" ht="30.75" customHeight="1">
      <c r="A43" s="437">
        <v>40</v>
      </c>
      <c r="B43" s="442" t="s">
        <v>364</v>
      </c>
      <c r="C43" s="442" t="s">
        <v>350</v>
      </c>
      <c r="D43" s="438">
        <v>46164</v>
      </c>
      <c r="E43" s="439">
        <v>37.795999999999999</v>
      </c>
      <c r="F43" s="440" t="s">
        <v>38</v>
      </c>
      <c r="G43" s="438">
        <v>46172</v>
      </c>
      <c r="H43" s="446" t="s">
        <v>478</v>
      </c>
      <c r="I43" s="446"/>
      <c r="J43" s="442" t="s">
        <v>67</v>
      </c>
      <c r="K43" s="444"/>
      <c r="L43" s="444"/>
      <c r="M43" s="444"/>
      <c r="N43" s="444"/>
      <c r="O43" s="444"/>
      <c r="P43" s="444"/>
    </row>
    <row r="44" spans="1:16" ht="30.75" customHeight="1">
      <c r="A44" s="437">
        <v>41</v>
      </c>
      <c r="B44" s="442" t="s">
        <v>370</v>
      </c>
      <c r="C44" s="442" t="s">
        <v>298</v>
      </c>
      <c r="D44" s="438">
        <v>46170</v>
      </c>
      <c r="E44" s="439">
        <v>80.254999999999995</v>
      </c>
      <c r="F44" s="440" t="s">
        <v>38</v>
      </c>
      <c r="G44" s="438">
        <v>46177</v>
      </c>
      <c r="H44" s="446" t="s">
        <v>479</v>
      </c>
      <c r="I44" s="446"/>
      <c r="J44" s="442" t="s">
        <v>67</v>
      </c>
      <c r="K44" s="444"/>
      <c r="L44" s="444"/>
      <c r="M44" s="444"/>
      <c r="N44" s="444"/>
      <c r="O44" s="444"/>
      <c r="P44" s="444"/>
    </row>
    <row r="45" spans="1:16" ht="30.75" customHeight="1">
      <c r="A45" s="437">
        <v>42</v>
      </c>
      <c r="B45" s="442" t="s">
        <v>374</v>
      </c>
      <c r="C45" s="442" t="s">
        <v>335</v>
      </c>
      <c r="D45" s="438">
        <v>46171</v>
      </c>
      <c r="E45" s="439">
        <v>54.417999999999999</v>
      </c>
      <c r="F45" s="440" t="s">
        <v>38</v>
      </c>
      <c r="G45" s="438">
        <v>46177</v>
      </c>
      <c r="H45" s="446" t="s">
        <v>476</v>
      </c>
      <c r="I45" s="446"/>
      <c r="J45" s="442" t="s">
        <v>67</v>
      </c>
      <c r="K45" s="444"/>
      <c r="L45" s="444"/>
      <c r="M45" s="444"/>
      <c r="N45" s="444"/>
      <c r="O45" s="444"/>
      <c r="P45" s="444"/>
    </row>
    <row r="46" spans="1:16" ht="30.75" customHeight="1">
      <c r="A46" s="437">
        <v>43</v>
      </c>
      <c r="B46" s="442" t="s">
        <v>137</v>
      </c>
      <c r="C46" s="442" t="s">
        <v>350</v>
      </c>
      <c r="D46" s="438">
        <v>46173</v>
      </c>
      <c r="E46" s="439">
        <v>37.795999999999999</v>
      </c>
      <c r="F46" s="440" t="s">
        <v>38</v>
      </c>
      <c r="G46" s="438">
        <v>46181</v>
      </c>
      <c r="H46" s="446" t="s">
        <v>478</v>
      </c>
      <c r="I46" s="446"/>
      <c r="J46" s="442" t="s">
        <v>67</v>
      </c>
      <c r="K46" s="444"/>
      <c r="L46" s="444"/>
      <c r="M46" s="444"/>
      <c r="N46" s="444"/>
      <c r="O46" s="444"/>
      <c r="P46" s="444"/>
    </row>
    <row r="47" spans="1:16" ht="30.75" customHeight="1">
      <c r="A47" s="437">
        <v>44</v>
      </c>
      <c r="B47" s="442" t="s">
        <v>377</v>
      </c>
      <c r="C47" s="442" t="s">
        <v>350</v>
      </c>
      <c r="D47" s="438">
        <v>46178</v>
      </c>
      <c r="E47" s="439">
        <v>37.795999999999999</v>
      </c>
      <c r="F47" s="440" t="s">
        <v>38</v>
      </c>
      <c r="G47" s="438">
        <v>46182</v>
      </c>
      <c r="H47" s="446" t="s">
        <v>476</v>
      </c>
      <c r="I47" s="446"/>
      <c r="J47" s="442">
        <v>33</v>
      </c>
      <c r="K47" s="444"/>
      <c r="L47" s="444"/>
      <c r="M47" s="444"/>
      <c r="N47" s="444"/>
      <c r="O47" s="444"/>
      <c r="P47" s="444"/>
    </row>
    <row r="48" spans="1:16" ht="30.75" customHeight="1">
      <c r="A48" s="437">
        <v>45</v>
      </c>
      <c r="B48" s="442" t="s">
        <v>369</v>
      </c>
      <c r="C48" s="442" t="s">
        <v>298</v>
      </c>
      <c r="D48" s="438">
        <v>46178</v>
      </c>
      <c r="E48" s="439">
        <v>80.254999999999995</v>
      </c>
      <c r="F48" s="440" t="s">
        <v>38</v>
      </c>
      <c r="G48" s="438">
        <v>46186</v>
      </c>
      <c r="H48" s="446" t="s">
        <v>479</v>
      </c>
      <c r="I48" s="446"/>
      <c r="J48" s="442">
        <v>30</v>
      </c>
      <c r="K48" s="444"/>
      <c r="L48" s="444"/>
      <c r="M48" s="444"/>
      <c r="N48" s="444"/>
      <c r="O48" s="444"/>
      <c r="P48" s="444"/>
    </row>
    <row r="49" spans="1:16" s="541" customFormat="1" ht="34.5" customHeight="1">
      <c r="A49" s="447">
        <v>46</v>
      </c>
      <c r="B49" s="440" t="s">
        <v>367</v>
      </c>
      <c r="C49" s="440" t="s">
        <v>350</v>
      </c>
      <c r="D49" s="448">
        <v>46199</v>
      </c>
      <c r="E49" s="439">
        <v>37.795999999999999</v>
      </c>
      <c r="F49" s="440" t="s">
        <v>38</v>
      </c>
      <c r="G49" s="438">
        <v>46206</v>
      </c>
      <c r="H49" s="444" t="s">
        <v>1117</v>
      </c>
      <c r="I49" s="444"/>
      <c r="J49" s="442">
        <v>30</v>
      </c>
      <c r="K49" s="444"/>
      <c r="L49" s="444"/>
      <c r="M49" s="444"/>
      <c r="N49" s="444"/>
      <c r="O49" s="444"/>
      <c r="P49" s="444"/>
    </row>
    <row r="50" spans="1:16" s="541" customFormat="1" ht="34.5" customHeight="1">
      <c r="A50" s="447">
        <v>47</v>
      </c>
      <c r="B50" s="440" t="s">
        <v>359</v>
      </c>
      <c r="C50" s="440" t="s">
        <v>350</v>
      </c>
      <c r="D50" s="448">
        <v>46203</v>
      </c>
      <c r="E50" s="439">
        <v>37.795999999999999</v>
      </c>
      <c r="F50" s="440" t="s">
        <v>38</v>
      </c>
      <c r="G50" s="438">
        <v>46217</v>
      </c>
      <c r="H50" s="444" t="s">
        <v>1123</v>
      </c>
      <c r="I50" s="444"/>
      <c r="J50" s="442">
        <v>35</v>
      </c>
      <c r="K50" s="444"/>
      <c r="L50" s="444"/>
      <c r="M50" s="444"/>
      <c r="N50" s="444"/>
      <c r="O50" s="444"/>
      <c r="P50" s="444"/>
    </row>
    <row r="51" spans="1:16" s="541" customFormat="1" ht="48" customHeight="1">
      <c r="A51" s="447">
        <v>48</v>
      </c>
      <c r="B51" s="440" t="s">
        <v>378</v>
      </c>
      <c r="C51" s="440" t="s">
        <v>350</v>
      </c>
      <c r="D51" s="448">
        <v>46218</v>
      </c>
      <c r="E51" s="439">
        <v>37.795999999999999</v>
      </c>
      <c r="F51" s="626" t="s">
        <v>1183</v>
      </c>
      <c r="G51" s="438">
        <v>46236</v>
      </c>
      <c r="H51" s="444" t="s">
        <v>1123</v>
      </c>
      <c r="I51" s="444"/>
      <c r="J51" s="442">
        <v>35</v>
      </c>
      <c r="K51" s="444"/>
      <c r="L51" s="444"/>
      <c r="M51" s="444"/>
      <c r="N51" s="444"/>
      <c r="O51" s="444"/>
      <c r="P51" s="444"/>
    </row>
    <row r="52" spans="1:16" s="453" customFormat="1" ht="36.75" hidden="1" customHeight="1">
      <c r="A52" s="456">
        <v>48</v>
      </c>
      <c r="B52" s="449" t="s">
        <v>395</v>
      </c>
      <c r="C52" s="449" t="s">
        <v>396</v>
      </c>
      <c r="D52" s="457">
        <v>46207</v>
      </c>
      <c r="E52" s="452">
        <v>36.045000000000002</v>
      </c>
      <c r="F52" s="540" t="s">
        <v>67</v>
      </c>
      <c r="G52" s="250"/>
      <c r="H52" s="451" t="s">
        <v>1117</v>
      </c>
      <c r="I52" s="451"/>
      <c r="J52" s="450">
        <v>30</v>
      </c>
      <c r="K52" s="451"/>
      <c r="L52" s="451"/>
      <c r="M52" s="451"/>
      <c r="N52" s="451"/>
      <c r="O52" s="451"/>
      <c r="P52" s="451"/>
    </row>
    <row r="53" spans="1:16" s="453" customFormat="1" ht="34" customHeight="1">
      <c r="A53" s="456">
        <v>49</v>
      </c>
      <c r="B53" s="449" t="s">
        <v>1181</v>
      </c>
      <c r="C53" s="449" t="s">
        <v>302</v>
      </c>
      <c r="D53" s="457">
        <v>46236</v>
      </c>
      <c r="E53" s="455">
        <v>72.233999999999995</v>
      </c>
      <c r="F53" s="540" t="s">
        <v>1186</v>
      </c>
      <c r="G53" s="250"/>
      <c r="H53" s="451" t="s">
        <v>1123</v>
      </c>
      <c r="I53" s="451"/>
      <c r="J53" s="450">
        <v>35</v>
      </c>
      <c r="K53" s="451"/>
      <c r="L53" s="461"/>
      <c r="M53" s="451"/>
      <c r="N53" s="451"/>
      <c r="O53" s="451"/>
      <c r="P53" s="451"/>
    </row>
    <row r="54" spans="1:16" s="453" customFormat="1" ht="25.15" customHeight="1">
      <c r="A54" s="456"/>
      <c r="B54" s="449"/>
      <c r="C54" s="449"/>
      <c r="D54" s="457"/>
      <c r="E54" s="449"/>
      <c r="F54" s="458"/>
      <c r="G54" s="250"/>
      <c r="H54" s="454"/>
      <c r="I54" s="454"/>
      <c r="J54" s="450"/>
      <c r="K54" s="451"/>
      <c r="L54" s="451"/>
      <c r="M54" s="451"/>
      <c r="N54" s="451"/>
      <c r="O54" s="451"/>
      <c r="P54" s="451"/>
    </row>
    <row r="55" spans="1:16" s="453" customFormat="1" ht="25.15" customHeight="1">
      <c r="A55" s="456"/>
      <c r="B55" s="449"/>
      <c r="C55" s="449"/>
      <c r="D55" s="457"/>
      <c r="E55" s="449"/>
      <c r="F55" s="458"/>
      <c r="G55" s="250"/>
      <c r="H55" s="454"/>
      <c r="I55" s="454"/>
      <c r="J55" s="450"/>
      <c r="K55" s="451"/>
      <c r="L55" s="451"/>
      <c r="M55" s="451"/>
      <c r="N55" s="451"/>
      <c r="O55" s="451"/>
      <c r="P55" s="451"/>
    </row>
    <row r="56" spans="1:16" s="453" customFormat="1" ht="25.15" customHeight="1">
      <c r="A56" s="456"/>
      <c r="B56" s="449"/>
      <c r="C56" s="449"/>
      <c r="D56" s="457"/>
      <c r="E56" s="449"/>
      <c r="F56" s="458"/>
      <c r="G56" s="250"/>
      <c r="H56" s="454"/>
      <c r="I56" s="454"/>
      <c r="J56" s="450"/>
      <c r="K56" s="451"/>
      <c r="L56" s="451"/>
      <c r="M56" s="451"/>
      <c r="N56" s="451"/>
      <c r="O56" s="451"/>
      <c r="P56" s="451"/>
    </row>
    <row r="57" spans="1:16" s="453" customFormat="1" ht="25.15" customHeight="1">
      <c r="A57" s="456"/>
      <c r="B57" s="449"/>
      <c r="C57" s="449"/>
      <c r="D57" s="457"/>
      <c r="E57" s="452"/>
      <c r="F57" s="458"/>
      <c r="H57" s="625" t="s">
        <v>67</v>
      </c>
      <c r="I57" s="454"/>
      <c r="J57" s="450"/>
      <c r="K57" s="451"/>
      <c r="L57" s="451"/>
      <c r="M57" s="451"/>
      <c r="N57" s="451"/>
      <c r="O57" s="451"/>
      <c r="P57" s="451"/>
    </row>
    <row r="58" spans="1:16" s="453" customFormat="1" ht="25.15" customHeight="1">
      <c r="A58" s="456"/>
      <c r="B58" s="449"/>
      <c r="C58" s="449"/>
      <c r="D58" s="457"/>
      <c r="E58" s="455"/>
      <c r="F58" s="458"/>
      <c r="G58" s="250"/>
      <c r="H58" s="454"/>
      <c r="I58" s="454"/>
      <c r="J58" s="450"/>
      <c r="K58" s="451"/>
      <c r="L58" s="451"/>
      <c r="M58" s="451"/>
      <c r="N58" s="451"/>
      <c r="O58" s="451"/>
      <c r="P58" s="451"/>
    </row>
    <row r="59" spans="1:16" s="453" customFormat="1" ht="25.15" customHeight="1">
      <c r="A59" s="456"/>
      <c r="B59" s="449"/>
      <c r="C59" s="449"/>
      <c r="D59" s="457"/>
      <c r="E59" s="460"/>
      <c r="F59" s="458"/>
      <c r="G59" s="250"/>
      <c r="H59" s="454"/>
      <c r="I59" s="454"/>
      <c r="J59" s="450"/>
      <c r="K59" s="451"/>
      <c r="L59" s="451"/>
      <c r="M59" s="451"/>
      <c r="N59" s="451"/>
      <c r="O59" s="451"/>
      <c r="P59" s="451"/>
    </row>
    <row r="60" spans="1:16" s="453" customFormat="1" ht="25.15" customHeight="1">
      <c r="A60" s="456"/>
      <c r="B60" s="449"/>
      <c r="C60" s="449"/>
      <c r="D60" s="457"/>
      <c r="E60" s="460"/>
      <c r="F60" s="458"/>
      <c r="G60" s="250"/>
      <c r="H60" s="454"/>
      <c r="I60" s="454"/>
      <c r="J60" s="450"/>
      <c r="K60" s="451"/>
      <c r="L60" s="451"/>
      <c r="M60" s="451"/>
      <c r="N60" s="451"/>
      <c r="O60" s="451"/>
      <c r="P60" s="451"/>
    </row>
    <row r="61" spans="1:16" s="453" customFormat="1" ht="25.15" customHeight="1">
      <c r="A61" s="456"/>
      <c r="B61" s="449"/>
      <c r="C61" s="449"/>
      <c r="D61" s="457"/>
      <c r="E61" s="452"/>
      <c r="F61" s="458"/>
      <c r="G61" s="250"/>
      <c r="H61" s="454"/>
      <c r="I61" s="454"/>
      <c r="J61" s="450"/>
      <c r="K61" s="451"/>
      <c r="L61" s="451"/>
      <c r="M61" s="451"/>
      <c r="N61" s="451"/>
      <c r="O61" s="451"/>
      <c r="P61" s="451"/>
    </row>
    <row r="62" spans="1:16" s="453" customFormat="1" ht="25.15" customHeight="1">
      <c r="A62" s="456"/>
      <c r="B62" s="449"/>
      <c r="C62" s="449"/>
      <c r="D62" s="457"/>
      <c r="E62" s="452"/>
      <c r="F62" s="458"/>
      <c r="G62" s="250"/>
      <c r="H62" s="454"/>
      <c r="I62" s="454"/>
      <c r="J62" s="450"/>
      <c r="K62" s="451"/>
      <c r="L62" s="451"/>
      <c r="M62" s="451"/>
      <c r="N62" s="451"/>
      <c r="O62" s="451"/>
      <c r="P62" s="451"/>
    </row>
    <row r="63" spans="1:16" s="453" customFormat="1" ht="25.15" customHeight="1">
      <c r="A63" s="456"/>
      <c r="B63" s="449"/>
      <c r="C63" s="449"/>
      <c r="D63" s="457"/>
      <c r="E63" s="449"/>
      <c r="F63" s="458"/>
      <c r="G63" s="250"/>
      <c r="H63" s="454"/>
      <c r="I63" s="454"/>
      <c r="J63" s="450"/>
      <c r="K63" s="451"/>
      <c r="L63" s="451"/>
      <c r="M63" s="451"/>
      <c r="N63" s="451"/>
      <c r="O63" s="451"/>
      <c r="P63" s="451"/>
    </row>
    <row r="64" spans="1:16" s="453" customFormat="1" ht="25.15" customHeight="1">
      <c r="A64" s="456"/>
      <c r="B64" s="449"/>
      <c r="C64" s="449"/>
      <c r="D64" s="457"/>
      <c r="E64" s="452"/>
      <c r="F64" s="458"/>
      <c r="G64" s="250"/>
      <c r="H64" s="454"/>
      <c r="I64" s="454"/>
      <c r="J64" s="450"/>
      <c r="K64" s="451"/>
      <c r="L64" s="451"/>
      <c r="M64" s="451"/>
      <c r="N64" s="451"/>
      <c r="O64" s="451"/>
      <c r="P64" s="451"/>
    </row>
    <row r="65" spans="1:16" s="453" customFormat="1" ht="25.15" customHeight="1">
      <c r="A65" s="456"/>
      <c r="B65" s="449"/>
      <c r="C65" s="449"/>
      <c r="D65" s="457"/>
      <c r="E65" s="452"/>
      <c r="F65" s="458"/>
      <c r="G65" s="250"/>
      <c r="H65" s="454"/>
      <c r="I65" s="454"/>
      <c r="J65" s="459"/>
      <c r="K65" s="451"/>
      <c r="L65" s="451"/>
      <c r="M65" s="451"/>
      <c r="N65" s="451"/>
      <c r="O65" s="451"/>
      <c r="P65" s="451"/>
    </row>
    <row r="66" spans="1:16" s="453" customFormat="1" ht="25.15" customHeight="1">
      <c r="A66" s="456"/>
      <c r="B66" s="449"/>
      <c r="C66" s="449"/>
      <c r="D66" s="457"/>
      <c r="E66" s="452"/>
      <c r="F66" s="458"/>
      <c r="G66" s="250"/>
      <c r="H66" s="454"/>
      <c r="I66" s="454"/>
      <c r="J66" s="450"/>
      <c r="K66" s="451"/>
      <c r="L66" s="451"/>
      <c r="M66" s="451"/>
      <c r="N66" s="451"/>
      <c r="O66" s="451"/>
      <c r="P66" s="451"/>
    </row>
    <row r="67" spans="1:16" s="453" customFormat="1" ht="25.15" customHeight="1">
      <c r="A67" s="456"/>
      <c r="B67" s="449"/>
      <c r="C67" s="449"/>
      <c r="D67" s="457"/>
      <c r="E67" s="452"/>
      <c r="F67" s="458"/>
      <c r="G67" s="250"/>
      <c r="H67" s="462"/>
      <c r="I67" s="462"/>
      <c r="J67" s="450"/>
      <c r="K67" s="451"/>
      <c r="L67" s="451"/>
      <c r="M67" s="451"/>
      <c r="N67" s="451"/>
      <c r="O67" s="451"/>
      <c r="P67" s="451"/>
    </row>
    <row r="68" spans="1:16" s="453" customFormat="1" ht="25.15" customHeight="1">
      <c r="A68" s="456"/>
      <c r="B68" s="449"/>
      <c r="C68" s="449"/>
      <c r="D68" s="457"/>
      <c r="E68" s="452"/>
      <c r="F68" s="458"/>
      <c r="G68" s="250"/>
      <c r="H68" s="454"/>
      <c r="I68" s="454"/>
      <c r="J68" s="459"/>
      <c r="K68" s="451"/>
      <c r="L68" s="451"/>
      <c r="M68" s="451"/>
      <c r="N68" s="451"/>
      <c r="O68" s="451"/>
      <c r="P68" s="451"/>
    </row>
    <row r="69" spans="1:16" s="453" customFormat="1" ht="25.15" customHeight="1">
      <c r="A69" s="456"/>
      <c r="B69" s="449"/>
      <c r="C69" s="449"/>
      <c r="D69" s="457"/>
      <c r="E69" s="452"/>
      <c r="F69" s="458"/>
      <c r="G69" s="250"/>
      <c r="H69" s="454"/>
      <c r="I69" s="454"/>
      <c r="J69" s="450"/>
      <c r="K69" s="451"/>
      <c r="L69" s="451"/>
      <c r="M69" s="451"/>
      <c r="N69" s="451"/>
      <c r="O69" s="451"/>
      <c r="P69" s="451"/>
    </row>
    <row r="70" spans="1:16" s="453" customFormat="1" ht="25.15" customHeight="1">
      <c r="A70" s="456"/>
      <c r="B70" s="449"/>
      <c r="C70" s="449"/>
      <c r="D70" s="457"/>
      <c r="E70" s="452"/>
      <c r="F70" s="458"/>
      <c r="G70" s="250"/>
      <c r="H70" s="454"/>
      <c r="I70" s="454"/>
      <c r="J70" s="450"/>
      <c r="K70" s="451"/>
      <c r="L70" s="451"/>
      <c r="M70" s="451"/>
      <c r="N70" s="451"/>
      <c r="O70" s="451"/>
      <c r="P70" s="451"/>
    </row>
    <row r="71" spans="1:16" s="453" customFormat="1" ht="30" customHeight="1">
      <c r="A71" s="456"/>
      <c r="B71" s="449"/>
      <c r="C71" s="449"/>
      <c r="D71" s="457"/>
      <c r="E71" s="452"/>
      <c r="F71" s="458"/>
      <c r="G71" s="250"/>
      <c r="H71" s="454"/>
      <c r="I71" s="454"/>
      <c r="J71" s="450"/>
      <c r="K71" s="451"/>
      <c r="L71" s="451"/>
      <c r="M71" s="451"/>
      <c r="N71" s="451"/>
      <c r="O71" s="451"/>
      <c r="P71" s="451"/>
    </row>
    <row r="72" spans="1:16" s="453" customFormat="1" ht="30" customHeight="1">
      <c r="A72" s="456"/>
      <c r="B72" s="449"/>
      <c r="C72" s="449"/>
      <c r="D72" s="457"/>
      <c r="E72" s="452"/>
      <c r="F72" s="458"/>
      <c r="G72" s="250"/>
      <c r="H72" s="454"/>
      <c r="I72" s="454"/>
      <c r="J72" s="450"/>
      <c r="K72" s="451"/>
      <c r="L72" s="451"/>
      <c r="M72" s="451"/>
      <c r="N72" s="451"/>
      <c r="O72" s="451"/>
      <c r="P72" s="451"/>
    </row>
    <row r="73" spans="1:16" s="453" customFormat="1" ht="30" customHeight="1">
      <c r="A73" s="456"/>
      <c r="B73" s="449"/>
      <c r="C73" s="449"/>
      <c r="D73" s="457"/>
      <c r="E73" s="452"/>
      <c r="F73" s="458"/>
      <c r="G73" s="250"/>
      <c r="H73" s="454"/>
      <c r="I73" s="454"/>
      <c r="J73" s="450"/>
      <c r="K73" s="451"/>
      <c r="L73" s="451"/>
      <c r="M73" s="451"/>
      <c r="N73" s="451"/>
      <c r="O73" s="451"/>
      <c r="P73" s="451"/>
    </row>
    <row r="74" spans="1:16" s="453" customFormat="1" ht="30" customHeight="1">
      <c r="A74" s="456"/>
      <c r="B74" s="449"/>
      <c r="C74" s="449"/>
      <c r="D74" s="457"/>
      <c r="E74" s="452"/>
      <c r="F74" s="458"/>
      <c r="G74" s="250"/>
      <c r="H74" s="454"/>
      <c r="I74" s="454"/>
      <c r="J74" s="459"/>
      <c r="K74" s="451"/>
      <c r="L74" s="451"/>
      <c r="M74" s="451"/>
      <c r="N74" s="451"/>
      <c r="O74" s="451"/>
      <c r="P74" s="451"/>
    </row>
    <row r="75" spans="1:16" s="453" customFormat="1" ht="30" customHeight="1">
      <c r="A75" s="456"/>
      <c r="B75" s="449"/>
      <c r="C75" s="449"/>
      <c r="D75" s="457"/>
      <c r="E75" s="452"/>
      <c r="F75" s="458"/>
      <c r="G75" s="250"/>
      <c r="H75" s="454"/>
      <c r="I75" s="454"/>
      <c r="J75" s="450"/>
      <c r="K75" s="451"/>
      <c r="L75" s="451"/>
      <c r="M75" s="451"/>
      <c r="N75" s="451"/>
      <c r="O75" s="451"/>
      <c r="P75" s="451"/>
    </row>
    <row r="76" spans="1:16" s="453" customFormat="1" ht="30" customHeight="1">
      <c r="A76" s="456"/>
      <c r="B76" s="449"/>
      <c r="C76" s="449"/>
      <c r="D76" s="457"/>
      <c r="E76" s="452"/>
      <c r="F76" s="458"/>
      <c r="G76" s="250"/>
      <c r="H76" s="454"/>
      <c r="I76" s="454"/>
      <c r="J76" s="450"/>
      <c r="K76" s="451"/>
      <c r="L76" s="451"/>
      <c r="M76" s="451"/>
      <c r="N76" s="451"/>
      <c r="O76" s="451"/>
      <c r="P76" s="451"/>
    </row>
    <row r="77" spans="1:16" s="453" customFormat="1" ht="30" customHeight="1">
      <c r="A77" s="456"/>
      <c r="B77" s="449"/>
      <c r="C77" s="449"/>
      <c r="D77" s="457"/>
      <c r="E77" s="452"/>
      <c r="F77" s="458"/>
      <c r="G77" s="250"/>
      <c r="H77" s="454"/>
      <c r="I77" s="454"/>
      <c r="J77" s="450"/>
      <c r="K77" s="451"/>
      <c r="L77" s="451"/>
      <c r="M77" s="451"/>
      <c r="N77" s="451"/>
      <c r="O77" s="451"/>
      <c r="P77" s="451"/>
    </row>
    <row r="78" spans="1:16" s="453" customFormat="1" ht="30" customHeight="1">
      <c r="A78" s="456"/>
      <c r="B78" s="449"/>
      <c r="C78" s="449"/>
      <c r="D78" s="457"/>
      <c r="E78" s="452"/>
      <c r="F78" s="458"/>
      <c r="G78" s="250"/>
      <c r="H78" s="454"/>
      <c r="I78" s="454"/>
      <c r="J78" s="450"/>
      <c r="K78" s="451"/>
      <c r="L78" s="451"/>
      <c r="M78" s="451"/>
      <c r="N78" s="451"/>
      <c r="O78" s="451"/>
      <c r="P78" s="451"/>
    </row>
    <row r="79" spans="1:16" s="453" customFormat="1" ht="30" customHeight="1">
      <c r="A79" s="456"/>
      <c r="B79" s="449"/>
      <c r="C79" s="449"/>
      <c r="D79" s="457"/>
      <c r="E79" s="452"/>
      <c r="F79" s="458"/>
      <c r="G79" s="250"/>
      <c r="H79" s="451"/>
      <c r="I79" s="451"/>
      <c r="J79" s="450"/>
      <c r="K79" s="451"/>
      <c r="L79" s="451"/>
      <c r="M79" s="451"/>
      <c r="N79" s="451"/>
      <c r="O79" s="451"/>
      <c r="P79" s="451"/>
    </row>
    <row r="80" spans="1:16" s="453" customFormat="1" ht="30" customHeight="1">
      <c r="A80" s="456"/>
      <c r="B80" s="449"/>
      <c r="C80" s="449"/>
      <c r="D80" s="457"/>
      <c r="E80" s="452"/>
      <c r="F80" s="458"/>
      <c r="G80" s="250"/>
      <c r="H80" s="451"/>
      <c r="I80" s="451"/>
      <c r="J80" s="450"/>
      <c r="K80" s="451"/>
      <c r="L80" s="451"/>
      <c r="M80" s="451"/>
      <c r="N80" s="451"/>
      <c r="O80" s="451"/>
      <c r="P80" s="451"/>
    </row>
    <row r="81" spans="1:16" s="453" customFormat="1" ht="30" customHeight="1">
      <c r="A81" s="456"/>
      <c r="B81" s="449"/>
      <c r="C81" s="449"/>
      <c r="D81" s="457"/>
      <c r="E81" s="452"/>
      <c r="F81" s="458"/>
      <c r="G81" s="250"/>
      <c r="H81" s="451"/>
      <c r="I81" s="451"/>
      <c r="J81" s="450"/>
      <c r="K81" s="451"/>
      <c r="L81" s="451"/>
      <c r="M81" s="451"/>
      <c r="N81" s="451"/>
      <c r="O81" s="451"/>
      <c r="P81" s="451"/>
    </row>
    <row r="82" spans="1:16" s="453" customFormat="1" ht="30" customHeight="1">
      <c r="A82" s="456"/>
      <c r="B82" s="449"/>
      <c r="C82" s="449"/>
      <c r="D82" s="457"/>
      <c r="E82" s="452"/>
      <c r="F82" s="458"/>
      <c r="G82" s="250"/>
      <c r="H82" s="463"/>
      <c r="I82" s="463"/>
      <c r="J82" s="450"/>
      <c r="K82" s="451"/>
      <c r="L82" s="451"/>
      <c r="M82" s="451"/>
      <c r="N82" s="451"/>
      <c r="O82" s="451"/>
      <c r="P82" s="451"/>
    </row>
    <row r="83" spans="1:16" s="453" customFormat="1" ht="30" customHeight="1">
      <c r="A83" s="456"/>
      <c r="B83" s="449"/>
      <c r="C83" s="449"/>
      <c r="D83" s="457"/>
      <c r="E83" s="452"/>
      <c r="F83" s="458"/>
      <c r="G83" s="250"/>
      <c r="H83" s="463"/>
      <c r="I83" s="463"/>
      <c r="J83" s="450"/>
      <c r="K83" s="451"/>
      <c r="L83" s="451"/>
      <c r="M83" s="451"/>
      <c r="N83" s="451"/>
      <c r="O83" s="451"/>
      <c r="P83" s="451"/>
    </row>
    <row r="84" spans="1:16" s="453" customFormat="1" ht="30" customHeight="1">
      <c r="A84" s="456"/>
      <c r="B84" s="449"/>
      <c r="C84" s="449"/>
      <c r="D84" s="457"/>
      <c r="E84" s="452"/>
      <c r="F84" s="458"/>
      <c r="G84" s="250"/>
      <c r="H84" s="463"/>
      <c r="I84" s="463"/>
      <c r="J84" s="450"/>
      <c r="K84" s="451"/>
      <c r="L84" s="451"/>
      <c r="M84" s="451"/>
      <c r="N84" s="451"/>
      <c r="O84" s="451"/>
      <c r="P84" s="451"/>
    </row>
    <row r="85" spans="1:16" s="453" customFormat="1" ht="30" customHeight="1">
      <c r="A85" s="456"/>
      <c r="B85" s="449"/>
      <c r="C85" s="449"/>
      <c r="D85" s="457"/>
      <c r="E85" s="452"/>
      <c r="F85" s="458"/>
      <c r="G85" s="250"/>
      <c r="H85" s="463"/>
      <c r="I85" s="463"/>
      <c r="J85" s="450"/>
      <c r="K85" s="451"/>
      <c r="L85" s="451"/>
      <c r="M85" s="451"/>
      <c r="N85" s="451"/>
      <c r="O85" s="451"/>
      <c r="P85" s="451"/>
    </row>
    <row r="86" spans="1:16" s="453" customFormat="1" ht="30" customHeight="1">
      <c r="A86" s="456"/>
      <c r="B86" s="449"/>
      <c r="C86" s="449"/>
      <c r="D86" s="457"/>
      <c r="E86" s="452"/>
      <c r="F86" s="458"/>
      <c r="G86" s="250"/>
      <c r="H86" s="463"/>
      <c r="I86" s="463"/>
      <c r="J86" s="450"/>
      <c r="K86" s="451"/>
      <c r="L86" s="451"/>
      <c r="M86" s="451"/>
      <c r="N86" s="451"/>
      <c r="O86" s="451"/>
      <c r="P86" s="451"/>
    </row>
    <row r="87" spans="1:16" s="453" customFormat="1" ht="30" customHeight="1">
      <c r="A87" s="456"/>
      <c r="B87" s="449"/>
      <c r="C87" s="449"/>
      <c r="D87" s="457"/>
      <c r="E87" s="452"/>
      <c r="F87" s="458"/>
      <c r="G87" s="250"/>
      <c r="H87" s="463"/>
      <c r="I87" s="508"/>
      <c r="J87" s="459"/>
      <c r="K87" s="451"/>
      <c r="L87" s="451"/>
      <c r="M87" s="451"/>
      <c r="N87" s="451"/>
      <c r="O87" s="451"/>
      <c r="P87" s="451"/>
    </row>
    <row r="88" spans="1:16" s="453" customFormat="1" ht="30" customHeight="1">
      <c r="A88" s="456"/>
      <c r="B88" s="449"/>
      <c r="C88" s="449"/>
      <c r="D88" s="457"/>
      <c r="E88" s="452"/>
      <c r="F88" s="458"/>
      <c r="G88" s="250"/>
      <c r="H88" s="451"/>
      <c r="I88" s="451"/>
      <c r="J88" s="450"/>
      <c r="K88" s="451"/>
      <c r="L88" s="451"/>
      <c r="M88" s="451"/>
      <c r="N88" s="451"/>
      <c r="O88" s="451"/>
      <c r="P88" s="451"/>
    </row>
    <row r="89" spans="1:16" s="453" customFormat="1" ht="30" customHeight="1">
      <c r="A89" s="456"/>
      <c r="B89" s="449"/>
      <c r="C89" s="449"/>
      <c r="D89" s="457"/>
      <c r="E89" s="452"/>
      <c r="F89" s="458"/>
      <c r="G89" s="250"/>
      <c r="H89" s="463"/>
      <c r="I89" s="463"/>
      <c r="J89" s="450"/>
      <c r="K89" s="451"/>
      <c r="L89" s="451"/>
      <c r="M89" s="451"/>
      <c r="N89" s="451"/>
      <c r="O89" s="451"/>
      <c r="P89" s="451"/>
    </row>
    <row r="90" spans="1:16" s="453" customFormat="1" ht="30" customHeight="1">
      <c r="A90" s="456"/>
      <c r="B90" s="449"/>
      <c r="C90" s="449"/>
      <c r="D90" s="457"/>
      <c r="E90" s="452"/>
      <c r="F90" s="458"/>
      <c r="G90" s="250"/>
      <c r="H90" s="463"/>
      <c r="I90" s="508"/>
      <c r="J90" s="459"/>
      <c r="K90" s="451"/>
      <c r="L90" s="451"/>
      <c r="M90" s="451"/>
      <c r="N90" s="451"/>
      <c r="O90" s="451"/>
      <c r="P90" s="451"/>
    </row>
    <row r="91" spans="1:16" s="453" customFormat="1" ht="30" customHeight="1">
      <c r="A91" s="456"/>
      <c r="B91" s="449"/>
      <c r="C91" s="449"/>
      <c r="D91" s="457"/>
      <c r="E91" s="452"/>
      <c r="F91" s="458"/>
      <c r="G91" s="250"/>
      <c r="H91" s="463"/>
      <c r="I91" s="463"/>
      <c r="J91" s="450"/>
      <c r="K91" s="451"/>
      <c r="L91" s="451"/>
      <c r="M91" s="451"/>
      <c r="N91" s="451"/>
      <c r="O91" s="451"/>
      <c r="P91" s="451"/>
    </row>
    <row r="92" spans="1:16" s="453" customFormat="1" ht="30" customHeight="1">
      <c r="A92" s="456"/>
      <c r="B92" s="449"/>
      <c r="C92" s="449"/>
      <c r="D92" s="457"/>
      <c r="E92" s="452"/>
      <c r="F92" s="458"/>
      <c r="G92" s="250"/>
      <c r="H92" s="463"/>
      <c r="I92" s="463"/>
      <c r="J92" s="450"/>
      <c r="K92" s="451"/>
      <c r="L92" s="451"/>
      <c r="M92" s="451"/>
      <c r="N92" s="451"/>
      <c r="O92" s="451"/>
      <c r="P92" s="451"/>
    </row>
    <row r="93" spans="1:16" s="453" customFormat="1" ht="30" customHeight="1">
      <c r="A93" s="456"/>
      <c r="B93" s="449"/>
      <c r="C93" s="449"/>
      <c r="D93" s="457"/>
      <c r="E93" s="452"/>
      <c r="F93" s="458"/>
      <c r="G93" s="250"/>
      <c r="H93" s="451"/>
      <c r="I93" s="451"/>
      <c r="J93" s="450"/>
      <c r="K93" s="451"/>
      <c r="L93" s="451"/>
      <c r="M93" s="451"/>
      <c r="N93" s="451"/>
      <c r="O93" s="451"/>
      <c r="P93" s="451"/>
    </row>
    <row r="94" spans="1:16" s="453" customFormat="1" ht="30" customHeight="1">
      <c r="A94" s="456"/>
      <c r="B94" s="449"/>
      <c r="C94" s="449"/>
      <c r="D94" s="457"/>
      <c r="E94" s="452"/>
      <c r="F94" s="458"/>
      <c r="G94" s="250"/>
      <c r="H94" s="451"/>
      <c r="I94" s="451"/>
      <c r="J94" s="450"/>
      <c r="K94" s="451"/>
      <c r="L94" s="451"/>
      <c r="M94" s="451"/>
      <c r="N94" s="451"/>
      <c r="O94" s="451"/>
      <c r="P94" s="451"/>
    </row>
    <row r="95" spans="1:16" s="453" customFormat="1" ht="30" customHeight="1">
      <c r="A95" s="456"/>
      <c r="B95" s="449"/>
      <c r="C95" s="449"/>
      <c r="D95" s="457"/>
      <c r="E95" s="452"/>
      <c r="F95" s="458"/>
      <c r="G95" s="250"/>
      <c r="H95" s="451"/>
      <c r="I95" s="451"/>
      <c r="J95" s="450"/>
      <c r="K95" s="451"/>
      <c r="L95" s="450"/>
      <c r="M95" s="451"/>
      <c r="N95" s="451"/>
      <c r="O95" s="451"/>
      <c r="P95" s="451"/>
    </row>
    <row r="96" spans="1:16" s="453" customFormat="1" ht="30" customHeight="1">
      <c r="A96" s="456"/>
      <c r="B96" s="449"/>
      <c r="C96" s="449"/>
      <c r="D96" s="457"/>
      <c r="E96" s="452"/>
      <c r="F96" s="450"/>
      <c r="G96" s="250"/>
      <c r="H96" s="247"/>
      <c r="I96" s="247"/>
      <c r="J96" s="450"/>
      <c r="K96" s="451"/>
      <c r="L96" s="450"/>
      <c r="M96" s="451"/>
      <c r="N96" s="451"/>
      <c r="O96" s="451"/>
      <c r="P96" s="451"/>
    </row>
    <row r="97" spans="1:25" s="453" customFormat="1" ht="30" customHeight="1">
      <c r="A97" s="456"/>
      <c r="B97" s="449"/>
      <c r="C97" s="449"/>
      <c r="D97" s="457"/>
      <c r="E97" s="452"/>
      <c r="F97" s="458"/>
      <c r="G97" s="250"/>
      <c r="H97" s="247"/>
      <c r="I97" s="469"/>
      <c r="J97" s="459"/>
      <c r="K97" s="451"/>
      <c r="L97" s="451"/>
      <c r="M97" s="451"/>
      <c r="N97" s="451"/>
      <c r="O97" s="451"/>
      <c r="P97" s="451"/>
    </row>
    <row r="98" spans="1:25" s="453" customFormat="1" ht="30" customHeight="1">
      <c r="A98" s="456"/>
      <c r="B98" s="449"/>
      <c r="C98" s="449"/>
      <c r="D98" s="457"/>
      <c r="E98" s="452"/>
      <c r="F98" s="458"/>
      <c r="G98" s="250"/>
      <c r="H98" s="247"/>
      <c r="I98" s="247"/>
      <c r="J98" s="450"/>
      <c r="K98" s="451"/>
      <c r="L98" s="451"/>
      <c r="M98" s="451"/>
      <c r="N98" s="451"/>
      <c r="O98" s="451"/>
      <c r="P98" s="451"/>
    </row>
    <row r="99" spans="1:25" s="453" customFormat="1" ht="30" customHeight="1">
      <c r="A99" s="456"/>
      <c r="B99" s="449"/>
      <c r="C99" s="449"/>
      <c r="D99" s="457"/>
      <c r="E99" s="452"/>
      <c r="F99" s="458"/>
      <c r="G99" s="250"/>
      <c r="H99" s="247"/>
      <c r="I99" s="247"/>
      <c r="J99" s="450"/>
      <c r="K99" s="451"/>
      <c r="L99" s="451"/>
      <c r="M99" s="451"/>
      <c r="N99" s="451"/>
      <c r="O99" s="451"/>
      <c r="P99" s="451"/>
    </row>
    <row r="100" spans="1:25" s="453" customFormat="1" ht="30" customHeight="1">
      <c r="A100" s="456"/>
      <c r="B100" s="449"/>
      <c r="C100" s="449"/>
      <c r="D100" s="457"/>
      <c r="E100" s="452"/>
      <c r="F100" s="458"/>
      <c r="G100" s="250"/>
      <c r="H100" s="247"/>
      <c r="I100" s="247"/>
      <c r="J100" s="450"/>
      <c r="K100" s="451"/>
      <c r="L100" s="451"/>
      <c r="M100" s="451"/>
      <c r="N100" s="451"/>
      <c r="O100" s="451"/>
      <c r="P100" s="451"/>
    </row>
    <row r="101" spans="1:25" s="453" customFormat="1" ht="30" customHeight="1">
      <c r="A101" s="456"/>
      <c r="B101" s="449"/>
      <c r="C101" s="449"/>
      <c r="D101" s="457"/>
      <c r="E101" s="449"/>
      <c r="F101" s="458"/>
      <c r="G101" s="250"/>
      <c r="H101" s="247"/>
      <c r="I101" s="247"/>
      <c r="J101" s="450"/>
      <c r="K101" s="451"/>
      <c r="L101" s="450"/>
      <c r="M101" s="451"/>
      <c r="N101" s="451"/>
      <c r="O101" s="451"/>
      <c r="P101" s="451"/>
    </row>
    <row r="102" spans="1:25" s="453" customFormat="1" ht="30" customHeight="1">
      <c r="A102" s="456"/>
      <c r="B102" s="449"/>
      <c r="C102" s="449"/>
      <c r="D102" s="457"/>
      <c r="E102" s="452"/>
      <c r="F102" s="458"/>
      <c r="G102" s="250"/>
      <c r="H102" s="247"/>
      <c r="I102" s="469"/>
      <c r="J102" s="459"/>
      <c r="K102" s="451"/>
      <c r="L102" s="450"/>
      <c r="M102" s="451"/>
      <c r="N102" s="451"/>
      <c r="O102" s="451"/>
      <c r="P102" s="451"/>
    </row>
    <row r="103" spans="1:25" s="453" customFormat="1" ht="30" customHeight="1">
      <c r="A103" s="456"/>
      <c r="B103" s="449"/>
      <c r="C103" s="449"/>
      <c r="D103" s="457"/>
      <c r="E103" s="452"/>
      <c r="F103" s="458"/>
      <c r="G103" s="250"/>
      <c r="H103" s="247"/>
      <c r="I103" s="469"/>
      <c r="J103" s="459"/>
      <c r="K103" s="451"/>
      <c r="L103" s="450"/>
      <c r="M103" s="451"/>
      <c r="N103" s="451"/>
      <c r="O103" s="451"/>
      <c r="P103" s="451"/>
    </row>
    <row r="104" spans="1:25" s="453" customFormat="1" ht="30" customHeight="1">
      <c r="A104" s="456"/>
      <c r="B104" s="449"/>
      <c r="C104" s="449"/>
      <c r="D104" s="457"/>
      <c r="E104" s="452"/>
      <c r="F104" s="458"/>
      <c r="G104" s="250"/>
      <c r="H104" s="247"/>
      <c r="I104" s="247"/>
      <c r="J104" s="450"/>
      <c r="K104" s="451"/>
      <c r="L104" s="450"/>
      <c r="M104" s="451"/>
      <c r="N104" s="451"/>
      <c r="O104" s="451"/>
      <c r="P104" s="451"/>
    </row>
    <row r="105" spans="1:25" s="453" customFormat="1" ht="30" customHeight="1">
      <c r="A105" s="456"/>
      <c r="B105" s="449"/>
      <c r="C105" s="449"/>
      <c r="D105" s="457"/>
      <c r="E105" s="452"/>
      <c r="F105" s="458"/>
      <c r="G105" s="250"/>
      <c r="H105" s="247"/>
      <c r="I105" s="247"/>
      <c r="J105" s="450"/>
      <c r="K105" s="451"/>
      <c r="L105" s="450"/>
      <c r="M105" s="451"/>
      <c r="N105" s="451"/>
      <c r="O105" s="451"/>
      <c r="P105" s="451"/>
    </row>
    <row r="106" spans="1:25" s="453" customFormat="1" ht="30" customHeight="1">
      <c r="A106" s="456"/>
      <c r="B106" s="449"/>
      <c r="C106" s="449"/>
      <c r="D106" s="457"/>
      <c r="E106" s="452"/>
      <c r="F106" s="458"/>
      <c r="G106" s="250"/>
      <c r="H106" s="247"/>
      <c r="I106" s="247"/>
      <c r="J106" s="450"/>
      <c r="K106" s="451"/>
      <c r="L106" s="450"/>
      <c r="M106" s="451"/>
      <c r="N106" s="451"/>
      <c r="O106" s="451"/>
      <c r="P106" s="451"/>
    </row>
    <row r="107" spans="1:25" s="453" customFormat="1" ht="30" customHeight="1">
      <c r="A107" s="456"/>
      <c r="B107" s="449"/>
      <c r="C107" s="449"/>
      <c r="D107" s="457"/>
      <c r="E107" s="452"/>
      <c r="F107" s="458"/>
      <c r="G107" s="250"/>
      <c r="H107" s="247"/>
      <c r="I107" s="247"/>
      <c r="J107" s="450"/>
      <c r="K107" s="451"/>
      <c r="L107" s="450"/>
      <c r="M107" s="451"/>
      <c r="N107" s="451"/>
      <c r="O107" s="451"/>
      <c r="P107" s="451"/>
    </row>
    <row r="108" spans="1:25" s="453" customFormat="1" ht="30" customHeight="1">
      <c r="A108" s="456"/>
      <c r="B108" s="449"/>
      <c r="C108" s="449"/>
      <c r="D108" s="457"/>
      <c r="E108" s="452"/>
      <c r="F108" s="458"/>
      <c r="G108" s="250"/>
      <c r="H108" s="247"/>
      <c r="I108" s="247"/>
      <c r="J108" s="450"/>
      <c r="K108" s="451"/>
      <c r="L108" s="450"/>
      <c r="M108" s="451"/>
      <c r="N108" s="451"/>
      <c r="O108" s="451"/>
      <c r="P108" s="451"/>
    </row>
    <row r="109" spans="1:25" s="453" customFormat="1" ht="30" customHeight="1">
      <c r="A109" s="456"/>
      <c r="B109" s="449"/>
      <c r="C109" s="449"/>
      <c r="D109" s="457"/>
      <c r="E109" s="452"/>
      <c r="F109" s="458"/>
      <c r="G109" s="250"/>
      <c r="H109" s="247"/>
      <c r="I109" s="469"/>
      <c r="J109" s="459"/>
      <c r="K109" s="451"/>
      <c r="L109" s="450"/>
      <c r="M109" s="451"/>
      <c r="N109" s="451"/>
      <c r="O109" s="451"/>
      <c r="P109" s="451"/>
    </row>
    <row r="110" spans="1:25" s="453" customFormat="1" ht="30" customHeight="1">
      <c r="A110" s="456"/>
      <c r="B110" s="449"/>
      <c r="C110" s="449"/>
      <c r="D110" s="457"/>
      <c r="E110" s="452"/>
      <c r="F110" s="458"/>
      <c r="G110" s="250"/>
      <c r="H110" s="247"/>
      <c r="I110" s="469"/>
      <c r="J110" s="459"/>
      <c r="K110" s="451"/>
      <c r="L110" s="450"/>
      <c r="M110" s="451"/>
      <c r="N110" s="451"/>
      <c r="O110" s="451"/>
      <c r="P110" s="451"/>
    </row>
    <row r="111" spans="1:25" s="453" customFormat="1" ht="30" customHeight="1">
      <c r="A111" s="456"/>
      <c r="B111" s="449"/>
      <c r="C111" s="449"/>
      <c r="D111" s="457"/>
      <c r="E111" s="452"/>
      <c r="F111" s="458"/>
      <c r="G111" s="250"/>
      <c r="H111" s="247"/>
      <c r="I111" s="469"/>
      <c r="J111" s="459"/>
      <c r="K111" s="451"/>
      <c r="L111" s="450"/>
      <c r="M111" s="451"/>
      <c r="N111" s="451"/>
      <c r="O111" s="451"/>
      <c r="P111" s="451"/>
    </row>
    <row r="112" spans="1:25" s="453" customFormat="1" ht="30" customHeight="1">
      <c r="A112" s="456"/>
      <c r="B112" s="464"/>
      <c r="C112" s="449"/>
      <c r="D112" s="457"/>
      <c r="E112" s="465"/>
      <c r="F112" s="458"/>
      <c r="G112" s="250"/>
      <c r="H112" s="247"/>
      <c r="I112" s="247"/>
      <c r="J112" s="450"/>
      <c r="K112" s="451"/>
      <c r="L112" s="450"/>
      <c r="M112" s="451"/>
      <c r="N112" s="451"/>
      <c r="Y112" s="458"/>
    </row>
    <row r="113" spans="1:16" s="453" customFormat="1" ht="30" customHeight="1">
      <c r="A113" s="456"/>
      <c r="B113" s="449"/>
      <c r="C113" s="449"/>
      <c r="D113" s="457"/>
      <c r="E113" s="452"/>
      <c r="F113" s="458"/>
      <c r="G113" s="250"/>
      <c r="H113" s="247"/>
      <c r="I113" s="247"/>
      <c r="J113" s="450"/>
      <c r="K113" s="451"/>
      <c r="L113" s="450"/>
      <c r="M113" s="451"/>
      <c r="N113" s="451"/>
      <c r="O113" s="451"/>
      <c r="P113" s="451"/>
    </row>
    <row r="114" spans="1:16" s="453" customFormat="1" ht="30" customHeight="1">
      <c r="A114" s="456"/>
      <c r="B114" s="458"/>
      <c r="C114" s="449"/>
      <c r="D114" s="457"/>
      <c r="E114" s="452"/>
      <c r="F114" s="458"/>
      <c r="G114" s="250"/>
      <c r="H114" s="247"/>
      <c r="I114" s="247"/>
      <c r="J114" s="450"/>
      <c r="K114" s="466"/>
      <c r="L114" s="467"/>
      <c r="M114" s="451"/>
      <c r="N114" s="451"/>
      <c r="O114" s="451"/>
      <c r="P114" s="451"/>
    </row>
    <row r="115" spans="1:16" s="453" customFormat="1" ht="30" customHeight="1">
      <c r="A115" s="456"/>
      <c r="B115" s="449"/>
      <c r="C115" s="449"/>
      <c r="D115" s="457"/>
      <c r="E115" s="452"/>
      <c r="F115" s="458"/>
      <c r="G115" s="250"/>
      <c r="H115" s="247"/>
      <c r="I115" s="247"/>
      <c r="J115" s="450"/>
      <c r="K115" s="451"/>
      <c r="L115" s="450"/>
      <c r="M115" s="451"/>
      <c r="N115" s="451"/>
      <c r="O115" s="451"/>
      <c r="P115" s="451"/>
    </row>
    <row r="116" spans="1:16" s="453" customFormat="1" ht="30" customHeight="1">
      <c r="A116" s="456"/>
      <c r="B116" s="449"/>
      <c r="C116" s="449"/>
      <c r="D116" s="457"/>
      <c r="E116" s="452"/>
      <c r="F116" s="458"/>
      <c r="G116" s="250"/>
      <c r="H116" s="247"/>
      <c r="I116" s="247"/>
      <c r="J116" s="450"/>
      <c r="K116" s="451"/>
      <c r="L116" s="450"/>
      <c r="M116" s="451"/>
      <c r="N116" s="451"/>
      <c r="O116" s="451"/>
      <c r="P116" s="451"/>
    </row>
    <row r="117" spans="1:16" s="453" customFormat="1" ht="30" customHeight="1">
      <c r="A117" s="456"/>
      <c r="B117" s="449"/>
      <c r="C117" s="449"/>
      <c r="D117" s="457"/>
      <c r="E117" s="452"/>
      <c r="F117" s="458"/>
      <c r="G117" s="250"/>
      <c r="H117" s="247"/>
      <c r="I117" s="469"/>
      <c r="J117" s="459"/>
      <c r="K117" s="451"/>
      <c r="L117" s="450"/>
      <c r="M117" s="451"/>
      <c r="N117" s="451"/>
      <c r="O117" s="451"/>
      <c r="P117" s="451"/>
    </row>
    <row r="118" spans="1:16" s="453" customFormat="1" ht="30" customHeight="1">
      <c r="A118" s="456"/>
      <c r="B118" s="449"/>
      <c r="C118" s="449"/>
      <c r="D118" s="457"/>
      <c r="E118" s="452"/>
      <c r="F118" s="458"/>
      <c r="G118" s="250"/>
      <c r="H118" s="247"/>
      <c r="I118" s="247"/>
      <c r="J118" s="450"/>
      <c r="K118" s="451"/>
      <c r="L118" s="450"/>
      <c r="M118" s="451"/>
      <c r="N118" s="451"/>
      <c r="O118" s="451"/>
      <c r="P118" s="451"/>
    </row>
    <row r="119" spans="1:16" s="453" customFormat="1" ht="30" customHeight="1">
      <c r="A119" s="456"/>
      <c r="B119" s="449"/>
      <c r="C119" s="449"/>
      <c r="D119" s="457"/>
      <c r="E119" s="452"/>
      <c r="F119" s="450"/>
      <c r="G119" s="250"/>
      <c r="H119" s="247"/>
      <c r="I119" s="247"/>
      <c r="J119" s="450"/>
      <c r="K119" s="451"/>
      <c r="L119" s="450"/>
      <c r="M119" s="451"/>
      <c r="N119" s="451"/>
      <c r="O119" s="451"/>
      <c r="P119" s="451"/>
    </row>
    <row r="120" spans="1:16" s="453" customFormat="1" ht="30" customHeight="1">
      <c r="A120" s="456"/>
      <c r="B120" s="449"/>
      <c r="C120" s="449"/>
      <c r="D120" s="457"/>
      <c r="E120" s="452"/>
      <c r="F120" s="458"/>
      <c r="G120" s="250"/>
      <c r="H120" s="247"/>
      <c r="I120" s="469"/>
      <c r="J120" s="459"/>
      <c r="K120" s="451"/>
      <c r="L120" s="450"/>
      <c r="M120" s="451"/>
      <c r="N120" s="451"/>
      <c r="O120" s="451"/>
      <c r="P120" s="451"/>
    </row>
    <row r="121" spans="1:16" s="453" customFormat="1" ht="30" customHeight="1">
      <c r="A121" s="456"/>
      <c r="B121" s="449"/>
      <c r="C121" s="449"/>
      <c r="D121" s="457"/>
      <c r="E121" s="452"/>
      <c r="F121" s="458"/>
      <c r="G121" s="250"/>
      <c r="H121" s="247"/>
      <c r="I121" s="247"/>
      <c r="J121" s="450"/>
      <c r="K121" s="451"/>
      <c r="L121" s="450"/>
      <c r="M121" s="451"/>
      <c r="N121" s="451"/>
      <c r="O121" s="451"/>
      <c r="P121" s="451"/>
    </row>
    <row r="122" spans="1:16" s="453" customFormat="1" ht="30" customHeight="1">
      <c r="A122" s="456"/>
      <c r="B122" s="449"/>
      <c r="C122" s="449"/>
      <c r="D122" s="457"/>
      <c r="E122" s="452"/>
      <c r="F122" s="458"/>
      <c r="G122" s="250"/>
      <c r="H122" s="247"/>
      <c r="I122" s="247"/>
      <c r="J122" s="450"/>
      <c r="K122" s="451"/>
      <c r="L122" s="450"/>
      <c r="M122" s="451"/>
      <c r="N122" s="451"/>
      <c r="O122" s="451"/>
      <c r="P122" s="451"/>
    </row>
    <row r="123" spans="1:16" s="453" customFormat="1" ht="30" customHeight="1">
      <c r="A123" s="456"/>
      <c r="B123" s="449"/>
      <c r="C123" s="449"/>
      <c r="D123" s="457"/>
      <c r="E123" s="452"/>
      <c r="F123" s="458"/>
      <c r="G123" s="250"/>
      <c r="H123" s="247"/>
      <c r="I123" s="469"/>
      <c r="J123" s="459"/>
      <c r="K123" s="451"/>
      <c r="L123" s="450"/>
      <c r="M123" s="451"/>
      <c r="N123" s="451"/>
      <c r="O123" s="451"/>
      <c r="P123" s="451"/>
    </row>
    <row r="124" spans="1:16" s="453" customFormat="1" ht="30" customHeight="1">
      <c r="A124" s="456"/>
      <c r="B124" s="449"/>
      <c r="C124" s="449"/>
      <c r="D124" s="457"/>
      <c r="E124" s="465"/>
      <c r="F124" s="458"/>
      <c r="G124" s="250"/>
      <c r="H124" s="247"/>
      <c r="I124" s="469"/>
      <c r="J124" s="459"/>
      <c r="K124" s="451"/>
      <c r="L124" s="450"/>
      <c r="M124" s="451"/>
      <c r="N124" s="451"/>
      <c r="O124" s="451"/>
      <c r="P124" s="451"/>
    </row>
    <row r="125" spans="1:16" s="453" customFormat="1" ht="30" customHeight="1">
      <c r="A125" s="456"/>
      <c r="B125" s="449"/>
      <c r="C125" s="449"/>
      <c r="D125" s="457"/>
      <c r="E125" s="452"/>
      <c r="F125" s="458"/>
      <c r="G125" s="250"/>
      <c r="H125" s="247"/>
      <c r="I125" s="247"/>
      <c r="J125" s="450"/>
      <c r="K125" s="451"/>
      <c r="L125" s="450"/>
      <c r="M125" s="451"/>
      <c r="N125" s="451"/>
      <c r="O125" s="451"/>
      <c r="P125" s="451"/>
    </row>
    <row r="126" spans="1:16" s="453" customFormat="1" ht="30" customHeight="1">
      <c r="A126" s="456"/>
      <c r="B126" s="449"/>
      <c r="C126" s="449"/>
      <c r="D126" s="457"/>
      <c r="E126" s="452"/>
      <c r="F126" s="458"/>
      <c r="G126" s="250"/>
      <c r="H126" s="247"/>
      <c r="I126" s="247"/>
      <c r="J126" s="450"/>
      <c r="K126" s="451"/>
      <c r="L126" s="450"/>
      <c r="M126" s="451"/>
      <c r="N126" s="451"/>
      <c r="O126" s="451"/>
      <c r="P126" s="451"/>
    </row>
    <row r="127" spans="1:16" s="453" customFormat="1" ht="30" customHeight="1">
      <c r="A127" s="456"/>
      <c r="B127" s="449"/>
      <c r="C127" s="449"/>
      <c r="D127" s="457"/>
      <c r="E127" s="452"/>
      <c r="F127" s="458"/>
      <c r="G127" s="250"/>
      <c r="H127" s="247"/>
      <c r="I127" s="469"/>
      <c r="J127" s="459"/>
      <c r="K127" s="451"/>
      <c r="L127" s="450"/>
      <c r="M127" s="451"/>
      <c r="N127" s="451"/>
      <c r="O127" s="451"/>
      <c r="P127" s="451"/>
    </row>
    <row r="128" spans="1:16" s="453" customFormat="1" ht="30" customHeight="1">
      <c r="A128" s="456"/>
      <c r="B128" s="449"/>
      <c r="C128" s="449"/>
      <c r="D128" s="457"/>
      <c r="E128" s="452"/>
      <c r="F128" s="458"/>
      <c r="G128" s="250"/>
      <c r="H128" s="247"/>
      <c r="I128" s="469"/>
      <c r="J128" s="459"/>
      <c r="K128" s="451"/>
      <c r="L128" s="450"/>
      <c r="M128" s="451"/>
      <c r="N128" s="451"/>
      <c r="O128" s="451"/>
      <c r="P128" s="451"/>
    </row>
    <row r="129" spans="1:16" s="453" customFormat="1" ht="30" customHeight="1">
      <c r="A129" s="456"/>
      <c r="B129" s="449"/>
      <c r="C129" s="449"/>
      <c r="D129" s="457"/>
      <c r="E129" s="452"/>
      <c r="F129" s="458"/>
      <c r="G129" s="250"/>
      <c r="H129" s="247"/>
      <c r="I129" s="247"/>
      <c r="J129" s="450"/>
      <c r="K129" s="451"/>
      <c r="L129" s="450"/>
      <c r="M129" s="451"/>
      <c r="N129" s="451"/>
      <c r="O129" s="451"/>
      <c r="P129" s="451"/>
    </row>
    <row r="130" spans="1:16" s="453" customFormat="1" ht="30" customHeight="1">
      <c r="A130" s="456"/>
      <c r="B130" s="449"/>
      <c r="C130" s="449"/>
      <c r="D130" s="457"/>
      <c r="E130" s="452"/>
      <c r="F130" s="458"/>
      <c r="G130" s="250"/>
      <c r="H130" s="247"/>
      <c r="I130" s="247"/>
      <c r="J130" s="450"/>
      <c r="K130" s="451"/>
      <c r="L130" s="450"/>
      <c r="M130" s="451"/>
      <c r="N130" s="451"/>
      <c r="O130" s="451"/>
      <c r="P130" s="451"/>
    </row>
    <row r="131" spans="1:16" s="453" customFormat="1" ht="30" customHeight="1">
      <c r="A131" s="456"/>
      <c r="B131" s="449"/>
      <c r="C131" s="449"/>
      <c r="D131" s="457"/>
      <c r="E131" s="452"/>
      <c r="F131" s="458"/>
      <c r="G131" s="250"/>
      <c r="H131" s="247"/>
      <c r="I131" s="469"/>
      <c r="J131" s="459"/>
      <c r="K131" s="451"/>
      <c r="L131" s="450"/>
      <c r="M131" s="451"/>
      <c r="N131" s="451"/>
      <c r="O131" s="451"/>
      <c r="P131" s="451"/>
    </row>
    <row r="132" spans="1:16" s="453" customFormat="1" ht="30" customHeight="1">
      <c r="A132" s="456"/>
      <c r="B132" s="449"/>
      <c r="C132" s="449"/>
      <c r="D132" s="457"/>
      <c r="E132" s="452"/>
      <c r="F132" s="458"/>
      <c r="G132" s="250"/>
      <c r="H132" s="247"/>
      <c r="I132" s="247"/>
      <c r="J132" s="450"/>
      <c r="K132" s="451"/>
      <c r="L132" s="450"/>
      <c r="M132" s="451"/>
      <c r="N132" s="451"/>
      <c r="O132" s="451"/>
      <c r="P132" s="451"/>
    </row>
    <row r="133" spans="1:16" s="453" customFormat="1" ht="30" customHeight="1">
      <c r="A133" s="456"/>
      <c r="B133" s="449"/>
      <c r="C133" s="449"/>
      <c r="D133" s="457"/>
      <c r="E133" s="452"/>
      <c r="F133" s="458"/>
      <c r="G133" s="250"/>
      <c r="H133" s="247"/>
      <c r="I133" s="247"/>
      <c r="J133" s="450"/>
      <c r="K133" s="451"/>
      <c r="L133" s="450"/>
      <c r="M133" s="451"/>
      <c r="N133" s="451"/>
      <c r="O133" s="451"/>
      <c r="P133" s="451"/>
    </row>
    <row r="134" spans="1:16" s="453" customFormat="1" ht="30" customHeight="1">
      <c r="A134" s="456"/>
      <c r="B134" s="449"/>
      <c r="C134" s="449"/>
      <c r="D134" s="457"/>
      <c r="E134" s="449"/>
      <c r="F134" s="458"/>
      <c r="G134" s="250"/>
      <c r="H134" s="247"/>
      <c r="I134" s="469"/>
      <c r="J134" s="459"/>
      <c r="K134" s="451"/>
      <c r="L134" s="450"/>
      <c r="M134" s="451"/>
      <c r="N134" s="451"/>
      <c r="O134" s="451"/>
      <c r="P134" s="451"/>
    </row>
    <row r="135" spans="1:16" s="453" customFormat="1" ht="30" customHeight="1">
      <c r="A135" s="456"/>
      <c r="B135" s="449"/>
      <c r="C135" s="449"/>
      <c r="D135" s="457"/>
      <c r="E135" s="452"/>
      <c r="F135" s="458"/>
      <c r="G135" s="250"/>
      <c r="H135" s="247"/>
      <c r="I135" s="469"/>
      <c r="J135" s="459"/>
      <c r="K135" s="451"/>
      <c r="L135" s="450"/>
      <c r="M135" s="451"/>
      <c r="N135" s="451"/>
      <c r="O135" s="451"/>
      <c r="P135" s="451"/>
    </row>
    <row r="136" spans="1:16" s="453" customFormat="1" ht="30" customHeight="1">
      <c r="A136" s="456"/>
      <c r="B136" s="449"/>
      <c r="C136" s="449"/>
      <c r="D136" s="457"/>
      <c r="E136" s="449"/>
      <c r="F136" s="458"/>
      <c r="G136" s="250"/>
      <c r="H136" s="247"/>
      <c r="I136" s="469"/>
      <c r="J136" s="459"/>
      <c r="K136" s="451"/>
      <c r="L136" s="450"/>
      <c r="M136" s="451"/>
      <c r="N136" s="451"/>
      <c r="O136" s="451"/>
      <c r="P136" s="451"/>
    </row>
    <row r="137" spans="1:16" s="453" customFormat="1" ht="30" customHeight="1">
      <c r="A137" s="456"/>
      <c r="B137" s="449"/>
      <c r="C137" s="449"/>
      <c r="D137" s="457"/>
      <c r="E137" s="449"/>
      <c r="F137" s="458"/>
      <c r="G137" s="250"/>
      <c r="H137" s="247"/>
      <c r="I137" s="469"/>
      <c r="J137" s="459"/>
      <c r="K137" s="451"/>
      <c r="L137" s="450"/>
      <c r="M137" s="451"/>
      <c r="N137" s="451"/>
      <c r="O137" s="451"/>
      <c r="P137" s="451"/>
    </row>
    <row r="138" spans="1:16" s="453" customFormat="1" ht="30" customHeight="1">
      <c r="A138" s="456"/>
      <c r="B138" s="449"/>
      <c r="C138" s="449"/>
      <c r="D138" s="457"/>
      <c r="E138" s="452"/>
      <c r="F138" s="458"/>
      <c r="G138" s="457"/>
      <c r="H138" s="247"/>
      <c r="I138" s="469"/>
      <c r="J138" s="459"/>
      <c r="K138" s="451"/>
      <c r="L138" s="450"/>
      <c r="M138" s="451"/>
      <c r="N138" s="451"/>
      <c r="O138" s="451"/>
      <c r="P138" s="451"/>
    </row>
    <row r="139" spans="1:16" s="453" customFormat="1" ht="30" customHeight="1">
      <c r="A139" s="456"/>
      <c r="B139" s="449"/>
      <c r="C139" s="449"/>
      <c r="D139" s="457"/>
      <c r="E139" s="452"/>
      <c r="F139" s="450"/>
      <c r="G139" s="457"/>
      <c r="H139" s="247"/>
      <c r="I139" s="469"/>
      <c r="J139" s="459"/>
      <c r="K139" s="451"/>
      <c r="L139" s="450"/>
      <c r="M139" s="451"/>
      <c r="N139" s="451"/>
      <c r="O139" s="451"/>
      <c r="P139" s="451"/>
    </row>
    <row r="140" spans="1:16" s="453" customFormat="1" ht="30" customHeight="1">
      <c r="A140" s="456"/>
      <c r="B140" s="449"/>
      <c r="C140" s="449"/>
      <c r="D140" s="457"/>
      <c r="E140" s="452"/>
      <c r="F140" s="458"/>
      <c r="G140" s="457"/>
      <c r="H140" s="247"/>
      <c r="I140" s="469"/>
      <c r="J140" s="459"/>
      <c r="K140" s="451"/>
      <c r="L140" s="450"/>
      <c r="M140" s="451"/>
      <c r="N140" s="451"/>
      <c r="O140" s="451"/>
      <c r="P140" s="451"/>
    </row>
    <row r="141" spans="1:16" s="453" customFormat="1" ht="30" customHeight="1">
      <c r="A141" s="456"/>
      <c r="B141" s="449"/>
      <c r="C141" s="449"/>
      <c r="D141" s="457"/>
      <c r="E141" s="452"/>
      <c r="F141" s="458"/>
      <c r="G141" s="457"/>
      <c r="H141" s="247"/>
      <c r="I141" s="469"/>
      <c r="J141" s="459"/>
      <c r="K141" s="451"/>
      <c r="L141" s="450"/>
      <c r="M141" s="451"/>
      <c r="N141" s="451"/>
      <c r="O141" s="451"/>
      <c r="P141" s="451"/>
    </row>
    <row r="142" spans="1:16" s="453" customFormat="1" ht="30" customHeight="1">
      <c r="A142" s="456"/>
      <c r="B142" s="449"/>
      <c r="C142" s="449"/>
      <c r="D142" s="457"/>
      <c r="E142" s="449"/>
      <c r="F142" s="458"/>
      <c r="G142" s="457"/>
      <c r="H142" s="247"/>
      <c r="I142" s="469"/>
      <c r="J142" s="459"/>
      <c r="K142" s="451"/>
      <c r="L142" s="450"/>
      <c r="M142" s="451"/>
      <c r="N142" s="451"/>
      <c r="O142" s="451"/>
      <c r="P142" s="451"/>
    </row>
    <row r="143" spans="1:16" s="453" customFormat="1" ht="30" customHeight="1">
      <c r="A143" s="456"/>
      <c r="B143" s="449"/>
      <c r="C143" s="449"/>
      <c r="D143" s="457"/>
      <c r="E143" s="452"/>
      <c r="F143" s="458"/>
      <c r="G143" s="457"/>
      <c r="H143" s="247"/>
      <c r="I143" s="469"/>
      <c r="J143" s="459"/>
      <c r="K143" s="451"/>
      <c r="L143" s="450"/>
      <c r="M143" s="451"/>
      <c r="N143" s="451"/>
      <c r="O143" s="451"/>
      <c r="P143" s="451"/>
    </row>
    <row r="144" spans="1:16" s="453" customFormat="1" ht="30" customHeight="1">
      <c r="A144" s="456"/>
      <c r="B144" s="449"/>
      <c r="C144" s="449"/>
      <c r="D144" s="457"/>
      <c r="E144" s="452"/>
      <c r="F144" s="450"/>
      <c r="G144" s="457"/>
      <c r="H144" s="247"/>
      <c r="I144" s="469"/>
      <c r="J144" s="459"/>
      <c r="K144" s="451"/>
      <c r="L144" s="450"/>
      <c r="M144" s="451"/>
      <c r="N144" s="451"/>
      <c r="O144" s="451"/>
      <c r="P144" s="451"/>
    </row>
    <row r="145" spans="1:16" s="453" customFormat="1" ht="30" customHeight="1">
      <c r="A145" s="456"/>
      <c r="B145" s="449"/>
      <c r="C145" s="449"/>
      <c r="D145" s="457"/>
      <c r="E145" s="452"/>
      <c r="F145" s="458"/>
      <c r="G145" s="457"/>
      <c r="H145" s="247"/>
      <c r="I145" s="469"/>
      <c r="J145" s="459"/>
      <c r="K145" s="451"/>
      <c r="L145" s="450"/>
      <c r="M145" s="451"/>
      <c r="N145" s="451"/>
      <c r="O145" s="451"/>
      <c r="P145" s="451"/>
    </row>
    <row r="146" spans="1:16" s="453" customFormat="1" ht="30" customHeight="1">
      <c r="A146" s="456"/>
      <c r="B146" s="449"/>
      <c r="C146" s="449"/>
      <c r="D146" s="457"/>
      <c r="E146" s="452"/>
      <c r="F146" s="458"/>
      <c r="G146" s="457"/>
      <c r="H146" s="247"/>
      <c r="I146" s="469"/>
      <c r="J146" s="459"/>
      <c r="K146" s="451"/>
      <c r="L146" s="450"/>
      <c r="M146" s="451"/>
      <c r="N146" s="451"/>
      <c r="O146" s="451"/>
      <c r="P146" s="451"/>
    </row>
    <row r="147" spans="1:16" s="453" customFormat="1" ht="30" customHeight="1">
      <c r="A147" s="456"/>
      <c r="B147" s="449"/>
      <c r="C147" s="449"/>
      <c r="D147" s="457"/>
      <c r="E147" s="452"/>
      <c r="F147" s="458"/>
      <c r="G147" s="457"/>
      <c r="H147" s="247"/>
      <c r="I147" s="469"/>
      <c r="J147" s="459"/>
      <c r="K147" s="451"/>
      <c r="L147" s="450"/>
      <c r="M147" s="451"/>
      <c r="N147" s="451"/>
      <c r="O147" s="451"/>
      <c r="P147" s="451"/>
    </row>
    <row r="148" spans="1:16" s="453" customFormat="1" ht="30" customHeight="1">
      <c r="A148" s="456"/>
      <c r="B148" s="449"/>
      <c r="C148" s="449"/>
      <c r="D148" s="457"/>
      <c r="E148" s="452"/>
      <c r="F148" s="458"/>
      <c r="G148" s="457"/>
      <c r="H148" s="247"/>
      <c r="I148" s="469"/>
      <c r="J148" s="459"/>
      <c r="K148" s="451"/>
      <c r="L148" s="450"/>
      <c r="M148" s="451"/>
      <c r="N148" s="451"/>
      <c r="O148" s="451"/>
      <c r="P148" s="451"/>
    </row>
    <row r="149" spans="1:16" s="453" customFormat="1" ht="30" customHeight="1">
      <c r="A149" s="456"/>
      <c r="B149" s="449"/>
      <c r="C149" s="449"/>
      <c r="D149" s="457"/>
      <c r="E149" s="452"/>
      <c r="F149" s="458"/>
      <c r="G149" s="457"/>
      <c r="H149" s="247"/>
      <c r="I149" s="469"/>
      <c r="J149" s="459"/>
      <c r="K149" s="451"/>
      <c r="L149" s="450"/>
      <c r="M149" s="451"/>
      <c r="N149" s="451"/>
      <c r="O149" s="451"/>
      <c r="P149" s="451"/>
    </row>
    <row r="150" spans="1:16" s="453" customFormat="1" ht="30" customHeight="1">
      <c r="A150" s="456"/>
      <c r="B150" s="449"/>
      <c r="C150" s="449"/>
      <c r="D150" s="457"/>
      <c r="E150" s="452"/>
      <c r="F150" s="458"/>
      <c r="G150" s="457"/>
      <c r="H150" s="247"/>
      <c r="I150" s="469"/>
      <c r="J150" s="459"/>
      <c r="K150" s="451"/>
      <c r="L150" s="450"/>
      <c r="M150" s="451"/>
      <c r="N150" s="451"/>
      <c r="O150" s="451"/>
      <c r="P150" s="451"/>
    </row>
    <row r="151" spans="1:16" s="453" customFormat="1" ht="30" customHeight="1">
      <c r="A151" s="456"/>
      <c r="B151" s="449"/>
      <c r="C151" s="449"/>
      <c r="D151" s="457"/>
      <c r="E151" s="452"/>
      <c r="F151" s="458"/>
      <c r="G151" s="457"/>
      <c r="H151" s="247"/>
      <c r="I151" s="469"/>
      <c r="J151" s="459"/>
      <c r="K151" s="451"/>
      <c r="L151" s="450"/>
      <c r="M151" s="451"/>
      <c r="N151" s="451"/>
      <c r="O151" s="451"/>
      <c r="P151" s="451"/>
    </row>
    <row r="152" spans="1:16" s="453" customFormat="1" ht="30" customHeight="1">
      <c r="A152" s="456"/>
      <c r="B152" s="449"/>
      <c r="C152" s="449"/>
      <c r="D152" s="457"/>
      <c r="E152" s="449"/>
      <c r="F152" s="458"/>
      <c r="G152" s="457"/>
      <c r="H152" s="247"/>
      <c r="I152" s="469"/>
      <c r="J152" s="459"/>
      <c r="K152" s="451"/>
      <c r="L152" s="450"/>
      <c r="M152" s="451"/>
      <c r="N152" s="451"/>
      <c r="O152" s="451"/>
      <c r="P152" s="451"/>
    </row>
    <row r="153" spans="1:16" s="453" customFormat="1" ht="30" customHeight="1">
      <c r="A153" s="456"/>
      <c r="B153" s="449"/>
      <c r="C153" s="449"/>
      <c r="D153" s="457"/>
      <c r="E153" s="455"/>
      <c r="F153" s="458"/>
      <c r="G153" s="457"/>
      <c r="H153" s="247"/>
      <c r="I153" s="247"/>
      <c r="J153" s="450"/>
      <c r="K153" s="451"/>
      <c r="L153" s="450"/>
      <c r="M153" s="451"/>
      <c r="N153" s="451"/>
      <c r="O153" s="451"/>
      <c r="P153" s="451"/>
    </row>
    <row r="154" spans="1:16" s="453" customFormat="1" ht="30" customHeight="1">
      <c r="A154" s="456"/>
      <c r="B154" s="449"/>
      <c r="C154" s="449"/>
      <c r="D154" s="457"/>
      <c r="E154" s="449"/>
      <c r="F154" s="458"/>
      <c r="G154" s="457"/>
      <c r="H154" s="247"/>
      <c r="I154" s="469"/>
      <c r="J154" s="459"/>
      <c r="K154" s="451"/>
      <c r="L154" s="450"/>
      <c r="M154" s="451"/>
      <c r="N154" s="451"/>
      <c r="O154" s="451"/>
      <c r="P154" s="451"/>
    </row>
    <row r="155" spans="1:16" s="453" customFormat="1" ht="30" customHeight="1">
      <c r="A155" s="456"/>
      <c r="B155" s="449"/>
      <c r="C155" s="449"/>
      <c r="D155" s="457"/>
      <c r="E155" s="452"/>
      <c r="F155" s="458"/>
      <c r="G155" s="457"/>
      <c r="H155" s="247"/>
      <c r="I155" s="469"/>
      <c r="J155" s="459"/>
      <c r="K155" s="451"/>
      <c r="L155" s="450"/>
      <c r="M155" s="451"/>
      <c r="N155" s="451"/>
      <c r="O155" s="451"/>
      <c r="P155" s="451"/>
    </row>
    <row r="156" spans="1:16" s="453" customFormat="1" ht="30" customHeight="1">
      <c r="A156" s="456"/>
      <c r="B156" s="449"/>
      <c r="C156" s="449"/>
      <c r="D156" s="457"/>
      <c r="E156" s="452"/>
      <c r="F156" s="458"/>
      <c r="G156" s="457"/>
      <c r="H156" s="247"/>
      <c r="I156" s="469"/>
      <c r="J156" s="459"/>
      <c r="K156" s="451"/>
      <c r="L156" s="450"/>
      <c r="M156" s="451"/>
      <c r="N156" s="451"/>
      <c r="O156" s="451"/>
      <c r="P156" s="451"/>
    </row>
    <row r="157" spans="1:16" s="453" customFormat="1" ht="30" customHeight="1">
      <c r="A157" s="456"/>
      <c r="B157" s="449"/>
      <c r="C157" s="449"/>
      <c r="D157" s="457"/>
      <c r="E157" s="452"/>
      <c r="F157" s="450"/>
      <c r="G157" s="457"/>
      <c r="H157" s="247"/>
      <c r="I157" s="469"/>
      <c r="J157" s="459"/>
      <c r="K157" s="451"/>
      <c r="L157" s="450"/>
      <c r="M157" s="451"/>
      <c r="N157" s="451"/>
      <c r="O157" s="451"/>
      <c r="P157" s="451"/>
    </row>
    <row r="158" spans="1:16" s="453" customFormat="1" ht="30" customHeight="1">
      <c r="A158" s="456"/>
      <c r="B158" s="449"/>
      <c r="C158" s="449"/>
      <c r="D158" s="457"/>
      <c r="E158" s="465"/>
      <c r="F158" s="458"/>
      <c r="G158" s="457"/>
      <c r="H158" s="247"/>
      <c r="I158" s="469"/>
      <c r="J158" s="459"/>
      <c r="K158" s="451"/>
      <c r="L158" s="451"/>
      <c r="M158" s="451"/>
      <c r="N158" s="451"/>
      <c r="O158" s="451"/>
      <c r="P158" s="451"/>
    </row>
    <row r="159" spans="1:16" s="453" customFormat="1" ht="30" customHeight="1">
      <c r="A159" s="456"/>
      <c r="B159" s="449"/>
      <c r="C159" s="449"/>
      <c r="D159" s="457"/>
      <c r="E159" s="452"/>
      <c r="F159" s="458"/>
      <c r="G159" s="457"/>
      <c r="H159" s="247"/>
      <c r="I159" s="247"/>
      <c r="J159" s="450"/>
      <c r="K159" s="451"/>
      <c r="L159" s="450"/>
      <c r="M159" s="451"/>
      <c r="N159" s="451"/>
      <c r="O159" s="451"/>
      <c r="P159" s="451"/>
    </row>
    <row r="160" spans="1:16" s="453" customFormat="1" ht="30" customHeight="1">
      <c r="A160" s="456"/>
      <c r="B160" s="450"/>
      <c r="C160" s="449"/>
      <c r="D160" s="457"/>
      <c r="E160" s="452"/>
      <c r="F160" s="458"/>
      <c r="G160" s="457"/>
      <c r="H160" s="247"/>
      <c r="I160" s="469"/>
      <c r="J160" s="459"/>
      <c r="K160" s="451"/>
      <c r="L160" s="450"/>
      <c r="M160" s="451"/>
      <c r="N160" s="451"/>
      <c r="O160" s="451"/>
      <c r="P160" s="451"/>
    </row>
    <row r="161" spans="1:16" s="453" customFormat="1" ht="30" customHeight="1">
      <c r="A161" s="456"/>
      <c r="B161" s="449"/>
      <c r="C161" s="449"/>
      <c r="D161" s="457"/>
      <c r="E161" s="452"/>
      <c r="F161" s="458"/>
      <c r="G161" s="457"/>
      <c r="H161" s="247"/>
      <c r="I161" s="469"/>
      <c r="J161" s="459"/>
      <c r="K161" s="451"/>
      <c r="L161" s="450"/>
      <c r="M161" s="451"/>
      <c r="N161" s="451"/>
      <c r="O161" s="451"/>
      <c r="P161" s="451"/>
    </row>
    <row r="162" spans="1:16" s="453" customFormat="1" ht="30" customHeight="1">
      <c r="A162" s="456"/>
      <c r="B162" s="449"/>
      <c r="C162" s="449"/>
      <c r="D162" s="457"/>
      <c r="E162" s="452"/>
      <c r="F162" s="458"/>
      <c r="G162" s="457"/>
      <c r="H162" s="247"/>
      <c r="I162" s="469"/>
      <c r="J162" s="459"/>
      <c r="K162" s="451"/>
      <c r="L162" s="450"/>
      <c r="M162" s="451"/>
      <c r="N162" s="451"/>
      <c r="O162" s="451"/>
      <c r="P162" s="451"/>
    </row>
    <row r="163" spans="1:16" s="453" customFormat="1" ht="30" customHeight="1">
      <c r="A163" s="456"/>
      <c r="B163" s="449"/>
      <c r="C163" s="449"/>
      <c r="D163" s="457"/>
      <c r="E163" s="452"/>
      <c r="F163" s="458"/>
      <c r="G163" s="457"/>
      <c r="H163" s="247"/>
      <c r="I163" s="469"/>
      <c r="J163" s="459"/>
      <c r="K163" s="451"/>
      <c r="L163" s="450"/>
      <c r="M163" s="451"/>
      <c r="N163" s="451"/>
      <c r="O163" s="451"/>
      <c r="P163" s="451"/>
    </row>
    <row r="164" spans="1:16" s="453" customFormat="1" ht="30" customHeight="1">
      <c r="A164" s="456"/>
      <c r="B164" s="449"/>
      <c r="C164" s="449"/>
      <c r="D164" s="457"/>
      <c r="E164" s="452"/>
      <c r="F164" s="458"/>
      <c r="G164" s="457"/>
      <c r="H164" s="247"/>
      <c r="I164" s="469"/>
      <c r="J164" s="459"/>
      <c r="K164" s="451"/>
      <c r="L164" s="450"/>
      <c r="M164" s="451"/>
      <c r="N164" s="451"/>
      <c r="O164" s="451"/>
      <c r="P164" s="451"/>
    </row>
    <row r="165" spans="1:16" s="453" customFormat="1" ht="30" customHeight="1">
      <c r="A165" s="456"/>
      <c r="B165" s="449"/>
      <c r="C165" s="449"/>
      <c r="D165" s="457"/>
      <c r="E165" s="449"/>
      <c r="F165" s="458"/>
      <c r="G165" s="457"/>
      <c r="H165" s="247"/>
      <c r="I165" s="247"/>
      <c r="J165" s="450"/>
      <c r="K165" s="451"/>
      <c r="L165" s="450"/>
      <c r="M165" s="451"/>
      <c r="N165" s="451"/>
      <c r="O165" s="451"/>
      <c r="P165" s="451"/>
    </row>
    <row r="166" spans="1:16" s="453" customFormat="1" ht="30" customHeight="1">
      <c r="A166" s="456"/>
      <c r="B166" s="449"/>
      <c r="C166" s="449"/>
      <c r="D166" s="457"/>
      <c r="E166" s="455"/>
      <c r="F166" s="450"/>
      <c r="G166" s="457"/>
      <c r="H166" s="247"/>
      <c r="I166" s="469"/>
      <c r="J166" s="459"/>
      <c r="K166" s="451"/>
      <c r="L166" s="450"/>
      <c r="M166" s="451"/>
      <c r="N166" s="451"/>
      <c r="O166" s="451"/>
      <c r="P166" s="451"/>
    </row>
    <row r="167" spans="1:16" s="453" customFormat="1" ht="30" customHeight="1">
      <c r="A167" s="456"/>
      <c r="B167" s="449"/>
      <c r="C167" s="449"/>
      <c r="D167" s="457"/>
      <c r="E167" s="465"/>
      <c r="F167" s="458"/>
      <c r="G167" s="457"/>
      <c r="H167" s="247"/>
      <c r="I167" s="469"/>
      <c r="J167" s="459"/>
      <c r="K167" s="451"/>
      <c r="L167" s="450"/>
      <c r="M167" s="451"/>
      <c r="N167" s="451"/>
      <c r="O167" s="451"/>
      <c r="P167" s="451"/>
    </row>
    <row r="168" spans="1:16" s="453" customFormat="1" ht="30" customHeight="1">
      <c r="A168" s="456"/>
      <c r="B168" s="449"/>
      <c r="C168" s="449"/>
      <c r="D168" s="457"/>
      <c r="E168" s="452"/>
      <c r="F168" s="458"/>
      <c r="G168" s="457"/>
      <c r="H168" s="247"/>
      <c r="I168" s="469"/>
      <c r="J168" s="459"/>
      <c r="K168" s="451"/>
      <c r="L168" s="450"/>
      <c r="M168" s="451"/>
      <c r="N168" s="451"/>
      <c r="O168" s="451"/>
      <c r="P168" s="451"/>
    </row>
    <row r="169" spans="1:16" s="453" customFormat="1" ht="30" customHeight="1">
      <c r="A169" s="456"/>
      <c r="B169" s="449"/>
      <c r="C169" s="449"/>
      <c r="D169" s="457"/>
      <c r="E169" s="452"/>
      <c r="F169" s="450"/>
      <c r="G169" s="457"/>
      <c r="H169" s="468"/>
      <c r="I169" s="468"/>
      <c r="J169" s="450"/>
      <c r="K169" s="451"/>
      <c r="L169" s="450"/>
      <c r="M169" s="451"/>
      <c r="N169" s="451"/>
      <c r="O169" s="451"/>
      <c r="P169" s="451"/>
    </row>
    <row r="170" spans="1:16" s="453" customFormat="1" ht="30" customHeight="1">
      <c r="A170" s="456"/>
      <c r="B170" s="450"/>
      <c r="C170" s="449"/>
      <c r="D170" s="457"/>
      <c r="E170" s="452"/>
      <c r="F170" s="458"/>
      <c r="G170" s="457"/>
      <c r="H170" s="247"/>
      <c r="I170" s="469"/>
      <c r="J170" s="459"/>
      <c r="K170" s="451"/>
      <c r="L170" s="450"/>
      <c r="M170" s="451"/>
      <c r="N170" s="451"/>
      <c r="O170" s="451"/>
      <c r="P170" s="451"/>
    </row>
    <row r="171" spans="1:16" s="453" customFormat="1" ht="30" customHeight="1">
      <c r="A171" s="456"/>
      <c r="B171" s="449"/>
      <c r="C171" s="449"/>
      <c r="D171" s="457"/>
      <c r="E171" s="452"/>
      <c r="F171" s="458"/>
      <c r="G171" s="457"/>
      <c r="H171" s="247"/>
      <c r="I171" s="247"/>
      <c r="J171" s="450"/>
      <c r="K171" s="451"/>
      <c r="L171" s="450"/>
      <c r="M171" s="451"/>
      <c r="N171" s="451"/>
      <c r="O171" s="451"/>
      <c r="P171" s="451"/>
    </row>
    <row r="172" spans="1:16" s="453" customFormat="1" ht="30" customHeight="1">
      <c r="A172" s="456"/>
      <c r="B172" s="449"/>
      <c r="C172" s="449"/>
      <c r="D172" s="457"/>
      <c r="E172" s="465"/>
      <c r="F172" s="458"/>
      <c r="G172" s="457"/>
      <c r="H172" s="247"/>
      <c r="I172" s="469"/>
      <c r="J172" s="459"/>
      <c r="K172" s="451"/>
      <c r="L172" s="450"/>
      <c r="M172" s="451"/>
      <c r="N172" s="451"/>
      <c r="O172" s="451"/>
      <c r="P172" s="451"/>
    </row>
    <row r="173" spans="1:16" s="453" customFormat="1" ht="30" customHeight="1">
      <c r="A173" s="456"/>
      <c r="B173" s="449"/>
      <c r="C173" s="449"/>
      <c r="D173" s="457"/>
      <c r="E173" s="452"/>
      <c r="F173" s="450"/>
      <c r="G173" s="457"/>
      <c r="H173" s="247"/>
      <c r="I173" s="469"/>
      <c r="J173" s="459"/>
      <c r="K173" s="451"/>
      <c r="L173" s="450"/>
      <c r="M173" s="451"/>
      <c r="N173" s="451"/>
      <c r="O173" s="451"/>
      <c r="P173" s="451"/>
    </row>
    <row r="174" spans="1:16" s="453" customFormat="1" ht="30" customHeight="1">
      <c r="A174" s="456"/>
      <c r="B174" s="449"/>
      <c r="C174" s="449"/>
      <c r="D174" s="457"/>
      <c r="E174" s="452"/>
      <c r="F174" s="450"/>
      <c r="G174" s="457"/>
      <c r="H174" s="247"/>
      <c r="I174" s="469"/>
      <c r="J174" s="459"/>
      <c r="K174" s="451"/>
      <c r="L174" s="450"/>
      <c r="M174" s="451"/>
      <c r="N174" s="451"/>
      <c r="O174" s="451"/>
      <c r="P174" s="451"/>
    </row>
    <row r="175" spans="1:16" s="453" customFormat="1" ht="30" customHeight="1">
      <c r="A175" s="456"/>
      <c r="B175" s="449"/>
      <c r="C175" s="449"/>
      <c r="D175" s="457"/>
      <c r="E175" s="449"/>
      <c r="F175" s="450"/>
      <c r="G175" s="457"/>
      <c r="H175" s="247"/>
      <c r="I175" s="247"/>
      <c r="J175" s="450"/>
      <c r="K175" s="451"/>
      <c r="L175" s="450"/>
      <c r="M175" s="451"/>
      <c r="N175" s="451"/>
      <c r="O175" s="451"/>
      <c r="P175" s="451"/>
    </row>
    <row r="176" spans="1:16" s="453" customFormat="1" ht="30" customHeight="1">
      <c r="A176" s="456"/>
      <c r="B176" s="449"/>
      <c r="C176" s="449"/>
      <c r="D176" s="457"/>
      <c r="E176" s="452"/>
      <c r="F176" s="450"/>
      <c r="G176" s="457"/>
      <c r="H176" s="247"/>
      <c r="I176" s="247"/>
      <c r="J176" s="450"/>
      <c r="K176" s="451"/>
      <c r="L176" s="450"/>
      <c r="M176" s="451"/>
      <c r="N176" s="451"/>
      <c r="O176" s="451"/>
      <c r="P176" s="451"/>
    </row>
    <row r="177" spans="1:16" s="453" customFormat="1" ht="30" customHeight="1">
      <c r="A177" s="456"/>
      <c r="B177" s="449"/>
      <c r="C177" s="449"/>
      <c r="D177" s="457"/>
      <c r="E177" s="449"/>
      <c r="F177" s="450"/>
      <c r="G177" s="457"/>
      <c r="H177" s="247"/>
      <c r="I177" s="247"/>
      <c r="J177" s="450"/>
      <c r="K177" s="451"/>
      <c r="L177" s="450"/>
      <c r="M177" s="451"/>
      <c r="N177" s="451"/>
      <c r="O177" s="451"/>
      <c r="P177" s="451"/>
    </row>
    <row r="178" spans="1:16" s="453" customFormat="1" ht="30" customHeight="1">
      <c r="A178" s="456"/>
      <c r="B178" s="449"/>
      <c r="C178" s="449"/>
      <c r="D178" s="457"/>
      <c r="E178" s="452"/>
      <c r="F178" s="458"/>
      <c r="G178" s="457"/>
      <c r="H178" s="468"/>
      <c r="I178" s="468"/>
      <c r="J178" s="450"/>
      <c r="K178" s="451"/>
      <c r="L178" s="450"/>
      <c r="M178" s="451"/>
      <c r="N178" s="451"/>
      <c r="O178" s="451"/>
      <c r="P178" s="451"/>
    </row>
    <row r="179" spans="1:16" s="453" customFormat="1" ht="30" customHeight="1">
      <c r="A179" s="456"/>
      <c r="B179" s="449"/>
      <c r="C179" s="449"/>
      <c r="D179" s="457"/>
      <c r="E179" s="452"/>
      <c r="F179" s="450"/>
      <c r="G179" s="457"/>
      <c r="H179" s="247"/>
      <c r="I179" s="469"/>
      <c r="J179" s="459"/>
      <c r="K179" s="451"/>
      <c r="L179" s="450"/>
      <c r="M179" s="451"/>
      <c r="N179" s="451"/>
      <c r="O179" s="451"/>
      <c r="P179" s="451"/>
    </row>
    <row r="180" spans="1:16" s="453" customFormat="1" ht="30" customHeight="1">
      <c r="A180" s="456"/>
      <c r="B180" s="449"/>
      <c r="C180" s="449"/>
      <c r="D180" s="457"/>
      <c r="E180" s="452"/>
      <c r="F180" s="450"/>
      <c r="G180" s="457"/>
      <c r="H180" s="247"/>
      <c r="I180" s="469"/>
      <c r="J180" s="459"/>
      <c r="K180" s="451"/>
      <c r="L180" s="450"/>
      <c r="M180" s="451"/>
      <c r="N180" s="451"/>
      <c r="O180" s="451"/>
      <c r="P180" s="451"/>
    </row>
    <row r="181" spans="1:16" s="453" customFormat="1" ht="30" customHeight="1">
      <c r="A181" s="456"/>
      <c r="B181" s="449"/>
      <c r="C181" s="449"/>
      <c r="D181" s="457"/>
      <c r="E181" s="452"/>
      <c r="F181" s="450"/>
      <c r="G181" s="457"/>
      <c r="H181" s="247"/>
      <c r="I181" s="469"/>
      <c r="J181" s="459"/>
      <c r="K181" s="451"/>
      <c r="L181" s="450"/>
      <c r="M181" s="451"/>
      <c r="N181" s="451"/>
      <c r="O181" s="451"/>
      <c r="P181" s="451"/>
    </row>
    <row r="182" spans="1:16" s="453" customFormat="1" ht="30" customHeight="1">
      <c r="A182" s="456"/>
      <c r="B182" s="449"/>
      <c r="C182" s="449"/>
      <c r="D182" s="457"/>
      <c r="E182" s="452"/>
      <c r="F182" s="450"/>
      <c r="G182" s="457"/>
      <c r="H182" s="468"/>
      <c r="I182" s="509"/>
      <c r="J182" s="459"/>
      <c r="K182" s="451"/>
      <c r="L182" s="450"/>
      <c r="M182" s="451"/>
      <c r="N182" s="451"/>
      <c r="O182" s="451"/>
      <c r="P182" s="451"/>
    </row>
    <row r="183" spans="1:16" s="453" customFormat="1" ht="30" customHeight="1">
      <c r="A183" s="456"/>
      <c r="B183" s="449"/>
      <c r="C183" s="449"/>
      <c r="D183" s="457"/>
      <c r="E183" s="452"/>
      <c r="F183" s="450"/>
      <c r="G183" s="457"/>
      <c r="H183" s="247"/>
      <c r="I183" s="247"/>
      <c r="J183" s="450"/>
      <c r="K183" s="451"/>
      <c r="L183" s="450"/>
      <c r="M183" s="451"/>
      <c r="N183" s="451"/>
      <c r="O183" s="451"/>
      <c r="P183" s="451"/>
    </row>
    <row r="184" spans="1:16" s="453" customFormat="1" ht="30" customHeight="1">
      <c r="A184" s="456"/>
      <c r="B184" s="449"/>
      <c r="C184" s="449"/>
      <c r="D184" s="457"/>
      <c r="E184" s="452"/>
      <c r="F184" s="458"/>
      <c r="G184" s="457"/>
      <c r="H184" s="247"/>
      <c r="I184" s="247"/>
      <c r="J184" s="450"/>
      <c r="K184" s="451"/>
      <c r="L184" s="450"/>
      <c r="M184" s="451"/>
      <c r="N184" s="451"/>
      <c r="O184" s="451"/>
      <c r="P184" s="451"/>
    </row>
    <row r="185" spans="1:16" s="453" customFormat="1" ht="30" customHeight="1">
      <c r="A185" s="456"/>
      <c r="B185" s="449"/>
      <c r="C185" s="449"/>
      <c r="D185" s="457"/>
      <c r="E185" s="452"/>
      <c r="F185" s="458"/>
      <c r="G185" s="457"/>
      <c r="H185" s="247"/>
      <c r="I185" s="469"/>
      <c r="J185" s="459"/>
      <c r="K185" s="451"/>
      <c r="L185" s="450"/>
      <c r="M185" s="451"/>
      <c r="N185" s="451"/>
      <c r="O185" s="451"/>
      <c r="P185" s="451"/>
    </row>
    <row r="186" spans="1:16" ht="27" customHeight="1">
      <c r="A186" s="456"/>
      <c r="B186" s="449"/>
      <c r="C186" s="449"/>
      <c r="D186" s="457"/>
      <c r="E186" s="452"/>
      <c r="F186" s="450"/>
      <c r="G186" s="457"/>
      <c r="H186" s="469"/>
      <c r="I186" s="469"/>
      <c r="J186" s="450"/>
      <c r="K186" s="453"/>
      <c r="L186" s="470"/>
      <c r="M186" s="453"/>
      <c r="N186" s="453"/>
      <c r="O186" s="453"/>
      <c r="P186" s="453"/>
    </row>
    <row r="187" spans="1:16" ht="29.25" customHeight="1">
      <c r="A187" s="456"/>
      <c r="B187" s="449"/>
      <c r="C187" s="449"/>
      <c r="D187" s="457"/>
      <c r="E187" s="452"/>
      <c r="F187" s="450"/>
      <c r="G187" s="457"/>
      <c r="H187" s="247"/>
      <c r="I187" s="247"/>
      <c r="J187" s="450"/>
      <c r="K187" s="453"/>
      <c r="L187" s="470"/>
      <c r="M187" s="453"/>
      <c r="N187" s="453"/>
      <c r="O187" s="453"/>
      <c r="P187" s="453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27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5"/>
  <sheetViews>
    <sheetView showGridLines="0" view="pageBreakPreview" topLeftCell="A31" zoomScale="60" zoomScaleNormal="40" workbookViewId="0">
      <selection activeCell="AF46" sqref="AF46"/>
    </sheetView>
  </sheetViews>
  <sheetFormatPr defaultColWidth="8.54296875" defaultRowHeight="10.5"/>
  <cols>
    <col min="1" max="1" width="4.54296875" style="158" customWidth="1"/>
    <col min="2" max="2" width="8.453125" style="158" customWidth="1"/>
    <col min="3" max="3" width="6.54296875" style="158" customWidth="1"/>
    <col min="4" max="4" width="8.453125" style="158" customWidth="1"/>
    <col min="5" max="5" width="6.54296875" style="158" customWidth="1"/>
    <col min="6" max="6" width="8.453125" style="158" customWidth="1"/>
    <col min="7" max="7" width="6.54296875" style="158" customWidth="1"/>
    <col min="8" max="8" width="8.453125" style="158" customWidth="1"/>
    <col min="9" max="9" width="6.54296875" style="158" customWidth="1"/>
    <col min="10" max="10" width="8.453125" style="158" customWidth="1"/>
    <col min="11" max="11" width="6.54296875" style="158" customWidth="1"/>
    <col min="12" max="12" width="8.453125" style="158" customWidth="1"/>
    <col min="13" max="13" width="6.54296875" style="158" customWidth="1"/>
    <col min="14" max="14" width="8.453125" style="158" customWidth="1"/>
    <col min="15" max="15" width="6.54296875" style="158" customWidth="1"/>
    <col min="16" max="16" width="8.453125" style="158" customWidth="1"/>
    <col min="17" max="17" width="6.54296875" style="158" customWidth="1"/>
    <col min="18" max="18" width="8.54296875" style="158" customWidth="1"/>
    <col min="19" max="19" width="6.54296875" style="158" customWidth="1"/>
    <col min="20" max="20" width="8.453125" style="158" customWidth="1"/>
    <col min="21" max="21" width="6.54296875" style="158" customWidth="1"/>
    <col min="22" max="22" width="8.453125" style="158" customWidth="1"/>
    <col min="23" max="23" width="6.54296875" style="158" customWidth="1"/>
    <col min="24" max="24" width="8.453125" style="158" customWidth="1"/>
    <col min="25" max="25" width="6.54296875" style="158" customWidth="1"/>
    <col min="26" max="26" width="8.453125" style="158" customWidth="1"/>
    <col min="27" max="27" width="6.54296875" style="158" customWidth="1"/>
    <col min="28" max="28" width="8.453125" style="158" customWidth="1"/>
    <col min="29" max="29" width="6.54296875" style="158" customWidth="1"/>
    <col min="30" max="30" width="8.453125" style="158" customWidth="1"/>
    <col min="31" max="31" width="6.54296875" style="158" customWidth="1"/>
    <col min="32" max="32" width="16.26953125" style="158" customWidth="1"/>
    <col min="33" max="40" width="6.1796875" style="158" hidden="1" customWidth="1"/>
    <col min="41" max="41" width="6.54296875" style="158" hidden="1" customWidth="1"/>
    <col min="42" max="62" width="6.1796875" style="158" hidden="1" customWidth="1"/>
    <col min="63" max="72" width="0" style="158" hidden="1" customWidth="1"/>
    <col min="73" max="73" width="8.54296875" style="158" hidden="1" customWidth="1"/>
    <col min="74" max="76" width="8.54296875" style="158"/>
    <col min="77" max="77" width="16.453125" style="158" bestFit="1" customWidth="1"/>
    <col min="78" max="78" width="23.453125" style="158" bestFit="1" customWidth="1"/>
    <col min="79" max="79" width="25.1796875" style="158" bestFit="1" customWidth="1"/>
    <col min="80" max="80" width="12.26953125" style="158" bestFit="1" customWidth="1"/>
    <col min="81" max="16384" width="8.54296875" style="158"/>
  </cols>
  <sheetData>
    <row r="1" spans="1:41" ht="26.5" thickBot="1">
      <c r="A1" s="694" t="s">
        <v>480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6"/>
      <c r="AG1" s="170"/>
      <c r="AH1" s="170"/>
      <c r="AI1" s="170"/>
      <c r="AJ1" s="170"/>
      <c r="AK1" s="170"/>
      <c r="AL1" s="170"/>
      <c r="AM1" s="760"/>
      <c r="AN1" s="760"/>
      <c r="AO1" s="761"/>
    </row>
    <row r="2" spans="1:41" s="159" customFormat="1" ht="17">
      <c r="A2" s="544" t="s">
        <v>481</v>
      </c>
      <c r="B2" s="545"/>
      <c r="C2" s="545"/>
      <c r="D2" s="546"/>
      <c r="E2" s="547" t="s">
        <v>482</v>
      </c>
      <c r="F2" s="548"/>
      <c r="G2" s="549"/>
      <c r="H2" s="549"/>
      <c r="I2" s="549"/>
      <c r="J2" s="549"/>
      <c r="K2" s="546"/>
      <c r="L2" s="546"/>
      <c r="M2" s="546"/>
      <c r="N2" s="546"/>
      <c r="O2" s="546"/>
      <c r="P2" s="546"/>
      <c r="Q2" s="546"/>
      <c r="R2" s="546"/>
      <c r="S2" s="546"/>
      <c r="T2" s="546" t="s">
        <v>20</v>
      </c>
      <c r="U2" s="546"/>
      <c r="V2" s="549"/>
      <c r="W2" s="549"/>
      <c r="X2" s="549"/>
      <c r="Y2" s="549"/>
      <c r="Z2" s="549"/>
      <c r="AA2" s="549"/>
      <c r="AB2" s="549"/>
      <c r="AC2" s="549"/>
      <c r="AD2" s="549"/>
      <c r="AE2" s="549"/>
      <c r="AF2" s="550"/>
      <c r="AG2" s="762"/>
      <c r="AH2" s="762"/>
      <c r="AI2" s="762"/>
      <c r="AJ2" s="762"/>
      <c r="AK2" s="762"/>
      <c r="AL2" s="762"/>
      <c r="AM2" s="762"/>
      <c r="AN2" s="762"/>
      <c r="AO2" s="763"/>
    </row>
    <row r="3" spans="1:41" s="159" customFormat="1" ht="17.149999999999999" customHeight="1">
      <c r="A3" s="544" t="s">
        <v>483</v>
      </c>
      <c r="B3" s="545"/>
      <c r="C3" s="545"/>
      <c r="D3" s="551"/>
      <c r="E3" s="547" t="s">
        <v>484</v>
      </c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  <c r="R3" s="551"/>
      <c r="S3" s="551"/>
      <c r="T3" s="551"/>
      <c r="U3" s="551"/>
      <c r="V3" s="549"/>
      <c r="W3" s="549"/>
      <c r="X3" s="549"/>
      <c r="Y3" s="549"/>
      <c r="Z3" s="549"/>
      <c r="AA3" s="549"/>
      <c r="AB3" s="549"/>
      <c r="AC3" s="549"/>
      <c r="AD3" s="549"/>
      <c r="AE3" s="549"/>
      <c r="AF3" s="550"/>
      <c r="AG3" s="764" t="s">
        <v>485</v>
      </c>
      <c r="AH3" s="765"/>
      <c r="AI3" s="765"/>
      <c r="AJ3" s="171" t="s">
        <v>486</v>
      </c>
      <c r="AK3" s="171"/>
      <c r="AL3" s="171"/>
      <c r="AM3" s="766" t="s">
        <v>487</v>
      </c>
      <c r="AN3" s="766" t="s">
        <v>488</v>
      </c>
      <c r="AO3" s="769" t="s">
        <v>489</v>
      </c>
    </row>
    <row r="4" spans="1:41" s="159" customFormat="1" ht="17.149999999999999" customHeight="1">
      <c r="A4" s="552" t="s">
        <v>265</v>
      </c>
      <c r="B4" s="553"/>
      <c r="C4" s="553"/>
      <c r="D4" s="554"/>
      <c r="E4" s="547" t="s">
        <v>490</v>
      </c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554"/>
      <c r="T4" s="554"/>
      <c r="U4" s="554"/>
      <c r="V4" s="549"/>
      <c r="W4" s="549"/>
      <c r="X4" s="549"/>
      <c r="Y4" s="549"/>
      <c r="Z4" s="549"/>
      <c r="AA4" s="549"/>
      <c r="AB4" s="549"/>
      <c r="AC4" s="549"/>
      <c r="AD4" s="549"/>
      <c r="AE4" s="549"/>
      <c r="AF4" s="550"/>
      <c r="AG4" s="764" t="s">
        <v>491</v>
      </c>
      <c r="AH4" s="765" t="s">
        <v>492</v>
      </c>
      <c r="AI4" s="765" t="s">
        <v>493</v>
      </c>
      <c r="AJ4" s="765" t="s">
        <v>491</v>
      </c>
      <c r="AK4" s="765" t="s">
        <v>492</v>
      </c>
      <c r="AL4" s="765" t="s">
        <v>493</v>
      </c>
      <c r="AM4" s="767"/>
      <c r="AN4" s="767"/>
      <c r="AO4" s="770"/>
    </row>
    <row r="5" spans="1:41" s="159" customFormat="1" ht="17.5" customHeight="1" thickBot="1">
      <c r="A5" s="55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15">
        <f>'765KV ASOTL'!G1</f>
        <v>46243</v>
      </c>
      <c r="AF5" s="716"/>
      <c r="AG5" s="764"/>
      <c r="AH5" s="765"/>
      <c r="AI5" s="765"/>
      <c r="AJ5" s="765"/>
      <c r="AK5" s="765"/>
      <c r="AL5" s="765"/>
      <c r="AM5" s="768"/>
      <c r="AN5" s="768"/>
      <c r="AO5" s="771"/>
    </row>
    <row r="6" spans="1:41" s="159" customFormat="1" ht="13.4" customHeight="1">
      <c r="A6" s="701" t="s">
        <v>494</v>
      </c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17" t="s">
        <v>495</v>
      </c>
      <c r="M6" s="718"/>
      <c r="N6" s="718"/>
      <c r="O6" s="718"/>
      <c r="P6" s="718"/>
      <c r="Q6" s="718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5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4" customHeight="1" thickBot="1">
      <c r="A7" s="703"/>
      <c r="B7" s="704"/>
      <c r="C7" s="704"/>
      <c r="D7" s="704"/>
      <c r="E7" s="704"/>
      <c r="F7" s="704"/>
      <c r="G7" s="704"/>
      <c r="H7" s="704"/>
      <c r="I7" s="704"/>
      <c r="J7" s="704"/>
      <c r="K7" s="704"/>
      <c r="L7" s="719"/>
      <c r="M7" s="720"/>
      <c r="N7" s="720"/>
      <c r="O7" s="720"/>
      <c r="P7" s="720"/>
      <c r="Q7" s="720"/>
      <c r="R7" s="175"/>
      <c r="S7" s="175"/>
      <c r="T7" s="175"/>
      <c r="U7" s="175"/>
      <c r="V7" s="175"/>
      <c r="W7" s="176"/>
      <c r="X7" s="557"/>
      <c r="Y7" s="557"/>
      <c r="Z7" s="557"/>
      <c r="AA7" s="557"/>
      <c r="AB7" s="557"/>
      <c r="AC7" s="557"/>
      <c r="AD7" s="557"/>
      <c r="AE7" s="557"/>
      <c r="AF7" s="55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49999999999999" customHeight="1">
      <c r="A8" s="705" t="s">
        <v>244</v>
      </c>
      <c r="B8" s="707" t="s">
        <v>22</v>
      </c>
      <c r="C8" s="708"/>
      <c r="D8" s="709"/>
      <c r="E8" s="713" t="s">
        <v>246</v>
      </c>
      <c r="F8" s="707" t="s">
        <v>496</v>
      </c>
      <c r="G8" s="709"/>
      <c r="H8" s="707" t="s">
        <v>497</v>
      </c>
      <c r="I8" s="709"/>
      <c r="J8" s="707" t="s">
        <v>498</v>
      </c>
      <c r="K8" s="709"/>
      <c r="L8" s="728" t="s">
        <v>244</v>
      </c>
      <c r="M8" s="730" t="s">
        <v>499</v>
      </c>
      <c r="N8" s="731"/>
      <c r="O8" s="734" t="s">
        <v>500</v>
      </c>
      <c r="P8" s="728" t="s">
        <v>501</v>
      </c>
      <c r="Q8" s="697" t="s">
        <v>502</v>
      </c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6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99999999999999" customHeight="1" thickBot="1">
      <c r="A9" s="706"/>
      <c r="B9" s="710"/>
      <c r="C9" s="711"/>
      <c r="D9" s="712"/>
      <c r="E9" s="714"/>
      <c r="F9" s="710"/>
      <c r="G9" s="712"/>
      <c r="H9" s="710"/>
      <c r="I9" s="712"/>
      <c r="J9" s="710"/>
      <c r="K9" s="712"/>
      <c r="L9" s="729"/>
      <c r="M9" s="732"/>
      <c r="N9" s="733"/>
      <c r="O9" s="735"/>
      <c r="P9" s="729"/>
      <c r="Q9" s="698"/>
      <c r="T9" s="559"/>
      <c r="U9" s="559"/>
      <c r="V9" s="559"/>
      <c r="W9" s="559"/>
      <c r="X9" s="559"/>
      <c r="Y9" s="559"/>
      <c r="Z9" s="559"/>
      <c r="AA9" s="559"/>
      <c r="AB9" s="559"/>
      <c r="AC9" s="559"/>
      <c r="AD9" s="559"/>
      <c r="AE9" s="559"/>
      <c r="AF9" s="56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5" customHeight="1">
      <c r="A10" s="561">
        <v>1</v>
      </c>
      <c r="B10" s="721" t="s">
        <v>37</v>
      </c>
      <c r="C10" s="722"/>
      <c r="D10" s="723"/>
      <c r="E10" s="177" t="s">
        <v>503</v>
      </c>
      <c r="F10" s="724">
        <v>114.51600000000001</v>
      </c>
      <c r="G10" s="725"/>
      <c r="H10" s="726">
        <f>'Survey Anx'!F39</f>
        <v>107.97099999999999</v>
      </c>
      <c r="I10" s="727"/>
      <c r="J10" s="724">
        <f t="shared" ref="J10:J19" si="0">F10-H10</f>
        <v>6.5450000000000159</v>
      </c>
      <c r="K10" s="725"/>
      <c r="L10" s="177">
        <v>1</v>
      </c>
      <c r="M10" s="699" t="s">
        <v>504</v>
      </c>
      <c r="N10" s="700"/>
      <c r="O10" s="178"/>
      <c r="P10" s="178"/>
      <c r="Q10" s="178"/>
      <c r="T10" s="562"/>
      <c r="U10" s="562"/>
      <c r="V10" s="562"/>
      <c r="W10" s="562"/>
      <c r="X10" s="562"/>
      <c r="Y10" s="562"/>
      <c r="Z10" s="562"/>
      <c r="AA10" s="562"/>
      <c r="AB10" s="562"/>
      <c r="AC10" s="562"/>
      <c r="AD10" s="562"/>
      <c r="AE10" s="562"/>
      <c r="AF10" s="563"/>
      <c r="AG10" s="772"/>
      <c r="AH10" s="772"/>
      <c r="AI10" s="772"/>
      <c r="AJ10" s="772"/>
      <c r="AK10" s="772"/>
      <c r="AL10" s="772"/>
      <c r="AM10" s="773"/>
      <c r="AN10" s="773"/>
      <c r="AO10" s="775"/>
    </row>
    <row r="11" spans="1:41" s="159" customFormat="1" ht="17">
      <c r="A11" s="564">
        <v>2</v>
      </c>
      <c r="B11" s="736" t="s">
        <v>21</v>
      </c>
      <c r="C11" s="737"/>
      <c r="D11" s="738"/>
      <c r="E11" s="179" t="s">
        <v>503</v>
      </c>
      <c r="F11" s="743">
        <v>114.51600000000001</v>
      </c>
      <c r="G11" s="744"/>
      <c r="H11" s="745">
        <f>'Survey Anx'!I39</f>
        <v>94.51900000000002</v>
      </c>
      <c r="I11" s="746"/>
      <c r="J11" s="743">
        <f t="shared" si="0"/>
        <v>19.996999999999986</v>
      </c>
      <c r="K11" s="744"/>
      <c r="L11" s="204">
        <f t="shared" ref="L11:L18" si="1">L10+1</f>
        <v>2</v>
      </c>
      <c r="M11" s="777" t="s">
        <v>505</v>
      </c>
      <c r="N11" s="778"/>
      <c r="O11" s="168"/>
      <c r="P11" s="168"/>
      <c r="Q11" s="168"/>
      <c r="T11" s="562"/>
      <c r="U11" s="562"/>
      <c r="V11" s="562"/>
      <c r="W11" s="562"/>
      <c r="X11" s="562"/>
      <c r="Y11" s="562"/>
      <c r="Z11" s="562"/>
      <c r="AA11" s="562"/>
      <c r="AB11" s="562"/>
      <c r="AC11" s="562"/>
      <c r="AD11" s="562"/>
      <c r="AE11" s="562"/>
      <c r="AF11" s="563"/>
      <c r="AG11" s="772"/>
      <c r="AH11" s="772"/>
      <c r="AI11" s="772"/>
      <c r="AJ11" s="772"/>
      <c r="AK11" s="772"/>
      <c r="AL11" s="772"/>
      <c r="AM11" s="773"/>
      <c r="AN11" s="773"/>
      <c r="AO11" s="775"/>
    </row>
    <row r="12" spans="1:41" s="159" customFormat="1" ht="17.5" customHeight="1">
      <c r="A12" s="564">
        <v>3</v>
      </c>
      <c r="B12" s="736" t="s">
        <v>52</v>
      </c>
      <c r="C12" s="737"/>
      <c r="D12" s="738"/>
      <c r="E12" s="179" t="s">
        <v>506</v>
      </c>
      <c r="F12" s="739">
        <v>30</v>
      </c>
      <c r="G12" s="740"/>
      <c r="H12" s="741">
        <v>30</v>
      </c>
      <c r="I12" s="742"/>
      <c r="J12" s="739">
        <f t="shared" si="0"/>
        <v>0</v>
      </c>
      <c r="K12" s="740"/>
      <c r="L12" s="204">
        <f t="shared" si="1"/>
        <v>3</v>
      </c>
      <c r="M12" s="777" t="s">
        <v>507</v>
      </c>
      <c r="N12" s="778"/>
      <c r="O12" s="168"/>
      <c r="P12" s="168"/>
      <c r="Q12" s="168"/>
      <c r="T12" s="562"/>
      <c r="U12" s="562"/>
      <c r="V12" s="562"/>
      <c r="W12" s="562"/>
      <c r="X12" s="562"/>
      <c r="Y12" s="562"/>
      <c r="Z12" s="562"/>
      <c r="AA12" s="562"/>
      <c r="AB12" s="562"/>
      <c r="AC12" s="562"/>
      <c r="AD12" s="562"/>
      <c r="AE12" s="562"/>
      <c r="AF12" s="563"/>
      <c r="AG12" s="773"/>
      <c r="AH12" s="773"/>
      <c r="AI12" s="773"/>
      <c r="AJ12" s="773"/>
      <c r="AK12" s="773"/>
      <c r="AL12" s="773"/>
      <c r="AM12" s="773"/>
      <c r="AN12" s="773"/>
      <c r="AO12" s="775"/>
    </row>
    <row r="13" spans="1:41" s="159" customFormat="1" ht="17.5" customHeight="1">
      <c r="A13" s="564">
        <v>4</v>
      </c>
      <c r="B13" s="736" t="s">
        <v>54</v>
      </c>
      <c r="C13" s="737"/>
      <c r="D13" s="738"/>
      <c r="E13" s="179" t="s">
        <v>506</v>
      </c>
      <c r="F13" s="739">
        <v>293</v>
      </c>
      <c r="G13" s="740"/>
      <c r="H13" s="741">
        <f>BV20</f>
        <v>95</v>
      </c>
      <c r="I13" s="742"/>
      <c r="J13" s="739">
        <f t="shared" si="0"/>
        <v>198</v>
      </c>
      <c r="K13" s="740"/>
      <c r="L13" s="204">
        <f t="shared" si="1"/>
        <v>4</v>
      </c>
      <c r="M13" s="777" t="s">
        <v>508</v>
      </c>
      <c r="N13" s="778"/>
      <c r="O13" s="168"/>
      <c r="P13" s="168"/>
      <c r="Q13" s="168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3"/>
      <c r="AG13" s="773"/>
      <c r="AH13" s="773"/>
      <c r="AI13" s="773"/>
      <c r="AJ13" s="773"/>
      <c r="AK13" s="773"/>
      <c r="AL13" s="773"/>
      <c r="AM13" s="773"/>
      <c r="AN13" s="773"/>
      <c r="AO13" s="775"/>
    </row>
    <row r="14" spans="1:41" s="159" customFormat="1" ht="17.5" customHeight="1">
      <c r="A14" s="564">
        <v>5</v>
      </c>
      <c r="B14" s="736" t="s">
        <v>55</v>
      </c>
      <c r="C14" s="737"/>
      <c r="D14" s="738"/>
      <c r="E14" s="179" t="s">
        <v>506</v>
      </c>
      <c r="F14" s="739">
        <v>293</v>
      </c>
      <c r="G14" s="740"/>
      <c r="H14" s="741">
        <v>89</v>
      </c>
      <c r="I14" s="742"/>
      <c r="J14" s="739">
        <f t="shared" si="0"/>
        <v>204</v>
      </c>
      <c r="K14" s="740"/>
      <c r="L14" s="204">
        <f t="shared" si="1"/>
        <v>5</v>
      </c>
      <c r="M14" s="777" t="s">
        <v>509</v>
      </c>
      <c r="N14" s="778"/>
      <c r="O14" s="168"/>
      <c r="P14" s="168"/>
      <c r="Q14" s="168"/>
      <c r="T14" s="562"/>
      <c r="U14" s="562"/>
      <c r="V14" s="562"/>
      <c r="W14" s="562"/>
      <c r="X14" s="562"/>
      <c r="Y14" s="562"/>
      <c r="Z14" s="562"/>
      <c r="AA14" s="562"/>
      <c r="AB14" s="562"/>
      <c r="AC14" s="562"/>
      <c r="AD14" s="562"/>
      <c r="AE14" s="562"/>
      <c r="AF14" s="563"/>
      <c r="AG14" s="773"/>
      <c r="AH14" s="773"/>
      <c r="AI14" s="773"/>
      <c r="AJ14" s="773"/>
      <c r="AK14" s="773"/>
      <c r="AL14" s="773"/>
      <c r="AM14" s="773"/>
      <c r="AN14" s="773"/>
      <c r="AO14" s="775"/>
    </row>
    <row r="15" spans="1:41" s="159" customFormat="1" ht="17.149999999999999" customHeight="1">
      <c r="A15" s="564">
        <v>6</v>
      </c>
      <c r="B15" s="736" t="s">
        <v>510</v>
      </c>
      <c r="C15" s="737"/>
      <c r="D15" s="738"/>
      <c r="E15" s="179" t="s">
        <v>506</v>
      </c>
      <c r="F15" s="739">
        <v>293</v>
      </c>
      <c r="G15" s="740"/>
      <c r="H15" s="741">
        <f>BW20</f>
        <v>47</v>
      </c>
      <c r="I15" s="742"/>
      <c r="J15" s="739">
        <f t="shared" si="0"/>
        <v>246</v>
      </c>
      <c r="K15" s="740"/>
      <c r="L15" s="204">
        <f t="shared" si="1"/>
        <v>6</v>
      </c>
      <c r="M15" s="777" t="s">
        <v>511</v>
      </c>
      <c r="N15" s="778"/>
      <c r="O15" s="168"/>
      <c r="P15" s="168"/>
      <c r="Q15" s="168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3"/>
      <c r="AG15" s="773"/>
      <c r="AH15" s="773"/>
      <c r="AI15" s="773"/>
      <c r="AJ15" s="773"/>
      <c r="AK15" s="773"/>
      <c r="AL15" s="773"/>
      <c r="AM15" s="773"/>
      <c r="AN15" s="773"/>
      <c r="AO15" s="775"/>
    </row>
    <row r="16" spans="1:41" s="159" customFormat="1" ht="17.5" customHeight="1">
      <c r="A16" s="564">
        <v>7</v>
      </c>
      <c r="B16" s="736" t="s">
        <v>512</v>
      </c>
      <c r="C16" s="737"/>
      <c r="D16" s="738"/>
      <c r="E16" s="179" t="s">
        <v>506</v>
      </c>
      <c r="F16" s="739">
        <v>293</v>
      </c>
      <c r="G16" s="740"/>
      <c r="H16" s="741">
        <v>13</v>
      </c>
      <c r="I16" s="742"/>
      <c r="J16" s="739">
        <f t="shared" si="0"/>
        <v>280</v>
      </c>
      <c r="K16" s="740"/>
      <c r="L16" s="204">
        <f t="shared" si="1"/>
        <v>7</v>
      </c>
      <c r="M16" s="777" t="s">
        <v>67</v>
      </c>
      <c r="N16" s="778"/>
      <c r="O16" s="168"/>
      <c r="P16" s="168"/>
      <c r="Q16" s="168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3"/>
      <c r="AG16" s="773"/>
      <c r="AH16" s="773"/>
      <c r="AI16" s="773"/>
      <c r="AJ16" s="773"/>
      <c r="AK16" s="773"/>
      <c r="AL16" s="773"/>
      <c r="AM16" s="773"/>
      <c r="AN16" s="773"/>
      <c r="AO16" s="775"/>
    </row>
    <row r="17" spans="1:75" s="159" customFormat="1" ht="17.5" customHeight="1">
      <c r="A17" s="564">
        <v>8</v>
      </c>
      <c r="B17" s="736" t="s">
        <v>513</v>
      </c>
      <c r="C17" s="737"/>
      <c r="D17" s="738"/>
      <c r="E17" s="179" t="s">
        <v>503</v>
      </c>
      <c r="F17" s="743">
        <v>114.51600000000001</v>
      </c>
      <c r="G17" s="744"/>
      <c r="H17" s="745">
        <v>0</v>
      </c>
      <c r="I17" s="746"/>
      <c r="J17" s="743">
        <f t="shared" si="0"/>
        <v>114.51600000000001</v>
      </c>
      <c r="K17" s="744"/>
      <c r="L17" s="204">
        <f t="shared" si="1"/>
        <v>8</v>
      </c>
      <c r="M17" s="777" t="s">
        <v>67</v>
      </c>
      <c r="N17" s="778"/>
      <c r="O17" s="168"/>
      <c r="P17" s="168"/>
      <c r="Q17" s="168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3"/>
      <c r="AG17" s="773"/>
      <c r="AH17" s="773"/>
      <c r="AI17" s="773"/>
      <c r="AJ17" s="773"/>
      <c r="AK17" s="773"/>
      <c r="AL17" s="773"/>
      <c r="AM17" s="773"/>
      <c r="AN17" s="773"/>
      <c r="AO17" s="775"/>
    </row>
    <row r="18" spans="1:75" s="159" customFormat="1" ht="17.5" customHeight="1">
      <c r="A18" s="564">
        <v>9</v>
      </c>
      <c r="B18" s="736" t="s">
        <v>514</v>
      </c>
      <c r="C18" s="737"/>
      <c r="D18" s="738"/>
      <c r="E18" s="179" t="s">
        <v>503</v>
      </c>
      <c r="F18" s="743">
        <v>114.51600000000001</v>
      </c>
      <c r="G18" s="744"/>
      <c r="H18" s="745">
        <v>0</v>
      </c>
      <c r="I18" s="746"/>
      <c r="J18" s="743">
        <f t="shared" si="0"/>
        <v>114.51600000000001</v>
      </c>
      <c r="K18" s="744"/>
      <c r="L18" s="204">
        <f t="shared" si="1"/>
        <v>9</v>
      </c>
      <c r="M18" s="777" t="s">
        <v>67</v>
      </c>
      <c r="N18" s="778"/>
      <c r="O18" s="168"/>
      <c r="P18" s="168"/>
      <c r="Q18" s="168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3"/>
      <c r="AG18" s="773"/>
      <c r="AH18" s="773"/>
      <c r="AI18" s="773"/>
      <c r="AJ18" s="773"/>
      <c r="AK18" s="773"/>
      <c r="AL18" s="773"/>
      <c r="AM18" s="773"/>
      <c r="AN18" s="773"/>
      <c r="AO18" s="775"/>
    </row>
    <row r="19" spans="1:75" s="159" customFormat="1" ht="18" customHeight="1" thickBot="1">
      <c r="A19" s="565">
        <v>10</v>
      </c>
      <c r="B19" s="747" t="s">
        <v>515</v>
      </c>
      <c r="C19" s="748"/>
      <c r="D19" s="749"/>
      <c r="E19" s="180" t="s">
        <v>503</v>
      </c>
      <c r="F19" s="750">
        <v>114.51600000000001</v>
      </c>
      <c r="G19" s="751"/>
      <c r="H19" s="752">
        <v>0</v>
      </c>
      <c r="I19" s="753"/>
      <c r="J19" s="750">
        <f t="shared" si="0"/>
        <v>114.51600000000001</v>
      </c>
      <c r="K19" s="751"/>
      <c r="L19" s="204">
        <f>L18+1</f>
        <v>10</v>
      </c>
      <c r="M19" s="779" t="s">
        <v>67</v>
      </c>
      <c r="N19" s="78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66"/>
      <c r="AG19" s="774"/>
      <c r="AH19" s="774"/>
      <c r="AI19" s="774"/>
      <c r="AJ19" s="774"/>
      <c r="AK19" s="774"/>
      <c r="AL19" s="774"/>
      <c r="AM19" s="774"/>
      <c r="AN19" s="774"/>
      <c r="AO19" s="776"/>
      <c r="BV19" s="324" t="s">
        <v>516</v>
      </c>
      <c r="BW19" s="324" t="s">
        <v>517</v>
      </c>
    </row>
    <row r="20" spans="1:75" s="159" customFormat="1" ht="18" customHeight="1">
      <c r="A20" s="567"/>
      <c r="B20" s="568"/>
      <c r="C20" s="568"/>
      <c r="D20" s="568"/>
      <c r="E20" s="569"/>
      <c r="F20" s="570"/>
      <c r="G20" s="570"/>
      <c r="H20" s="571"/>
      <c r="I20" s="571"/>
      <c r="J20" s="570"/>
      <c r="K20" s="570"/>
      <c r="L20" s="572"/>
      <c r="M20" s="569"/>
      <c r="N20" s="569"/>
      <c r="O20" s="573"/>
      <c r="P20" s="573"/>
      <c r="Q20" s="573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3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7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74"/>
      <c r="AG22" s="303"/>
      <c r="AH22" s="303"/>
      <c r="AI22" s="303"/>
      <c r="AJ22" s="302"/>
    </row>
    <row r="23" spans="1:75" s="535" customFormat="1" ht="13" customHeight="1">
      <c r="A23" s="575"/>
      <c r="B23" s="534" t="s">
        <v>518</v>
      </c>
      <c r="C23" s="576"/>
      <c r="D23" s="534" t="s">
        <v>519</v>
      </c>
      <c r="E23" s="577"/>
      <c r="F23" s="534" t="s">
        <v>520</v>
      </c>
      <c r="G23" s="577"/>
      <c r="H23" s="534" t="s">
        <v>521</v>
      </c>
      <c r="I23" s="577"/>
      <c r="J23" s="534" t="s">
        <v>522</v>
      </c>
      <c r="K23" s="577"/>
      <c r="L23" s="534" t="s">
        <v>523</v>
      </c>
      <c r="M23" s="577"/>
      <c r="N23" s="534" t="s">
        <v>524</v>
      </c>
      <c r="O23" s="577"/>
      <c r="P23" s="534" t="s">
        <v>525</v>
      </c>
      <c r="Q23" s="577"/>
      <c r="R23" s="534" t="s">
        <v>272</v>
      </c>
      <c r="S23" s="577"/>
      <c r="T23" s="534" t="s">
        <v>526</v>
      </c>
      <c r="U23" s="577"/>
      <c r="V23" s="534" t="s">
        <v>527</v>
      </c>
      <c r="W23" s="577"/>
      <c r="X23" s="534" t="s">
        <v>277</v>
      </c>
      <c r="Y23" s="577"/>
      <c r="Z23" s="534" t="s">
        <v>528</v>
      </c>
      <c r="AA23" s="577"/>
      <c r="AB23" s="534" t="s">
        <v>529</v>
      </c>
      <c r="AC23" s="577"/>
      <c r="AD23" s="534" t="s">
        <v>530</v>
      </c>
      <c r="AE23" s="577"/>
      <c r="AF23" s="578"/>
      <c r="AG23" s="303"/>
      <c r="AH23" s="303"/>
      <c r="AI23" s="303"/>
      <c r="AJ23" s="302"/>
    </row>
    <row r="24" spans="1:75" s="159" customFormat="1" ht="13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74"/>
      <c r="AG24" s="303"/>
      <c r="AH24" s="303"/>
      <c r="AI24" s="303"/>
      <c r="AJ24" s="302"/>
    </row>
    <row r="25" spans="1:75" s="159" customFormat="1" ht="13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74"/>
      <c r="AG25" s="303"/>
      <c r="AH25" s="303"/>
      <c r="AI25" s="303"/>
      <c r="AJ25" s="302"/>
    </row>
    <row r="26" spans="1:75" s="159" customFormat="1" ht="13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74"/>
      <c r="AG26" s="303"/>
      <c r="AH26" s="303"/>
      <c r="AI26" s="303"/>
      <c r="AJ26" s="302"/>
    </row>
    <row r="27" spans="1:75" s="159" customFormat="1" ht="13" customHeight="1">
      <c r="A27" s="206"/>
      <c r="B27" s="261"/>
      <c r="C27" s="579"/>
      <c r="D27" s="261"/>
      <c r="E27" s="579"/>
      <c r="F27" s="261"/>
      <c r="G27" s="579"/>
      <c r="H27" s="261"/>
      <c r="I27" s="579"/>
      <c r="J27" s="261"/>
      <c r="K27" s="579"/>
      <c r="L27" s="261"/>
      <c r="M27" s="579"/>
      <c r="N27" s="794" t="s">
        <v>531</v>
      </c>
      <c r="O27" s="579"/>
      <c r="P27" s="794" t="s">
        <v>531</v>
      </c>
      <c r="Q27" s="579"/>
      <c r="R27" s="261"/>
      <c r="S27" s="579"/>
      <c r="T27" s="261"/>
      <c r="U27" s="579"/>
      <c r="V27" s="261"/>
      <c r="W27" s="579"/>
      <c r="X27" s="261"/>
      <c r="Y27" s="579"/>
      <c r="Z27" s="261"/>
      <c r="AA27" s="579"/>
      <c r="AB27" s="261"/>
      <c r="AC27" s="579"/>
      <c r="AD27" s="261"/>
      <c r="AE27" s="579"/>
      <c r="AF27" s="580"/>
      <c r="AG27" s="303"/>
      <c r="AH27" s="303"/>
      <c r="AI27" s="303"/>
      <c r="AJ27" s="302"/>
    </row>
    <row r="28" spans="1:75" s="159" customFormat="1" ht="13" customHeight="1">
      <c r="A28" s="206"/>
      <c r="B28" s="263" t="s">
        <v>531</v>
      </c>
      <c r="C28" s="581">
        <v>393.72</v>
      </c>
      <c r="D28" s="263" t="s">
        <v>531</v>
      </c>
      <c r="E28" s="581">
        <v>225.97</v>
      </c>
      <c r="F28" s="263" t="s">
        <v>531</v>
      </c>
      <c r="G28" s="581">
        <v>193.84</v>
      </c>
      <c r="H28" s="263" t="s">
        <v>531</v>
      </c>
      <c r="I28" s="581">
        <v>401.38</v>
      </c>
      <c r="J28" s="263" t="s">
        <v>531</v>
      </c>
      <c r="K28" s="581">
        <v>284.73</v>
      </c>
      <c r="L28" s="263" t="s">
        <v>531</v>
      </c>
      <c r="M28" s="581">
        <v>238.17</v>
      </c>
      <c r="N28" s="795"/>
      <c r="O28" s="581">
        <v>164.96</v>
      </c>
      <c r="P28" s="795"/>
      <c r="Q28" s="581">
        <v>343</v>
      </c>
      <c r="R28" s="263" t="s">
        <v>531</v>
      </c>
      <c r="S28" s="581">
        <v>453</v>
      </c>
      <c r="T28" s="263" t="s">
        <v>531</v>
      </c>
      <c r="U28" s="581">
        <v>369</v>
      </c>
      <c r="V28" s="263" t="s">
        <v>531</v>
      </c>
      <c r="W28" s="581">
        <v>405</v>
      </c>
      <c r="X28" s="263" t="s">
        <v>531</v>
      </c>
      <c r="Y28" s="581">
        <v>416</v>
      </c>
      <c r="Z28" s="263" t="s">
        <v>531</v>
      </c>
      <c r="AA28" s="581">
        <v>420</v>
      </c>
      <c r="AB28" s="263" t="s">
        <v>531</v>
      </c>
      <c r="AC28" s="581">
        <v>364</v>
      </c>
      <c r="AD28" s="263" t="s">
        <v>531</v>
      </c>
      <c r="AE28" s="581">
        <v>401</v>
      </c>
      <c r="AF28" s="574"/>
      <c r="AG28" s="303"/>
      <c r="AH28" s="303"/>
      <c r="AI28" s="303"/>
      <c r="AJ28" s="302"/>
    </row>
    <row r="29" spans="1:75" s="159" customFormat="1" ht="13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96"/>
      <c r="O29" s="200"/>
      <c r="P29" s="796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74"/>
      <c r="AG29" s="303"/>
      <c r="AH29" s="303"/>
      <c r="AI29" s="303"/>
      <c r="AJ29" s="302"/>
    </row>
    <row r="30" spans="1:75" s="258" customFormat="1" ht="25.5" customHeight="1">
      <c r="A30" s="58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583"/>
    </row>
    <row r="31" spans="1:75" s="159" customFormat="1" ht="13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584" t="s">
        <v>1075</v>
      </c>
      <c r="L31" s="200"/>
      <c r="M31" s="254"/>
      <c r="N31" s="200"/>
      <c r="O31" s="584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585"/>
      <c r="AD31" s="200"/>
      <c r="AE31" s="200"/>
      <c r="AF31" s="574"/>
      <c r="AG31" s="303"/>
      <c r="AH31" s="303"/>
      <c r="AI31" s="303"/>
      <c r="AJ31" s="302"/>
    </row>
    <row r="32" spans="1:75" s="159" customFormat="1" ht="13" customHeight="1">
      <c r="A32" s="206"/>
      <c r="O32" s="586" t="s">
        <v>1106</v>
      </c>
      <c r="AE32" s="200"/>
      <c r="AF32" s="574"/>
      <c r="AG32" s="303"/>
      <c r="AH32" s="303"/>
      <c r="AI32" s="303"/>
      <c r="AJ32" s="303"/>
    </row>
    <row r="33" spans="1:75" s="159" customFormat="1" ht="13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74"/>
      <c r="AG33" s="303"/>
      <c r="AH33" s="303"/>
      <c r="AI33" s="303"/>
      <c r="AJ33" s="302"/>
    </row>
    <row r="34" spans="1:75" s="530" customFormat="1" ht="13" customHeight="1">
      <c r="A34" s="587"/>
      <c r="B34" s="531" t="s">
        <v>281</v>
      </c>
      <c r="C34" s="588"/>
      <c r="D34" s="531" t="s">
        <v>537</v>
      </c>
      <c r="E34" s="258"/>
      <c r="F34" s="531" t="s">
        <v>538</v>
      </c>
      <c r="G34" s="258"/>
      <c r="H34" s="531" t="s">
        <v>284</v>
      </c>
      <c r="I34" s="258"/>
      <c r="J34" s="531" t="s">
        <v>539</v>
      </c>
      <c r="K34" s="258"/>
      <c r="L34" s="531" t="s">
        <v>540</v>
      </c>
      <c r="M34" s="258"/>
      <c r="N34" s="531" t="s">
        <v>541</v>
      </c>
      <c r="O34" s="258"/>
      <c r="P34" s="531" t="s">
        <v>542</v>
      </c>
      <c r="Q34" s="258"/>
      <c r="R34" s="531" t="s">
        <v>543</v>
      </c>
      <c r="S34" s="258"/>
      <c r="T34" s="531" t="s">
        <v>544</v>
      </c>
      <c r="U34" s="258"/>
      <c r="V34" s="531" t="s">
        <v>545</v>
      </c>
      <c r="W34" s="258"/>
      <c r="X34" s="531" t="s">
        <v>442</v>
      </c>
      <c r="Y34" s="258"/>
      <c r="Z34" s="531" t="s">
        <v>448</v>
      </c>
      <c r="AA34" s="258"/>
      <c r="AB34" s="531" t="s">
        <v>378</v>
      </c>
      <c r="AC34" s="258"/>
      <c r="AD34" s="531" t="s">
        <v>372</v>
      </c>
      <c r="AE34" s="258"/>
      <c r="AF34" s="589"/>
      <c r="AG34" s="532"/>
      <c r="AH34" s="532"/>
      <c r="AI34" s="532"/>
      <c r="AJ34" s="533"/>
    </row>
    <row r="35" spans="1:75" s="159" customFormat="1" ht="13" customHeight="1">
      <c r="A35" s="206"/>
      <c r="B35" s="200"/>
      <c r="C35" s="200"/>
      <c r="D35" s="200"/>
      <c r="E35" s="200"/>
      <c r="F35" s="59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74"/>
      <c r="AG35" s="303"/>
      <c r="AH35" s="303"/>
      <c r="AI35" s="303"/>
      <c r="AJ35" s="302"/>
    </row>
    <row r="36" spans="1:75" s="159" customFormat="1" ht="13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74"/>
      <c r="AG36" s="303"/>
      <c r="AH36" s="303"/>
      <c r="AI36" s="303"/>
      <c r="AJ36" s="302"/>
    </row>
    <row r="37" spans="1:75" s="159" customFormat="1" ht="13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74"/>
      <c r="AG37" s="303"/>
      <c r="AH37" s="303"/>
      <c r="AI37" s="303"/>
      <c r="AJ37" s="302"/>
    </row>
    <row r="38" spans="1:75" s="159" customFormat="1" ht="13" customHeight="1">
      <c r="A38" s="206"/>
      <c r="B38" s="261"/>
      <c r="C38" s="579"/>
      <c r="D38" s="261"/>
      <c r="E38" s="579"/>
      <c r="F38" s="261"/>
      <c r="G38" s="579"/>
      <c r="H38" s="261"/>
      <c r="I38" s="579"/>
      <c r="J38" s="261"/>
      <c r="K38" s="579"/>
      <c r="L38" s="261"/>
      <c r="M38" s="579"/>
      <c r="N38" s="261"/>
      <c r="O38" s="579"/>
      <c r="P38" s="261"/>
      <c r="Q38" s="579"/>
      <c r="R38" s="261"/>
      <c r="S38" s="579"/>
      <c r="T38" s="261"/>
      <c r="U38" s="579"/>
      <c r="V38" s="261"/>
      <c r="W38" s="579"/>
      <c r="X38" s="184"/>
      <c r="Y38" s="591"/>
      <c r="Z38" s="184"/>
      <c r="AA38" s="591"/>
      <c r="AB38" s="184"/>
      <c r="AC38" s="591"/>
      <c r="AD38" s="184"/>
      <c r="AE38" s="591"/>
      <c r="AF38" s="574"/>
      <c r="AG38" s="303"/>
      <c r="AH38" s="303"/>
      <c r="AI38" s="303"/>
      <c r="AJ38" s="302"/>
      <c r="BV38" s="499">
        <v>4</v>
      </c>
      <c r="BW38" s="499">
        <f>1</f>
        <v>1</v>
      </c>
    </row>
    <row r="39" spans="1:75" s="159" customFormat="1" ht="13" customHeight="1">
      <c r="A39" s="206"/>
      <c r="B39" s="263" t="s">
        <v>531</v>
      </c>
      <c r="C39" s="581">
        <v>412</v>
      </c>
      <c r="D39" s="263" t="s">
        <v>531</v>
      </c>
      <c r="E39" s="581">
        <v>405</v>
      </c>
      <c r="F39" s="263" t="s">
        <v>531</v>
      </c>
      <c r="G39" s="581">
        <v>391</v>
      </c>
      <c r="H39" s="263" t="s">
        <v>531</v>
      </c>
      <c r="I39" s="581">
        <v>397</v>
      </c>
      <c r="J39" s="263" t="s">
        <v>531</v>
      </c>
      <c r="K39" s="581">
        <v>390</v>
      </c>
      <c r="L39" s="263" t="s">
        <v>531</v>
      </c>
      <c r="M39" s="581">
        <v>397.5</v>
      </c>
      <c r="N39" s="263" t="s">
        <v>531</v>
      </c>
      <c r="O39" s="581">
        <v>591</v>
      </c>
      <c r="P39" s="263" t="s">
        <v>531</v>
      </c>
      <c r="Q39" s="581">
        <v>534</v>
      </c>
      <c r="R39" s="263" t="s">
        <v>531</v>
      </c>
      <c r="S39" s="581">
        <v>799</v>
      </c>
      <c r="T39" s="263" t="s">
        <v>531</v>
      </c>
      <c r="U39" s="581">
        <v>321</v>
      </c>
      <c r="V39" s="263" t="s">
        <v>531</v>
      </c>
      <c r="W39" s="581">
        <v>449</v>
      </c>
      <c r="X39" s="191"/>
      <c r="Y39" s="592">
        <v>412.99900000000002</v>
      </c>
      <c r="Z39" s="191"/>
      <c r="AA39" s="592">
        <v>390</v>
      </c>
      <c r="AB39" s="187"/>
      <c r="AC39" s="592">
        <v>377.19900000000001</v>
      </c>
      <c r="AD39" s="187"/>
      <c r="AE39" s="592">
        <v>374.428</v>
      </c>
      <c r="AF39" s="574"/>
      <c r="AG39" s="303"/>
      <c r="AH39" s="303"/>
      <c r="AI39" s="303"/>
      <c r="AJ39" s="302"/>
    </row>
    <row r="40" spans="1:75" s="159" customFormat="1" ht="13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74"/>
      <c r="AG40" s="303"/>
      <c r="AH40" s="303"/>
      <c r="AI40" s="303"/>
      <c r="AJ40" s="302"/>
    </row>
    <row r="41" spans="1:75" s="258" customFormat="1" ht="25.5" customHeight="1">
      <c r="A41" s="58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583"/>
    </row>
    <row r="42" spans="1:75" s="159" customFormat="1" ht="13" customHeight="1">
      <c r="A42" s="206"/>
      <c r="B42" s="200"/>
      <c r="C42" s="254"/>
      <c r="D42" s="200"/>
      <c r="E42" s="254"/>
      <c r="F42" s="200"/>
      <c r="G42" s="254"/>
      <c r="H42" s="790" t="s">
        <v>548</v>
      </c>
      <c r="I42" s="790"/>
      <c r="J42" s="790"/>
      <c r="K42" s="790"/>
      <c r="L42" s="790"/>
      <c r="R42" s="59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74"/>
      <c r="AG42" s="303"/>
      <c r="AH42" s="303"/>
      <c r="AI42" s="303"/>
      <c r="AJ42" s="302"/>
    </row>
    <row r="43" spans="1:75" s="159" customFormat="1" ht="13" customHeigh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585"/>
      <c r="AF43" s="574"/>
      <c r="AG43" s="303"/>
      <c r="AH43" s="303"/>
      <c r="AI43" s="303"/>
      <c r="AJ43" s="302"/>
    </row>
    <row r="44" spans="1:75" s="166" customFormat="1" ht="13" customHeight="1">
      <c r="A44" s="206"/>
      <c r="B44" s="200">
        <v>31</v>
      </c>
      <c r="C44" s="200"/>
      <c r="D44" s="200">
        <v>32</v>
      </c>
      <c r="E44" s="200"/>
      <c r="F44" s="200">
        <v>33</v>
      </c>
      <c r="G44" s="200"/>
      <c r="H44" s="200">
        <v>34</v>
      </c>
      <c r="I44" s="200"/>
      <c r="J44" s="200">
        <v>35</v>
      </c>
      <c r="K44" s="200"/>
      <c r="L44" s="200">
        <v>36</v>
      </c>
      <c r="M44" s="200"/>
      <c r="N44" s="200">
        <v>37</v>
      </c>
      <c r="O44" s="200"/>
      <c r="P44" s="200">
        <v>38</v>
      </c>
      <c r="Q44" s="200"/>
      <c r="R44" s="200">
        <v>39</v>
      </c>
      <c r="S44" s="200"/>
      <c r="T44" s="200">
        <v>40</v>
      </c>
      <c r="U44" s="200"/>
      <c r="V44" s="200">
        <v>41</v>
      </c>
      <c r="W44" s="200"/>
      <c r="X44" s="200">
        <v>42</v>
      </c>
      <c r="Y44" s="200"/>
      <c r="Z44" s="200">
        <v>43</v>
      </c>
      <c r="AA44" s="200"/>
      <c r="AB44" s="200">
        <v>44</v>
      </c>
      <c r="AC44" s="200"/>
      <c r="AD44" s="200">
        <v>45</v>
      </c>
      <c r="AE44" s="200"/>
      <c r="AF44" s="574"/>
      <c r="AG44" s="754"/>
      <c r="AH44" s="756"/>
      <c r="AI44" s="756"/>
      <c r="AJ44" s="756"/>
      <c r="AK44" s="756"/>
      <c r="AL44" s="756"/>
      <c r="AM44" s="756"/>
      <c r="AN44" s="756"/>
      <c r="AO44" s="783"/>
    </row>
    <row r="45" spans="1:75" s="193" customFormat="1" ht="13" customHeight="1">
      <c r="A45" s="587"/>
      <c r="B45" s="529" t="s">
        <v>136</v>
      </c>
      <c r="C45" s="258"/>
      <c r="D45" s="529" t="s">
        <v>370</v>
      </c>
      <c r="E45" s="258"/>
      <c r="F45" s="529" t="s">
        <v>368</v>
      </c>
      <c r="G45" s="258"/>
      <c r="H45" s="529" t="s">
        <v>369</v>
      </c>
      <c r="I45" s="258"/>
      <c r="J45" s="529" t="s">
        <v>367</v>
      </c>
      <c r="K45" s="258"/>
      <c r="L45" s="529" t="s">
        <v>380</v>
      </c>
      <c r="M45" s="588"/>
      <c r="N45" s="529" t="s">
        <v>395</v>
      </c>
      <c r="O45" s="258"/>
      <c r="P45" s="529" t="s">
        <v>174</v>
      </c>
      <c r="Q45" s="258"/>
      <c r="R45" s="529" t="s">
        <v>137</v>
      </c>
      <c r="S45" s="258"/>
      <c r="T45" s="529" t="s">
        <v>138</v>
      </c>
      <c r="U45" s="258"/>
      <c r="V45" s="529" t="s">
        <v>139</v>
      </c>
      <c r="W45" s="258"/>
      <c r="X45" s="529" t="s">
        <v>365</v>
      </c>
      <c r="Y45" s="258"/>
      <c r="Z45" s="529" t="s">
        <v>364</v>
      </c>
      <c r="AA45" s="258"/>
      <c r="AB45" s="529" t="s">
        <v>140</v>
      </c>
      <c r="AC45" s="258"/>
      <c r="AD45" s="529" t="s">
        <v>382</v>
      </c>
      <c r="AE45" s="258"/>
      <c r="AF45" s="589"/>
      <c r="AG45" s="754"/>
      <c r="AH45" s="756"/>
      <c r="AI45" s="756"/>
      <c r="AJ45" s="756"/>
      <c r="AK45" s="756"/>
      <c r="AL45" s="756"/>
      <c r="AM45" s="756"/>
      <c r="AN45" s="756"/>
      <c r="AO45" s="783"/>
    </row>
    <row r="46" spans="1:75" s="166" customFormat="1" ht="13" customHeight="1">
      <c r="A46" s="206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574"/>
      <c r="AG46" s="754"/>
      <c r="AH46" s="756"/>
      <c r="AI46" s="756"/>
      <c r="AJ46" s="756"/>
      <c r="AK46" s="756"/>
      <c r="AL46" s="756"/>
      <c r="AM46" s="756"/>
      <c r="AN46" s="756"/>
      <c r="AO46" s="783"/>
    </row>
    <row r="47" spans="1:75" s="166" customFormat="1" ht="13" customHeight="1">
      <c r="A47" s="206"/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00"/>
      <c r="P47" s="254"/>
      <c r="Q47" s="254"/>
      <c r="R47" s="254"/>
      <c r="S47" s="200"/>
      <c r="T47" s="254"/>
      <c r="U47" s="254"/>
      <c r="V47" s="254"/>
      <c r="W47" s="254"/>
      <c r="X47" s="254"/>
      <c r="Y47" s="254"/>
      <c r="Z47" s="254"/>
      <c r="AA47" s="254"/>
      <c r="AB47" s="254"/>
      <c r="AC47" s="254"/>
      <c r="AD47" s="254"/>
      <c r="AE47" s="254"/>
      <c r="AF47" s="574"/>
      <c r="AG47" s="754"/>
      <c r="AH47" s="756"/>
      <c r="AI47" s="756"/>
      <c r="AJ47" s="756"/>
      <c r="AK47" s="756"/>
      <c r="AL47" s="756"/>
      <c r="AM47" s="756"/>
      <c r="AN47" s="756"/>
      <c r="AO47" s="783"/>
    </row>
    <row r="48" spans="1:75" s="166" customFormat="1" ht="13" customHeight="1" thickBo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74"/>
      <c r="AG48" s="754"/>
      <c r="AH48" s="756"/>
      <c r="AI48" s="756"/>
      <c r="AJ48" s="756"/>
      <c r="AK48" s="756"/>
      <c r="AL48" s="756"/>
      <c r="AM48" s="756"/>
      <c r="AN48" s="756"/>
      <c r="AO48" s="783"/>
    </row>
    <row r="49" spans="1:75" s="166" customFormat="1" ht="12.65" customHeight="1">
      <c r="A49" s="594"/>
      <c r="B49" s="202"/>
      <c r="C49" s="591"/>
      <c r="D49" s="184"/>
      <c r="E49" s="591"/>
      <c r="F49" s="184"/>
      <c r="G49" s="591"/>
      <c r="H49" s="184"/>
      <c r="I49" s="591"/>
      <c r="J49" s="184"/>
      <c r="K49" s="591"/>
      <c r="L49" s="184"/>
      <c r="M49" s="591"/>
      <c r="N49" s="184"/>
      <c r="O49" s="591"/>
      <c r="P49" s="184"/>
      <c r="Q49" s="591"/>
      <c r="R49" s="184"/>
      <c r="S49" s="591"/>
      <c r="T49" s="184"/>
      <c r="U49" s="591"/>
      <c r="V49" s="184"/>
      <c r="W49" s="591"/>
      <c r="X49" s="184"/>
      <c r="Y49" s="591"/>
      <c r="Z49" s="184"/>
      <c r="AA49" s="591"/>
      <c r="AB49" s="786"/>
      <c r="AC49" s="591"/>
      <c r="AD49" s="184"/>
      <c r="AE49" s="591"/>
      <c r="AF49" s="574"/>
      <c r="AG49" s="754"/>
      <c r="AH49" s="756"/>
      <c r="AI49" s="756"/>
      <c r="AJ49" s="756"/>
      <c r="AK49" s="756"/>
      <c r="AL49" s="756"/>
      <c r="AM49" s="756"/>
      <c r="AN49" s="756"/>
      <c r="AO49" s="783"/>
      <c r="BV49" s="500">
        <f>15</f>
        <v>15</v>
      </c>
      <c r="BW49" s="500">
        <v>10</v>
      </c>
    </row>
    <row r="50" spans="1:75" s="166" customFormat="1" ht="13.5" customHeight="1">
      <c r="A50" s="594"/>
      <c r="B50" s="187"/>
      <c r="C50" s="592">
        <v>421.99400000000003</v>
      </c>
      <c r="D50" s="187"/>
      <c r="E50" s="592">
        <v>232.608</v>
      </c>
      <c r="F50" s="187"/>
      <c r="G50" s="592">
        <v>216.64099999999999</v>
      </c>
      <c r="H50" s="187"/>
      <c r="I50" s="592">
        <v>355.99799999999999</v>
      </c>
      <c r="J50" s="187"/>
      <c r="K50" s="592">
        <v>384</v>
      </c>
      <c r="L50" s="187"/>
      <c r="M50" s="592">
        <v>362</v>
      </c>
      <c r="N50" s="191"/>
      <c r="O50" s="592">
        <v>307.02800000000002</v>
      </c>
      <c r="P50" s="191"/>
      <c r="Q50" s="592">
        <v>379.00200000000001</v>
      </c>
      <c r="R50" s="187"/>
      <c r="S50" s="592">
        <v>412</v>
      </c>
      <c r="T50" s="187"/>
      <c r="U50" s="592">
        <v>429</v>
      </c>
      <c r="V50" s="187"/>
      <c r="W50" s="592">
        <v>408</v>
      </c>
      <c r="X50" s="191"/>
      <c r="Y50" s="592">
        <v>395</v>
      </c>
      <c r="Z50" s="187"/>
      <c r="AA50" s="592">
        <v>380.68599999999998</v>
      </c>
      <c r="AB50" s="787"/>
      <c r="AC50" s="592">
        <v>410.99700000000001</v>
      </c>
      <c r="AD50" s="187"/>
      <c r="AE50" s="592">
        <v>413</v>
      </c>
      <c r="AF50" s="574"/>
      <c r="AG50" s="754"/>
      <c r="AH50" s="756"/>
      <c r="AI50" s="756"/>
      <c r="AJ50" s="756"/>
      <c r="AK50" s="756"/>
      <c r="AL50" s="756"/>
      <c r="AM50" s="756"/>
      <c r="AN50" s="756"/>
      <c r="AO50" s="783"/>
    </row>
    <row r="51" spans="1:75" s="166" customFormat="1" ht="13.5" customHeight="1" thickBot="1">
      <c r="A51" s="594"/>
      <c r="B51" s="203"/>
      <c r="D51" s="189"/>
      <c r="F51" s="189"/>
      <c r="H51" s="189"/>
      <c r="J51" s="189"/>
      <c r="L51" s="189"/>
      <c r="N51" s="189"/>
      <c r="P51" s="189"/>
      <c r="R51" s="189"/>
      <c r="T51" s="189"/>
      <c r="V51" s="189"/>
      <c r="X51" s="189"/>
      <c r="Z51" s="189"/>
      <c r="AB51" s="788"/>
      <c r="AD51" s="189"/>
      <c r="AF51" s="574"/>
      <c r="AG51" s="754"/>
      <c r="AH51" s="756"/>
      <c r="AI51" s="756"/>
      <c r="AJ51" s="756"/>
      <c r="AK51" s="756"/>
      <c r="AL51" s="756"/>
      <c r="AM51" s="756"/>
      <c r="AN51" s="756"/>
      <c r="AO51" s="783"/>
    </row>
    <row r="52" spans="1:75" s="166" customFormat="1" ht="14.15" customHeight="1">
      <c r="A52" s="206"/>
      <c r="B52" s="258" t="s">
        <v>391</v>
      </c>
      <c r="C52" s="254"/>
      <c r="D52" s="258" t="s">
        <v>298</v>
      </c>
      <c r="E52" s="254"/>
      <c r="F52" s="258" t="s">
        <v>302</v>
      </c>
      <c r="G52" s="254"/>
      <c r="H52" s="595" t="s">
        <v>298</v>
      </c>
      <c r="I52" s="254"/>
      <c r="J52" s="254" t="s">
        <v>350</v>
      </c>
      <c r="K52" s="254"/>
      <c r="L52" s="254" t="s">
        <v>350</v>
      </c>
      <c r="M52" s="254"/>
      <c r="N52" s="254" t="s">
        <v>396</v>
      </c>
      <c r="O52" s="254"/>
      <c r="P52" s="258" t="s">
        <v>298</v>
      </c>
      <c r="Q52" s="254"/>
      <c r="R52" s="254" t="s">
        <v>350</v>
      </c>
      <c r="S52" s="254"/>
      <c r="T52" s="254" t="s">
        <v>357</v>
      </c>
      <c r="U52" s="254"/>
      <c r="V52" s="258" t="s">
        <v>357</v>
      </c>
      <c r="W52" s="254"/>
      <c r="X52" s="254" t="s">
        <v>350</v>
      </c>
      <c r="Y52" s="254"/>
      <c r="Z52" s="258" t="s">
        <v>350</v>
      </c>
      <c r="AA52" s="254"/>
      <c r="AB52" s="258" t="s">
        <v>302</v>
      </c>
      <c r="AC52" s="254"/>
      <c r="AD52" s="258" t="s">
        <v>357</v>
      </c>
      <c r="AE52" s="254"/>
      <c r="AF52" s="574"/>
      <c r="AG52" s="754"/>
      <c r="AH52" s="756"/>
      <c r="AI52" s="756"/>
      <c r="AJ52" s="756"/>
      <c r="AK52" s="756"/>
      <c r="AL52" s="756"/>
      <c r="AM52" s="756"/>
      <c r="AN52" s="756"/>
      <c r="AO52" s="783"/>
    </row>
    <row r="53" spans="1:75" s="166" customFormat="1" ht="14.15" customHeight="1">
      <c r="A53" s="206"/>
      <c r="B53" s="254"/>
      <c r="C53" s="254"/>
      <c r="D53" s="254"/>
      <c r="E53" s="254"/>
      <c r="F53" s="254"/>
      <c r="G53" s="254"/>
      <c r="H53" s="254"/>
      <c r="I53" s="254"/>
      <c r="J53" s="254"/>
      <c r="K53" s="254"/>
      <c r="L53" s="254"/>
      <c r="M53" s="254"/>
      <c r="N53" s="200"/>
      <c r="O53" s="596"/>
      <c r="P53" s="200"/>
      <c r="Q53" s="596"/>
      <c r="R53" s="200"/>
      <c r="S53" s="596"/>
      <c r="T53" s="200"/>
      <c r="U53" s="596"/>
      <c r="V53" s="200"/>
      <c r="W53" s="596"/>
      <c r="X53" s="200"/>
      <c r="Y53" s="596"/>
      <c r="Z53" s="200"/>
      <c r="AA53" s="597"/>
      <c r="AB53" s="200"/>
      <c r="AC53" s="596"/>
      <c r="AD53" s="200"/>
      <c r="AE53" s="596"/>
      <c r="AF53" s="574"/>
      <c r="AG53" s="755"/>
      <c r="AH53" s="757"/>
      <c r="AI53" s="757"/>
      <c r="AJ53" s="757"/>
      <c r="AK53" s="757"/>
      <c r="AL53" s="757"/>
      <c r="AM53" s="757"/>
      <c r="AN53" s="757"/>
      <c r="AO53" s="785"/>
    </row>
    <row r="54" spans="1:75" s="166" customFormat="1" ht="14.15" customHeight="1">
      <c r="A54" s="206"/>
      <c r="B54" s="200"/>
      <c r="C54" s="200"/>
      <c r="D54" s="200"/>
      <c r="E54" s="200"/>
      <c r="F54" s="200"/>
      <c r="G54" s="200"/>
      <c r="H54" s="200"/>
      <c r="I54" s="200"/>
      <c r="J54" s="598"/>
      <c r="K54" s="585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574"/>
      <c r="AG54" s="759">
        <v>10</v>
      </c>
      <c r="AH54" s="758">
        <v>10</v>
      </c>
      <c r="AI54" s="758">
        <f>AG54-AH54</f>
        <v>0</v>
      </c>
      <c r="AJ54" s="758">
        <f>AG54</f>
        <v>10</v>
      </c>
      <c r="AK54" s="758">
        <v>10</v>
      </c>
      <c r="AL54" s="758">
        <f>AJ54-AK54</f>
        <v>0</v>
      </c>
      <c r="AM54" s="758">
        <v>1.2729999999999999</v>
      </c>
      <c r="AN54" s="758">
        <v>1.2729999999999999</v>
      </c>
      <c r="AO54" s="782"/>
    </row>
    <row r="55" spans="1:75" s="166" customFormat="1" ht="14.15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585"/>
      <c r="AF55" s="574"/>
      <c r="AG55" s="754"/>
      <c r="AH55" s="756"/>
      <c r="AI55" s="756"/>
      <c r="AJ55" s="756"/>
      <c r="AK55" s="756"/>
      <c r="AL55" s="756"/>
      <c r="AM55" s="756"/>
      <c r="AN55" s="756"/>
      <c r="AO55" s="783"/>
    </row>
    <row r="56" spans="1:75" s="166" customFormat="1" ht="14.15" customHeight="1">
      <c r="A56" s="206"/>
      <c r="B56" s="200">
        <v>46</v>
      </c>
      <c r="C56" s="200"/>
      <c r="D56" s="200">
        <v>47</v>
      </c>
      <c r="E56" s="200"/>
      <c r="F56" s="200">
        <v>48</v>
      </c>
      <c r="G56" s="200"/>
      <c r="H56" s="200">
        <v>49</v>
      </c>
      <c r="I56" s="200"/>
      <c r="J56" s="200">
        <v>50</v>
      </c>
      <c r="K56" s="200"/>
      <c r="L56" s="200">
        <v>51</v>
      </c>
      <c r="M56" s="200"/>
      <c r="N56" s="200">
        <v>52</v>
      </c>
      <c r="O56" s="200"/>
      <c r="P56" s="200">
        <v>53</v>
      </c>
      <c r="Q56" s="200"/>
      <c r="R56" s="200">
        <v>54</v>
      </c>
      <c r="S56" s="200"/>
      <c r="T56" s="200">
        <v>55</v>
      </c>
      <c r="U56" s="200"/>
      <c r="V56" s="200">
        <v>56</v>
      </c>
      <c r="W56" s="200"/>
      <c r="X56" s="200">
        <v>57</v>
      </c>
      <c r="Y56" s="200"/>
      <c r="Z56" s="200">
        <v>58</v>
      </c>
      <c r="AA56" s="200"/>
      <c r="AB56" s="200">
        <v>59</v>
      </c>
      <c r="AC56" s="200"/>
      <c r="AD56" s="200">
        <v>60</v>
      </c>
      <c r="AE56" s="200"/>
      <c r="AF56" s="574"/>
      <c r="AG56" s="754"/>
      <c r="AH56" s="756"/>
      <c r="AI56" s="756"/>
      <c r="AJ56" s="756"/>
      <c r="AK56" s="756"/>
      <c r="AL56" s="756"/>
      <c r="AM56" s="756"/>
      <c r="AN56" s="756"/>
      <c r="AO56" s="783"/>
    </row>
    <row r="57" spans="1:75" s="193" customFormat="1" ht="14.15" customHeight="1">
      <c r="A57" s="587"/>
      <c r="B57" s="529" t="s">
        <v>390</v>
      </c>
      <c r="C57" s="588"/>
      <c r="D57" s="529" t="s">
        <v>168</v>
      </c>
      <c r="E57" s="258"/>
      <c r="F57" s="529" t="s">
        <v>176</v>
      </c>
      <c r="G57" s="258"/>
      <c r="H57" s="529" t="s">
        <v>177</v>
      </c>
      <c r="I57" s="258"/>
      <c r="J57" s="529" t="s">
        <v>418</v>
      </c>
      <c r="K57" s="258"/>
      <c r="L57" s="529" t="s">
        <v>400</v>
      </c>
      <c r="M57" s="258"/>
      <c r="N57" s="529" t="s">
        <v>376</v>
      </c>
      <c r="O57" s="258"/>
      <c r="P57" s="529" t="s">
        <v>377</v>
      </c>
      <c r="Q57" s="258"/>
      <c r="R57" s="529" t="s">
        <v>374</v>
      </c>
      <c r="S57" s="258"/>
      <c r="T57" s="529" t="s">
        <v>388</v>
      </c>
      <c r="U57" s="258"/>
      <c r="V57" s="529" t="s">
        <v>392</v>
      </c>
      <c r="W57" s="258"/>
      <c r="X57" s="529" t="s">
        <v>549</v>
      </c>
      <c r="Y57" s="258"/>
      <c r="Z57" s="529" t="s">
        <v>404</v>
      </c>
      <c r="AA57" s="258"/>
      <c r="AB57" s="529" t="s">
        <v>407</v>
      </c>
      <c r="AC57" s="258"/>
      <c r="AD57" s="529" t="s">
        <v>178</v>
      </c>
      <c r="AE57" s="258"/>
      <c r="AF57" s="589"/>
      <c r="AG57" s="754"/>
      <c r="AH57" s="756"/>
      <c r="AI57" s="756"/>
      <c r="AJ57" s="756"/>
      <c r="AK57" s="756"/>
      <c r="AL57" s="756"/>
      <c r="AM57" s="756"/>
      <c r="AN57" s="756"/>
      <c r="AO57" s="783"/>
    </row>
    <row r="58" spans="1:75" s="166" customFormat="1" ht="13.5" customHeight="1">
      <c r="A58" s="206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0"/>
      <c r="AB58" s="200"/>
      <c r="AC58" s="200"/>
      <c r="AD58" s="200"/>
      <c r="AE58" s="200"/>
      <c r="AF58" s="574"/>
      <c r="AG58" s="754"/>
      <c r="AH58" s="756"/>
      <c r="AI58" s="756"/>
      <c r="AJ58" s="756"/>
      <c r="AK58" s="756"/>
      <c r="AL58" s="756"/>
      <c r="AM58" s="756"/>
      <c r="AN58" s="756"/>
      <c r="AO58" s="783"/>
    </row>
    <row r="59" spans="1:75" s="166" customFormat="1" ht="13.5" customHeight="1">
      <c r="A59" s="206"/>
      <c r="B59" s="254"/>
      <c r="C59" s="254"/>
      <c r="D59" s="254"/>
      <c r="E59" s="200"/>
      <c r="F59" s="254"/>
      <c r="G59" s="254"/>
      <c r="H59" s="254"/>
      <c r="I59" s="200"/>
      <c r="J59" s="254"/>
      <c r="K59" s="254"/>
      <c r="L59" s="254"/>
      <c r="M59" s="254"/>
      <c r="N59" s="254"/>
      <c r="O59" s="254"/>
      <c r="P59" s="254"/>
      <c r="Q59" s="254"/>
      <c r="R59" s="254"/>
      <c r="S59" s="254"/>
      <c r="T59" s="254"/>
      <c r="U59" s="254"/>
      <c r="V59" s="254"/>
      <c r="W59" s="254"/>
      <c r="X59" s="254"/>
      <c r="Y59" s="200"/>
      <c r="Z59" s="254"/>
      <c r="AA59" s="254"/>
      <c r="AB59" s="254"/>
      <c r="AC59" s="200"/>
      <c r="AD59" s="254"/>
      <c r="AE59" s="254"/>
      <c r="AF59" s="574"/>
      <c r="AG59" s="754"/>
      <c r="AH59" s="756"/>
      <c r="AI59" s="756"/>
      <c r="AJ59" s="756"/>
      <c r="AK59" s="756"/>
      <c r="AL59" s="756"/>
      <c r="AM59" s="756"/>
      <c r="AN59" s="756"/>
      <c r="AO59" s="783"/>
    </row>
    <row r="60" spans="1:75" s="166" customFormat="1" ht="13.5" customHeight="1" thickBo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74"/>
      <c r="AG60" s="754"/>
      <c r="AH60" s="756"/>
      <c r="AI60" s="756"/>
      <c r="AJ60" s="756"/>
      <c r="AK60" s="756"/>
      <c r="AL60" s="756"/>
      <c r="AM60" s="756"/>
      <c r="AN60" s="756"/>
      <c r="AO60" s="783"/>
    </row>
    <row r="61" spans="1:75" s="166" customFormat="1" ht="13.5" customHeight="1">
      <c r="A61" s="206"/>
      <c r="B61" s="184"/>
      <c r="C61" s="591"/>
      <c r="D61" s="184"/>
      <c r="E61" s="591"/>
      <c r="F61" s="184"/>
      <c r="G61" s="591"/>
      <c r="H61" s="184"/>
      <c r="I61" s="591"/>
      <c r="J61" s="184"/>
      <c r="K61" s="591"/>
      <c r="L61" s="184"/>
      <c r="M61" s="591"/>
      <c r="N61" s="184"/>
      <c r="O61" s="591"/>
      <c r="P61" s="184"/>
      <c r="Q61" s="591"/>
      <c r="R61" s="184"/>
      <c r="S61" s="591"/>
      <c r="T61" s="184"/>
      <c r="U61" s="591"/>
      <c r="V61" s="786"/>
      <c r="W61" s="591"/>
      <c r="X61" s="797" t="s">
        <v>550</v>
      </c>
      <c r="Y61" s="591"/>
      <c r="Z61" s="786"/>
      <c r="AA61" s="591"/>
      <c r="AB61" s="786"/>
      <c r="AC61" s="591"/>
      <c r="AD61" s="786"/>
      <c r="AE61" s="591"/>
      <c r="AF61" s="574"/>
      <c r="AG61" s="754"/>
      <c r="AH61" s="756"/>
      <c r="AI61" s="756"/>
      <c r="AJ61" s="756"/>
      <c r="AK61" s="756"/>
      <c r="AL61" s="756"/>
      <c r="AM61" s="756"/>
      <c r="AN61" s="756"/>
      <c r="AO61" s="783"/>
      <c r="BV61" s="500">
        <f>14</f>
        <v>14</v>
      </c>
      <c r="BW61" s="500">
        <v>14</v>
      </c>
    </row>
    <row r="62" spans="1:75" s="166" customFormat="1" ht="13.5" customHeight="1">
      <c r="A62" s="206"/>
      <c r="B62" s="191"/>
      <c r="C62" s="592">
        <v>386.81599999999997</v>
      </c>
      <c r="D62" s="187"/>
      <c r="E62" s="592">
        <v>324.00400000000002</v>
      </c>
      <c r="F62" s="187"/>
      <c r="G62" s="592">
        <v>416</v>
      </c>
      <c r="H62" s="191"/>
      <c r="I62" s="592">
        <v>404.53</v>
      </c>
      <c r="J62" s="191"/>
      <c r="K62" s="592">
        <v>374.07600000000002</v>
      </c>
      <c r="L62" s="191"/>
      <c r="M62" s="592">
        <v>423.00299999999999</v>
      </c>
      <c r="N62" s="187"/>
      <c r="O62" s="592">
        <v>420</v>
      </c>
      <c r="P62" s="187"/>
      <c r="Q62" s="592">
        <v>375.06400000000002</v>
      </c>
      <c r="R62" s="187"/>
      <c r="S62" s="592">
        <v>417.21499999999997</v>
      </c>
      <c r="T62" s="187"/>
      <c r="U62" s="592">
        <v>498.00099999999998</v>
      </c>
      <c r="V62" s="787"/>
      <c r="W62" s="592">
        <v>448</v>
      </c>
      <c r="X62" s="798"/>
      <c r="Y62" s="592">
        <v>394</v>
      </c>
      <c r="Z62" s="787"/>
      <c r="AA62" s="592">
        <v>383</v>
      </c>
      <c r="AB62" s="787"/>
      <c r="AC62" s="592">
        <v>379</v>
      </c>
      <c r="AD62" s="787"/>
      <c r="AE62" s="592">
        <v>380.83699999999999</v>
      </c>
      <c r="AF62" s="574"/>
      <c r="AG62" s="754"/>
      <c r="AH62" s="756"/>
      <c r="AI62" s="756"/>
      <c r="AJ62" s="756"/>
      <c r="AK62" s="756"/>
      <c r="AL62" s="756"/>
      <c r="AM62" s="756"/>
      <c r="AN62" s="756"/>
      <c r="AO62" s="783"/>
    </row>
    <row r="63" spans="1:75" s="166" customFormat="1" ht="13.5" customHeight="1" thickBot="1">
      <c r="A63" s="206"/>
      <c r="B63" s="189"/>
      <c r="D63" s="189"/>
      <c r="F63" s="189"/>
      <c r="H63" s="189"/>
      <c r="J63" s="189"/>
      <c r="L63" s="189"/>
      <c r="N63" s="189"/>
      <c r="P63" s="189"/>
      <c r="R63" s="189"/>
      <c r="T63" s="189"/>
      <c r="V63" s="788"/>
      <c r="X63" s="799"/>
      <c r="Z63" s="788"/>
      <c r="AB63" s="788"/>
      <c r="AD63" s="788"/>
      <c r="AF63" s="574"/>
      <c r="AG63" s="754"/>
      <c r="AH63" s="756"/>
      <c r="AI63" s="756"/>
      <c r="AJ63" s="756"/>
      <c r="AK63" s="756"/>
      <c r="AL63" s="756"/>
      <c r="AM63" s="756"/>
      <c r="AN63" s="756"/>
      <c r="AO63" s="783"/>
    </row>
    <row r="64" spans="1:75" s="166" customFormat="1" ht="14.15" customHeight="1">
      <c r="A64" s="206"/>
      <c r="B64" s="258" t="s">
        <v>350</v>
      </c>
      <c r="C64" s="254"/>
      <c r="D64" s="258" t="s">
        <v>300</v>
      </c>
      <c r="E64" s="254"/>
      <c r="F64" s="258" t="s">
        <v>350</v>
      </c>
      <c r="G64" s="254"/>
      <c r="H64" s="258" t="s">
        <v>399</v>
      </c>
      <c r="I64" s="254"/>
      <c r="J64" s="258" t="s">
        <v>300</v>
      </c>
      <c r="K64" s="254"/>
      <c r="L64" s="258" t="s">
        <v>373</v>
      </c>
      <c r="M64" s="254"/>
      <c r="N64" s="258" t="s">
        <v>357</v>
      </c>
      <c r="O64" s="254"/>
      <c r="P64" s="254" t="s">
        <v>350</v>
      </c>
      <c r="Q64" s="254"/>
      <c r="R64" s="258" t="s">
        <v>335</v>
      </c>
      <c r="S64" s="254"/>
      <c r="T64" s="258" t="s">
        <v>389</v>
      </c>
      <c r="U64" s="254"/>
      <c r="V64" s="258" t="s">
        <v>393</v>
      </c>
      <c r="W64" s="254"/>
      <c r="X64" s="258" t="s">
        <v>357</v>
      </c>
      <c r="Y64" s="254"/>
      <c r="Z64" s="254" t="s">
        <v>350</v>
      </c>
      <c r="AA64" s="254"/>
      <c r="AB64" s="254" t="s">
        <v>350</v>
      </c>
      <c r="AC64" s="254"/>
      <c r="AD64" s="254" t="s">
        <v>350</v>
      </c>
      <c r="AE64" s="254"/>
      <c r="AF64" s="574"/>
      <c r="AG64" s="754"/>
      <c r="AH64" s="756"/>
      <c r="AI64" s="756"/>
      <c r="AJ64" s="756"/>
      <c r="AK64" s="756"/>
      <c r="AL64" s="756"/>
      <c r="AM64" s="756"/>
      <c r="AN64" s="756"/>
      <c r="AO64" s="783"/>
    </row>
    <row r="65" spans="1:75" s="166" customFormat="1" ht="14.15" customHeight="1">
      <c r="A65" s="206"/>
      <c r="B65" s="200"/>
      <c r="C65" s="200"/>
      <c r="D65" s="200"/>
      <c r="E65" s="596"/>
      <c r="F65" s="200"/>
      <c r="G65" s="596"/>
      <c r="H65" s="200"/>
      <c r="I65" s="200"/>
      <c r="J65" s="200"/>
      <c r="K65" s="596"/>
      <c r="L65" s="200"/>
      <c r="M65" s="596"/>
      <c r="N65" s="200"/>
      <c r="O65" s="596"/>
      <c r="P65" s="200"/>
      <c r="Q65" s="200"/>
      <c r="R65" s="200"/>
      <c r="S65" s="200"/>
      <c r="T65" s="200"/>
      <c r="U65" s="596"/>
      <c r="V65" s="200"/>
      <c r="W65" s="585"/>
      <c r="X65" s="200"/>
      <c r="Y65" s="200"/>
      <c r="Z65" s="200"/>
      <c r="AA65" s="200"/>
      <c r="AB65" s="200"/>
      <c r="AC65" s="599"/>
      <c r="AD65" s="200"/>
      <c r="AE65" s="599"/>
      <c r="AF65" s="574"/>
      <c r="AG65" s="755"/>
      <c r="AH65" s="757"/>
      <c r="AI65" s="757"/>
      <c r="AJ65" s="757"/>
      <c r="AK65" s="757"/>
      <c r="AL65" s="757"/>
      <c r="AM65" s="757"/>
      <c r="AN65" s="757"/>
      <c r="AO65" s="785"/>
    </row>
    <row r="66" spans="1:75" s="166" customFormat="1" ht="13.5" customHeight="1">
      <c r="A66" s="206"/>
      <c r="B66" s="200"/>
      <c r="C66" s="200"/>
      <c r="D66" s="200"/>
      <c r="E66" s="200"/>
      <c r="F66" s="200"/>
      <c r="G66" s="200"/>
      <c r="H66" s="200"/>
      <c r="I66" s="597"/>
      <c r="J66" s="200"/>
      <c r="K66" s="200"/>
      <c r="L66" s="200"/>
      <c r="M66" s="200"/>
      <c r="N66" s="200"/>
      <c r="O66" s="200"/>
      <c r="P66" s="200"/>
      <c r="Q66" s="200"/>
      <c r="R66" s="200"/>
      <c r="S66" s="584" t="s">
        <v>1107</v>
      </c>
      <c r="T66" s="200"/>
      <c r="U66" s="200"/>
      <c r="V66" s="200"/>
      <c r="W66" s="584" t="s">
        <v>1108</v>
      </c>
      <c r="X66" s="200"/>
      <c r="Y66" s="200"/>
      <c r="Z66" s="200"/>
      <c r="AA66" s="584" t="s">
        <v>1107</v>
      </c>
      <c r="AB66" s="200"/>
      <c r="AC66" s="200"/>
      <c r="AD66" s="200"/>
      <c r="AE66" s="200"/>
      <c r="AF66" s="574"/>
      <c r="AG66" s="759">
        <v>10</v>
      </c>
      <c r="AH66" s="758">
        <v>9</v>
      </c>
      <c r="AI66" s="758">
        <f>AG66-AH66</f>
        <v>1</v>
      </c>
      <c r="AJ66" s="758">
        <f>COUNTA($D$57:$V$57)</f>
        <v>10</v>
      </c>
      <c r="AK66" s="758">
        <v>7</v>
      </c>
      <c r="AL66" s="758">
        <f>AJ66-AK66</f>
        <v>3</v>
      </c>
      <c r="AM66" s="758">
        <v>0.91500000000000004</v>
      </c>
      <c r="AN66" s="758">
        <f>0.672+0.243</f>
        <v>0.91500000000000004</v>
      </c>
      <c r="AO66" s="782"/>
    </row>
    <row r="67" spans="1:75" s="166" customFormat="1" ht="14.15" customHeight="1">
      <c r="A67" s="206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  <c r="Q67" s="200"/>
      <c r="R67" s="200"/>
      <c r="S67" s="200"/>
      <c r="T67" s="200"/>
      <c r="U67" s="200"/>
      <c r="V67" s="200"/>
      <c r="W67" s="200"/>
      <c r="X67" s="200"/>
      <c r="Y67" s="200"/>
      <c r="Z67" s="200"/>
      <c r="AB67" s="200"/>
      <c r="AC67" s="200"/>
      <c r="AD67" s="200"/>
      <c r="AE67" s="200"/>
      <c r="AF67" s="574"/>
      <c r="AG67" s="755"/>
      <c r="AH67" s="757"/>
      <c r="AI67" s="757"/>
      <c r="AJ67" s="757"/>
      <c r="AK67" s="757"/>
      <c r="AL67" s="757"/>
      <c r="AM67" s="757"/>
      <c r="AN67" s="757"/>
      <c r="AO67" s="785"/>
    </row>
    <row r="68" spans="1:75" s="166" customFormat="1" ht="13.5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597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0"/>
      <c r="AB68" s="200"/>
      <c r="AC68" s="200"/>
      <c r="AD68" s="200"/>
      <c r="AE68" s="200"/>
      <c r="AF68" s="574"/>
      <c r="AG68" s="759">
        <v>10</v>
      </c>
      <c r="AH68" s="758">
        <v>10</v>
      </c>
      <c r="AI68" s="758">
        <f>AG68-AH68</f>
        <v>0</v>
      </c>
      <c r="AJ68" s="758">
        <f>COUNTA($B$70:$L$70)</f>
        <v>6</v>
      </c>
      <c r="AK68" s="758">
        <v>9</v>
      </c>
      <c r="AL68" s="758">
        <f>AJ68-AK68</f>
        <v>-3</v>
      </c>
      <c r="AM68" s="758"/>
      <c r="AN68" s="758"/>
      <c r="AO68" s="782"/>
    </row>
    <row r="69" spans="1:75" s="166" customFormat="1" ht="13.5" customHeight="1">
      <c r="A69" s="206"/>
      <c r="B69" s="200">
        <v>61</v>
      </c>
      <c r="C69" s="200"/>
      <c r="D69" s="200">
        <v>62</v>
      </c>
      <c r="E69" s="200"/>
      <c r="F69" s="200">
        <v>63</v>
      </c>
      <c r="G69" s="200"/>
      <c r="H69" s="200">
        <v>64</v>
      </c>
      <c r="I69" s="200"/>
      <c r="J69" s="200">
        <v>65</v>
      </c>
      <c r="K69" s="200"/>
      <c r="L69" s="200">
        <v>66</v>
      </c>
      <c r="M69" s="200"/>
      <c r="N69" s="200">
        <v>67</v>
      </c>
      <c r="O69" s="200"/>
      <c r="P69" s="200">
        <v>68</v>
      </c>
      <c r="Q69" s="200"/>
      <c r="R69" s="200">
        <v>69</v>
      </c>
      <c r="S69" s="200"/>
      <c r="T69" s="200">
        <v>70</v>
      </c>
      <c r="U69" s="200"/>
      <c r="V69" s="200">
        <v>71</v>
      </c>
      <c r="W69" s="200"/>
      <c r="X69" s="200">
        <v>72</v>
      </c>
      <c r="Y69" s="200"/>
      <c r="Z69" s="200">
        <v>73</v>
      </c>
      <c r="AA69" s="200"/>
      <c r="AB69" s="200">
        <v>74</v>
      </c>
      <c r="AC69" s="200"/>
      <c r="AD69" s="200">
        <v>75</v>
      </c>
      <c r="AE69" s="200"/>
      <c r="AF69" s="574"/>
      <c r="AG69" s="754"/>
      <c r="AH69" s="756"/>
      <c r="AI69" s="756"/>
      <c r="AJ69" s="756"/>
      <c r="AK69" s="756"/>
      <c r="AL69" s="756"/>
      <c r="AM69" s="756"/>
      <c r="AN69" s="756"/>
      <c r="AO69" s="783"/>
    </row>
    <row r="70" spans="1:75" s="193" customFormat="1" ht="13.5" customHeight="1">
      <c r="A70" s="587"/>
      <c r="B70" s="529" t="s">
        <v>419</v>
      </c>
      <c r="C70" s="258"/>
      <c r="D70" s="529" t="s">
        <v>405</v>
      </c>
      <c r="E70" s="258"/>
      <c r="F70" s="529" t="s">
        <v>430</v>
      </c>
      <c r="G70" s="258"/>
      <c r="H70" s="529" t="s">
        <v>406</v>
      </c>
      <c r="I70" s="258"/>
      <c r="J70" s="529" t="s">
        <v>411</v>
      </c>
      <c r="K70" s="258"/>
      <c r="L70" s="529" t="s">
        <v>422</v>
      </c>
      <c r="M70" s="258"/>
      <c r="N70" s="529" t="s">
        <v>551</v>
      </c>
      <c r="O70" s="258"/>
      <c r="P70" s="529" t="s">
        <v>417</v>
      </c>
      <c r="Q70" s="258"/>
      <c r="R70" s="529" t="s">
        <v>410</v>
      </c>
      <c r="S70" s="258"/>
      <c r="T70" s="529" t="s">
        <v>425</v>
      </c>
      <c r="U70" s="258"/>
      <c r="V70" s="529" t="s">
        <v>423</v>
      </c>
      <c r="W70" s="258"/>
      <c r="X70" s="529" t="s">
        <v>385</v>
      </c>
      <c r="Y70" s="258"/>
      <c r="Z70" s="529" t="s">
        <v>180</v>
      </c>
      <c r="AA70" s="258"/>
      <c r="AB70" s="529" t="s">
        <v>371</v>
      </c>
      <c r="AC70" s="258"/>
      <c r="AD70" s="529" t="s">
        <v>383</v>
      </c>
      <c r="AE70" s="258"/>
      <c r="AF70" s="589"/>
      <c r="AG70" s="754"/>
      <c r="AH70" s="756"/>
      <c r="AI70" s="756"/>
      <c r="AJ70" s="756"/>
      <c r="AK70" s="756"/>
      <c r="AL70" s="756"/>
      <c r="AM70" s="756"/>
      <c r="AN70" s="756"/>
      <c r="AO70" s="783"/>
    </row>
    <row r="71" spans="1:75" s="166" customFormat="1" ht="13.5" customHeight="1">
      <c r="A71" s="206"/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200"/>
      <c r="X71" s="200"/>
      <c r="Y71" s="200"/>
      <c r="Z71" s="200"/>
      <c r="AA71" s="200"/>
      <c r="AB71" s="200"/>
      <c r="AC71" s="200"/>
      <c r="AD71" s="200"/>
      <c r="AE71" s="200"/>
      <c r="AF71" s="574"/>
      <c r="AG71" s="754"/>
      <c r="AH71" s="756"/>
      <c r="AI71" s="756"/>
      <c r="AJ71" s="756"/>
      <c r="AK71" s="756"/>
      <c r="AL71" s="756"/>
      <c r="AM71" s="756"/>
      <c r="AN71" s="756"/>
      <c r="AO71" s="783"/>
    </row>
    <row r="72" spans="1:75" s="166" customFormat="1" ht="13.5" customHeight="1">
      <c r="A72" s="206"/>
      <c r="B72" s="254"/>
      <c r="C72" s="254"/>
      <c r="D72" s="254"/>
      <c r="E72" s="254"/>
      <c r="F72" s="254"/>
      <c r="G72" s="254"/>
      <c r="H72" s="254"/>
      <c r="I72" s="254"/>
      <c r="J72" s="254"/>
      <c r="K72" s="254"/>
      <c r="L72" s="254"/>
      <c r="M72" s="254"/>
      <c r="N72" s="254"/>
      <c r="O72" s="200"/>
      <c r="P72" s="254"/>
      <c r="Q72" s="254"/>
      <c r="R72" s="254"/>
      <c r="S72" s="200"/>
      <c r="T72" s="254"/>
      <c r="U72" s="254"/>
      <c r="V72" s="254"/>
      <c r="W72" s="254"/>
      <c r="X72" s="254"/>
      <c r="Y72" s="254"/>
      <c r="Z72" s="254"/>
      <c r="AA72" s="254"/>
      <c r="AB72" s="254"/>
      <c r="AC72" s="254"/>
      <c r="AD72" s="254"/>
      <c r="AE72" s="254"/>
      <c r="AF72" s="574"/>
      <c r="AG72" s="754"/>
      <c r="AH72" s="756"/>
      <c r="AI72" s="756"/>
      <c r="AJ72" s="756"/>
      <c r="AK72" s="756"/>
      <c r="AL72" s="756"/>
      <c r="AM72" s="756"/>
      <c r="AN72" s="756"/>
      <c r="AO72" s="783"/>
    </row>
    <row r="73" spans="1:75" s="166" customFormat="1" ht="13.5" customHeight="1" thickBo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74"/>
      <c r="AG73" s="754"/>
      <c r="AH73" s="756"/>
      <c r="AI73" s="756"/>
      <c r="AJ73" s="756"/>
      <c r="AK73" s="756"/>
      <c r="AL73" s="756"/>
      <c r="AM73" s="756"/>
      <c r="AN73" s="756"/>
      <c r="AO73" s="783"/>
      <c r="BV73" s="500">
        <v>14</v>
      </c>
      <c r="BW73" s="500">
        <v>14</v>
      </c>
    </row>
    <row r="74" spans="1:75" s="166" customFormat="1" ht="13.5" customHeight="1">
      <c r="A74" s="594"/>
      <c r="B74" s="184"/>
      <c r="C74" s="591"/>
      <c r="D74" s="184"/>
      <c r="E74" s="591"/>
      <c r="F74" s="184"/>
      <c r="G74" s="591"/>
      <c r="H74" s="184"/>
      <c r="I74" s="591"/>
      <c r="J74" s="184"/>
      <c r="K74" s="591"/>
      <c r="L74" s="184"/>
      <c r="M74" s="591"/>
      <c r="N74" s="194"/>
      <c r="O74" s="591"/>
      <c r="P74" s="184"/>
      <c r="Q74" s="591"/>
      <c r="R74" s="786"/>
      <c r="S74" s="591"/>
      <c r="T74" s="786"/>
      <c r="U74" s="591"/>
      <c r="V74" s="786"/>
      <c r="W74" s="591"/>
      <c r="X74" s="184"/>
      <c r="Y74" s="591"/>
      <c r="Z74" s="184"/>
      <c r="AA74" s="591"/>
      <c r="AB74" s="184"/>
      <c r="AC74" s="591"/>
      <c r="AD74" s="184"/>
      <c r="AE74" s="591"/>
      <c r="AF74" s="574"/>
      <c r="AG74" s="754"/>
      <c r="AH74" s="756"/>
      <c r="AI74" s="756"/>
      <c r="AJ74" s="756"/>
      <c r="AK74" s="756"/>
      <c r="AL74" s="756"/>
      <c r="AM74" s="756"/>
      <c r="AN74" s="756"/>
      <c r="AO74" s="783"/>
    </row>
    <row r="75" spans="1:75" s="166" customFormat="1" ht="13.5" customHeight="1">
      <c r="A75" s="594"/>
      <c r="B75" s="187"/>
      <c r="C75" s="592">
        <v>366.00299999999999</v>
      </c>
      <c r="D75" s="187"/>
      <c r="E75" s="592">
        <v>376</v>
      </c>
      <c r="F75" s="187"/>
      <c r="G75" s="592">
        <v>368</v>
      </c>
      <c r="H75" s="191"/>
      <c r="I75" s="592">
        <v>373.96499999999997</v>
      </c>
      <c r="J75" s="191"/>
      <c r="K75" s="592">
        <v>373.005</v>
      </c>
      <c r="L75" s="191"/>
      <c r="M75" s="592">
        <v>362.45</v>
      </c>
      <c r="N75" s="195"/>
      <c r="O75" s="592">
        <v>323</v>
      </c>
      <c r="P75" s="191"/>
      <c r="Q75" s="592">
        <v>299</v>
      </c>
      <c r="R75" s="787"/>
      <c r="S75" s="592">
        <v>350.38099999999997</v>
      </c>
      <c r="T75" s="787"/>
      <c r="U75" s="592">
        <v>333.99700000000001</v>
      </c>
      <c r="V75" s="787"/>
      <c r="W75" s="592">
        <v>394</v>
      </c>
      <c r="X75" s="191"/>
      <c r="Y75" s="592">
        <v>363</v>
      </c>
      <c r="Z75" s="187"/>
      <c r="AA75" s="592">
        <v>413</v>
      </c>
      <c r="AB75" s="187"/>
      <c r="AC75" s="592">
        <v>376</v>
      </c>
      <c r="AD75" s="187"/>
      <c r="AE75" s="592">
        <v>388</v>
      </c>
      <c r="AF75" s="574"/>
      <c r="AG75" s="754"/>
      <c r="AH75" s="756"/>
      <c r="AI75" s="756"/>
      <c r="AJ75" s="756"/>
      <c r="AK75" s="756"/>
      <c r="AL75" s="756"/>
      <c r="AM75" s="756"/>
      <c r="AN75" s="756"/>
      <c r="AO75" s="783"/>
    </row>
    <row r="76" spans="1:75" s="166" customFormat="1" ht="13.5" customHeight="1" thickBot="1">
      <c r="A76" s="594"/>
      <c r="B76" s="189"/>
      <c r="D76" s="189"/>
      <c r="F76" s="189"/>
      <c r="H76" s="189"/>
      <c r="J76" s="189"/>
      <c r="L76" s="189"/>
      <c r="N76" s="196"/>
      <c r="P76" s="189"/>
      <c r="R76" s="788"/>
      <c r="T76" s="788"/>
      <c r="V76" s="788"/>
      <c r="X76" s="189"/>
      <c r="Z76" s="189"/>
      <c r="AB76" s="189"/>
      <c r="AD76" s="189"/>
      <c r="AF76" s="574"/>
      <c r="AG76" s="754"/>
      <c r="AH76" s="756"/>
      <c r="AI76" s="756"/>
      <c r="AJ76" s="756"/>
      <c r="AK76" s="756"/>
      <c r="AL76" s="756"/>
      <c r="AM76" s="756"/>
      <c r="AN76" s="756"/>
      <c r="AO76" s="783"/>
    </row>
    <row r="77" spans="1:75" s="166" customFormat="1" ht="14.15" customHeight="1">
      <c r="A77" s="206"/>
      <c r="B77" s="258" t="s">
        <v>302</v>
      </c>
      <c r="C77" s="254"/>
      <c r="D77" s="258" t="s">
        <v>350</v>
      </c>
      <c r="E77" s="254"/>
      <c r="F77" s="258" t="s">
        <v>350</v>
      </c>
      <c r="G77" s="254"/>
      <c r="H77" s="258" t="s">
        <v>350</v>
      </c>
      <c r="I77" s="254"/>
      <c r="J77" s="254" t="s">
        <v>300</v>
      </c>
      <c r="K77" s="254"/>
      <c r="L77" s="258" t="s">
        <v>396</v>
      </c>
      <c r="M77" s="254"/>
      <c r="N77" s="258" t="s">
        <v>298</v>
      </c>
      <c r="O77" s="254"/>
      <c r="P77" s="254" t="s">
        <v>396</v>
      </c>
      <c r="Q77" s="254"/>
      <c r="R77" s="258" t="s">
        <v>396</v>
      </c>
      <c r="S77" s="254"/>
      <c r="T77" s="258" t="s">
        <v>330</v>
      </c>
      <c r="U77" s="254"/>
      <c r="V77" s="258" t="s">
        <v>350</v>
      </c>
      <c r="W77" s="254"/>
      <c r="X77" s="254" t="s">
        <v>350</v>
      </c>
      <c r="Y77" s="254"/>
      <c r="Z77" s="258" t="s">
        <v>350</v>
      </c>
      <c r="AA77" s="254"/>
      <c r="AB77" s="254" t="s">
        <v>357</v>
      </c>
      <c r="AC77" s="254"/>
      <c r="AD77" s="254" t="s">
        <v>350</v>
      </c>
      <c r="AE77" s="254"/>
      <c r="AF77" s="574"/>
      <c r="AG77" s="754"/>
      <c r="AH77" s="756"/>
      <c r="AI77" s="756"/>
      <c r="AJ77" s="756"/>
      <c r="AK77" s="756"/>
      <c r="AL77" s="756"/>
      <c r="AM77" s="756"/>
      <c r="AN77" s="756"/>
      <c r="AO77" s="783"/>
    </row>
    <row r="78" spans="1:75" s="200" customFormat="1" ht="14.15" customHeight="1" thickBot="1">
      <c r="A78" s="206"/>
      <c r="C78" s="596"/>
      <c r="G78" s="585"/>
      <c r="I78" s="600"/>
      <c r="O78" s="601" t="s">
        <v>1109</v>
      </c>
      <c r="Q78" s="597"/>
      <c r="W78" s="254"/>
      <c r="AA78" s="254"/>
      <c r="AC78" s="254"/>
      <c r="AE78" s="254"/>
      <c r="AF78" s="574"/>
      <c r="AG78" s="789"/>
      <c r="AH78" s="781"/>
      <c r="AI78" s="781"/>
      <c r="AJ78" s="781"/>
      <c r="AK78" s="781"/>
      <c r="AL78" s="781"/>
      <c r="AM78" s="781"/>
      <c r="AN78" s="781"/>
      <c r="AO78" s="784"/>
    </row>
    <row r="79" spans="1:75" s="166" customFormat="1" ht="13.5" customHeight="1">
      <c r="A79" s="206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  <c r="Q79" s="200"/>
      <c r="R79" s="200"/>
      <c r="S79" s="200"/>
      <c r="T79" s="200"/>
      <c r="U79" s="200"/>
      <c r="V79" s="200"/>
      <c r="W79" s="200"/>
      <c r="X79" s="200"/>
      <c r="Y79" s="200"/>
      <c r="Z79" s="200"/>
      <c r="AA79" s="200"/>
      <c r="AB79" s="200"/>
      <c r="AC79" s="200"/>
      <c r="AD79" s="200"/>
      <c r="AE79" s="200"/>
      <c r="AF79" s="574"/>
      <c r="AG79" s="754"/>
      <c r="AH79" s="756"/>
      <c r="AI79" s="756"/>
      <c r="AJ79" s="756"/>
      <c r="AK79" s="756"/>
      <c r="AL79" s="756"/>
      <c r="AM79" s="756"/>
      <c r="AN79" s="756"/>
      <c r="AO79" s="783"/>
    </row>
    <row r="80" spans="1:75" s="166" customFormat="1" ht="13.5" customHeight="1">
      <c r="A80" s="206"/>
      <c r="B80" s="200">
        <v>76</v>
      </c>
      <c r="C80" s="200"/>
      <c r="D80" s="200">
        <v>77</v>
      </c>
      <c r="E80" s="200"/>
      <c r="F80" s="200">
        <v>78</v>
      </c>
      <c r="G80" s="200"/>
      <c r="H80" s="200">
        <v>79</v>
      </c>
      <c r="I80" s="200"/>
      <c r="J80" s="200">
        <v>80</v>
      </c>
      <c r="K80" s="200"/>
      <c r="L80" s="200">
        <v>81</v>
      </c>
      <c r="M80" s="200"/>
      <c r="N80" s="200">
        <v>82</v>
      </c>
      <c r="O80" s="200"/>
      <c r="P80" s="200">
        <v>83</v>
      </c>
      <c r="Q80" s="200"/>
      <c r="R80" s="200">
        <v>84</v>
      </c>
      <c r="S80" s="200"/>
      <c r="T80" s="200">
        <v>85</v>
      </c>
      <c r="U80" s="200"/>
      <c r="V80" s="200">
        <v>86</v>
      </c>
      <c r="W80" s="200"/>
      <c r="X80" s="200">
        <v>87</v>
      </c>
      <c r="Y80" s="200"/>
      <c r="Z80" s="200">
        <v>88</v>
      </c>
      <c r="AA80" s="200"/>
      <c r="AB80" s="200">
        <v>89</v>
      </c>
      <c r="AC80" s="200"/>
      <c r="AD80" s="200">
        <v>90</v>
      </c>
      <c r="AE80" s="200"/>
      <c r="AF80" s="574"/>
      <c r="AG80" s="754"/>
      <c r="AH80" s="756"/>
      <c r="AI80" s="756"/>
      <c r="AJ80" s="756"/>
      <c r="AK80" s="756"/>
      <c r="AL80" s="756"/>
      <c r="AM80" s="756"/>
      <c r="AN80" s="756"/>
      <c r="AO80" s="783"/>
    </row>
    <row r="81" spans="1:75" s="193" customFormat="1" ht="13.5" customHeight="1">
      <c r="A81" s="587"/>
      <c r="B81" s="258" t="s">
        <v>386</v>
      </c>
      <c r="C81" s="258"/>
      <c r="D81" s="258" t="s">
        <v>387</v>
      </c>
      <c r="E81" s="258"/>
      <c r="F81" s="258" t="s">
        <v>552</v>
      </c>
      <c r="G81" s="258"/>
      <c r="H81" s="258" t="s">
        <v>553</v>
      </c>
      <c r="I81" s="258"/>
      <c r="J81" s="258" t="s">
        <v>169</v>
      </c>
      <c r="K81" s="258"/>
      <c r="L81" s="258" t="s">
        <v>554</v>
      </c>
      <c r="M81" s="258"/>
      <c r="N81" s="258" t="s">
        <v>555</v>
      </c>
      <c r="O81" s="258"/>
      <c r="P81" s="258" t="s">
        <v>452</v>
      </c>
      <c r="Q81" s="258"/>
      <c r="R81" s="258" t="s">
        <v>458</v>
      </c>
      <c r="S81" s="258"/>
      <c r="T81" s="258" t="s">
        <v>454</v>
      </c>
      <c r="U81" s="258"/>
      <c r="V81" s="258" t="s">
        <v>556</v>
      </c>
      <c r="W81" s="258"/>
      <c r="X81" s="258" t="s">
        <v>557</v>
      </c>
      <c r="Y81" s="258"/>
      <c r="Z81" s="258" t="s">
        <v>558</v>
      </c>
      <c r="AA81" s="258"/>
      <c r="AB81" s="588" t="s">
        <v>559</v>
      </c>
      <c r="AC81" s="588"/>
      <c r="AD81" s="258" t="s">
        <v>445</v>
      </c>
      <c r="AE81" s="258"/>
      <c r="AF81" s="589"/>
      <c r="AG81" s="754"/>
      <c r="AH81" s="756"/>
      <c r="AI81" s="756"/>
      <c r="AJ81" s="756"/>
      <c r="AK81" s="756"/>
      <c r="AL81" s="756"/>
      <c r="AM81" s="756"/>
      <c r="AN81" s="756"/>
      <c r="AO81" s="783"/>
    </row>
    <row r="82" spans="1:75" s="166" customFormat="1" ht="13.5" customHeight="1">
      <c r="A82" s="206"/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  <c r="Q82" s="200"/>
      <c r="R82" s="200"/>
      <c r="S82" s="200"/>
      <c r="T82" s="200"/>
      <c r="U82" s="200"/>
      <c r="V82" s="200"/>
      <c r="W82" s="200"/>
      <c r="X82" s="200"/>
      <c r="Y82" s="200"/>
      <c r="Z82" s="200"/>
      <c r="AA82" s="200"/>
      <c r="AB82" s="200"/>
      <c r="AC82" s="200"/>
      <c r="AD82" s="200"/>
      <c r="AE82" s="200"/>
      <c r="AF82" s="574"/>
      <c r="AG82" s="754"/>
      <c r="AH82" s="756"/>
      <c r="AI82" s="756"/>
      <c r="AJ82" s="756"/>
      <c r="AK82" s="756"/>
      <c r="AL82" s="756"/>
      <c r="AM82" s="756"/>
      <c r="AN82" s="756"/>
      <c r="AO82" s="783"/>
    </row>
    <row r="83" spans="1:75" s="166" customFormat="1" ht="13.5" customHeight="1">
      <c r="A83" s="206"/>
      <c r="B83" s="254"/>
      <c r="C83" s="254"/>
      <c r="D83" s="254"/>
      <c r="E83" s="200"/>
      <c r="F83" s="254"/>
      <c r="G83" s="254"/>
      <c r="H83" s="254"/>
      <c r="I83" s="200"/>
      <c r="J83" s="254"/>
      <c r="K83" s="254"/>
      <c r="L83" s="254"/>
      <c r="M83" s="254"/>
      <c r="N83" s="254"/>
      <c r="O83" s="254"/>
      <c r="P83" s="254"/>
      <c r="Q83" s="254"/>
      <c r="R83" s="254"/>
      <c r="S83" s="254"/>
      <c r="T83" s="254"/>
      <c r="U83" s="254"/>
      <c r="V83" s="254"/>
      <c r="W83" s="254"/>
      <c r="X83" s="254"/>
      <c r="Y83" s="200"/>
      <c r="Z83" s="254"/>
      <c r="AA83" s="254"/>
      <c r="AB83" s="254"/>
      <c r="AC83" s="200"/>
      <c r="AD83" s="254"/>
      <c r="AE83" s="254"/>
      <c r="AF83" s="574"/>
      <c r="AG83" s="754"/>
      <c r="AH83" s="756"/>
      <c r="AI83" s="756"/>
      <c r="AJ83" s="756"/>
      <c r="AK83" s="756"/>
      <c r="AL83" s="756"/>
      <c r="AM83" s="756"/>
      <c r="AN83" s="756"/>
      <c r="AO83" s="783"/>
    </row>
    <row r="84" spans="1:75" s="166" customFormat="1" ht="13.5" customHeight="1" thickBo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74"/>
      <c r="AG84" s="754"/>
      <c r="AH84" s="756"/>
      <c r="AI84" s="756"/>
      <c r="AJ84" s="756"/>
      <c r="AK84" s="756"/>
      <c r="AL84" s="756"/>
      <c r="AM84" s="756"/>
      <c r="AN84" s="756"/>
      <c r="AO84" s="783"/>
    </row>
    <row r="85" spans="1:75" s="166" customFormat="1" ht="14.15" customHeight="1">
      <c r="A85" s="594"/>
      <c r="B85" s="184"/>
      <c r="C85" s="591"/>
      <c r="D85" s="184"/>
      <c r="E85" s="591"/>
      <c r="F85" s="184"/>
      <c r="G85" s="591"/>
      <c r="H85" s="183"/>
      <c r="I85" s="591"/>
      <c r="J85" s="183"/>
      <c r="K85" s="591"/>
      <c r="L85" s="183"/>
      <c r="M85" s="591"/>
      <c r="N85" s="791" t="s">
        <v>67</v>
      </c>
      <c r="O85" s="591"/>
      <c r="P85" s="184"/>
      <c r="Q85" s="591"/>
      <c r="R85" s="184"/>
      <c r="S85" s="591"/>
      <c r="T85" s="184"/>
      <c r="U85" s="591"/>
      <c r="V85" s="183"/>
      <c r="W85" s="591"/>
      <c r="X85" s="255"/>
      <c r="Y85" s="591"/>
      <c r="Z85" s="183"/>
      <c r="AA85" s="591"/>
      <c r="AB85" s="184"/>
      <c r="AC85" s="591"/>
      <c r="AD85" s="184"/>
      <c r="AE85" s="591"/>
      <c r="AF85" s="574"/>
      <c r="AG85" s="754"/>
      <c r="AH85" s="756"/>
      <c r="AI85" s="756"/>
      <c r="AJ85" s="756"/>
      <c r="AK85" s="756"/>
      <c r="AL85" s="756"/>
      <c r="AM85" s="756"/>
      <c r="AN85" s="756"/>
      <c r="AO85" s="783"/>
      <c r="BV85" s="500">
        <v>9</v>
      </c>
      <c r="BW85" s="500">
        <v>2</v>
      </c>
    </row>
    <row r="86" spans="1:75" s="166" customFormat="1" ht="14.15" customHeight="1">
      <c r="A86" s="594"/>
      <c r="B86" s="187"/>
      <c r="C86" s="592">
        <v>378</v>
      </c>
      <c r="D86" s="187"/>
      <c r="E86" s="592">
        <v>342.70600000000002</v>
      </c>
      <c r="F86" s="187" t="s">
        <v>67</v>
      </c>
      <c r="G86" s="592">
        <v>259.34199999999998</v>
      </c>
      <c r="H86" s="186"/>
      <c r="I86" s="592">
        <v>268</v>
      </c>
      <c r="J86" s="186"/>
      <c r="K86" s="592">
        <v>276.41000000000003</v>
      </c>
      <c r="L86" s="186"/>
      <c r="M86" s="592">
        <v>438.12599999999998</v>
      </c>
      <c r="N86" s="792"/>
      <c r="O86" s="592">
        <v>399.67099999999999</v>
      </c>
      <c r="P86" s="187"/>
      <c r="Q86" s="592">
        <v>438.27600000000001</v>
      </c>
      <c r="R86" s="187" t="s">
        <v>67</v>
      </c>
      <c r="S86" s="592">
        <v>400</v>
      </c>
      <c r="T86" s="187"/>
      <c r="U86" s="592">
        <v>440</v>
      </c>
      <c r="V86" s="186"/>
      <c r="W86" s="592">
        <v>375</v>
      </c>
      <c r="X86" s="256"/>
      <c r="Y86" s="592">
        <v>298.19299999999998</v>
      </c>
      <c r="Z86" s="186"/>
      <c r="AA86" s="592">
        <v>348</v>
      </c>
      <c r="AB86" s="187" t="s">
        <v>67</v>
      </c>
      <c r="AC86" s="592">
        <v>422</v>
      </c>
      <c r="AD86" s="187"/>
      <c r="AE86" s="592">
        <v>242.87700000000001</v>
      </c>
      <c r="AF86" s="574"/>
      <c r="AG86" s="755"/>
      <c r="AH86" s="757"/>
      <c r="AI86" s="757"/>
      <c r="AJ86" s="757"/>
      <c r="AK86" s="757"/>
      <c r="AL86" s="757"/>
      <c r="AM86" s="757"/>
      <c r="AN86" s="757"/>
      <c r="AO86" s="785"/>
    </row>
    <row r="87" spans="1:75" s="166" customFormat="1" ht="13.5" customHeight="1" thickBot="1">
      <c r="A87" s="594"/>
      <c r="B87" s="189"/>
      <c r="D87" s="189"/>
      <c r="F87" s="189"/>
      <c r="H87" s="188"/>
      <c r="J87" s="188"/>
      <c r="L87" s="188"/>
      <c r="N87" s="793"/>
      <c r="P87" s="189"/>
      <c r="R87" s="189"/>
      <c r="T87" s="189"/>
      <c r="V87" s="188"/>
      <c r="X87" s="257"/>
      <c r="Z87" s="188"/>
      <c r="AB87" s="189"/>
      <c r="AD87" s="189"/>
      <c r="AF87" s="574"/>
      <c r="AG87" s="759">
        <v>10</v>
      </c>
      <c r="AH87" s="758">
        <v>7</v>
      </c>
      <c r="AI87" s="758">
        <f>AG87-AH87</f>
        <v>3</v>
      </c>
      <c r="AJ87" s="758">
        <f>COUNTA(#REF!)</f>
        <v>1</v>
      </c>
      <c r="AK87" s="758">
        <v>5</v>
      </c>
      <c r="AL87" s="758">
        <v>5</v>
      </c>
      <c r="AM87" s="758"/>
      <c r="AN87" s="758"/>
      <c r="AO87" s="782"/>
    </row>
    <row r="88" spans="1:75" s="166" customFormat="1" ht="16.5" customHeight="1">
      <c r="A88" s="206"/>
      <c r="B88" s="254" t="s">
        <v>350</v>
      </c>
      <c r="C88" s="254"/>
      <c r="D88" s="254" t="s">
        <v>350</v>
      </c>
      <c r="E88" s="254"/>
      <c r="F88" s="254" t="s">
        <v>373</v>
      </c>
      <c r="G88" s="254"/>
      <c r="H88" s="258" t="s">
        <v>330</v>
      </c>
      <c r="I88" s="254"/>
      <c r="J88" s="258" t="s">
        <v>560</v>
      </c>
      <c r="K88" s="254"/>
      <c r="L88" s="258" t="s">
        <v>560</v>
      </c>
      <c r="M88" s="254"/>
      <c r="N88" s="254" t="s">
        <v>357</v>
      </c>
      <c r="O88" s="254"/>
      <c r="P88" s="254" t="s">
        <v>357</v>
      </c>
      <c r="Q88" s="254"/>
      <c r="R88" s="258" t="s">
        <v>357</v>
      </c>
      <c r="S88" s="254"/>
      <c r="T88" s="254" t="s">
        <v>350</v>
      </c>
      <c r="U88" s="254"/>
      <c r="V88" s="254" t="s">
        <v>357</v>
      </c>
      <c r="W88" s="254"/>
      <c r="X88" s="254" t="s">
        <v>560</v>
      </c>
      <c r="Y88" s="254"/>
      <c r="Z88" s="254" t="s">
        <v>305</v>
      </c>
      <c r="AA88" s="254"/>
      <c r="AB88" s="258" t="s">
        <v>561</v>
      </c>
      <c r="AC88" s="254"/>
      <c r="AD88" s="258" t="s">
        <v>298</v>
      </c>
      <c r="AE88" s="254"/>
      <c r="AF88" s="574"/>
      <c r="AG88" s="754"/>
      <c r="AH88" s="756"/>
      <c r="AI88" s="756"/>
      <c r="AJ88" s="756"/>
      <c r="AK88" s="756"/>
      <c r="AL88" s="756"/>
      <c r="AM88" s="756"/>
      <c r="AN88" s="756"/>
      <c r="AO88" s="783"/>
    </row>
    <row r="89" spans="1:75" s="166" customFormat="1" ht="13.5" customHeight="1">
      <c r="A89" s="206"/>
      <c r="B89" s="200"/>
      <c r="C89" s="585"/>
      <c r="D89" s="200"/>
      <c r="E89" s="254"/>
      <c r="F89" s="200"/>
      <c r="G89" s="584" t="s">
        <v>1110</v>
      </c>
      <c r="H89" s="200"/>
      <c r="I89" s="254"/>
      <c r="J89" s="200"/>
      <c r="K89" s="602" t="s">
        <v>1112</v>
      </c>
      <c r="L89" s="200"/>
      <c r="M89" s="254"/>
      <c r="N89" s="200"/>
      <c r="O89" s="254"/>
      <c r="P89" s="200"/>
      <c r="Q89" s="254"/>
      <c r="R89" s="200"/>
      <c r="S89" s="254"/>
      <c r="T89" s="200"/>
      <c r="U89" s="200"/>
      <c r="V89" s="200"/>
      <c r="W89" s="200"/>
      <c r="X89" s="200"/>
      <c r="Y89" s="584" t="s">
        <v>1113</v>
      </c>
      <c r="Z89" s="200"/>
      <c r="AA89" s="200"/>
      <c r="AB89" s="200"/>
      <c r="AC89" s="585"/>
      <c r="AD89" s="200"/>
      <c r="AE89" s="200"/>
      <c r="AF89" s="574"/>
      <c r="AG89" s="754"/>
      <c r="AH89" s="756"/>
      <c r="AI89" s="756"/>
      <c r="AJ89" s="756"/>
      <c r="AK89" s="756"/>
      <c r="AL89" s="756"/>
      <c r="AM89" s="756"/>
      <c r="AN89" s="756"/>
      <c r="AO89" s="783"/>
    </row>
    <row r="90" spans="1:75" s="166" customFormat="1" ht="13.5" customHeight="1">
      <c r="A90" s="206"/>
      <c r="B90" s="200"/>
      <c r="C90" s="200"/>
      <c r="D90" s="200"/>
      <c r="E90" s="200"/>
      <c r="F90" s="200"/>
      <c r="G90" s="584" t="s">
        <v>1111</v>
      </c>
      <c r="H90" s="200"/>
      <c r="I90" s="200"/>
      <c r="J90" s="200"/>
      <c r="L90" s="200"/>
      <c r="M90" s="200"/>
      <c r="N90" s="200"/>
      <c r="O90" s="200"/>
      <c r="P90" s="200"/>
      <c r="Q90" s="200"/>
      <c r="R90" s="200"/>
      <c r="S90" s="200"/>
      <c r="T90" s="200"/>
      <c r="U90" s="200"/>
      <c r="V90" s="200"/>
      <c r="W90" s="200"/>
      <c r="X90" s="200"/>
      <c r="Y90" s="200"/>
      <c r="Z90" s="200"/>
      <c r="AA90" s="200"/>
      <c r="AC90" s="200"/>
      <c r="AD90" s="200"/>
      <c r="AE90" s="200"/>
      <c r="AF90" s="574"/>
      <c r="AG90" s="754"/>
      <c r="AH90" s="756"/>
      <c r="AI90" s="756"/>
      <c r="AJ90" s="756"/>
      <c r="AK90" s="756"/>
      <c r="AL90" s="756"/>
      <c r="AM90" s="756"/>
      <c r="AN90" s="756"/>
      <c r="AO90" s="783"/>
    </row>
    <row r="91" spans="1:75" s="166" customFormat="1" ht="13.5" customHeight="1">
      <c r="A91" s="206"/>
      <c r="B91" s="200">
        <v>91</v>
      </c>
      <c r="C91" s="200"/>
      <c r="D91" s="200">
        <v>92</v>
      </c>
      <c r="E91" s="200"/>
      <c r="F91" s="200">
        <v>93</v>
      </c>
      <c r="G91" s="200"/>
      <c r="H91" s="200">
        <v>94</v>
      </c>
      <c r="I91" s="200"/>
      <c r="J91" s="200">
        <v>95</v>
      </c>
      <c r="K91" s="200"/>
      <c r="L91" s="200">
        <v>96</v>
      </c>
      <c r="M91" s="200"/>
      <c r="N91" s="200">
        <v>97</v>
      </c>
      <c r="O91" s="200"/>
      <c r="P91" s="200">
        <v>98</v>
      </c>
      <c r="Q91" s="200"/>
      <c r="R91" s="200">
        <v>99</v>
      </c>
      <c r="S91" s="200"/>
      <c r="T91" s="200">
        <v>100</v>
      </c>
      <c r="U91" s="200"/>
      <c r="V91" s="200">
        <v>101</v>
      </c>
      <c r="W91" s="200"/>
      <c r="X91" s="200">
        <v>102</v>
      </c>
      <c r="Y91" s="200"/>
      <c r="Z91" s="200">
        <v>103</v>
      </c>
      <c r="AA91" s="200"/>
      <c r="AB91" s="200">
        <v>104</v>
      </c>
      <c r="AC91" s="200"/>
      <c r="AD91" s="200">
        <v>105</v>
      </c>
      <c r="AE91" s="200"/>
      <c r="AF91" s="574"/>
      <c r="AG91" s="754"/>
      <c r="AH91" s="756"/>
      <c r="AI91" s="756"/>
      <c r="AJ91" s="756"/>
      <c r="AK91" s="756"/>
      <c r="AL91" s="756"/>
      <c r="AM91" s="756"/>
      <c r="AN91" s="756"/>
      <c r="AO91" s="783"/>
    </row>
    <row r="92" spans="1:75" s="166" customFormat="1" ht="13.5" customHeight="1">
      <c r="A92" s="206"/>
      <c r="B92" s="254" t="s">
        <v>453</v>
      </c>
      <c r="C92" s="254"/>
      <c r="D92" s="254" t="s">
        <v>455</v>
      </c>
      <c r="E92" s="254"/>
      <c r="F92" s="254" t="s">
        <v>459</v>
      </c>
      <c r="G92" s="254"/>
      <c r="H92" s="254" t="s">
        <v>562</v>
      </c>
      <c r="I92" s="254"/>
      <c r="J92" s="254" t="s">
        <v>450</v>
      </c>
      <c r="K92" s="254"/>
      <c r="L92" s="254" t="s">
        <v>358</v>
      </c>
      <c r="M92" s="254"/>
      <c r="N92" s="254" t="s">
        <v>456</v>
      </c>
      <c r="O92" s="254"/>
      <c r="P92" s="254" t="s">
        <v>349</v>
      </c>
      <c r="Q92" s="254"/>
      <c r="R92" s="254" t="s">
        <v>354</v>
      </c>
      <c r="S92" s="254"/>
      <c r="T92" s="254" t="s">
        <v>356</v>
      </c>
      <c r="U92" s="254"/>
      <c r="V92" s="254" t="s">
        <v>361</v>
      </c>
      <c r="W92" s="254"/>
      <c r="X92" s="254" t="s">
        <v>360</v>
      </c>
      <c r="Y92" s="200"/>
      <c r="Z92" s="254" t="s">
        <v>359</v>
      </c>
      <c r="AA92" s="254"/>
      <c r="AB92" s="254" t="s">
        <v>362</v>
      </c>
      <c r="AC92" s="254"/>
      <c r="AD92" s="254" t="s">
        <v>363</v>
      </c>
      <c r="AE92" s="254"/>
      <c r="AF92" s="574"/>
      <c r="AG92" s="754"/>
      <c r="AH92" s="756"/>
      <c r="AI92" s="756"/>
      <c r="AJ92" s="756"/>
      <c r="AK92" s="756"/>
      <c r="AL92" s="756"/>
      <c r="AM92" s="756"/>
      <c r="AN92" s="756"/>
      <c r="AO92" s="783"/>
    </row>
    <row r="93" spans="1:75" s="166" customFormat="1" ht="13.5" customHeight="1">
      <c r="A93" s="206"/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00"/>
      <c r="T93" s="200"/>
      <c r="U93" s="200"/>
      <c r="V93" s="200"/>
      <c r="W93" s="200"/>
      <c r="X93" s="200"/>
      <c r="Y93" s="200"/>
      <c r="Z93" s="200"/>
      <c r="AA93" s="200"/>
      <c r="AB93" s="200"/>
      <c r="AC93" s="200"/>
      <c r="AD93" s="200"/>
      <c r="AE93" s="200"/>
      <c r="AF93" s="574"/>
      <c r="AG93" s="754"/>
      <c r="AH93" s="756"/>
      <c r="AI93" s="756"/>
      <c r="AJ93" s="756"/>
      <c r="AK93" s="756"/>
      <c r="AL93" s="756"/>
      <c r="AM93" s="756"/>
      <c r="AN93" s="756"/>
      <c r="AO93" s="783"/>
    </row>
    <row r="94" spans="1:75" s="166" customFormat="1" ht="13.5" customHeight="1">
      <c r="A94" s="206"/>
      <c r="B94" s="254"/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/>
      <c r="O94" s="200"/>
      <c r="P94" s="254"/>
      <c r="Q94" s="254"/>
      <c r="R94" s="254"/>
      <c r="S94" s="200"/>
      <c r="T94" s="254"/>
      <c r="U94" s="254"/>
      <c r="V94" s="254"/>
      <c r="W94" s="254"/>
      <c r="X94" s="254"/>
      <c r="Y94" s="254"/>
      <c r="Z94" s="254"/>
      <c r="AA94" s="254"/>
      <c r="AB94" s="254"/>
      <c r="AC94" s="254"/>
      <c r="AD94" s="254"/>
      <c r="AE94" s="254"/>
      <c r="AF94" s="574"/>
      <c r="AG94" s="754"/>
      <c r="AH94" s="756"/>
      <c r="AI94" s="756"/>
      <c r="AJ94" s="756"/>
      <c r="AK94" s="756"/>
      <c r="AL94" s="756"/>
      <c r="AM94" s="756"/>
      <c r="AN94" s="756"/>
      <c r="AO94" s="783"/>
    </row>
    <row r="95" spans="1:75" s="166" customFormat="1" ht="13.5" customHeight="1" thickBo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74"/>
      <c r="AG95" s="754"/>
      <c r="AH95" s="756"/>
      <c r="AI95" s="756"/>
      <c r="AJ95" s="756"/>
      <c r="AK95" s="756"/>
      <c r="AL95" s="756"/>
      <c r="AM95" s="756"/>
      <c r="AN95" s="756"/>
      <c r="AO95" s="783"/>
    </row>
    <row r="96" spans="1:75" s="166" customFormat="1" ht="13.5" customHeight="1">
      <c r="A96" s="594"/>
      <c r="B96" s="184"/>
      <c r="C96" s="591"/>
      <c r="D96" s="184"/>
      <c r="E96" s="591"/>
      <c r="F96" s="184"/>
      <c r="G96" s="591"/>
      <c r="H96" s="202"/>
      <c r="I96" s="591"/>
      <c r="J96" s="202"/>
      <c r="K96" s="591"/>
      <c r="L96" s="184"/>
      <c r="M96" s="591"/>
      <c r="N96" s="184"/>
      <c r="O96" s="591"/>
      <c r="P96" s="184"/>
      <c r="Q96" s="591"/>
      <c r="R96" s="184"/>
      <c r="S96" s="591"/>
      <c r="T96" s="184"/>
      <c r="U96" s="591"/>
      <c r="V96" s="184"/>
      <c r="W96" s="591"/>
      <c r="X96" s="184"/>
      <c r="Y96" s="591"/>
      <c r="Z96" s="184"/>
      <c r="AA96" s="591"/>
      <c r="AB96" s="184"/>
      <c r="AC96" s="591"/>
      <c r="AD96" s="184"/>
      <c r="AE96" s="591"/>
      <c r="AF96" s="574"/>
      <c r="AG96" s="754"/>
      <c r="AH96" s="756"/>
      <c r="AI96" s="756"/>
      <c r="AJ96" s="756"/>
      <c r="AK96" s="756"/>
      <c r="AL96" s="756"/>
      <c r="AM96" s="756"/>
      <c r="AN96" s="756"/>
      <c r="AO96" s="783"/>
      <c r="BV96" s="500">
        <v>15</v>
      </c>
      <c r="BW96" s="500">
        <v>1</v>
      </c>
    </row>
    <row r="97" spans="1:75" s="166" customFormat="1" ht="13.5" customHeight="1">
      <c r="A97" s="594"/>
      <c r="B97" s="187"/>
      <c r="C97" s="592">
        <v>234.98</v>
      </c>
      <c r="D97" s="187" t="s">
        <v>67</v>
      </c>
      <c r="E97" s="592">
        <v>375.72</v>
      </c>
      <c r="F97" s="187" t="s">
        <v>67</v>
      </c>
      <c r="G97" s="592">
        <v>348</v>
      </c>
      <c r="H97" s="187"/>
      <c r="I97" s="592">
        <v>355.50400000000002</v>
      </c>
      <c r="J97" s="187"/>
      <c r="K97" s="592">
        <v>380.67899999999997</v>
      </c>
      <c r="L97" s="187"/>
      <c r="M97" s="592">
        <v>408</v>
      </c>
      <c r="N97" s="187"/>
      <c r="O97" s="592">
        <v>413</v>
      </c>
      <c r="P97" s="187"/>
      <c r="Q97" s="592">
        <v>381</v>
      </c>
      <c r="R97" s="187"/>
      <c r="S97" s="592">
        <v>364</v>
      </c>
      <c r="T97" s="187"/>
      <c r="U97" s="592">
        <v>404.71</v>
      </c>
      <c r="V97" s="187"/>
      <c r="W97" s="592">
        <v>406.00099999999998</v>
      </c>
      <c r="X97" s="191"/>
      <c r="Y97" s="592">
        <v>402</v>
      </c>
      <c r="Z97" s="187"/>
      <c r="AA97" s="592">
        <v>365</v>
      </c>
      <c r="AB97" s="187"/>
      <c r="AC97" s="592">
        <v>420</v>
      </c>
      <c r="AD97" s="187"/>
      <c r="AE97" s="592">
        <v>408.99900000000002</v>
      </c>
      <c r="AF97" s="574"/>
      <c r="AG97" s="754"/>
      <c r="AH97" s="756"/>
      <c r="AI97" s="756"/>
      <c r="AJ97" s="756"/>
      <c r="AK97" s="756"/>
      <c r="AL97" s="756"/>
      <c r="AM97" s="756"/>
      <c r="AN97" s="756"/>
      <c r="AO97" s="783"/>
    </row>
    <row r="98" spans="1:75" s="166" customFormat="1" ht="13.5" customHeight="1" thickBot="1">
      <c r="A98" s="594"/>
      <c r="B98" s="189"/>
      <c r="D98" s="189"/>
      <c r="F98" s="189"/>
      <c r="H98" s="203"/>
      <c r="J98" s="203"/>
      <c r="L98" s="189"/>
      <c r="N98" s="189"/>
      <c r="P98" s="189"/>
      <c r="R98" s="189"/>
      <c r="T98" s="189"/>
      <c r="V98" s="189"/>
      <c r="X98" s="189"/>
      <c r="Z98" s="189"/>
      <c r="AB98" s="189"/>
      <c r="AD98" s="189"/>
      <c r="AF98" s="574"/>
      <c r="AG98" s="754"/>
      <c r="AH98" s="756"/>
      <c r="AI98" s="756"/>
      <c r="AJ98" s="756"/>
      <c r="AK98" s="756"/>
      <c r="AL98" s="756"/>
      <c r="AM98" s="756"/>
      <c r="AN98" s="756"/>
      <c r="AO98" s="783"/>
    </row>
    <row r="99" spans="1:75" s="166" customFormat="1" ht="14.15" customHeight="1">
      <c r="A99" s="206"/>
      <c r="B99" s="254" t="s">
        <v>350</v>
      </c>
      <c r="C99" s="254"/>
      <c r="D99" s="254" t="s">
        <v>373</v>
      </c>
      <c r="E99" s="254"/>
      <c r="F99" s="254" t="s">
        <v>330</v>
      </c>
      <c r="G99" s="254"/>
      <c r="H99" s="258" t="s">
        <v>396</v>
      </c>
      <c r="I99" s="254"/>
      <c r="J99" s="254" t="s">
        <v>300</v>
      </c>
      <c r="K99" s="254"/>
      <c r="L99" s="254" t="s">
        <v>350</v>
      </c>
      <c r="M99" s="254"/>
      <c r="N99" s="254" t="s">
        <v>357</v>
      </c>
      <c r="O99" s="254"/>
      <c r="P99" s="254" t="s">
        <v>350</v>
      </c>
      <c r="Q99" s="254"/>
      <c r="R99" s="254" t="s">
        <v>350</v>
      </c>
      <c r="S99" s="254"/>
      <c r="T99" s="258" t="s">
        <v>357</v>
      </c>
      <c r="U99" s="254"/>
      <c r="V99" s="254" t="s">
        <v>300</v>
      </c>
      <c r="W99" s="254"/>
      <c r="X99" s="254" t="s">
        <v>357</v>
      </c>
      <c r="Y99" s="254"/>
      <c r="Z99" s="254" t="s">
        <v>350</v>
      </c>
      <c r="AA99" s="254"/>
      <c r="AB99" s="254" t="s">
        <v>350</v>
      </c>
      <c r="AC99" s="254"/>
      <c r="AD99" s="254" t="s">
        <v>357</v>
      </c>
      <c r="AE99" s="254"/>
      <c r="AF99" s="574"/>
      <c r="AG99" s="754"/>
      <c r="AH99" s="756"/>
      <c r="AI99" s="756"/>
      <c r="AJ99" s="756"/>
      <c r="AK99" s="756"/>
      <c r="AL99" s="756"/>
      <c r="AM99" s="756"/>
      <c r="AN99" s="756"/>
      <c r="AO99" s="783"/>
    </row>
    <row r="100" spans="1:75" s="166" customFormat="1" ht="14.15" customHeight="1">
      <c r="A100" s="206"/>
      <c r="B100" s="200"/>
      <c r="C100" s="603" t="s">
        <v>1010</v>
      </c>
      <c r="D100" s="200"/>
      <c r="E100" s="603" t="s">
        <v>1114</v>
      </c>
      <c r="F100" s="200" t="s">
        <v>565</v>
      </c>
      <c r="G100" s="254"/>
      <c r="H100" s="200"/>
      <c r="I100" s="593" t="s">
        <v>1116</v>
      </c>
      <c r="J100" s="200"/>
      <c r="K100" s="254"/>
      <c r="L100" s="200"/>
      <c r="M100" s="254"/>
      <c r="N100" s="200"/>
      <c r="O100" s="254"/>
      <c r="P100" s="200"/>
      <c r="Q100" s="254"/>
      <c r="R100" s="200"/>
      <c r="S100" s="254"/>
      <c r="T100" s="200"/>
      <c r="U100" s="254"/>
      <c r="V100" s="200"/>
      <c r="W100" s="254"/>
      <c r="X100" s="200"/>
      <c r="Y100" s="254"/>
      <c r="Z100" s="200"/>
      <c r="AA100" s="254"/>
      <c r="AB100" s="200"/>
      <c r="AC100" s="254"/>
      <c r="AD100" s="200"/>
      <c r="AE100" s="585"/>
      <c r="AF100" s="574"/>
      <c r="AG100" s="755"/>
      <c r="AH100" s="757"/>
      <c r="AI100" s="757"/>
      <c r="AJ100" s="757"/>
      <c r="AK100" s="757"/>
      <c r="AL100" s="757"/>
      <c r="AM100" s="757"/>
      <c r="AN100" s="757"/>
      <c r="AO100" s="785"/>
    </row>
    <row r="101" spans="1:75" s="166" customFormat="1" ht="13.5" customHeight="1">
      <c r="A101" s="206"/>
      <c r="B101" s="200"/>
      <c r="C101" s="603" t="s">
        <v>1115</v>
      </c>
      <c r="D101" s="200"/>
      <c r="E101" s="603" t="s">
        <v>1115</v>
      </c>
      <c r="F101" s="200"/>
      <c r="G101" s="588"/>
      <c r="H101" s="200"/>
      <c r="I101" s="200"/>
      <c r="J101" s="200"/>
      <c r="K101" s="200"/>
      <c r="L101" s="200"/>
      <c r="M101" s="200"/>
      <c r="N101" s="200"/>
      <c r="O101" s="200"/>
      <c r="P101" s="200"/>
      <c r="Q101" s="200"/>
      <c r="R101" s="200"/>
      <c r="S101" s="200"/>
      <c r="T101" s="200"/>
      <c r="U101" s="200"/>
      <c r="V101" s="200"/>
      <c r="W101" s="200"/>
      <c r="X101" s="200"/>
      <c r="Y101" s="584" t="s">
        <v>1124</v>
      </c>
      <c r="Z101" s="200"/>
      <c r="AA101" s="200"/>
      <c r="AB101" s="200"/>
      <c r="AC101" s="200"/>
      <c r="AD101" s="200"/>
      <c r="AE101" s="200"/>
      <c r="AF101" s="574"/>
      <c r="AG101" s="754"/>
      <c r="AH101" s="756"/>
      <c r="AI101" s="756"/>
      <c r="AJ101" s="756"/>
      <c r="AK101" s="756"/>
      <c r="AL101" s="756"/>
      <c r="AM101" s="756"/>
      <c r="AN101" s="756"/>
      <c r="AO101" s="783"/>
    </row>
    <row r="102" spans="1:75" s="166" customFormat="1" ht="13.5" customHeight="1">
      <c r="A102" s="206"/>
      <c r="B102" s="200">
        <v>106</v>
      </c>
      <c r="C102" s="200"/>
      <c r="D102" s="200">
        <v>107</v>
      </c>
      <c r="E102" s="200"/>
      <c r="F102" s="200">
        <v>108</v>
      </c>
      <c r="G102" s="200"/>
      <c r="H102" s="200">
        <v>109</v>
      </c>
      <c r="I102" s="200"/>
      <c r="J102" s="200">
        <v>110</v>
      </c>
      <c r="K102" s="200"/>
      <c r="L102" s="200">
        <v>111</v>
      </c>
      <c r="M102" s="200"/>
      <c r="N102" s="200">
        <v>112</v>
      </c>
      <c r="O102" s="200"/>
      <c r="P102" s="200">
        <v>113</v>
      </c>
      <c r="Q102" s="200"/>
      <c r="R102" s="200">
        <v>114</v>
      </c>
      <c r="S102" s="200"/>
      <c r="T102" s="200">
        <v>115</v>
      </c>
      <c r="U102" s="200"/>
      <c r="V102" s="200">
        <v>116</v>
      </c>
      <c r="W102" s="200"/>
      <c r="X102" s="200">
        <v>117</v>
      </c>
      <c r="Y102" s="200"/>
      <c r="Z102" s="200">
        <v>118</v>
      </c>
      <c r="AA102" s="200"/>
      <c r="AB102" s="200">
        <v>119</v>
      </c>
      <c r="AC102" s="200"/>
      <c r="AD102" s="200">
        <v>120</v>
      </c>
      <c r="AE102" s="200"/>
      <c r="AF102" s="574"/>
      <c r="AG102" s="754"/>
      <c r="AH102" s="756"/>
      <c r="AI102" s="756"/>
      <c r="AJ102" s="756"/>
      <c r="AK102" s="756"/>
      <c r="AL102" s="756"/>
      <c r="AM102" s="756"/>
      <c r="AN102" s="756"/>
      <c r="AO102" s="783"/>
    </row>
    <row r="103" spans="1:75" s="166" customFormat="1" ht="13.5" customHeight="1">
      <c r="A103" s="206"/>
      <c r="B103" s="254" t="s">
        <v>461</v>
      </c>
      <c r="C103" s="254"/>
      <c r="D103" s="254" t="s">
        <v>566</v>
      </c>
      <c r="E103" s="254"/>
      <c r="F103" s="254" t="s">
        <v>567</v>
      </c>
      <c r="G103" s="254"/>
      <c r="H103" s="254" t="s">
        <v>568</v>
      </c>
      <c r="I103" s="254"/>
      <c r="J103" s="254" t="s">
        <v>429</v>
      </c>
      <c r="K103" s="254"/>
      <c r="L103" s="254" t="s">
        <v>569</v>
      </c>
      <c r="M103" s="254"/>
      <c r="N103" s="254" t="s">
        <v>428</v>
      </c>
      <c r="O103" s="254"/>
      <c r="P103" s="254" t="s">
        <v>427</v>
      </c>
      <c r="Q103" s="254"/>
      <c r="R103" s="254" t="s">
        <v>439</v>
      </c>
      <c r="S103" s="254"/>
      <c r="T103" s="254" t="s">
        <v>570</v>
      </c>
      <c r="U103" s="254"/>
      <c r="V103" s="254" t="s">
        <v>571</v>
      </c>
      <c r="W103" s="254"/>
      <c r="X103" s="254" t="s">
        <v>572</v>
      </c>
      <c r="Y103" s="200"/>
      <c r="Z103" s="254" t="s">
        <v>573</v>
      </c>
      <c r="AA103" s="254"/>
      <c r="AB103" s="254" t="s">
        <v>574</v>
      </c>
      <c r="AC103" s="254"/>
      <c r="AD103" s="254" t="s">
        <v>575</v>
      </c>
      <c r="AE103" s="254"/>
      <c r="AF103" s="574"/>
      <c r="AG103" s="754"/>
      <c r="AH103" s="756"/>
      <c r="AI103" s="756"/>
      <c r="AJ103" s="756"/>
      <c r="AK103" s="756"/>
      <c r="AL103" s="756"/>
      <c r="AM103" s="756"/>
      <c r="AN103" s="756"/>
      <c r="AO103" s="783"/>
    </row>
    <row r="104" spans="1:75" s="166" customFormat="1" ht="13.5" customHeight="1">
      <c r="A104" s="206"/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  <c r="Q104" s="200"/>
      <c r="R104" s="200"/>
      <c r="S104" s="200"/>
      <c r="T104" s="200"/>
      <c r="U104" s="200"/>
      <c r="V104" s="200"/>
      <c r="W104" s="200"/>
      <c r="X104" s="200"/>
      <c r="Y104" s="200"/>
      <c r="Z104" s="200"/>
      <c r="AA104" s="200"/>
      <c r="AB104" s="200"/>
      <c r="AC104" s="200"/>
      <c r="AD104" s="200"/>
      <c r="AE104" s="200"/>
      <c r="AF104" s="574"/>
      <c r="AG104" s="754"/>
      <c r="AH104" s="756"/>
      <c r="AI104" s="756"/>
      <c r="AJ104" s="756"/>
      <c r="AK104" s="756"/>
      <c r="AL104" s="756"/>
      <c r="AM104" s="756"/>
      <c r="AN104" s="756"/>
      <c r="AO104" s="783"/>
    </row>
    <row r="105" spans="1:75" s="166" customFormat="1" ht="13.5" customHeight="1">
      <c r="A105" s="206"/>
      <c r="B105" s="254"/>
      <c r="C105" s="254"/>
      <c r="D105" s="254"/>
      <c r="E105" s="200"/>
      <c r="F105" s="254"/>
      <c r="G105" s="254"/>
      <c r="H105" s="254"/>
      <c r="I105" s="200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4"/>
      <c r="V105" s="254"/>
      <c r="W105" s="254"/>
      <c r="X105" s="254"/>
      <c r="Y105" s="200"/>
      <c r="Z105" s="254"/>
      <c r="AA105" s="254"/>
      <c r="AB105" s="254"/>
      <c r="AC105" s="200"/>
      <c r="AD105" s="254"/>
      <c r="AE105" s="254"/>
      <c r="AF105" s="574"/>
      <c r="AG105" s="754"/>
      <c r="AH105" s="756"/>
      <c r="AI105" s="756"/>
      <c r="AJ105" s="756"/>
      <c r="AK105" s="756"/>
      <c r="AL105" s="756"/>
      <c r="AM105" s="756"/>
      <c r="AN105" s="756"/>
      <c r="AO105" s="783"/>
    </row>
    <row r="106" spans="1:75" s="166" customFormat="1" ht="13.5" customHeight="1" thickBo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74"/>
      <c r="AG106" s="754"/>
      <c r="AH106" s="756"/>
      <c r="AI106" s="756"/>
      <c r="AJ106" s="756"/>
      <c r="AK106" s="756"/>
      <c r="AL106" s="756"/>
      <c r="AM106" s="756"/>
      <c r="AN106" s="756"/>
      <c r="AO106" s="783"/>
    </row>
    <row r="107" spans="1:75" s="166" customFormat="1" ht="13.5" customHeight="1">
      <c r="A107" s="594"/>
      <c r="B107" s="194"/>
      <c r="C107" s="591"/>
      <c r="D107" s="521"/>
      <c r="E107" s="591"/>
      <c r="F107" s="487"/>
      <c r="G107" s="591"/>
      <c r="H107" s="183"/>
      <c r="I107" s="591"/>
      <c r="J107" s="184"/>
      <c r="K107" s="591"/>
      <c r="L107" s="183"/>
      <c r="M107" s="591"/>
      <c r="N107" s="184"/>
      <c r="O107" s="591"/>
      <c r="P107" s="184"/>
      <c r="Q107" s="591"/>
      <c r="R107" s="184"/>
      <c r="S107" s="591"/>
      <c r="T107" s="183"/>
      <c r="U107" s="591"/>
      <c r="V107" s="183"/>
      <c r="W107" s="591"/>
      <c r="X107" s="261"/>
      <c r="Y107" s="579"/>
      <c r="Z107" s="261"/>
      <c r="AA107" s="579"/>
      <c r="AB107" s="261"/>
      <c r="AC107" s="579"/>
      <c r="AD107" s="261"/>
      <c r="AE107" s="579"/>
      <c r="AF107" s="574"/>
      <c r="AG107" s="754"/>
      <c r="AH107" s="756"/>
      <c r="AI107" s="756"/>
      <c r="AJ107" s="756"/>
      <c r="AK107" s="756"/>
      <c r="AL107" s="756"/>
      <c r="AM107" s="756"/>
      <c r="AN107" s="756"/>
      <c r="AO107" s="783"/>
      <c r="BV107" s="500">
        <f>4</f>
        <v>4</v>
      </c>
      <c r="BW107" s="500">
        <v>0</v>
      </c>
    </row>
    <row r="108" spans="1:75" s="166" customFormat="1" ht="13.5" customHeight="1">
      <c r="A108" s="594"/>
      <c r="B108" s="195" t="s">
        <v>550</v>
      </c>
      <c r="C108" s="592">
        <v>388.00099999999998</v>
      </c>
      <c r="D108" s="523" t="s">
        <v>550</v>
      </c>
      <c r="E108" s="592">
        <v>348.62799999999999</v>
      </c>
      <c r="F108" s="201" t="s">
        <v>97</v>
      </c>
      <c r="G108" s="592">
        <v>424.14</v>
      </c>
      <c r="H108" s="186"/>
      <c r="I108" s="592">
        <v>412</v>
      </c>
      <c r="J108" s="191"/>
      <c r="K108" s="592">
        <v>406</v>
      </c>
      <c r="L108" s="186"/>
      <c r="M108" s="592">
        <v>370.19200000000001</v>
      </c>
      <c r="N108" s="191"/>
      <c r="O108" s="592">
        <v>378.53399999999999</v>
      </c>
      <c r="P108" s="191"/>
      <c r="Q108" s="592">
        <v>408.00400000000002</v>
      </c>
      <c r="R108" s="187"/>
      <c r="S108" s="592">
        <v>405.55099999999999</v>
      </c>
      <c r="T108" s="186"/>
      <c r="U108" s="592">
        <v>405.99900000000002</v>
      </c>
      <c r="V108" s="186"/>
      <c r="W108" s="592">
        <v>386</v>
      </c>
      <c r="X108" s="262"/>
      <c r="Y108" s="581">
        <v>408.363</v>
      </c>
      <c r="Z108" s="263"/>
      <c r="AA108" s="581">
        <v>380.99700000000001</v>
      </c>
      <c r="AB108" s="263"/>
      <c r="AC108" s="581">
        <v>426.00099999999998</v>
      </c>
      <c r="AD108" s="263"/>
      <c r="AE108" s="581">
        <v>394.47500000000002</v>
      </c>
      <c r="AF108" s="574"/>
      <c r="AG108" s="754"/>
      <c r="AH108" s="756"/>
      <c r="AI108" s="756"/>
      <c r="AJ108" s="756"/>
      <c r="AK108" s="756"/>
      <c r="AL108" s="756"/>
      <c r="AM108" s="756"/>
      <c r="AN108" s="756"/>
      <c r="AO108" s="783"/>
    </row>
    <row r="109" spans="1:75" s="166" customFormat="1" ht="13.5" customHeight="1" thickBot="1">
      <c r="A109" s="594"/>
      <c r="B109" s="196"/>
      <c r="D109" s="522"/>
      <c r="F109" s="192"/>
      <c r="H109" s="188"/>
      <c r="J109" s="189"/>
      <c r="L109" s="188"/>
      <c r="N109" s="191"/>
      <c r="P109" s="191"/>
      <c r="R109" s="189"/>
      <c r="T109" s="188"/>
      <c r="V109" s="188"/>
      <c r="X109" s="264"/>
      <c r="Y109" s="200"/>
      <c r="Z109" s="264"/>
      <c r="AA109" s="200"/>
      <c r="AB109" s="264"/>
      <c r="AC109" s="200"/>
      <c r="AD109" s="264"/>
      <c r="AE109" s="200"/>
      <c r="AF109" s="574"/>
      <c r="AG109" s="754"/>
      <c r="AH109" s="756"/>
      <c r="AI109" s="756"/>
      <c r="AJ109" s="756"/>
      <c r="AK109" s="756"/>
      <c r="AL109" s="756"/>
      <c r="AM109" s="756"/>
      <c r="AN109" s="756"/>
      <c r="AO109" s="783"/>
    </row>
    <row r="110" spans="1:75" s="166" customFormat="1" ht="14.15" customHeight="1">
      <c r="A110" s="206"/>
      <c r="B110" s="254" t="s">
        <v>350</v>
      </c>
      <c r="C110" s="254"/>
      <c r="D110" s="254" t="s">
        <v>350</v>
      </c>
      <c r="E110" s="254"/>
      <c r="F110" s="254" t="s">
        <v>300</v>
      </c>
      <c r="G110" s="254"/>
      <c r="H110" s="254" t="s">
        <v>399</v>
      </c>
      <c r="I110" s="254"/>
      <c r="J110" s="254" t="s">
        <v>357</v>
      </c>
      <c r="K110" s="254"/>
      <c r="L110" s="254" t="s">
        <v>350</v>
      </c>
      <c r="M110" s="254"/>
      <c r="N110" s="254" t="s">
        <v>373</v>
      </c>
      <c r="O110" s="254"/>
      <c r="P110" s="254" t="s">
        <v>292</v>
      </c>
      <c r="Q110" s="254"/>
      <c r="R110" s="254" t="s">
        <v>350</v>
      </c>
      <c r="S110" s="254"/>
      <c r="T110" s="254" t="s">
        <v>309</v>
      </c>
      <c r="U110" s="254"/>
      <c r="V110" s="254" t="s">
        <v>350</v>
      </c>
      <c r="W110" s="254"/>
      <c r="X110" s="254" t="s">
        <v>350</v>
      </c>
      <c r="Y110" s="254"/>
      <c r="Z110" s="254" t="s">
        <v>576</v>
      </c>
      <c r="AA110" s="254"/>
      <c r="AB110" s="254" t="s">
        <v>399</v>
      </c>
      <c r="AC110" s="254"/>
      <c r="AD110" s="254" t="s">
        <v>350</v>
      </c>
      <c r="AE110" s="254"/>
      <c r="AF110" s="574"/>
      <c r="AG110" s="754"/>
      <c r="AH110" s="756"/>
      <c r="AI110" s="756"/>
      <c r="AJ110" s="756"/>
      <c r="AK110" s="756"/>
      <c r="AL110" s="756"/>
      <c r="AM110" s="756"/>
      <c r="AN110" s="756"/>
      <c r="AO110" s="783"/>
    </row>
    <row r="111" spans="1:75" s="166" customFormat="1" ht="14.15" customHeight="1">
      <c r="A111" s="206"/>
      <c r="B111" s="200"/>
      <c r="C111" s="200"/>
      <c r="D111" s="200"/>
      <c r="E111" s="200"/>
      <c r="F111" s="200"/>
      <c r="G111" s="254"/>
      <c r="H111" s="200"/>
      <c r="I111" s="254"/>
      <c r="J111" s="200"/>
      <c r="K111" s="254"/>
      <c r="L111" s="200"/>
      <c r="M111" s="254"/>
      <c r="N111" s="200"/>
      <c r="O111" s="603" t="s">
        <v>1115</v>
      </c>
      <c r="P111" s="200"/>
      <c r="Q111" s="200"/>
      <c r="R111" s="200"/>
      <c r="S111" s="597"/>
      <c r="T111" s="200"/>
      <c r="U111" s="603" t="s">
        <v>1115</v>
      </c>
      <c r="V111" s="200"/>
      <c r="W111" s="585"/>
      <c r="X111" s="200"/>
      <c r="Y111" s="254"/>
      <c r="Z111" s="200"/>
      <c r="AA111" s="258" t="s">
        <v>1130</v>
      </c>
      <c r="AB111" s="200"/>
      <c r="AC111" s="604" t="s">
        <v>1128</v>
      </c>
      <c r="AD111" s="200"/>
      <c r="AE111" s="200"/>
      <c r="AF111" s="574"/>
      <c r="AG111" s="755"/>
      <c r="AH111" s="757"/>
      <c r="AI111" s="757"/>
      <c r="AJ111" s="757"/>
      <c r="AK111" s="757"/>
      <c r="AL111" s="757"/>
      <c r="AM111" s="757"/>
      <c r="AN111" s="757"/>
      <c r="AO111" s="785"/>
    </row>
    <row r="112" spans="1:75" s="166" customFormat="1" ht="13.5" customHeight="1">
      <c r="A112" s="206"/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584" t="s">
        <v>1125</v>
      </c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584" t="s">
        <v>1127</v>
      </c>
      <c r="AB112" s="200"/>
      <c r="AC112" s="604" t="s">
        <v>1129</v>
      </c>
      <c r="AD112" s="200"/>
      <c r="AE112" s="200"/>
      <c r="AF112" s="574"/>
      <c r="AG112" s="754"/>
      <c r="AH112" s="756"/>
      <c r="AI112" s="756"/>
      <c r="AJ112" s="756"/>
      <c r="AK112" s="756"/>
      <c r="AL112" s="756"/>
      <c r="AM112" s="756"/>
      <c r="AN112" s="756"/>
      <c r="AO112" s="783"/>
    </row>
    <row r="113" spans="1:75" s="166" customFormat="1" ht="13.5" customHeight="1">
      <c r="A113" s="206"/>
      <c r="B113" s="200">
        <v>120</v>
      </c>
      <c r="C113" s="200"/>
      <c r="D113" s="200">
        <v>121</v>
      </c>
      <c r="E113" s="200"/>
      <c r="F113" s="200">
        <v>123</v>
      </c>
      <c r="G113" s="200"/>
      <c r="H113" s="200">
        <v>124</v>
      </c>
      <c r="I113" s="200"/>
      <c r="J113" s="200">
        <v>125</v>
      </c>
      <c r="K113" s="200"/>
      <c r="L113" s="200">
        <v>126</v>
      </c>
      <c r="M113" s="200"/>
      <c r="N113" s="200">
        <v>127</v>
      </c>
      <c r="O113" s="200"/>
      <c r="P113" s="200">
        <v>128</v>
      </c>
      <c r="Q113" s="200"/>
      <c r="R113" s="200">
        <v>129</v>
      </c>
      <c r="S113" s="200"/>
      <c r="T113" s="200">
        <v>130</v>
      </c>
      <c r="U113" s="200"/>
      <c r="V113" s="200">
        <v>131</v>
      </c>
      <c r="W113" s="200"/>
      <c r="X113" s="200">
        <v>132</v>
      </c>
      <c r="Y113" s="200"/>
      <c r="Z113" s="200">
        <v>133</v>
      </c>
      <c r="AA113" s="200"/>
      <c r="AB113" s="200">
        <v>134</v>
      </c>
      <c r="AC113" s="200"/>
      <c r="AD113" s="200">
        <v>135</v>
      </c>
      <c r="AE113" s="200"/>
      <c r="AF113" s="574"/>
      <c r="AG113" s="754"/>
      <c r="AH113" s="756"/>
      <c r="AI113" s="756"/>
      <c r="AJ113" s="756"/>
      <c r="AK113" s="756"/>
      <c r="AL113" s="756"/>
      <c r="AM113" s="756"/>
      <c r="AN113" s="756"/>
      <c r="AO113" s="783"/>
    </row>
    <row r="114" spans="1:75" s="166" customFormat="1" ht="13.5" customHeight="1">
      <c r="A114" s="206"/>
      <c r="B114" s="254" t="s">
        <v>577</v>
      </c>
      <c r="C114" s="254"/>
      <c r="D114" s="254" t="s">
        <v>578</v>
      </c>
      <c r="E114" s="254"/>
      <c r="F114" s="254" t="s">
        <v>579</v>
      </c>
      <c r="G114" s="254"/>
      <c r="H114" s="254" t="s">
        <v>580</v>
      </c>
      <c r="I114" s="254"/>
      <c r="J114" s="254" t="s">
        <v>181</v>
      </c>
      <c r="K114" s="254"/>
      <c r="L114" s="254" t="s">
        <v>581</v>
      </c>
      <c r="M114" s="254"/>
      <c r="N114" s="254" t="s">
        <v>582</v>
      </c>
      <c r="O114" s="254"/>
      <c r="P114" s="254" t="s">
        <v>583</v>
      </c>
      <c r="Q114" s="254"/>
      <c r="R114" s="254" t="s">
        <v>584</v>
      </c>
      <c r="S114" s="254"/>
      <c r="T114" s="254" t="s">
        <v>585</v>
      </c>
      <c r="U114" s="254"/>
      <c r="V114" s="254" t="s">
        <v>586</v>
      </c>
      <c r="W114" s="254"/>
      <c r="X114" s="254" t="s">
        <v>587</v>
      </c>
      <c r="Y114" s="200"/>
      <c r="Z114" s="254" t="s">
        <v>588</v>
      </c>
      <c r="AA114" s="254"/>
      <c r="AB114" s="254" t="s">
        <v>589</v>
      </c>
      <c r="AC114" s="254"/>
      <c r="AD114" s="254" t="s">
        <v>590</v>
      </c>
      <c r="AE114" s="254"/>
      <c r="AF114" s="574"/>
      <c r="AG114" s="754"/>
      <c r="AH114" s="756"/>
      <c r="AI114" s="756"/>
      <c r="AJ114" s="756"/>
      <c r="AK114" s="756"/>
      <c r="AL114" s="756"/>
      <c r="AM114" s="756"/>
      <c r="AN114" s="756"/>
      <c r="AO114" s="783"/>
    </row>
    <row r="115" spans="1:75" s="166" customFormat="1" ht="13.5" customHeight="1">
      <c r="A115" s="206"/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574"/>
      <c r="AG115" s="754"/>
      <c r="AH115" s="756"/>
      <c r="AI115" s="756"/>
      <c r="AJ115" s="756"/>
      <c r="AK115" s="756"/>
      <c r="AL115" s="756"/>
      <c r="AM115" s="756"/>
      <c r="AN115" s="756"/>
      <c r="AO115" s="783"/>
    </row>
    <row r="116" spans="1:75" s="166" customFormat="1" ht="13.5" customHeight="1">
      <c r="A116" s="206"/>
      <c r="B116" s="254"/>
      <c r="C116" s="254"/>
      <c r="D116" s="254"/>
      <c r="E116" s="254"/>
      <c r="F116" s="254"/>
      <c r="G116" s="254"/>
      <c r="H116" s="254"/>
      <c r="I116" s="254"/>
      <c r="J116" s="254"/>
      <c r="K116" s="254"/>
      <c r="L116" s="254"/>
      <c r="M116" s="254"/>
      <c r="N116" s="254"/>
      <c r="O116" s="200"/>
      <c r="P116" s="254"/>
      <c r="Q116" s="254"/>
      <c r="R116" s="254"/>
      <c r="S116" s="200"/>
      <c r="T116" s="254"/>
      <c r="U116" s="254"/>
      <c r="V116" s="254"/>
      <c r="W116" s="254"/>
      <c r="X116" s="254"/>
      <c r="Y116" s="254"/>
      <c r="Z116" s="254"/>
      <c r="AA116" s="254"/>
      <c r="AB116" s="254"/>
      <c r="AC116" s="254"/>
      <c r="AD116" s="254"/>
      <c r="AE116" s="254"/>
      <c r="AF116" s="574"/>
      <c r="AG116" s="754"/>
      <c r="AH116" s="756"/>
      <c r="AI116" s="756"/>
      <c r="AJ116" s="756"/>
      <c r="AK116" s="756"/>
      <c r="AL116" s="756"/>
      <c r="AM116" s="756"/>
      <c r="AN116" s="756"/>
      <c r="AO116" s="783"/>
    </row>
    <row r="117" spans="1:75" s="166" customFormat="1" ht="13.5" customHeight="1" thickBo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74"/>
      <c r="AG117" s="754"/>
      <c r="AH117" s="756"/>
      <c r="AI117" s="756"/>
      <c r="AJ117" s="756"/>
      <c r="AK117" s="756"/>
      <c r="AL117" s="756"/>
      <c r="AM117" s="756"/>
      <c r="AN117" s="756"/>
      <c r="AO117" s="783"/>
    </row>
    <row r="118" spans="1:75" s="166" customFormat="1" ht="13.5" customHeight="1">
      <c r="A118" s="206"/>
      <c r="B118" s="261"/>
      <c r="C118" s="579"/>
      <c r="D118" s="261"/>
      <c r="E118" s="579"/>
      <c r="F118" s="536"/>
      <c r="G118" s="579"/>
      <c r="H118" s="202"/>
      <c r="I118" s="579"/>
      <c r="J118" s="261"/>
      <c r="K118" s="579"/>
      <c r="L118" s="261"/>
      <c r="M118" s="579"/>
      <c r="N118" s="261"/>
      <c r="O118" s="579"/>
      <c r="P118" s="261"/>
      <c r="Q118" s="579"/>
      <c r="R118" s="261"/>
      <c r="S118" s="579"/>
      <c r="T118" s="261"/>
      <c r="U118" s="579"/>
      <c r="V118" s="261"/>
      <c r="W118" s="579"/>
      <c r="X118" s="261"/>
      <c r="Y118" s="579"/>
      <c r="Z118" s="261"/>
      <c r="AA118" s="579"/>
      <c r="AB118" s="261"/>
      <c r="AC118" s="579"/>
      <c r="AD118" s="261"/>
      <c r="AE118" s="579"/>
      <c r="AF118" s="574"/>
      <c r="AG118" s="754"/>
      <c r="AH118" s="756"/>
      <c r="AI118" s="756"/>
      <c r="AJ118" s="756"/>
      <c r="AK118" s="756"/>
      <c r="AL118" s="756"/>
      <c r="AM118" s="756"/>
      <c r="AN118" s="756"/>
      <c r="AO118" s="783"/>
      <c r="BV118" s="500">
        <v>1</v>
      </c>
      <c r="BW118" s="500">
        <v>0</v>
      </c>
    </row>
    <row r="119" spans="1:75" s="166" customFormat="1" ht="13.5" customHeight="1">
      <c r="A119" s="206"/>
      <c r="B119" s="263"/>
      <c r="C119" s="581">
        <v>411.00400000000002</v>
      </c>
      <c r="D119" s="263" t="s">
        <v>550</v>
      </c>
      <c r="E119" s="581">
        <v>423</v>
      </c>
      <c r="F119" s="195" t="s">
        <v>550</v>
      </c>
      <c r="G119" s="581">
        <v>395</v>
      </c>
      <c r="H119" s="187" t="s">
        <v>67</v>
      </c>
      <c r="I119" s="581">
        <v>358.32400000000001</v>
      </c>
      <c r="J119" s="263"/>
      <c r="K119" s="581">
        <v>409.99599999999998</v>
      </c>
      <c r="L119" s="263"/>
      <c r="M119" s="581">
        <v>399.88200000000001</v>
      </c>
      <c r="N119" s="263"/>
      <c r="O119" s="581">
        <v>410.99799999999999</v>
      </c>
      <c r="P119" s="263"/>
      <c r="Q119" s="581">
        <v>402</v>
      </c>
      <c r="R119" s="263"/>
      <c r="S119" s="581">
        <v>422</v>
      </c>
      <c r="T119" s="263"/>
      <c r="U119" s="581">
        <v>409</v>
      </c>
      <c r="V119" s="263"/>
      <c r="W119" s="581">
        <v>394</v>
      </c>
      <c r="X119" s="262"/>
      <c r="Y119" s="581">
        <v>393</v>
      </c>
      <c r="Z119" s="263"/>
      <c r="AA119" s="581">
        <v>405.06099999999998</v>
      </c>
      <c r="AB119" s="263"/>
      <c r="AC119" s="581">
        <v>404.97500000000002</v>
      </c>
      <c r="AD119" s="263"/>
      <c r="AE119" s="581">
        <v>382.005</v>
      </c>
      <c r="AF119" s="574"/>
      <c r="AG119" s="754"/>
      <c r="AH119" s="756"/>
      <c r="AI119" s="756"/>
      <c r="AJ119" s="756"/>
      <c r="AK119" s="756"/>
      <c r="AL119" s="756"/>
      <c r="AM119" s="756"/>
      <c r="AN119" s="756"/>
      <c r="AO119" s="783"/>
    </row>
    <row r="120" spans="1:75" s="166" customFormat="1" ht="13.5" customHeight="1" thickBot="1">
      <c r="A120" s="206"/>
      <c r="B120" s="264"/>
      <c r="C120" s="200"/>
      <c r="D120" s="264"/>
      <c r="E120" s="200"/>
      <c r="F120" s="537"/>
      <c r="G120" s="200"/>
      <c r="H120" s="203"/>
      <c r="I120" s="200"/>
      <c r="J120" s="264"/>
      <c r="K120" s="200"/>
      <c r="L120" s="264"/>
      <c r="M120" s="200"/>
      <c r="N120" s="264"/>
      <c r="O120" s="200"/>
      <c r="P120" s="264"/>
      <c r="Q120" s="200"/>
      <c r="R120" s="264"/>
      <c r="S120" s="200"/>
      <c r="T120" s="264"/>
      <c r="U120" s="200"/>
      <c r="V120" s="264"/>
      <c r="W120" s="200"/>
      <c r="X120" s="264"/>
      <c r="Y120" s="200"/>
      <c r="Z120" s="264"/>
      <c r="AA120" s="200"/>
      <c r="AB120" s="264"/>
      <c r="AC120" s="200"/>
      <c r="AD120" s="264"/>
      <c r="AE120" s="200"/>
      <c r="AF120" s="574"/>
      <c r="AG120" s="754"/>
      <c r="AH120" s="756"/>
      <c r="AI120" s="756"/>
      <c r="AJ120" s="756"/>
      <c r="AK120" s="756"/>
      <c r="AL120" s="756"/>
      <c r="AM120" s="756"/>
      <c r="AN120" s="756"/>
      <c r="AO120" s="783"/>
    </row>
    <row r="121" spans="1:75" s="166" customFormat="1" ht="14.15" customHeight="1">
      <c r="A121" s="206"/>
      <c r="B121" s="254" t="s">
        <v>373</v>
      </c>
      <c r="C121" s="254"/>
      <c r="D121" s="254" t="s">
        <v>357</v>
      </c>
      <c r="E121" s="254"/>
      <c r="F121" s="254" t="s">
        <v>350</v>
      </c>
      <c r="G121" s="254"/>
      <c r="H121" s="254" t="s">
        <v>350</v>
      </c>
      <c r="I121" s="254"/>
      <c r="J121" s="254" t="s">
        <v>302</v>
      </c>
      <c r="K121" s="254"/>
      <c r="L121" s="254" t="s">
        <v>357</v>
      </c>
      <c r="M121" s="254"/>
      <c r="N121" s="254" t="s">
        <v>302</v>
      </c>
      <c r="O121" s="254"/>
      <c r="P121" s="254" t="s">
        <v>357</v>
      </c>
      <c r="Q121" s="254"/>
      <c r="R121" s="254" t="s">
        <v>350</v>
      </c>
      <c r="S121" s="254"/>
      <c r="T121" s="254" t="s">
        <v>357</v>
      </c>
      <c r="U121" s="254"/>
      <c r="V121" s="254" t="s">
        <v>350</v>
      </c>
      <c r="W121" s="254"/>
      <c r="X121" s="254" t="s">
        <v>350</v>
      </c>
      <c r="Y121" s="254"/>
      <c r="Z121" s="254" t="s">
        <v>357</v>
      </c>
      <c r="AA121" s="254"/>
      <c r="AB121" s="254" t="s">
        <v>330</v>
      </c>
      <c r="AC121" s="254"/>
      <c r="AD121" s="254" t="s">
        <v>591</v>
      </c>
      <c r="AE121" s="254"/>
      <c r="AF121" s="574"/>
      <c r="AG121" s="754"/>
      <c r="AH121" s="756"/>
      <c r="AI121" s="756"/>
      <c r="AJ121" s="756"/>
      <c r="AK121" s="756"/>
      <c r="AL121" s="756"/>
      <c r="AM121" s="756"/>
      <c r="AN121" s="756"/>
      <c r="AO121" s="783"/>
    </row>
    <row r="122" spans="1:75" s="166" customFormat="1" ht="14.15" customHeight="1" thickBot="1">
      <c r="A122" s="206"/>
      <c r="B122" s="200"/>
      <c r="C122" s="584" t="s">
        <v>1131</v>
      </c>
      <c r="D122" s="200"/>
      <c r="E122" s="254"/>
      <c r="F122" s="200"/>
      <c r="G122" s="254"/>
      <c r="H122" s="200"/>
      <c r="I122" s="254"/>
      <c r="J122" s="200"/>
      <c r="K122" s="604" t="s">
        <v>1129</v>
      </c>
      <c r="L122" s="200"/>
      <c r="M122" s="254"/>
      <c r="N122" s="200"/>
      <c r="O122" s="254"/>
      <c r="P122" s="200"/>
      <c r="Q122" s="254"/>
      <c r="R122" s="200"/>
      <c r="S122" s="254"/>
      <c r="T122" s="200"/>
      <c r="U122" s="585"/>
      <c r="V122" s="200"/>
      <c r="W122" s="200"/>
      <c r="X122" s="200"/>
      <c r="Y122" s="254"/>
      <c r="Z122" s="200"/>
      <c r="AA122" s="254"/>
      <c r="AB122" s="200"/>
      <c r="AC122" s="604" t="s">
        <v>1115</v>
      </c>
      <c r="AD122" s="200"/>
      <c r="AE122" s="604" t="s">
        <v>1115</v>
      </c>
      <c r="AF122" s="574"/>
      <c r="AG122" s="789"/>
      <c r="AH122" s="781"/>
      <c r="AI122" s="781"/>
      <c r="AJ122" s="781"/>
      <c r="AK122" s="781"/>
      <c r="AL122" s="781"/>
      <c r="AM122" s="781"/>
      <c r="AN122" s="781"/>
      <c r="AO122" s="784"/>
    </row>
    <row r="123" spans="1:75" s="166" customFormat="1" ht="13.5" customHeight="1">
      <c r="A123" s="206"/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584" t="s">
        <v>1132</v>
      </c>
      <c r="T123" s="200"/>
      <c r="U123" s="584" t="s">
        <v>1132</v>
      </c>
      <c r="V123" s="200"/>
      <c r="W123" s="200"/>
      <c r="X123" s="200"/>
      <c r="Y123" s="200"/>
      <c r="Z123" s="200"/>
      <c r="AA123" s="200"/>
      <c r="AB123" s="200"/>
      <c r="AC123" s="604" t="s">
        <v>1020</v>
      </c>
      <c r="AD123" s="200"/>
      <c r="AE123" s="604" t="s">
        <v>997</v>
      </c>
      <c r="AF123" s="574"/>
      <c r="AG123" s="754"/>
      <c r="AH123" s="756"/>
      <c r="AI123" s="756"/>
      <c r="AJ123" s="756"/>
      <c r="AK123" s="756"/>
      <c r="AL123" s="756"/>
      <c r="AM123" s="756"/>
      <c r="AN123" s="756"/>
      <c r="AO123" s="783"/>
    </row>
    <row r="124" spans="1:75" s="166" customFormat="1" ht="13.5" customHeight="1">
      <c r="A124" s="206"/>
      <c r="B124" s="200">
        <v>136</v>
      </c>
      <c r="C124" s="200"/>
      <c r="D124" s="200">
        <v>137</v>
      </c>
      <c r="E124" s="200"/>
      <c r="F124" s="200">
        <v>138</v>
      </c>
      <c r="G124" s="200"/>
      <c r="H124" s="200">
        <v>139</v>
      </c>
      <c r="I124" s="200"/>
      <c r="J124" s="200">
        <v>140</v>
      </c>
      <c r="K124" s="200"/>
      <c r="L124" s="200">
        <v>141</v>
      </c>
      <c r="M124" s="200"/>
      <c r="N124" s="200">
        <v>142</v>
      </c>
      <c r="O124" s="200"/>
      <c r="P124" s="200">
        <v>143</v>
      </c>
      <c r="Q124" s="200"/>
      <c r="R124" s="200">
        <v>144</v>
      </c>
      <c r="S124" s="200"/>
      <c r="T124" s="200">
        <v>145</v>
      </c>
      <c r="U124" s="200"/>
      <c r="V124" s="200">
        <v>146</v>
      </c>
      <c r="W124" s="200"/>
      <c r="X124" s="200">
        <v>147</v>
      </c>
      <c r="Y124" s="200"/>
      <c r="Z124" s="200">
        <v>148</v>
      </c>
      <c r="AA124" s="200"/>
      <c r="AB124" s="200">
        <v>149</v>
      </c>
      <c r="AC124" s="200"/>
      <c r="AD124" s="200">
        <v>150</v>
      </c>
      <c r="AE124" s="200"/>
      <c r="AF124" s="574"/>
      <c r="AG124" s="754"/>
      <c r="AH124" s="756"/>
      <c r="AI124" s="756"/>
      <c r="AJ124" s="756"/>
      <c r="AK124" s="756"/>
      <c r="AL124" s="756"/>
      <c r="AM124" s="756"/>
      <c r="AN124" s="756"/>
      <c r="AO124" s="783"/>
    </row>
    <row r="125" spans="1:75" s="166" customFormat="1" ht="13.5" customHeight="1">
      <c r="A125" s="206"/>
      <c r="B125" s="254" t="s">
        <v>592</v>
      </c>
      <c r="C125" s="254"/>
      <c r="D125" s="254" t="s">
        <v>165</v>
      </c>
      <c r="E125" s="254"/>
      <c r="F125" s="254" t="s">
        <v>593</v>
      </c>
      <c r="G125" s="254"/>
      <c r="H125" s="254" t="s">
        <v>594</v>
      </c>
      <c r="I125" s="254"/>
      <c r="J125" s="254" t="s">
        <v>595</v>
      </c>
      <c r="K125" s="254"/>
      <c r="L125" s="254" t="s">
        <v>596</v>
      </c>
      <c r="M125" s="254"/>
      <c r="N125" s="254" t="s">
        <v>597</v>
      </c>
      <c r="O125" s="254"/>
      <c r="P125" s="254" t="s">
        <v>598</v>
      </c>
      <c r="Q125" s="254"/>
      <c r="R125" s="254" t="s">
        <v>599</v>
      </c>
      <c r="S125" s="254"/>
      <c r="T125" s="254" t="s">
        <v>600</v>
      </c>
      <c r="U125" s="254"/>
      <c r="V125" s="254" t="s">
        <v>601</v>
      </c>
      <c r="W125" s="254"/>
      <c r="X125" s="254" t="s">
        <v>602</v>
      </c>
      <c r="Y125" s="200"/>
      <c r="Z125" s="254" t="s">
        <v>182</v>
      </c>
      <c r="AA125" s="254"/>
      <c r="AB125" s="254" t="s">
        <v>141</v>
      </c>
      <c r="AC125" s="254"/>
      <c r="AD125" s="254" t="s">
        <v>449</v>
      </c>
      <c r="AE125" s="254"/>
      <c r="AF125" s="574"/>
      <c r="AG125" s="754"/>
      <c r="AH125" s="756"/>
      <c r="AI125" s="756"/>
      <c r="AJ125" s="756"/>
      <c r="AK125" s="756"/>
      <c r="AL125" s="756"/>
      <c r="AM125" s="756"/>
      <c r="AN125" s="756"/>
      <c r="AO125" s="783"/>
    </row>
    <row r="126" spans="1:75" s="166" customFormat="1" ht="13.5" customHeight="1">
      <c r="A126" s="206"/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574"/>
      <c r="AG126" s="754"/>
      <c r="AH126" s="756"/>
      <c r="AI126" s="756"/>
      <c r="AJ126" s="756"/>
      <c r="AK126" s="756"/>
      <c r="AL126" s="756"/>
      <c r="AM126" s="756"/>
      <c r="AN126" s="756"/>
      <c r="AO126" s="783"/>
    </row>
    <row r="127" spans="1:75" s="166" customFormat="1" ht="13.5" customHeight="1">
      <c r="A127" s="206"/>
      <c r="B127" s="254"/>
      <c r="C127" s="254"/>
      <c r="D127" s="254"/>
      <c r="E127" s="200"/>
      <c r="F127" s="254"/>
      <c r="G127" s="254"/>
      <c r="H127" s="254"/>
      <c r="I127" s="200"/>
      <c r="J127" s="254"/>
      <c r="K127" s="254"/>
      <c r="L127" s="254"/>
      <c r="M127" s="254"/>
      <c r="N127" s="254"/>
      <c r="O127" s="254"/>
      <c r="P127" s="254"/>
      <c r="Q127" s="254"/>
      <c r="R127" s="254"/>
      <c r="S127" s="254"/>
      <c r="T127" s="254"/>
      <c r="U127" s="254"/>
      <c r="V127" s="254"/>
      <c r="W127" s="254"/>
      <c r="X127" s="254"/>
      <c r="Y127" s="200"/>
      <c r="Z127" s="254"/>
      <c r="AA127" s="254"/>
      <c r="AB127" s="254"/>
      <c r="AC127" s="200"/>
      <c r="AD127" s="254"/>
      <c r="AE127" s="254"/>
      <c r="AF127" s="574"/>
      <c r="AG127" s="754"/>
      <c r="AH127" s="756"/>
      <c r="AI127" s="756"/>
      <c r="AJ127" s="756"/>
      <c r="AK127" s="756"/>
      <c r="AL127" s="756"/>
      <c r="AM127" s="756"/>
      <c r="AN127" s="756"/>
      <c r="AO127" s="783"/>
    </row>
    <row r="128" spans="1:75" s="166" customFormat="1" ht="13.5" customHeight="1" thickBo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74"/>
      <c r="AG128" s="754"/>
      <c r="AH128" s="756"/>
      <c r="AI128" s="756"/>
      <c r="AJ128" s="756"/>
      <c r="AK128" s="756"/>
      <c r="AL128" s="756"/>
      <c r="AM128" s="756"/>
      <c r="AN128" s="756"/>
      <c r="AO128" s="783"/>
    </row>
    <row r="129" spans="1:75" s="166" customFormat="1" ht="13.5" customHeight="1">
      <c r="A129" s="206"/>
      <c r="B129" s="261"/>
      <c r="C129" s="579"/>
      <c r="D129" s="261"/>
      <c r="E129" s="579"/>
      <c r="F129" s="261"/>
      <c r="G129" s="579"/>
      <c r="H129" s="261"/>
      <c r="I129" s="579"/>
      <c r="J129" s="261"/>
      <c r="K129" s="579"/>
      <c r="L129" s="261"/>
      <c r="M129" s="579"/>
      <c r="N129" s="261"/>
      <c r="O129" s="579"/>
      <c r="P129" s="261"/>
      <c r="Q129" s="579"/>
      <c r="R129" s="261"/>
      <c r="S129" s="579"/>
      <c r="T129" s="261"/>
      <c r="U129" s="579"/>
      <c r="V129" s="261"/>
      <c r="W129" s="579"/>
      <c r="X129" s="261"/>
      <c r="Y129" s="579"/>
      <c r="Z129" s="261"/>
      <c r="AA129" s="579"/>
      <c r="AB129" s="261"/>
      <c r="AC129" s="579"/>
      <c r="AD129" s="184"/>
      <c r="AE129" s="579"/>
      <c r="AF129" s="574"/>
      <c r="AG129" s="754"/>
      <c r="AH129" s="756"/>
      <c r="AI129" s="756"/>
      <c r="AJ129" s="756"/>
      <c r="AK129" s="756"/>
      <c r="AL129" s="756"/>
      <c r="AM129" s="756"/>
      <c r="AN129" s="756"/>
      <c r="AO129" s="783"/>
    </row>
    <row r="130" spans="1:75" s="166" customFormat="1" ht="13.5" customHeight="1">
      <c r="A130" s="206"/>
      <c r="B130" s="263"/>
      <c r="C130" s="581">
        <v>428.053</v>
      </c>
      <c r="D130" s="263"/>
      <c r="E130" s="581">
        <v>155.72499999999999</v>
      </c>
      <c r="F130" s="263"/>
      <c r="G130" s="581">
        <v>387</v>
      </c>
      <c r="H130" s="263"/>
      <c r="I130" s="581">
        <v>344</v>
      </c>
      <c r="J130" s="263"/>
      <c r="K130" s="581">
        <v>384</v>
      </c>
      <c r="L130" s="263"/>
      <c r="M130" s="581">
        <v>391</v>
      </c>
      <c r="N130" s="263"/>
      <c r="O130" s="581">
        <v>426</v>
      </c>
      <c r="P130" s="263"/>
      <c r="Q130" s="581">
        <v>328.995</v>
      </c>
      <c r="R130" s="263"/>
      <c r="S130" s="581">
        <v>428.03899999999999</v>
      </c>
      <c r="T130" s="263"/>
      <c r="U130" s="581">
        <v>314</v>
      </c>
      <c r="V130" s="263"/>
      <c r="W130" s="581">
        <v>365.78</v>
      </c>
      <c r="X130" s="262"/>
      <c r="Y130" s="581">
        <v>407</v>
      </c>
      <c r="Z130" s="263" t="s">
        <v>550</v>
      </c>
      <c r="AA130" s="581">
        <v>276</v>
      </c>
      <c r="AB130" s="263" t="s">
        <v>550</v>
      </c>
      <c r="AC130" s="581">
        <v>410</v>
      </c>
      <c r="AD130" s="187"/>
      <c r="AE130" s="581">
        <v>418</v>
      </c>
      <c r="AF130" s="574"/>
      <c r="AG130" s="754"/>
      <c r="AH130" s="756"/>
      <c r="AI130" s="756"/>
      <c r="AJ130" s="756"/>
      <c r="AK130" s="756"/>
      <c r="AL130" s="756"/>
      <c r="AM130" s="756"/>
      <c r="AN130" s="756"/>
      <c r="AO130" s="783"/>
      <c r="BV130" s="500">
        <v>1</v>
      </c>
      <c r="BW130" s="500">
        <v>0</v>
      </c>
    </row>
    <row r="131" spans="1:75" s="166" customFormat="1" ht="13.5" customHeight="1" thickBot="1">
      <c r="A131" s="206"/>
      <c r="B131" s="264"/>
      <c r="C131" s="200"/>
      <c r="D131" s="264"/>
      <c r="E131" s="200"/>
      <c r="F131" s="264"/>
      <c r="G131" s="200"/>
      <c r="H131" s="264"/>
      <c r="I131" s="200"/>
      <c r="J131" s="264"/>
      <c r="K131" s="200"/>
      <c r="L131" s="264"/>
      <c r="M131" s="200"/>
      <c r="N131" s="264"/>
      <c r="O131" s="200"/>
      <c r="P131" s="264"/>
      <c r="Q131" s="200"/>
      <c r="R131" s="264"/>
      <c r="S131" s="200"/>
      <c r="T131" s="264"/>
      <c r="U131" s="200"/>
      <c r="V131" s="264"/>
      <c r="W131" s="200"/>
      <c r="X131" s="264"/>
      <c r="Y131" s="200"/>
      <c r="Z131" s="264"/>
      <c r="AA131" s="200"/>
      <c r="AB131" s="264"/>
      <c r="AC131" s="200"/>
      <c r="AD131" s="189"/>
      <c r="AE131" s="200"/>
      <c r="AF131" s="574"/>
      <c r="AG131" s="754"/>
      <c r="AH131" s="756"/>
      <c r="AI131" s="756"/>
      <c r="AJ131" s="756"/>
      <c r="AK131" s="756"/>
      <c r="AL131" s="756"/>
      <c r="AM131" s="756"/>
      <c r="AN131" s="756"/>
      <c r="AO131" s="783"/>
    </row>
    <row r="132" spans="1:75" s="166" customFormat="1" ht="14.15" customHeight="1">
      <c r="A132" s="206"/>
      <c r="B132" s="254" t="s">
        <v>350</v>
      </c>
      <c r="C132" s="254"/>
      <c r="D132" s="254" t="s">
        <v>305</v>
      </c>
      <c r="E132" s="254"/>
      <c r="F132" s="254" t="s">
        <v>305</v>
      </c>
      <c r="G132" s="254"/>
      <c r="H132" s="254" t="s">
        <v>396</v>
      </c>
      <c r="I132" s="254"/>
      <c r="J132" s="254" t="s">
        <v>350</v>
      </c>
      <c r="K132" s="254"/>
      <c r="L132" s="254" t="s">
        <v>350</v>
      </c>
      <c r="M132" s="254"/>
      <c r="N132" s="254" t="s">
        <v>350</v>
      </c>
      <c r="O132" s="254"/>
      <c r="P132" s="254" t="s">
        <v>322</v>
      </c>
      <c r="Q132" s="254"/>
      <c r="R132" s="254" t="s">
        <v>561</v>
      </c>
      <c r="S132" s="254"/>
      <c r="T132" s="254" t="s">
        <v>302</v>
      </c>
      <c r="U132" s="254"/>
      <c r="V132" s="254" t="s">
        <v>350</v>
      </c>
      <c r="W132" s="254"/>
      <c r="X132" s="254" t="s">
        <v>396</v>
      </c>
      <c r="Y132" s="254"/>
      <c r="Z132" s="254" t="s">
        <v>305</v>
      </c>
      <c r="AA132" s="254"/>
      <c r="AB132" s="254" t="s">
        <v>560</v>
      </c>
      <c r="AC132" s="254"/>
      <c r="AD132" s="254" t="s">
        <v>357</v>
      </c>
      <c r="AE132" s="254"/>
      <c r="AF132" s="574"/>
      <c r="AG132" s="754"/>
      <c r="AH132" s="756"/>
      <c r="AI132" s="756"/>
      <c r="AJ132" s="756"/>
      <c r="AK132" s="756"/>
      <c r="AL132" s="756"/>
      <c r="AM132" s="756"/>
      <c r="AN132" s="756"/>
      <c r="AO132" s="783"/>
    </row>
    <row r="133" spans="1:75" s="166" customFormat="1" ht="14.15" customHeight="1">
      <c r="A133" s="206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54"/>
      <c r="N133" s="200"/>
      <c r="O133" s="254"/>
      <c r="P133" s="200"/>
      <c r="Q133" s="254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574"/>
      <c r="AG133" s="755"/>
      <c r="AH133" s="757"/>
      <c r="AI133" s="757"/>
      <c r="AJ133" s="757"/>
      <c r="AK133" s="757"/>
      <c r="AL133" s="757"/>
      <c r="AM133" s="757"/>
      <c r="AN133" s="757"/>
      <c r="AO133" s="785"/>
    </row>
    <row r="134" spans="1:75" s="166" customFormat="1" ht="13.5" customHeight="1">
      <c r="A134" s="206"/>
      <c r="B134" s="200"/>
      <c r="C134" s="200"/>
      <c r="D134" s="200"/>
      <c r="E134" s="584" t="s">
        <v>1133</v>
      </c>
      <c r="F134" s="200"/>
      <c r="G134" s="584" t="s">
        <v>1134</v>
      </c>
      <c r="H134" s="200"/>
      <c r="I134" s="584" t="s">
        <v>1135</v>
      </c>
      <c r="J134" s="200"/>
      <c r="K134" s="200"/>
      <c r="L134" s="200"/>
      <c r="M134" s="200"/>
      <c r="N134" s="200"/>
      <c r="O134" s="584" t="s">
        <v>1135</v>
      </c>
      <c r="P134" s="200"/>
      <c r="Q134" s="604" t="s">
        <v>1115</v>
      </c>
      <c r="R134" s="200"/>
      <c r="S134" s="584" t="s">
        <v>1137</v>
      </c>
      <c r="T134" s="200"/>
      <c r="U134" s="200"/>
      <c r="V134" s="200"/>
      <c r="W134" s="584" t="s">
        <v>1137</v>
      </c>
      <c r="X134" s="200"/>
      <c r="Y134" s="200"/>
      <c r="Z134" s="200"/>
      <c r="AA134" s="604" t="s">
        <v>1112</v>
      </c>
      <c r="AB134" s="200"/>
      <c r="AC134" s="200"/>
      <c r="AD134" s="200"/>
      <c r="AE134" s="584" t="s">
        <v>1126</v>
      </c>
      <c r="AF134" s="574"/>
      <c r="AG134" s="197">
        <v>10</v>
      </c>
      <c r="AH134" s="156">
        <v>7</v>
      </c>
      <c r="AI134" s="156">
        <f>AG134-AH134</f>
        <v>3</v>
      </c>
      <c r="AJ134" s="156">
        <f>COUNTA($B$125:$I$125)</f>
        <v>4</v>
      </c>
      <c r="AK134" s="156">
        <v>6</v>
      </c>
      <c r="AL134" s="156">
        <v>5</v>
      </c>
      <c r="AM134" s="156"/>
      <c r="AN134" s="156"/>
      <c r="AO134" s="190"/>
    </row>
    <row r="135" spans="1:75" s="166" customFormat="1" ht="13.5" customHeight="1">
      <c r="A135" s="206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584" t="s">
        <v>1136</v>
      </c>
      <c r="R135" s="200"/>
      <c r="S135" s="200"/>
      <c r="T135" s="200"/>
      <c r="U135" s="200"/>
      <c r="V135" s="200"/>
      <c r="W135" s="200"/>
      <c r="X135" s="200"/>
      <c r="Y135" s="200"/>
      <c r="Z135" s="200"/>
      <c r="AA135" s="584" t="s">
        <v>1136</v>
      </c>
      <c r="AB135" s="200"/>
      <c r="AC135" s="200"/>
      <c r="AD135" s="200"/>
      <c r="AE135" s="200"/>
      <c r="AF135" s="605"/>
      <c r="AG135" s="197">
        <v>10</v>
      </c>
      <c r="AH135" s="156">
        <v>3</v>
      </c>
      <c r="AI135" s="156">
        <f>AG135-AH135</f>
        <v>7</v>
      </c>
      <c r="AJ135" s="156">
        <f>COUNTA($F$125:$V$125)</f>
        <v>9</v>
      </c>
      <c r="AK135" s="156"/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605"/>
      <c r="AG136" s="320"/>
      <c r="AH136" s="321"/>
      <c r="AI136" s="321"/>
      <c r="AJ136" s="321"/>
      <c r="AK136" s="321"/>
      <c r="AL136" s="321"/>
      <c r="AM136" s="321"/>
      <c r="AN136" s="321"/>
      <c r="AO136" s="322"/>
    </row>
    <row r="137" spans="1:75" s="166" customFormat="1" ht="13.5" customHeight="1">
      <c r="A137" s="206"/>
      <c r="B137" s="200">
        <v>151</v>
      </c>
      <c r="C137" s="200"/>
      <c r="D137" s="200">
        <v>152</v>
      </c>
      <c r="E137" s="200"/>
      <c r="F137" s="200">
        <v>153</v>
      </c>
      <c r="G137" s="200"/>
      <c r="H137" s="200">
        <v>154</v>
      </c>
      <c r="I137" s="200"/>
      <c r="J137" s="200">
        <v>155</v>
      </c>
      <c r="K137" s="200"/>
      <c r="L137" s="200">
        <v>156</v>
      </c>
      <c r="M137" s="200"/>
      <c r="N137" s="200">
        <v>157</v>
      </c>
      <c r="O137" s="200"/>
      <c r="P137" s="200">
        <v>158</v>
      </c>
      <c r="Q137" s="200"/>
      <c r="R137" s="200">
        <v>159</v>
      </c>
      <c r="S137" s="200"/>
      <c r="T137" s="200">
        <v>160</v>
      </c>
      <c r="U137" s="200"/>
      <c r="V137" s="200">
        <v>161</v>
      </c>
      <c r="W137" s="200"/>
      <c r="X137" s="200">
        <v>162</v>
      </c>
      <c r="Y137" s="200"/>
      <c r="Z137" s="200">
        <v>163</v>
      </c>
      <c r="AA137" s="200"/>
      <c r="AB137" s="200">
        <v>164</v>
      </c>
      <c r="AC137" s="200"/>
      <c r="AD137" s="200">
        <v>165</v>
      </c>
      <c r="AE137" s="200"/>
      <c r="AF137" s="574"/>
      <c r="AG137" s="320"/>
      <c r="AH137" s="321"/>
      <c r="AI137" s="321"/>
      <c r="AJ137" s="321"/>
      <c r="AK137" s="321"/>
      <c r="AL137" s="321"/>
      <c r="AM137" s="321"/>
      <c r="AN137" s="322"/>
    </row>
    <row r="138" spans="1:75" s="166" customFormat="1" ht="13.5" customHeight="1">
      <c r="A138" s="206"/>
      <c r="B138" s="254" t="s">
        <v>438</v>
      </c>
      <c r="C138" s="254"/>
      <c r="D138" s="254" t="s">
        <v>441</v>
      </c>
      <c r="E138" s="254"/>
      <c r="F138" s="254" t="s">
        <v>443</v>
      </c>
      <c r="G138" s="254"/>
      <c r="H138" s="254" t="s">
        <v>603</v>
      </c>
      <c r="I138" s="254"/>
      <c r="J138" s="254" t="s">
        <v>604</v>
      </c>
      <c r="K138" s="254"/>
      <c r="L138" s="254" t="s">
        <v>605</v>
      </c>
      <c r="M138" s="254"/>
      <c r="N138" s="254" t="s">
        <v>606</v>
      </c>
      <c r="O138" s="254"/>
      <c r="P138" s="254" t="s">
        <v>607</v>
      </c>
      <c r="Q138" s="254"/>
      <c r="R138" s="254" t="s">
        <v>608</v>
      </c>
      <c r="S138" s="254"/>
      <c r="T138" s="254" t="s">
        <v>609</v>
      </c>
      <c r="U138" s="254"/>
      <c r="V138" s="254" t="s">
        <v>610</v>
      </c>
      <c r="W138" s="254"/>
      <c r="X138" s="254" t="s">
        <v>611</v>
      </c>
      <c r="Y138" s="254"/>
      <c r="Z138" s="254" t="s">
        <v>612</v>
      </c>
      <c r="AA138" s="254"/>
      <c r="AB138" s="304" t="s">
        <v>745</v>
      </c>
      <c r="AC138" s="254"/>
      <c r="AD138" s="304" t="s">
        <v>142</v>
      </c>
      <c r="AE138" s="254"/>
      <c r="AF138" s="57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57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54"/>
      <c r="C140" s="254"/>
      <c r="D140" s="254"/>
      <c r="E140" s="254"/>
      <c r="F140" s="254"/>
      <c r="G140" s="254"/>
      <c r="H140" s="254"/>
      <c r="I140" s="254"/>
      <c r="J140" s="254"/>
      <c r="K140" s="254"/>
      <c r="L140" s="254"/>
      <c r="M140" s="254"/>
      <c r="N140" s="254"/>
      <c r="O140" s="254"/>
      <c r="P140" s="254"/>
      <c r="Q140" s="254"/>
      <c r="R140" s="254"/>
      <c r="S140" s="200"/>
      <c r="T140" s="254"/>
      <c r="U140" s="254"/>
      <c r="V140" s="254"/>
      <c r="W140" s="254"/>
      <c r="X140" s="254"/>
      <c r="Y140" s="254"/>
      <c r="Z140" s="254"/>
      <c r="AA140" s="254"/>
      <c r="AB140" s="254"/>
      <c r="AC140" s="254"/>
      <c r="AD140" s="254"/>
      <c r="AE140" s="254"/>
      <c r="AF140" s="57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 thickBo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7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>
      <c r="A142" s="206"/>
      <c r="B142" s="184"/>
      <c r="C142" s="579"/>
      <c r="D142" s="184"/>
      <c r="E142" s="579"/>
      <c r="F142" s="184"/>
      <c r="G142" s="579"/>
      <c r="H142" s="261"/>
      <c r="I142" s="579"/>
      <c r="J142" s="261"/>
      <c r="K142" s="579"/>
      <c r="L142" s="261"/>
      <c r="M142" s="579"/>
      <c r="N142" s="261"/>
      <c r="O142" s="579"/>
      <c r="P142" s="261"/>
      <c r="Q142" s="579"/>
      <c r="R142" s="261"/>
      <c r="S142" s="579"/>
      <c r="T142" s="261"/>
      <c r="U142" s="579"/>
      <c r="V142" s="261"/>
      <c r="W142" s="579"/>
      <c r="X142" s="261"/>
      <c r="Y142" s="579"/>
      <c r="Z142" s="261"/>
      <c r="AA142" s="579"/>
      <c r="AB142" s="261"/>
      <c r="AC142" s="579"/>
      <c r="AD142" s="261"/>
      <c r="AE142" s="579"/>
      <c r="AF142" s="580"/>
      <c r="AG142" s="320"/>
      <c r="AH142" s="321"/>
      <c r="AI142" s="321"/>
      <c r="AJ142" s="321"/>
      <c r="AK142" s="321"/>
      <c r="AL142" s="321"/>
      <c r="AM142" s="321"/>
      <c r="AN142" s="322"/>
      <c r="BV142" s="500">
        <v>3</v>
      </c>
      <c r="BW142" s="500">
        <v>0</v>
      </c>
    </row>
    <row r="143" spans="1:75" s="166" customFormat="1" ht="13.5" customHeight="1">
      <c r="A143" s="206"/>
      <c r="B143" s="187"/>
      <c r="C143" s="581">
        <v>383</v>
      </c>
      <c r="D143" s="187"/>
      <c r="E143" s="581">
        <v>409</v>
      </c>
      <c r="F143" s="187"/>
      <c r="G143" s="581">
        <v>420</v>
      </c>
      <c r="H143" s="263"/>
      <c r="I143" s="581">
        <v>414</v>
      </c>
      <c r="J143" s="263"/>
      <c r="K143" s="581">
        <v>406</v>
      </c>
      <c r="L143" s="263"/>
      <c r="M143" s="581">
        <v>403.13900000000001</v>
      </c>
      <c r="N143" s="263"/>
      <c r="O143" s="581">
        <v>381.59</v>
      </c>
      <c r="P143" s="263"/>
      <c r="Q143" s="606">
        <v>357.99599999999998</v>
      </c>
      <c r="R143" s="263"/>
      <c r="S143" s="581">
        <v>365</v>
      </c>
      <c r="T143" s="263"/>
      <c r="U143" s="581">
        <v>378</v>
      </c>
      <c r="V143" s="263"/>
      <c r="W143" s="606">
        <v>370</v>
      </c>
      <c r="X143" s="262"/>
      <c r="Y143" s="581">
        <v>437.53399999999999</v>
      </c>
      <c r="Z143" s="263"/>
      <c r="AA143" s="581"/>
      <c r="AB143" s="263"/>
      <c r="AC143" s="581">
        <v>411</v>
      </c>
      <c r="AD143" s="263"/>
      <c r="AE143" s="606">
        <v>345</v>
      </c>
      <c r="AF143" s="574"/>
      <c r="AG143" s="320"/>
      <c r="AH143" s="321"/>
      <c r="AI143" s="321"/>
      <c r="AJ143" s="321"/>
      <c r="AK143" s="321"/>
      <c r="AL143" s="321"/>
      <c r="AM143" s="321"/>
      <c r="AN143" s="322"/>
    </row>
    <row r="144" spans="1:75" s="166" customFormat="1" ht="13.5" customHeight="1" thickBot="1">
      <c r="A144" s="206"/>
      <c r="B144" s="189"/>
      <c r="C144" s="200"/>
      <c r="D144" s="189"/>
      <c r="E144" s="200"/>
      <c r="F144" s="189"/>
      <c r="G144" s="200"/>
      <c r="H144" s="264"/>
      <c r="I144" s="200"/>
      <c r="J144" s="264"/>
      <c r="K144" s="200"/>
      <c r="L144" s="264"/>
      <c r="M144" s="200"/>
      <c r="N144" s="264"/>
      <c r="O144" s="200"/>
      <c r="P144" s="264"/>
      <c r="Q144" s="254"/>
      <c r="R144" s="264"/>
      <c r="S144" s="200"/>
      <c r="T144" s="264"/>
      <c r="U144" s="200"/>
      <c r="V144" s="264"/>
      <c r="W144" s="254"/>
      <c r="X144" s="264"/>
      <c r="Y144" s="200"/>
      <c r="Z144" s="264"/>
      <c r="AA144" s="200"/>
      <c r="AB144" s="264"/>
      <c r="AC144" s="200"/>
      <c r="AD144" s="264"/>
      <c r="AE144" s="254"/>
      <c r="AF144" s="57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4.15" customHeight="1">
      <c r="A145" s="206"/>
      <c r="B145" s="254" t="s">
        <v>350</v>
      </c>
      <c r="C145" s="254"/>
      <c r="D145" s="254" t="s">
        <v>350</v>
      </c>
      <c r="E145" s="254"/>
      <c r="F145" s="254" t="s">
        <v>357</v>
      </c>
      <c r="G145" s="254"/>
      <c r="H145" s="254" t="s">
        <v>350</v>
      </c>
      <c r="I145" s="254"/>
      <c r="J145" s="254" t="s">
        <v>357</v>
      </c>
      <c r="K145" s="254"/>
      <c r="L145" s="254" t="s">
        <v>302</v>
      </c>
      <c r="M145" s="254"/>
      <c r="N145" s="254" t="s">
        <v>591</v>
      </c>
      <c r="O145" s="254"/>
      <c r="P145" s="254" t="s">
        <v>298</v>
      </c>
      <c r="Q145" s="254"/>
      <c r="R145" s="254" t="s">
        <v>396</v>
      </c>
      <c r="S145" s="254"/>
      <c r="T145" s="254" t="s">
        <v>350</v>
      </c>
      <c r="U145" s="254"/>
      <c r="V145" s="254" t="s">
        <v>350</v>
      </c>
      <c r="W145" s="254"/>
      <c r="X145" s="254" t="s">
        <v>350</v>
      </c>
      <c r="Y145" s="200"/>
      <c r="Z145" s="254" t="s">
        <v>389</v>
      </c>
      <c r="AA145" s="254"/>
      <c r="AB145" s="254" t="s">
        <v>324</v>
      </c>
      <c r="AC145" s="254"/>
      <c r="AD145" s="254" t="s">
        <v>918</v>
      </c>
      <c r="AE145" s="254"/>
      <c r="AF145" s="57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7" customFormat="1" ht="13.4" customHeight="1">
      <c r="A146" s="206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604" t="s">
        <v>1115</v>
      </c>
      <c r="Q146" s="200"/>
      <c r="R146" s="200"/>
      <c r="S146" s="200"/>
      <c r="T146" s="200"/>
      <c r="U146" s="604" t="s">
        <v>1138</v>
      </c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574"/>
    </row>
    <row r="147" spans="1:40" s="167" customFormat="1" ht="13.4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584" t="s">
        <v>1134</v>
      </c>
      <c r="L147" s="200"/>
      <c r="M147" s="200"/>
      <c r="N147" s="200"/>
      <c r="O147" s="603" t="s">
        <v>1017</v>
      </c>
      <c r="P147" s="200"/>
      <c r="Q147" s="200"/>
      <c r="R147" s="200"/>
      <c r="S147" s="200"/>
      <c r="T147" s="200"/>
      <c r="U147" s="603" t="s">
        <v>1115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74"/>
    </row>
    <row r="148" spans="1:40" s="167" customFormat="1" ht="13.4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584"/>
      <c r="L148" s="200"/>
      <c r="M148" s="200"/>
      <c r="N148" s="200"/>
      <c r="O148" s="603"/>
      <c r="P148" s="200"/>
      <c r="Q148" s="200"/>
      <c r="R148" s="200"/>
      <c r="S148" s="200"/>
      <c r="T148" s="200"/>
      <c r="U148" s="603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74"/>
    </row>
    <row r="149" spans="1:40" s="167" customFormat="1" ht="13.4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74"/>
    </row>
    <row r="150" spans="1:40" s="167" customFormat="1" ht="13.4" customHeight="1">
      <c r="A150" s="206"/>
      <c r="B150" s="200">
        <v>166</v>
      </c>
      <c r="C150" s="200"/>
      <c r="D150" s="200">
        <v>167</v>
      </c>
      <c r="E150" s="200"/>
      <c r="F150" s="200">
        <v>168</v>
      </c>
      <c r="G150" s="200"/>
      <c r="H150" s="200">
        <v>169</v>
      </c>
      <c r="I150" s="200"/>
      <c r="J150" s="200">
        <v>170</v>
      </c>
      <c r="K150" s="200"/>
      <c r="L150" s="200">
        <v>171</v>
      </c>
      <c r="M150" s="200"/>
      <c r="N150" s="200">
        <v>172</v>
      </c>
      <c r="O150" s="200"/>
      <c r="P150" s="200">
        <v>173</v>
      </c>
      <c r="Q150" s="200"/>
      <c r="R150" s="200">
        <v>174</v>
      </c>
      <c r="S150" s="200"/>
      <c r="T150" s="200">
        <v>175</v>
      </c>
      <c r="U150" s="200"/>
      <c r="V150" s="200">
        <v>176</v>
      </c>
      <c r="W150" s="200"/>
      <c r="X150" s="200">
        <v>177</v>
      </c>
      <c r="Y150" s="200"/>
      <c r="Z150" s="200">
        <v>178</v>
      </c>
      <c r="AA150" s="200"/>
      <c r="AB150" s="200">
        <v>179</v>
      </c>
      <c r="AC150" s="200"/>
      <c r="AD150" s="200">
        <v>180</v>
      </c>
      <c r="AE150" s="200"/>
      <c r="AF150" s="574"/>
    </row>
    <row r="151" spans="1:40" s="167" customFormat="1" ht="13.4" customHeight="1">
      <c r="A151" s="206"/>
      <c r="B151" s="304" t="s">
        <v>143</v>
      </c>
      <c r="C151" s="200"/>
      <c r="D151" s="304" t="s">
        <v>1139</v>
      </c>
      <c r="E151" s="254"/>
      <c r="F151" s="304" t="s">
        <v>1140</v>
      </c>
      <c r="G151" s="254"/>
      <c r="H151" s="304" t="s">
        <v>1141</v>
      </c>
      <c r="I151" s="254"/>
      <c r="J151" s="304" t="s">
        <v>1142</v>
      </c>
      <c r="K151" s="254"/>
      <c r="L151" s="304" t="s">
        <v>1143</v>
      </c>
      <c r="M151" s="254"/>
      <c r="N151" s="304" t="s">
        <v>1144</v>
      </c>
      <c r="O151" s="254"/>
      <c r="P151" s="304" t="s">
        <v>1145</v>
      </c>
      <c r="Q151" s="254"/>
      <c r="R151" s="304" t="s">
        <v>1146</v>
      </c>
      <c r="S151" s="254"/>
      <c r="T151" s="304" t="s">
        <v>1147</v>
      </c>
      <c r="U151" s="254"/>
      <c r="V151" s="304" t="s">
        <v>1148</v>
      </c>
      <c r="W151" s="254"/>
      <c r="X151" s="304" t="s">
        <v>1149</v>
      </c>
      <c r="Y151" s="254"/>
      <c r="Z151" s="304" t="s">
        <v>1150</v>
      </c>
      <c r="AA151" s="254"/>
      <c r="AB151" s="304" t="s">
        <v>1151</v>
      </c>
      <c r="AC151" s="254"/>
      <c r="AD151" s="304" t="s">
        <v>1152</v>
      </c>
      <c r="AE151" s="254"/>
      <c r="AF151" s="574"/>
    </row>
    <row r="152" spans="1:40" s="167" customFormat="1" ht="13.4" customHeight="1">
      <c r="A152" s="206"/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574"/>
    </row>
    <row r="153" spans="1:40" s="167" customFormat="1" ht="13.4" customHeight="1">
      <c r="A153" s="206"/>
      <c r="B153" s="254"/>
      <c r="C153" s="200"/>
      <c r="D153" s="254"/>
      <c r="E153" s="254"/>
      <c r="F153" s="254"/>
      <c r="G153" s="200"/>
      <c r="H153" s="254"/>
      <c r="I153" s="254"/>
      <c r="J153" s="254"/>
      <c r="K153" s="254"/>
      <c r="L153" s="254"/>
      <c r="M153" s="254"/>
      <c r="N153" s="254"/>
      <c r="O153" s="254"/>
      <c r="P153" s="254"/>
      <c r="Q153" s="254"/>
      <c r="R153" s="254"/>
      <c r="S153" s="254"/>
      <c r="T153" s="254"/>
      <c r="U153" s="254"/>
      <c r="V153" s="254"/>
      <c r="W153" s="254"/>
      <c r="X153" s="254"/>
      <c r="Y153" s="254"/>
      <c r="Z153" s="254"/>
      <c r="AA153" s="200"/>
      <c r="AB153" s="254"/>
      <c r="AC153" s="254"/>
      <c r="AD153" s="254"/>
      <c r="AE153" s="254"/>
      <c r="AF153" s="574"/>
    </row>
    <row r="154" spans="1:40" s="167" customFormat="1" ht="13.4" customHeight="1" thickBo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74"/>
    </row>
    <row r="155" spans="1:40" s="167" customFormat="1" ht="13.4" customHeight="1">
      <c r="A155" s="206"/>
      <c r="B155" s="261"/>
      <c r="C155" s="579"/>
      <c r="D155" s="261"/>
      <c r="E155" s="579"/>
      <c r="F155" s="261"/>
      <c r="G155" s="579"/>
      <c r="H155" s="261"/>
      <c r="I155" s="579"/>
      <c r="J155" s="261"/>
      <c r="K155" s="579"/>
      <c r="L155" s="261"/>
      <c r="M155" s="579"/>
      <c r="N155" s="261"/>
      <c r="O155" s="579"/>
      <c r="P155" s="261"/>
      <c r="Q155" s="579"/>
      <c r="R155" s="261"/>
      <c r="S155" s="579"/>
      <c r="T155" s="261"/>
      <c r="U155" s="579"/>
      <c r="V155" s="261"/>
      <c r="W155" s="579"/>
      <c r="X155" s="261"/>
      <c r="Y155" s="579"/>
      <c r="Z155" s="261"/>
      <c r="AA155" s="579"/>
      <c r="AB155" s="261"/>
      <c r="AC155" s="579"/>
      <c r="AD155" s="261"/>
      <c r="AE155" s="579"/>
      <c r="AF155" s="580"/>
    </row>
    <row r="156" spans="1:40" s="167" customFormat="1" ht="13.4" customHeight="1">
      <c r="A156" s="206"/>
      <c r="B156" s="262"/>
      <c r="C156" s="581">
        <v>225.81</v>
      </c>
      <c r="D156" s="263" t="s">
        <v>550</v>
      </c>
      <c r="E156" s="581">
        <v>451</v>
      </c>
      <c r="F156" s="263" t="s">
        <v>550</v>
      </c>
      <c r="G156" s="581">
        <v>385</v>
      </c>
      <c r="H156" s="263"/>
      <c r="I156" s="581">
        <v>429</v>
      </c>
      <c r="J156" s="263"/>
      <c r="K156" s="581">
        <v>408</v>
      </c>
      <c r="L156" s="263" t="s">
        <v>550</v>
      </c>
      <c r="M156" s="581">
        <v>407</v>
      </c>
      <c r="N156" s="263" t="s">
        <v>550</v>
      </c>
      <c r="O156" s="581">
        <v>434</v>
      </c>
      <c r="P156" s="263"/>
      <c r="Q156" s="581">
        <v>401</v>
      </c>
      <c r="R156" s="263"/>
      <c r="S156" s="581">
        <v>296</v>
      </c>
      <c r="T156" s="263"/>
      <c r="U156" s="581">
        <v>677</v>
      </c>
      <c r="V156" s="263"/>
      <c r="W156" s="581">
        <v>642</v>
      </c>
      <c r="X156" s="263"/>
      <c r="Y156" s="606">
        <v>414</v>
      </c>
      <c r="Z156" s="263"/>
      <c r="AA156" s="581">
        <v>446</v>
      </c>
      <c r="AB156" s="263"/>
      <c r="AC156" s="581">
        <v>411</v>
      </c>
      <c r="AD156" s="263"/>
      <c r="AE156" s="606">
        <v>345</v>
      </c>
      <c r="AF156" s="574"/>
    </row>
    <row r="157" spans="1:40" s="167" customFormat="1" ht="13.4" customHeight="1" thickBot="1">
      <c r="A157" s="206"/>
      <c r="B157" s="264"/>
      <c r="C157" s="200"/>
      <c r="D157" s="264"/>
      <c r="E157" s="200"/>
      <c r="F157" s="264"/>
      <c r="G157" s="200"/>
      <c r="H157" s="264"/>
      <c r="I157" s="200"/>
      <c r="J157" s="264"/>
      <c r="K157" s="200"/>
      <c r="L157" s="264"/>
      <c r="M157" s="200"/>
      <c r="N157" s="264"/>
      <c r="O157" s="200"/>
      <c r="P157" s="264"/>
      <c r="Q157" s="200"/>
      <c r="R157" s="264"/>
      <c r="S157" s="200"/>
      <c r="T157" s="264"/>
      <c r="U157" s="200"/>
      <c r="V157" s="264"/>
      <c r="W157" s="200"/>
      <c r="X157" s="264"/>
      <c r="Y157" s="254"/>
      <c r="Z157" s="264"/>
      <c r="AA157" s="200"/>
      <c r="AB157" s="264"/>
      <c r="AC157" s="200"/>
      <c r="AD157" s="264"/>
      <c r="AE157" s="254"/>
      <c r="AF157" s="574"/>
    </row>
    <row r="158" spans="1:40" s="167" customFormat="1" ht="13.4" customHeight="1">
      <c r="A158" s="206"/>
      <c r="B158" s="254" t="s">
        <v>393</v>
      </c>
      <c r="C158" s="254"/>
      <c r="D158" s="254" t="s">
        <v>918</v>
      </c>
      <c r="E158" s="254"/>
      <c r="F158" s="254" t="s">
        <v>396</v>
      </c>
      <c r="G158" s="254"/>
      <c r="H158" s="254" t="s">
        <v>357</v>
      </c>
      <c r="I158" s="254"/>
      <c r="J158" s="254" t="s">
        <v>350</v>
      </c>
      <c r="K158" s="254"/>
      <c r="L158" s="254" t="s">
        <v>357</v>
      </c>
      <c r="M158" s="254"/>
      <c r="N158" s="254" t="s">
        <v>399</v>
      </c>
      <c r="O158" s="254"/>
      <c r="P158" s="254" t="s">
        <v>357</v>
      </c>
      <c r="Q158" s="254"/>
      <c r="R158" s="254" t="s">
        <v>335</v>
      </c>
      <c r="S158" s="254"/>
      <c r="T158" s="254" t="s">
        <v>350</v>
      </c>
      <c r="U158" s="254"/>
      <c r="V158" s="254" t="s">
        <v>396</v>
      </c>
      <c r="W158" s="254"/>
      <c r="X158" s="254" t="s">
        <v>396</v>
      </c>
      <c r="Y158" s="254" t="s">
        <v>67</v>
      </c>
      <c r="Z158" s="254" t="s">
        <v>396</v>
      </c>
      <c r="AA158" s="254"/>
      <c r="AB158" s="254" t="s">
        <v>396</v>
      </c>
      <c r="AC158" s="254"/>
      <c r="AD158" s="254" t="s">
        <v>357</v>
      </c>
      <c r="AE158" s="254"/>
      <c r="AF158" s="574"/>
    </row>
    <row r="159" spans="1:40" s="167" customFormat="1" ht="13.4" customHeight="1">
      <c r="A159" s="206"/>
      <c r="B159" s="254"/>
      <c r="C159" s="254"/>
      <c r="D159" s="254"/>
      <c r="E159" s="254"/>
      <c r="F159" s="254"/>
      <c r="G159" s="254"/>
      <c r="H159" s="254"/>
      <c r="I159" s="254"/>
      <c r="J159" s="254"/>
      <c r="K159" s="254"/>
      <c r="L159" s="254"/>
      <c r="M159" s="254"/>
      <c r="N159" s="254"/>
      <c r="O159" s="254"/>
      <c r="P159" s="254"/>
      <c r="Q159" s="254"/>
      <c r="R159" s="254"/>
      <c r="S159" s="254"/>
      <c r="T159" s="254"/>
      <c r="U159" s="254"/>
      <c r="V159" s="254"/>
      <c r="W159" s="254"/>
      <c r="X159" s="254"/>
      <c r="Y159" s="254"/>
      <c r="Z159" s="254"/>
      <c r="AA159" s="254"/>
      <c r="AB159" s="254"/>
      <c r="AC159" s="254"/>
      <c r="AD159" s="254"/>
      <c r="AE159" s="254"/>
      <c r="AF159" s="574"/>
    </row>
    <row r="160" spans="1:40" s="167" customFormat="1" ht="13.4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74"/>
    </row>
    <row r="161" spans="1:75" s="167" customFormat="1" ht="13.4" customHeight="1">
      <c r="A161" s="206"/>
      <c r="B161" s="200"/>
      <c r="C161" s="200"/>
      <c r="D161" s="200"/>
      <c r="E161" s="200"/>
      <c r="F161" s="200"/>
      <c r="G161" s="200"/>
      <c r="H161" s="200"/>
      <c r="I161" s="200"/>
      <c r="J161" s="200"/>
      <c r="K161" s="584"/>
      <c r="L161" s="200"/>
      <c r="M161" s="200"/>
      <c r="N161" s="200"/>
      <c r="O161" s="603"/>
      <c r="P161" s="200"/>
      <c r="Q161" s="200"/>
      <c r="R161" s="200"/>
      <c r="S161" s="200"/>
      <c r="T161" s="200"/>
      <c r="U161" s="603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574"/>
    </row>
    <row r="162" spans="1:75" s="167" customFormat="1" ht="13.4" customHeight="1">
      <c r="A162" s="206"/>
      <c r="B162" s="200"/>
      <c r="C162" s="200"/>
      <c r="D162" s="200"/>
      <c r="E162" s="200"/>
      <c r="F162" s="200"/>
      <c r="G162" s="200"/>
      <c r="AF162" s="607"/>
    </row>
    <row r="163" spans="1:75" s="167" customFormat="1" ht="13.4" customHeight="1">
      <c r="A163" s="206"/>
      <c r="B163" s="200">
        <v>181</v>
      </c>
      <c r="C163" s="200"/>
      <c r="D163" s="200">
        <v>182</v>
      </c>
      <c r="E163" s="200"/>
      <c r="F163" s="200">
        <v>183</v>
      </c>
      <c r="G163" s="200"/>
      <c r="H163" s="200">
        <v>184</v>
      </c>
      <c r="I163" s="200"/>
      <c r="J163" s="200">
        <v>185</v>
      </c>
      <c r="K163" s="200"/>
      <c r="L163" s="200">
        <v>186</v>
      </c>
      <c r="M163" s="200"/>
      <c r="N163" s="200">
        <v>187</v>
      </c>
      <c r="O163" s="200"/>
      <c r="P163" s="200">
        <v>188</v>
      </c>
      <c r="Q163" s="200"/>
      <c r="R163" s="200">
        <v>189</v>
      </c>
      <c r="S163" s="200"/>
      <c r="T163" s="200">
        <v>190</v>
      </c>
      <c r="U163" s="200"/>
      <c r="V163" s="200">
        <v>191</v>
      </c>
      <c r="W163" s="200"/>
      <c r="X163" s="200">
        <v>192</v>
      </c>
      <c r="Y163" s="200"/>
      <c r="Z163" s="200">
        <v>193</v>
      </c>
      <c r="AA163" s="200"/>
      <c r="AB163" s="200">
        <v>194</v>
      </c>
      <c r="AC163" s="200"/>
      <c r="AD163" s="200">
        <v>195</v>
      </c>
      <c r="AE163" s="200"/>
      <c r="AF163" s="607"/>
    </row>
    <row r="164" spans="1:75" s="167" customFormat="1" ht="13.4" customHeight="1">
      <c r="A164" s="206"/>
      <c r="B164" s="304" t="s">
        <v>686</v>
      </c>
      <c r="C164" s="200"/>
      <c r="D164" s="304" t="s">
        <v>183</v>
      </c>
      <c r="E164" s="254"/>
      <c r="F164" s="304" t="s">
        <v>1153</v>
      </c>
      <c r="G164" s="254"/>
      <c r="H164" s="304" t="s">
        <v>1154</v>
      </c>
      <c r="I164" s="254"/>
      <c r="J164" s="304" t="s">
        <v>1155</v>
      </c>
      <c r="K164" s="254"/>
      <c r="L164" s="304" t="s">
        <v>1156</v>
      </c>
      <c r="M164" s="254"/>
      <c r="N164" s="304" t="s">
        <v>1157</v>
      </c>
      <c r="O164" s="254"/>
      <c r="P164" s="304" t="s">
        <v>753</v>
      </c>
      <c r="Q164" s="254"/>
      <c r="R164" s="304" t="s">
        <v>1037</v>
      </c>
      <c r="S164" s="254"/>
      <c r="T164" s="304" t="s">
        <v>1158</v>
      </c>
      <c r="U164" s="254"/>
      <c r="V164" s="304" t="s">
        <v>1159</v>
      </c>
      <c r="W164" s="254"/>
      <c r="X164" s="304" t="s">
        <v>613</v>
      </c>
      <c r="Y164" s="200"/>
      <c r="Z164" s="304" t="s">
        <v>614</v>
      </c>
      <c r="AA164" s="254"/>
      <c r="AB164" s="304" t="s">
        <v>615</v>
      </c>
      <c r="AC164" s="254"/>
      <c r="AD164" s="304" t="s">
        <v>145</v>
      </c>
      <c r="AE164" s="254"/>
      <c r="AF164" s="607"/>
    </row>
    <row r="165" spans="1:75" s="167" customFormat="1" ht="13.4" customHeight="1">
      <c r="A165" s="206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607"/>
    </row>
    <row r="166" spans="1:75" s="167" customFormat="1" ht="13.4" customHeight="1">
      <c r="A166" s="206"/>
      <c r="B166" s="254"/>
      <c r="C166" s="200"/>
      <c r="D166" s="254"/>
      <c r="E166" s="254"/>
      <c r="F166" s="254"/>
      <c r="G166" s="200"/>
      <c r="H166" s="254"/>
      <c r="I166" s="254"/>
      <c r="J166" s="254"/>
      <c r="K166" s="254"/>
      <c r="L166" s="254"/>
      <c r="M166" s="254"/>
      <c r="N166" s="254"/>
      <c r="O166" s="254"/>
      <c r="P166" s="254"/>
      <c r="Q166" s="254"/>
      <c r="R166" s="254"/>
      <c r="S166" s="254"/>
      <c r="T166" s="254"/>
      <c r="U166" s="254"/>
      <c r="V166" s="254"/>
      <c r="W166" s="254"/>
      <c r="X166" s="254"/>
      <c r="Y166" s="200"/>
      <c r="Z166" s="254"/>
      <c r="AA166" s="254"/>
      <c r="AB166" s="254"/>
      <c r="AC166" s="200"/>
      <c r="AD166" s="254"/>
      <c r="AE166" s="254"/>
      <c r="AF166" s="607"/>
    </row>
    <row r="167" spans="1:75" s="167" customFormat="1" ht="13.4" customHeight="1" thickBo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07"/>
    </row>
    <row r="168" spans="1:75" s="167" customFormat="1" ht="13.4" customHeight="1">
      <c r="A168" s="206"/>
      <c r="B168" s="261"/>
      <c r="C168" s="579"/>
      <c r="D168" s="261"/>
      <c r="E168" s="579"/>
      <c r="F168" s="261"/>
      <c r="G168" s="579"/>
      <c r="H168" s="261"/>
      <c r="I168" s="579"/>
      <c r="J168" s="261"/>
      <c r="K168" s="579"/>
      <c r="L168" s="261"/>
      <c r="M168" s="579"/>
      <c r="N168" s="261"/>
      <c r="O168" s="579"/>
      <c r="P168" s="261"/>
      <c r="Q168" s="579"/>
      <c r="R168" s="261"/>
      <c r="S168" s="579"/>
      <c r="T168" s="261"/>
      <c r="U168" s="579"/>
      <c r="V168" s="261"/>
      <c r="W168" s="579"/>
      <c r="X168" s="261"/>
      <c r="Y168" s="579"/>
      <c r="Z168" s="261"/>
      <c r="AA168" s="579"/>
      <c r="AB168" s="261"/>
      <c r="AC168" s="579"/>
      <c r="AD168" s="261"/>
      <c r="AE168" s="579"/>
      <c r="AF168" s="607"/>
    </row>
    <row r="169" spans="1:75" s="167" customFormat="1" ht="13.4" customHeight="1">
      <c r="A169" s="206"/>
      <c r="B169" s="262"/>
      <c r="C169" s="581">
        <v>225.81</v>
      </c>
      <c r="D169" s="263" t="s">
        <v>550</v>
      </c>
      <c r="E169" s="581">
        <v>451</v>
      </c>
      <c r="F169" s="263" t="s">
        <v>550</v>
      </c>
      <c r="G169" s="581">
        <v>385</v>
      </c>
      <c r="H169" s="263"/>
      <c r="I169" s="581">
        <v>429</v>
      </c>
      <c r="J169" s="263"/>
      <c r="K169" s="581">
        <v>408</v>
      </c>
      <c r="L169" s="263" t="s">
        <v>550</v>
      </c>
      <c r="M169" s="581">
        <v>407</v>
      </c>
      <c r="N169" s="263" t="s">
        <v>550</v>
      </c>
      <c r="O169" s="581">
        <v>434</v>
      </c>
      <c r="P169" s="263"/>
      <c r="Q169" s="581">
        <v>401</v>
      </c>
      <c r="R169" s="263"/>
      <c r="S169" s="581">
        <v>296</v>
      </c>
      <c r="T169" s="263"/>
      <c r="U169" s="581">
        <v>677</v>
      </c>
      <c r="V169" s="263"/>
      <c r="W169" s="581">
        <v>642</v>
      </c>
      <c r="X169" s="262"/>
      <c r="Y169" s="581">
        <v>225.81</v>
      </c>
      <c r="Z169" s="263" t="s">
        <v>550</v>
      </c>
      <c r="AA169" s="581">
        <v>451</v>
      </c>
      <c r="AB169" s="263" t="s">
        <v>550</v>
      </c>
      <c r="AC169" s="581">
        <v>385</v>
      </c>
      <c r="AD169" s="263"/>
      <c r="AE169" s="581">
        <v>429</v>
      </c>
      <c r="AF169" s="607"/>
    </row>
    <row r="170" spans="1:75" s="167" customFormat="1" ht="13.4" customHeight="1" thickBot="1">
      <c r="A170" s="206"/>
      <c r="B170" s="264"/>
      <c r="C170" s="200"/>
      <c r="D170" s="264"/>
      <c r="E170" s="200"/>
      <c r="F170" s="264"/>
      <c r="G170" s="200"/>
      <c r="H170" s="264"/>
      <c r="I170" s="200"/>
      <c r="J170" s="264"/>
      <c r="K170" s="200"/>
      <c r="L170" s="264"/>
      <c r="M170" s="200"/>
      <c r="N170" s="264"/>
      <c r="O170" s="200"/>
      <c r="P170" s="264"/>
      <c r="Q170" s="200"/>
      <c r="R170" s="264"/>
      <c r="S170" s="200"/>
      <c r="T170" s="264"/>
      <c r="U170" s="200"/>
      <c r="V170" s="264"/>
      <c r="W170" s="200"/>
      <c r="X170" s="264"/>
      <c r="Y170" s="200"/>
      <c r="Z170" s="264"/>
      <c r="AA170" s="200"/>
      <c r="AB170" s="264"/>
      <c r="AC170" s="200"/>
      <c r="AD170" s="264"/>
      <c r="AE170" s="200"/>
      <c r="AF170" s="607"/>
    </row>
    <row r="171" spans="1:75" s="167" customFormat="1" ht="13.5" customHeight="1">
      <c r="A171" s="206"/>
      <c r="B171" s="254" t="s">
        <v>335</v>
      </c>
      <c r="C171" s="254"/>
      <c r="D171" s="254" t="s">
        <v>350</v>
      </c>
      <c r="E171" s="254"/>
      <c r="F171" s="254" t="s">
        <v>357</v>
      </c>
      <c r="G171" s="254"/>
      <c r="H171" s="254" t="s">
        <v>350</v>
      </c>
      <c r="I171" s="254"/>
      <c r="J171" s="254" t="s">
        <v>357</v>
      </c>
      <c r="K171" s="254"/>
      <c r="L171" s="254" t="s">
        <v>357</v>
      </c>
      <c r="M171" s="254"/>
      <c r="N171" s="254" t="s">
        <v>322</v>
      </c>
      <c r="O171" s="254"/>
      <c r="P171" s="254" t="s">
        <v>298</v>
      </c>
      <c r="Q171" s="254"/>
      <c r="R171" s="254" t="s">
        <v>298</v>
      </c>
      <c r="S171" s="254"/>
      <c r="T171" s="254" t="s">
        <v>396</v>
      </c>
      <c r="U171" s="254"/>
      <c r="V171" s="254" t="s">
        <v>357</v>
      </c>
      <c r="W171" s="254"/>
      <c r="X171" s="254" t="s">
        <v>904</v>
      </c>
      <c r="Y171" s="254"/>
      <c r="Z171" s="254" t="s">
        <v>904</v>
      </c>
      <c r="AA171" s="254"/>
      <c r="AB171" s="254" t="s">
        <v>350</v>
      </c>
      <c r="AC171" s="254"/>
      <c r="AD171" s="254" t="s">
        <v>357</v>
      </c>
      <c r="AE171" s="254"/>
      <c r="AF171" s="607"/>
    </row>
    <row r="172" spans="1:75" s="167" customFormat="1" ht="13.5" customHeight="1">
      <c r="A172" s="206"/>
      <c r="B172" s="254"/>
      <c r="C172" s="254"/>
      <c r="D172" s="254"/>
      <c r="E172" s="254"/>
      <c r="F172" s="254"/>
      <c r="G172" s="254"/>
      <c r="H172" s="254"/>
      <c r="I172" s="254"/>
      <c r="J172" s="254"/>
      <c r="K172" s="254"/>
      <c r="L172" s="254"/>
      <c r="M172" s="254"/>
      <c r="N172" s="254"/>
      <c r="O172" s="254"/>
      <c r="P172" s="254"/>
      <c r="Q172" s="254"/>
      <c r="R172" s="254"/>
      <c r="S172" s="254"/>
      <c r="T172" s="254"/>
      <c r="U172" s="254"/>
      <c r="V172" s="254"/>
      <c r="W172" s="254"/>
      <c r="X172" s="254"/>
      <c r="Y172" s="254"/>
      <c r="Z172" s="254"/>
      <c r="AA172" s="254"/>
      <c r="AB172" s="254"/>
      <c r="AC172" s="254"/>
      <c r="AD172" s="254"/>
      <c r="AE172" s="254"/>
      <c r="AF172" s="574"/>
      <c r="BW172" s="200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AF173" s="57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Z174" s="254"/>
      <c r="AA174" s="254"/>
      <c r="AB174" s="254"/>
      <c r="AC174" s="254"/>
      <c r="AD174" s="254"/>
      <c r="AE174" s="254"/>
      <c r="AF174" s="608"/>
      <c r="BW174" s="254"/>
    </row>
    <row r="175" spans="1:75" s="167" customFormat="1" ht="13.5" customHeight="1">
      <c r="A175" s="206"/>
      <c r="B175" s="200">
        <v>196</v>
      </c>
      <c r="C175" s="200"/>
      <c r="D175" s="200">
        <v>197</v>
      </c>
      <c r="E175" s="200"/>
      <c r="F175" s="200">
        <v>198</v>
      </c>
      <c r="G175" s="200"/>
      <c r="H175" s="200">
        <v>199</v>
      </c>
      <c r="I175" s="200"/>
      <c r="J175" s="200">
        <v>200</v>
      </c>
      <c r="K175" s="200"/>
      <c r="L175" s="200">
        <v>201</v>
      </c>
      <c r="M175" s="200"/>
      <c r="N175" s="200">
        <v>202</v>
      </c>
      <c r="O175" s="200"/>
      <c r="P175" s="200">
        <v>203</v>
      </c>
      <c r="Q175" s="200"/>
      <c r="R175" s="200">
        <v>204</v>
      </c>
      <c r="S175" s="200"/>
      <c r="T175" s="200">
        <v>205</v>
      </c>
      <c r="U175" s="200"/>
      <c r="V175" s="200">
        <v>206</v>
      </c>
      <c r="W175" s="200"/>
      <c r="X175" s="254">
        <v>207</v>
      </c>
      <c r="Y175" s="254"/>
      <c r="Z175" s="254">
        <v>208</v>
      </c>
      <c r="AA175" s="254"/>
      <c r="AB175" s="254">
        <v>209</v>
      </c>
      <c r="AC175" s="254"/>
      <c r="AD175" s="254">
        <v>210</v>
      </c>
      <c r="AE175" s="254"/>
      <c r="AF175" s="607"/>
      <c r="BW175" s="254"/>
    </row>
    <row r="176" spans="1:75" s="167" customFormat="1" ht="13.5" customHeight="1">
      <c r="A176" s="206"/>
      <c r="B176" s="304" t="s">
        <v>616</v>
      </c>
      <c r="C176" s="254"/>
      <c r="D176" s="304" t="s">
        <v>617</v>
      </c>
      <c r="E176" s="254"/>
      <c r="F176" s="304" t="s">
        <v>618</v>
      </c>
      <c r="G176" s="254"/>
      <c r="H176" s="304" t="s">
        <v>619</v>
      </c>
      <c r="I176" s="254"/>
      <c r="J176" s="304" t="s">
        <v>146</v>
      </c>
      <c r="K176" s="254"/>
      <c r="L176" s="304" t="s">
        <v>620</v>
      </c>
      <c r="M176" s="254"/>
      <c r="N176" s="304" t="s">
        <v>621</v>
      </c>
      <c r="O176" s="254"/>
      <c r="P176" s="304" t="s">
        <v>622</v>
      </c>
      <c r="Q176" s="254"/>
      <c r="R176" s="304" t="s">
        <v>184</v>
      </c>
      <c r="S176" s="254"/>
      <c r="T176" s="304" t="s">
        <v>185</v>
      </c>
      <c r="U176" s="254"/>
      <c r="V176" s="304" t="s">
        <v>186</v>
      </c>
      <c r="W176" s="254"/>
      <c r="X176" s="304" t="s">
        <v>623</v>
      </c>
      <c r="Y176" s="200"/>
      <c r="Z176" s="304" t="s">
        <v>624</v>
      </c>
      <c r="AA176" s="200"/>
      <c r="AB176" s="304" t="s">
        <v>1160</v>
      </c>
      <c r="AC176" s="200"/>
      <c r="AD176" s="304" t="s">
        <v>1161</v>
      </c>
      <c r="AE176" s="200"/>
      <c r="AF176" s="607"/>
    </row>
    <row r="177" spans="1:75" s="167" customFormat="1" ht="13.5" customHeight="1">
      <c r="A177" s="206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607"/>
      <c r="BW177" s="254"/>
    </row>
    <row r="178" spans="1:75" s="167" customFormat="1" ht="13.5" customHeight="1">
      <c r="A178" s="206"/>
      <c r="B178" s="254"/>
      <c r="C178" s="254"/>
      <c r="D178" s="254"/>
      <c r="E178" s="254"/>
      <c r="F178" s="254"/>
      <c r="G178" s="254"/>
      <c r="H178" s="254"/>
      <c r="I178" s="254"/>
      <c r="J178" s="254"/>
      <c r="K178" s="254"/>
      <c r="L178" s="254"/>
      <c r="M178" s="254"/>
      <c r="N178" s="254"/>
      <c r="O178" s="254"/>
      <c r="P178" s="254"/>
      <c r="Q178" s="254"/>
      <c r="R178" s="254"/>
      <c r="S178" s="200"/>
      <c r="T178" s="254"/>
      <c r="U178" s="254"/>
      <c r="V178" s="254"/>
      <c r="W178" s="254"/>
      <c r="X178" s="254"/>
      <c r="Y178" s="200"/>
      <c r="Z178" s="254"/>
      <c r="AA178" s="254"/>
      <c r="AB178" s="254"/>
      <c r="AC178" s="200"/>
      <c r="AD178" s="254"/>
      <c r="AE178" s="200"/>
      <c r="AF178" s="607"/>
    </row>
    <row r="179" spans="1:75" s="167" customFormat="1" ht="13.5" customHeight="1" thickBo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07"/>
    </row>
    <row r="180" spans="1:75" s="167" customFormat="1" ht="13.5" customHeight="1">
      <c r="A180" s="206"/>
      <c r="B180" s="261"/>
      <c r="C180" s="579"/>
      <c r="D180" s="261"/>
      <c r="E180" s="579"/>
      <c r="F180" s="261"/>
      <c r="G180" s="579"/>
      <c r="H180" s="261"/>
      <c r="I180" s="579"/>
      <c r="J180" s="261"/>
      <c r="K180" s="579"/>
      <c r="L180" s="261"/>
      <c r="M180" s="579"/>
      <c r="N180" s="261"/>
      <c r="O180" s="579"/>
      <c r="P180" s="261"/>
      <c r="Q180" s="579"/>
      <c r="R180" s="261"/>
      <c r="S180" s="579"/>
      <c r="T180" s="261"/>
      <c r="U180" s="579"/>
      <c r="V180" s="261"/>
      <c r="W180" s="579"/>
      <c r="X180" s="261"/>
      <c r="Y180" s="579"/>
      <c r="Z180" s="261"/>
      <c r="AA180" s="579"/>
      <c r="AB180" s="261"/>
      <c r="AC180" s="579"/>
      <c r="AD180" s="261"/>
      <c r="AE180" s="579"/>
      <c r="AF180" s="607"/>
    </row>
    <row r="181" spans="1:75" s="167" customFormat="1" ht="13.5" customHeight="1">
      <c r="A181" s="206"/>
      <c r="B181" s="263"/>
      <c r="C181" s="581">
        <v>408</v>
      </c>
      <c r="D181" s="263" t="s">
        <v>550</v>
      </c>
      <c r="E181" s="581">
        <v>407</v>
      </c>
      <c r="F181" s="263" t="s">
        <v>550</v>
      </c>
      <c r="G181" s="581">
        <v>434</v>
      </c>
      <c r="H181" s="263"/>
      <c r="I181" s="581">
        <v>401</v>
      </c>
      <c r="J181" s="263"/>
      <c r="K181" s="581">
        <v>296</v>
      </c>
      <c r="L181" s="263"/>
      <c r="M181" s="581">
        <v>677</v>
      </c>
      <c r="N181" s="263"/>
      <c r="O181" s="581">
        <v>642</v>
      </c>
      <c r="P181" s="263"/>
      <c r="Q181" s="606">
        <v>414</v>
      </c>
      <c r="R181" s="263"/>
      <c r="S181" s="581">
        <v>446</v>
      </c>
      <c r="T181" s="263"/>
      <c r="U181" s="581">
        <v>411</v>
      </c>
      <c r="V181" s="263"/>
      <c r="W181" s="606">
        <v>345</v>
      </c>
      <c r="X181" s="262"/>
      <c r="Y181" s="581">
        <v>345</v>
      </c>
      <c r="Z181" s="262"/>
      <c r="AA181" s="581">
        <v>372</v>
      </c>
      <c r="AB181" s="262"/>
      <c r="AC181" s="581" t="s">
        <v>67</v>
      </c>
      <c r="AD181" s="262"/>
      <c r="AE181" s="581" t="s">
        <v>67</v>
      </c>
      <c r="AF181" s="607"/>
    </row>
    <row r="182" spans="1:75" s="167" customFormat="1" ht="13.5" customHeight="1" thickBot="1">
      <c r="A182" s="206"/>
      <c r="B182" s="264"/>
      <c r="C182" s="200"/>
      <c r="D182" s="264"/>
      <c r="E182" s="200"/>
      <c r="F182" s="264"/>
      <c r="G182" s="200"/>
      <c r="H182" s="264"/>
      <c r="I182" s="200"/>
      <c r="J182" s="264"/>
      <c r="K182" s="200"/>
      <c r="L182" s="264"/>
      <c r="M182" s="200"/>
      <c r="N182" s="264"/>
      <c r="O182" s="200"/>
      <c r="P182" s="264"/>
      <c r="Q182" s="254"/>
      <c r="R182" s="264"/>
      <c r="S182" s="200"/>
      <c r="T182" s="264"/>
      <c r="U182" s="200"/>
      <c r="V182" s="264"/>
      <c r="W182" s="254"/>
      <c r="X182" s="264"/>
      <c r="Y182" s="200"/>
      <c r="Z182" s="264"/>
      <c r="AA182" s="200"/>
      <c r="AB182" s="264"/>
      <c r="AC182" s="200"/>
      <c r="AD182" s="264"/>
      <c r="AE182" s="200"/>
      <c r="AF182" s="607"/>
    </row>
    <row r="183" spans="1:75" s="167" customFormat="1" ht="13.5" customHeight="1">
      <c r="A183" s="206"/>
      <c r="B183" s="254" t="s">
        <v>357</v>
      </c>
      <c r="C183" s="254"/>
      <c r="D183" s="254" t="s">
        <v>335</v>
      </c>
      <c r="E183" s="254"/>
      <c r="F183" s="254" t="s">
        <v>399</v>
      </c>
      <c r="G183" s="254"/>
      <c r="H183" s="254" t="s">
        <v>350</v>
      </c>
      <c r="I183" s="254"/>
      <c r="J183" s="254" t="s">
        <v>591</v>
      </c>
      <c r="K183" s="254"/>
      <c r="L183" s="254" t="s">
        <v>290</v>
      </c>
      <c r="M183" s="254"/>
      <c r="N183" s="254" t="s">
        <v>318</v>
      </c>
      <c r="O183" s="254"/>
      <c r="P183" s="254" t="s">
        <v>320</v>
      </c>
      <c r="Q183" s="254" t="s">
        <v>67</v>
      </c>
      <c r="R183" s="254" t="s">
        <v>322</v>
      </c>
      <c r="S183" s="254"/>
      <c r="T183" s="254" t="s">
        <v>324</v>
      </c>
      <c r="U183" s="254"/>
      <c r="V183" s="254" t="s">
        <v>350</v>
      </c>
      <c r="W183" s="254"/>
      <c r="X183" s="167" t="s">
        <v>350</v>
      </c>
      <c r="Z183" s="167" t="s">
        <v>326</v>
      </c>
      <c r="AB183" s="167" t="s">
        <v>393</v>
      </c>
      <c r="AD183" s="167" t="s">
        <v>350</v>
      </c>
      <c r="AF183" s="607"/>
      <c r="BV183" s="198"/>
    </row>
    <row r="184" spans="1:75" s="167" customFormat="1" ht="13.5" customHeight="1">
      <c r="A184" s="206"/>
      <c r="B184" s="254"/>
      <c r="C184" s="254"/>
      <c r="D184" s="254"/>
      <c r="E184" s="254"/>
      <c r="F184" s="254"/>
      <c r="G184" s="254"/>
      <c r="H184" s="254"/>
      <c r="I184" s="254"/>
      <c r="J184" s="254"/>
      <c r="K184" s="254"/>
      <c r="L184" s="254"/>
      <c r="M184" s="254"/>
      <c r="N184" s="254"/>
      <c r="O184" s="254"/>
      <c r="P184" s="254"/>
      <c r="Q184" s="254"/>
      <c r="R184" s="254"/>
      <c r="S184" s="254"/>
      <c r="T184" s="254"/>
      <c r="U184" s="254"/>
      <c r="V184" s="254"/>
      <c r="W184" s="254"/>
      <c r="X184" s="258"/>
      <c r="Y184" s="254"/>
      <c r="Z184" s="254"/>
      <c r="AA184" s="254"/>
      <c r="AB184" s="254"/>
      <c r="AC184" s="254"/>
      <c r="AF184" s="608"/>
      <c r="BW184" s="158"/>
    </row>
    <row r="185" spans="1:75" s="167" customFormat="1" ht="13.5" customHeight="1">
      <c r="A185" s="206"/>
      <c r="Z185" s="254"/>
      <c r="AA185" s="254"/>
      <c r="AB185" s="254"/>
      <c r="AC185" s="254"/>
      <c r="AD185" s="254"/>
      <c r="AE185" s="254"/>
      <c r="AF185" s="574"/>
      <c r="BW185" s="158"/>
    </row>
    <row r="186" spans="1:75" s="167" customFormat="1" ht="13.5" customHeight="1">
      <c r="A186" s="206"/>
      <c r="Z186" s="200"/>
      <c r="AA186" s="254"/>
      <c r="AB186" s="200"/>
      <c r="AC186" s="585"/>
      <c r="AD186" s="200"/>
      <c r="AE186" s="200"/>
      <c r="AF186" s="574"/>
      <c r="BW186" s="158"/>
    </row>
    <row r="187" spans="1:75" s="167" customFormat="1" ht="13.5" customHeight="1">
      <c r="A187" s="206"/>
      <c r="B187" s="254"/>
      <c r="C187" s="254"/>
      <c r="D187" s="254"/>
      <c r="E187" s="254"/>
      <c r="F187" s="254"/>
      <c r="G187" s="254"/>
      <c r="H187" s="254"/>
      <c r="I187" s="254"/>
      <c r="J187" s="254"/>
      <c r="K187" s="254"/>
      <c r="L187" s="254"/>
      <c r="M187" s="254"/>
      <c r="N187" s="254"/>
      <c r="O187" s="254"/>
      <c r="P187" s="254"/>
      <c r="Q187" s="254"/>
      <c r="R187" s="254"/>
      <c r="S187" s="254"/>
      <c r="T187" s="254"/>
      <c r="U187" s="254"/>
      <c r="V187" s="254"/>
      <c r="W187" s="254"/>
      <c r="X187" s="258"/>
      <c r="Y187" s="254"/>
      <c r="Z187" s="254"/>
      <c r="AA187" s="254"/>
      <c r="AB187" s="254"/>
      <c r="AC187" s="254"/>
      <c r="AF187" s="608"/>
      <c r="BW187" s="158"/>
    </row>
    <row r="188" spans="1:75" s="167" customFormat="1" ht="13.5" customHeight="1">
      <c r="A188" s="206"/>
      <c r="B188" s="200">
        <v>211</v>
      </c>
      <c r="C188" s="200"/>
      <c r="D188" s="200">
        <v>212</v>
      </c>
      <c r="E188" s="200"/>
      <c r="F188" s="200">
        <v>213</v>
      </c>
      <c r="G188" s="200"/>
      <c r="H188" s="200">
        <v>214</v>
      </c>
      <c r="I188" s="200"/>
      <c r="J188" s="200">
        <v>215</v>
      </c>
      <c r="K188" s="200" t="s">
        <v>67</v>
      </c>
      <c r="L188" s="200">
        <v>216</v>
      </c>
      <c r="M188" s="200"/>
      <c r="N188" s="200">
        <v>217</v>
      </c>
      <c r="O188" s="200"/>
      <c r="P188" s="200">
        <v>218</v>
      </c>
      <c r="Q188" s="200"/>
      <c r="R188" s="200">
        <v>219</v>
      </c>
      <c r="S188" s="200"/>
      <c r="T188" s="200">
        <v>220</v>
      </c>
      <c r="U188" s="200"/>
      <c r="V188" s="200">
        <v>221</v>
      </c>
      <c r="W188" s="200"/>
      <c r="X188" s="200">
        <v>222</v>
      </c>
      <c r="Y188" s="200"/>
      <c r="Z188" s="200">
        <v>223</v>
      </c>
      <c r="AA188" s="200"/>
      <c r="AB188" s="200">
        <v>224</v>
      </c>
      <c r="AC188" s="200"/>
      <c r="AD188" s="200">
        <v>225</v>
      </c>
      <c r="AE188" s="254"/>
      <c r="AF188" s="608"/>
      <c r="BW188" s="158"/>
    </row>
    <row r="189" spans="1:75" s="167" customFormat="1" ht="13.5" customHeight="1">
      <c r="A189" s="206"/>
      <c r="B189" s="304" t="s">
        <v>1162</v>
      </c>
      <c r="C189" s="254"/>
      <c r="D189" s="304" t="s">
        <v>1163</v>
      </c>
      <c r="E189" s="254"/>
      <c r="F189" s="304" t="s">
        <v>1164</v>
      </c>
      <c r="G189" s="254"/>
      <c r="H189" s="304" t="s">
        <v>1165</v>
      </c>
      <c r="I189" s="254"/>
      <c r="J189" s="304" t="s">
        <v>1166</v>
      </c>
      <c r="K189" s="254"/>
      <c r="L189" s="304" t="s">
        <v>1167</v>
      </c>
      <c r="M189" s="254"/>
      <c r="N189" s="304" t="s">
        <v>1168</v>
      </c>
      <c r="O189" s="254"/>
      <c r="P189" s="304" t="s">
        <v>1047</v>
      </c>
      <c r="Q189" s="254"/>
      <c r="R189" s="304" t="s">
        <v>1048</v>
      </c>
      <c r="S189" s="254"/>
      <c r="T189" s="304" t="s">
        <v>1169</v>
      </c>
      <c r="U189" s="254"/>
      <c r="V189" s="304" t="s">
        <v>1170</v>
      </c>
      <c r="W189" s="254"/>
      <c r="X189" s="304" t="s">
        <v>1171</v>
      </c>
      <c r="Y189" s="200"/>
      <c r="Z189" s="304" t="s">
        <v>625</v>
      </c>
      <c r="AA189" s="200"/>
      <c r="AB189" s="304" t="s">
        <v>464</v>
      </c>
      <c r="AC189" s="200"/>
      <c r="AD189" s="304" t="s">
        <v>412</v>
      </c>
      <c r="AE189" s="200"/>
      <c r="AF189" s="607"/>
      <c r="BW189" s="158"/>
    </row>
    <row r="190" spans="1:75" s="167" customFormat="1" ht="13.5" customHeight="1">
      <c r="A190" s="206"/>
      <c r="Z190" s="200"/>
      <c r="AA190" s="200"/>
      <c r="AB190" s="200"/>
      <c r="AC190" s="200"/>
      <c r="AD190" s="200"/>
      <c r="AE190" s="200"/>
      <c r="AF190" s="574"/>
      <c r="BW190" s="158"/>
    </row>
    <row r="191" spans="1:75" s="167" customFormat="1" ht="13.5" customHeight="1">
      <c r="A191" s="206"/>
      <c r="B191" s="254"/>
      <c r="C191" s="254"/>
      <c r="D191" s="254"/>
      <c r="E191" s="254"/>
      <c r="F191" s="254"/>
      <c r="G191" s="254"/>
      <c r="H191" s="254"/>
      <c r="I191" s="254"/>
      <c r="J191" s="254"/>
      <c r="K191" s="254"/>
      <c r="L191" s="254"/>
      <c r="M191" s="200"/>
      <c r="N191" s="254"/>
      <c r="O191" s="254"/>
      <c r="P191" s="254"/>
      <c r="Q191" s="200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574"/>
      <c r="BW191" s="158"/>
    </row>
    <row r="192" spans="1:75" s="167" customFormat="1" ht="13.5" customHeight="1" thickBo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74"/>
      <c r="BW192" s="158"/>
    </row>
    <row r="193" spans="1:75" s="167" customFormat="1" ht="13.5" customHeight="1">
      <c r="A193" s="206"/>
      <c r="B193" s="183"/>
      <c r="C193" s="591"/>
      <c r="D193" s="183"/>
      <c r="E193" s="591"/>
      <c r="F193" s="261"/>
      <c r="G193" s="591"/>
      <c r="H193" s="183"/>
      <c r="I193" s="591"/>
      <c r="J193" s="183"/>
      <c r="K193" s="591"/>
      <c r="L193" s="183"/>
      <c r="M193" s="591"/>
      <c r="N193" s="183"/>
      <c r="O193" s="591"/>
      <c r="P193" s="183"/>
      <c r="Q193" s="591"/>
      <c r="R193" s="183"/>
      <c r="S193" s="591"/>
      <c r="T193" s="183"/>
      <c r="U193" s="591"/>
      <c r="V193" s="183"/>
      <c r="W193" s="591"/>
      <c r="X193" s="183"/>
      <c r="Y193" s="591"/>
      <c r="Z193" s="183"/>
      <c r="AA193" s="591"/>
      <c r="AB193" s="183"/>
      <c r="AC193" s="591"/>
      <c r="AD193" s="183"/>
      <c r="AE193" s="579"/>
      <c r="AF193" s="574"/>
      <c r="BW193" s="158"/>
    </row>
    <row r="194" spans="1:75" s="167" customFormat="1" ht="13.5" customHeight="1">
      <c r="A194" s="206"/>
      <c r="B194" s="201" t="s">
        <v>67</v>
      </c>
      <c r="C194" s="592">
        <v>244</v>
      </c>
      <c r="D194" s="201" t="s">
        <v>550</v>
      </c>
      <c r="E194" s="592">
        <v>390</v>
      </c>
      <c r="F194" s="262"/>
      <c r="G194" s="592">
        <v>377</v>
      </c>
      <c r="H194" s="186"/>
      <c r="I194" s="592">
        <v>382</v>
      </c>
      <c r="J194" s="186"/>
      <c r="K194" s="592">
        <v>390</v>
      </c>
      <c r="L194" s="186"/>
      <c r="M194" s="592">
        <v>364</v>
      </c>
      <c r="N194" s="186"/>
      <c r="O194" s="592">
        <v>390</v>
      </c>
      <c r="P194" s="186"/>
      <c r="Q194" s="592">
        <v>395</v>
      </c>
      <c r="R194" s="186" t="s">
        <v>550</v>
      </c>
      <c r="S194" s="592">
        <v>413</v>
      </c>
      <c r="T194" s="186"/>
      <c r="U194" s="592">
        <v>422</v>
      </c>
      <c r="V194" s="186"/>
      <c r="W194" s="592">
        <v>306</v>
      </c>
      <c r="X194" s="186"/>
      <c r="Y194" s="592">
        <v>357</v>
      </c>
      <c r="Z194" s="186"/>
      <c r="AA194" s="592">
        <v>390</v>
      </c>
      <c r="AB194" s="186"/>
      <c r="AC194" s="592">
        <v>430</v>
      </c>
      <c r="AD194" s="186"/>
      <c r="AE194" s="581">
        <v>399</v>
      </c>
      <c r="AF194" s="574"/>
      <c r="BW194" s="158"/>
    </row>
    <row r="195" spans="1:75" s="167" customFormat="1" ht="13.5" customHeight="1" thickBot="1">
      <c r="A195" s="206"/>
      <c r="B195" s="188"/>
      <c r="C195" s="166"/>
      <c r="D195" s="188"/>
      <c r="E195" s="166"/>
      <c r="F195" s="264"/>
      <c r="G195" s="166"/>
      <c r="H195" s="188"/>
      <c r="I195" s="166"/>
      <c r="J195" s="188"/>
      <c r="K195" s="166"/>
      <c r="L195" s="188"/>
      <c r="M195" s="166"/>
      <c r="N195" s="188"/>
      <c r="O195" s="166"/>
      <c r="P195" s="188"/>
      <c r="Q195" s="166"/>
      <c r="R195" s="188"/>
      <c r="S195" s="166"/>
      <c r="T195" s="188"/>
      <c r="U195" s="166"/>
      <c r="V195" s="188"/>
      <c r="W195" s="166"/>
      <c r="X195" s="188"/>
      <c r="Y195" s="166"/>
      <c r="Z195" s="188"/>
      <c r="AA195" s="166"/>
      <c r="AB195" s="188"/>
      <c r="AC195" s="166"/>
      <c r="AD195" s="188"/>
      <c r="AE195" s="200"/>
      <c r="AF195" s="574"/>
      <c r="BW195" s="158"/>
    </row>
    <row r="196" spans="1:75" s="167" customFormat="1" ht="13.5" customHeight="1">
      <c r="A196" s="206"/>
      <c r="B196" s="258" t="s">
        <v>350</v>
      </c>
      <c r="C196" s="254"/>
      <c r="D196" s="258" t="s">
        <v>350</v>
      </c>
      <c r="E196" s="254"/>
      <c r="F196" s="254" t="s">
        <v>350</v>
      </c>
      <c r="G196" s="254"/>
      <c r="H196" s="254" t="s">
        <v>396</v>
      </c>
      <c r="I196" s="254"/>
      <c r="J196" s="254" t="s">
        <v>335</v>
      </c>
      <c r="K196" s="254"/>
      <c r="L196" s="254" t="s">
        <v>396</v>
      </c>
      <c r="M196" s="254"/>
      <c r="N196" s="258" t="s">
        <v>396</v>
      </c>
      <c r="O196" s="254"/>
      <c r="P196" s="254" t="s">
        <v>396</v>
      </c>
      <c r="Q196" s="254"/>
      <c r="R196" s="258" t="s">
        <v>396</v>
      </c>
      <c r="S196" s="254"/>
      <c r="T196" s="254" t="s">
        <v>350</v>
      </c>
      <c r="U196" s="254"/>
      <c r="V196" s="254" t="s">
        <v>350</v>
      </c>
      <c r="W196" s="254"/>
      <c r="X196" s="254" t="s">
        <v>561</v>
      </c>
      <c r="Y196" s="254"/>
      <c r="Z196" s="254" t="s">
        <v>902</v>
      </c>
      <c r="AA196" s="254"/>
      <c r="AB196" s="254" t="s">
        <v>330</v>
      </c>
      <c r="AC196" s="254"/>
      <c r="AD196" s="254" t="s">
        <v>350</v>
      </c>
      <c r="AE196" s="254"/>
      <c r="AF196" s="574"/>
      <c r="BW196" s="158"/>
    </row>
    <row r="197" spans="1:75" ht="13.5" customHeight="1">
      <c r="A197" s="609"/>
      <c r="AF197" s="610"/>
    </row>
    <row r="198" spans="1:75" ht="13.5" customHeight="1">
      <c r="A198" s="609"/>
      <c r="AF198" s="610"/>
    </row>
    <row r="199" spans="1:75" s="167" customFormat="1" ht="13.5" customHeight="1">
      <c r="A199" s="206"/>
      <c r="AF199" s="607"/>
      <c r="BW199" s="158"/>
    </row>
    <row r="200" spans="1:75" ht="13.5" customHeight="1">
      <c r="A200" s="206"/>
      <c r="AF200" s="610"/>
    </row>
    <row r="201" spans="1:75" ht="13.5" customHeight="1">
      <c r="A201" s="206"/>
      <c r="B201" s="200">
        <v>226</v>
      </c>
      <c r="C201" s="200"/>
      <c r="D201" s="200">
        <v>227</v>
      </c>
      <c r="E201" s="200"/>
      <c r="F201" s="200">
        <v>228</v>
      </c>
      <c r="G201" s="200"/>
      <c r="H201" s="200">
        <v>229</v>
      </c>
      <c r="I201" s="200"/>
      <c r="J201" s="200">
        <v>230</v>
      </c>
      <c r="K201" s="200"/>
      <c r="L201" s="200">
        <v>231</v>
      </c>
      <c r="M201" s="200"/>
      <c r="N201" s="200">
        <v>232</v>
      </c>
      <c r="O201" s="200"/>
      <c r="P201" s="200">
        <v>233</v>
      </c>
      <c r="Q201" s="200"/>
      <c r="R201" s="200">
        <v>234</v>
      </c>
      <c r="S201" s="200"/>
      <c r="T201" s="200">
        <v>235</v>
      </c>
      <c r="U201" s="200"/>
      <c r="V201" s="200">
        <v>236</v>
      </c>
      <c r="W201" s="200"/>
      <c r="X201" s="254">
        <v>237</v>
      </c>
      <c r="Y201" s="254"/>
      <c r="AF201" s="610"/>
    </row>
    <row r="202" spans="1:75" ht="13.5" customHeight="1">
      <c r="A202" s="206"/>
      <c r="B202" s="304" t="s">
        <v>626</v>
      </c>
      <c r="C202" s="254"/>
      <c r="D202" s="304" t="s">
        <v>627</v>
      </c>
      <c r="E202" s="254"/>
      <c r="F202" s="304" t="s">
        <v>628</v>
      </c>
      <c r="G202" s="254"/>
      <c r="H202" s="304" t="s">
        <v>629</v>
      </c>
      <c r="I202" s="254"/>
      <c r="J202" s="304" t="s">
        <v>630</v>
      </c>
      <c r="K202" s="254"/>
      <c r="L202" s="304" t="s">
        <v>631</v>
      </c>
      <c r="M202" s="254"/>
      <c r="N202" s="304" t="s">
        <v>632</v>
      </c>
      <c r="O202" s="254"/>
      <c r="P202" s="304" t="s">
        <v>633</v>
      </c>
      <c r="Q202" s="254"/>
      <c r="R202" s="304" t="s">
        <v>634</v>
      </c>
      <c r="S202" s="254"/>
      <c r="T202" s="304" t="s">
        <v>635</v>
      </c>
      <c r="U202" s="254"/>
      <c r="V202" s="304" t="s">
        <v>636</v>
      </c>
      <c r="W202" s="254"/>
      <c r="X202" s="304" t="s">
        <v>637</v>
      </c>
      <c r="Y202" s="200"/>
      <c r="AF202" s="610"/>
    </row>
    <row r="203" spans="1:75" ht="13.5" customHeight="1">
      <c r="A203" s="206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AF203" s="610"/>
    </row>
    <row r="204" spans="1:75" ht="13.5" customHeight="1">
      <c r="A204" s="206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4"/>
      <c r="R204" s="254"/>
      <c r="S204" s="200"/>
      <c r="T204" s="254"/>
      <c r="U204" s="254"/>
      <c r="V204" s="254"/>
      <c r="W204" s="254"/>
      <c r="X204" s="254"/>
      <c r="Y204" s="200"/>
      <c r="AF204" s="610"/>
    </row>
    <row r="205" spans="1:75" ht="13.5" customHeight="1" thickBo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10"/>
    </row>
    <row r="206" spans="1:75" ht="13.5" customHeight="1">
      <c r="A206" s="206"/>
      <c r="B206" s="261"/>
      <c r="C206" s="579"/>
      <c r="D206" s="261"/>
      <c r="E206" s="579"/>
      <c r="F206" s="261"/>
      <c r="G206" s="579"/>
      <c r="H206" s="261"/>
      <c r="I206" s="579"/>
      <c r="J206" s="261"/>
      <c r="K206" s="579"/>
      <c r="L206" s="261"/>
      <c r="M206" s="579"/>
      <c r="N206" s="261"/>
      <c r="O206" s="579"/>
      <c r="P206" s="261"/>
      <c r="Q206" s="579"/>
      <c r="R206" s="261"/>
      <c r="S206" s="579"/>
      <c r="T206" s="261"/>
      <c r="U206" s="579"/>
      <c r="V206" s="261"/>
      <c r="W206" s="579"/>
      <c r="X206" s="261"/>
      <c r="Y206" s="579"/>
      <c r="AF206" s="610"/>
    </row>
    <row r="207" spans="1:75" ht="13.5" customHeight="1">
      <c r="A207" s="594"/>
      <c r="B207" s="263"/>
      <c r="C207" s="581">
        <v>408</v>
      </c>
      <c r="D207" s="263" t="s">
        <v>550</v>
      </c>
      <c r="E207" s="581">
        <v>407</v>
      </c>
      <c r="F207" s="263" t="s">
        <v>550</v>
      </c>
      <c r="G207" s="581">
        <v>434</v>
      </c>
      <c r="H207" s="263"/>
      <c r="I207" s="581">
        <v>401</v>
      </c>
      <c r="J207" s="263"/>
      <c r="K207" s="581">
        <v>296</v>
      </c>
      <c r="L207" s="263"/>
      <c r="M207" s="581">
        <v>677</v>
      </c>
      <c r="N207" s="263"/>
      <c r="O207" s="581">
        <v>642</v>
      </c>
      <c r="P207" s="263"/>
      <c r="Q207" s="606">
        <v>414</v>
      </c>
      <c r="R207" s="263"/>
      <c r="S207" s="581">
        <v>446</v>
      </c>
      <c r="T207" s="263"/>
      <c r="U207" s="581">
        <v>411</v>
      </c>
      <c r="V207" s="263"/>
      <c r="W207" s="606">
        <v>345</v>
      </c>
      <c r="X207" s="262"/>
      <c r="Y207" s="581">
        <v>345</v>
      </c>
      <c r="AF207" s="610"/>
    </row>
    <row r="208" spans="1:75" ht="13.5" customHeight="1" thickBot="1">
      <c r="A208" s="594"/>
      <c r="B208" s="264"/>
      <c r="C208" s="200"/>
      <c r="D208" s="264"/>
      <c r="E208" s="200"/>
      <c r="F208" s="264"/>
      <c r="G208" s="200"/>
      <c r="H208" s="264"/>
      <c r="I208" s="200"/>
      <c r="J208" s="264"/>
      <c r="K208" s="200"/>
      <c r="L208" s="264"/>
      <c r="M208" s="200"/>
      <c r="N208" s="264"/>
      <c r="O208" s="200"/>
      <c r="P208" s="264"/>
      <c r="Q208" s="254"/>
      <c r="R208" s="264"/>
      <c r="S208" s="200"/>
      <c r="T208" s="264"/>
      <c r="U208" s="200"/>
      <c r="V208" s="264"/>
      <c r="W208" s="254"/>
      <c r="X208" s="264"/>
      <c r="Y208" s="200"/>
      <c r="AF208" s="610"/>
      <c r="BM208" s="501">
        <f>1</f>
        <v>1</v>
      </c>
    </row>
    <row r="209" spans="1:75" ht="13.5" customHeight="1">
      <c r="A209" s="594"/>
      <c r="B209" s="254" t="s">
        <v>350</v>
      </c>
      <c r="C209" s="254"/>
      <c r="D209" s="254" t="s">
        <v>350</v>
      </c>
      <c r="E209" s="254"/>
      <c r="F209" s="254" t="s">
        <v>350</v>
      </c>
      <c r="G209" s="254"/>
      <c r="H209" s="254" t="s">
        <v>335</v>
      </c>
      <c r="I209" s="254"/>
      <c r="J209" s="254" t="s">
        <v>350</v>
      </c>
      <c r="K209" s="254"/>
      <c r="L209" s="254" t="s">
        <v>300</v>
      </c>
      <c r="M209" s="254"/>
      <c r="N209" s="254" t="s">
        <v>357</v>
      </c>
      <c r="O209" s="254"/>
      <c r="P209" s="254" t="s">
        <v>350</v>
      </c>
      <c r="Q209" s="254" t="s">
        <v>67</v>
      </c>
      <c r="R209" s="254" t="s">
        <v>350</v>
      </c>
      <c r="S209" s="254"/>
      <c r="T209" s="254" t="s">
        <v>350</v>
      </c>
      <c r="U209" s="254"/>
      <c r="V209" s="254" t="s">
        <v>357</v>
      </c>
      <c r="W209" s="254"/>
      <c r="X209" s="167" t="s">
        <v>357</v>
      </c>
      <c r="Y209" s="167"/>
      <c r="AF209" s="610"/>
    </row>
    <row r="210" spans="1:75" ht="13.5" customHeight="1">
      <c r="A210" s="206"/>
      <c r="B210" s="254"/>
      <c r="C210" s="254"/>
      <c r="D210" s="254"/>
      <c r="E210" s="254"/>
      <c r="F210" s="254"/>
      <c r="G210" s="254"/>
      <c r="H210" s="254"/>
      <c r="I210" s="254"/>
      <c r="J210" s="254"/>
      <c r="K210" s="254"/>
      <c r="L210" s="254"/>
      <c r="M210" s="254"/>
      <c r="N210" s="254"/>
      <c r="O210" s="254"/>
      <c r="P210" s="254"/>
      <c r="Q210" s="254"/>
      <c r="R210" s="254"/>
      <c r="S210" s="254"/>
      <c r="T210" s="254"/>
      <c r="U210" s="254"/>
      <c r="V210" s="254"/>
      <c r="W210" s="254"/>
      <c r="X210" s="258"/>
      <c r="Y210" s="254"/>
      <c r="AF210" s="610"/>
    </row>
    <row r="211" spans="1:75" ht="13.5" customHeight="1">
      <c r="A211" s="20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7"/>
      <c r="S211" s="167"/>
      <c r="T211" s="167"/>
      <c r="U211" s="167"/>
      <c r="V211" s="167"/>
      <c r="W211" s="167"/>
      <c r="X211" s="167"/>
      <c r="Y211" s="167"/>
      <c r="Z211" s="254"/>
      <c r="AA211" s="254"/>
      <c r="AB211" s="254"/>
      <c r="AC211" s="254"/>
      <c r="AD211" s="254"/>
      <c r="AE211" s="254"/>
      <c r="AF211" s="574"/>
    </row>
    <row r="212" spans="1:75" ht="13.5" customHeight="1">
      <c r="A212" s="206"/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574"/>
    </row>
    <row r="213" spans="1:75" ht="13.5" customHeight="1">
      <c r="A213" s="206"/>
      <c r="B213" s="254">
        <v>238</v>
      </c>
      <c r="C213" s="254"/>
      <c r="D213" s="254">
        <v>239</v>
      </c>
      <c r="E213" s="254"/>
      <c r="F213" s="254">
        <v>240</v>
      </c>
      <c r="G213" s="254"/>
      <c r="H213" s="254">
        <v>241</v>
      </c>
      <c r="I213" s="254"/>
      <c r="J213" s="254">
        <v>242</v>
      </c>
      <c r="K213" s="254"/>
      <c r="L213" s="254">
        <v>243</v>
      </c>
      <c r="M213" s="254"/>
      <c r="N213" s="254">
        <v>244</v>
      </c>
      <c r="O213" s="254"/>
      <c r="P213" s="254">
        <v>245</v>
      </c>
      <c r="Q213" s="254"/>
      <c r="R213" s="254">
        <v>246</v>
      </c>
      <c r="S213" s="254"/>
      <c r="T213" s="254">
        <v>247</v>
      </c>
      <c r="U213" s="254"/>
      <c r="V213" s="254">
        <v>248</v>
      </c>
      <c r="W213" s="254"/>
      <c r="X213" s="254">
        <v>249</v>
      </c>
      <c r="Y213" s="254"/>
      <c r="Z213" s="254">
        <v>250</v>
      </c>
      <c r="AA213" s="254"/>
      <c r="AB213" s="254">
        <v>251</v>
      </c>
      <c r="AC213" s="254"/>
      <c r="AD213" s="254">
        <v>252</v>
      </c>
      <c r="AE213" s="254"/>
      <c r="AF213" s="608"/>
    </row>
    <row r="214" spans="1:75" s="167" customFormat="1" ht="13.5" customHeight="1">
      <c r="A214" s="206"/>
      <c r="B214" s="304" t="s">
        <v>638</v>
      </c>
      <c r="C214" s="254"/>
      <c r="D214" s="304" t="s">
        <v>639</v>
      </c>
      <c r="E214" s="254"/>
      <c r="F214" s="304" t="s">
        <v>640</v>
      </c>
      <c r="G214" s="254"/>
      <c r="H214" s="304" t="s">
        <v>641</v>
      </c>
      <c r="I214" s="254"/>
      <c r="J214" s="304" t="s">
        <v>642</v>
      </c>
      <c r="K214" s="254"/>
      <c r="L214" s="304" t="s">
        <v>643</v>
      </c>
      <c r="M214" s="254"/>
      <c r="N214" s="304" t="s">
        <v>644</v>
      </c>
      <c r="O214" s="254"/>
      <c r="P214" s="304" t="s">
        <v>645</v>
      </c>
      <c r="Q214" s="254"/>
      <c r="R214" s="304" t="s">
        <v>646</v>
      </c>
      <c r="S214" s="254"/>
      <c r="T214" s="304" t="s">
        <v>148</v>
      </c>
      <c r="U214" s="254"/>
      <c r="V214" s="304" t="s">
        <v>647</v>
      </c>
      <c r="W214" s="254"/>
      <c r="X214" s="304" t="s">
        <v>648</v>
      </c>
      <c r="Y214" s="200"/>
      <c r="Z214" s="304" t="s">
        <v>649</v>
      </c>
      <c r="AA214" s="200"/>
      <c r="AB214" s="304" t="s">
        <v>650</v>
      </c>
      <c r="AC214" s="200"/>
      <c r="AD214" s="304" t="s">
        <v>651</v>
      </c>
      <c r="AE214" s="200"/>
      <c r="AF214" s="607"/>
      <c r="BW214" s="158"/>
    </row>
    <row r="215" spans="1:75" ht="13.5" customHeight="1">
      <c r="A215" s="206"/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574"/>
    </row>
    <row r="216" spans="1:75" ht="13.5" customHeight="1">
      <c r="A216" s="206"/>
      <c r="B216" s="254"/>
      <c r="C216" s="200"/>
      <c r="D216" s="254"/>
      <c r="E216" s="254"/>
      <c r="F216" s="254"/>
      <c r="G216" s="200"/>
      <c r="H216" s="254"/>
      <c r="I216" s="254"/>
      <c r="J216" s="254"/>
      <c r="K216" s="254"/>
      <c r="L216" s="254"/>
      <c r="M216" s="254"/>
      <c r="N216" s="254"/>
      <c r="O216" s="254"/>
      <c r="P216" s="254"/>
      <c r="Q216" s="254"/>
      <c r="R216" s="254"/>
      <c r="S216" s="254"/>
      <c r="T216" s="254"/>
      <c r="U216" s="254"/>
      <c r="V216" s="254"/>
      <c r="W216" s="200"/>
      <c r="X216" s="254"/>
      <c r="Y216" s="254"/>
      <c r="Z216" s="254"/>
      <c r="AA216" s="200"/>
      <c r="AB216" s="254"/>
      <c r="AC216" s="254"/>
      <c r="AD216" s="254"/>
      <c r="AE216" s="254"/>
      <c r="AF216" s="574"/>
    </row>
    <row r="217" spans="1:75" ht="13.5" customHeight="1" thickBo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74"/>
    </row>
    <row r="218" spans="1:75" ht="13.5" customHeight="1">
      <c r="A218" s="206"/>
      <c r="B218" s="261"/>
      <c r="C218" s="579"/>
      <c r="D218" s="261"/>
      <c r="E218" s="579"/>
      <c r="F218" s="261"/>
      <c r="G218" s="579"/>
      <c r="H218" s="261"/>
      <c r="I218" s="579"/>
      <c r="J218" s="261"/>
      <c r="K218" s="579"/>
      <c r="L218" s="261"/>
      <c r="M218" s="579"/>
      <c r="N218" s="261"/>
      <c r="O218" s="579"/>
      <c r="P218" s="261"/>
      <c r="Q218" s="579"/>
      <c r="R218" s="261"/>
      <c r="S218" s="579"/>
      <c r="T218" s="261"/>
      <c r="U218" s="579"/>
      <c r="V218" s="261"/>
      <c r="W218" s="579"/>
      <c r="X218" s="261"/>
      <c r="Y218" s="579"/>
      <c r="Z218" s="261"/>
      <c r="AA218" s="579"/>
      <c r="AB218" s="261"/>
      <c r="AC218" s="579"/>
      <c r="AD218" s="261"/>
      <c r="AE218" s="579"/>
      <c r="AF218" s="580"/>
      <c r="BV218" s="502">
        <v>0</v>
      </c>
      <c r="BW218" s="502">
        <v>0</v>
      </c>
    </row>
    <row r="219" spans="1:75" ht="13.5" customHeight="1">
      <c r="A219" s="206"/>
      <c r="B219" s="262"/>
      <c r="C219" s="581">
        <v>414</v>
      </c>
      <c r="D219" s="263"/>
      <c r="E219" s="581">
        <v>421</v>
      </c>
      <c r="F219" s="263"/>
      <c r="G219" s="581">
        <v>356</v>
      </c>
      <c r="H219" s="263"/>
      <c r="I219" s="581">
        <v>243</v>
      </c>
      <c r="J219" s="263" t="s">
        <v>550</v>
      </c>
      <c r="K219" s="581">
        <v>372</v>
      </c>
      <c r="L219" s="263"/>
      <c r="M219" s="581">
        <v>398</v>
      </c>
      <c r="N219" s="263"/>
      <c r="O219" s="581">
        <v>346</v>
      </c>
      <c r="P219" s="263"/>
      <c r="Q219" s="581">
        <v>405</v>
      </c>
      <c r="R219" s="263"/>
      <c r="S219" s="581">
        <v>417</v>
      </c>
      <c r="T219" s="263"/>
      <c r="U219" s="581">
        <v>402</v>
      </c>
      <c r="V219" s="263"/>
      <c r="W219" s="581">
        <v>415</v>
      </c>
      <c r="X219" s="263"/>
      <c r="Y219" s="581">
        <v>352</v>
      </c>
      <c r="Z219" s="263"/>
      <c r="AA219" s="581">
        <v>397</v>
      </c>
      <c r="AB219" s="263"/>
      <c r="AC219" s="581">
        <v>377</v>
      </c>
      <c r="AD219" s="263"/>
      <c r="AE219" s="581">
        <v>438</v>
      </c>
      <c r="AF219" s="574"/>
      <c r="BV219" s="198"/>
    </row>
    <row r="220" spans="1:75" ht="13.5" customHeight="1" thickBot="1">
      <c r="A220" s="206"/>
      <c r="B220" s="264"/>
      <c r="C220" s="200"/>
      <c r="D220" s="264"/>
      <c r="E220" s="200"/>
      <c r="F220" s="264"/>
      <c r="G220" s="200"/>
      <c r="H220" s="264"/>
      <c r="I220" s="200"/>
      <c r="J220" s="264"/>
      <c r="K220" s="200"/>
      <c r="L220" s="264"/>
      <c r="M220" s="200"/>
      <c r="N220" s="264"/>
      <c r="O220" s="200"/>
      <c r="P220" s="264"/>
      <c r="Q220" s="200"/>
      <c r="R220" s="264"/>
      <c r="S220" s="200"/>
      <c r="T220" s="264"/>
      <c r="U220" s="200"/>
      <c r="V220" s="264"/>
      <c r="W220" s="200"/>
      <c r="X220" s="264"/>
      <c r="Y220" s="200"/>
      <c r="Z220" s="264"/>
      <c r="AA220" s="200"/>
      <c r="AB220" s="264"/>
      <c r="AC220" s="200"/>
      <c r="AD220" s="264"/>
      <c r="AE220" s="200"/>
      <c r="AF220" s="574"/>
    </row>
    <row r="221" spans="1:75" ht="13.5" customHeight="1">
      <c r="A221" s="206"/>
      <c r="B221" s="258" t="s">
        <v>373</v>
      </c>
      <c r="C221" s="254"/>
      <c r="D221" s="254" t="s">
        <v>357</v>
      </c>
      <c r="E221" s="254"/>
      <c r="F221" s="254" t="s">
        <v>350</v>
      </c>
      <c r="G221" s="254"/>
      <c r="H221" s="258" t="s">
        <v>330</v>
      </c>
      <c r="I221" s="254"/>
      <c r="J221" s="258" t="s">
        <v>302</v>
      </c>
      <c r="K221" s="254"/>
      <c r="L221" s="254" t="s">
        <v>350</v>
      </c>
      <c r="M221" s="254"/>
      <c r="N221" s="254" t="s">
        <v>357</v>
      </c>
      <c r="O221" s="254"/>
      <c r="P221" s="254" t="s">
        <v>350</v>
      </c>
      <c r="Q221" s="254"/>
      <c r="R221" s="254" t="s">
        <v>357</v>
      </c>
      <c r="S221" s="254"/>
      <c r="T221" s="258" t="s">
        <v>330</v>
      </c>
      <c r="U221" s="254"/>
      <c r="V221" s="254" t="s">
        <v>357</v>
      </c>
      <c r="W221" s="254"/>
      <c r="X221" s="254" t="s">
        <v>350</v>
      </c>
      <c r="Y221" s="254"/>
      <c r="Z221" s="254" t="s">
        <v>350</v>
      </c>
      <c r="AA221" s="254"/>
      <c r="AB221" s="254" t="s">
        <v>350</v>
      </c>
      <c r="AC221" s="254"/>
      <c r="AD221" s="254" t="s">
        <v>350</v>
      </c>
      <c r="AE221" s="254"/>
      <c r="AF221" s="574"/>
    </row>
    <row r="222" spans="1:75" ht="13.5" customHeight="1">
      <c r="A222" s="206"/>
      <c r="B222" s="200"/>
      <c r="C222" s="254"/>
      <c r="D222" s="200"/>
      <c r="E222" s="254"/>
      <c r="F222" s="200"/>
      <c r="G222" s="200"/>
      <c r="H222" s="200"/>
      <c r="I222" s="200"/>
      <c r="J222" s="200"/>
      <c r="K222" s="254"/>
      <c r="L222" s="200"/>
      <c r="M222" s="254"/>
      <c r="N222" s="200"/>
      <c r="O222" s="254"/>
      <c r="P222" s="200"/>
      <c r="Q222" s="254"/>
      <c r="R222" s="200"/>
      <c r="S222" s="254"/>
      <c r="T222" s="200"/>
      <c r="U222" s="254"/>
      <c r="V222" s="200"/>
      <c r="W222" s="254"/>
      <c r="X222" s="200"/>
      <c r="Y222" s="254"/>
      <c r="Z222" s="200"/>
      <c r="AA222" s="254"/>
      <c r="AB222" s="200"/>
      <c r="AC222" s="585"/>
      <c r="AD222" s="200"/>
      <c r="AE222" s="200"/>
      <c r="AF222" s="574"/>
    </row>
    <row r="223" spans="1:75" ht="13.5" customHeight="1">
      <c r="A223" s="206"/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574"/>
    </row>
    <row r="224" spans="1:75" ht="13.5" customHeight="1">
      <c r="A224" s="206"/>
      <c r="B224" s="254">
        <v>253</v>
      </c>
      <c r="C224" s="611"/>
      <c r="D224" s="254">
        <v>254</v>
      </c>
      <c r="E224" s="254"/>
      <c r="F224" s="254">
        <v>255</v>
      </c>
      <c r="G224" s="254"/>
      <c r="H224" s="254">
        <v>256</v>
      </c>
      <c r="I224" s="254"/>
      <c r="J224" s="254">
        <v>257</v>
      </c>
      <c r="K224" s="254"/>
      <c r="L224" s="254">
        <v>258</v>
      </c>
      <c r="M224" s="254"/>
      <c r="N224" s="254">
        <v>259</v>
      </c>
      <c r="O224" s="254"/>
      <c r="P224" s="254">
        <v>260</v>
      </c>
      <c r="Q224" s="254"/>
      <c r="R224" s="254">
        <v>261</v>
      </c>
      <c r="S224" s="254"/>
      <c r="T224" s="254">
        <v>262</v>
      </c>
      <c r="U224" s="254"/>
      <c r="V224" s="254">
        <v>263</v>
      </c>
      <c r="W224" s="254"/>
      <c r="X224" s="254">
        <v>264</v>
      </c>
      <c r="Y224" s="254"/>
      <c r="Z224" s="254">
        <v>265</v>
      </c>
      <c r="AA224" s="254"/>
      <c r="AB224" s="254">
        <v>266</v>
      </c>
      <c r="AC224" s="254"/>
      <c r="AD224" s="254">
        <v>267</v>
      </c>
      <c r="AE224" s="254"/>
      <c r="AF224" s="574"/>
    </row>
    <row r="225" spans="1:75" s="167" customFormat="1" ht="13.5" customHeight="1">
      <c r="A225" s="206"/>
      <c r="B225" s="304" t="s">
        <v>652</v>
      </c>
      <c r="C225" s="254"/>
      <c r="D225" s="304" t="s">
        <v>149</v>
      </c>
      <c r="E225" s="254"/>
      <c r="F225" s="304" t="s">
        <v>653</v>
      </c>
      <c r="G225" s="254"/>
      <c r="H225" s="304" t="s">
        <v>654</v>
      </c>
      <c r="I225" s="254"/>
      <c r="J225" s="304" t="s">
        <v>655</v>
      </c>
      <c r="K225" s="254"/>
      <c r="L225" s="304" t="s">
        <v>656</v>
      </c>
      <c r="M225" s="254"/>
      <c r="N225" s="304" t="s">
        <v>657</v>
      </c>
      <c r="O225" s="254"/>
      <c r="P225" s="304" t="s">
        <v>658</v>
      </c>
      <c r="Q225" s="254"/>
      <c r="R225" s="304" t="s">
        <v>414</v>
      </c>
      <c r="S225" s="254"/>
      <c r="T225" s="304" t="s">
        <v>432</v>
      </c>
      <c r="U225" s="254"/>
      <c r="V225" s="304" t="s">
        <v>434</v>
      </c>
      <c r="W225" s="254"/>
      <c r="X225" s="304" t="s">
        <v>408</v>
      </c>
      <c r="Y225" s="200"/>
      <c r="Z225" s="304" t="s">
        <v>397</v>
      </c>
      <c r="AA225" s="200"/>
      <c r="AB225" s="304" t="s">
        <v>415</v>
      </c>
      <c r="AC225" s="200"/>
      <c r="AD225" s="304" t="s">
        <v>403</v>
      </c>
      <c r="AE225" s="200"/>
      <c r="AF225" s="607"/>
      <c r="BW225" s="158"/>
    </row>
    <row r="226" spans="1:75" ht="13.5" customHeight="1">
      <c r="A226" s="206"/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574"/>
    </row>
    <row r="227" spans="1:75" ht="13.5" customHeight="1">
      <c r="A227" s="206"/>
      <c r="B227" s="254"/>
      <c r="C227" s="254"/>
      <c r="D227" s="254"/>
      <c r="E227" s="254"/>
      <c r="F227" s="254"/>
      <c r="G227" s="254"/>
      <c r="H227" s="254"/>
      <c r="I227" s="254"/>
      <c r="J227" s="254"/>
      <c r="K227" s="254"/>
      <c r="L227" s="254"/>
      <c r="M227" s="200"/>
      <c r="N227" s="254"/>
      <c r="O227" s="254"/>
      <c r="P227" s="254"/>
      <c r="Q227" s="200"/>
      <c r="R227" s="254"/>
      <c r="S227" s="254"/>
      <c r="T227" s="254"/>
      <c r="U227" s="254"/>
      <c r="V227" s="254"/>
      <c r="W227" s="254"/>
      <c r="X227" s="254"/>
      <c r="Y227" s="254"/>
      <c r="Z227" s="254"/>
      <c r="AA227" s="254"/>
      <c r="AB227" s="254"/>
      <c r="AC227" s="254"/>
      <c r="AD227" s="254"/>
      <c r="AE227" s="254"/>
      <c r="AF227" s="574"/>
    </row>
    <row r="228" spans="1:75" ht="13.5" customHeight="1" thickBo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74"/>
    </row>
    <row r="229" spans="1:75" ht="13.5" customHeight="1">
      <c r="A229" s="594"/>
      <c r="B229" s="183"/>
      <c r="C229" s="591"/>
      <c r="D229" s="183"/>
      <c r="E229" s="591"/>
      <c r="F229" s="183"/>
      <c r="G229" s="591"/>
      <c r="H229" s="183"/>
      <c r="I229" s="591"/>
      <c r="J229" s="183"/>
      <c r="K229" s="591"/>
      <c r="L229" s="183"/>
      <c r="M229" s="591"/>
      <c r="N229" s="183"/>
      <c r="O229" s="591"/>
      <c r="P229" s="183"/>
      <c r="Q229" s="591"/>
      <c r="R229" s="786"/>
      <c r="S229" s="591"/>
      <c r="T229" s="184"/>
      <c r="U229" s="591"/>
      <c r="V229" s="184"/>
      <c r="W229" s="591"/>
      <c r="X229" s="786"/>
      <c r="Y229" s="591"/>
      <c r="Z229" s="786"/>
      <c r="AA229" s="591"/>
      <c r="AB229" s="786"/>
      <c r="AC229" s="591"/>
      <c r="AD229" s="184"/>
      <c r="AE229" s="579"/>
      <c r="AF229" s="574"/>
    </row>
    <row r="230" spans="1:75" ht="13.5" customHeight="1">
      <c r="A230" s="594"/>
      <c r="B230" s="185"/>
      <c r="C230" s="592">
        <v>363</v>
      </c>
      <c r="D230" s="186" t="s">
        <v>550</v>
      </c>
      <c r="E230" s="592">
        <v>380</v>
      </c>
      <c r="F230" s="186"/>
      <c r="G230" s="592">
        <v>346</v>
      </c>
      <c r="H230" s="186"/>
      <c r="I230" s="592">
        <v>390</v>
      </c>
      <c r="J230" s="186" t="s">
        <v>550</v>
      </c>
      <c r="K230" s="592">
        <v>405</v>
      </c>
      <c r="L230" s="186"/>
      <c r="M230" s="592">
        <v>421</v>
      </c>
      <c r="N230" s="186"/>
      <c r="O230" s="592">
        <v>391</v>
      </c>
      <c r="P230" s="186" t="s">
        <v>550</v>
      </c>
      <c r="Q230" s="592">
        <v>394</v>
      </c>
      <c r="R230" s="787"/>
      <c r="S230" s="592">
        <v>382</v>
      </c>
      <c r="T230" s="187"/>
      <c r="U230" s="592">
        <v>384</v>
      </c>
      <c r="V230" s="187"/>
      <c r="W230" s="592">
        <v>406</v>
      </c>
      <c r="X230" s="787"/>
      <c r="Y230" s="592">
        <v>352</v>
      </c>
      <c r="Z230" s="787"/>
      <c r="AA230" s="592">
        <v>453</v>
      </c>
      <c r="AB230" s="787"/>
      <c r="AC230" s="592">
        <v>388</v>
      </c>
      <c r="AD230" s="187"/>
      <c r="AE230" s="581">
        <v>395</v>
      </c>
      <c r="AF230" s="574"/>
      <c r="BV230" s="501">
        <f>7</f>
        <v>7</v>
      </c>
      <c r="BW230" s="502">
        <v>3</v>
      </c>
    </row>
    <row r="231" spans="1:75" ht="13.5" customHeight="1" thickBot="1">
      <c r="A231" s="594"/>
      <c r="B231" s="188"/>
      <c r="C231" s="166"/>
      <c r="D231" s="188"/>
      <c r="E231" s="166"/>
      <c r="F231" s="188"/>
      <c r="G231" s="166"/>
      <c r="H231" s="188"/>
      <c r="I231" s="166"/>
      <c r="J231" s="188"/>
      <c r="K231" s="166"/>
      <c r="L231" s="188"/>
      <c r="M231" s="166"/>
      <c r="N231" s="188"/>
      <c r="O231" s="166"/>
      <c r="P231" s="188"/>
      <c r="Q231" s="166"/>
      <c r="R231" s="788"/>
      <c r="S231" s="166"/>
      <c r="T231" s="189"/>
      <c r="U231" s="166"/>
      <c r="V231" s="189"/>
      <c r="W231" s="166"/>
      <c r="X231" s="788"/>
      <c r="Y231" s="166"/>
      <c r="Z231" s="788"/>
      <c r="AA231" s="166"/>
      <c r="AB231" s="788"/>
      <c r="AC231" s="166"/>
      <c r="AD231" s="189"/>
      <c r="AE231" s="200"/>
      <c r="AF231" s="574"/>
    </row>
    <row r="232" spans="1:75" ht="13.5" customHeight="1">
      <c r="A232" s="206"/>
      <c r="B232" s="254" t="s">
        <v>399</v>
      </c>
      <c r="C232" s="254"/>
      <c r="D232" s="258" t="s">
        <v>335</v>
      </c>
      <c r="E232" s="254"/>
      <c r="F232" s="254" t="s">
        <v>350</v>
      </c>
      <c r="G232" s="254"/>
      <c r="H232" s="254" t="s">
        <v>350</v>
      </c>
      <c r="I232" s="254"/>
      <c r="J232" s="254" t="s">
        <v>350</v>
      </c>
      <c r="K232" s="254"/>
      <c r="L232" s="254" t="s">
        <v>357</v>
      </c>
      <c r="M232" s="254"/>
      <c r="N232" s="254" t="s">
        <v>357</v>
      </c>
      <c r="O232" s="254"/>
      <c r="P232" s="254" t="s">
        <v>350</v>
      </c>
      <c r="Q232" s="254"/>
      <c r="R232" s="258" t="s">
        <v>335</v>
      </c>
      <c r="S232" s="254"/>
      <c r="T232" s="254" t="s">
        <v>350</v>
      </c>
      <c r="U232" s="254"/>
      <c r="V232" s="254" t="s">
        <v>357</v>
      </c>
      <c r="W232" s="254"/>
      <c r="X232" s="254" t="s">
        <v>350</v>
      </c>
      <c r="Y232" s="254"/>
      <c r="Z232" s="254" t="s">
        <v>357</v>
      </c>
      <c r="AA232" s="254"/>
      <c r="AB232" s="254" t="s">
        <v>399</v>
      </c>
      <c r="AC232" s="254"/>
      <c r="AD232" s="254" t="s">
        <v>350</v>
      </c>
      <c r="AE232" s="254"/>
      <c r="AF232" s="574"/>
    </row>
    <row r="233" spans="1:75" ht="13.5" customHeight="1">
      <c r="A233" s="206"/>
      <c r="B233" s="200"/>
      <c r="C233" s="254"/>
      <c r="D233" s="200"/>
      <c r="E233" s="254"/>
      <c r="F233" s="200"/>
      <c r="G233" s="254"/>
      <c r="H233" s="200"/>
      <c r="I233" s="254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54"/>
      <c r="V233" s="200"/>
      <c r="W233" s="254"/>
      <c r="X233" s="200"/>
      <c r="Y233" s="254"/>
      <c r="Z233" s="200"/>
      <c r="AA233" s="200"/>
      <c r="AB233" s="200"/>
      <c r="AC233" s="200"/>
      <c r="AD233" s="200"/>
      <c r="AE233" s="200"/>
      <c r="AF233" s="57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612"/>
      <c r="Y234" s="254"/>
      <c r="Z234" s="612"/>
      <c r="AA234" s="200"/>
      <c r="AB234" s="200"/>
      <c r="AC234" s="200"/>
      <c r="AD234" s="200"/>
      <c r="AE234" s="200"/>
      <c r="AF234" s="57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12"/>
      <c r="Y235" s="254"/>
      <c r="Z235" s="612"/>
      <c r="AA235" s="200"/>
      <c r="AB235" s="200"/>
      <c r="AC235" s="200"/>
      <c r="AD235" s="200"/>
      <c r="AE235" s="200"/>
      <c r="AF235" s="57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12"/>
      <c r="Y236" s="254"/>
      <c r="Z236" s="612"/>
      <c r="AA236" s="200"/>
      <c r="AB236" s="200"/>
      <c r="AC236" s="200"/>
      <c r="AD236" s="200"/>
      <c r="AE236" s="200"/>
      <c r="AF236" s="574"/>
    </row>
    <row r="237" spans="1:75" ht="13.5" customHeight="1">
      <c r="A237" s="206"/>
      <c r="B237" s="254">
        <v>268</v>
      </c>
      <c r="C237" s="611"/>
      <c r="D237" s="254">
        <v>269</v>
      </c>
      <c r="E237" s="254"/>
      <c r="F237" s="254">
        <v>270</v>
      </c>
      <c r="G237" s="254"/>
      <c r="H237" s="254">
        <v>271</v>
      </c>
      <c r="I237" s="254"/>
      <c r="J237" s="254">
        <v>272</v>
      </c>
      <c r="K237" s="254"/>
      <c r="L237" s="254">
        <v>273</v>
      </c>
      <c r="M237" s="254"/>
      <c r="N237" s="254">
        <v>274</v>
      </c>
      <c r="O237" s="254"/>
      <c r="P237" s="254">
        <v>275</v>
      </c>
      <c r="Q237" s="254"/>
      <c r="R237" s="254">
        <v>276</v>
      </c>
      <c r="S237" s="254"/>
      <c r="T237" s="254">
        <v>277</v>
      </c>
      <c r="U237" s="254"/>
      <c r="V237" s="254">
        <v>278</v>
      </c>
      <c r="W237" s="254"/>
      <c r="X237" s="254">
        <v>279</v>
      </c>
      <c r="Y237" s="254"/>
      <c r="Z237" s="254">
        <v>280</v>
      </c>
      <c r="AA237" s="254"/>
      <c r="AB237" s="254">
        <v>281</v>
      </c>
      <c r="AC237" s="254"/>
      <c r="AD237" s="254">
        <v>282</v>
      </c>
      <c r="AE237" s="254"/>
      <c r="AF237" s="574"/>
    </row>
    <row r="238" spans="1:75" ht="13.5" customHeight="1">
      <c r="A238" s="206"/>
      <c r="B238" s="304" t="s">
        <v>150</v>
      </c>
      <c r="C238" s="254"/>
      <c r="D238" s="304" t="s">
        <v>436</v>
      </c>
      <c r="E238" s="254"/>
      <c r="F238" s="304" t="s">
        <v>435</v>
      </c>
      <c r="G238" s="254"/>
      <c r="H238" s="304" t="s">
        <v>659</v>
      </c>
      <c r="I238" s="254"/>
      <c r="J238" s="304" t="s">
        <v>437</v>
      </c>
      <c r="K238" s="254"/>
      <c r="L238" s="304" t="s">
        <v>431</v>
      </c>
      <c r="M238" s="254"/>
      <c r="N238" s="304" t="s">
        <v>151</v>
      </c>
      <c r="O238" s="254"/>
      <c r="P238" s="304" t="s">
        <v>421</v>
      </c>
      <c r="Q238" s="254"/>
      <c r="R238" s="304" t="s">
        <v>660</v>
      </c>
      <c r="S238" s="254"/>
      <c r="T238" s="304" t="s">
        <v>661</v>
      </c>
      <c r="U238" s="254"/>
      <c r="V238" s="304" t="s">
        <v>662</v>
      </c>
      <c r="W238" s="254"/>
      <c r="X238" s="304" t="s">
        <v>663</v>
      </c>
      <c r="Y238" s="200"/>
      <c r="Z238" s="304" t="s">
        <v>664</v>
      </c>
      <c r="AA238" s="200"/>
      <c r="AB238" s="304" t="s">
        <v>665</v>
      </c>
      <c r="AC238" s="200"/>
      <c r="AD238" s="304" t="s">
        <v>463</v>
      </c>
      <c r="AE238" s="200"/>
      <c r="AF238" s="607"/>
    </row>
    <row r="239" spans="1:75" ht="13.5" customHeight="1">
      <c r="A239" s="206"/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574"/>
    </row>
    <row r="240" spans="1:75" ht="13.5" customHeight="1">
      <c r="A240" s="206"/>
      <c r="B240" s="254"/>
      <c r="C240" s="200"/>
      <c r="D240" s="254"/>
      <c r="E240" s="254"/>
      <c r="F240" s="254"/>
      <c r="G240" s="200"/>
      <c r="H240" s="254"/>
      <c r="I240" s="254"/>
      <c r="J240" s="254"/>
      <c r="K240" s="254"/>
      <c r="L240" s="254"/>
      <c r="M240" s="254"/>
      <c r="N240" s="254"/>
      <c r="O240" s="254"/>
      <c r="P240" s="254"/>
      <c r="Q240" s="254"/>
      <c r="R240" s="254"/>
      <c r="S240" s="254"/>
      <c r="T240" s="254"/>
      <c r="U240" s="254"/>
      <c r="V240" s="254"/>
      <c r="W240" s="200"/>
      <c r="X240" s="254"/>
      <c r="Y240" s="254"/>
      <c r="Z240" s="254"/>
      <c r="AA240" s="200"/>
      <c r="AB240" s="254"/>
      <c r="AC240" s="254"/>
      <c r="AD240" s="254"/>
      <c r="AE240" s="254"/>
      <c r="AF240" s="574"/>
    </row>
    <row r="241" spans="1:75" ht="13.5" customHeight="1" thickBo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74"/>
    </row>
    <row r="242" spans="1:75" ht="13.5" customHeight="1">
      <c r="A242" s="206"/>
      <c r="B242" s="184"/>
      <c r="C242" s="591"/>
      <c r="D242" s="184"/>
      <c r="E242" s="591"/>
      <c r="F242" s="184"/>
      <c r="G242" s="591"/>
      <c r="H242" s="183"/>
      <c r="I242" s="591"/>
      <c r="J242" s="184"/>
      <c r="K242" s="591"/>
      <c r="L242" s="184"/>
      <c r="M242" s="591"/>
      <c r="N242" s="184"/>
      <c r="O242" s="591"/>
      <c r="P242" s="202"/>
      <c r="Q242" s="591"/>
      <c r="R242" s="183"/>
      <c r="S242" s="591"/>
      <c r="T242" s="183"/>
      <c r="U242" s="591"/>
      <c r="V242" s="183"/>
      <c r="W242" s="591"/>
      <c r="X242" s="183"/>
      <c r="Y242" s="591"/>
      <c r="Z242" s="183"/>
      <c r="AA242" s="591"/>
      <c r="AB242" s="183"/>
      <c r="AC242" s="591"/>
      <c r="AD242" s="183"/>
      <c r="AE242" s="579"/>
      <c r="AF242" s="580"/>
    </row>
    <row r="243" spans="1:75" ht="13.5" customHeight="1">
      <c r="A243" s="206"/>
      <c r="B243" s="187"/>
      <c r="C243" s="592">
        <v>430</v>
      </c>
      <c r="D243" s="187"/>
      <c r="E243" s="592">
        <v>388</v>
      </c>
      <c r="F243" s="187"/>
      <c r="G243" s="592">
        <v>402</v>
      </c>
      <c r="H243" s="186"/>
      <c r="I243" s="592">
        <v>437</v>
      </c>
      <c r="J243" s="187"/>
      <c r="K243" s="592">
        <v>405</v>
      </c>
      <c r="L243" s="187"/>
      <c r="M243" s="592">
        <v>337</v>
      </c>
      <c r="N243" s="187"/>
      <c r="O243" s="592">
        <v>282</v>
      </c>
      <c r="P243" s="187"/>
      <c r="Q243" s="592">
        <v>435</v>
      </c>
      <c r="R243" s="186"/>
      <c r="S243" s="592">
        <v>407</v>
      </c>
      <c r="T243" s="186"/>
      <c r="U243" s="592">
        <v>426</v>
      </c>
      <c r="V243" s="186"/>
      <c r="W243" s="592">
        <v>374</v>
      </c>
      <c r="X243" s="186"/>
      <c r="Y243" s="592">
        <v>440</v>
      </c>
      <c r="Z243" s="186"/>
      <c r="AA243" s="592">
        <v>386</v>
      </c>
      <c r="AB243" s="186"/>
      <c r="AC243" s="592">
        <v>210</v>
      </c>
      <c r="AD243" s="186"/>
      <c r="AE243" s="581"/>
      <c r="AF243" s="574"/>
    </row>
    <row r="244" spans="1:75" ht="13.5" customHeight="1" thickBot="1">
      <c r="A244" s="206"/>
      <c r="B244" s="189"/>
      <c r="C244" s="166"/>
      <c r="D244" s="189"/>
      <c r="E244" s="166"/>
      <c r="F244" s="189"/>
      <c r="G244" s="166"/>
      <c r="H244" s="188"/>
      <c r="I244" s="166"/>
      <c r="J244" s="189"/>
      <c r="K244" s="166"/>
      <c r="L244" s="189"/>
      <c r="M244" s="166"/>
      <c r="N244" s="189"/>
      <c r="O244" s="166"/>
      <c r="P244" s="203"/>
      <c r="Q244" s="166"/>
      <c r="R244" s="188"/>
      <c r="S244" s="166"/>
      <c r="T244" s="188"/>
      <c r="U244" s="166"/>
      <c r="V244" s="188"/>
      <c r="W244" s="166"/>
      <c r="X244" s="188"/>
      <c r="Y244" s="166"/>
      <c r="Z244" s="188"/>
      <c r="AA244" s="166"/>
      <c r="AB244" s="188"/>
      <c r="AC244" s="166"/>
      <c r="AD244" s="188"/>
      <c r="AE244" s="200"/>
      <c r="AF244" s="574"/>
    </row>
    <row r="245" spans="1:75" ht="13.5" customHeight="1">
      <c r="A245" s="206"/>
      <c r="B245" s="258" t="s">
        <v>309</v>
      </c>
      <c r="C245" s="254"/>
      <c r="D245" s="254" t="s">
        <v>357</v>
      </c>
      <c r="E245" s="254"/>
      <c r="F245" s="254" t="s">
        <v>350</v>
      </c>
      <c r="G245" s="254"/>
      <c r="H245" s="258" t="s">
        <v>666</v>
      </c>
      <c r="I245" s="254"/>
      <c r="J245" s="254" t="s">
        <v>357</v>
      </c>
      <c r="K245" s="254"/>
      <c r="L245" s="254" t="s">
        <v>350</v>
      </c>
      <c r="M245" s="254"/>
      <c r="N245" s="258" t="s">
        <v>335</v>
      </c>
      <c r="O245" s="254"/>
      <c r="P245" s="254" t="s">
        <v>399</v>
      </c>
      <c r="Q245" s="254"/>
      <c r="R245" s="254" t="s">
        <v>350</v>
      </c>
      <c r="S245" s="254"/>
      <c r="T245" s="254" t="s">
        <v>399</v>
      </c>
      <c r="U245" s="254"/>
      <c r="V245" s="254" t="s">
        <v>350</v>
      </c>
      <c r="W245" s="254"/>
      <c r="X245" s="254" t="s">
        <v>357</v>
      </c>
      <c r="Y245" s="254"/>
      <c r="Z245" s="254" t="s">
        <v>350</v>
      </c>
      <c r="AA245" s="254"/>
      <c r="AB245" s="258" t="s">
        <v>300</v>
      </c>
      <c r="AC245" s="254"/>
      <c r="AD245" s="258" t="s">
        <v>300</v>
      </c>
      <c r="AE245" s="254"/>
      <c r="AF245" s="574"/>
    </row>
    <row r="246" spans="1:75" ht="13.5" customHeight="1">
      <c r="A246" s="206"/>
      <c r="B246" s="200"/>
      <c r="C246" s="254"/>
      <c r="D246" s="200"/>
      <c r="E246" s="254"/>
      <c r="F246" s="200"/>
      <c r="G246" s="254"/>
      <c r="H246" s="200"/>
      <c r="I246" s="254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54"/>
      <c r="V246" s="200"/>
      <c r="W246" s="254"/>
      <c r="X246" s="612"/>
      <c r="Y246" s="254"/>
      <c r="Z246" s="612"/>
      <c r="AA246" s="200"/>
      <c r="AB246" s="200"/>
      <c r="AC246" s="200"/>
      <c r="AD246" s="200"/>
      <c r="AE246" s="200"/>
      <c r="AF246" s="57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12"/>
      <c r="Y247" s="254"/>
      <c r="Z247" s="612"/>
      <c r="AA247" s="200"/>
      <c r="AB247" s="200"/>
      <c r="AC247" s="200"/>
      <c r="AD247" s="200"/>
      <c r="AE247" s="200"/>
      <c r="AF247" s="574"/>
    </row>
    <row r="248" spans="1:75" ht="13.5" customHeight="1">
      <c r="A248" s="206"/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57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74"/>
    </row>
    <row r="250" spans="1:75" s="167" customFormat="1" ht="13.5" customHeight="1">
      <c r="A250" s="206"/>
      <c r="B250" s="254">
        <v>283</v>
      </c>
      <c r="C250" s="254"/>
      <c r="D250" s="254">
        <v>284</v>
      </c>
      <c r="E250" s="254"/>
      <c r="F250" s="254">
        <v>285</v>
      </c>
      <c r="G250" s="254"/>
      <c r="H250" s="254">
        <v>286</v>
      </c>
      <c r="I250" s="254"/>
      <c r="J250" s="254">
        <v>287</v>
      </c>
      <c r="K250" s="254"/>
      <c r="L250" s="254">
        <v>288</v>
      </c>
      <c r="M250" s="254"/>
      <c r="N250" s="254">
        <v>289</v>
      </c>
      <c r="O250" s="254"/>
      <c r="P250" s="254">
        <v>290</v>
      </c>
      <c r="Q250" s="254"/>
      <c r="R250" s="254">
        <v>291</v>
      </c>
      <c r="S250" s="254"/>
      <c r="T250" s="254">
        <v>292</v>
      </c>
      <c r="U250" s="254"/>
      <c r="V250" s="254">
        <v>293</v>
      </c>
      <c r="W250" s="254"/>
      <c r="X250" s="254">
        <v>294</v>
      </c>
      <c r="Y250" s="254"/>
      <c r="Z250" s="254">
        <v>295</v>
      </c>
      <c r="AA250" s="254"/>
      <c r="AB250" s="254">
        <v>296</v>
      </c>
      <c r="AC250" s="254"/>
      <c r="AD250" s="254">
        <v>297</v>
      </c>
      <c r="AE250" s="254"/>
      <c r="AF250" s="608"/>
      <c r="BW250" s="158"/>
    </row>
    <row r="251" spans="1:75" ht="13.5" customHeight="1">
      <c r="A251" s="206"/>
      <c r="B251" s="304" t="s">
        <v>765</v>
      </c>
      <c r="C251" s="254"/>
      <c r="D251" s="304" t="s">
        <v>767</v>
      </c>
      <c r="E251" s="254"/>
      <c r="F251" s="304" t="s">
        <v>152</v>
      </c>
      <c r="G251" s="254"/>
      <c r="H251" s="304" t="s">
        <v>1173</v>
      </c>
      <c r="I251" s="254"/>
      <c r="J251" s="304" t="s">
        <v>166</v>
      </c>
      <c r="K251" s="254"/>
      <c r="L251" s="304" t="s">
        <v>769</v>
      </c>
      <c r="M251" s="254"/>
      <c r="N251" s="304" t="s">
        <v>153</v>
      </c>
      <c r="O251" s="254"/>
      <c r="P251" s="304" t="s">
        <v>770</v>
      </c>
      <c r="Q251" s="254"/>
      <c r="R251" s="304" t="s">
        <v>771</v>
      </c>
      <c r="S251" s="254"/>
      <c r="T251" s="304" t="s">
        <v>1174</v>
      </c>
      <c r="U251" s="254"/>
      <c r="V251" s="304" t="s">
        <v>1175</v>
      </c>
      <c r="W251" s="254"/>
      <c r="X251" s="304" t="s">
        <v>772</v>
      </c>
      <c r="Y251" s="200"/>
      <c r="Z251" s="304" t="s">
        <v>1176</v>
      </c>
      <c r="AA251" s="200"/>
      <c r="AB251" s="304" t="s">
        <v>1177</v>
      </c>
      <c r="AC251" s="200"/>
      <c r="AD251" s="304" t="s">
        <v>1178</v>
      </c>
      <c r="AE251" s="200"/>
      <c r="AF251" s="607"/>
    </row>
    <row r="252" spans="1:75" ht="13.5" customHeight="1">
      <c r="A252" s="206"/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574"/>
      <c r="BW252" s="502">
        <v>1</v>
      </c>
    </row>
    <row r="253" spans="1:75" ht="13.5" customHeight="1">
      <c r="A253" s="206"/>
      <c r="B253" s="254"/>
      <c r="C253" s="200"/>
      <c r="D253" s="254"/>
      <c r="E253" s="254"/>
      <c r="F253" s="254"/>
      <c r="G253" s="200"/>
      <c r="H253" s="254"/>
      <c r="I253" s="254"/>
      <c r="J253" s="254"/>
      <c r="K253" s="254"/>
      <c r="L253" s="254"/>
      <c r="M253" s="254"/>
      <c r="N253" s="254"/>
      <c r="O253" s="254"/>
      <c r="P253" s="254"/>
      <c r="Q253" s="254"/>
      <c r="R253" s="254"/>
      <c r="S253" s="254"/>
      <c r="T253" s="254"/>
      <c r="U253" s="254"/>
      <c r="V253" s="254"/>
      <c r="W253" s="200"/>
      <c r="X253" s="254"/>
      <c r="Y253" s="254"/>
      <c r="Z253" s="254"/>
      <c r="AA253" s="200"/>
      <c r="AB253" s="254"/>
      <c r="AC253" s="254"/>
      <c r="AD253" s="254"/>
      <c r="AE253" s="254"/>
      <c r="AF253" s="574"/>
    </row>
    <row r="254" spans="1:75" ht="13.5" customHeight="1" thickBot="1">
      <c r="A254" s="594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74"/>
    </row>
    <row r="255" spans="1:75" ht="13.5" customHeight="1">
      <c r="A255" s="594"/>
      <c r="B255" s="261"/>
      <c r="C255" s="579"/>
      <c r="D255" s="261"/>
      <c r="E255" s="579"/>
      <c r="F255" s="261"/>
      <c r="G255" s="579"/>
      <c r="H255" s="261"/>
      <c r="I255" s="579"/>
      <c r="J255" s="261"/>
      <c r="K255" s="579"/>
      <c r="L255" s="261"/>
      <c r="M255" s="579"/>
      <c r="N255" s="261"/>
      <c r="O255" s="579"/>
      <c r="P255" s="261"/>
      <c r="Q255" s="579"/>
      <c r="R255" s="261"/>
      <c r="S255" s="579"/>
      <c r="T255" s="261"/>
      <c r="U255" s="579"/>
      <c r="V255" s="261"/>
      <c r="W255" s="579"/>
      <c r="X255" s="261"/>
      <c r="Y255" s="579"/>
      <c r="Z255" s="261"/>
      <c r="AA255" s="579"/>
      <c r="AB255" s="261"/>
      <c r="AC255" s="579"/>
      <c r="AD255" s="261"/>
      <c r="AE255" s="579"/>
      <c r="AF255" s="580"/>
      <c r="BV255" s="501">
        <v>7</v>
      </c>
    </row>
    <row r="256" spans="1:75" ht="13.5" customHeight="1">
      <c r="A256" s="594"/>
      <c r="B256" s="262"/>
      <c r="C256" s="581">
        <v>414</v>
      </c>
      <c r="D256" s="263"/>
      <c r="E256" s="581">
        <v>421</v>
      </c>
      <c r="F256" s="263"/>
      <c r="G256" s="581">
        <v>356</v>
      </c>
      <c r="H256" s="263"/>
      <c r="I256" s="581">
        <v>243</v>
      </c>
      <c r="J256" s="263" t="s">
        <v>550</v>
      </c>
      <c r="K256" s="581">
        <v>372</v>
      </c>
      <c r="L256" s="263"/>
      <c r="M256" s="581">
        <v>398</v>
      </c>
      <c r="N256" s="263"/>
      <c r="O256" s="581">
        <v>346</v>
      </c>
      <c r="P256" s="263"/>
      <c r="Q256" s="581">
        <v>405</v>
      </c>
      <c r="R256" s="263"/>
      <c r="S256" s="581">
        <v>417</v>
      </c>
      <c r="T256" s="263"/>
      <c r="U256" s="581">
        <v>402</v>
      </c>
      <c r="V256" s="263"/>
      <c r="W256" s="581">
        <v>415</v>
      </c>
      <c r="X256" s="263"/>
      <c r="Y256" s="581">
        <v>352</v>
      </c>
      <c r="Z256" s="263"/>
      <c r="AA256" s="581">
        <v>397</v>
      </c>
      <c r="AB256" s="263"/>
      <c r="AC256" s="581">
        <v>377</v>
      </c>
      <c r="AD256" s="263"/>
      <c r="AE256" s="581">
        <v>438</v>
      </c>
      <c r="AF256" s="574"/>
    </row>
    <row r="257" spans="1:74" ht="13.5" customHeight="1" thickBot="1">
      <c r="A257" s="206"/>
      <c r="B257" s="264"/>
      <c r="C257" s="200"/>
      <c r="D257" s="264"/>
      <c r="E257" s="200"/>
      <c r="F257" s="264"/>
      <c r="G257" s="200"/>
      <c r="H257" s="264"/>
      <c r="I257" s="200"/>
      <c r="J257" s="264"/>
      <c r="K257" s="200"/>
      <c r="L257" s="264"/>
      <c r="M257" s="200"/>
      <c r="N257" s="264"/>
      <c r="O257" s="200"/>
      <c r="P257" s="264"/>
      <c r="Q257" s="200"/>
      <c r="R257" s="264"/>
      <c r="S257" s="200"/>
      <c r="T257" s="264"/>
      <c r="U257" s="200"/>
      <c r="V257" s="264"/>
      <c r="W257" s="200"/>
      <c r="X257" s="264"/>
      <c r="Y257" s="200"/>
      <c r="Z257" s="264"/>
      <c r="AA257" s="200"/>
      <c r="AB257" s="264"/>
      <c r="AC257" s="200"/>
      <c r="AD257" s="264"/>
      <c r="AE257" s="200"/>
      <c r="AF257" s="574"/>
    </row>
    <row r="258" spans="1:74" ht="13.5" customHeight="1">
      <c r="A258" s="206"/>
      <c r="B258" s="258" t="s">
        <v>373</v>
      </c>
      <c r="C258" s="254"/>
      <c r="D258" s="254" t="s">
        <v>357</v>
      </c>
      <c r="E258" s="254"/>
      <c r="F258" s="254" t="s">
        <v>350</v>
      </c>
      <c r="G258" s="254"/>
      <c r="H258" s="258" t="s">
        <v>330</v>
      </c>
      <c r="I258" s="254"/>
      <c r="J258" s="258" t="s">
        <v>302</v>
      </c>
      <c r="K258" s="254"/>
      <c r="L258" s="254" t="s">
        <v>350</v>
      </c>
      <c r="M258" s="254"/>
      <c r="N258" s="254" t="s">
        <v>357</v>
      </c>
      <c r="O258" s="254"/>
      <c r="P258" s="254" t="s">
        <v>350</v>
      </c>
      <c r="Q258" s="254"/>
      <c r="R258" s="254" t="s">
        <v>357</v>
      </c>
      <c r="S258" s="254"/>
      <c r="T258" s="258" t="s">
        <v>330</v>
      </c>
      <c r="U258" s="254"/>
      <c r="V258" s="254" t="s">
        <v>357</v>
      </c>
      <c r="W258" s="254"/>
      <c r="X258" s="254" t="s">
        <v>350</v>
      </c>
      <c r="Y258" s="254"/>
      <c r="Z258" s="254" t="s">
        <v>350</v>
      </c>
      <c r="AA258" s="254"/>
      <c r="AB258" s="254" t="s">
        <v>350</v>
      </c>
      <c r="AC258" s="254"/>
      <c r="AD258" s="254" t="s">
        <v>350</v>
      </c>
      <c r="AE258" s="254"/>
      <c r="AF258" s="574"/>
    </row>
    <row r="259" spans="1:74" ht="13.5" hidden="1" customHeight="1">
      <c r="A259" s="206"/>
      <c r="B259" s="200"/>
      <c r="C259" s="254"/>
      <c r="D259" s="200"/>
      <c r="E259" s="254"/>
      <c r="F259" s="200"/>
      <c r="G259" s="200"/>
      <c r="H259" s="200"/>
      <c r="I259" s="200"/>
      <c r="J259" s="200"/>
      <c r="K259" s="254"/>
      <c r="L259" s="200"/>
      <c r="M259" s="254"/>
      <c r="N259" s="200"/>
      <c r="O259" s="254"/>
      <c r="P259" s="200"/>
      <c r="Q259" s="254"/>
      <c r="R259" s="200"/>
      <c r="S259" s="254"/>
      <c r="T259" s="200"/>
      <c r="U259" s="254"/>
      <c r="V259" s="200"/>
      <c r="W259" s="254"/>
      <c r="X259" s="200"/>
      <c r="Y259" s="254"/>
      <c r="Z259" s="200"/>
      <c r="AA259" s="254"/>
      <c r="AB259" s="200"/>
      <c r="AC259" s="585"/>
      <c r="AD259" s="200"/>
      <c r="AE259" s="200"/>
      <c r="AF259" s="574"/>
    </row>
    <row r="260" spans="1:74" ht="13.5" hidden="1" customHeight="1">
      <c r="A260" s="206"/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574"/>
    </row>
    <row r="261" spans="1:74" ht="13.5" hidden="1" customHeight="1">
      <c r="A261" s="206"/>
      <c r="B261" s="254"/>
      <c r="C261" s="200"/>
      <c r="D261" s="254"/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254"/>
      <c r="U261" s="254"/>
      <c r="V261" s="254"/>
      <c r="W261" s="254"/>
      <c r="X261" s="254"/>
      <c r="Y261" s="254"/>
      <c r="Z261" s="254"/>
      <c r="AA261" s="254"/>
      <c r="AB261" s="254"/>
      <c r="AC261" s="254"/>
      <c r="AD261" s="254"/>
      <c r="AE261" s="254"/>
      <c r="AF261" s="574"/>
    </row>
    <row r="262" spans="1:74" ht="13.5" hidden="1" customHeight="1">
      <c r="A262" s="206"/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574"/>
    </row>
    <row r="263" spans="1:74" ht="13.5" hidden="1" customHeight="1">
      <c r="A263" s="206"/>
      <c r="B263" s="254"/>
      <c r="C263" s="254"/>
      <c r="D263" s="254"/>
      <c r="E263" s="254"/>
      <c r="F263" s="254"/>
      <c r="G263" s="254"/>
      <c r="H263" s="254"/>
      <c r="I263" s="254"/>
      <c r="J263" s="254"/>
      <c r="K263" s="254"/>
      <c r="L263" s="254"/>
      <c r="M263" s="200"/>
      <c r="N263" s="254"/>
      <c r="O263" s="254"/>
      <c r="P263" s="254"/>
      <c r="Q263" s="200"/>
      <c r="R263" s="254"/>
      <c r="S263" s="254"/>
      <c r="T263" s="254"/>
      <c r="U263" s="254"/>
      <c r="V263" s="254"/>
      <c r="W263" s="254"/>
      <c r="X263" s="254"/>
      <c r="Y263" s="254"/>
      <c r="Z263" s="254"/>
      <c r="AA263" s="254"/>
      <c r="AB263" s="254"/>
      <c r="AC263" s="254"/>
      <c r="AD263" s="254"/>
      <c r="AE263" s="254"/>
      <c r="AF263" s="574"/>
    </row>
    <row r="264" spans="1:74" ht="13.5" hidden="1" customHeight="1" thickBo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74"/>
    </row>
    <row r="265" spans="1:74" ht="13.5" hidden="1" customHeight="1">
      <c r="A265" s="206"/>
      <c r="B265" s="261"/>
      <c r="C265" s="579"/>
      <c r="D265" s="261"/>
      <c r="E265" s="579"/>
      <c r="F265" s="261"/>
      <c r="G265" s="579"/>
      <c r="H265" s="261"/>
      <c r="I265" s="579"/>
      <c r="J265" s="261"/>
      <c r="K265" s="579"/>
      <c r="L265" s="261"/>
      <c r="M265" s="579"/>
      <c r="N265" s="261"/>
      <c r="O265" s="579"/>
      <c r="P265" s="261"/>
      <c r="Q265" s="579"/>
      <c r="R265" s="261"/>
      <c r="S265" s="579"/>
      <c r="T265" s="261"/>
      <c r="U265" s="579"/>
      <c r="V265" s="261"/>
      <c r="W265" s="579"/>
      <c r="X265" s="261"/>
      <c r="Y265" s="579"/>
      <c r="Z265" s="261"/>
      <c r="AA265" s="579"/>
      <c r="AB265" s="261"/>
      <c r="AC265" s="579"/>
      <c r="AD265" s="261"/>
      <c r="AE265" s="579"/>
      <c r="AF265" s="574"/>
    </row>
    <row r="266" spans="1:74" ht="13.5" hidden="1" customHeight="1">
      <c r="A266" s="206"/>
      <c r="B266" s="262"/>
      <c r="C266" s="581"/>
      <c r="D266" s="263"/>
      <c r="E266" s="581"/>
      <c r="F266" s="263"/>
      <c r="G266" s="581"/>
      <c r="H266" s="263"/>
      <c r="I266" s="581"/>
      <c r="J266" s="263"/>
      <c r="K266" s="581"/>
      <c r="L266" s="263"/>
      <c r="M266" s="581"/>
      <c r="N266" s="263"/>
      <c r="O266" s="581"/>
      <c r="P266" s="263"/>
      <c r="Q266" s="581"/>
      <c r="R266" s="263"/>
      <c r="S266" s="581"/>
      <c r="T266" s="263"/>
      <c r="U266" s="581"/>
      <c r="V266" s="263"/>
      <c r="W266" s="581"/>
      <c r="X266" s="263"/>
      <c r="Y266" s="581"/>
      <c r="Z266" s="263"/>
      <c r="AA266" s="581"/>
      <c r="AB266" s="263"/>
      <c r="AC266" s="581"/>
      <c r="AD266" s="263"/>
      <c r="AE266" s="581"/>
      <c r="AF266" s="574"/>
    </row>
    <row r="267" spans="1:74" ht="13.5" hidden="1" customHeight="1" thickBot="1">
      <c r="A267" s="206"/>
      <c r="B267" s="264"/>
      <c r="C267" s="200"/>
      <c r="D267" s="264"/>
      <c r="E267" s="200"/>
      <c r="F267" s="264"/>
      <c r="G267" s="200"/>
      <c r="H267" s="264"/>
      <c r="I267" s="200"/>
      <c r="J267" s="264"/>
      <c r="K267" s="200"/>
      <c r="L267" s="264"/>
      <c r="M267" s="200"/>
      <c r="N267" s="264"/>
      <c r="O267" s="200"/>
      <c r="P267" s="264"/>
      <c r="Q267" s="200"/>
      <c r="R267" s="264"/>
      <c r="S267" s="200"/>
      <c r="T267" s="264"/>
      <c r="U267" s="200"/>
      <c r="V267" s="264"/>
      <c r="W267" s="200"/>
      <c r="X267" s="264"/>
      <c r="Y267" s="200"/>
      <c r="Z267" s="264"/>
      <c r="AA267" s="200"/>
      <c r="AB267" s="264"/>
      <c r="AC267" s="200"/>
      <c r="AD267" s="264"/>
      <c r="AE267" s="200"/>
      <c r="AF267" s="574"/>
    </row>
    <row r="268" spans="1:74" ht="13.5" hidden="1" customHeight="1">
      <c r="A268" s="206"/>
      <c r="B268" s="254"/>
      <c r="C268" s="254"/>
      <c r="D268" s="254"/>
      <c r="E268" s="254"/>
      <c r="F268" s="254"/>
      <c r="G268" s="254"/>
      <c r="H268" s="254"/>
      <c r="I268" s="254"/>
      <c r="J268" s="254"/>
      <c r="K268" s="254"/>
      <c r="L268" s="254"/>
      <c r="M268" s="254"/>
      <c r="N268" s="258"/>
      <c r="O268" s="254"/>
      <c r="P268" s="254"/>
      <c r="Q268" s="254"/>
      <c r="R268" s="254"/>
      <c r="S268" s="254"/>
      <c r="T268" s="254"/>
      <c r="U268" s="254"/>
      <c r="V268" s="254"/>
      <c r="W268" s="254"/>
      <c r="X268" s="254"/>
      <c r="Y268" s="254"/>
      <c r="Z268" s="254"/>
      <c r="AA268" s="254"/>
      <c r="AB268" s="258"/>
      <c r="AC268" s="254"/>
      <c r="AD268" s="254"/>
      <c r="AE268" s="254"/>
      <c r="AF268" s="574"/>
    </row>
    <row r="269" spans="1:74" ht="13.5" hidden="1" customHeight="1">
      <c r="A269" s="206"/>
      <c r="B269" s="200"/>
      <c r="C269" s="254"/>
      <c r="D269" s="200"/>
      <c r="E269" s="254"/>
      <c r="F269" s="200"/>
      <c r="G269" s="254"/>
      <c r="H269" s="200"/>
      <c r="I269" s="254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54"/>
      <c r="V269" s="200"/>
      <c r="W269" s="254"/>
      <c r="X269" s="200"/>
      <c r="Y269" s="254"/>
      <c r="Z269" s="200"/>
      <c r="AA269" s="200"/>
      <c r="AB269" s="200"/>
      <c r="AC269" s="200"/>
      <c r="AD269" s="200"/>
      <c r="AE269" s="200"/>
      <c r="AF269" s="574"/>
    </row>
    <row r="270" spans="1:74" ht="13.5" hidden="1" customHeight="1" thickBot="1">
      <c r="A270" s="259"/>
      <c r="B270" s="260"/>
      <c r="C270" s="260"/>
      <c r="D270" s="260"/>
      <c r="E270" s="260"/>
      <c r="F270" s="260"/>
      <c r="G270" s="260"/>
      <c r="H270" s="260"/>
      <c r="I270" s="260"/>
      <c r="J270" s="260"/>
      <c r="K270" s="260"/>
      <c r="L270" s="260"/>
      <c r="M270" s="260"/>
      <c r="N270" s="260"/>
      <c r="O270" s="260"/>
      <c r="P270" s="260"/>
      <c r="Q270" s="260"/>
      <c r="R270" s="260"/>
      <c r="S270" s="260"/>
      <c r="T270" s="260"/>
      <c r="U270" s="260"/>
      <c r="V270" s="260"/>
      <c r="W270" s="260"/>
      <c r="X270" s="260"/>
      <c r="Y270" s="260"/>
      <c r="Z270" s="260"/>
      <c r="AA270" s="260"/>
      <c r="AB270" s="260"/>
      <c r="AC270" s="260"/>
      <c r="AD270" s="260"/>
      <c r="AE270" s="260"/>
      <c r="AF270" s="613"/>
    </row>
    <row r="271" spans="1:74" ht="13.5" customHeight="1">
      <c r="A271" s="614"/>
      <c r="E271" s="167"/>
      <c r="G271" s="167"/>
      <c r="I271" s="167"/>
      <c r="M271" s="167"/>
      <c r="AF271" s="610"/>
      <c r="BV271" s="199"/>
    </row>
    <row r="272" spans="1:74" ht="13.5" customHeight="1">
      <c r="A272" s="614"/>
      <c r="E272" s="167"/>
      <c r="G272" s="167"/>
      <c r="I272" s="167"/>
      <c r="M272" s="167"/>
      <c r="AF272" s="610"/>
    </row>
    <row r="273" spans="1:32" ht="13.5" customHeight="1">
      <c r="A273" s="614"/>
      <c r="B273" s="254">
        <v>298</v>
      </c>
      <c r="C273" s="254"/>
      <c r="D273" s="254">
        <v>299</v>
      </c>
      <c r="E273" s="254"/>
      <c r="F273" s="254">
        <v>300</v>
      </c>
      <c r="G273" s="254"/>
      <c r="X273" s="542"/>
      <c r="AF273" s="610"/>
    </row>
    <row r="274" spans="1:32" ht="13.5" customHeight="1">
      <c r="A274" s="614"/>
      <c r="B274" s="304" t="s">
        <v>773</v>
      </c>
      <c r="C274" s="254"/>
      <c r="D274" s="304" t="s">
        <v>1179</v>
      </c>
      <c r="E274" s="254"/>
      <c r="F274" s="543" t="s">
        <v>1172</v>
      </c>
      <c r="G274" s="254"/>
      <c r="X274" s="542"/>
      <c r="AF274" s="610"/>
    </row>
    <row r="275" spans="1:32" ht="13.5" customHeight="1">
      <c r="A275" s="614"/>
      <c r="B275" s="200"/>
      <c r="C275" s="200"/>
      <c r="D275" s="200"/>
      <c r="E275" s="200"/>
      <c r="F275" s="200"/>
      <c r="G275" s="200"/>
      <c r="AF275" s="610"/>
    </row>
    <row r="276" spans="1:32" ht="13.5" customHeight="1">
      <c r="A276" s="614"/>
      <c r="B276" s="254"/>
      <c r="C276" s="200"/>
      <c r="D276" s="254"/>
      <c r="E276" s="254"/>
      <c r="F276" s="254"/>
      <c r="G276" s="200"/>
      <c r="AF276" s="610"/>
    </row>
    <row r="277" spans="1:32" ht="13.5" customHeight="1" thickBot="1">
      <c r="A277" s="614"/>
      <c r="B277" s="254"/>
      <c r="C277" s="200"/>
      <c r="D277" s="254"/>
      <c r="E277" s="254"/>
      <c r="F277" s="254"/>
      <c r="G277" s="200"/>
      <c r="AF277" s="610"/>
    </row>
    <row r="278" spans="1:32" ht="13.5" customHeight="1">
      <c r="A278" s="614"/>
      <c r="B278" s="261"/>
      <c r="C278" s="579"/>
      <c r="D278" s="261"/>
      <c r="E278" s="579"/>
      <c r="F278" s="261"/>
      <c r="G278" s="579"/>
      <c r="AF278" s="610"/>
    </row>
    <row r="279" spans="1:32" ht="13.5" customHeight="1">
      <c r="A279" s="614"/>
      <c r="B279" s="262"/>
      <c r="C279" s="581">
        <v>414</v>
      </c>
      <c r="D279" s="263"/>
      <c r="E279" s="581">
        <v>421</v>
      </c>
      <c r="F279" s="263"/>
      <c r="G279" s="581"/>
      <c r="AF279" s="610"/>
    </row>
    <row r="280" spans="1:32" ht="13.5" customHeight="1" thickBot="1">
      <c r="A280" s="614"/>
      <c r="B280" s="264"/>
      <c r="C280" s="200"/>
      <c r="D280" s="264"/>
      <c r="E280" s="200"/>
      <c r="F280" s="264"/>
      <c r="G280" s="200"/>
      <c r="AF280" s="610"/>
    </row>
    <row r="281" spans="1:32" ht="13.5" customHeight="1">
      <c r="A281" s="614"/>
      <c r="B281" s="258" t="s">
        <v>373</v>
      </c>
      <c r="C281" s="254"/>
      <c r="D281" s="254" t="s">
        <v>357</v>
      </c>
      <c r="E281" s="254"/>
      <c r="F281" s="254" t="s">
        <v>1172</v>
      </c>
      <c r="G281" s="254"/>
      <c r="AF281" s="610"/>
    </row>
    <row r="282" spans="1:32" ht="13.5" customHeight="1">
      <c r="A282" s="614"/>
      <c r="B282" s="200"/>
      <c r="C282" s="254"/>
      <c r="D282" s="200"/>
      <c r="E282" s="254"/>
      <c r="F282" s="200"/>
      <c r="G282" s="200"/>
      <c r="H282" s="200"/>
      <c r="I282" s="200"/>
      <c r="J282" s="200"/>
      <c r="K282" s="254"/>
      <c r="AF282" s="610"/>
    </row>
    <row r="283" spans="1:32" ht="13.5" customHeight="1" thickBot="1">
      <c r="A283" s="615"/>
      <c r="B283" s="260"/>
      <c r="C283" s="260"/>
      <c r="D283" s="260"/>
      <c r="E283" s="260"/>
      <c r="F283" s="260"/>
      <c r="G283" s="260"/>
      <c r="H283" s="260"/>
      <c r="I283" s="260"/>
      <c r="J283" s="260"/>
      <c r="K283" s="260"/>
      <c r="L283" s="616"/>
      <c r="M283" s="616"/>
      <c r="N283" s="616"/>
      <c r="O283" s="616"/>
      <c r="P283" s="616"/>
      <c r="Q283" s="616"/>
      <c r="R283" s="616"/>
      <c r="S283" s="616"/>
      <c r="T283" s="616"/>
      <c r="U283" s="616"/>
      <c r="V283" s="616"/>
      <c r="W283" s="616"/>
      <c r="X283" s="616"/>
      <c r="Y283" s="616"/>
      <c r="Z283" s="616"/>
      <c r="AA283" s="616"/>
      <c r="AB283" s="616"/>
      <c r="AC283" s="616"/>
      <c r="AD283" s="616"/>
      <c r="AE283" s="616"/>
      <c r="AF283" s="617"/>
    </row>
    <row r="284" spans="1:32" ht="13.5" customHeight="1"/>
    <row r="285" spans="1:32" ht="13.5" customHeight="1"/>
    <row r="286" spans="1:32" ht="13.5" customHeight="1"/>
    <row r="287" spans="1:32" ht="13.5" customHeight="1"/>
    <row r="288" spans="1:32" ht="12.65" customHeight="1"/>
    <row r="289" spans="5:9" ht="12.65" customHeight="1"/>
    <row r="290" spans="5:9" ht="12.65" customHeight="1"/>
    <row r="291" spans="5:9" ht="12.65" customHeight="1"/>
    <row r="292" spans="5:9" ht="12.65" customHeight="1"/>
    <row r="293" spans="5:9" ht="12.65" customHeight="1"/>
    <row r="294" spans="5:9" ht="12.65" customHeight="1">
      <c r="E294" s="167"/>
      <c r="G294" s="167"/>
      <c r="I294" s="167"/>
    </row>
    <row r="295" spans="5:9" ht="12.65" customHeight="1">
      <c r="G295" s="167"/>
      <c r="I295" s="167"/>
    </row>
    <row r="296" spans="5:9" ht="12.65" customHeight="1">
      <c r="G296" s="167"/>
      <c r="I296" s="167"/>
    </row>
    <row r="297" spans="5:9" ht="12.65" customHeight="1">
      <c r="G297" s="167"/>
      <c r="I297" s="167"/>
    </row>
    <row r="298" spans="5:9" ht="12.65" customHeight="1">
      <c r="G298" s="167"/>
      <c r="I298" s="167"/>
    </row>
    <row r="299" spans="5:9" ht="12.65" customHeight="1">
      <c r="G299" s="167"/>
      <c r="I299" s="167"/>
    </row>
    <row r="300" spans="5:9" ht="12.65" customHeight="1">
      <c r="G300" s="167"/>
      <c r="I300" s="167"/>
    </row>
    <row r="301" spans="5:9" ht="12.65" customHeight="1">
      <c r="G301" s="167"/>
      <c r="I301" s="167"/>
    </row>
    <row r="302" spans="5:9" ht="12.65" customHeight="1">
      <c r="G302" s="167"/>
      <c r="I302" s="167"/>
    </row>
    <row r="303" spans="5:9" ht="12.65" customHeight="1">
      <c r="G303" s="167"/>
      <c r="I303" s="167"/>
    </row>
    <row r="304" spans="5:9" ht="12.65" customHeight="1">
      <c r="G304" s="167"/>
      <c r="I304" s="167"/>
    </row>
    <row r="305" spans="7:9" ht="12.65" customHeight="1">
      <c r="G305" s="167"/>
      <c r="I305" s="167"/>
    </row>
    <row r="306" spans="7:9" ht="12.65" customHeight="1">
      <c r="G306" s="167"/>
      <c r="I306" s="167"/>
    </row>
    <row r="307" spans="7:9" ht="12.65" customHeight="1">
      <c r="G307" s="167"/>
      <c r="I307" s="167"/>
    </row>
    <row r="308" spans="7:9" ht="12.65" customHeight="1">
      <c r="G308" s="167"/>
      <c r="I308" s="167"/>
    </row>
    <row r="309" spans="7:9" ht="12.65" customHeight="1">
      <c r="G309" s="167"/>
      <c r="I309" s="167"/>
    </row>
    <row r="310" spans="7:9" ht="12.65" customHeight="1">
      <c r="G310" s="167"/>
      <c r="I310" s="167"/>
    </row>
    <row r="311" spans="7:9" ht="12.65" customHeight="1">
      <c r="G311" s="167"/>
      <c r="I311" s="167"/>
    </row>
    <row r="312" spans="7:9" ht="12.65" customHeight="1">
      <c r="G312" s="167"/>
      <c r="I312" s="167"/>
    </row>
    <row r="313" spans="7:9" ht="12.65" customHeight="1">
      <c r="G313" s="167"/>
      <c r="I313" s="167"/>
    </row>
    <row r="314" spans="7:9" ht="12.65" customHeight="1">
      <c r="G314" s="167"/>
      <c r="I314" s="167"/>
    </row>
    <row r="315" spans="7:9" ht="12.65" customHeight="1">
      <c r="G315" s="167"/>
      <c r="I315" s="167"/>
    </row>
    <row r="316" spans="7:9" ht="12.65" customHeight="1">
      <c r="G316" s="167"/>
    </row>
    <row r="317" spans="7:9" ht="12.65" customHeight="1">
      <c r="G317" s="167"/>
    </row>
    <row r="318" spans="7:9" ht="12.65" customHeight="1"/>
    <row r="319" spans="7:9" ht="12.65" customHeight="1"/>
    <row r="320" spans="7:9" ht="12.65" customHeight="1"/>
    <row r="321" ht="12.65" customHeight="1"/>
    <row r="322" ht="12.65" customHeight="1"/>
    <row r="323" ht="12.65" customHeight="1"/>
    <row r="324" ht="12.65" customHeight="1"/>
    <row r="325" ht="12.65" customHeight="1"/>
    <row r="326" ht="12.65" customHeight="1"/>
    <row r="327" ht="12.65" customHeight="1"/>
    <row r="328" ht="12.65" customHeight="1"/>
    <row r="329" ht="12.65" customHeight="1"/>
    <row r="330" ht="12.65" customHeight="1"/>
    <row r="331" ht="12.65" customHeight="1"/>
    <row r="332" ht="12.65" customHeight="1"/>
    <row r="333" ht="12.65" customHeight="1"/>
    <row r="334" ht="12.65" customHeight="1"/>
    <row r="335" ht="12.65" customHeight="1"/>
    <row r="336" ht="12.65" customHeight="1"/>
    <row r="337" ht="12.65" customHeight="1"/>
    <row r="338" ht="12.65" customHeight="1"/>
    <row r="339" ht="12.65" customHeight="1"/>
    <row r="340" ht="12.65" customHeight="1"/>
    <row r="341" ht="12.65" customHeight="1"/>
    <row r="342" ht="12.65" customHeight="1"/>
    <row r="343" ht="12.65" customHeight="1"/>
    <row r="344" ht="12.65" customHeight="1"/>
    <row r="345" ht="12.65" customHeight="1"/>
    <row r="346" ht="12.65" customHeight="1"/>
    <row r="347" ht="12.65" customHeight="1"/>
    <row r="348" ht="12.65" customHeight="1"/>
    <row r="349" ht="12.65" customHeight="1"/>
    <row r="350" ht="12.65" customHeight="1"/>
    <row r="351" ht="12.65" customHeight="1"/>
    <row r="352" ht="12.65" customHeight="1"/>
    <row r="353" ht="12.65" customHeight="1"/>
    <row r="354" ht="12.65" customHeight="1"/>
    <row r="355" ht="12.65" customHeight="1"/>
    <row r="356" ht="12.65" customHeight="1"/>
    <row r="357" ht="12.65" customHeight="1"/>
    <row r="358" ht="12.65" customHeight="1"/>
    <row r="359" ht="12.65" customHeight="1"/>
    <row r="360" ht="12.65" customHeight="1"/>
    <row r="361" ht="12.65" customHeight="1"/>
    <row r="362" ht="12.65" customHeight="1"/>
    <row r="363" ht="12.65" customHeight="1"/>
    <row r="364" ht="12.65" customHeight="1"/>
    <row r="365" ht="12.65" customHeight="1"/>
    <row r="366" ht="12.65" customHeight="1"/>
    <row r="367" ht="12.65" customHeight="1"/>
    <row r="368" ht="12.65" customHeight="1"/>
    <row r="369" ht="12.65" customHeight="1"/>
    <row r="370" ht="12.65" customHeight="1"/>
    <row r="371" ht="12.65" customHeight="1"/>
    <row r="372" ht="12.65" customHeight="1"/>
    <row r="373" ht="12.65" customHeight="1"/>
    <row r="374" ht="12.65" customHeight="1"/>
    <row r="375" ht="12.65" customHeight="1"/>
    <row r="376" ht="12.65" customHeight="1"/>
    <row r="377" ht="12.65" customHeight="1"/>
    <row r="378" ht="12.65" customHeight="1"/>
    <row r="379" ht="12.65" customHeight="1"/>
    <row r="380" ht="12.65" customHeight="1"/>
    <row r="381" ht="12.65" customHeight="1"/>
    <row r="382" ht="12.65" customHeight="1"/>
    <row r="383" ht="12.65" customHeight="1"/>
    <row r="384" ht="12.65" customHeight="1"/>
    <row r="385" ht="12.65" customHeight="1"/>
    <row r="386" ht="12.65" customHeight="1"/>
    <row r="387" ht="12.65" customHeight="1"/>
    <row r="388" ht="12.65" customHeight="1"/>
    <row r="389" ht="12.65" customHeight="1"/>
    <row r="390" ht="12.65" customHeight="1"/>
    <row r="391" ht="12.65" customHeight="1"/>
    <row r="392" ht="12.65" customHeight="1"/>
    <row r="393" ht="12.65" customHeight="1"/>
    <row r="394" ht="12.65" customHeight="1"/>
    <row r="395" ht="12.65" customHeight="1"/>
    <row r="396" ht="12.65" customHeight="1"/>
    <row r="397" ht="12.65" customHeight="1"/>
    <row r="398" ht="12.65" customHeight="1"/>
    <row r="399" ht="12.65" customHeight="1"/>
    <row r="400" ht="12.65" customHeight="1"/>
    <row r="401" ht="12.65" customHeight="1"/>
    <row r="402" ht="12.65" customHeight="1"/>
    <row r="403" ht="12.65" customHeight="1"/>
    <row r="404" ht="12.65" customHeight="1"/>
    <row r="405" ht="12.65" customHeight="1"/>
    <row r="406" ht="12.65" customHeight="1"/>
    <row r="407" ht="12.65" customHeight="1"/>
    <row r="408" ht="12.65" customHeight="1"/>
    <row r="409" ht="12.65" customHeight="1"/>
    <row r="410" ht="12.65" customHeight="1"/>
    <row r="411" ht="12.65" customHeight="1"/>
    <row r="412" ht="12.65" customHeight="1"/>
    <row r="413" ht="12.65" customHeight="1"/>
    <row r="414" ht="12.65" customHeight="1"/>
    <row r="415" ht="12.65" customHeight="1"/>
    <row r="416" ht="12.65" customHeight="1"/>
    <row r="417" ht="12.65" customHeight="1"/>
    <row r="418" ht="12.65" customHeight="1"/>
    <row r="419" ht="12.65" customHeight="1"/>
    <row r="420" ht="12.65" customHeight="1"/>
    <row r="421" ht="12.65" customHeight="1"/>
    <row r="422" ht="12.65" customHeight="1"/>
    <row r="423" ht="12.65" customHeight="1"/>
    <row r="424" ht="12.65" customHeight="1"/>
    <row r="425" ht="12.65" customHeight="1"/>
    <row r="426" ht="12.65" customHeight="1"/>
    <row r="427" ht="12.65" customHeight="1"/>
    <row r="428" ht="12.65" customHeight="1"/>
    <row r="429" ht="12.65" customHeight="1"/>
    <row r="430" ht="12.65" customHeight="1"/>
    <row r="431" ht="12.65" customHeight="1"/>
    <row r="432" ht="12.65" customHeight="1"/>
    <row r="433" ht="12.65" customHeight="1"/>
    <row r="434" ht="12.65" customHeight="1"/>
    <row r="435" ht="12.65" customHeight="1"/>
    <row r="436" ht="12.65" customHeight="1"/>
    <row r="437" ht="12.65" customHeight="1"/>
    <row r="438" ht="12.65" customHeight="1"/>
    <row r="439" ht="12.65" customHeight="1"/>
    <row r="440" ht="12.65" customHeight="1"/>
    <row r="441" ht="12.65" customHeight="1"/>
    <row r="442" ht="12.65" customHeight="1"/>
    <row r="443" ht="12.65" customHeight="1"/>
    <row r="444" ht="12.65" customHeight="1"/>
    <row r="445" ht="12.65" customHeight="1"/>
    <row r="446" ht="12.65" customHeight="1"/>
    <row r="447" ht="12.65" customHeight="1"/>
    <row r="448" ht="12.65" customHeight="1"/>
    <row r="449" ht="12.65" customHeight="1"/>
    <row r="450" ht="12.65" customHeight="1"/>
    <row r="451" ht="12.65" customHeight="1"/>
    <row r="452" ht="12.65" customHeight="1"/>
    <row r="453" ht="12.65" customHeight="1"/>
    <row r="454" ht="12.65" customHeight="1"/>
    <row r="455" ht="12.65" customHeight="1"/>
    <row r="456" ht="12.65" customHeight="1"/>
    <row r="457" ht="12.65" customHeight="1"/>
    <row r="458" ht="12.65" customHeight="1"/>
    <row r="459" ht="12.65" customHeight="1"/>
    <row r="460" ht="12.65" customHeight="1"/>
    <row r="461" ht="12.65" customHeight="1"/>
    <row r="462" ht="12.65" customHeight="1"/>
    <row r="463" ht="12.65" customHeight="1"/>
    <row r="464" ht="12.65" customHeight="1"/>
    <row r="465" ht="12.65" customHeight="1"/>
    <row r="466" ht="12.65" customHeight="1"/>
    <row r="467" ht="12.65" customHeight="1"/>
    <row r="468" ht="12.65" customHeight="1"/>
    <row r="469" ht="12.65" customHeight="1"/>
    <row r="470" ht="12.65" customHeight="1"/>
    <row r="471" ht="12.65" customHeight="1"/>
    <row r="472" ht="12.65" customHeight="1"/>
    <row r="473" ht="12.65" customHeight="1"/>
    <row r="474" ht="12.65" customHeight="1"/>
    <row r="475" ht="12.65" customHeight="1"/>
    <row r="476" ht="12.65" customHeight="1"/>
    <row r="477" ht="12.65" customHeight="1"/>
    <row r="478" ht="12.65" customHeight="1"/>
    <row r="479" ht="12.65" customHeight="1"/>
    <row r="480" ht="12.65" customHeight="1"/>
    <row r="481" ht="12.65" customHeight="1"/>
    <row r="482" ht="12.65" customHeight="1"/>
    <row r="483" ht="12.65" customHeight="1"/>
    <row r="484" ht="12.65" customHeight="1"/>
    <row r="485" ht="12.65" customHeight="1"/>
    <row r="486" ht="12.65" customHeight="1"/>
    <row r="487" ht="12.65" customHeight="1"/>
    <row r="488" ht="12.65" customHeight="1"/>
    <row r="489" ht="12.65" customHeight="1"/>
    <row r="490" ht="12.65" customHeight="1"/>
    <row r="491" ht="12.65" customHeight="1"/>
    <row r="492" ht="12.65" customHeight="1"/>
    <row r="493" ht="12.65" customHeight="1"/>
    <row r="494" ht="12.65" customHeight="1"/>
    <row r="495" ht="12.65" customHeight="1"/>
    <row r="496" ht="12.65" customHeight="1"/>
    <row r="497" ht="12.65" customHeight="1"/>
    <row r="498" ht="12.65" customHeight="1"/>
    <row r="499" ht="12.65" customHeight="1"/>
    <row r="500" ht="12.65" customHeight="1"/>
    <row r="501" ht="12.65" customHeight="1"/>
    <row r="502" ht="12.65" customHeight="1"/>
    <row r="503" ht="12.65" customHeight="1"/>
    <row r="504" ht="12.65" customHeight="1"/>
    <row r="505" ht="12.65" customHeight="1"/>
    <row r="506" ht="12.65" customHeight="1"/>
    <row r="507" ht="12.65" customHeight="1"/>
    <row r="508" ht="12.65" customHeight="1"/>
    <row r="509" ht="12.65" customHeight="1"/>
    <row r="510" ht="12.65" customHeight="1"/>
    <row r="511" ht="12.65" customHeight="1"/>
    <row r="512" ht="12.65" customHeight="1"/>
    <row r="513" ht="12.65" customHeight="1"/>
    <row r="514" ht="12.65" customHeight="1"/>
    <row r="515" ht="12.65" customHeight="1"/>
    <row r="516" ht="12.65" customHeight="1"/>
    <row r="517" ht="12.65" customHeight="1"/>
    <row r="518" ht="12.65" customHeight="1"/>
    <row r="519" ht="12.65" customHeight="1"/>
    <row r="520" ht="12.65" customHeight="1"/>
    <row r="521" ht="12.65" customHeight="1"/>
    <row r="522" ht="12.65" customHeight="1"/>
    <row r="523" ht="12.65" customHeight="1"/>
    <row r="524" ht="12.65" customHeight="1"/>
    <row r="525" ht="12.65" customHeight="1"/>
    <row r="526" ht="12.65" customHeight="1"/>
    <row r="527" ht="12.65" customHeight="1"/>
    <row r="528" ht="12.65" customHeight="1"/>
    <row r="529" ht="12.65" customHeight="1"/>
    <row r="530" ht="12.65" customHeight="1"/>
    <row r="531" ht="12.65" customHeight="1"/>
    <row r="532" ht="12.65" customHeight="1"/>
    <row r="533" ht="12.65" customHeight="1"/>
    <row r="534" ht="12.65" customHeight="1"/>
    <row r="535" ht="12.65" customHeight="1"/>
    <row r="536" ht="12.65" customHeight="1"/>
    <row r="537" ht="12.65" customHeight="1"/>
    <row r="538" ht="12.65" customHeight="1"/>
    <row r="539" ht="12.65" customHeight="1"/>
    <row r="540" ht="12.65" customHeight="1"/>
    <row r="541" ht="12.65" customHeight="1"/>
    <row r="542" ht="12.65" customHeight="1"/>
    <row r="543" ht="12.65" customHeight="1"/>
    <row r="544" ht="12.65" customHeight="1"/>
    <row r="545" ht="12.65" customHeight="1"/>
    <row r="546" ht="12.65" customHeight="1"/>
    <row r="547" ht="12.65" customHeight="1"/>
    <row r="548" ht="12.65" customHeight="1"/>
    <row r="549" ht="12.65" customHeight="1"/>
    <row r="550" ht="12.65" customHeight="1"/>
    <row r="551" ht="12.65" customHeight="1"/>
    <row r="552" ht="12.65" customHeight="1"/>
    <row r="553" ht="12.65" customHeight="1"/>
    <row r="554" ht="12.65" customHeight="1"/>
    <row r="555" ht="12.65" customHeight="1"/>
    <row r="556" ht="12.65" customHeight="1"/>
    <row r="557" ht="12.65" customHeight="1"/>
    <row r="558" ht="12.65" customHeight="1"/>
    <row r="559" ht="12.65" customHeight="1"/>
    <row r="560" ht="12.65" customHeight="1"/>
    <row r="561" ht="12.65" customHeight="1"/>
    <row r="562" ht="12.65" customHeight="1"/>
    <row r="563" ht="12.65" customHeight="1"/>
    <row r="564" ht="12.65" customHeight="1"/>
    <row r="565" ht="12.65" customHeight="1"/>
    <row r="566" ht="12.65" customHeight="1"/>
    <row r="567" ht="12.65" customHeight="1"/>
    <row r="568" ht="12.65" customHeight="1"/>
    <row r="569" ht="12.65" customHeight="1"/>
    <row r="570" ht="12.65" customHeight="1"/>
    <row r="571" ht="12.65" customHeight="1"/>
    <row r="572" ht="12.65" customHeight="1"/>
    <row r="573" ht="12.65" customHeight="1"/>
    <row r="574" ht="12.65" customHeight="1"/>
    <row r="575" ht="12.65" customHeight="1"/>
    <row r="576" ht="12.65" customHeight="1"/>
    <row r="577" ht="12.65" customHeight="1"/>
    <row r="578" ht="12.65" customHeight="1"/>
    <row r="579" ht="12.65" customHeight="1"/>
    <row r="580" ht="12.65" customHeight="1"/>
    <row r="581" ht="12.65" customHeight="1"/>
    <row r="582" ht="12.65" customHeight="1"/>
    <row r="583" ht="12.65" customHeight="1"/>
    <row r="584" ht="12.65" customHeight="1"/>
    <row r="585" ht="12.65" customHeight="1"/>
    <row r="586" ht="12.65" customHeight="1"/>
    <row r="587" ht="12.65" customHeight="1"/>
    <row r="588" ht="12.65" customHeight="1"/>
    <row r="589" ht="12.65" customHeight="1"/>
    <row r="590" ht="12.65" customHeight="1"/>
    <row r="591" ht="12.65" customHeight="1"/>
    <row r="592" ht="12.65" customHeight="1"/>
    <row r="593" ht="12.65" customHeight="1"/>
    <row r="594" ht="12.65" customHeight="1"/>
    <row r="595" ht="12.65" customHeight="1"/>
    <row r="596" ht="12.65" customHeight="1"/>
    <row r="597" ht="12.65" customHeight="1"/>
    <row r="598" ht="12.65" customHeight="1"/>
    <row r="599" ht="12.65" customHeight="1"/>
    <row r="600" ht="12.65" customHeight="1"/>
    <row r="601" ht="12.65" customHeight="1"/>
    <row r="602" ht="12.65" customHeight="1"/>
    <row r="603" ht="12.65" customHeight="1"/>
    <row r="604" ht="12.65" customHeight="1"/>
    <row r="605" ht="12.65" customHeight="1"/>
    <row r="606" ht="12.65" customHeight="1"/>
    <row r="607" ht="12.65" customHeight="1"/>
    <row r="608" ht="12.65" customHeight="1"/>
    <row r="609" ht="12.65" customHeight="1"/>
    <row r="610" ht="12.65" customHeight="1"/>
    <row r="611" ht="12.65" customHeight="1"/>
    <row r="612" ht="12.65" customHeight="1"/>
    <row r="613" ht="12.65" customHeight="1"/>
    <row r="614" ht="12.65" customHeight="1"/>
    <row r="615" ht="12.65" customHeight="1"/>
    <row r="616" ht="12.65" customHeight="1"/>
    <row r="617" ht="12.65" customHeight="1"/>
    <row r="618" ht="12.65" customHeight="1"/>
    <row r="619" ht="12.65" customHeight="1"/>
    <row r="620" ht="12.65" customHeight="1"/>
    <row r="621" ht="12.65" customHeight="1"/>
    <row r="622" ht="12.65" customHeight="1"/>
    <row r="623" ht="12.65" customHeight="1"/>
    <row r="624" ht="12.65" customHeight="1"/>
    <row r="625" ht="12.65" customHeight="1"/>
    <row r="626" ht="12.65" customHeight="1"/>
    <row r="627" ht="12.65" customHeight="1"/>
    <row r="628" ht="12.65" customHeight="1"/>
    <row r="629" ht="12.65" customHeight="1"/>
    <row r="630" ht="12.65" customHeight="1"/>
    <row r="631" ht="12.65" customHeight="1"/>
    <row r="632" ht="12.65" customHeight="1"/>
    <row r="633" ht="12.65" customHeight="1"/>
    <row r="634" ht="12.65" customHeight="1"/>
    <row r="635" ht="12.65" customHeight="1"/>
    <row r="636" ht="12.65" customHeight="1"/>
    <row r="637" ht="12.65" customHeight="1"/>
    <row r="638" ht="12.65" customHeight="1"/>
    <row r="639" ht="12.65" customHeight="1"/>
    <row r="640" ht="12.65" customHeight="1"/>
    <row r="641" ht="12.65" customHeight="1"/>
    <row r="642" ht="12.65" customHeight="1"/>
    <row r="643" ht="12.65" customHeight="1"/>
    <row r="644" ht="12.65" customHeight="1"/>
    <row r="645" ht="12.65" customHeight="1"/>
    <row r="646" ht="12.65" customHeight="1"/>
    <row r="647" ht="12.65" customHeight="1"/>
    <row r="648" ht="12.65" customHeight="1"/>
    <row r="649" ht="12.65" customHeight="1"/>
    <row r="650" ht="12.65" customHeight="1"/>
    <row r="651" ht="12.65" customHeight="1"/>
    <row r="652" ht="12.65" customHeight="1"/>
    <row r="653" ht="12.65" customHeight="1"/>
    <row r="654" ht="12.65" customHeight="1"/>
    <row r="655" ht="12.65" customHeight="1"/>
    <row r="656" ht="12.65" customHeight="1"/>
    <row r="657" ht="12.65" customHeight="1"/>
    <row r="658" ht="12.65" customHeight="1"/>
    <row r="659" ht="12.65" customHeight="1"/>
    <row r="660" ht="12.65" customHeight="1"/>
    <row r="661" ht="12.65" customHeight="1"/>
    <row r="662" ht="12.65" customHeight="1"/>
    <row r="663" ht="12.65" customHeight="1"/>
    <row r="664" ht="12.65" customHeight="1"/>
    <row r="665" ht="12.65" customHeight="1"/>
    <row r="666" ht="12.65" customHeight="1"/>
    <row r="667" ht="12.65" customHeight="1"/>
    <row r="668" ht="12.65" customHeight="1"/>
    <row r="669" ht="12.65" customHeight="1"/>
    <row r="670" ht="12.65" customHeight="1"/>
    <row r="671" ht="12.65" customHeight="1"/>
    <row r="672" ht="12.65" customHeight="1"/>
    <row r="673" ht="12.65" customHeight="1"/>
    <row r="674" ht="12.65" customHeight="1"/>
    <row r="675" ht="12.65" customHeight="1"/>
    <row r="676" ht="12.65" customHeight="1"/>
    <row r="677" ht="12.65" customHeight="1"/>
    <row r="678" ht="12.65" customHeight="1"/>
    <row r="679" ht="12.65" customHeight="1"/>
    <row r="680" ht="12.65" customHeight="1"/>
    <row r="681" ht="12.65" customHeight="1"/>
    <row r="682" ht="12.65" customHeight="1"/>
    <row r="683" ht="12.65" customHeight="1"/>
    <row r="684" ht="12.65" customHeight="1"/>
    <row r="685" ht="12.65" customHeight="1"/>
    <row r="686" ht="12.65" customHeight="1"/>
    <row r="687" ht="12.65" customHeight="1"/>
    <row r="688" ht="12.65" customHeight="1"/>
    <row r="689" ht="12.65" customHeight="1"/>
    <row r="690" ht="12.65" customHeight="1"/>
    <row r="691" ht="12.65" customHeight="1"/>
    <row r="692" ht="12.65" customHeight="1"/>
    <row r="693" ht="12.65" customHeight="1"/>
    <row r="694" ht="12.65" customHeight="1"/>
    <row r="695" ht="12.65" customHeight="1"/>
    <row r="696" ht="12.65" customHeight="1"/>
    <row r="697" ht="12.65" customHeight="1"/>
    <row r="698" ht="12.65" customHeight="1"/>
    <row r="699" ht="12.65" customHeight="1"/>
    <row r="700" ht="12.65" customHeight="1"/>
    <row r="701" ht="12.65" customHeight="1"/>
    <row r="702" ht="12.65" customHeight="1"/>
    <row r="703" ht="12.65" customHeight="1"/>
    <row r="704" ht="12.65" customHeight="1"/>
    <row r="705" ht="12.65" customHeight="1"/>
    <row r="706" ht="12.65" customHeight="1"/>
    <row r="707" ht="12.65" customHeight="1"/>
    <row r="708" ht="12.65" customHeight="1"/>
    <row r="709" ht="12.65" customHeight="1"/>
    <row r="710" ht="12.65" customHeight="1"/>
    <row r="711" ht="12.65" customHeight="1"/>
    <row r="712" ht="12.65" customHeight="1"/>
    <row r="713" ht="12.65" customHeight="1"/>
    <row r="714" ht="12.65" customHeight="1"/>
    <row r="715" ht="12.65" customHeight="1"/>
    <row r="716" ht="12.65" customHeight="1"/>
    <row r="717" ht="12.65" customHeight="1"/>
    <row r="718" ht="12.65" customHeight="1"/>
    <row r="719" ht="12.65" customHeight="1"/>
    <row r="720" ht="12.65" customHeight="1"/>
    <row r="721" ht="12.65" customHeight="1"/>
    <row r="722" ht="12.65" customHeight="1"/>
    <row r="723" ht="12.65" customHeight="1"/>
    <row r="724" ht="12.65" customHeight="1"/>
    <row r="725" ht="12.65" customHeight="1"/>
    <row r="726" ht="12.65" customHeight="1"/>
    <row r="727" ht="12.65" customHeight="1"/>
    <row r="728" ht="12.65" customHeight="1"/>
    <row r="729" ht="12.65" customHeight="1"/>
    <row r="730" ht="12.65" customHeight="1"/>
    <row r="731" ht="12.65" customHeight="1"/>
    <row r="732" ht="12.65" customHeight="1"/>
    <row r="733" ht="12.65" customHeight="1"/>
    <row r="734" ht="12.65" customHeight="1"/>
    <row r="735" ht="12.65" customHeight="1"/>
    <row r="736" ht="12.65" customHeight="1"/>
    <row r="737" ht="12.65" customHeight="1"/>
    <row r="738" ht="12.65" customHeight="1"/>
    <row r="739" ht="12.65" customHeight="1"/>
    <row r="740" ht="12.65" customHeight="1"/>
    <row r="741" ht="12.65" customHeight="1"/>
    <row r="742" ht="12.65" customHeight="1"/>
    <row r="743" ht="12.65" customHeight="1"/>
    <row r="744" ht="12.65" customHeight="1"/>
    <row r="745" ht="12.65" customHeight="1"/>
    <row r="746" ht="12.65" customHeight="1"/>
    <row r="747" ht="12.65" customHeight="1"/>
    <row r="748" ht="12.65" customHeight="1"/>
    <row r="749" ht="12.65" customHeight="1"/>
    <row r="750" ht="12.65" customHeight="1"/>
    <row r="751" ht="12.65" customHeight="1"/>
    <row r="752" ht="12.65" customHeight="1"/>
    <row r="753" ht="12.65" customHeight="1"/>
    <row r="754" ht="12.65" customHeight="1"/>
    <row r="755" ht="12.65" customHeight="1"/>
    <row r="756" ht="12.65" customHeight="1"/>
    <row r="757" ht="12.65" customHeight="1"/>
    <row r="758" ht="12.65" customHeight="1"/>
    <row r="759" ht="12.65" customHeight="1"/>
    <row r="760" ht="12.65" customHeight="1"/>
    <row r="761" ht="12.65" customHeight="1"/>
    <row r="762" ht="12.65" customHeight="1"/>
    <row r="763" ht="12.65" customHeight="1"/>
    <row r="764" ht="12.65" customHeight="1"/>
    <row r="765" ht="12.65" customHeight="1"/>
    <row r="766" ht="12.65" customHeight="1"/>
    <row r="767" ht="12.65" customHeight="1"/>
    <row r="768" ht="12.65" customHeight="1"/>
    <row r="769" ht="12.65" customHeight="1"/>
    <row r="770" ht="12.65" customHeight="1"/>
    <row r="771" ht="12.65" customHeight="1"/>
    <row r="772" ht="12.65" customHeight="1"/>
    <row r="773" ht="12.65" customHeight="1"/>
    <row r="774" ht="12.65" customHeight="1"/>
    <row r="775" ht="12.65" customHeight="1"/>
    <row r="776" ht="12.65" customHeight="1"/>
    <row r="777" ht="12.65" customHeight="1"/>
    <row r="778" ht="12.65" customHeight="1"/>
    <row r="779" ht="12.65" customHeight="1"/>
    <row r="780" ht="12.65" customHeight="1"/>
    <row r="781" ht="12.65" customHeight="1"/>
    <row r="782" ht="12.65" customHeight="1"/>
    <row r="783" ht="12.65" customHeight="1"/>
    <row r="784" ht="12.65" customHeight="1"/>
    <row r="785" ht="12.65" customHeight="1"/>
    <row r="786" ht="12.65" customHeight="1"/>
    <row r="787" ht="12.65" customHeight="1"/>
    <row r="788" ht="12.65" customHeight="1"/>
    <row r="789" ht="12.65" customHeight="1"/>
    <row r="790" ht="12.65" customHeight="1"/>
    <row r="791" ht="12.65" customHeight="1"/>
    <row r="792" ht="12.65" customHeight="1"/>
    <row r="793" ht="12.65" customHeight="1"/>
    <row r="794" ht="12.65" customHeight="1"/>
    <row r="795" ht="12.65" customHeight="1"/>
    <row r="796" ht="12.65" customHeight="1"/>
    <row r="797" ht="12.65" customHeight="1"/>
    <row r="798" ht="12.65" customHeight="1"/>
    <row r="799" ht="12.65" customHeight="1"/>
    <row r="800" ht="12.65" customHeight="1"/>
    <row r="801" ht="12.65" customHeight="1"/>
    <row r="802" ht="12.65" customHeight="1"/>
    <row r="803" ht="12.65" customHeight="1"/>
    <row r="804" ht="12.65" customHeight="1"/>
    <row r="805" ht="12.65" customHeight="1"/>
    <row r="806" ht="12.65" customHeight="1"/>
    <row r="807" ht="12.65" customHeight="1"/>
    <row r="808" ht="12.65" customHeight="1"/>
    <row r="809" ht="12.65" customHeight="1"/>
    <row r="810" ht="12.65" customHeight="1"/>
    <row r="811" ht="12.65" customHeight="1"/>
    <row r="812" ht="12.65" customHeight="1"/>
    <row r="813" ht="12.65" customHeight="1"/>
    <row r="814" ht="12.65" customHeight="1"/>
    <row r="815" ht="12.65" customHeight="1"/>
    <row r="816" ht="12.65" customHeight="1"/>
    <row r="817" ht="12.65" customHeight="1"/>
    <row r="818" ht="12.65" customHeight="1"/>
    <row r="819" ht="12.65" customHeight="1"/>
    <row r="820" ht="12.65" customHeight="1"/>
    <row r="821" ht="12.65" customHeight="1"/>
    <row r="822" ht="12.65" customHeight="1"/>
    <row r="823" ht="12.65" customHeight="1"/>
    <row r="824" ht="12.65" customHeight="1"/>
    <row r="825" ht="12.65" customHeight="1"/>
    <row r="826" ht="12.65" customHeight="1"/>
    <row r="827" ht="12.65" customHeight="1"/>
    <row r="828" ht="12.65" customHeight="1"/>
    <row r="829" ht="12.65" customHeight="1"/>
    <row r="830" ht="12.65" customHeight="1"/>
    <row r="831" ht="12.65" customHeight="1"/>
    <row r="832" ht="12.65" customHeight="1"/>
    <row r="833" ht="12.65" customHeight="1"/>
    <row r="834" ht="12.65" customHeight="1"/>
    <row r="835" ht="12.65" customHeight="1"/>
    <row r="836" ht="12.65" customHeight="1"/>
    <row r="837" ht="12.65" customHeight="1"/>
    <row r="838" ht="12.65" customHeight="1"/>
    <row r="839" ht="12.65" customHeight="1"/>
    <row r="840" ht="12.65" customHeight="1"/>
    <row r="841" ht="12.65" customHeight="1"/>
    <row r="842" ht="12.65" customHeight="1"/>
    <row r="843" ht="12.65" customHeight="1"/>
    <row r="844" ht="12.65" customHeight="1"/>
    <row r="845" ht="12.65" customHeight="1"/>
    <row r="846" ht="12.65" customHeight="1"/>
    <row r="847" ht="12.65" customHeight="1"/>
    <row r="848" ht="12.65" customHeight="1"/>
    <row r="849" ht="12.65" customHeight="1"/>
    <row r="850" ht="12.65" customHeight="1"/>
    <row r="851" ht="12.65" customHeight="1"/>
    <row r="852" ht="12.65" customHeight="1"/>
    <row r="853" ht="12.65" customHeight="1"/>
    <row r="854" ht="12.65" customHeight="1"/>
    <row r="855" ht="12.65" customHeight="1"/>
    <row r="856" ht="12.65" customHeight="1"/>
    <row r="857" ht="12.65" customHeight="1"/>
    <row r="858" ht="12.65" customHeight="1"/>
    <row r="859" ht="12.65" customHeight="1"/>
    <row r="860" ht="12.65" customHeight="1"/>
    <row r="861" ht="12.65" customHeight="1"/>
    <row r="862" ht="12.65" customHeight="1"/>
    <row r="863" ht="12.65" customHeight="1"/>
    <row r="864" ht="12.65" customHeight="1"/>
    <row r="865" ht="12.65" customHeight="1"/>
    <row r="866" ht="12.65" customHeight="1"/>
    <row r="867" ht="12.65" customHeight="1"/>
    <row r="868" ht="12.65" customHeight="1"/>
    <row r="869" ht="12.65" customHeight="1"/>
    <row r="870" ht="12.65" customHeight="1"/>
    <row r="871" ht="12.65" customHeight="1"/>
    <row r="872" ht="12.65" customHeight="1"/>
    <row r="873" ht="12.65" customHeight="1"/>
    <row r="874" ht="12.65" customHeight="1"/>
    <row r="875" ht="12.65" customHeight="1"/>
  </sheetData>
  <mergeCells count="186">
    <mergeCell ref="H42:L42"/>
    <mergeCell ref="N85:N87"/>
    <mergeCell ref="N27:N29"/>
    <mergeCell ref="P27:P29"/>
    <mergeCell ref="R229:R231"/>
    <mergeCell ref="X229:X231"/>
    <mergeCell ref="Z229:Z231"/>
    <mergeCell ref="AB229:AB231"/>
    <mergeCell ref="T74:T76"/>
    <mergeCell ref="V74:V76"/>
    <mergeCell ref="AB49:AB51"/>
    <mergeCell ref="V61:V63"/>
    <mergeCell ref="X61:X63"/>
    <mergeCell ref="Z61:Z63"/>
    <mergeCell ref="AB61:AB63"/>
    <mergeCell ref="AN123:AN133"/>
    <mergeCell ref="AO123:AO133"/>
    <mergeCell ref="AG123:AG133"/>
    <mergeCell ref="AH123:AH133"/>
    <mergeCell ref="AI123:AI133"/>
    <mergeCell ref="AJ123:AJ133"/>
    <mergeCell ref="AK123:AK133"/>
    <mergeCell ref="AL123:AL133"/>
    <mergeCell ref="AM123:AM133"/>
    <mergeCell ref="AO101:AO111"/>
    <mergeCell ref="AG112:AG122"/>
    <mergeCell ref="AH112:AH122"/>
    <mergeCell ref="AI112:AI122"/>
    <mergeCell ref="AJ112:AJ122"/>
    <mergeCell ref="AK112:AK122"/>
    <mergeCell ref="AL112:AL122"/>
    <mergeCell ref="AM112:AM122"/>
    <mergeCell ref="AN112:AN122"/>
    <mergeCell ref="AO112:AO122"/>
    <mergeCell ref="AG101:AG111"/>
    <mergeCell ref="AH101:AH111"/>
    <mergeCell ref="AI101:AI111"/>
    <mergeCell ref="AJ101:AJ111"/>
    <mergeCell ref="AK101:AK111"/>
    <mergeCell ref="AL101:AL111"/>
    <mergeCell ref="AM101:AM111"/>
    <mergeCell ref="AN101:AN111"/>
    <mergeCell ref="AD61:AD63"/>
    <mergeCell ref="R74:R76"/>
    <mergeCell ref="AM79:AM86"/>
    <mergeCell ref="AN79:AN86"/>
    <mergeCell ref="AO79:AO86"/>
    <mergeCell ref="AG87:AG100"/>
    <mergeCell ref="AH87:AH100"/>
    <mergeCell ref="AI87:AI100"/>
    <mergeCell ref="AJ87:AJ100"/>
    <mergeCell ref="AK87:AK100"/>
    <mergeCell ref="AL87:AL100"/>
    <mergeCell ref="AM87:AM100"/>
    <mergeCell ref="AN87:AN100"/>
    <mergeCell ref="AO87:AO100"/>
    <mergeCell ref="AM66:AM67"/>
    <mergeCell ref="AN66:AN67"/>
    <mergeCell ref="AO66:AO67"/>
    <mergeCell ref="AG68:AG78"/>
    <mergeCell ref="AH68:AH78"/>
    <mergeCell ref="AI68:AI78"/>
    <mergeCell ref="AJ68:AJ78"/>
    <mergeCell ref="AK68:AK78"/>
    <mergeCell ref="AL68:AL78"/>
    <mergeCell ref="AM68:AM78"/>
    <mergeCell ref="AN68:AN78"/>
    <mergeCell ref="AO68:AO78"/>
    <mergeCell ref="AM44:AM53"/>
    <mergeCell ref="AN44:AN53"/>
    <mergeCell ref="AO44:AO53"/>
    <mergeCell ref="AG54:AG65"/>
    <mergeCell ref="AH54:AH65"/>
    <mergeCell ref="AI54:AI65"/>
    <mergeCell ref="AJ54:AJ65"/>
    <mergeCell ref="AK54:AK65"/>
    <mergeCell ref="AL54:AL65"/>
    <mergeCell ref="AM54:AM65"/>
    <mergeCell ref="AN54:AN65"/>
    <mergeCell ref="AO54:AO6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79:AG86"/>
    <mergeCell ref="AG44:AG53"/>
    <mergeCell ref="AH44:AH53"/>
    <mergeCell ref="AI44:AI53"/>
    <mergeCell ref="AJ44:AJ53"/>
    <mergeCell ref="AK44:AK53"/>
    <mergeCell ref="AL44:AL53"/>
    <mergeCell ref="AJ66:AJ67"/>
    <mergeCell ref="AK66:AK67"/>
    <mergeCell ref="AL66:AL67"/>
    <mergeCell ref="AH79:AH86"/>
    <mergeCell ref="AI79:AI86"/>
    <mergeCell ref="AJ79:AJ86"/>
    <mergeCell ref="AK79:AK86"/>
    <mergeCell ref="AL79:AL86"/>
    <mergeCell ref="AG66:AG67"/>
    <mergeCell ref="AH66:AH67"/>
    <mergeCell ref="AI66:AI67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scale="58" fitToHeight="0" orientation="landscape" r:id="rId1"/>
  <headerFooter>
    <oddFooter>&amp;F&amp;RPage &amp;P</oddFooter>
  </headerFooter>
  <rowBreaks count="4" manualBreakCount="4">
    <brk id="54" max="31" man="1"/>
    <brk id="111" max="31" man="1"/>
    <brk id="173" max="31" man="1"/>
    <brk id="297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4.5"/>
  <cols>
    <col min="6" max="6" width="10.1796875" bestFit="1" customWidth="1"/>
    <col min="7" max="7" width="15.1796875" customWidth="1"/>
    <col min="8" max="8" width="12.453125" customWidth="1"/>
    <col min="11" max="11" width="16.1796875" bestFit="1" customWidth="1"/>
    <col min="13" max="13" width="15.26953125" customWidth="1"/>
  </cols>
  <sheetData>
    <row r="1" spans="1:14" ht="15.5">
      <c r="A1" s="800" t="s">
        <v>667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2"/>
      <c r="M1" s="253"/>
      <c r="N1" s="249"/>
    </row>
    <row r="2" spans="1:14" ht="60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58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4.5"/>
  <cols>
    <col min="4" max="5" width="10.179687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4.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03" t="s">
        <v>936</v>
      </c>
      <c r="B9" s="803" t="s">
        <v>339</v>
      </c>
      <c r="I9" s="29"/>
    </row>
    <row r="10" spans="1:353">
      <c r="A10" s="803"/>
      <c r="B10" s="803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" thickBot="1">
      <c r="A639" s="153" t="s">
        <v>830</v>
      </c>
    </row>
    <row r="640" spans="1:1" ht="15" thickBot="1">
      <c r="A640" s="153" t="s">
        <v>844</v>
      </c>
    </row>
    <row r="641" spans="1:1" ht="1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26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4.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25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4.5"/>
  <cols>
    <col min="1" max="1" width="6.54296875" customWidth="1"/>
    <col min="2" max="2" width="15.1796875" customWidth="1"/>
    <col min="3" max="3" width="11.54296875" bestFit="1" customWidth="1"/>
    <col min="4" max="4" width="14.54296875" bestFit="1" customWidth="1"/>
    <col min="5" max="6" width="13.453125" bestFit="1" customWidth="1"/>
    <col min="7" max="8" width="12.453125" customWidth="1"/>
    <col min="9" max="9" width="14.1796875" style="130" bestFit="1" customWidth="1"/>
    <col min="10" max="10" width="15.1796875" style="130" bestFit="1" customWidth="1"/>
    <col min="11" max="11" width="13.453125" bestFit="1" customWidth="1"/>
    <col min="12" max="12" width="14.1796875" bestFit="1" customWidth="1"/>
    <col min="13" max="13" width="15.1796875" style="130" bestFit="1" customWidth="1"/>
    <col min="14" max="16" width="15.1796875" style="130" customWidth="1"/>
    <col min="17" max="17" width="12.54296875" bestFit="1" customWidth="1"/>
    <col min="18" max="18" width="9.81640625" bestFit="1" customWidth="1"/>
    <col min="19" max="19" width="31.54296875" bestFit="1" customWidth="1"/>
    <col min="20" max="21" width="31.54296875" customWidth="1"/>
    <col min="22" max="22" width="10.453125" bestFit="1" customWidth="1"/>
    <col min="23" max="23" width="8.1796875" bestFit="1" customWidth="1"/>
  </cols>
  <sheetData>
    <row r="1" spans="1:23" ht="16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29.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4.5"/>
  <cols>
    <col min="1" max="1" width="4.54296875" customWidth="1"/>
    <col min="2" max="2" width="17.453125" customWidth="1"/>
    <col min="3" max="3" width="9.453125" bestFit="1" customWidth="1"/>
    <col min="4" max="4" width="8.54296875" customWidth="1"/>
    <col min="5" max="5" width="11.54296875" customWidth="1"/>
    <col min="6" max="6" width="10.54296875" customWidth="1"/>
    <col min="7" max="7" width="10.54296875" bestFit="1" customWidth="1"/>
    <col min="8" max="8" width="15.453125" bestFit="1" customWidth="1"/>
    <col min="9" max="9" width="10.54296875" bestFit="1" customWidth="1"/>
    <col min="10" max="10" width="10.453125" customWidth="1"/>
    <col min="11" max="11" width="10.54296875" customWidth="1"/>
    <col min="12" max="12" width="24.453125" bestFit="1" customWidth="1"/>
    <col min="13" max="13" width="25.54296875" customWidth="1"/>
    <col min="14" max="14" width="13.54296875" customWidth="1"/>
    <col min="15" max="15" width="10.453125" bestFit="1" customWidth="1"/>
    <col min="16" max="16" width="11.54296875" customWidth="1"/>
    <col min="17" max="17" width="21.453125" customWidth="1"/>
  </cols>
  <sheetData>
    <row r="1" spans="1:17" ht="21.65" customHeight="1">
      <c r="A1" s="804" t="s">
        <v>962</v>
      </c>
      <c r="B1" s="805"/>
      <c r="C1" s="805"/>
      <c r="D1" s="805"/>
      <c r="E1" s="805"/>
      <c r="F1" s="805"/>
      <c r="G1" s="805"/>
      <c r="H1" s="805"/>
      <c r="I1" s="805"/>
      <c r="J1" s="805"/>
      <c r="K1" s="805"/>
      <c r="L1" s="805"/>
      <c r="M1" s="805"/>
      <c r="N1" s="805"/>
      <c r="O1" s="805"/>
      <c r="P1" s="805"/>
      <c r="Q1" s="806"/>
    </row>
    <row r="2" spans="1:17" ht="21" customHeight="1">
      <c r="A2" s="807" t="s">
        <v>963</v>
      </c>
      <c r="B2" s="809" t="s">
        <v>203</v>
      </c>
      <c r="C2" s="809" t="s">
        <v>964</v>
      </c>
      <c r="D2" s="809" t="s">
        <v>965</v>
      </c>
      <c r="E2" s="809" t="s">
        <v>966</v>
      </c>
      <c r="F2" s="811" t="s">
        <v>112</v>
      </c>
      <c r="G2" s="811"/>
      <c r="H2" s="811" t="s">
        <v>114</v>
      </c>
      <c r="I2" s="811"/>
      <c r="J2" s="809" t="s">
        <v>967</v>
      </c>
      <c r="K2" s="809" t="s">
        <v>968</v>
      </c>
      <c r="L2" s="809" t="s">
        <v>969</v>
      </c>
      <c r="M2" s="809" t="s">
        <v>343</v>
      </c>
      <c r="N2" s="809" t="s">
        <v>475</v>
      </c>
      <c r="O2" s="809" t="s">
        <v>470</v>
      </c>
      <c r="P2" s="809" t="s">
        <v>471</v>
      </c>
      <c r="Q2" s="812" t="s">
        <v>33</v>
      </c>
    </row>
    <row r="3" spans="1:17" ht="25.4" customHeight="1">
      <c r="A3" s="808"/>
      <c r="B3" s="810"/>
      <c r="C3" s="810"/>
      <c r="D3" s="810"/>
      <c r="E3" s="810"/>
      <c r="F3" s="28" t="s">
        <v>970</v>
      </c>
      <c r="G3" s="28" t="s">
        <v>971</v>
      </c>
      <c r="H3" s="28" t="s">
        <v>970</v>
      </c>
      <c r="I3" s="28" t="s">
        <v>971</v>
      </c>
      <c r="J3" s="810"/>
      <c r="K3" s="810"/>
      <c r="L3" s="810"/>
      <c r="M3" s="810"/>
      <c r="N3" s="810"/>
      <c r="O3" s="810"/>
      <c r="P3" s="810"/>
      <c r="Q3" s="813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5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5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5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G2" sqref="G2:I2"/>
      <selection pane="topRight" activeCell="G2" sqref="G2:I2"/>
      <selection pane="bottomLeft" activeCell="G2" sqref="G2:I2"/>
      <selection pane="bottomRight" activeCell="G2" sqref="G2:I2"/>
    </sheetView>
  </sheetViews>
  <sheetFormatPr defaultColWidth="9.1796875" defaultRowHeight="15.5"/>
  <cols>
    <col min="1" max="2" width="9.1796875" style="265"/>
    <col min="3" max="3" width="10.453125" style="265" customWidth="1"/>
    <col min="4" max="4" width="9.1796875" style="265"/>
    <col min="5" max="5" width="8.453125" style="265" customWidth="1"/>
    <col min="6" max="6" width="21.453125" style="267" customWidth="1"/>
    <col min="7" max="7" width="9.1796875" style="268"/>
    <col min="8" max="8" width="9.1796875" style="265"/>
    <col min="9" max="9" width="39.26953125" style="265" customWidth="1"/>
    <col min="10" max="10" width="9" style="266" bestFit="1" customWidth="1"/>
    <col min="11" max="11" width="9.1796875" style="265"/>
    <col min="12" max="12" width="13.453125" style="265" bestFit="1" customWidth="1"/>
    <col min="13" max="13" width="10.1796875" style="265" bestFit="1" customWidth="1"/>
    <col min="14" max="15" width="9.1796875" style="265"/>
    <col min="16" max="16" width="32.54296875" style="335" customWidth="1"/>
    <col min="17" max="16384" width="9.1796875" style="265"/>
  </cols>
  <sheetData>
    <row r="1" spans="1:16" ht="16" thickBot="1">
      <c r="A1" s="814" t="s">
        <v>89</v>
      </c>
      <c r="B1" s="815"/>
      <c r="C1" s="815"/>
      <c r="D1" s="815"/>
      <c r="E1" s="815"/>
      <c r="F1" s="815"/>
      <c r="G1" s="815"/>
      <c r="H1" s="815"/>
      <c r="I1" s="815"/>
      <c r="J1" s="815"/>
      <c r="K1" s="815"/>
      <c r="L1" s="815"/>
      <c r="M1" s="815"/>
      <c r="N1" s="815"/>
      <c r="O1" s="815"/>
      <c r="P1" s="816"/>
    </row>
    <row r="2" spans="1:16" ht="39.5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10" t="s">
        <v>1005</v>
      </c>
    </row>
    <row r="12" spans="1:16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10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10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10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10" t="s">
        <v>1005</v>
      </c>
    </row>
    <row r="29" spans="1:16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10" t="s">
        <v>1005</v>
      </c>
    </row>
    <row r="31" spans="1:16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8.5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8.5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19" customFormat="1">
      <c r="A35" s="620">
        <v>33</v>
      </c>
      <c r="B35" s="621" t="s">
        <v>753</v>
      </c>
      <c r="C35" s="330" t="s">
        <v>298</v>
      </c>
      <c r="D35" s="621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22" t="s">
        <v>1038</v>
      </c>
      <c r="J35" s="621">
        <v>1</v>
      </c>
      <c r="K35" s="621" t="s">
        <v>200</v>
      </c>
      <c r="L35" s="621" t="s">
        <v>206</v>
      </c>
      <c r="M35" s="623">
        <v>46195</v>
      </c>
      <c r="N35" s="623" t="s">
        <v>987</v>
      </c>
      <c r="O35" s="621"/>
      <c r="P35" s="624" t="s">
        <v>1104</v>
      </c>
    </row>
    <row r="36" spans="1:16" ht="26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6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11" customFormat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11" customFormat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11" customFormat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19" customFormat="1">
      <c r="A42" s="620">
        <v>40</v>
      </c>
      <c r="B42" s="621" t="s">
        <v>1047</v>
      </c>
      <c r="C42" s="330" t="s">
        <v>396</v>
      </c>
      <c r="D42" s="621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22" t="s">
        <v>1049</v>
      </c>
      <c r="J42" s="621">
        <v>1</v>
      </c>
      <c r="K42" s="621" t="s">
        <v>200</v>
      </c>
      <c r="L42" s="326" t="s">
        <v>206</v>
      </c>
      <c r="M42" s="623">
        <v>46195</v>
      </c>
      <c r="N42" s="623" t="s">
        <v>987</v>
      </c>
      <c r="O42" s="621"/>
      <c r="P42" s="624" t="s">
        <v>1104</v>
      </c>
    </row>
    <row r="43" spans="1:16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6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4.5"/>
  <cols>
    <col min="2" max="3" width="35.54296875" customWidth="1"/>
    <col min="4" max="4" width="12.1796875" customWidth="1"/>
    <col min="8" max="8" width="15.7265625" customWidth="1"/>
    <col min="9" max="9" width="16.7265625" customWidth="1"/>
    <col min="10" max="10" width="14" customWidth="1"/>
    <col min="11" max="11" width="15" customWidth="1"/>
    <col min="12" max="12" width="20.54296875" customWidth="1"/>
  </cols>
  <sheetData>
    <row r="1" spans="1:12" ht="21.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498" t="s">
        <v>67</v>
      </c>
    </row>
    <row r="3" spans="1:12" ht="32.15" customHeight="1">
      <c r="A3" s="316">
        <v>2</v>
      </c>
      <c r="B3" s="317" t="s">
        <v>1074</v>
      </c>
      <c r="C3" s="317" t="s">
        <v>1071</v>
      </c>
      <c r="D3" s="323" t="s">
        <v>1062</v>
      </c>
      <c r="G3" s="518" t="s">
        <v>92</v>
      </c>
      <c r="H3" s="519" t="s">
        <v>1080</v>
      </c>
      <c r="I3" s="519" t="s">
        <v>1081</v>
      </c>
      <c r="J3" s="519" t="s">
        <v>470</v>
      </c>
      <c r="K3" s="519" t="s">
        <v>1082</v>
      </c>
      <c r="L3" s="520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12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13"/>
    </row>
    <row r="5" spans="1:12" ht="43.5">
      <c r="A5" s="312">
        <v>4</v>
      </c>
      <c r="B5" s="313" t="s">
        <v>67</v>
      </c>
      <c r="C5" s="313"/>
      <c r="D5" s="313"/>
      <c r="G5" s="512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13"/>
    </row>
    <row r="6" spans="1:12">
      <c r="A6" s="312">
        <v>5</v>
      </c>
      <c r="B6" s="313"/>
      <c r="C6" s="313"/>
      <c r="D6" s="313"/>
      <c r="G6" s="512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13"/>
    </row>
    <row r="7" spans="1:12" ht="43.5">
      <c r="A7" s="312">
        <v>6</v>
      </c>
      <c r="B7" s="313"/>
      <c r="C7" s="313"/>
      <c r="D7" s="313"/>
      <c r="G7" s="512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13"/>
    </row>
    <row r="8" spans="1:12">
      <c r="A8" s="312">
        <v>7</v>
      </c>
      <c r="B8" s="313"/>
      <c r="C8" s="313"/>
      <c r="D8" s="313"/>
      <c r="G8" s="512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13"/>
    </row>
    <row r="9" spans="1:12">
      <c r="A9" s="312">
        <v>8</v>
      </c>
      <c r="B9" s="313"/>
      <c r="C9" s="313"/>
      <c r="D9" s="313"/>
      <c r="G9" s="512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13"/>
    </row>
    <row r="10" spans="1:12">
      <c r="A10" s="312">
        <v>9</v>
      </c>
      <c r="B10" s="313"/>
      <c r="C10" s="313"/>
      <c r="D10" s="313"/>
      <c r="G10" s="512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13"/>
    </row>
    <row r="11" spans="1:12">
      <c r="A11" s="312">
        <v>10</v>
      </c>
      <c r="B11" s="313"/>
      <c r="C11" s="313"/>
      <c r="D11" s="313"/>
      <c r="G11" s="512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13"/>
    </row>
    <row r="12" spans="1:12">
      <c r="A12" s="312">
        <v>11</v>
      </c>
      <c r="B12" s="313"/>
      <c r="C12" s="313"/>
      <c r="D12" s="313"/>
      <c r="G12" s="512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13"/>
    </row>
    <row r="13" spans="1:12" ht="15" thickBot="1">
      <c r="A13" s="312">
        <v>12</v>
      </c>
      <c r="B13" s="313"/>
      <c r="C13" s="313"/>
      <c r="D13" s="313"/>
      <c r="G13" s="514">
        <v>10</v>
      </c>
      <c r="H13" s="515" t="s">
        <v>1095</v>
      </c>
      <c r="I13" s="516">
        <v>46194</v>
      </c>
      <c r="J13" s="515">
        <v>12</v>
      </c>
      <c r="K13" s="515">
        <v>8799693511</v>
      </c>
      <c r="L13" s="517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4.5"/>
  <cols>
    <col min="2" max="2" width="16.453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Sheet5</vt:lpstr>
      <vt:lpstr>Sheet3</vt:lpstr>
      <vt:lpstr>Sheet1</vt:lpstr>
      <vt:lpstr>AOTL - KEC</vt:lpstr>
      <vt:lpstr>DPR Sheet</vt:lpstr>
      <vt:lpstr>Survey Anx</vt:lpstr>
      <vt:lpstr>Survey</vt:lpstr>
      <vt:lpstr>Soil Inv.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2026-07-22T06:21:06Z</cp:lastPrinted>
  <dcterms:created xsi:type="dcterms:W3CDTF">2023-12-20T18:09:34Z</dcterms:created>
  <dcterms:modified xsi:type="dcterms:W3CDTF">2026-08-09T16:22:06Z</dcterms:modified>
  <cp:category/>
  <cp:contentStatus/>
</cp:coreProperties>
</file>