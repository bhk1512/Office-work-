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"/>
    </mc:Choice>
  </mc:AlternateContent>
  <xr:revisionPtr revIDLastSave="0" documentId="13_ncr:1_{73010E3B-D551-4254-AD32-C3E746F8C9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ection Summary" sheetId="1" r:id="rId1"/>
  </sheets>
  <calcPr calcId="191029" iterate="1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<sst xmlns="http://schemas.openxmlformats.org/spreadsheetml/2006/main" count="68" uniqueCount="41">
  <si>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PCH</t>
  </si>
  <si>
    <t>Week 1</t>
  </si>
  <si>
    <t>Week 2</t>
  </si>
  <si>
    <t>Week 3</t>
  </si>
  <si>
    <t>Week 4</t>
  </si>
  <si>
    <t>Week 5</t>
  </si>
  <si>
    <t>Avg Productivity (MTD)</t>
  </si>
  <si>
    <t>Total MT (For this month) (MTD)</t>
  </si>
  <si>
    <t>Total No. of Erections (For this month) (MTD)</t>
  </si>
  <si>
    <t>Mr. Sanjay Kumar Gupta</t>
  </si>
  <si>
    <t>Mr. Arun Felbin</t>
  </si>
  <si>
    <t>Project</t>
  </si>
  <si>
    <t>TA413</t>
  </si>
  <si>
    <t>TA419</t>
  </si>
  <si>
    <t>TB408</t>
  </si>
  <si>
    <t>TA325</t>
  </si>
  <si>
    <t>TA416</t>
  </si>
  <si>
    <t>TA418</t>
  </si>
  <si>
    <t>TA421</t>
  </si>
  <si>
    <t>TA504</t>
  </si>
  <si>
    <t>TA505</t>
  </si>
  <si>
    <t>TA506</t>
  </si>
  <si>
    <t>TA509</t>
  </si>
  <si>
    <t>Raj</t>
  </si>
  <si>
    <t>North</t>
  </si>
  <si>
    <t>Guj</t>
  </si>
  <si>
    <t>UP</t>
  </si>
  <si>
    <t>KR</t>
  </si>
  <si>
    <t>MP</t>
  </si>
  <si>
    <t>Region</t>
  </si>
  <si>
    <t>North/Raj/UP</t>
  </si>
  <si>
    <t>Guj/MP</t>
  </si>
  <si>
    <t>Karnataka</t>
  </si>
  <si>
    <t>Regions Clubbed</t>
  </si>
  <si>
    <t>Row Labels</t>
  </si>
  <si>
    <t>Grand Total</t>
  </si>
  <si>
    <t xml:space="preserve"> Week 1</t>
  </si>
  <si>
    <t xml:space="preserve"> Week 2</t>
  </si>
  <si>
    <t xml:space="preserve"> Week 3</t>
  </si>
  <si>
    <t xml:space="preserve"> Week 4</t>
  </si>
  <si>
    <t xml:space="preserve"> 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</si>
</sst>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166" formatCode="0.0"/>
    </dxf>
    <dxf>
      <numFmt numFmtId="165" formatCode="0.000"/>
    </dxf>
    <dxf>
      <numFmt numFmtId="164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[Nov_Erection_Summary.xlsx]Erection Summary!PivotTable1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2">
                    <a:lumMod val="10000"/>
                  </a:schemeClr>
                </a:solidFill>
              </a:rPr>
              <a:t>November Tower</a:t>
            </a:r>
            <a:r>
              <a:rPr lang="en-US" sz="1600" b="1" baseline="0">
                <a:solidFill>
                  <a:schemeClr val="bg2">
                    <a:lumMod val="10000"/>
                  </a:schemeClr>
                </a:solidFill>
              </a:rPr>
              <a:t> Erection Productivity (MT/day)</a:t>
            </a:r>
            <a:endParaRPr lang="en-US" sz="1600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'Erection Summary'!$F$22</c:f>
              <c:strCache>
                <c:ptCount val="1"/>
                <c:pt idx="0">
                  <c:v> Week 1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'Erection Summary'!$E$23:$E$26</c:f>
              <c:strCache>
                <c:ptCount val="3"/>
                <c:pt idx="0">
                  <c:v>Guj/MP</c:v>
                </c:pt>
                <c:pt idx="1">
                  <c:v>Karnataka</c:v>
                </c:pt>
                <c:pt idx="2">
                  <c:v>North/Raj/UP</c:v>
                </c:pt>
              </c:strCache>
            </c:strRef>
          </c:cat>
          <c:val>
            <c:numRef>
              <c:f>'Erection Summary'!$F$23:$F$26</c:f>
              <c:numCache>
                <c:formatCode>0.0</c:formatCode>
                <c:ptCount val="3"/>
                <c:pt idx="0">
                  <c:v>4.9180000000000001</c:v>
                </c:pt>
                <c:pt idx="1">
                  <c:v>4.8550000000000004</c:v>
                </c:pt>
                <c:pt idx="2">
                  <c:v>3.8275000000000001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D-4178-8FD7-FC6167F6FDD3}"/>
            </c:ext>
          </c:extLst>
        </c:ser>
        <c:ser>
          <c:idx val="1"/>
          <c:order val="1"/>
          <c:tx>
            <c:strRef>
              <c:f>'Erection Summary'!$G$22</c:f>
              <c:strCache>
                <c:ptCount val="1"/>
                <c:pt idx="0">
                  <c:v> Week 2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'Erection Summary'!$E$23:$E$26</c:f>
              <c:strCache>
                <c:ptCount val="3"/>
                <c:pt idx="0">
                  <c:v>Guj/MP</c:v>
                </c:pt>
                <c:pt idx="1">
                  <c:v>Karnataka</c:v>
                </c:pt>
                <c:pt idx="2">
                  <c:v>North/Raj/UP</c:v>
                </c:pt>
              </c:strCache>
            </c:strRef>
          </c:cat>
          <c:val>
            <c:numRef>
              <c:f>'Erection Summary'!$G$23:$G$26</c:f>
              <c:numCache>
                <c:formatCode>0.0</c:formatCode>
                <c:ptCount val="3"/>
                <c:pt idx="0">
                  <c:v>4.9079999999999995</c:v>
                </c:pt>
                <c:pt idx="1">
                  <c:v>5.2549999999999999</c:v>
                </c:pt>
                <c:pt idx="2">
                  <c:v>4.3100000000000005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D-4178-8FD7-FC6167F6FDD3}"/>
            </c:ext>
          </c:extLst>
        </c:ser>
        <c:ser>
          <c:idx val="2"/>
          <c:order val="2"/>
          <c:tx>
            <c:strRef>
              <c:f>'Erection Summary'!$H$22</c:f>
              <c:strCache>
                <c:ptCount val="1"/>
                <c:pt idx="0">
                  <c:v> Week 3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'Erection Summary'!$E$23:$E$26</c:f>
              <c:strCache>
                <c:ptCount val="3"/>
                <c:pt idx="0">
                  <c:v>Guj/MP</c:v>
                </c:pt>
                <c:pt idx="1">
                  <c:v>Karnataka</c:v>
                </c:pt>
                <c:pt idx="2">
                  <c:v>North/Raj/UP</c:v>
                </c:pt>
              </c:strCache>
            </c:strRef>
          </c:cat>
          <c:val>
            <c:numRef>
              <c:f>'Erection Summary'!$H$23:$H$26</c:f>
              <c:numCache>
                <c:formatCode>0.0</c:formatCode>
                <c:ptCount val="3"/>
                <c:pt idx="0">
                  <c:v>4.9440000000000008</c:v>
                </c:pt>
                <c:pt idx="1">
                  <c:v>5.0049999999999999</c:v>
                </c:pt>
                <c:pt idx="2">
                  <c:v>4.2975000000000003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D-4178-8FD7-FC6167F6FDD3}"/>
            </c:ext>
          </c:extLst>
        </c:ser>
        <c:ser>
          <c:idx val="3"/>
          <c:order val="3"/>
          <c:tx>
            <c:strRef>
              <c:f>'Erection Summary'!$I$22</c:f>
              <c:strCache>
                <c:ptCount val="1"/>
                <c:pt idx="0">
                  <c:v> Week 4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'Erection Summary'!$E$23:$E$26</c:f>
              <c:strCache>
                <c:ptCount val="3"/>
                <c:pt idx="0">
                  <c:v>Guj/MP</c:v>
                </c:pt>
                <c:pt idx="1">
                  <c:v>Karnataka</c:v>
                </c:pt>
                <c:pt idx="2">
                  <c:v>North/Raj/UP</c:v>
                </c:pt>
              </c:strCache>
            </c:strRef>
          </c:cat>
          <c:val>
            <c:numRef>
              <c:f>'Erection Summary'!$I$23:$I$26</c:f>
              <c:numCache>
                <c:formatCode>0.0</c:formatCode>
                <c:ptCount val="3"/>
                <c:pt idx="0">
                  <c:v>3.976</c:v>
                </c:pt>
                <c:pt idx="1">
                  <c:v>3.645</c:v>
                </c:pt>
                <c:pt idx="2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D-4178-8FD7-FC6167F6FDD3}"/>
            </c:ext>
          </c:extLst>
        </c:ser>
        <c:ser>
          <c:idx val="4"/>
          <c:order val="4"/>
          <c:tx>
            <c:strRef>
              <c:f>'Erection Summary'!$J$22</c:f>
              <c:strCache>
                <c:ptCount val="1"/>
                <c:pt idx="0">
                  <c:v> Week 5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'Erection Summary'!$E$23:$E$26</c:f>
              <c:strCache>
                <c:ptCount val="3"/>
                <c:pt idx="0">
                  <c:v>Guj/MP</c:v>
                </c:pt>
                <c:pt idx="1">
                  <c:v>Karnataka</c:v>
                </c:pt>
                <c:pt idx="2">
                  <c:v>North/Raj/UP</c:v>
                </c:pt>
              </c:strCache>
            </c:strRef>
          </c:cat>
          <c:val>
            <c:numRef>
              <c:f>'Erection Summary'!$J$23:$J$26</c:f>
              <c:numCache>
                <c:formatCode>0.0</c:formatCode>
                <c:ptCount val="3"/>
                <c:pt idx="0">
                  <c:v>3.2359999999999998</c:v>
                </c:pt>
                <c:pt idx="1">
                  <c:v>4.5750000000000002</c:v>
                </c:pt>
                <c:pt idx="2">
                  <c:v>2.1924999999999999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4D-4178-8FD7-FC6167F6FD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8896191"/>
        <c:axId val="1028912991"/>
      </c:barChart>
      <c:catAx>
        <c:axId val="1028896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12991"/>
        <c:crosses val="autoZero"/>
        <c:auto val="1"/>
        <c:lblAlgn val="ctr"/>
        <c:lblOffset val="100"/>
        <c:noMultiLvlLbl val="0"/>
      </c:catAx>
      <c:valAx>
        <c:axId val="1028912991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102889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241531</xdr:colOff>
      <xdr:row>21</xdr:row>
      <xdr:rowOff>16648</xdr:rowOff>
    </xdr:from>
    <xdr:to>
      <xdr:col>21</xdr:col>
      <xdr:colOff>69229</xdr:colOff>
      <xdr:row>34</xdr:row>
      <xdr:rowOff>38874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650B0-1D10-7E32-B719-909E447EF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aushik" refreshedDate="45996.508683680557" createdVersion="8" refreshedVersion="8" minRefreshableVersion="3" recordCount="11" xr:uid="{BEB4EFD1-982D-48BF-A04D-8B1AD25B3D0B}">
  <cacheSource type="worksheet">
    <worksheetSource ref="D7:I18" sheet="Erection Summary"/>
  </cacheSource>
  <cacheFields count="6">
    <cacheField name="Regions Clubbed" numFmtId="0">
      <sharedItems count="3">
        <s v="North/Raj/UP"/>
        <s v="Guj/MP"/>
        <s v="Karnataka"/>
      </sharedItems>
    </cacheField>
    <cacheField name="Week 1" numFmtId="0">
      <sharedItems containsSemiMixedTypes="0" containsString="0" containsNumber="1" minValue="3.43" maxValue="7.48"/>
    </cacheField>
    <cacheField name="Week 2" numFmtId="0">
      <sharedItems containsSemiMixedTypes="0" containsString="0" containsNumber="1" minValue="3.6" maxValue="6.75"/>
    </cacheField>
    <cacheField name="Week 3" numFmtId="0">
      <sharedItems containsSemiMixedTypes="0" containsString="0" containsNumber="1" minValue="3.89" maxValue="6.12"/>
    </cacheField>
    <cacheField name="Week 4" numFmtId="0">
      <sharedItems containsSemiMixedTypes="0" containsString="0" containsNumber="1" minValue="0" maxValue="7.29"/>
    </cacheField>
    <cacheField name="Week 5" numFmtId="0">
      <sharedItems containsSemiMixedTypes="0" containsString="0" containsNumber="1" minValue="0" maxValue="9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3.6"/>
    <n v="4.49"/>
    <n v="3.99"/>
    <n v="0"/>
    <n v="0"/>
  </r>
  <r>
    <x v="0"/>
    <n v="3.78"/>
    <n v="4.18"/>
    <n v="3.96"/>
    <n v="4.59"/>
    <n v="5.03"/>
  </r>
  <r>
    <x v="0"/>
    <n v="4.45"/>
    <n v="4.97"/>
    <n v="5.12"/>
    <n v="4.91"/>
    <n v="0"/>
  </r>
  <r>
    <x v="1"/>
    <n v="3.8"/>
    <n v="3.98"/>
    <n v="4.4000000000000004"/>
    <n v="4.93"/>
    <n v="6.13"/>
  </r>
  <r>
    <x v="0"/>
    <n v="3.48"/>
    <n v="3.6"/>
    <n v="4.12"/>
    <n v="4.0999999999999996"/>
    <n v="3.74"/>
  </r>
  <r>
    <x v="2"/>
    <n v="3.43"/>
    <n v="3.76"/>
    <n v="3.89"/>
    <n v="0"/>
    <n v="0"/>
  </r>
  <r>
    <x v="2"/>
    <n v="6.28"/>
    <n v="6.75"/>
    <n v="6.12"/>
    <n v="7.29"/>
    <n v="9.15"/>
  </r>
  <r>
    <x v="1"/>
    <n v="4.3099999999999996"/>
    <n v="4.45"/>
    <n v="4.72"/>
    <n v="5.17"/>
    <n v="0"/>
  </r>
  <r>
    <x v="1"/>
    <n v="3.66"/>
    <n v="4.0599999999999996"/>
    <n v="4.3499999999999996"/>
    <n v="4.99"/>
    <n v="5.57"/>
  </r>
  <r>
    <x v="1"/>
    <n v="5.34"/>
    <n v="5.67"/>
    <n v="5.45"/>
    <n v="4.79"/>
    <n v="4.4800000000000004"/>
  </r>
  <r>
    <x v="1"/>
    <n v="7.48"/>
    <n v="6.38"/>
    <n v="5.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D84EE-B1DC-4A34-9846-B6DF7F2B8D2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22:J26" firstHeaderRow="0" firstDataRow="1" firstDataCol="1"/>
  <pivotFields count="6"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Week 1" fld="1" subtotal="average" baseField="0" baseItem="0"/>
    <dataField name=" Week 2" fld="2" subtotal="average" baseField="0" baseItem="0"/>
    <dataField name=" Week 3" fld="3" subtotal="average" baseField="0" baseItem="0"/>
    <dataField name=" Week 4" fld="4" subtotal="average" baseField="0" baseItem="0"/>
    <dataField name=" Week 5" fld="5" subtotal="average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D15" zoomScale="82" workbookViewId="0">
      <selection activeCell="D21" sqref="D21"/>
    </sheetView>
  </sheetViews>
  <sheetFormatPr defaultRowHeight="14.5" x14ac:dyDescent="0.35"/>
  <cols>
    <col min="1" max="1" width="21.36328125" bestFit="1" customWidth="1"/>
    <col min="5" max="5" width="12.36328125" bestFit="1" customWidth="1"/>
    <col min="6" max="10" width="16.54296875" bestFit="1" customWidth="1"/>
  </cols>
  <sheetData>
    <row r="1" spans="1:14" x14ac:dyDescent="0.35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4" x14ac:dyDescent="0.35">
      <c r="A2" t="s">
        <v>9</v>
      </c>
      <c r="B2">
        <v>3.94</v>
      </c>
      <c r="E2">
        <v>4.55</v>
      </c>
      <c r="F2">
        <v>4.3600000000000003</v>
      </c>
      <c r="G2">
        <v>4.75</v>
      </c>
      <c r="H2">
        <v>5.03</v>
      </c>
      <c r="I2">
        <v>4.43</v>
      </c>
      <c r="J2">
        <v>2913.51</v>
      </c>
      <c r="K2">
        <v>57</v>
      </c>
    </row>
    <row r="3" spans="1:14" x14ac:dyDescent="0.35">
      <c r="A3" t="s">
        <v>10</v>
      </c>
      <c r="B3">
        <v>4.72</v>
      </c>
      <c r="E3">
        <v>4.83</v>
      </c>
      <c r="F3">
        <v>4.8600000000000003</v>
      </c>
      <c r="G3">
        <v>5.21</v>
      </c>
      <c r="H3">
        <v>5.81</v>
      </c>
      <c r="I3">
        <v>4.6100000000000003</v>
      </c>
      <c r="J3">
        <v>8465.15</v>
      </c>
      <c r="K3">
        <v>179</v>
      </c>
    </row>
    <row r="7" spans="1:14" x14ac:dyDescent="0.35">
      <c r="A7" s="1" t="s">
        <v>0</v>
      </c>
      <c r="B7" s="1" t="s">
        <v>11</v>
      </c>
      <c r="C7" s="1" t="s">
        <v>29</v>
      </c>
      <c r="D7" s="1" t="s">
        <v>33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</row>
    <row r="8" spans="1:14" x14ac:dyDescent="0.35">
      <c r="A8" t="s">
        <v>9</v>
      </c>
      <c r="B8" t="s">
        <v>12</v>
      </c>
      <c r="C8" t="s">
        <v>23</v>
      </c>
      <c r="D8" t="s">
        <v>30</v>
      </c>
      <c r="E8">
        <v>3.6</v>
      </c>
      <c r="F8">
        <v>4.49</v>
      </c>
      <c r="G8">
        <v>3.99</v>
      </c>
      <c r="H8">
        <v>0</v>
      </c>
      <c r="I8">
        <v>0</v>
      </c>
      <c r="J8">
        <v>3.97</v>
      </c>
      <c r="K8">
        <v>831.35</v>
      </c>
      <c r="L8">
        <v>16</v>
      </c>
      <c r="M8">
        <v>22</v>
      </c>
      <c r="N8">
        <v>24</v>
      </c>
    </row>
    <row r="9" spans="1:14" x14ac:dyDescent="0.35">
      <c r="B9" t="s">
        <v>13</v>
      </c>
      <c r="C9" t="s">
        <v>24</v>
      </c>
      <c r="D9" t="s">
        <v>30</v>
      </c>
      <c r="E9">
        <v>3.78</v>
      </c>
      <c r="F9">
        <v>4.18</v>
      </c>
      <c r="G9">
        <v>3.96</v>
      </c>
      <c r="H9">
        <v>4.59</v>
      </c>
      <c r="I9">
        <v>5.03</v>
      </c>
      <c r="J9">
        <v>4.16</v>
      </c>
      <c r="K9">
        <v>646.72</v>
      </c>
      <c r="L9">
        <v>13</v>
      </c>
      <c r="M9">
        <v>13</v>
      </c>
    </row>
    <row r="10" spans="1:14" x14ac:dyDescent="0.35">
      <c r="B10" t="s">
        <v>14</v>
      </c>
      <c r="C10" t="s">
        <v>23</v>
      </c>
      <c r="D10" t="s">
        <v>30</v>
      </c>
      <c r="E10">
        <v>4.45</v>
      </c>
      <c r="F10">
        <v>4.97</v>
      </c>
      <c r="G10">
        <v>5.12</v>
      </c>
      <c r="H10">
        <v>4.91</v>
      </c>
      <c r="I10">
        <v>0</v>
      </c>
      <c r="J10">
        <v>4.84</v>
      </c>
      <c r="K10">
        <v>1435.44</v>
      </c>
      <c r="L10">
        <v>28</v>
      </c>
      <c r="M10">
        <v>33</v>
      </c>
    </row>
    <row r="11" spans="1:14" x14ac:dyDescent="0.35">
      <c r="A11" t="s">
        <v>10</v>
      </c>
      <c r="B11" t="s">
        <v>15</v>
      </c>
      <c r="C11" t="s">
        <v>25</v>
      </c>
      <c r="D11" t="s">
        <v>31</v>
      </c>
      <c r="E11">
        <v>3.8</v>
      </c>
      <c r="F11">
        <v>3.98</v>
      </c>
      <c r="G11">
        <v>4.4000000000000004</v>
      </c>
      <c r="H11">
        <v>4.93</v>
      </c>
      <c r="I11">
        <v>6.13</v>
      </c>
      <c r="J11">
        <v>4.2</v>
      </c>
      <c r="K11">
        <v>2808.11</v>
      </c>
      <c r="L11">
        <v>38</v>
      </c>
      <c r="M11">
        <v>31</v>
      </c>
    </row>
    <row r="12" spans="1:14" x14ac:dyDescent="0.35">
      <c r="B12" t="s">
        <v>16</v>
      </c>
      <c r="C12" t="s">
        <v>26</v>
      </c>
      <c r="D12" t="s">
        <v>30</v>
      </c>
      <c r="E12">
        <v>3.48</v>
      </c>
      <c r="F12">
        <v>3.6</v>
      </c>
      <c r="G12">
        <v>4.12</v>
      </c>
      <c r="H12">
        <v>4.0999999999999996</v>
      </c>
      <c r="I12">
        <v>3.74</v>
      </c>
      <c r="J12">
        <v>3.79</v>
      </c>
      <c r="K12">
        <v>962.36</v>
      </c>
      <c r="L12">
        <v>12</v>
      </c>
      <c r="M12">
        <v>8</v>
      </c>
    </row>
    <row r="13" spans="1:14" x14ac:dyDescent="0.35">
      <c r="B13" t="s">
        <v>17</v>
      </c>
      <c r="C13" t="s">
        <v>27</v>
      </c>
      <c r="D13" t="s">
        <v>32</v>
      </c>
      <c r="E13">
        <v>3.43</v>
      </c>
      <c r="F13">
        <v>3.76</v>
      </c>
      <c r="G13">
        <v>3.89</v>
      </c>
      <c r="H13">
        <v>0</v>
      </c>
      <c r="I13">
        <v>0</v>
      </c>
      <c r="J13">
        <v>3.66</v>
      </c>
      <c r="K13">
        <v>247</v>
      </c>
      <c r="L13">
        <v>6</v>
      </c>
      <c r="M13">
        <v>7</v>
      </c>
    </row>
    <row r="14" spans="1:14" x14ac:dyDescent="0.35">
      <c r="B14" t="s">
        <v>18</v>
      </c>
      <c r="C14" t="s">
        <v>27</v>
      </c>
      <c r="D14" t="s">
        <v>32</v>
      </c>
      <c r="E14">
        <v>6.28</v>
      </c>
      <c r="F14">
        <v>6.75</v>
      </c>
      <c r="G14">
        <v>6.12</v>
      </c>
      <c r="H14">
        <v>7.29</v>
      </c>
      <c r="I14">
        <v>9.15</v>
      </c>
      <c r="J14">
        <v>6.62</v>
      </c>
      <c r="K14">
        <v>949.77</v>
      </c>
      <c r="L14">
        <v>22</v>
      </c>
      <c r="M14">
        <v>24</v>
      </c>
    </row>
    <row r="15" spans="1:14" x14ac:dyDescent="0.35">
      <c r="B15" t="s">
        <v>19</v>
      </c>
      <c r="C15" t="s">
        <v>28</v>
      </c>
      <c r="D15" t="s">
        <v>31</v>
      </c>
      <c r="E15">
        <v>4.3099999999999996</v>
      </c>
      <c r="F15">
        <v>4.45</v>
      </c>
      <c r="G15">
        <v>4.72</v>
      </c>
      <c r="H15">
        <v>5.17</v>
      </c>
      <c r="I15">
        <v>0</v>
      </c>
      <c r="J15">
        <v>4.5</v>
      </c>
      <c r="K15">
        <v>324.01</v>
      </c>
      <c r="L15">
        <v>6</v>
      </c>
      <c r="M15">
        <v>6</v>
      </c>
    </row>
    <row r="16" spans="1:14" x14ac:dyDescent="0.35">
      <c r="B16" t="s">
        <v>20</v>
      </c>
      <c r="C16" t="s">
        <v>28</v>
      </c>
      <c r="D16" t="s">
        <v>31</v>
      </c>
      <c r="E16">
        <v>3.66</v>
      </c>
      <c r="F16">
        <v>4.0599999999999996</v>
      </c>
      <c r="G16">
        <v>4.3499999999999996</v>
      </c>
      <c r="H16">
        <v>4.99</v>
      </c>
      <c r="I16">
        <v>5.57</v>
      </c>
      <c r="J16">
        <v>4.25</v>
      </c>
      <c r="K16">
        <v>1501.99</v>
      </c>
      <c r="L16">
        <v>34</v>
      </c>
      <c r="M16">
        <v>34</v>
      </c>
    </row>
    <row r="17" spans="2:13" x14ac:dyDescent="0.35">
      <c r="B17" t="s">
        <v>21</v>
      </c>
      <c r="C17" t="s">
        <v>28</v>
      </c>
      <c r="D17" t="s">
        <v>31</v>
      </c>
      <c r="E17">
        <v>5.34</v>
      </c>
      <c r="F17">
        <v>5.67</v>
      </c>
      <c r="G17">
        <v>5.45</v>
      </c>
      <c r="H17">
        <v>4.79</v>
      </c>
      <c r="I17">
        <v>4.4800000000000004</v>
      </c>
      <c r="J17">
        <v>5.33</v>
      </c>
      <c r="K17">
        <v>1564.4</v>
      </c>
      <c r="L17">
        <v>58</v>
      </c>
      <c r="M17">
        <v>61</v>
      </c>
    </row>
    <row r="18" spans="2:13" x14ac:dyDescent="0.35">
      <c r="B18" t="s">
        <v>22</v>
      </c>
      <c r="C18" t="s">
        <v>28</v>
      </c>
      <c r="D18" t="s">
        <v>31</v>
      </c>
      <c r="E18">
        <v>7.48</v>
      </c>
      <c r="F18">
        <v>6.38</v>
      </c>
      <c r="G18">
        <v>5.8</v>
      </c>
      <c r="H18">
        <v>0</v>
      </c>
      <c r="I18">
        <v>0</v>
      </c>
      <c r="J18">
        <v>6.72</v>
      </c>
      <c r="K18">
        <v>107.51</v>
      </c>
      <c r="L18">
        <v>3</v>
      </c>
      <c r="M18">
        <v>8</v>
      </c>
    </row>
    <row r="22" spans="2:13" x14ac:dyDescent="0.35">
      <c r="E22" s="2" t="s">
        <v>34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</row>
    <row r="23" spans="2:13" x14ac:dyDescent="0.35">
      <c r="E23" s="3" t="s">
        <v>31</v>
      </c>
      <c r="F23" s="5">
        <v>4.9180000000000001</v>
      </c>
      <c r="G23" s="5">
        <v>4.9079999999999995</v>
      </c>
      <c r="H23" s="5">
        <v>4.9440000000000008</v>
      </c>
      <c r="I23" s="5">
        <v>3.976</v>
      </c>
      <c r="J23" s="5">
        <v>3.2359999999999998</v>
      </c>
    </row>
    <row r="24" spans="2:13" x14ac:dyDescent="0.35">
      <c r="E24" s="3" t="s">
        <v>32</v>
      </c>
      <c r="F24" s="5">
        <v>4.8550000000000004</v>
      </c>
      <c r="G24" s="5">
        <v>5.2549999999999999</v>
      </c>
      <c r="H24" s="5">
        <v>5.0049999999999999</v>
      </c>
      <c r="I24" s="5">
        <v>3.645</v>
      </c>
      <c r="J24" s="5">
        <v>4.5750000000000002</v>
      </c>
    </row>
    <row r="25" spans="2:13" x14ac:dyDescent="0.35">
      <c r="E25" s="3" t="s">
        <v>30</v>
      </c>
      <c r="F25" s="5">
        <v>3.8275000000000001</v>
      </c>
      <c r="G25" s="5">
        <v>4.3100000000000005</v>
      </c>
      <c r="H25" s="5">
        <v>4.2975000000000003</v>
      </c>
      <c r="I25" s="5">
        <v>3.4</v>
      </c>
      <c r="J25" s="5">
        <v>2.1924999999999999</v>
      </c>
    </row>
    <row r="26" spans="2:13" x14ac:dyDescent="0.35">
      <c r="E26" s="3" t="s">
        <v>35</v>
      </c>
      <c r="F26" s="4">
        <v>4.51</v>
      </c>
      <c r="G26" s="4">
        <v>4.7536363636363639</v>
      </c>
      <c r="H26" s="4">
        <v>4.72</v>
      </c>
      <c r="I26" s="4">
        <v>3.7063636363636365</v>
      </c>
      <c r="J26" s="4">
        <v>3.1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Erection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2025-12-02T10:45:08Z</dcterms:created>
  <dcterms:modified xsi:type="dcterms:W3CDTF">2025-12-05T07:13:05Z</dcterms:modified>
</cp:coreProperties>
</file>