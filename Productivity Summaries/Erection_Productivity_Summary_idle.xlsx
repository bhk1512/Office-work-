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Productivity Summaries\"/>
    </mc:Choice>
  </mc:AlternateContent>
  <xr:revisionPtr revIDLastSave="0" documentId="13_ncr:1_{700F75A1-0379-4215-A1A7-0CE897BFE669}" xr6:coauthVersionLast="47" xr6:coauthVersionMax="47" xr10:uidLastSave="{00000000-0000-0000-0000-000000000000}"/>
  <bookViews>
    <workbookView xWindow="-110" yWindow="-110" windowWidth="19420" windowHeight="10300" tabRatio="921" activeTab="2" xr2:uid="{00000000-000D-0000-FFFF-FFFF00000000}"/>
  </bookViews>
  <sheets>
    <sheet name="Erection Summary" sheetId="1" r:id="rId1"/>
    <sheet name="Review_Format" sheetId="2" r:id="rId2"/>
    <sheet name="Gang Level Productivity" sheetId="3" r:id="rId3"/>
    <sheet name="Idle Intervals" sheetId="4" r:id="rId4"/>
    <sheet name="Project Gang Rankings" sheetId="5" r:id="rId5"/>
    <sheet name="PCH Mr. Sanjay Kumar Gupta" sheetId="6" r:id="rId6"/>
    <sheet name="PCH Mr. Arun Felbin" sheetId="7" r:id="rId7"/>
    <sheet name="PCH Mr. Dheeraj Vashishth" sheetId="8" r:id="rId8"/>
  </sheets>
  <definedNames>
    <definedName name="_xlnm._FilterDatabase" localSheetId="2" hidden="1">'Gang Level Productivity'!$A$1:$J$1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" l="1"/>
  <c r="N4" i="3"/>
  <c r="M3" i="3"/>
  <c r="N3" i="3"/>
  <c r="O3" i="3"/>
  <c r="P3" i="3"/>
  <c r="Q3" i="3"/>
  <c r="Q2" i="3"/>
  <c r="P2" i="3"/>
  <c r="O2" i="3"/>
  <c r="N2" i="3"/>
  <c r="M2" i="3"/>
  <c r="Q4" i="3"/>
  <c r="P4" i="3"/>
  <c r="O4" i="3"/>
</calcChain>
</file>

<file path=xl/sharedStrings.xml><?xml version="1.0" encoding="utf-8"?>
<sst xmlns="http://schemas.openxmlformats.org/spreadsheetml/2006/main" count="2129" uniqueCount="407">
  <si>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</si>
  <si>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</si>
  <si>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</si>
  <si>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</si>
  <si>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</si>
  <si>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</si>
  <si>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</si>
  <si>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</si>
  <si>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</si>
  <si>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</si>
  <si>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</si>
  <si>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</si>
  <si>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Avg Productivity (MTD)</t>
  </si>
  <si>
    <t>Total MT (MTD)</t>
  </si>
  <si>
    <t>Total No. of Erections (MTD)</t>
  </si>
  <si>
    <t>Avg Tower Weight Overall</t>
  </si>
  <si>
    <t>PCH</t>
  </si>
  <si>
    <t>Mr. Sanjay Kumar Gupta</t>
  </si>
  <si>
    <t>Mr. Arun Felbin</t>
  </si>
  <si>
    <t>Mr. Dheeraj Vashishth</t>
  </si>
  <si>
    <t>Total</t>
  </si>
  <si>
    <t>Project</t>
  </si>
  <si>
    <t>TA413</t>
  </si>
  <si>
    <t>TA419</t>
  </si>
  <si>
    <t>TA512</t>
  </si>
  <si>
    <t>TB401</t>
  </si>
  <si>
    <t>TB408</t>
  </si>
  <si>
    <t>TB507</t>
  </si>
  <si>
    <t>TA325</t>
  </si>
  <si>
    <t>TA414</t>
  </si>
  <si>
    <t>TA416</t>
  </si>
  <si>
    <t>TA418</t>
  </si>
  <si>
    <t>TA421</t>
  </si>
  <si>
    <t>TA504</t>
  </si>
  <si>
    <t>TA505</t>
  </si>
  <si>
    <t>TA506</t>
  </si>
  <si>
    <t>TA601</t>
  </si>
  <si>
    <t>TB501</t>
  </si>
  <si>
    <t>TA513</t>
  </si>
  <si>
    <t>TB605</t>
  </si>
  <si>
    <t>PCH: Mr. Sanjay Kumar Gupta</t>
  </si>
  <si>
    <t>PCH: Mr. Arun Felbin</t>
  </si>
  <si>
    <t>PCH: Mr. Dheeraj Vashishth</t>
  </si>
  <si>
    <t>Erection productivity</t>
  </si>
  <si>
    <t>Oct'25</t>
  </si>
  <si>
    <t>Nov'25</t>
  </si>
  <si>
    <t>Dec'25</t>
  </si>
  <si>
    <t>Weight/day (Avg)</t>
  </si>
  <si>
    <t>No of Gangs engaged (Avg)</t>
  </si>
  <si>
    <t>Gang Name</t>
  </si>
  <si>
    <t>Avg Productivity (Overall)</t>
  </si>
  <si>
    <t>Idle Counted (days)</t>
  </si>
  <si>
    <t>Number of Idle Intervals</t>
  </si>
  <si>
    <t>Amar Kumar Singh</t>
  </si>
  <si>
    <t>Bhairaw Mahto</t>
  </si>
  <si>
    <t>Fouzi Ratto</t>
  </si>
  <si>
    <t>Govind Mahto 1</t>
  </si>
  <si>
    <t>Govind Mahto 2</t>
  </si>
  <si>
    <t>Jwala Singh 1</t>
  </si>
  <si>
    <t>Jwala Singh 2</t>
  </si>
  <si>
    <t>Kartik Mahto</t>
  </si>
  <si>
    <t>Pritam Enterprises 1</t>
  </si>
  <si>
    <t>Pritam Enterprises 2</t>
  </si>
  <si>
    <t>Pritam Enterprises 3</t>
  </si>
  <si>
    <t>Pritam Enterprises 4</t>
  </si>
  <si>
    <t>Punam Kumari 1</t>
  </si>
  <si>
    <t>Punam Kumari 2</t>
  </si>
  <si>
    <t>Punam Kumari 4</t>
  </si>
  <si>
    <t>Sk Samiul 1</t>
  </si>
  <si>
    <t>Ved Prakash</t>
  </si>
  <si>
    <t>Amit Yadav</t>
  </si>
  <si>
    <t>Bhairo Mahato</t>
  </si>
  <si>
    <t>Dhruv Enterprises</t>
  </si>
  <si>
    <t>Ganesh</t>
  </si>
  <si>
    <t>Ganesh 2</t>
  </si>
  <si>
    <t>Infinedea 1</t>
  </si>
  <si>
    <t>Infinidea</t>
  </si>
  <si>
    <t>Infinidea 2</t>
  </si>
  <si>
    <t>Jwala Singh</t>
  </si>
  <si>
    <t>Madhu Sah</t>
  </si>
  <si>
    <t>Mukhilal 1</t>
  </si>
  <si>
    <t>Mukhilal 2</t>
  </si>
  <si>
    <t>Poonam Kumari 2</t>
  </si>
  <si>
    <t>Radha Enterprises</t>
  </si>
  <si>
    <t>Radha Enterprises 1</t>
  </si>
  <si>
    <t>Raju Kumar</t>
  </si>
  <si>
    <t>Rohit</t>
  </si>
  <si>
    <t>Sanjeet</t>
  </si>
  <si>
    <t>Satyam Trading</t>
  </si>
  <si>
    <t>M S Company Gang</t>
  </si>
  <si>
    <t>M S Govind Mahto</t>
  </si>
  <si>
    <t>M S Govind Mahto 2</t>
  </si>
  <si>
    <t>M S Jwala Singh</t>
  </si>
  <si>
    <t>M S Jwala Singh 2</t>
  </si>
  <si>
    <t>M S Kartik Mahto</t>
  </si>
  <si>
    <t>M S Kavya Enterprises</t>
  </si>
  <si>
    <t>M S Punam Kumari</t>
  </si>
  <si>
    <t>M S Punam Kumari 3</t>
  </si>
  <si>
    <t>M S Punam Kumari 4</t>
  </si>
  <si>
    <t>Anjani Power Priyanka Devi Sudheer</t>
  </si>
  <si>
    <t>Chinta Devi</t>
  </si>
  <si>
    <t>Devi Construction</t>
  </si>
  <si>
    <t>Ganesg Sinha</t>
  </si>
  <si>
    <t>Ganesh Sinha</t>
  </si>
  <si>
    <t>Jirwa Devi</t>
  </si>
  <si>
    <t>Jwala Singh 3 Bhairo Mahto</t>
  </si>
  <si>
    <t>Kamlesh</t>
  </si>
  <si>
    <t>Laxmi</t>
  </si>
  <si>
    <t>Nirmal Mahto</t>
  </si>
  <si>
    <t>Panva Devi</t>
  </si>
  <si>
    <t>Poonam</t>
  </si>
  <si>
    <t>Priyanka Devi Santosh</t>
  </si>
  <si>
    <t>Priyanka Devi Subodh</t>
  </si>
  <si>
    <t>Priyanka Devi Sudheer</t>
  </si>
  <si>
    <t>Sanjeev Kumar</t>
  </si>
  <si>
    <t>Shri Shyam</t>
  </si>
  <si>
    <t>Shyam Construction</t>
  </si>
  <si>
    <t>Sital Singh</t>
  </si>
  <si>
    <t>Sital Singh 1</t>
  </si>
  <si>
    <t>Sobha Devi</t>
  </si>
  <si>
    <t>Sunny Const</t>
  </si>
  <si>
    <t>Vedanta Const</t>
  </si>
  <si>
    <t>Vivek Ganju</t>
  </si>
  <si>
    <t>Dular Chand Patel</t>
  </si>
  <si>
    <t>Kamlesh Kumar</t>
  </si>
  <si>
    <t>Priyanka Devi</t>
  </si>
  <si>
    <t>Santosh Singh</t>
  </si>
  <si>
    <t>Santosh Singh Laxmi</t>
  </si>
  <si>
    <t>Sheetal Singh</t>
  </si>
  <si>
    <t>Sheetal Singh 1</t>
  </si>
  <si>
    <t>Shobha Devi</t>
  </si>
  <si>
    <t>Shri Shyam Construction</t>
  </si>
  <si>
    <t>Sunny Construction</t>
  </si>
  <si>
    <t>Vedanta Construction</t>
  </si>
  <si>
    <t>Vinay Construction</t>
  </si>
  <si>
    <t>Ajay Kumar</t>
  </si>
  <si>
    <t>Ajay Kumar 2</t>
  </si>
  <si>
    <t>Balaji Tour Travels 2</t>
  </si>
  <si>
    <t>Bhoi Enterprises</t>
  </si>
  <si>
    <t>Dipak</t>
  </si>
  <si>
    <t>Gokul Sarkar</t>
  </si>
  <si>
    <t>Namechand Mahto</t>
  </si>
  <si>
    <t>Prayag Saw</t>
  </si>
  <si>
    <t>Prayag Saw 1</t>
  </si>
  <si>
    <t>Prayag Saw 2</t>
  </si>
  <si>
    <t>Pritam Enterprises</t>
  </si>
  <si>
    <t>Rajesh Mahto</t>
  </si>
  <si>
    <t>Aamir Khan</t>
  </si>
  <si>
    <t>Anita Devi</t>
  </si>
  <si>
    <t>Anjum</t>
  </si>
  <si>
    <t>Barkat Ali Mithun Kumar Vntl</t>
  </si>
  <si>
    <t>Chitra Construction</t>
  </si>
  <si>
    <t>Dhaneshwar Mahto Modina India 4 Prayag Rupesh Kumar</t>
  </si>
  <si>
    <t>Dildar Electrical 2 4 Pgcil</t>
  </si>
  <si>
    <t>Dildar Electrical 2 Pgcil</t>
  </si>
  <si>
    <t>Dildar Electrical 3</t>
  </si>
  <si>
    <t>Dildar Electricals</t>
  </si>
  <si>
    <t>Dildar Electricals 1 Pgcil</t>
  </si>
  <si>
    <t>Dk Verma</t>
  </si>
  <si>
    <t>Enjamul Haque</t>
  </si>
  <si>
    <t>Gokul 1</t>
  </si>
  <si>
    <t>Gokul Sarkar 1</t>
  </si>
  <si>
    <t>Gokul Sarkar 2</t>
  </si>
  <si>
    <t>Imadul Haque</t>
  </si>
  <si>
    <t>Imadul Haque Enjamul Haque</t>
  </si>
  <si>
    <t>Jaman Mahto 1 Ratna Devi</t>
  </si>
  <si>
    <t>Javir Hossen</t>
  </si>
  <si>
    <t>Javir Hossen Enjamul Haque</t>
  </si>
  <si>
    <t>Kamruddin</t>
  </si>
  <si>
    <t>Kuduas Ali 2</t>
  </si>
  <si>
    <t>Md Akhtar</t>
  </si>
  <si>
    <t>Mithun Kumar</t>
  </si>
  <si>
    <t>Modina India 1 4 Pgcil</t>
  </si>
  <si>
    <t>Modina India 1 Pgcil</t>
  </si>
  <si>
    <t>Modina India 2 Pgcil</t>
  </si>
  <si>
    <t>Modina India 3 Pgcil</t>
  </si>
  <si>
    <t>Muni Bibi 1</t>
  </si>
  <si>
    <t>Muni Bibi 1 2</t>
  </si>
  <si>
    <t>Muni Bibi 2</t>
  </si>
  <si>
    <t>Nan</t>
  </si>
  <si>
    <t>Nasirudin</t>
  </si>
  <si>
    <t>Nasirudin 2</t>
  </si>
  <si>
    <t>Pc 2</t>
  </si>
  <si>
    <t>Pc 3 Prabhat Kumar Ranjan</t>
  </si>
  <si>
    <t>Pc Construction</t>
  </si>
  <si>
    <t>Pc Construction 1</t>
  </si>
  <si>
    <t>Prayag Mahto</t>
  </si>
  <si>
    <t>Rahul Kumar</t>
  </si>
  <si>
    <t>Ranjan Kumar</t>
  </si>
  <si>
    <t>Rupesh</t>
  </si>
  <si>
    <t>Sakila Khatun</t>
  </si>
  <si>
    <t>Satish Kumar</t>
  </si>
  <si>
    <t>Senaul</t>
  </si>
  <si>
    <t>Sk Samiul Dildar Electricals 1</t>
  </si>
  <si>
    <t>Subhash</t>
  </si>
  <si>
    <t>Sukhrridin</t>
  </si>
  <si>
    <t>Sukruddin</t>
  </si>
  <si>
    <t>Teklal Mahto</t>
  </si>
  <si>
    <t>Anjum Construction</t>
  </si>
  <si>
    <t>Md Emdadul Hoque</t>
  </si>
  <si>
    <t>Pramod Kumar</t>
  </si>
  <si>
    <t>Sakhila Khatun</t>
  </si>
  <si>
    <t>Sk Samirul</t>
  </si>
  <si>
    <t>Sk Samiul Sima Khatun</t>
  </si>
  <si>
    <t>Srvan Kumar</t>
  </si>
  <si>
    <t>Subhash Kumar</t>
  </si>
  <si>
    <t>Zakir Hussain</t>
  </si>
  <si>
    <t>Aloriva Global</t>
  </si>
  <si>
    <t>Amit Choudhury</t>
  </si>
  <si>
    <t>Ananya Trader</t>
  </si>
  <si>
    <t>Kongres Kumar 1</t>
  </si>
  <si>
    <t>Maa Construction</t>
  </si>
  <si>
    <t>Mahon Mahto</t>
  </si>
  <si>
    <t>Niranjan Singh</t>
  </si>
  <si>
    <t>Pankaj Kumar</t>
  </si>
  <si>
    <t>Pinky Dewi</t>
  </si>
  <si>
    <t>Punam Kumari</t>
  </si>
  <si>
    <t>Punam Kumari 3</t>
  </si>
  <si>
    <t>Reeta Bharti</t>
  </si>
  <si>
    <t>Sainik Trader</t>
  </si>
  <si>
    <t>Spotyfy</t>
  </si>
  <si>
    <t>Kec 02 Barkat Ali</t>
  </si>
  <si>
    <t>M S Mdpl</t>
  </si>
  <si>
    <t>M S Tofit</t>
  </si>
  <si>
    <t>Savitha</t>
  </si>
  <si>
    <t>D K Verma</t>
  </si>
  <si>
    <t>Gauri Shankar Mahto</t>
  </si>
  <si>
    <t>Gowrishankar</t>
  </si>
  <si>
    <t>Hassan</t>
  </si>
  <si>
    <t>Khatun</t>
  </si>
  <si>
    <t>Praveen</t>
  </si>
  <si>
    <t>Subash</t>
  </si>
  <si>
    <t>Yadhav D K Verma</t>
  </si>
  <si>
    <t>Ghyansham Mahto</t>
  </si>
  <si>
    <t>Horel Mahto</t>
  </si>
  <si>
    <t>Karam Mahto</t>
  </si>
  <si>
    <t>Pankaj</t>
  </si>
  <si>
    <t>Pankaj 2</t>
  </si>
  <si>
    <t>Pinki Devi</t>
  </si>
  <si>
    <t>Rajesh Kumar</t>
  </si>
  <si>
    <t>Sainik Traders</t>
  </si>
  <si>
    <t>Anil Kumar</t>
  </si>
  <si>
    <t>Crane Erc Team Mp</t>
  </si>
  <si>
    <t>Deglal Mahato</t>
  </si>
  <si>
    <t>Deglal Mahato Mp</t>
  </si>
  <si>
    <t>Gokul Sarkar Mp</t>
  </si>
  <si>
    <t>Gokul Sarkar Mp 2</t>
  </si>
  <si>
    <t>Jagannaath Saw Mp</t>
  </si>
  <si>
    <t>Jhemon Mahato 1</t>
  </si>
  <si>
    <t>Jhemon Mahato 2</t>
  </si>
  <si>
    <t>Jyoti Const</t>
  </si>
  <si>
    <t>Pankaj Singh Mp</t>
  </si>
  <si>
    <t>Paramanand 1</t>
  </si>
  <si>
    <t>Prayag Shah Mp</t>
  </si>
  <si>
    <t>Shila Devi</t>
  </si>
  <si>
    <t>Toshan Mahato</t>
  </si>
  <si>
    <t>Ab Const</t>
  </si>
  <si>
    <t>Binod Mahto</t>
  </si>
  <si>
    <t>Fatima 1</t>
  </si>
  <si>
    <t>Govind Mahto</t>
  </si>
  <si>
    <t>Gulab Mahto</t>
  </si>
  <si>
    <t>Horil Mahto</t>
  </si>
  <si>
    <t>Jai Prakash Mahto</t>
  </si>
  <si>
    <t>Karni Const 1</t>
  </si>
  <si>
    <t>Karni Const 2</t>
  </si>
  <si>
    <t>Karni Const 3</t>
  </si>
  <si>
    <t>Karni Const 4</t>
  </si>
  <si>
    <t>Karni Const 5</t>
  </si>
  <si>
    <t>Karni Const 6</t>
  </si>
  <si>
    <t>Khemlal Mahto</t>
  </si>
  <si>
    <t>Mohan Mahto</t>
  </si>
  <si>
    <t>Pankaj 1</t>
  </si>
  <si>
    <t>Pankaj Const</t>
  </si>
  <si>
    <t>Pappu Kumar</t>
  </si>
  <si>
    <t>Prem Kumar</t>
  </si>
  <si>
    <t>Shri Karni Construction</t>
  </si>
  <si>
    <t>Tejal</t>
  </si>
  <si>
    <t>Tejal Const</t>
  </si>
  <si>
    <t>Tejal Mahto</t>
  </si>
  <si>
    <t>Vinod</t>
  </si>
  <si>
    <t>Zainab Fatima</t>
  </si>
  <si>
    <t>Ali Uslam</t>
  </si>
  <si>
    <t>Nasiruddin</t>
  </si>
  <si>
    <t>Harsh Vivek</t>
  </si>
  <si>
    <t>Rames Kumar M</t>
  </si>
  <si>
    <t>Ramesh</t>
  </si>
  <si>
    <t>Ramesh Kumar</t>
  </si>
  <si>
    <t>Suman</t>
  </si>
  <si>
    <t>Anil Construction</t>
  </si>
  <si>
    <t>Raj Labour Suppliers</t>
  </si>
  <si>
    <t>Gang</t>
  </si>
  <si>
    <t>Interval Start</t>
  </si>
  <si>
    <t>Interval End</t>
  </si>
  <si>
    <t>Raw Gap (days)</t>
  </si>
  <si>
    <t>26-11-2025</t>
  </si>
  <si>
    <t>27-11-2025</t>
  </si>
  <si>
    <t>14-11-2025</t>
  </si>
  <si>
    <t>15-11-2025</t>
  </si>
  <si>
    <t>20-11-2025</t>
  </si>
  <si>
    <t>24-11-2025</t>
  </si>
  <si>
    <t>01-12-2025</t>
  </si>
  <si>
    <t>05-12-2025</t>
  </si>
  <si>
    <t>02-12-2025</t>
  </si>
  <si>
    <t>18-10-2025</t>
  </si>
  <si>
    <t>02-11-2025</t>
  </si>
  <si>
    <t>04-11-2025</t>
  </si>
  <si>
    <t>05-10-2025</t>
  </si>
  <si>
    <t>11-10-2025</t>
  </si>
  <si>
    <t>17-12-2025</t>
  </si>
  <si>
    <t>18-12-2025</t>
  </si>
  <si>
    <t>18-11-2025</t>
  </si>
  <si>
    <t>21-11-2025</t>
  </si>
  <si>
    <t>03-11-2025</t>
  </si>
  <si>
    <t>30-11-2025</t>
  </si>
  <si>
    <t>29-11-2025</t>
  </si>
  <si>
    <t>25-10-2025</t>
  </si>
  <si>
    <t>31-10-2025</t>
  </si>
  <si>
    <t>01-11-2025</t>
  </si>
  <si>
    <t>05-11-2025</t>
  </si>
  <si>
    <t>11-11-2025</t>
  </si>
  <si>
    <t>12-11-2025</t>
  </si>
  <si>
    <t>12-12-2025</t>
  </si>
  <si>
    <t>20-12-2025</t>
  </si>
  <si>
    <t>11-12-2025</t>
  </si>
  <si>
    <t>19-12-2025</t>
  </si>
  <si>
    <t>29-12-2025</t>
  </si>
  <si>
    <t>15-12-2025</t>
  </si>
  <si>
    <t>17-10-2025</t>
  </si>
  <si>
    <t>30-10-2025</t>
  </si>
  <si>
    <t>19-11-2025</t>
  </si>
  <si>
    <t>08-10-2025</t>
  </si>
  <si>
    <t>28-11-2025</t>
  </si>
  <si>
    <t>06-12-2025</t>
  </si>
  <si>
    <t>20-10-2025</t>
  </si>
  <si>
    <t>07-11-2025</t>
  </si>
  <si>
    <t>19-10-2025</t>
  </si>
  <si>
    <t>23-11-2025</t>
  </si>
  <si>
    <t>16-10-2025</t>
  </si>
  <si>
    <t>16-11-2025</t>
  </si>
  <si>
    <t>17-11-2025</t>
  </si>
  <si>
    <t>06-11-2025</t>
  </si>
  <si>
    <t>13-12-2025</t>
  </si>
  <si>
    <t>21-12-2025</t>
  </si>
  <si>
    <t>28-12-2025</t>
  </si>
  <si>
    <t>08-11-2025</t>
  </si>
  <si>
    <t>09-11-2025</t>
  </si>
  <si>
    <t>07-12-2025</t>
  </si>
  <si>
    <t>12-10-2025</t>
  </si>
  <si>
    <t>29-10-2025</t>
  </si>
  <si>
    <t>23-12-2025</t>
  </si>
  <si>
    <t>25-12-2025</t>
  </si>
  <si>
    <t>25-11-2025</t>
  </si>
  <si>
    <t>28-10-2025</t>
  </si>
  <si>
    <t>22-11-2025</t>
  </si>
  <si>
    <t>03-12-2025</t>
  </si>
  <si>
    <t>06-10-2025</t>
  </si>
  <si>
    <t>04-12-2025</t>
  </si>
  <si>
    <t>22-12-2025</t>
  </si>
  <si>
    <t>26-12-2025</t>
  </si>
  <si>
    <t>14-12-2025</t>
  </si>
  <si>
    <t>08-12-2025</t>
  </si>
  <si>
    <t>26-10-2025</t>
  </si>
  <si>
    <t>16-12-2025</t>
  </si>
  <si>
    <t>09-12-2025</t>
  </si>
  <si>
    <t>10-12-2025</t>
  </si>
  <si>
    <t>10-11-2025</t>
  </si>
  <si>
    <t>09-10-2025</t>
  </si>
  <si>
    <t>15-10-2025</t>
  </si>
  <si>
    <t>24-10-2025</t>
  </si>
  <si>
    <t>13-10-2025</t>
  </si>
  <si>
    <t>07-10-2025</t>
  </si>
  <si>
    <t>27-12-2025</t>
  </si>
  <si>
    <t>22-10-2025</t>
  </si>
  <si>
    <t>13-11-2025</t>
  </si>
  <si>
    <t>23-10-2025</t>
  </si>
  <si>
    <t>21-10-2025</t>
  </si>
  <si>
    <t>04-10-2025</t>
  </si>
  <si>
    <t>24-12-2025</t>
  </si>
  <si>
    <t>Top 3 Gangs</t>
  </si>
  <si>
    <t>Bottom 3 Gangs</t>
  </si>
  <si>
    <t>PCH Overall</t>
  </si>
  <si>
    <t>Project: TA413</t>
  </si>
  <si>
    <t>Project: TA419</t>
  </si>
  <si>
    <t>Project: TA512</t>
  </si>
  <si>
    <t>Project: TB401</t>
  </si>
  <si>
    <t>Project: TB408</t>
  </si>
  <si>
    <t>Project: TB507</t>
  </si>
  <si>
    <t>Project: TA325</t>
  </si>
  <si>
    <t>Project: TA414</t>
  </si>
  <si>
    <t>Project: TA416</t>
  </si>
  <si>
    <t>Project: TA418</t>
  </si>
  <si>
    <t>Project: TA421</t>
  </si>
  <si>
    <t>Project: TA504</t>
  </si>
  <si>
    <t>Project: TA505</t>
  </si>
  <si>
    <t>Project: TA506</t>
  </si>
  <si>
    <t>Project: TA601</t>
  </si>
  <si>
    <t>Project: TB501</t>
  </si>
  <si>
    <t>Project: TA513</t>
  </si>
  <si>
    <t>Project: TB605</t>
  </si>
  <si>
    <t>&gt;=1</t>
  </si>
  <si>
    <t>&gt;=2</t>
  </si>
  <si>
    <t>&gt;=3</t>
  </si>
  <si>
    <t>&lt;4</t>
  </si>
  <si>
    <t>4-6 Included</t>
  </si>
  <si>
    <t>&gt;6</t>
  </si>
  <si>
    <t>&gt;7</t>
  </si>
  <si>
    <t>&gt;8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</si>
</sst>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8" x14ac:dyDescent="0.35">
      <c r="A2">
        <v>2.84</v>
      </c>
      <c r="B2">
        <v>3.19</v>
      </c>
      <c r="C2">
        <v>3.04</v>
      </c>
      <c r="D2">
        <v>2.96</v>
      </c>
      <c r="E2">
        <v>2.98</v>
      </c>
      <c r="F2">
        <v>3.04</v>
      </c>
      <c r="G2">
        <v>3.27</v>
      </c>
      <c r="H2">
        <v>3.38</v>
      </c>
      <c r="I2">
        <v>3.28</v>
      </c>
      <c r="J2">
        <v>3.16</v>
      </c>
      <c r="K2">
        <v>4.12</v>
      </c>
      <c r="L2">
        <v>4.47</v>
      </c>
      <c r="M2">
        <v>2.83</v>
      </c>
      <c r="N2">
        <v>43029.71</v>
      </c>
      <c r="O2">
        <v>960</v>
      </c>
      <c r="P2">
        <v>44.82</v>
      </c>
    </row>
    <row r="6" spans="1:18" x14ac:dyDescent="0.35">
      <c r="A6" s="1" t="s">
        <v>16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</row>
    <row r="7" spans="1:18" x14ac:dyDescent="0.35">
      <c r="A7" t="s">
        <v>17</v>
      </c>
      <c r="B7">
        <v>3.31</v>
      </c>
      <c r="C7">
        <v>3.29</v>
      </c>
      <c r="D7">
        <v>3.23</v>
      </c>
      <c r="E7">
        <v>3.45</v>
      </c>
      <c r="F7">
        <v>3.33</v>
      </c>
      <c r="G7">
        <v>3.46</v>
      </c>
      <c r="H7">
        <v>3.75</v>
      </c>
      <c r="I7">
        <v>3.78</v>
      </c>
      <c r="J7">
        <v>3.6</v>
      </c>
      <c r="K7">
        <v>3.58</v>
      </c>
      <c r="L7">
        <v>3.81</v>
      </c>
      <c r="M7">
        <v>4.0199999999999996</v>
      </c>
      <c r="N7">
        <v>2.95</v>
      </c>
      <c r="O7">
        <v>17919.96</v>
      </c>
      <c r="P7">
        <v>427</v>
      </c>
      <c r="Q7">
        <v>41.97</v>
      </c>
    </row>
    <row r="8" spans="1:18" x14ac:dyDescent="0.35">
      <c r="A8" t="s">
        <v>18</v>
      </c>
      <c r="B8">
        <v>2.44</v>
      </c>
      <c r="C8">
        <v>2.91</v>
      </c>
      <c r="D8">
        <v>2.74</v>
      </c>
      <c r="E8">
        <v>2.56</v>
      </c>
      <c r="F8">
        <v>2.57</v>
      </c>
      <c r="G8">
        <v>2.65</v>
      </c>
      <c r="H8">
        <v>2.9</v>
      </c>
      <c r="I8">
        <v>3.12</v>
      </c>
      <c r="J8">
        <v>3.09</v>
      </c>
      <c r="K8">
        <v>2.81</v>
      </c>
      <c r="L8">
        <v>4.3099999999999996</v>
      </c>
      <c r="M8">
        <v>4.97</v>
      </c>
      <c r="N8">
        <v>2.74</v>
      </c>
      <c r="O8">
        <v>24677.25</v>
      </c>
      <c r="P8">
        <v>514</v>
      </c>
      <c r="Q8">
        <v>48.01</v>
      </c>
    </row>
    <row r="9" spans="1:18" x14ac:dyDescent="0.35">
      <c r="A9" t="s">
        <v>19</v>
      </c>
      <c r="B9">
        <v>3.21</v>
      </c>
      <c r="C9">
        <v>4.76</v>
      </c>
      <c r="D9">
        <v>4.7</v>
      </c>
      <c r="E9">
        <v>3.55</v>
      </c>
      <c r="F9">
        <v>4.66</v>
      </c>
      <c r="G9">
        <v>3.93</v>
      </c>
      <c r="H9">
        <v>3.67</v>
      </c>
      <c r="I9">
        <v>3.34</v>
      </c>
      <c r="J9">
        <v>3.21</v>
      </c>
      <c r="K9">
        <v>3.46</v>
      </c>
      <c r="L9">
        <v>4.12</v>
      </c>
      <c r="M9">
        <v>3.07</v>
      </c>
      <c r="N9">
        <v>3.6</v>
      </c>
      <c r="O9">
        <v>432.5</v>
      </c>
      <c r="P9">
        <v>19</v>
      </c>
      <c r="Q9">
        <v>22.76</v>
      </c>
    </row>
    <row r="10" spans="1:18" x14ac:dyDescent="0.35">
      <c r="N10" t="s">
        <v>20</v>
      </c>
      <c r="O10">
        <v>43029.71</v>
      </c>
      <c r="P10">
        <v>960</v>
      </c>
    </row>
    <row r="14" spans="1:18" x14ac:dyDescent="0.35">
      <c r="A14" s="1" t="s">
        <v>16</v>
      </c>
      <c r="B14" s="1" t="s">
        <v>21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I14" s="1" t="s">
        <v>6</v>
      </c>
      <c r="J14" s="1" t="s">
        <v>7</v>
      </c>
      <c r="K14" s="1" t="s">
        <v>8</v>
      </c>
      <c r="L14" s="1" t="s">
        <v>9</v>
      </c>
      <c r="M14" s="1" t="s">
        <v>10</v>
      </c>
      <c r="N14" s="1" t="s">
        <v>11</v>
      </c>
      <c r="O14" s="1" t="s">
        <v>12</v>
      </c>
      <c r="P14" s="1" t="s">
        <v>13</v>
      </c>
      <c r="Q14" s="1" t="s">
        <v>14</v>
      </c>
      <c r="R14" s="1" t="s">
        <v>15</v>
      </c>
    </row>
    <row r="15" spans="1:18" x14ac:dyDescent="0.35">
      <c r="A15" t="s">
        <v>17</v>
      </c>
      <c r="B15" t="s">
        <v>22</v>
      </c>
      <c r="C15">
        <v>4.18</v>
      </c>
      <c r="D15">
        <v>4.26</v>
      </c>
      <c r="E15">
        <v>3.8</v>
      </c>
      <c r="F15">
        <v>3.87</v>
      </c>
      <c r="G15">
        <v>3.51</v>
      </c>
      <c r="H15">
        <v>4.59</v>
      </c>
      <c r="I15">
        <v>4.17</v>
      </c>
      <c r="J15">
        <v>4.57</v>
      </c>
      <c r="K15">
        <v>4.54</v>
      </c>
      <c r="L15">
        <v>3.99</v>
      </c>
      <c r="M15">
        <v>3.87</v>
      </c>
      <c r="N15">
        <v>5.29</v>
      </c>
      <c r="O15">
        <v>4.13</v>
      </c>
      <c r="P15">
        <v>4055.38</v>
      </c>
      <c r="Q15">
        <v>73</v>
      </c>
      <c r="R15">
        <v>55.55</v>
      </c>
    </row>
    <row r="16" spans="1:18" x14ac:dyDescent="0.35">
      <c r="A16" t="s">
        <v>17</v>
      </c>
      <c r="B16" t="s">
        <v>23</v>
      </c>
      <c r="C16">
        <v>0.76</v>
      </c>
      <c r="D16">
        <v>0.43</v>
      </c>
      <c r="E16">
        <v>0.68</v>
      </c>
      <c r="F16">
        <v>0.82</v>
      </c>
      <c r="G16">
        <v>0.72</v>
      </c>
      <c r="H16">
        <v>0.65</v>
      </c>
      <c r="I16">
        <v>0.99</v>
      </c>
      <c r="J16">
        <v>1.39</v>
      </c>
      <c r="K16">
        <v>1.1200000000000001</v>
      </c>
      <c r="L16">
        <v>1.37</v>
      </c>
      <c r="M16">
        <v>2.7</v>
      </c>
      <c r="N16">
        <v>3.01</v>
      </c>
      <c r="O16">
        <v>1.1599999999999999</v>
      </c>
      <c r="P16">
        <v>3160.43</v>
      </c>
      <c r="Q16">
        <v>58</v>
      </c>
      <c r="R16">
        <v>54.49</v>
      </c>
    </row>
    <row r="17" spans="1:18" x14ac:dyDescent="0.35">
      <c r="A17" t="s">
        <v>17</v>
      </c>
      <c r="B17" t="s">
        <v>24</v>
      </c>
      <c r="C17">
        <v>5.13</v>
      </c>
      <c r="D17">
        <v>4.87</v>
      </c>
      <c r="E17">
        <v>4.8099999999999996</v>
      </c>
      <c r="F17">
        <v>5.0999999999999996</v>
      </c>
      <c r="G17">
        <v>5.15</v>
      </c>
      <c r="H17">
        <v>4.2300000000000004</v>
      </c>
      <c r="I17">
        <v>6</v>
      </c>
      <c r="J17">
        <v>5.2</v>
      </c>
      <c r="K17">
        <v>4.96</v>
      </c>
      <c r="L17">
        <v>4.5999999999999996</v>
      </c>
      <c r="M17">
        <v>4.5599999999999996</v>
      </c>
      <c r="N17">
        <v>4.29</v>
      </c>
      <c r="O17">
        <v>4.8099999999999996</v>
      </c>
      <c r="P17">
        <v>2296.13</v>
      </c>
      <c r="Q17">
        <v>57</v>
      </c>
      <c r="R17">
        <v>40.28</v>
      </c>
    </row>
    <row r="18" spans="1:18" x14ac:dyDescent="0.35">
      <c r="A18" t="s">
        <v>17</v>
      </c>
      <c r="B18" t="s">
        <v>25</v>
      </c>
      <c r="C18">
        <v>3.18</v>
      </c>
      <c r="D18">
        <v>3.19</v>
      </c>
      <c r="E18">
        <v>3.2</v>
      </c>
      <c r="F18">
        <v>3.88</v>
      </c>
      <c r="G18">
        <v>3.98</v>
      </c>
      <c r="H18">
        <v>4.6399999999999997</v>
      </c>
      <c r="I18">
        <v>5.08</v>
      </c>
      <c r="J18">
        <v>4.96</v>
      </c>
      <c r="K18">
        <v>4.6399999999999997</v>
      </c>
      <c r="L18">
        <v>4.92</v>
      </c>
      <c r="M18">
        <v>4.17</v>
      </c>
      <c r="N18">
        <v>0</v>
      </c>
      <c r="O18">
        <v>4.09</v>
      </c>
      <c r="P18">
        <v>2230.61</v>
      </c>
      <c r="Q18">
        <v>46</v>
      </c>
      <c r="R18">
        <v>48.49</v>
      </c>
    </row>
    <row r="19" spans="1:18" x14ac:dyDescent="0.35">
      <c r="A19" t="s">
        <v>17</v>
      </c>
      <c r="B19" t="s">
        <v>26</v>
      </c>
      <c r="C19">
        <v>4.4000000000000004</v>
      </c>
      <c r="D19">
        <v>4.43</v>
      </c>
      <c r="E19">
        <v>4.74</v>
      </c>
      <c r="F19">
        <v>4.5599999999999996</v>
      </c>
      <c r="G19">
        <v>4.12</v>
      </c>
      <c r="H19">
        <v>4.3499999999999996</v>
      </c>
      <c r="I19">
        <v>4.26</v>
      </c>
      <c r="J19">
        <v>4.47</v>
      </c>
      <c r="K19">
        <v>4.4000000000000004</v>
      </c>
      <c r="L19">
        <v>4.67</v>
      </c>
      <c r="M19">
        <v>5.61</v>
      </c>
      <c r="N19">
        <v>4.8600000000000003</v>
      </c>
      <c r="O19">
        <v>4.58</v>
      </c>
      <c r="P19">
        <v>4514.6400000000003</v>
      </c>
      <c r="Q19">
        <v>92</v>
      </c>
      <c r="R19">
        <v>49.07</v>
      </c>
    </row>
    <row r="20" spans="1:18" x14ac:dyDescent="0.35">
      <c r="A20" t="s">
        <v>17</v>
      </c>
      <c r="B20" t="s">
        <v>27</v>
      </c>
      <c r="C20">
        <v>2.21</v>
      </c>
      <c r="D20">
        <v>2.57</v>
      </c>
      <c r="E20">
        <v>2.16</v>
      </c>
      <c r="F20">
        <v>2.4500000000000002</v>
      </c>
      <c r="G20">
        <v>2.4700000000000002</v>
      </c>
      <c r="H20">
        <v>2.2999999999999998</v>
      </c>
      <c r="I20">
        <v>2</v>
      </c>
      <c r="J20">
        <v>2.08</v>
      </c>
      <c r="K20">
        <v>1.95</v>
      </c>
      <c r="L20">
        <v>1.95</v>
      </c>
      <c r="M20">
        <v>1.96</v>
      </c>
      <c r="N20">
        <v>2.64</v>
      </c>
      <c r="O20">
        <v>2.2400000000000002</v>
      </c>
      <c r="P20">
        <v>1662.77</v>
      </c>
      <c r="Q20">
        <v>101</v>
      </c>
      <c r="R20">
        <v>16.46</v>
      </c>
    </row>
    <row r="21" spans="1:18" x14ac:dyDescent="0.35">
      <c r="A21" t="s">
        <v>18</v>
      </c>
      <c r="B21" t="s">
        <v>28</v>
      </c>
      <c r="C21">
        <v>2.93</v>
      </c>
      <c r="D21">
        <v>4.0999999999999996</v>
      </c>
      <c r="E21">
        <v>4.09</v>
      </c>
      <c r="F21">
        <v>3.73</v>
      </c>
      <c r="G21">
        <v>3.56</v>
      </c>
      <c r="H21">
        <v>3.72</v>
      </c>
      <c r="I21">
        <v>4.1500000000000004</v>
      </c>
      <c r="J21">
        <v>4.5199999999999996</v>
      </c>
      <c r="K21">
        <v>4.38</v>
      </c>
      <c r="L21">
        <v>3.66</v>
      </c>
      <c r="M21">
        <v>3.34</v>
      </c>
      <c r="N21">
        <v>3.47</v>
      </c>
      <c r="O21">
        <v>3.92</v>
      </c>
      <c r="P21">
        <v>7657.89</v>
      </c>
      <c r="Q21">
        <v>102</v>
      </c>
      <c r="R21">
        <v>75.08</v>
      </c>
    </row>
    <row r="22" spans="1:18" x14ac:dyDescent="0.35">
      <c r="A22" t="s">
        <v>18</v>
      </c>
      <c r="B22" t="s">
        <v>29</v>
      </c>
      <c r="C22">
        <v>0.24</v>
      </c>
      <c r="D22">
        <v>0.24</v>
      </c>
      <c r="E22">
        <v>0.24</v>
      </c>
      <c r="F22">
        <v>0.24</v>
      </c>
      <c r="G22">
        <v>0.24</v>
      </c>
      <c r="H22">
        <v>0.32</v>
      </c>
      <c r="I22">
        <v>0.41</v>
      </c>
      <c r="J22">
        <v>0.45</v>
      </c>
      <c r="K22">
        <v>0.72</v>
      </c>
      <c r="L22">
        <v>0.8</v>
      </c>
      <c r="M22">
        <v>2.44</v>
      </c>
      <c r="N22">
        <v>4.1900000000000004</v>
      </c>
      <c r="O22">
        <v>0.91</v>
      </c>
      <c r="P22">
        <v>747.09</v>
      </c>
      <c r="Q22">
        <v>16</v>
      </c>
      <c r="R22">
        <v>46.69</v>
      </c>
    </row>
    <row r="23" spans="1:18" x14ac:dyDescent="0.35">
      <c r="A23" t="s">
        <v>18</v>
      </c>
      <c r="B23" t="s">
        <v>30</v>
      </c>
      <c r="C23">
        <v>4.38</v>
      </c>
      <c r="D23">
        <v>4.2699999999999996</v>
      </c>
      <c r="E23">
        <v>3.61</v>
      </c>
      <c r="F23">
        <v>3.65</v>
      </c>
      <c r="G23">
        <v>3.48</v>
      </c>
      <c r="H23">
        <v>3.72</v>
      </c>
      <c r="I23">
        <v>4.4000000000000004</v>
      </c>
      <c r="J23">
        <v>4.37</v>
      </c>
      <c r="K23">
        <v>4.2300000000000004</v>
      </c>
      <c r="L23">
        <v>3.41</v>
      </c>
      <c r="M23">
        <v>3.2</v>
      </c>
      <c r="N23">
        <v>2.89</v>
      </c>
      <c r="O23">
        <v>3.87</v>
      </c>
      <c r="P23">
        <v>2643.72</v>
      </c>
      <c r="Q23">
        <v>32</v>
      </c>
      <c r="R23">
        <v>82.62</v>
      </c>
    </row>
    <row r="24" spans="1:18" x14ac:dyDescent="0.35">
      <c r="A24" t="s">
        <v>18</v>
      </c>
      <c r="B24" t="s">
        <v>31</v>
      </c>
      <c r="C24">
        <v>2.65</v>
      </c>
      <c r="D24">
        <v>2.66</v>
      </c>
      <c r="E24">
        <v>2.81</v>
      </c>
      <c r="F24">
        <v>2.92</v>
      </c>
      <c r="G24">
        <v>3.04</v>
      </c>
      <c r="H24">
        <v>3.26</v>
      </c>
      <c r="I24">
        <v>3.2</v>
      </c>
      <c r="J24">
        <v>3.03</v>
      </c>
      <c r="K24">
        <v>4.83</v>
      </c>
      <c r="L24">
        <v>3.83</v>
      </c>
      <c r="M24">
        <v>4.6500000000000004</v>
      </c>
      <c r="N24">
        <v>4.41</v>
      </c>
      <c r="O24">
        <v>3.42</v>
      </c>
      <c r="P24">
        <v>1055</v>
      </c>
      <c r="Q24">
        <v>26</v>
      </c>
      <c r="R24">
        <v>40.58</v>
      </c>
    </row>
    <row r="25" spans="1:18" x14ac:dyDescent="0.35">
      <c r="A25" t="s">
        <v>18</v>
      </c>
      <c r="B25" t="s">
        <v>32</v>
      </c>
      <c r="C25">
        <v>4.0199999999999996</v>
      </c>
      <c r="D25">
        <v>5.61</v>
      </c>
      <c r="E25">
        <v>5.51</v>
      </c>
      <c r="F25">
        <v>4.6500000000000004</v>
      </c>
      <c r="G25">
        <v>6.28</v>
      </c>
      <c r="H25">
        <v>6.75</v>
      </c>
      <c r="I25">
        <v>6.12</v>
      </c>
      <c r="J25">
        <v>7.2</v>
      </c>
      <c r="K25">
        <v>6.84</v>
      </c>
      <c r="L25">
        <v>7.38</v>
      </c>
      <c r="M25">
        <v>7.9</v>
      </c>
      <c r="N25">
        <v>12.27</v>
      </c>
      <c r="O25">
        <v>6.43</v>
      </c>
      <c r="P25">
        <v>2682.41</v>
      </c>
      <c r="Q25">
        <v>61</v>
      </c>
      <c r="R25">
        <v>43.97</v>
      </c>
    </row>
    <row r="26" spans="1:18" x14ac:dyDescent="0.35">
      <c r="A26" t="s">
        <v>18</v>
      </c>
      <c r="B26" t="s">
        <v>33</v>
      </c>
      <c r="C26">
        <v>0.51</v>
      </c>
      <c r="D26">
        <v>0.95</v>
      </c>
      <c r="E26">
        <v>0.85</v>
      </c>
      <c r="F26">
        <v>0.39</v>
      </c>
      <c r="G26">
        <v>0.28000000000000003</v>
      </c>
      <c r="H26">
        <v>0.28000000000000003</v>
      </c>
      <c r="I26">
        <v>0.67</v>
      </c>
      <c r="J26">
        <v>0.55000000000000004</v>
      </c>
      <c r="K26">
        <v>0.31</v>
      </c>
      <c r="L26">
        <v>0.32</v>
      </c>
      <c r="M26">
        <v>5.14</v>
      </c>
      <c r="N26">
        <v>6.04</v>
      </c>
      <c r="O26">
        <v>1.02</v>
      </c>
      <c r="P26">
        <v>1303</v>
      </c>
      <c r="Q26">
        <v>27</v>
      </c>
      <c r="R26">
        <v>48.26</v>
      </c>
    </row>
    <row r="27" spans="1:18" x14ac:dyDescent="0.35">
      <c r="A27" t="s">
        <v>18</v>
      </c>
      <c r="B27" t="s">
        <v>34</v>
      </c>
      <c r="C27">
        <v>4.55</v>
      </c>
      <c r="D27">
        <v>4.83</v>
      </c>
      <c r="E27">
        <v>4.9400000000000004</v>
      </c>
      <c r="F27">
        <v>3.93</v>
      </c>
      <c r="G27">
        <v>3.66</v>
      </c>
      <c r="H27">
        <v>3.88</v>
      </c>
      <c r="I27">
        <v>4.1100000000000003</v>
      </c>
      <c r="J27">
        <v>4.6900000000000004</v>
      </c>
      <c r="K27">
        <v>4.8</v>
      </c>
      <c r="L27">
        <v>4.88</v>
      </c>
      <c r="M27">
        <v>5.0999999999999996</v>
      </c>
      <c r="N27">
        <v>5.51</v>
      </c>
      <c r="O27">
        <v>4.62</v>
      </c>
      <c r="P27">
        <v>5272.99</v>
      </c>
      <c r="Q27">
        <v>109</v>
      </c>
      <c r="R27">
        <v>48.38</v>
      </c>
    </row>
    <row r="28" spans="1:18" x14ac:dyDescent="0.35">
      <c r="A28" t="s">
        <v>18</v>
      </c>
      <c r="B28" t="s">
        <v>35</v>
      </c>
      <c r="C28">
        <v>0.21</v>
      </c>
      <c r="D28">
        <v>0.6</v>
      </c>
      <c r="E28">
        <v>1.17</v>
      </c>
      <c r="F28">
        <v>1.1599999999999999</v>
      </c>
      <c r="G28">
        <v>0.31</v>
      </c>
      <c r="H28">
        <v>0.46</v>
      </c>
      <c r="I28">
        <v>1.9</v>
      </c>
      <c r="J28">
        <v>1.62</v>
      </c>
      <c r="K28">
        <v>0.28000000000000003</v>
      </c>
      <c r="L28">
        <v>0.38</v>
      </c>
      <c r="M28">
        <v>2.14</v>
      </c>
      <c r="N28">
        <v>3.88</v>
      </c>
      <c r="O28">
        <v>0.96</v>
      </c>
      <c r="P28">
        <v>3003</v>
      </c>
      <c r="Q28">
        <v>108</v>
      </c>
      <c r="R28">
        <v>27.81</v>
      </c>
    </row>
    <row r="29" spans="1:18" x14ac:dyDescent="0.35">
      <c r="A29" t="s">
        <v>18</v>
      </c>
      <c r="B29" t="s">
        <v>36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6.1</v>
      </c>
      <c r="N29">
        <v>3.96</v>
      </c>
      <c r="O29">
        <v>4.3099999999999996</v>
      </c>
      <c r="P29">
        <v>109.72</v>
      </c>
      <c r="Q29">
        <v>3</v>
      </c>
      <c r="R29">
        <v>36.57</v>
      </c>
    </row>
    <row r="30" spans="1:18" x14ac:dyDescent="0.35">
      <c r="A30" t="s">
        <v>18</v>
      </c>
      <c r="B30" t="s">
        <v>37</v>
      </c>
      <c r="C30">
        <v>0</v>
      </c>
      <c r="D30">
        <v>0</v>
      </c>
      <c r="E30">
        <v>1.4</v>
      </c>
      <c r="F30">
        <v>2.37</v>
      </c>
      <c r="G30">
        <v>2.2400000000000002</v>
      </c>
      <c r="H30">
        <v>1.5</v>
      </c>
      <c r="I30">
        <v>1.1299999999999999</v>
      </c>
      <c r="J30">
        <v>1.6</v>
      </c>
      <c r="K30">
        <v>1.41</v>
      </c>
      <c r="L30">
        <v>0.66</v>
      </c>
      <c r="M30">
        <v>3.07</v>
      </c>
      <c r="N30">
        <v>3.08</v>
      </c>
      <c r="O30">
        <v>1.74</v>
      </c>
      <c r="P30">
        <v>202.43</v>
      </c>
      <c r="Q30">
        <v>30</v>
      </c>
      <c r="R30">
        <v>6.75</v>
      </c>
    </row>
    <row r="31" spans="1:18" x14ac:dyDescent="0.35">
      <c r="A31" t="s">
        <v>19</v>
      </c>
      <c r="B31" t="s">
        <v>38</v>
      </c>
      <c r="C31">
        <v>3.21</v>
      </c>
      <c r="D31">
        <v>4.76</v>
      </c>
      <c r="E31">
        <v>4.7</v>
      </c>
      <c r="F31">
        <v>3.55</v>
      </c>
      <c r="G31">
        <v>4.66</v>
      </c>
      <c r="H31">
        <v>3.93</v>
      </c>
      <c r="I31">
        <v>3.67</v>
      </c>
      <c r="J31">
        <v>4.07</v>
      </c>
      <c r="K31">
        <v>3.58</v>
      </c>
      <c r="L31">
        <v>3.87</v>
      </c>
      <c r="M31">
        <v>4.12</v>
      </c>
      <c r="N31">
        <v>4.12</v>
      </c>
      <c r="O31">
        <v>4.01</v>
      </c>
      <c r="P31">
        <v>376.42</v>
      </c>
      <c r="Q31">
        <v>16</v>
      </c>
      <c r="R31">
        <v>23.53</v>
      </c>
    </row>
    <row r="32" spans="1:18" x14ac:dyDescent="0.35">
      <c r="A32" t="s">
        <v>19</v>
      </c>
      <c r="B32" t="s">
        <v>39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2.62</v>
      </c>
      <c r="K32">
        <v>2.84</v>
      </c>
      <c r="L32">
        <v>3.05</v>
      </c>
      <c r="M32">
        <v>0</v>
      </c>
      <c r="N32">
        <v>2.02</v>
      </c>
      <c r="O32">
        <v>2.35</v>
      </c>
      <c r="P32">
        <v>56.08</v>
      </c>
      <c r="Q32">
        <v>3</v>
      </c>
      <c r="R32">
        <v>18.690000000000001</v>
      </c>
    </row>
    <row r="33" spans="15:17" x14ac:dyDescent="0.35">
      <c r="O33" t="s">
        <v>20</v>
      </c>
      <c r="P33">
        <v>43029.71</v>
      </c>
      <c r="Q33">
        <v>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"/>
  <sheetViews>
    <sheetView topLeftCell="A37" workbookViewId="0">
      <selection activeCell="D58" activeCellId="2" sqref="D44 D51 D58"/>
    </sheetView>
  </sheetViews>
  <sheetFormatPr defaultRowHeight="14.5" x14ac:dyDescent="0.35"/>
  <cols>
    <col min="1" max="1" width="25.81640625" bestFit="1" customWidth="1"/>
  </cols>
  <sheetData>
    <row r="1" spans="1:17" x14ac:dyDescent="0.35">
      <c r="A1" s="1" t="s">
        <v>16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5">
      <c r="A2" t="s">
        <v>40</v>
      </c>
    </row>
    <row r="4" spans="1:17" x14ac:dyDescent="0.35">
      <c r="A4" s="1" t="s">
        <v>16</v>
      </c>
      <c r="B4" s="1" t="s">
        <v>21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</row>
    <row r="5" spans="1:17" x14ac:dyDescent="0.35">
      <c r="A5" t="s">
        <v>17</v>
      </c>
      <c r="B5" t="s">
        <v>22</v>
      </c>
      <c r="C5">
        <v>4.18</v>
      </c>
      <c r="D5">
        <v>4.26</v>
      </c>
      <c r="E5">
        <v>3.8</v>
      </c>
      <c r="F5">
        <v>3.87</v>
      </c>
      <c r="G5">
        <v>3.51</v>
      </c>
      <c r="H5">
        <v>4.59</v>
      </c>
      <c r="I5">
        <v>4.17</v>
      </c>
      <c r="J5">
        <v>4.57</v>
      </c>
      <c r="K5">
        <v>4.54</v>
      </c>
      <c r="L5">
        <v>3.99</v>
      </c>
      <c r="M5">
        <v>3.87</v>
      </c>
      <c r="N5">
        <v>5.29</v>
      </c>
      <c r="O5">
        <v>4.13</v>
      </c>
      <c r="P5">
        <v>4055.38</v>
      </c>
      <c r="Q5">
        <v>73</v>
      </c>
    </row>
    <row r="6" spans="1:17" x14ac:dyDescent="0.35">
      <c r="A6" t="s">
        <v>17</v>
      </c>
      <c r="B6" t="s">
        <v>23</v>
      </c>
      <c r="C6">
        <v>0.76</v>
      </c>
      <c r="D6">
        <v>0.43</v>
      </c>
      <c r="E6">
        <v>0.68</v>
      </c>
      <c r="F6">
        <v>0.82</v>
      </c>
      <c r="G6">
        <v>0.72</v>
      </c>
      <c r="H6">
        <v>0.65</v>
      </c>
      <c r="I6">
        <v>0.99</v>
      </c>
      <c r="J6">
        <v>1.39</v>
      </c>
      <c r="K6">
        <v>1.1200000000000001</v>
      </c>
      <c r="L6">
        <v>1.37</v>
      </c>
      <c r="M6">
        <v>2.7</v>
      </c>
      <c r="N6">
        <v>3.01</v>
      </c>
      <c r="O6">
        <v>1.1599999999999999</v>
      </c>
      <c r="P6">
        <v>3160.43</v>
      </c>
      <c r="Q6">
        <v>58</v>
      </c>
    </row>
    <row r="7" spans="1:17" x14ac:dyDescent="0.35">
      <c r="A7" t="s">
        <v>17</v>
      </c>
      <c r="B7" t="s">
        <v>24</v>
      </c>
      <c r="C7">
        <v>5.13</v>
      </c>
      <c r="D7">
        <v>4.87</v>
      </c>
      <c r="E7">
        <v>4.8099999999999996</v>
      </c>
      <c r="F7">
        <v>5.0999999999999996</v>
      </c>
      <c r="G7">
        <v>5.15</v>
      </c>
      <c r="H7">
        <v>4.2300000000000004</v>
      </c>
      <c r="I7">
        <v>6</v>
      </c>
      <c r="J7">
        <v>5.2</v>
      </c>
      <c r="K7">
        <v>4.96</v>
      </c>
      <c r="L7">
        <v>4.5999999999999996</v>
      </c>
      <c r="M7">
        <v>4.5599999999999996</v>
      </c>
      <c r="N7">
        <v>4.29</v>
      </c>
      <c r="O7">
        <v>4.8099999999999996</v>
      </c>
      <c r="P7">
        <v>2296.13</v>
      </c>
      <c r="Q7">
        <v>57</v>
      </c>
    </row>
    <row r="8" spans="1:17" x14ac:dyDescent="0.35">
      <c r="A8" t="s">
        <v>17</v>
      </c>
      <c r="B8" t="s">
        <v>25</v>
      </c>
      <c r="C8">
        <v>3.18</v>
      </c>
      <c r="D8">
        <v>3.19</v>
      </c>
      <c r="E8">
        <v>3.2</v>
      </c>
      <c r="F8">
        <v>3.88</v>
      </c>
      <c r="G8">
        <v>3.98</v>
      </c>
      <c r="H8">
        <v>4.6399999999999997</v>
      </c>
      <c r="I8">
        <v>5.08</v>
      </c>
      <c r="J8">
        <v>4.96</v>
      </c>
      <c r="K8">
        <v>4.6399999999999997</v>
      </c>
      <c r="L8">
        <v>4.92</v>
      </c>
      <c r="M8">
        <v>4.17</v>
      </c>
      <c r="N8">
        <v>0</v>
      </c>
      <c r="O8">
        <v>4.09</v>
      </c>
      <c r="P8">
        <v>2230.61</v>
      </c>
      <c r="Q8">
        <v>46</v>
      </c>
    </row>
    <row r="9" spans="1:17" x14ac:dyDescent="0.35">
      <c r="A9" t="s">
        <v>17</v>
      </c>
      <c r="B9" t="s">
        <v>26</v>
      </c>
      <c r="C9">
        <v>4.4000000000000004</v>
      </c>
      <c r="D9">
        <v>4.43</v>
      </c>
      <c r="E9">
        <v>4.74</v>
      </c>
      <c r="F9">
        <v>4.5599999999999996</v>
      </c>
      <c r="G9">
        <v>4.12</v>
      </c>
      <c r="H9">
        <v>4.3499999999999996</v>
      </c>
      <c r="I9">
        <v>4.26</v>
      </c>
      <c r="J9">
        <v>4.47</v>
      </c>
      <c r="K9">
        <v>4.4000000000000004</v>
      </c>
      <c r="L9">
        <v>4.67</v>
      </c>
      <c r="M9">
        <v>5.61</v>
      </c>
      <c r="N9">
        <v>4.8600000000000003</v>
      </c>
      <c r="O9">
        <v>4.58</v>
      </c>
      <c r="P9">
        <v>4514.6400000000003</v>
      </c>
      <c r="Q9">
        <v>92</v>
      </c>
    </row>
    <row r="10" spans="1:17" x14ac:dyDescent="0.35">
      <c r="A10" t="s">
        <v>17</v>
      </c>
      <c r="B10" t="s">
        <v>27</v>
      </c>
      <c r="C10">
        <v>2.21</v>
      </c>
      <c r="D10">
        <v>2.57</v>
      </c>
      <c r="E10">
        <v>2.16</v>
      </c>
      <c r="F10">
        <v>2.4500000000000002</v>
      </c>
      <c r="G10">
        <v>2.4700000000000002</v>
      </c>
      <c r="H10">
        <v>2.2999999999999998</v>
      </c>
      <c r="I10">
        <v>2</v>
      </c>
      <c r="J10">
        <v>2.08</v>
      </c>
      <c r="K10">
        <v>1.95</v>
      </c>
      <c r="L10">
        <v>1.95</v>
      </c>
      <c r="M10">
        <v>1.96</v>
      </c>
      <c r="N10">
        <v>2.64</v>
      </c>
      <c r="O10">
        <v>2.2400000000000002</v>
      </c>
      <c r="P10">
        <v>1662.77</v>
      </c>
      <c r="Q10">
        <v>101</v>
      </c>
    </row>
    <row r="11" spans="1:17" x14ac:dyDescent="0.35">
      <c r="O11" t="s">
        <v>20</v>
      </c>
      <c r="P11">
        <v>17919.96</v>
      </c>
      <c r="Q11">
        <v>427</v>
      </c>
    </row>
    <row r="13" spans="1:17" x14ac:dyDescent="0.35">
      <c r="A13" s="1" t="s">
        <v>16</v>
      </c>
      <c r="B13" s="1" t="s">
        <v>21</v>
      </c>
      <c r="C13" s="1" t="s">
        <v>0</v>
      </c>
      <c r="D13" s="1" t="s">
        <v>1</v>
      </c>
      <c r="E13" s="1" t="s">
        <v>2</v>
      </c>
      <c r="F13" s="1" t="s">
        <v>3</v>
      </c>
      <c r="G13" s="1" t="s">
        <v>4</v>
      </c>
      <c r="H13" s="1" t="s">
        <v>5</v>
      </c>
      <c r="I13" s="1" t="s">
        <v>6</v>
      </c>
      <c r="J13" s="1" t="s">
        <v>7</v>
      </c>
      <c r="K13" s="1" t="s">
        <v>8</v>
      </c>
      <c r="L13" s="1" t="s">
        <v>9</v>
      </c>
      <c r="M13" s="1" t="s">
        <v>10</v>
      </c>
      <c r="N13" s="1" t="s">
        <v>11</v>
      </c>
      <c r="O13" s="1" t="s">
        <v>12</v>
      </c>
      <c r="P13" s="1" t="s">
        <v>13</v>
      </c>
      <c r="Q13" s="1" t="s">
        <v>14</v>
      </c>
    </row>
    <row r="14" spans="1:17" x14ac:dyDescent="0.35">
      <c r="A14" t="s">
        <v>41</v>
      </c>
    </row>
    <row r="16" spans="1:17" x14ac:dyDescent="0.35">
      <c r="A16" s="1" t="s">
        <v>16</v>
      </c>
      <c r="B16" s="1" t="s">
        <v>21</v>
      </c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1" t="s">
        <v>7</v>
      </c>
      <c r="K16" s="1" t="s">
        <v>8</v>
      </c>
      <c r="L16" s="1" t="s">
        <v>9</v>
      </c>
      <c r="M16" s="1" t="s">
        <v>10</v>
      </c>
      <c r="N16" s="1" t="s">
        <v>11</v>
      </c>
      <c r="O16" s="1" t="s">
        <v>12</v>
      </c>
      <c r="P16" s="1" t="s">
        <v>13</v>
      </c>
      <c r="Q16" s="1" t="s">
        <v>14</v>
      </c>
    </row>
    <row r="17" spans="1:17" x14ac:dyDescent="0.35">
      <c r="A17" t="s">
        <v>18</v>
      </c>
      <c r="B17" t="s">
        <v>28</v>
      </c>
      <c r="C17">
        <v>2.93</v>
      </c>
      <c r="D17">
        <v>4.0999999999999996</v>
      </c>
      <c r="E17">
        <v>4.09</v>
      </c>
      <c r="F17">
        <v>3.73</v>
      </c>
      <c r="G17">
        <v>3.56</v>
      </c>
      <c r="H17">
        <v>3.72</v>
      </c>
      <c r="I17">
        <v>4.1500000000000004</v>
      </c>
      <c r="J17">
        <v>4.5199999999999996</v>
      </c>
      <c r="K17">
        <v>4.38</v>
      </c>
      <c r="L17">
        <v>3.66</v>
      </c>
      <c r="M17">
        <v>3.34</v>
      </c>
      <c r="N17">
        <v>3.47</v>
      </c>
      <c r="O17">
        <v>3.92</v>
      </c>
      <c r="P17">
        <v>7657.89</v>
      </c>
      <c r="Q17">
        <v>102</v>
      </c>
    </row>
    <row r="18" spans="1:17" x14ac:dyDescent="0.35">
      <c r="A18" t="s">
        <v>18</v>
      </c>
      <c r="B18" t="s">
        <v>29</v>
      </c>
      <c r="C18">
        <v>0.24</v>
      </c>
      <c r="D18">
        <v>0.24</v>
      </c>
      <c r="E18">
        <v>0.24</v>
      </c>
      <c r="F18">
        <v>0.24</v>
      </c>
      <c r="G18">
        <v>0.24</v>
      </c>
      <c r="H18">
        <v>0.32</v>
      </c>
      <c r="I18">
        <v>0.41</v>
      </c>
      <c r="J18">
        <v>0.45</v>
      </c>
      <c r="K18">
        <v>0.72</v>
      </c>
      <c r="L18">
        <v>0.8</v>
      </c>
      <c r="M18">
        <v>2.44</v>
      </c>
      <c r="N18">
        <v>4.1900000000000004</v>
      </c>
      <c r="O18">
        <v>0.91</v>
      </c>
      <c r="P18">
        <v>747.09</v>
      </c>
      <c r="Q18">
        <v>16</v>
      </c>
    </row>
    <row r="19" spans="1:17" x14ac:dyDescent="0.35">
      <c r="A19" t="s">
        <v>18</v>
      </c>
      <c r="B19" t="s">
        <v>30</v>
      </c>
      <c r="C19">
        <v>4.38</v>
      </c>
      <c r="D19">
        <v>4.2699999999999996</v>
      </c>
      <c r="E19">
        <v>3.61</v>
      </c>
      <c r="F19">
        <v>3.65</v>
      </c>
      <c r="G19">
        <v>3.48</v>
      </c>
      <c r="H19">
        <v>3.72</v>
      </c>
      <c r="I19">
        <v>4.4000000000000004</v>
      </c>
      <c r="J19">
        <v>4.37</v>
      </c>
      <c r="K19">
        <v>4.2300000000000004</v>
      </c>
      <c r="L19">
        <v>3.41</v>
      </c>
      <c r="M19">
        <v>3.2</v>
      </c>
      <c r="N19">
        <v>2.89</v>
      </c>
      <c r="O19">
        <v>3.87</v>
      </c>
      <c r="P19">
        <v>2643.72</v>
      </c>
      <c r="Q19">
        <v>32</v>
      </c>
    </row>
    <row r="20" spans="1:17" x14ac:dyDescent="0.35">
      <c r="A20" t="s">
        <v>18</v>
      </c>
      <c r="B20" t="s">
        <v>31</v>
      </c>
      <c r="C20">
        <v>2.65</v>
      </c>
      <c r="D20">
        <v>2.66</v>
      </c>
      <c r="E20">
        <v>2.81</v>
      </c>
      <c r="F20">
        <v>2.92</v>
      </c>
      <c r="G20">
        <v>3.04</v>
      </c>
      <c r="H20">
        <v>3.26</v>
      </c>
      <c r="I20">
        <v>3.2</v>
      </c>
      <c r="J20">
        <v>3.03</v>
      </c>
      <c r="K20">
        <v>4.83</v>
      </c>
      <c r="L20">
        <v>3.83</v>
      </c>
      <c r="M20">
        <v>4.6500000000000004</v>
      </c>
      <c r="N20">
        <v>4.41</v>
      </c>
      <c r="O20">
        <v>3.42</v>
      </c>
      <c r="P20">
        <v>1055</v>
      </c>
      <c r="Q20">
        <v>26</v>
      </c>
    </row>
    <row r="21" spans="1:17" x14ac:dyDescent="0.35">
      <c r="A21" t="s">
        <v>18</v>
      </c>
      <c r="B21" t="s">
        <v>32</v>
      </c>
      <c r="C21">
        <v>4.0199999999999996</v>
      </c>
      <c r="D21">
        <v>5.61</v>
      </c>
      <c r="E21">
        <v>5.51</v>
      </c>
      <c r="F21">
        <v>4.6500000000000004</v>
      </c>
      <c r="G21">
        <v>6.28</v>
      </c>
      <c r="H21">
        <v>6.75</v>
      </c>
      <c r="I21">
        <v>6.12</v>
      </c>
      <c r="J21">
        <v>7.2</v>
      </c>
      <c r="K21">
        <v>6.84</v>
      </c>
      <c r="L21">
        <v>7.38</v>
      </c>
      <c r="M21">
        <v>7.9</v>
      </c>
      <c r="N21">
        <v>12.27</v>
      </c>
      <c r="O21">
        <v>6.43</v>
      </c>
      <c r="P21">
        <v>2682.41</v>
      </c>
      <c r="Q21">
        <v>61</v>
      </c>
    </row>
    <row r="22" spans="1:17" x14ac:dyDescent="0.35">
      <c r="A22" t="s">
        <v>18</v>
      </c>
      <c r="B22" t="s">
        <v>33</v>
      </c>
      <c r="C22">
        <v>0.51</v>
      </c>
      <c r="D22">
        <v>0.95</v>
      </c>
      <c r="E22">
        <v>0.85</v>
      </c>
      <c r="F22">
        <v>0.39</v>
      </c>
      <c r="G22">
        <v>0.28000000000000003</v>
      </c>
      <c r="H22">
        <v>0.28000000000000003</v>
      </c>
      <c r="I22">
        <v>0.67</v>
      </c>
      <c r="J22">
        <v>0.55000000000000004</v>
      </c>
      <c r="K22">
        <v>0.31</v>
      </c>
      <c r="L22">
        <v>0.32</v>
      </c>
      <c r="M22">
        <v>5.14</v>
      </c>
      <c r="N22">
        <v>6.04</v>
      </c>
      <c r="O22">
        <v>1.02</v>
      </c>
      <c r="P22">
        <v>1303</v>
      </c>
      <c r="Q22">
        <v>27</v>
      </c>
    </row>
    <row r="23" spans="1:17" x14ac:dyDescent="0.35">
      <c r="A23" t="s">
        <v>18</v>
      </c>
      <c r="B23" t="s">
        <v>34</v>
      </c>
      <c r="C23">
        <v>4.55</v>
      </c>
      <c r="D23">
        <v>4.83</v>
      </c>
      <c r="E23">
        <v>4.9400000000000004</v>
      </c>
      <c r="F23">
        <v>3.93</v>
      </c>
      <c r="G23">
        <v>3.66</v>
      </c>
      <c r="H23">
        <v>3.88</v>
      </c>
      <c r="I23">
        <v>4.1100000000000003</v>
      </c>
      <c r="J23">
        <v>4.6900000000000004</v>
      </c>
      <c r="K23">
        <v>4.8</v>
      </c>
      <c r="L23">
        <v>4.88</v>
      </c>
      <c r="M23">
        <v>5.0999999999999996</v>
      </c>
      <c r="N23">
        <v>5.51</v>
      </c>
      <c r="O23">
        <v>4.62</v>
      </c>
      <c r="P23">
        <v>5272.99</v>
      </c>
      <c r="Q23">
        <v>109</v>
      </c>
    </row>
    <row r="24" spans="1:17" x14ac:dyDescent="0.35">
      <c r="A24" t="s">
        <v>18</v>
      </c>
      <c r="B24" t="s">
        <v>35</v>
      </c>
      <c r="C24">
        <v>0.21</v>
      </c>
      <c r="D24">
        <v>0.6</v>
      </c>
      <c r="E24">
        <v>1.17</v>
      </c>
      <c r="F24">
        <v>1.1599999999999999</v>
      </c>
      <c r="G24">
        <v>0.31</v>
      </c>
      <c r="H24">
        <v>0.46</v>
      </c>
      <c r="I24">
        <v>1.9</v>
      </c>
      <c r="J24">
        <v>1.62</v>
      </c>
      <c r="K24">
        <v>0.28000000000000003</v>
      </c>
      <c r="L24">
        <v>0.38</v>
      </c>
      <c r="M24">
        <v>2.14</v>
      </c>
      <c r="N24">
        <v>3.88</v>
      </c>
      <c r="O24">
        <v>0.96</v>
      </c>
      <c r="P24">
        <v>3003</v>
      </c>
      <c r="Q24">
        <v>108</v>
      </c>
    </row>
    <row r="25" spans="1:17" x14ac:dyDescent="0.35">
      <c r="A25" t="s">
        <v>18</v>
      </c>
      <c r="B25" t="s">
        <v>36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6.1</v>
      </c>
      <c r="N25">
        <v>3.96</v>
      </c>
      <c r="O25">
        <v>4.3099999999999996</v>
      </c>
      <c r="P25">
        <v>109.72</v>
      </c>
      <c r="Q25">
        <v>3</v>
      </c>
    </row>
    <row r="26" spans="1:17" x14ac:dyDescent="0.35">
      <c r="A26" t="s">
        <v>18</v>
      </c>
      <c r="B26" t="s">
        <v>37</v>
      </c>
      <c r="C26">
        <v>0</v>
      </c>
      <c r="D26">
        <v>0</v>
      </c>
      <c r="E26">
        <v>1.4</v>
      </c>
      <c r="F26">
        <v>2.37</v>
      </c>
      <c r="G26">
        <v>2.2400000000000002</v>
      </c>
      <c r="H26">
        <v>1.5</v>
      </c>
      <c r="I26">
        <v>1.1299999999999999</v>
      </c>
      <c r="J26">
        <v>1.6</v>
      </c>
      <c r="K26">
        <v>1.41</v>
      </c>
      <c r="L26">
        <v>0.66</v>
      </c>
      <c r="M26">
        <v>3.07</v>
      </c>
      <c r="N26">
        <v>3.08</v>
      </c>
      <c r="O26">
        <v>1.74</v>
      </c>
      <c r="P26">
        <v>202.43</v>
      </c>
      <c r="Q26">
        <v>30</v>
      </c>
    </row>
    <row r="27" spans="1:17" x14ac:dyDescent="0.35">
      <c r="O27" t="s">
        <v>20</v>
      </c>
      <c r="P27">
        <v>24677.25</v>
      </c>
      <c r="Q27">
        <v>514</v>
      </c>
    </row>
    <row r="29" spans="1:17" x14ac:dyDescent="0.35">
      <c r="A29" s="1" t="s">
        <v>16</v>
      </c>
      <c r="B29" s="1" t="s">
        <v>21</v>
      </c>
      <c r="C29" s="1" t="s">
        <v>0</v>
      </c>
      <c r="D29" s="1" t="s">
        <v>1</v>
      </c>
      <c r="E29" s="1" t="s">
        <v>2</v>
      </c>
      <c r="F29" s="1" t="s">
        <v>3</v>
      </c>
      <c r="G29" s="1" t="s">
        <v>4</v>
      </c>
      <c r="H29" s="1" t="s">
        <v>5</v>
      </c>
      <c r="I29" s="1" t="s">
        <v>6</v>
      </c>
      <c r="J29" s="1" t="s">
        <v>7</v>
      </c>
      <c r="K29" s="1" t="s">
        <v>8</v>
      </c>
      <c r="L29" s="1" t="s">
        <v>9</v>
      </c>
      <c r="M29" s="1" t="s">
        <v>10</v>
      </c>
      <c r="N29" s="1" t="s">
        <v>11</v>
      </c>
      <c r="O29" s="1" t="s">
        <v>12</v>
      </c>
      <c r="P29" s="1" t="s">
        <v>13</v>
      </c>
      <c r="Q29" s="1" t="s">
        <v>14</v>
      </c>
    </row>
    <row r="30" spans="1:17" x14ac:dyDescent="0.35">
      <c r="A30" t="s">
        <v>42</v>
      </c>
    </row>
    <row r="32" spans="1:17" x14ac:dyDescent="0.35">
      <c r="A32" s="1" t="s">
        <v>16</v>
      </c>
      <c r="B32" s="1" t="s">
        <v>21</v>
      </c>
      <c r="C32" s="1" t="s">
        <v>0</v>
      </c>
      <c r="D32" s="1" t="s">
        <v>1</v>
      </c>
      <c r="E32" s="1" t="s">
        <v>2</v>
      </c>
      <c r="F32" s="1" t="s">
        <v>3</v>
      </c>
      <c r="G32" s="1" t="s">
        <v>4</v>
      </c>
      <c r="H32" s="1" t="s">
        <v>5</v>
      </c>
      <c r="I32" s="1" t="s">
        <v>6</v>
      </c>
      <c r="J32" s="1" t="s">
        <v>7</v>
      </c>
      <c r="K32" s="1" t="s">
        <v>8</v>
      </c>
      <c r="L32" s="1" t="s">
        <v>9</v>
      </c>
      <c r="M32" s="1" t="s">
        <v>10</v>
      </c>
      <c r="N32" s="1" t="s">
        <v>11</v>
      </c>
      <c r="O32" s="1" t="s">
        <v>12</v>
      </c>
      <c r="P32" s="1" t="s">
        <v>13</v>
      </c>
      <c r="Q32" s="1" t="s">
        <v>14</v>
      </c>
    </row>
    <row r="33" spans="1:17" x14ac:dyDescent="0.35">
      <c r="A33" t="s">
        <v>19</v>
      </c>
      <c r="B33" t="s">
        <v>38</v>
      </c>
      <c r="C33">
        <v>3.21</v>
      </c>
      <c r="D33">
        <v>4.76</v>
      </c>
      <c r="E33">
        <v>4.7</v>
      </c>
      <c r="F33">
        <v>3.55</v>
      </c>
      <c r="G33">
        <v>4.66</v>
      </c>
      <c r="H33">
        <v>3.93</v>
      </c>
      <c r="I33">
        <v>3.67</v>
      </c>
      <c r="J33">
        <v>4.07</v>
      </c>
      <c r="K33">
        <v>3.58</v>
      </c>
      <c r="L33">
        <v>3.87</v>
      </c>
      <c r="M33">
        <v>4.12</v>
      </c>
      <c r="N33">
        <v>4.12</v>
      </c>
      <c r="O33">
        <v>4.01</v>
      </c>
      <c r="P33">
        <v>376.42</v>
      </c>
      <c r="Q33">
        <v>16</v>
      </c>
    </row>
    <row r="34" spans="1:17" x14ac:dyDescent="0.35">
      <c r="A34" t="s">
        <v>19</v>
      </c>
      <c r="B34" t="s">
        <v>39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2.62</v>
      </c>
      <c r="K34">
        <v>2.84</v>
      </c>
      <c r="L34">
        <v>3.05</v>
      </c>
      <c r="M34">
        <v>0</v>
      </c>
      <c r="N34">
        <v>2.02</v>
      </c>
      <c r="O34">
        <v>2.35</v>
      </c>
      <c r="P34">
        <v>56.08</v>
      </c>
      <c r="Q34">
        <v>3</v>
      </c>
    </row>
    <row r="35" spans="1:17" x14ac:dyDescent="0.35">
      <c r="O35" t="s">
        <v>20</v>
      </c>
      <c r="P35">
        <v>432.5</v>
      </c>
      <c r="Q35">
        <v>19</v>
      </c>
    </row>
    <row r="39" spans="1:17" x14ac:dyDescent="0.35">
      <c r="A39" s="1" t="s">
        <v>43</v>
      </c>
      <c r="B39" s="1" t="s">
        <v>44</v>
      </c>
      <c r="C39" s="1" t="s">
        <v>45</v>
      </c>
      <c r="D39" s="1" t="s">
        <v>46</v>
      </c>
    </row>
    <row r="40" spans="1:17" x14ac:dyDescent="0.35">
      <c r="A40" t="s">
        <v>40</v>
      </c>
    </row>
    <row r="42" spans="1:17" x14ac:dyDescent="0.35">
      <c r="A42" s="1" t="s">
        <v>43</v>
      </c>
      <c r="B42" s="1" t="s">
        <v>44</v>
      </c>
      <c r="C42" s="1" t="s">
        <v>45</v>
      </c>
      <c r="D42" s="1" t="s">
        <v>46</v>
      </c>
    </row>
    <row r="43" spans="1:17" x14ac:dyDescent="0.35">
      <c r="A43" t="s">
        <v>47</v>
      </c>
      <c r="B43">
        <v>2.76</v>
      </c>
      <c r="C43">
        <v>2.87</v>
      </c>
      <c r="D43">
        <v>3.32</v>
      </c>
    </row>
    <row r="44" spans="1:17" x14ac:dyDescent="0.35">
      <c r="A44" t="s">
        <v>48</v>
      </c>
      <c r="B44">
        <v>72</v>
      </c>
      <c r="C44">
        <v>65</v>
      </c>
      <c r="D44">
        <v>67</v>
      </c>
    </row>
    <row r="46" spans="1:17" x14ac:dyDescent="0.35">
      <c r="A46" s="1" t="s">
        <v>43</v>
      </c>
      <c r="B46" s="1" t="s">
        <v>44</v>
      </c>
      <c r="C46" s="1" t="s">
        <v>45</v>
      </c>
      <c r="D46" s="1" t="s">
        <v>46</v>
      </c>
    </row>
    <row r="47" spans="1:17" x14ac:dyDescent="0.35">
      <c r="A47" t="s">
        <v>41</v>
      </c>
    </row>
    <row r="49" spans="1:4" x14ac:dyDescent="0.35">
      <c r="A49" s="1" t="s">
        <v>43</v>
      </c>
      <c r="B49" s="1" t="s">
        <v>44</v>
      </c>
      <c r="C49" s="1" t="s">
        <v>45</v>
      </c>
      <c r="D49" s="1" t="s">
        <v>46</v>
      </c>
    </row>
    <row r="50" spans="1:4" x14ac:dyDescent="0.35">
      <c r="A50" t="s">
        <v>47</v>
      </c>
      <c r="B50">
        <v>2.2200000000000002</v>
      </c>
      <c r="C50">
        <v>2.73</v>
      </c>
      <c r="D50">
        <v>3.67</v>
      </c>
    </row>
    <row r="51" spans="1:4" x14ac:dyDescent="0.35">
      <c r="A51" t="s">
        <v>48</v>
      </c>
      <c r="B51">
        <v>113</v>
      </c>
      <c r="C51">
        <v>112</v>
      </c>
      <c r="D51">
        <v>93</v>
      </c>
    </row>
    <row r="53" spans="1:4" x14ac:dyDescent="0.35">
      <c r="A53" s="1" t="s">
        <v>43</v>
      </c>
      <c r="B53" s="1" t="s">
        <v>44</v>
      </c>
      <c r="C53" s="1" t="s">
        <v>45</v>
      </c>
      <c r="D53" s="1" t="s">
        <v>46</v>
      </c>
    </row>
    <row r="54" spans="1:4" x14ac:dyDescent="0.35">
      <c r="A54" t="s">
        <v>42</v>
      </c>
    </row>
    <row r="56" spans="1:4" x14ac:dyDescent="0.35">
      <c r="A56" s="1" t="s">
        <v>43</v>
      </c>
      <c r="B56" s="1" t="s">
        <v>44</v>
      </c>
      <c r="C56" s="1" t="s">
        <v>45</v>
      </c>
      <c r="D56" s="1" t="s">
        <v>46</v>
      </c>
    </row>
    <row r="57" spans="1:4" x14ac:dyDescent="0.35">
      <c r="A57" t="s">
        <v>47</v>
      </c>
      <c r="B57">
        <v>4</v>
      </c>
      <c r="C57">
        <v>3.95</v>
      </c>
      <c r="D57">
        <v>3.04</v>
      </c>
    </row>
    <row r="58" spans="1:4" x14ac:dyDescent="0.35">
      <c r="A58" t="s">
        <v>48</v>
      </c>
      <c r="B58">
        <v>1</v>
      </c>
      <c r="C58">
        <v>2</v>
      </c>
      <c r="D58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3"/>
  <sheetViews>
    <sheetView tabSelected="1" workbookViewId="0">
      <selection activeCell="N8" sqref="N8"/>
    </sheetView>
  </sheetViews>
  <sheetFormatPr defaultRowHeight="14.5" x14ac:dyDescent="0.35"/>
  <cols>
    <col min="10" max="10" width="21.36328125" bestFit="1" customWidth="1"/>
    <col min="14" max="14" width="11.08984375" bestFit="1" customWidth="1"/>
  </cols>
  <sheetData>
    <row r="1" spans="1:17" x14ac:dyDescent="0.35">
      <c r="A1" s="1" t="s">
        <v>16</v>
      </c>
      <c r="B1" s="1" t="s">
        <v>21</v>
      </c>
      <c r="C1" s="1" t="s">
        <v>49</v>
      </c>
      <c r="D1" s="1" t="s">
        <v>12</v>
      </c>
      <c r="E1" s="1" t="s">
        <v>50</v>
      </c>
      <c r="F1" s="1" t="s">
        <v>13</v>
      </c>
      <c r="G1" s="1" t="s">
        <v>14</v>
      </c>
      <c r="H1" s="1" t="s">
        <v>15</v>
      </c>
      <c r="I1" s="1" t="s">
        <v>51</v>
      </c>
      <c r="J1" s="1" t="s">
        <v>52</v>
      </c>
      <c r="M1" s="3" t="s">
        <v>402</v>
      </c>
      <c r="N1" s="3" t="s">
        <v>403</v>
      </c>
      <c r="O1" t="s">
        <v>404</v>
      </c>
      <c r="P1" t="s">
        <v>405</v>
      </c>
      <c r="Q1" t="s">
        <v>406</v>
      </c>
    </row>
    <row r="2" spans="1:17" x14ac:dyDescent="0.35">
      <c r="A2" t="s">
        <v>17</v>
      </c>
      <c r="B2" t="s">
        <v>26</v>
      </c>
      <c r="C2" t="s">
        <v>119</v>
      </c>
      <c r="D2">
        <v>12.5</v>
      </c>
      <c r="E2">
        <v>6.58</v>
      </c>
      <c r="F2">
        <v>37.5</v>
      </c>
      <c r="G2">
        <v>1</v>
      </c>
      <c r="H2">
        <v>37.5</v>
      </c>
      <c r="I2">
        <v>3</v>
      </c>
      <c r="J2">
        <v>1</v>
      </c>
      <c r="L2" t="s">
        <v>399</v>
      </c>
      <c r="M2" s="2">
        <f>AVERAGEIFS($I:$I,$D:$D,"&lt;4",$G:$G,"&gt;=1")</f>
        <v>2.0181818181818181</v>
      </c>
      <c r="N2" s="2">
        <f>AVERAGEIFS($I:$I,$D:$D,"&gt;=4",$E:$E,"&lt;=6",$G:$G,"&gt;=1")</f>
        <v>2.3246753246753249</v>
      </c>
      <c r="O2" s="2">
        <f>AVERAGEIFS($I:$I,$D:$D,"&gt;6",$G:$G,"&gt;=1")</f>
        <v>2.0666666666666669</v>
      </c>
      <c r="P2" s="2">
        <f>AVERAGEIFS($I:$I,$D:$D,"&gt;7",$G:$G,"&gt;=1")</f>
        <v>2.8181818181818183</v>
      </c>
      <c r="Q2" s="2">
        <f>AVERAGEIFS($I:$I,$D:$D,"&gt;8",$G:$G,"&gt;=1")</f>
        <v>4.5999999999999996</v>
      </c>
    </row>
    <row r="3" spans="1:17" x14ac:dyDescent="0.35">
      <c r="A3" t="s">
        <v>17</v>
      </c>
      <c r="B3" t="s">
        <v>25</v>
      </c>
      <c r="C3" t="s">
        <v>100</v>
      </c>
      <c r="D3">
        <v>10.29</v>
      </c>
      <c r="E3">
        <v>6.33</v>
      </c>
      <c r="F3">
        <v>92.6</v>
      </c>
      <c r="G3">
        <v>2</v>
      </c>
      <c r="H3">
        <v>46.3</v>
      </c>
      <c r="I3">
        <v>2</v>
      </c>
      <c r="J3">
        <v>1</v>
      </c>
      <c r="L3" t="s">
        <v>400</v>
      </c>
      <c r="M3" s="2">
        <f>AVERAGEIFS($I:$I,$D:$D,"&lt;4",$G:$G,"&gt;=2")</f>
        <v>3.3979591836734695</v>
      </c>
      <c r="N3" s="2">
        <f>AVERAGEIFS($I:$I,$D:$D,"&gt;=4",$E:$E,"&lt;=6",$G:$G,"&gt;=2")</f>
        <v>2.8181818181818183</v>
      </c>
      <c r="O3" s="2">
        <f>AVERAGEIFS($I:$I,$D:$D,"&gt;6",$G:$G,"&gt;=2")</f>
        <v>2.6666666666666665</v>
      </c>
      <c r="P3" s="2">
        <f>AVERAGEIFS($I:$I,$D:$D,"&gt;7",$G:$G,"&gt;=2")</f>
        <v>4.25</v>
      </c>
      <c r="Q3" s="2">
        <f>AVERAGEIFS($I:$I,$D:$D,"&gt;8",$G:$G,"&gt;=2")</f>
        <v>5.666666666666667</v>
      </c>
    </row>
    <row r="4" spans="1:17" x14ac:dyDescent="0.35">
      <c r="A4" t="s">
        <v>17</v>
      </c>
      <c r="B4" t="s">
        <v>25</v>
      </c>
      <c r="C4" t="s">
        <v>119</v>
      </c>
      <c r="D4">
        <v>9.08</v>
      </c>
      <c r="E4">
        <v>6.58</v>
      </c>
      <c r="F4">
        <v>45.41</v>
      </c>
      <c r="G4">
        <v>1</v>
      </c>
      <c r="H4">
        <v>45.41</v>
      </c>
      <c r="I4">
        <v>3</v>
      </c>
      <c r="J4">
        <v>1</v>
      </c>
      <c r="L4" t="s">
        <v>401</v>
      </c>
      <c r="M4" s="2">
        <f>AVERAGEIFS($I:$I,$D:$D,"&lt;4",$G:$G,"&gt;=3")</f>
        <v>3.9864864864864864</v>
      </c>
      <c r="N4" s="2">
        <f>AVERAGEIFS($I:$I,$D:$D,"&gt;=4",$D:$D,"&lt;=6",$G:$G,"&gt;=3")</f>
        <v>3.5135135135135136</v>
      </c>
      <c r="O4" s="2">
        <f>AVERAGEIFS($I:$I,$D:$D,"&gt;6",$G:$G,"&gt;=3")</f>
        <v>2.2000000000000002</v>
      </c>
      <c r="P4" s="2">
        <f>AVERAGEIFS($I:$I,$D:$D,"&gt;7",$G:$G,"&gt;=3")</f>
        <v>5</v>
      </c>
      <c r="Q4" s="2">
        <f>AVERAGEIFS($I:$I,$D:$D,"&gt;8",$G:$G,"&gt;=3")</f>
        <v>7.5</v>
      </c>
    </row>
    <row r="5" spans="1:17" x14ac:dyDescent="0.35">
      <c r="A5" t="s">
        <v>18</v>
      </c>
      <c r="B5" t="s">
        <v>32</v>
      </c>
      <c r="C5" t="s">
        <v>229</v>
      </c>
      <c r="D5">
        <v>8.92</v>
      </c>
      <c r="E5">
        <v>7.24</v>
      </c>
      <c r="F5">
        <v>736.01</v>
      </c>
      <c r="G5">
        <v>16</v>
      </c>
      <c r="H5">
        <v>46</v>
      </c>
      <c r="I5">
        <v>12</v>
      </c>
      <c r="J5">
        <v>5</v>
      </c>
    </row>
    <row r="6" spans="1:17" x14ac:dyDescent="0.35">
      <c r="A6" t="s">
        <v>18</v>
      </c>
      <c r="B6" t="s">
        <v>32</v>
      </c>
      <c r="C6" t="s">
        <v>231</v>
      </c>
      <c r="D6">
        <v>8.59</v>
      </c>
      <c r="E6">
        <v>7.46</v>
      </c>
      <c r="F6">
        <v>821.02</v>
      </c>
      <c r="G6">
        <v>21</v>
      </c>
      <c r="H6">
        <v>39.1</v>
      </c>
      <c r="I6">
        <v>3</v>
      </c>
      <c r="J6">
        <v>2</v>
      </c>
    </row>
    <row r="7" spans="1:17" x14ac:dyDescent="0.35">
      <c r="A7" t="s">
        <v>17</v>
      </c>
      <c r="B7" t="s">
        <v>26</v>
      </c>
      <c r="C7" t="s">
        <v>127</v>
      </c>
      <c r="D7">
        <v>7.86</v>
      </c>
      <c r="E7">
        <v>7.86</v>
      </c>
      <c r="F7">
        <v>47.18</v>
      </c>
      <c r="G7">
        <v>1</v>
      </c>
      <c r="H7">
        <v>47.18</v>
      </c>
      <c r="I7">
        <v>0</v>
      </c>
      <c r="J7">
        <v>0</v>
      </c>
    </row>
    <row r="8" spans="1:17" x14ac:dyDescent="0.35">
      <c r="A8" t="s">
        <v>18</v>
      </c>
      <c r="B8" t="s">
        <v>28</v>
      </c>
      <c r="C8" t="s">
        <v>184</v>
      </c>
      <c r="D8">
        <v>7.53</v>
      </c>
      <c r="E8">
        <v>7.53</v>
      </c>
      <c r="F8">
        <v>97.93</v>
      </c>
      <c r="G8">
        <v>1</v>
      </c>
      <c r="H8">
        <v>97.93</v>
      </c>
      <c r="I8">
        <v>0</v>
      </c>
      <c r="J8">
        <v>0</v>
      </c>
    </row>
    <row r="9" spans="1:17" x14ac:dyDescent="0.35">
      <c r="A9" t="s">
        <v>17</v>
      </c>
      <c r="B9" t="s">
        <v>25</v>
      </c>
      <c r="C9" t="s">
        <v>109</v>
      </c>
      <c r="D9">
        <v>7.49</v>
      </c>
      <c r="E9">
        <v>4.1900000000000004</v>
      </c>
      <c r="F9">
        <v>89.91</v>
      </c>
      <c r="G9">
        <v>1</v>
      </c>
      <c r="H9">
        <v>89.91</v>
      </c>
      <c r="I9">
        <v>2</v>
      </c>
      <c r="J9">
        <v>1</v>
      </c>
    </row>
    <row r="10" spans="1:17" x14ac:dyDescent="0.35">
      <c r="A10" t="s">
        <v>18</v>
      </c>
      <c r="B10" t="s">
        <v>28</v>
      </c>
      <c r="C10" t="s">
        <v>180</v>
      </c>
      <c r="D10">
        <v>7.46</v>
      </c>
      <c r="E10">
        <v>7.46</v>
      </c>
      <c r="F10">
        <v>74.63</v>
      </c>
      <c r="G10">
        <v>1</v>
      </c>
      <c r="H10">
        <v>74.63</v>
      </c>
      <c r="I10">
        <v>0</v>
      </c>
      <c r="J10">
        <v>0</v>
      </c>
    </row>
    <row r="11" spans="1:17" x14ac:dyDescent="0.35">
      <c r="A11" t="s">
        <v>17</v>
      </c>
      <c r="B11" t="s">
        <v>24</v>
      </c>
      <c r="C11" t="s">
        <v>94</v>
      </c>
      <c r="D11">
        <v>7.16</v>
      </c>
      <c r="E11">
        <v>7.03</v>
      </c>
      <c r="F11">
        <v>655.30999999999995</v>
      </c>
      <c r="G11">
        <v>16</v>
      </c>
      <c r="H11">
        <v>40.96</v>
      </c>
      <c r="I11">
        <v>0</v>
      </c>
      <c r="J11">
        <v>0</v>
      </c>
    </row>
    <row r="12" spans="1:17" x14ac:dyDescent="0.35">
      <c r="A12" t="s">
        <v>18</v>
      </c>
      <c r="B12" t="s">
        <v>31</v>
      </c>
      <c r="C12" t="s">
        <v>194</v>
      </c>
      <c r="D12">
        <v>7.14</v>
      </c>
      <c r="E12">
        <v>5.56</v>
      </c>
      <c r="F12">
        <v>50</v>
      </c>
      <c r="G12">
        <v>1</v>
      </c>
      <c r="H12">
        <v>50</v>
      </c>
      <c r="I12">
        <v>6</v>
      </c>
      <c r="J12">
        <v>3</v>
      </c>
    </row>
    <row r="13" spans="1:17" x14ac:dyDescent="0.35">
      <c r="A13" t="s">
        <v>17</v>
      </c>
      <c r="B13" t="s">
        <v>22</v>
      </c>
      <c r="C13" t="s">
        <v>66</v>
      </c>
      <c r="D13">
        <v>6.99</v>
      </c>
      <c r="E13">
        <v>2.69</v>
      </c>
      <c r="F13">
        <v>153.78</v>
      </c>
      <c r="G13">
        <v>4</v>
      </c>
      <c r="H13">
        <v>38.450000000000003</v>
      </c>
      <c r="I13">
        <v>0</v>
      </c>
      <c r="J13">
        <v>0</v>
      </c>
    </row>
    <row r="14" spans="1:17" x14ac:dyDescent="0.35">
      <c r="A14" t="s">
        <v>18</v>
      </c>
      <c r="B14" t="s">
        <v>28</v>
      </c>
      <c r="C14" t="s">
        <v>190</v>
      </c>
      <c r="D14">
        <v>6.88</v>
      </c>
      <c r="E14">
        <v>6.88</v>
      </c>
      <c r="F14">
        <v>336.97</v>
      </c>
      <c r="G14">
        <v>3</v>
      </c>
      <c r="H14">
        <v>112.32</v>
      </c>
      <c r="I14">
        <v>5</v>
      </c>
      <c r="J14">
        <v>2</v>
      </c>
    </row>
    <row r="15" spans="1:17" x14ac:dyDescent="0.35">
      <c r="A15" t="s">
        <v>18</v>
      </c>
      <c r="B15" t="s">
        <v>34</v>
      </c>
      <c r="C15" t="s">
        <v>248</v>
      </c>
      <c r="D15">
        <v>6.88</v>
      </c>
      <c r="E15">
        <v>5.9</v>
      </c>
      <c r="F15">
        <v>97.17</v>
      </c>
      <c r="G15">
        <v>1</v>
      </c>
      <c r="H15">
        <v>97.17</v>
      </c>
      <c r="I15">
        <v>0</v>
      </c>
      <c r="J15">
        <v>0</v>
      </c>
    </row>
    <row r="16" spans="1:17" x14ac:dyDescent="0.35">
      <c r="A16" t="s">
        <v>18</v>
      </c>
      <c r="B16" t="s">
        <v>28</v>
      </c>
      <c r="C16" t="s">
        <v>167</v>
      </c>
      <c r="D16">
        <v>6.86</v>
      </c>
      <c r="E16">
        <v>6.86</v>
      </c>
      <c r="F16">
        <v>75.45</v>
      </c>
      <c r="G16">
        <v>1</v>
      </c>
      <c r="H16">
        <v>75.45</v>
      </c>
      <c r="I16">
        <v>0</v>
      </c>
      <c r="J16">
        <v>0</v>
      </c>
    </row>
    <row r="17" spans="1:10" x14ac:dyDescent="0.35">
      <c r="A17" t="s">
        <v>17</v>
      </c>
      <c r="B17" t="s">
        <v>22</v>
      </c>
      <c r="C17" t="s">
        <v>69</v>
      </c>
      <c r="D17">
        <v>6.78</v>
      </c>
      <c r="E17">
        <v>6.64</v>
      </c>
      <c r="F17">
        <v>640.80999999999995</v>
      </c>
      <c r="G17">
        <v>5</v>
      </c>
      <c r="H17">
        <v>128.16</v>
      </c>
      <c r="I17">
        <v>0</v>
      </c>
      <c r="J17">
        <v>0</v>
      </c>
    </row>
    <row r="18" spans="1:10" x14ac:dyDescent="0.35">
      <c r="A18" t="s">
        <v>17</v>
      </c>
      <c r="B18" t="s">
        <v>26</v>
      </c>
      <c r="C18" t="s">
        <v>130</v>
      </c>
      <c r="D18">
        <v>6.73</v>
      </c>
      <c r="E18">
        <v>7.25</v>
      </c>
      <c r="F18">
        <v>693.03</v>
      </c>
      <c r="G18">
        <v>13</v>
      </c>
      <c r="H18">
        <v>53.31</v>
      </c>
      <c r="I18">
        <v>5</v>
      </c>
      <c r="J18">
        <v>2</v>
      </c>
    </row>
    <row r="19" spans="1:10" x14ac:dyDescent="0.35">
      <c r="A19" t="s">
        <v>17</v>
      </c>
      <c r="B19" t="s">
        <v>26</v>
      </c>
      <c r="C19" t="s">
        <v>132</v>
      </c>
      <c r="D19">
        <v>6.72</v>
      </c>
      <c r="E19">
        <v>6.45</v>
      </c>
      <c r="F19">
        <v>180.39</v>
      </c>
      <c r="G19">
        <v>4</v>
      </c>
      <c r="H19">
        <v>45.1</v>
      </c>
      <c r="I19">
        <v>0</v>
      </c>
      <c r="J19">
        <v>0</v>
      </c>
    </row>
    <row r="20" spans="1:10" x14ac:dyDescent="0.35">
      <c r="A20" t="s">
        <v>18</v>
      </c>
      <c r="B20" t="s">
        <v>33</v>
      </c>
      <c r="C20" t="s">
        <v>66</v>
      </c>
      <c r="D20">
        <v>6.7</v>
      </c>
      <c r="E20">
        <v>2.69</v>
      </c>
      <c r="F20">
        <v>67</v>
      </c>
      <c r="G20">
        <v>1</v>
      </c>
      <c r="H20">
        <v>67</v>
      </c>
      <c r="I20">
        <v>0</v>
      </c>
      <c r="J20">
        <v>0</v>
      </c>
    </row>
    <row r="21" spans="1:10" x14ac:dyDescent="0.35">
      <c r="A21" t="s">
        <v>18</v>
      </c>
      <c r="B21" t="s">
        <v>32</v>
      </c>
      <c r="C21" t="s">
        <v>225</v>
      </c>
      <c r="D21">
        <v>6.64</v>
      </c>
      <c r="E21">
        <v>6.01</v>
      </c>
      <c r="F21">
        <v>498.31</v>
      </c>
      <c r="G21">
        <v>11</v>
      </c>
      <c r="H21">
        <v>45.3</v>
      </c>
      <c r="I21">
        <v>2</v>
      </c>
      <c r="J21">
        <v>2</v>
      </c>
    </row>
    <row r="22" spans="1:10" x14ac:dyDescent="0.35">
      <c r="A22" t="s">
        <v>18</v>
      </c>
      <c r="B22" t="s">
        <v>32</v>
      </c>
      <c r="C22" t="s">
        <v>226</v>
      </c>
      <c r="D22">
        <v>6.63</v>
      </c>
      <c r="E22">
        <v>6.67</v>
      </c>
      <c r="F22">
        <v>139.83000000000001</v>
      </c>
      <c r="G22">
        <v>2</v>
      </c>
      <c r="H22">
        <v>69.92</v>
      </c>
      <c r="I22">
        <v>13</v>
      </c>
      <c r="J22">
        <v>2</v>
      </c>
    </row>
    <row r="23" spans="1:10" x14ac:dyDescent="0.35">
      <c r="A23" t="s">
        <v>18</v>
      </c>
      <c r="B23" t="s">
        <v>28</v>
      </c>
      <c r="C23" t="s">
        <v>187</v>
      </c>
      <c r="D23">
        <v>6.61</v>
      </c>
      <c r="E23">
        <v>4.3499999999999996</v>
      </c>
      <c r="F23">
        <v>343.98</v>
      </c>
      <c r="G23">
        <v>4</v>
      </c>
      <c r="H23">
        <v>85.99</v>
      </c>
      <c r="I23">
        <v>0</v>
      </c>
      <c r="J23">
        <v>0</v>
      </c>
    </row>
    <row r="24" spans="1:10" x14ac:dyDescent="0.35">
      <c r="A24" t="s">
        <v>18</v>
      </c>
      <c r="B24" t="s">
        <v>34</v>
      </c>
      <c r="C24" t="s">
        <v>243</v>
      </c>
      <c r="D24">
        <v>6.58</v>
      </c>
      <c r="E24">
        <v>6.38</v>
      </c>
      <c r="F24">
        <v>590.98</v>
      </c>
      <c r="G24">
        <v>10</v>
      </c>
      <c r="H24">
        <v>59.1</v>
      </c>
      <c r="I24">
        <v>0</v>
      </c>
      <c r="J24">
        <v>0</v>
      </c>
    </row>
    <row r="25" spans="1:10" x14ac:dyDescent="0.35">
      <c r="A25" t="s">
        <v>18</v>
      </c>
      <c r="B25" t="s">
        <v>30</v>
      </c>
      <c r="C25" t="s">
        <v>209</v>
      </c>
      <c r="D25">
        <v>6.52</v>
      </c>
      <c r="E25">
        <v>5.99</v>
      </c>
      <c r="F25">
        <v>143.46</v>
      </c>
      <c r="G25">
        <v>1</v>
      </c>
      <c r="H25">
        <v>143.46</v>
      </c>
      <c r="I25">
        <v>0</v>
      </c>
      <c r="J25">
        <v>0</v>
      </c>
    </row>
    <row r="26" spans="1:10" x14ac:dyDescent="0.35">
      <c r="A26" t="s">
        <v>18</v>
      </c>
      <c r="B26" t="s">
        <v>28</v>
      </c>
      <c r="C26" t="s">
        <v>78</v>
      </c>
      <c r="D26">
        <v>6.46</v>
      </c>
      <c r="E26">
        <v>3.05</v>
      </c>
      <c r="F26">
        <v>245.36</v>
      </c>
      <c r="G26">
        <v>3</v>
      </c>
      <c r="H26">
        <v>81.790000000000006</v>
      </c>
      <c r="I26">
        <v>0</v>
      </c>
      <c r="J26">
        <v>0</v>
      </c>
    </row>
    <row r="27" spans="1:10" x14ac:dyDescent="0.35">
      <c r="A27" t="s">
        <v>18</v>
      </c>
      <c r="B27" t="s">
        <v>28</v>
      </c>
      <c r="C27" t="s">
        <v>194</v>
      </c>
      <c r="D27">
        <v>6.24</v>
      </c>
      <c r="E27">
        <v>5.56</v>
      </c>
      <c r="F27">
        <v>496.83</v>
      </c>
      <c r="G27">
        <v>5</v>
      </c>
      <c r="H27">
        <v>99.37</v>
      </c>
      <c r="I27">
        <v>6</v>
      </c>
      <c r="J27">
        <v>3</v>
      </c>
    </row>
    <row r="28" spans="1:10" x14ac:dyDescent="0.35">
      <c r="A28" t="s">
        <v>17</v>
      </c>
      <c r="B28" t="s">
        <v>23</v>
      </c>
      <c r="C28" t="s">
        <v>83</v>
      </c>
      <c r="D28">
        <v>6.23</v>
      </c>
      <c r="E28">
        <v>1.34</v>
      </c>
      <c r="F28">
        <v>137.05000000000001</v>
      </c>
      <c r="G28">
        <v>1</v>
      </c>
      <c r="H28">
        <v>137.05000000000001</v>
      </c>
      <c r="I28">
        <v>0</v>
      </c>
      <c r="J28">
        <v>0</v>
      </c>
    </row>
    <row r="29" spans="1:10" x14ac:dyDescent="0.35">
      <c r="A29" t="s">
        <v>18</v>
      </c>
      <c r="B29" t="s">
        <v>34</v>
      </c>
      <c r="C29" t="s">
        <v>254</v>
      </c>
      <c r="D29">
        <v>6.23</v>
      </c>
      <c r="E29">
        <v>6</v>
      </c>
      <c r="F29">
        <v>386.17</v>
      </c>
      <c r="G29">
        <v>7</v>
      </c>
      <c r="H29">
        <v>55.17</v>
      </c>
      <c r="I29">
        <v>0</v>
      </c>
      <c r="J29">
        <v>0</v>
      </c>
    </row>
    <row r="30" spans="1:10" x14ac:dyDescent="0.35">
      <c r="A30" t="s">
        <v>18</v>
      </c>
      <c r="B30" t="s">
        <v>34</v>
      </c>
      <c r="C30" t="s">
        <v>78</v>
      </c>
      <c r="D30">
        <v>6.14</v>
      </c>
      <c r="E30">
        <v>3.05</v>
      </c>
      <c r="F30">
        <v>576.87</v>
      </c>
      <c r="G30">
        <v>12</v>
      </c>
      <c r="H30">
        <v>48.07</v>
      </c>
      <c r="I30">
        <v>0</v>
      </c>
      <c r="J30">
        <v>0</v>
      </c>
    </row>
    <row r="31" spans="1:10" x14ac:dyDescent="0.35">
      <c r="A31" t="s">
        <v>18</v>
      </c>
      <c r="B31" t="s">
        <v>28</v>
      </c>
      <c r="C31" t="s">
        <v>185</v>
      </c>
      <c r="D31">
        <v>6.06</v>
      </c>
      <c r="E31">
        <v>6.06</v>
      </c>
      <c r="F31">
        <v>211.95</v>
      </c>
      <c r="G31">
        <v>2</v>
      </c>
      <c r="H31">
        <v>105.98</v>
      </c>
      <c r="I31">
        <v>0</v>
      </c>
      <c r="J31">
        <v>0</v>
      </c>
    </row>
    <row r="32" spans="1:10" x14ac:dyDescent="0.35">
      <c r="A32" t="s">
        <v>17</v>
      </c>
      <c r="B32" t="s">
        <v>26</v>
      </c>
      <c r="C32" t="s">
        <v>101</v>
      </c>
      <c r="D32">
        <v>5.98</v>
      </c>
      <c r="E32">
        <v>5.97</v>
      </c>
      <c r="F32">
        <v>382.78</v>
      </c>
      <c r="G32">
        <v>5</v>
      </c>
      <c r="H32">
        <v>76.56</v>
      </c>
      <c r="I32">
        <v>3</v>
      </c>
      <c r="J32">
        <v>2</v>
      </c>
    </row>
    <row r="33" spans="1:10" x14ac:dyDescent="0.35">
      <c r="A33" t="s">
        <v>17</v>
      </c>
      <c r="B33" t="s">
        <v>24</v>
      </c>
      <c r="C33" t="s">
        <v>90</v>
      </c>
      <c r="D33">
        <v>5.91</v>
      </c>
      <c r="E33">
        <v>5.91</v>
      </c>
      <c r="F33">
        <v>165.36</v>
      </c>
      <c r="G33">
        <v>4</v>
      </c>
      <c r="H33">
        <v>41.34</v>
      </c>
      <c r="I33">
        <v>0</v>
      </c>
      <c r="J33">
        <v>0</v>
      </c>
    </row>
    <row r="34" spans="1:10" x14ac:dyDescent="0.35">
      <c r="A34" t="s">
        <v>17</v>
      </c>
      <c r="B34" t="s">
        <v>25</v>
      </c>
      <c r="C34" t="s">
        <v>101</v>
      </c>
      <c r="D34">
        <v>5.9</v>
      </c>
      <c r="E34">
        <v>5.97</v>
      </c>
      <c r="F34">
        <v>47.18</v>
      </c>
      <c r="G34">
        <v>1</v>
      </c>
      <c r="H34">
        <v>47.18</v>
      </c>
      <c r="I34">
        <v>3</v>
      </c>
      <c r="J34">
        <v>2</v>
      </c>
    </row>
    <row r="35" spans="1:10" x14ac:dyDescent="0.35">
      <c r="A35" t="s">
        <v>17</v>
      </c>
      <c r="B35" t="s">
        <v>25</v>
      </c>
      <c r="C35" t="s">
        <v>108</v>
      </c>
      <c r="D35">
        <v>5.78</v>
      </c>
      <c r="E35">
        <v>5.0999999999999996</v>
      </c>
      <c r="F35">
        <v>150.19</v>
      </c>
      <c r="G35">
        <v>3</v>
      </c>
      <c r="H35">
        <v>50.06</v>
      </c>
      <c r="I35">
        <v>2</v>
      </c>
      <c r="J35">
        <v>1</v>
      </c>
    </row>
    <row r="36" spans="1:10" x14ac:dyDescent="0.35">
      <c r="A36" t="s">
        <v>17</v>
      </c>
      <c r="B36" t="s">
        <v>22</v>
      </c>
      <c r="C36" t="s">
        <v>67</v>
      </c>
      <c r="D36">
        <v>5.74</v>
      </c>
      <c r="E36">
        <v>4.7</v>
      </c>
      <c r="F36">
        <v>81.739999999999995</v>
      </c>
      <c r="G36">
        <v>2</v>
      </c>
      <c r="H36">
        <v>40.869999999999997</v>
      </c>
      <c r="I36">
        <v>0</v>
      </c>
      <c r="J36">
        <v>0</v>
      </c>
    </row>
    <row r="37" spans="1:10" x14ac:dyDescent="0.35">
      <c r="A37" t="s">
        <v>18</v>
      </c>
      <c r="B37" t="s">
        <v>34</v>
      </c>
      <c r="C37" t="s">
        <v>251</v>
      </c>
      <c r="D37">
        <v>5.69</v>
      </c>
      <c r="E37">
        <v>5.36</v>
      </c>
      <c r="F37">
        <v>485.09</v>
      </c>
      <c r="G37">
        <v>12</v>
      </c>
      <c r="H37">
        <v>40.42</v>
      </c>
      <c r="I37">
        <v>0</v>
      </c>
      <c r="J37">
        <v>0</v>
      </c>
    </row>
    <row r="38" spans="1:10" x14ac:dyDescent="0.35">
      <c r="A38" t="s">
        <v>18</v>
      </c>
      <c r="B38" t="s">
        <v>28</v>
      </c>
      <c r="C38" t="s">
        <v>162</v>
      </c>
      <c r="D38">
        <v>5.66</v>
      </c>
      <c r="E38">
        <v>5.66</v>
      </c>
      <c r="F38">
        <v>266.18</v>
      </c>
      <c r="G38">
        <v>4</v>
      </c>
      <c r="H38">
        <v>66.55</v>
      </c>
      <c r="I38">
        <v>7</v>
      </c>
      <c r="J38">
        <v>4</v>
      </c>
    </row>
    <row r="39" spans="1:10" x14ac:dyDescent="0.35">
      <c r="A39" t="s">
        <v>17</v>
      </c>
      <c r="B39" t="s">
        <v>26</v>
      </c>
      <c r="C39" t="s">
        <v>103</v>
      </c>
      <c r="D39">
        <v>5.65</v>
      </c>
      <c r="E39">
        <v>4.53</v>
      </c>
      <c r="F39">
        <v>386.69</v>
      </c>
      <c r="G39">
        <v>9</v>
      </c>
      <c r="H39">
        <v>42.97</v>
      </c>
      <c r="I39">
        <v>13</v>
      </c>
      <c r="J39">
        <v>2</v>
      </c>
    </row>
    <row r="40" spans="1:10" x14ac:dyDescent="0.35">
      <c r="A40" t="s">
        <v>18</v>
      </c>
      <c r="B40" t="s">
        <v>28</v>
      </c>
      <c r="C40" t="s">
        <v>170</v>
      </c>
      <c r="D40">
        <v>5.53</v>
      </c>
      <c r="E40">
        <v>5.19</v>
      </c>
      <c r="F40">
        <v>409.72</v>
      </c>
      <c r="G40">
        <v>4</v>
      </c>
      <c r="H40">
        <v>102.43</v>
      </c>
      <c r="I40">
        <v>8</v>
      </c>
      <c r="J40">
        <v>2</v>
      </c>
    </row>
    <row r="41" spans="1:10" x14ac:dyDescent="0.35">
      <c r="A41" t="s">
        <v>18</v>
      </c>
      <c r="B41" t="s">
        <v>29</v>
      </c>
      <c r="C41" t="s">
        <v>204</v>
      </c>
      <c r="D41">
        <v>5.39</v>
      </c>
      <c r="E41">
        <v>5.39</v>
      </c>
      <c r="F41">
        <v>37.729999999999997</v>
      </c>
      <c r="G41">
        <v>1</v>
      </c>
      <c r="H41">
        <v>37.729999999999997</v>
      </c>
      <c r="I41">
        <v>0</v>
      </c>
      <c r="J41">
        <v>0</v>
      </c>
    </row>
    <row r="42" spans="1:10" x14ac:dyDescent="0.35">
      <c r="A42" t="s">
        <v>18</v>
      </c>
      <c r="B42" t="s">
        <v>34</v>
      </c>
      <c r="C42" t="s">
        <v>247</v>
      </c>
      <c r="D42">
        <v>5.39</v>
      </c>
      <c r="E42">
        <v>4.76</v>
      </c>
      <c r="F42">
        <v>507.13</v>
      </c>
      <c r="G42">
        <v>11</v>
      </c>
      <c r="H42">
        <v>46.1</v>
      </c>
      <c r="I42">
        <v>0</v>
      </c>
      <c r="J42">
        <v>0</v>
      </c>
    </row>
    <row r="43" spans="1:10" x14ac:dyDescent="0.35">
      <c r="A43" t="s">
        <v>18</v>
      </c>
      <c r="B43" t="s">
        <v>36</v>
      </c>
      <c r="C43" t="s">
        <v>282</v>
      </c>
      <c r="D43">
        <v>5.35</v>
      </c>
      <c r="E43">
        <v>5.22</v>
      </c>
      <c r="F43">
        <v>73.150000000000006</v>
      </c>
      <c r="G43">
        <v>2</v>
      </c>
      <c r="H43">
        <v>36.57</v>
      </c>
      <c r="I43">
        <v>1</v>
      </c>
      <c r="J43">
        <v>1</v>
      </c>
    </row>
    <row r="44" spans="1:10" x14ac:dyDescent="0.35">
      <c r="A44" t="s">
        <v>18</v>
      </c>
      <c r="B44" t="s">
        <v>28</v>
      </c>
      <c r="C44" t="s">
        <v>148</v>
      </c>
      <c r="D44">
        <v>5.33</v>
      </c>
      <c r="E44">
        <v>5.33</v>
      </c>
      <c r="F44">
        <v>298.41000000000003</v>
      </c>
      <c r="G44">
        <v>3</v>
      </c>
      <c r="H44">
        <v>99.47</v>
      </c>
      <c r="I44">
        <v>4</v>
      </c>
      <c r="J44">
        <v>2</v>
      </c>
    </row>
    <row r="45" spans="1:10" x14ac:dyDescent="0.35">
      <c r="A45" t="s">
        <v>18</v>
      </c>
      <c r="B45" t="s">
        <v>28</v>
      </c>
      <c r="C45" t="s">
        <v>181</v>
      </c>
      <c r="D45">
        <v>5.33</v>
      </c>
      <c r="E45">
        <v>5.33</v>
      </c>
      <c r="F45">
        <v>143.91999999999999</v>
      </c>
      <c r="G45">
        <v>2</v>
      </c>
      <c r="H45">
        <v>71.959999999999994</v>
      </c>
      <c r="I45">
        <v>1</v>
      </c>
      <c r="J45">
        <v>1</v>
      </c>
    </row>
    <row r="46" spans="1:10" x14ac:dyDescent="0.35">
      <c r="A46" t="s">
        <v>17</v>
      </c>
      <c r="B46" t="s">
        <v>22</v>
      </c>
      <c r="C46" t="s">
        <v>57</v>
      </c>
      <c r="D46">
        <v>5.31</v>
      </c>
      <c r="E46">
        <v>4.93</v>
      </c>
      <c r="F46">
        <v>366.12</v>
      </c>
      <c r="G46">
        <v>6</v>
      </c>
      <c r="H46">
        <v>61.02</v>
      </c>
      <c r="I46">
        <v>0</v>
      </c>
      <c r="J46">
        <v>0</v>
      </c>
    </row>
    <row r="47" spans="1:10" x14ac:dyDescent="0.35">
      <c r="A47" t="s">
        <v>17</v>
      </c>
      <c r="B47" t="s">
        <v>26</v>
      </c>
      <c r="C47" t="s">
        <v>100</v>
      </c>
      <c r="D47">
        <v>5.26</v>
      </c>
      <c r="E47">
        <v>6.33</v>
      </c>
      <c r="F47">
        <v>597.41999999999996</v>
      </c>
      <c r="G47">
        <v>10</v>
      </c>
      <c r="H47">
        <v>59.74</v>
      </c>
      <c r="I47">
        <v>2</v>
      </c>
      <c r="J47">
        <v>1</v>
      </c>
    </row>
    <row r="48" spans="1:10" x14ac:dyDescent="0.35">
      <c r="A48" t="s">
        <v>18</v>
      </c>
      <c r="B48" t="s">
        <v>30</v>
      </c>
      <c r="C48" t="s">
        <v>216</v>
      </c>
      <c r="D48">
        <v>5.16</v>
      </c>
      <c r="E48">
        <v>3.84</v>
      </c>
      <c r="F48">
        <v>67.11</v>
      </c>
      <c r="G48">
        <v>1</v>
      </c>
      <c r="H48">
        <v>67.11</v>
      </c>
      <c r="I48">
        <v>0</v>
      </c>
      <c r="J48">
        <v>0</v>
      </c>
    </row>
    <row r="49" spans="1:10" x14ac:dyDescent="0.35">
      <c r="A49" t="s">
        <v>17</v>
      </c>
      <c r="B49" t="s">
        <v>24</v>
      </c>
      <c r="C49" t="s">
        <v>92</v>
      </c>
      <c r="D49">
        <v>5.15</v>
      </c>
      <c r="E49">
        <v>5.18</v>
      </c>
      <c r="F49">
        <v>428.99</v>
      </c>
      <c r="G49">
        <v>10</v>
      </c>
      <c r="H49">
        <v>42.9</v>
      </c>
      <c r="I49">
        <v>3</v>
      </c>
      <c r="J49">
        <v>3</v>
      </c>
    </row>
    <row r="50" spans="1:10" x14ac:dyDescent="0.35">
      <c r="A50" t="s">
        <v>17</v>
      </c>
      <c r="B50" t="s">
        <v>26</v>
      </c>
      <c r="C50" t="s">
        <v>108</v>
      </c>
      <c r="D50">
        <v>5.15</v>
      </c>
      <c r="E50">
        <v>5.0999999999999996</v>
      </c>
      <c r="F50">
        <v>339.49</v>
      </c>
      <c r="G50">
        <v>8</v>
      </c>
      <c r="H50">
        <v>42.44</v>
      </c>
      <c r="I50">
        <v>2</v>
      </c>
      <c r="J50">
        <v>1</v>
      </c>
    </row>
    <row r="51" spans="1:10" x14ac:dyDescent="0.35">
      <c r="A51" t="s">
        <v>18</v>
      </c>
      <c r="B51" t="s">
        <v>34</v>
      </c>
      <c r="C51" t="s">
        <v>245</v>
      </c>
      <c r="D51">
        <v>5.13</v>
      </c>
      <c r="E51">
        <v>4.74</v>
      </c>
      <c r="F51">
        <v>143.66999999999999</v>
      </c>
      <c r="G51">
        <v>4</v>
      </c>
      <c r="H51">
        <v>35.92</v>
      </c>
      <c r="I51">
        <v>1</v>
      </c>
      <c r="J51">
        <v>1</v>
      </c>
    </row>
    <row r="52" spans="1:10" x14ac:dyDescent="0.35">
      <c r="A52" t="s">
        <v>18</v>
      </c>
      <c r="B52" t="s">
        <v>28</v>
      </c>
      <c r="C52" t="s">
        <v>165</v>
      </c>
      <c r="D52">
        <v>5.12</v>
      </c>
      <c r="E52">
        <v>5.12</v>
      </c>
      <c r="F52">
        <v>394.41</v>
      </c>
      <c r="G52">
        <v>4</v>
      </c>
      <c r="H52">
        <v>98.6</v>
      </c>
      <c r="I52">
        <v>5</v>
      </c>
      <c r="J52">
        <v>2</v>
      </c>
    </row>
    <row r="53" spans="1:10" x14ac:dyDescent="0.35">
      <c r="A53" t="s">
        <v>17</v>
      </c>
      <c r="B53" t="s">
        <v>24</v>
      </c>
      <c r="C53" t="s">
        <v>93</v>
      </c>
      <c r="D53">
        <v>5.08</v>
      </c>
      <c r="E53">
        <v>5.03</v>
      </c>
      <c r="F53">
        <v>228.92</v>
      </c>
      <c r="G53">
        <v>6</v>
      </c>
      <c r="H53">
        <v>38.15</v>
      </c>
      <c r="I53">
        <v>0</v>
      </c>
      <c r="J53">
        <v>0</v>
      </c>
    </row>
    <row r="54" spans="1:10" x14ac:dyDescent="0.35">
      <c r="A54" t="s">
        <v>17</v>
      </c>
      <c r="B54" t="s">
        <v>22</v>
      </c>
      <c r="C54" t="s">
        <v>54</v>
      </c>
      <c r="D54">
        <v>5.07</v>
      </c>
      <c r="E54">
        <v>4.3099999999999996</v>
      </c>
      <c r="F54">
        <v>206.17</v>
      </c>
      <c r="G54">
        <v>3</v>
      </c>
      <c r="H54">
        <v>68.72</v>
      </c>
      <c r="I54">
        <v>7</v>
      </c>
      <c r="J54">
        <v>1</v>
      </c>
    </row>
    <row r="55" spans="1:10" x14ac:dyDescent="0.35">
      <c r="A55" t="s">
        <v>18</v>
      </c>
      <c r="B55" t="s">
        <v>35</v>
      </c>
      <c r="C55" t="s">
        <v>262</v>
      </c>
      <c r="D55">
        <v>5.05</v>
      </c>
      <c r="E55">
        <v>0.64</v>
      </c>
      <c r="F55">
        <v>222</v>
      </c>
      <c r="G55">
        <v>7</v>
      </c>
      <c r="H55">
        <v>31.71</v>
      </c>
      <c r="I55">
        <v>17</v>
      </c>
      <c r="J55">
        <v>4</v>
      </c>
    </row>
    <row r="56" spans="1:10" x14ac:dyDescent="0.35">
      <c r="A56" t="s">
        <v>17</v>
      </c>
      <c r="B56" t="s">
        <v>25</v>
      </c>
      <c r="C56" t="s">
        <v>118</v>
      </c>
      <c r="D56">
        <v>5.03</v>
      </c>
      <c r="E56">
        <v>4.63</v>
      </c>
      <c r="F56">
        <v>154.04</v>
      </c>
      <c r="G56">
        <v>3</v>
      </c>
      <c r="H56">
        <v>51.35</v>
      </c>
      <c r="I56">
        <v>0</v>
      </c>
      <c r="J56">
        <v>0</v>
      </c>
    </row>
    <row r="57" spans="1:10" x14ac:dyDescent="0.35">
      <c r="A57" t="s">
        <v>17</v>
      </c>
      <c r="B57" t="s">
        <v>25</v>
      </c>
      <c r="C57" t="s">
        <v>104</v>
      </c>
      <c r="D57">
        <v>5.01</v>
      </c>
      <c r="E57">
        <v>4.18</v>
      </c>
      <c r="F57">
        <v>105.23</v>
      </c>
      <c r="G57">
        <v>2</v>
      </c>
      <c r="H57">
        <v>52.61</v>
      </c>
      <c r="I57">
        <v>13</v>
      </c>
      <c r="J57">
        <v>3</v>
      </c>
    </row>
    <row r="58" spans="1:10" x14ac:dyDescent="0.35">
      <c r="A58" t="s">
        <v>18</v>
      </c>
      <c r="B58" t="s">
        <v>34</v>
      </c>
      <c r="C58" t="s">
        <v>244</v>
      </c>
      <c r="D58">
        <v>4.97</v>
      </c>
      <c r="E58">
        <v>4.79</v>
      </c>
      <c r="F58">
        <v>445.67</v>
      </c>
      <c r="G58">
        <v>11</v>
      </c>
      <c r="H58">
        <v>40.520000000000003</v>
      </c>
      <c r="I58">
        <v>0</v>
      </c>
      <c r="J58">
        <v>0</v>
      </c>
    </row>
    <row r="59" spans="1:10" x14ac:dyDescent="0.35">
      <c r="A59" t="s">
        <v>17</v>
      </c>
      <c r="B59" t="s">
        <v>26</v>
      </c>
      <c r="C59" t="s">
        <v>104</v>
      </c>
      <c r="D59">
        <v>4.96</v>
      </c>
      <c r="E59">
        <v>4.18</v>
      </c>
      <c r="F59">
        <v>283.25</v>
      </c>
      <c r="G59">
        <v>6</v>
      </c>
      <c r="H59">
        <v>47.21</v>
      </c>
      <c r="I59">
        <v>13</v>
      </c>
      <c r="J59">
        <v>3</v>
      </c>
    </row>
    <row r="60" spans="1:10" x14ac:dyDescent="0.35">
      <c r="A60" t="s">
        <v>17</v>
      </c>
      <c r="B60" t="s">
        <v>24</v>
      </c>
      <c r="C60" t="s">
        <v>98</v>
      </c>
      <c r="D60">
        <v>4.95</v>
      </c>
      <c r="E60">
        <v>4.8899999999999997</v>
      </c>
      <c r="F60">
        <v>119.23</v>
      </c>
      <c r="G60">
        <v>3</v>
      </c>
      <c r="H60">
        <v>39.74</v>
      </c>
      <c r="I60">
        <v>5</v>
      </c>
      <c r="J60">
        <v>2</v>
      </c>
    </row>
    <row r="61" spans="1:10" x14ac:dyDescent="0.35">
      <c r="A61" t="s">
        <v>17</v>
      </c>
      <c r="B61" t="s">
        <v>24</v>
      </c>
      <c r="C61" t="s">
        <v>96</v>
      </c>
      <c r="D61">
        <v>4.93</v>
      </c>
      <c r="E61">
        <v>4.7699999999999996</v>
      </c>
      <c r="F61">
        <v>199.63</v>
      </c>
      <c r="G61">
        <v>5</v>
      </c>
      <c r="H61">
        <v>39.93</v>
      </c>
      <c r="I61">
        <v>0</v>
      </c>
      <c r="J61">
        <v>0</v>
      </c>
    </row>
    <row r="62" spans="1:10" x14ac:dyDescent="0.35">
      <c r="A62" t="s">
        <v>18</v>
      </c>
      <c r="B62" t="s">
        <v>33</v>
      </c>
      <c r="C62" t="s">
        <v>238</v>
      </c>
      <c r="D62">
        <v>4.87</v>
      </c>
      <c r="E62">
        <v>4.47</v>
      </c>
      <c r="F62">
        <v>73</v>
      </c>
      <c r="G62">
        <v>2</v>
      </c>
      <c r="H62">
        <v>36.5</v>
      </c>
      <c r="I62">
        <v>0</v>
      </c>
      <c r="J62">
        <v>0</v>
      </c>
    </row>
    <row r="63" spans="1:10" x14ac:dyDescent="0.35">
      <c r="A63" t="s">
        <v>18</v>
      </c>
      <c r="B63" t="s">
        <v>28</v>
      </c>
      <c r="C63" t="s">
        <v>195</v>
      </c>
      <c r="D63">
        <v>4.8499999999999996</v>
      </c>
      <c r="E63">
        <v>4.34</v>
      </c>
      <c r="F63">
        <v>73.78</v>
      </c>
      <c r="G63">
        <v>2</v>
      </c>
      <c r="H63">
        <v>36.89</v>
      </c>
      <c r="I63">
        <v>1</v>
      </c>
      <c r="J63">
        <v>1</v>
      </c>
    </row>
    <row r="64" spans="1:10" x14ac:dyDescent="0.35">
      <c r="A64" t="s">
        <v>18</v>
      </c>
      <c r="B64" t="s">
        <v>31</v>
      </c>
      <c r="C64" t="s">
        <v>223</v>
      </c>
      <c r="D64">
        <v>4.8499999999999996</v>
      </c>
      <c r="E64">
        <v>4.5599999999999996</v>
      </c>
      <c r="F64">
        <v>386</v>
      </c>
      <c r="G64">
        <v>8</v>
      </c>
      <c r="H64">
        <v>48.25</v>
      </c>
      <c r="I64">
        <v>7</v>
      </c>
      <c r="J64">
        <v>3</v>
      </c>
    </row>
    <row r="65" spans="1:10" x14ac:dyDescent="0.35">
      <c r="A65" t="s">
        <v>18</v>
      </c>
      <c r="B65" t="s">
        <v>30</v>
      </c>
      <c r="C65" t="s">
        <v>218</v>
      </c>
      <c r="D65">
        <v>4.84</v>
      </c>
      <c r="E65">
        <v>4.93</v>
      </c>
      <c r="F65">
        <v>101.69</v>
      </c>
      <c r="G65">
        <v>1</v>
      </c>
      <c r="H65">
        <v>101.69</v>
      </c>
      <c r="I65">
        <v>0</v>
      </c>
      <c r="J65">
        <v>0</v>
      </c>
    </row>
    <row r="66" spans="1:10" x14ac:dyDescent="0.35">
      <c r="A66" t="s">
        <v>17</v>
      </c>
      <c r="B66" t="s">
        <v>22</v>
      </c>
      <c r="C66" t="s">
        <v>59</v>
      </c>
      <c r="D66">
        <v>4.79</v>
      </c>
      <c r="E66">
        <v>5.81</v>
      </c>
      <c r="F66">
        <v>335.45</v>
      </c>
      <c r="G66">
        <v>8</v>
      </c>
      <c r="H66">
        <v>41.93</v>
      </c>
      <c r="I66">
        <v>1</v>
      </c>
      <c r="J66">
        <v>1</v>
      </c>
    </row>
    <row r="67" spans="1:10" x14ac:dyDescent="0.35">
      <c r="A67" t="s">
        <v>18</v>
      </c>
      <c r="B67" t="s">
        <v>28</v>
      </c>
      <c r="C67" t="s">
        <v>164</v>
      </c>
      <c r="D67">
        <v>4.74</v>
      </c>
      <c r="E67">
        <v>4.74</v>
      </c>
      <c r="F67">
        <v>56.86</v>
      </c>
      <c r="G67">
        <v>1</v>
      </c>
      <c r="H67">
        <v>56.86</v>
      </c>
      <c r="I67">
        <v>0</v>
      </c>
      <c r="J67">
        <v>0</v>
      </c>
    </row>
    <row r="68" spans="1:10" x14ac:dyDescent="0.35">
      <c r="A68" t="s">
        <v>18</v>
      </c>
      <c r="B68" t="s">
        <v>30</v>
      </c>
      <c r="C68" t="s">
        <v>212</v>
      </c>
      <c r="D68">
        <v>4.74</v>
      </c>
      <c r="E68">
        <v>4.66</v>
      </c>
      <c r="F68">
        <v>363.68</v>
      </c>
      <c r="G68">
        <v>3</v>
      </c>
      <c r="H68">
        <v>121.23</v>
      </c>
      <c r="I68">
        <v>0</v>
      </c>
      <c r="J68">
        <v>0</v>
      </c>
    </row>
    <row r="69" spans="1:10" x14ac:dyDescent="0.35">
      <c r="A69" t="s">
        <v>18</v>
      </c>
      <c r="B69" t="s">
        <v>32</v>
      </c>
      <c r="C69" t="s">
        <v>227</v>
      </c>
      <c r="D69">
        <v>4.74</v>
      </c>
      <c r="E69">
        <v>4.74</v>
      </c>
      <c r="F69">
        <v>37.93</v>
      </c>
      <c r="G69">
        <v>1</v>
      </c>
      <c r="H69">
        <v>37.93</v>
      </c>
      <c r="I69">
        <v>0</v>
      </c>
      <c r="J69">
        <v>0</v>
      </c>
    </row>
    <row r="70" spans="1:10" x14ac:dyDescent="0.35">
      <c r="A70" t="s">
        <v>17</v>
      </c>
      <c r="B70" t="s">
        <v>26</v>
      </c>
      <c r="C70" t="s">
        <v>114</v>
      </c>
      <c r="D70">
        <v>4.7300000000000004</v>
      </c>
      <c r="E70">
        <v>4.38</v>
      </c>
      <c r="F70">
        <v>245.89</v>
      </c>
      <c r="G70">
        <v>5</v>
      </c>
      <c r="H70">
        <v>49.18</v>
      </c>
      <c r="I70">
        <v>0</v>
      </c>
      <c r="J70">
        <v>0</v>
      </c>
    </row>
    <row r="71" spans="1:10" x14ac:dyDescent="0.35">
      <c r="A71" t="s">
        <v>17</v>
      </c>
      <c r="B71" t="s">
        <v>26</v>
      </c>
      <c r="C71" t="s">
        <v>112</v>
      </c>
      <c r="D71">
        <v>4.6900000000000004</v>
      </c>
      <c r="E71">
        <v>3.71</v>
      </c>
      <c r="F71">
        <v>37.5</v>
      </c>
      <c r="G71">
        <v>1</v>
      </c>
      <c r="H71">
        <v>37.5</v>
      </c>
      <c r="I71">
        <v>0</v>
      </c>
      <c r="J71">
        <v>0</v>
      </c>
    </row>
    <row r="72" spans="1:10" x14ac:dyDescent="0.35">
      <c r="A72" t="s">
        <v>18</v>
      </c>
      <c r="B72" t="s">
        <v>30</v>
      </c>
      <c r="C72" t="s">
        <v>214</v>
      </c>
      <c r="D72">
        <v>4.6900000000000004</v>
      </c>
      <c r="E72">
        <v>4.5599999999999996</v>
      </c>
      <c r="F72">
        <v>518.52</v>
      </c>
      <c r="G72">
        <v>5</v>
      </c>
      <c r="H72">
        <v>103.7</v>
      </c>
      <c r="I72">
        <v>0</v>
      </c>
      <c r="J72">
        <v>0</v>
      </c>
    </row>
    <row r="73" spans="1:10" x14ac:dyDescent="0.35">
      <c r="A73" t="s">
        <v>18</v>
      </c>
      <c r="B73" t="s">
        <v>32</v>
      </c>
      <c r="C73" t="s">
        <v>228</v>
      </c>
      <c r="D73">
        <v>4.67</v>
      </c>
      <c r="E73">
        <v>4.22</v>
      </c>
      <c r="F73">
        <v>249.14</v>
      </c>
      <c r="G73">
        <v>5</v>
      </c>
      <c r="H73">
        <v>49.83</v>
      </c>
      <c r="I73">
        <v>6</v>
      </c>
      <c r="J73">
        <v>2</v>
      </c>
    </row>
    <row r="74" spans="1:10" x14ac:dyDescent="0.35">
      <c r="A74" t="s">
        <v>17</v>
      </c>
      <c r="B74" t="s">
        <v>25</v>
      </c>
      <c r="C74" t="s">
        <v>102</v>
      </c>
      <c r="D74">
        <v>4.54</v>
      </c>
      <c r="E74">
        <v>4.54</v>
      </c>
      <c r="F74">
        <v>45.41</v>
      </c>
      <c r="G74">
        <v>1</v>
      </c>
      <c r="H74">
        <v>45.41</v>
      </c>
      <c r="I74">
        <v>0</v>
      </c>
      <c r="J74">
        <v>0</v>
      </c>
    </row>
    <row r="75" spans="1:10" x14ac:dyDescent="0.35">
      <c r="A75" t="s">
        <v>18</v>
      </c>
      <c r="B75" t="s">
        <v>34</v>
      </c>
      <c r="C75" t="s">
        <v>59</v>
      </c>
      <c r="D75">
        <v>4.5</v>
      </c>
      <c r="E75">
        <v>5.81</v>
      </c>
      <c r="F75">
        <v>97.43</v>
      </c>
      <c r="G75">
        <v>2</v>
      </c>
      <c r="H75">
        <v>48.72</v>
      </c>
      <c r="I75">
        <v>1</v>
      </c>
      <c r="J75">
        <v>1</v>
      </c>
    </row>
    <row r="76" spans="1:10" x14ac:dyDescent="0.35">
      <c r="A76" t="s">
        <v>17</v>
      </c>
      <c r="B76" t="s">
        <v>25</v>
      </c>
      <c r="C76" t="s">
        <v>121</v>
      </c>
      <c r="D76">
        <v>4.46</v>
      </c>
      <c r="E76">
        <v>4.46</v>
      </c>
      <c r="F76">
        <v>84.69</v>
      </c>
      <c r="G76">
        <v>2</v>
      </c>
      <c r="H76">
        <v>42.34</v>
      </c>
      <c r="I76">
        <v>0</v>
      </c>
      <c r="J76">
        <v>0</v>
      </c>
    </row>
    <row r="77" spans="1:10" x14ac:dyDescent="0.35">
      <c r="A77" t="s">
        <v>17</v>
      </c>
      <c r="B77" t="s">
        <v>22</v>
      </c>
      <c r="C77" t="s">
        <v>56</v>
      </c>
      <c r="D77">
        <v>4.4400000000000004</v>
      </c>
      <c r="E77">
        <v>4.4800000000000004</v>
      </c>
      <c r="F77">
        <v>338.46</v>
      </c>
      <c r="G77">
        <v>8</v>
      </c>
      <c r="H77">
        <v>42.31</v>
      </c>
      <c r="I77">
        <v>10</v>
      </c>
      <c r="J77">
        <v>3</v>
      </c>
    </row>
    <row r="78" spans="1:10" x14ac:dyDescent="0.35">
      <c r="A78" t="s">
        <v>17</v>
      </c>
      <c r="B78" t="s">
        <v>22</v>
      </c>
      <c r="C78" t="s">
        <v>63</v>
      </c>
      <c r="D78">
        <v>4.3600000000000003</v>
      </c>
      <c r="E78">
        <v>5.22</v>
      </c>
      <c r="F78">
        <v>113.24</v>
      </c>
      <c r="G78">
        <v>2</v>
      </c>
      <c r="H78">
        <v>56.62</v>
      </c>
      <c r="I78">
        <v>0</v>
      </c>
      <c r="J78">
        <v>0</v>
      </c>
    </row>
    <row r="79" spans="1:10" x14ac:dyDescent="0.35">
      <c r="A79" t="s">
        <v>17</v>
      </c>
      <c r="B79" t="s">
        <v>24</v>
      </c>
      <c r="C79" t="s">
        <v>91</v>
      </c>
      <c r="D79">
        <v>4.3600000000000003</v>
      </c>
      <c r="E79">
        <v>3.28</v>
      </c>
      <c r="F79">
        <v>37.93</v>
      </c>
      <c r="G79">
        <v>1</v>
      </c>
      <c r="H79">
        <v>37.93</v>
      </c>
      <c r="I79">
        <v>0</v>
      </c>
      <c r="J79">
        <v>0</v>
      </c>
    </row>
    <row r="80" spans="1:10" x14ac:dyDescent="0.35">
      <c r="A80" t="s">
        <v>18</v>
      </c>
      <c r="B80" t="s">
        <v>28</v>
      </c>
      <c r="C80" t="s">
        <v>176</v>
      </c>
      <c r="D80">
        <v>4.3499999999999996</v>
      </c>
      <c r="E80">
        <v>4.3499999999999996</v>
      </c>
      <c r="F80">
        <v>139.13999999999999</v>
      </c>
      <c r="G80">
        <v>2</v>
      </c>
      <c r="H80">
        <v>69.569999999999993</v>
      </c>
      <c r="I80">
        <v>0</v>
      </c>
      <c r="J80">
        <v>0</v>
      </c>
    </row>
    <row r="81" spans="1:10" x14ac:dyDescent="0.35">
      <c r="A81" t="s">
        <v>17</v>
      </c>
      <c r="B81" t="s">
        <v>22</v>
      </c>
      <c r="C81" t="s">
        <v>60</v>
      </c>
      <c r="D81">
        <v>4.32</v>
      </c>
      <c r="E81">
        <v>4.3099999999999996</v>
      </c>
      <c r="F81">
        <v>128.97999999999999</v>
      </c>
      <c r="G81">
        <v>3</v>
      </c>
      <c r="H81">
        <v>42.99</v>
      </c>
      <c r="I81">
        <v>0</v>
      </c>
      <c r="J81">
        <v>0</v>
      </c>
    </row>
    <row r="82" spans="1:10" x14ac:dyDescent="0.35">
      <c r="A82" t="s">
        <v>17</v>
      </c>
      <c r="B82" t="s">
        <v>25</v>
      </c>
      <c r="C82" t="s">
        <v>103</v>
      </c>
      <c r="D82">
        <v>4.29</v>
      </c>
      <c r="E82">
        <v>4.53</v>
      </c>
      <c r="F82">
        <v>47.18</v>
      </c>
      <c r="G82">
        <v>1</v>
      </c>
      <c r="H82">
        <v>47.18</v>
      </c>
      <c r="I82">
        <v>13</v>
      </c>
      <c r="J82">
        <v>2</v>
      </c>
    </row>
    <row r="83" spans="1:10" x14ac:dyDescent="0.35">
      <c r="A83" t="s">
        <v>17</v>
      </c>
      <c r="B83" t="s">
        <v>25</v>
      </c>
      <c r="C83" t="s">
        <v>120</v>
      </c>
      <c r="D83">
        <v>4.28</v>
      </c>
      <c r="E83">
        <v>5.74</v>
      </c>
      <c r="F83">
        <v>355.13</v>
      </c>
      <c r="G83">
        <v>8</v>
      </c>
      <c r="H83">
        <v>44.39</v>
      </c>
      <c r="I83">
        <v>1</v>
      </c>
      <c r="J83">
        <v>1</v>
      </c>
    </row>
    <row r="84" spans="1:10" x14ac:dyDescent="0.35">
      <c r="A84" t="s">
        <v>17</v>
      </c>
      <c r="B84" t="s">
        <v>26</v>
      </c>
      <c r="C84" t="s">
        <v>122</v>
      </c>
      <c r="D84">
        <v>4.28</v>
      </c>
      <c r="E84">
        <v>3.61</v>
      </c>
      <c r="F84">
        <v>115.2</v>
      </c>
      <c r="G84">
        <v>3</v>
      </c>
      <c r="H84">
        <v>38.4</v>
      </c>
      <c r="I84">
        <v>7</v>
      </c>
      <c r="J84">
        <v>5</v>
      </c>
    </row>
    <row r="85" spans="1:10" x14ac:dyDescent="0.35">
      <c r="A85" t="s">
        <v>18</v>
      </c>
      <c r="B85" t="s">
        <v>28</v>
      </c>
      <c r="C85" t="s">
        <v>169</v>
      </c>
      <c r="D85">
        <v>4.26</v>
      </c>
      <c r="E85">
        <v>4.26</v>
      </c>
      <c r="F85">
        <v>85.23</v>
      </c>
      <c r="G85">
        <v>1</v>
      </c>
      <c r="H85">
        <v>85.23</v>
      </c>
      <c r="I85">
        <v>0</v>
      </c>
      <c r="J85">
        <v>0</v>
      </c>
    </row>
    <row r="86" spans="1:10" x14ac:dyDescent="0.35">
      <c r="A86" t="s">
        <v>17</v>
      </c>
      <c r="B86" t="s">
        <v>25</v>
      </c>
      <c r="C86" t="s">
        <v>107</v>
      </c>
      <c r="D86">
        <v>4.24</v>
      </c>
      <c r="E86">
        <v>4.24</v>
      </c>
      <c r="F86">
        <v>76.349999999999994</v>
      </c>
      <c r="G86">
        <v>2</v>
      </c>
      <c r="H86">
        <v>38.18</v>
      </c>
      <c r="I86">
        <v>2</v>
      </c>
      <c r="J86">
        <v>2</v>
      </c>
    </row>
    <row r="87" spans="1:10" x14ac:dyDescent="0.35">
      <c r="A87" t="s">
        <v>17</v>
      </c>
      <c r="B87" t="s">
        <v>26</v>
      </c>
      <c r="C87" t="s">
        <v>129</v>
      </c>
      <c r="D87">
        <v>4.17</v>
      </c>
      <c r="E87">
        <v>3.82</v>
      </c>
      <c r="F87">
        <v>37.5</v>
      </c>
      <c r="G87">
        <v>1</v>
      </c>
      <c r="H87">
        <v>37.5</v>
      </c>
      <c r="I87">
        <v>0</v>
      </c>
      <c r="J87">
        <v>0</v>
      </c>
    </row>
    <row r="88" spans="1:10" x14ac:dyDescent="0.35">
      <c r="A88" t="s">
        <v>18</v>
      </c>
      <c r="B88" t="s">
        <v>28</v>
      </c>
      <c r="C88" t="s">
        <v>161</v>
      </c>
      <c r="D88">
        <v>4.1500000000000004</v>
      </c>
      <c r="E88">
        <v>4.1500000000000004</v>
      </c>
      <c r="F88">
        <v>120.23</v>
      </c>
      <c r="G88">
        <v>3</v>
      </c>
      <c r="H88">
        <v>40.08</v>
      </c>
      <c r="I88">
        <v>5</v>
      </c>
      <c r="J88">
        <v>1</v>
      </c>
    </row>
    <row r="89" spans="1:10" x14ac:dyDescent="0.35">
      <c r="A89" t="s">
        <v>17</v>
      </c>
      <c r="B89" t="s">
        <v>25</v>
      </c>
      <c r="C89" t="s">
        <v>110</v>
      </c>
      <c r="D89">
        <v>4.13</v>
      </c>
      <c r="E89">
        <v>7.19</v>
      </c>
      <c r="F89">
        <v>45.41</v>
      </c>
      <c r="G89">
        <v>1</v>
      </c>
      <c r="H89">
        <v>45.41</v>
      </c>
      <c r="I89">
        <v>0</v>
      </c>
      <c r="J89">
        <v>0</v>
      </c>
    </row>
    <row r="90" spans="1:10" x14ac:dyDescent="0.35">
      <c r="A90" t="s">
        <v>18</v>
      </c>
      <c r="B90" t="s">
        <v>34</v>
      </c>
      <c r="C90" t="s">
        <v>246</v>
      </c>
      <c r="D90">
        <v>4.13</v>
      </c>
      <c r="E90">
        <v>4.5</v>
      </c>
      <c r="F90">
        <v>107.11</v>
      </c>
      <c r="G90">
        <v>3</v>
      </c>
      <c r="H90">
        <v>35.700000000000003</v>
      </c>
      <c r="I90">
        <v>0</v>
      </c>
      <c r="J90">
        <v>0</v>
      </c>
    </row>
    <row r="91" spans="1:10" x14ac:dyDescent="0.35">
      <c r="A91" t="s">
        <v>18</v>
      </c>
      <c r="B91" t="s">
        <v>28</v>
      </c>
      <c r="C91" t="s">
        <v>193</v>
      </c>
      <c r="D91">
        <v>4.12</v>
      </c>
      <c r="E91">
        <v>4.12</v>
      </c>
      <c r="F91">
        <v>98.84</v>
      </c>
      <c r="G91">
        <v>1</v>
      </c>
      <c r="H91">
        <v>98.84</v>
      </c>
      <c r="I91">
        <v>0</v>
      </c>
      <c r="J91">
        <v>0</v>
      </c>
    </row>
    <row r="92" spans="1:10" x14ac:dyDescent="0.35">
      <c r="A92" t="s">
        <v>17</v>
      </c>
      <c r="B92" t="s">
        <v>25</v>
      </c>
      <c r="C92" t="s">
        <v>117</v>
      </c>
      <c r="D92">
        <v>4.1100000000000003</v>
      </c>
      <c r="E92">
        <v>4.57</v>
      </c>
      <c r="F92">
        <v>57.6</v>
      </c>
      <c r="G92">
        <v>1</v>
      </c>
      <c r="H92">
        <v>57.6</v>
      </c>
      <c r="I92">
        <v>0</v>
      </c>
      <c r="J92">
        <v>0</v>
      </c>
    </row>
    <row r="93" spans="1:10" x14ac:dyDescent="0.35">
      <c r="A93" t="s">
        <v>18</v>
      </c>
      <c r="B93" t="s">
        <v>28</v>
      </c>
      <c r="C93" t="s">
        <v>183</v>
      </c>
      <c r="D93">
        <v>4.1100000000000003</v>
      </c>
      <c r="E93">
        <v>4.1100000000000003</v>
      </c>
      <c r="F93">
        <v>82.24</v>
      </c>
      <c r="G93">
        <v>1</v>
      </c>
      <c r="H93">
        <v>82.24</v>
      </c>
      <c r="I93">
        <v>0</v>
      </c>
      <c r="J93">
        <v>0</v>
      </c>
    </row>
    <row r="94" spans="1:10" x14ac:dyDescent="0.35">
      <c r="A94" t="s">
        <v>18</v>
      </c>
      <c r="B94" t="s">
        <v>28</v>
      </c>
      <c r="C94" t="s">
        <v>178</v>
      </c>
      <c r="D94">
        <v>4.09</v>
      </c>
      <c r="E94">
        <v>4.09</v>
      </c>
      <c r="F94">
        <v>126.88</v>
      </c>
      <c r="G94">
        <v>2</v>
      </c>
      <c r="H94">
        <v>63.44</v>
      </c>
      <c r="I94">
        <v>0</v>
      </c>
      <c r="J94">
        <v>0</v>
      </c>
    </row>
    <row r="95" spans="1:10" x14ac:dyDescent="0.35">
      <c r="A95" t="s">
        <v>18</v>
      </c>
      <c r="B95" t="s">
        <v>34</v>
      </c>
      <c r="C95" t="s">
        <v>255</v>
      </c>
      <c r="D95">
        <v>4.09</v>
      </c>
      <c r="E95">
        <v>3.77</v>
      </c>
      <c r="F95">
        <v>378.76</v>
      </c>
      <c r="G95">
        <v>5</v>
      </c>
      <c r="H95">
        <v>75.75</v>
      </c>
      <c r="I95">
        <v>0</v>
      </c>
      <c r="J95">
        <v>0</v>
      </c>
    </row>
    <row r="96" spans="1:10" x14ac:dyDescent="0.35">
      <c r="A96" t="s">
        <v>17</v>
      </c>
      <c r="B96" t="s">
        <v>25</v>
      </c>
      <c r="C96" t="s">
        <v>114</v>
      </c>
      <c r="D96">
        <v>4.07</v>
      </c>
      <c r="E96">
        <v>4.38</v>
      </c>
      <c r="F96">
        <v>81.5</v>
      </c>
      <c r="G96">
        <v>1</v>
      </c>
      <c r="H96">
        <v>81.5</v>
      </c>
      <c r="I96">
        <v>0</v>
      </c>
      <c r="J96">
        <v>0</v>
      </c>
    </row>
    <row r="97" spans="1:10" x14ac:dyDescent="0.35">
      <c r="A97" t="s">
        <v>19</v>
      </c>
      <c r="B97" t="s">
        <v>38</v>
      </c>
      <c r="C97" t="s">
        <v>288</v>
      </c>
      <c r="D97">
        <v>4.01</v>
      </c>
      <c r="E97">
        <v>3.84</v>
      </c>
      <c r="F97">
        <v>376.42</v>
      </c>
      <c r="G97">
        <v>16</v>
      </c>
      <c r="H97">
        <v>23.53</v>
      </c>
      <c r="I97">
        <v>1</v>
      </c>
      <c r="J97">
        <v>1</v>
      </c>
    </row>
    <row r="98" spans="1:10" x14ac:dyDescent="0.35">
      <c r="A98" t="s">
        <v>17</v>
      </c>
      <c r="B98" t="s">
        <v>26</v>
      </c>
      <c r="C98" t="s">
        <v>126</v>
      </c>
      <c r="D98">
        <v>4</v>
      </c>
      <c r="E98">
        <v>4</v>
      </c>
      <c r="F98">
        <v>103.89</v>
      </c>
      <c r="G98">
        <v>2</v>
      </c>
      <c r="H98">
        <v>51.94</v>
      </c>
      <c r="I98">
        <v>2</v>
      </c>
      <c r="J98">
        <v>1</v>
      </c>
    </row>
    <row r="99" spans="1:10" x14ac:dyDescent="0.35">
      <c r="A99" t="s">
        <v>18</v>
      </c>
      <c r="B99" t="s">
        <v>28</v>
      </c>
      <c r="C99" t="s">
        <v>177</v>
      </c>
      <c r="D99">
        <v>3.97</v>
      </c>
      <c r="E99">
        <v>3.97</v>
      </c>
      <c r="F99">
        <v>63.51</v>
      </c>
      <c r="G99">
        <v>1</v>
      </c>
      <c r="H99">
        <v>63.51</v>
      </c>
      <c r="I99">
        <v>0</v>
      </c>
      <c r="J99">
        <v>0</v>
      </c>
    </row>
    <row r="100" spans="1:10" x14ac:dyDescent="0.35">
      <c r="A100" t="s">
        <v>18</v>
      </c>
      <c r="B100" t="s">
        <v>28</v>
      </c>
      <c r="C100" t="s">
        <v>196</v>
      </c>
      <c r="D100">
        <v>3.97</v>
      </c>
      <c r="E100">
        <v>3.97</v>
      </c>
      <c r="F100">
        <v>380.67</v>
      </c>
      <c r="G100">
        <v>4</v>
      </c>
      <c r="H100">
        <v>95.17</v>
      </c>
      <c r="I100">
        <v>6</v>
      </c>
      <c r="J100">
        <v>1</v>
      </c>
    </row>
    <row r="101" spans="1:10" x14ac:dyDescent="0.35">
      <c r="A101" t="s">
        <v>17</v>
      </c>
      <c r="B101" t="s">
        <v>24</v>
      </c>
      <c r="C101" t="s">
        <v>97</v>
      </c>
      <c r="D101">
        <v>3.93</v>
      </c>
      <c r="E101">
        <v>3.88</v>
      </c>
      <c r="F101">
        <v>157.6</v>
      </c>
      <c r="G101">
        <v>4</v>
      </c>
      <c r="H101">
        <v>39.4</v>
      </c>
      <c r="I101">
        <v>1</v>
      </c>
      <c r="J101">
        <v>1</v>
      </c>
    </row>
    <row r="102" spans="1:10" x14ac:dyDescent="0.35">
      <c r="A102" t="s">
        <v>18</v>
      </c>
      <c r="B102" t="s">
        <v>28</v>
      </c>
      <c r="C102" t="s">
        <v>149</v>
      </c>
      <c r="D102">
        <v>3.93</v>
      </c>
      <c r="E102">
        <v>3.93</v>
      </c>
      <c r="F102">
        <v>94.41</v>
      </c>
      <c r="G102">
        <v>1</v>
      </c>
      <c r="H102">
        <v>94.41</v>
      </c>
      <c r="I102">
        <v>0</v>
      </c>
      <c r="J102">
        <v>0</v>
      </c>
    </row>
    <row r="103" spans="1:10" x14ac:dyDescent="0.35">
      <c r="A103" t="s">
        <v>18</v>
      </c>
      <c r="B103" t="s">
        <v>28</v>
      </c>
      <c r="C103" t="s">
        <v>179</v>
      </c>
      <c r="D103">
        <v>3.93</v>
      </c>
      <c r="E103">
        <v>2.5099999999999998</v>
      </c>
      <c r="F103">
        <v>170.87</v>
      </c>
      <c r="G103">
        <v>3</v>
      </c>
      <c r="H103">
        <v>56.96</v>
      </c>
      <c r="I103">
        <v>0</v>
      </c>
      <c r="J103">
        <v>0</v>
      </c>
    </row>
    <row r="104" spans="1:10" x14ac:dyDescent="0.35">
      <c r="A104" t="s">
        <v>18</v>
      </c>
      <c r="B104" t="s">
        <v>30</v>
      </c>
      <c r="C104" t="s">
        <v>208</v>
      </c>
      <c r="D104">
        <v>3.93</v>
      </c>
      <c r="E104">
        <v>3.93</v>
      </c>
      <c r="F104">
        <v>263.64</v>
      </c>
      <c r="G104">
        <v>3</v>
      </c>
      <c r="H104">
        <v>87.88</v>
      </c>
      <c r="I104">
        <v>0</v>
      </c>
      <c r="J104">
        <v>0</v>
      </c>
    </row>
    <row r="105" spans="1:10" x14ac:dyDescent="0.35">
      <c r="A105" t="s">
        <v>18</v>
      </c>
      <c r="B105" t="s">
        <v>28</v>
      </c>
      <c r="C105" t="s">
        <v>147</v>
      </c>
      <c r="D105">
        <v>3.86</v>
      </c>
      <c r="E105">
        <v>3.86</v>
      </c>
      <c r="F105">
        <v>77.19</v>
      </c>
      <c r="G105">
        <v>2</v>
      </c>
      <c r="H105">
        <v>38.590000000000003</v>
      </c>
      <c r="I105">
        <v>2</v>
      </c>
      <c r="J105">
        <v>1</v>
      </c>
    </row>
    <row r="106" spans="1:10" x14ac:dyDescent="0.35">
      <c r="A106" t="s">
        <v>18</v>
      </c>
      <c r="B106" t="s">
        <v>30</v>
      </c>
      <c r="C106" t="s">
        <v>219</v>
      </c>
      <c r="D106">
        <v>3.86</v>
      </c>
      <c r="E106">
        <v>3.33</v>
      </c>
      <c r="F106">
        <v>73.430000000000007</v>
      </c>
      <c r="G106">
        <v>1</v>
      </c>
      <c r="H106">
        <v>73.430000000000007</v>
      </c>
      <c r="I106">
        <v>0</v>
      </c>
      <c r="J106">
        <v>0</v>
      </c>
    </row>
    <row r="107" spans="1:10" x14ac:dyDescent="0.35">
      <c r="A107" t="s">
        <v>18</v>
      </c>
      <c r="B107" t="s">
        <v>34</v>
      </c>
      <c r="C107" t="s">
        <v>249</v>
      </c>
      <c r="D107">
        <v>3.86</v>
      </c>
      <c r="E107">
        <v>3.61</v>
      </c>
      <c r="F107">
        <v>370.23</v>
      </c>
      <c r="G107">
        <v>7</v>
      </c>
      <c r="H107">
        <v>52.89</v>
      </c>
      <c r="I107">
        <v>0</v>
      </c>
      <c r="J107">
        <v>0</v>
      </c>
    </row>
    <row r="108" spans="1:10" x14ac:dyDescent="0.35">
      <c r="A108" t="s">
        <v>18</v>
      </c>
      <c r="B108" t="s">
        <v>28</v>
      </c>
      <c r="C108" t="s">
        <v>191</v>
      </c>
      <c r="D108">
        <v>3.8</v>
      </c>
      <c r="E108">
        <v>3.8</v>
      </c>
      <c r="F108">
        <v>129.27000000000001</v>
      </c>
      <c r="G108">
        <v>2</v>
      </c>
      <c r="H108">
        <v>64.63</v>
      </c>
      <c r="I108">
        <v>9</v>
      </c>
      <c r="J108">
        <v>1</v>
      </c>
    </row>
    <row r="109" spans="1:10" x14ac:dyDescent="0.35">
      <c r="A109" t="s">
        <v>17</v>
      </c>
      <c r="B109" t="s">
        <v>22</v>
      </c>
      <c r="C109" t="s">
        <v>53</v>
      </c>
      <c r="D109">
        <v>3.79</v>
      </c>
      <c r="E109">
        <v>3.33</v>
      </c>
      <c r="F109">
        <v>112.48</v>
      </c>
      <c r="G109">
        <v>2</v>
      </c>
      <c r="H109">
        <v>56.24</v>
      </c>
      <c r="I109">
        <v>0</v>
      </c>
      <c r="J109">
        <v>0</v>
      </c>
    </row>
    <row r="110" spans="1:10" x14ac:dyDescent="0.35">
      <c r="A110" t="s">
        <v>17</v>
      </c>
      <c r="B110" t="s">
        <v>23</v>
      </c>
      <c r="C110" t="s">
        <v>67</v>
      </c>
      <c r="D110">
        <v>3.79</v>
      </c>
      <c r="E110">
        <v>4.7</v>
      </c>
      <c r="F110">
        <v>37.93</v>
      </c>
      <c r="G110">
        <v>1</v>
      </c>
      <c r="H110">
        <v>37.93</v>
      </c>
      <c r="I110">
        <v>0</v>
      </c>
      <c r="J110">
        <v>0</v>
      </c>
    </row>
    <row r="111" spans="1:10" x14ac:dyDescent="0.35">
      <c r="A111" t="s">
        <v>18</v>
      </c>
      <c r="B111" t="s">
        <v>30</v>
      </c>
      <c r="C111" t="s">
        <v>215</v>
      </c>
      <c r="D111">
        <v>3.79</v>
      </c>
      <c r="E111">
        <v>6.08</v>
      </c>
      <c r="F111">
        <v>199.83</v>
      </c>
      <c r="G111">
        <v>3</v>
      </c>
      <c r="H111">
        <v>66.61</v>
      </c>
      <c r="I111">
        <v>2</v>
      </c>
      <c r="J111">
        <v>1</v>
      </c>
    </row>
    <row r="112" spans="1:10" x14ac:dyDescent="0.35">
      <c r="A112" t="s">
        <v>17</v>
      </c>
      <c r="B112" t="s">
        <v>26</v>
      </c>
      <c r="C112" t="s">
        <v>128</v>
      </c>
      <c r="D112">
        <v>3.78</v>
      </c>
      <c r="E112">
        <v>3.24</v>
      </c>
      <c r="F112">
        <v>45.41</v>
      </c>
      <c r="G112">
        <v>1</v>
      </c>
      <c r="H112">
        <v>45.41</v>
      </c>
      <c r="I112">
        <v>0</v>
      </c>
      <c r="J112">
        <v>0</v>
      </c>
    </row>
    <row r="113" spans="1:10" x14ac:dyDescent="0.35">
      <c r="A113" t="s">
        <v>18</v>
      </c>
      <c r="B113" t="s">
        <v>29</v>
      </c>
      <c r="C113" t="s">
        <v>188</v>
      </c>
      <c r="D113">
        <v>3.77</v>
      </c>
      <c r="E113">
        <v>3.07</v>
      </c>
      <c r="F113">
        <v>37.729999999999997</v>
      </c>
      <c r="G113">
        <v>1</v>
      </c>
      <c r="H113">
        <v>37.729999999999997</v>
      </c>
      <c r="I113">
        <v>0</v>
      </c>
      <c r="J113">
        <v>0</v>
      </c>
    </row>
    <row r="114" spans="1:10" x14ac:dyDescent="0.35">
      <c r="A114" t="s">
        <v>17</v>
      </c>
      <c r="B114" t="s">
        <v>25</v>
      </c>
      <c r="C114" t="s">
        <v>122</v>
      </c>
      <c r="D114">
        <v>3.76</v>
      </c>
      <c r="E114">
        <v>3.61</v>
      </c>
      <c r="F114">
        <v>236.96</v>
      </c>
      <c r="G114">
        <v>6</v>
      </c>
      <c r="H114">
        <v>39.49</v>
      </c>
      <c r="I114">
        <v>7</v>
      </c>
      <c r="J114">
        <v>5</v>
      </c>
    </row>
    <row r="115" spans="1:10" x14ac:dyDescent="0.35">
      <c r="A115" t="s">
        <v>18</v>
      </c>
      <c r="B115" t="s">
        <v>28</v>
      </c>
      <c r="C115" t="s">
        <v>175</v>
      </c>
      <c r="D115">
        <v>3.76</v>
      </c>
      <c r="E115">
        <v>3.76</v>
      </c>
      <c r="F115">
        <v>157.91999999999999</v>
      </c>
      <c r="G115">
        <v>4</v>
      </c>
      <c r="H115">
        <v>39.479999999999997</v>
      </c>
      <c r="I115">
        <v>14</v>
      </c>
      <c r="J115">
        <v>4</v>
      </c>
    </row>
    <row r="116" spans="1:10" x14ac:dyDescent="0.35">
      <c r="A116" t="s">
        <v>18</v>
      </c>
      <c r="B116" t="s">
        <v>30</v>
      </c>
      <c r="C116" t="s">
        <v>211</v>
      </c>
      <c r="D116">
        <v>3.76</v>
      </c>
      <c r="E116">
        <v>4.01</v>
      </c>
      <c r="F116">
        <v>97.83</v>
      </c>
      <c r="G116">
        <v>1</v>
      </c>
      <c r="H116">
        <v>97.83</v>
      </c>
      <c r="I116">
        <v>0</v>
      </c>
      <c r="J116">
        <v>0</v>
      </c>
    </row>
    <row r="117" spans="1:10" x14ac:dyDescent="0.35">
      <c r="A117" t="s">
        <v>18</v>
      </c>
      <c r="B117" t="s">
        <v>34</v>
      </c>
      <c r="C117" t="s">
        <v>250</v>
      </c>
      <c r="D117">
        <v>3.75</v>
      </c>
      <c r="E117">
        <v>3.91</v>
      </c>
      <c r="F117">
        <v>324.58</v>
      </c>
      <c r="G117">
        <v>6</v>
      </c>
      <c r="H117">
        <v>54.1</v>
      </c>
      <c r="I117">
        <v>0</v>
      </c>
      <c r="J117">
        <v>0</v>
      </c>
    </row>
    <row r="118" spans="1:10" x14ac:dyDescent="0.35">
      <c r="A118" t="s">
        <v>17</v>
      </c>
      <c r="B118" t="s">
        <v>25</v>
      </c>
      <c r="C118" t="s">
        <v>106</v>
      </c>
      <c r="D118">
        <v>3.72</v>
      </c>
      <c r="E118">
        <v>3.72</v>
      </c>
      <c r="F118">
        <v>70.7</v>
      </c>
      <c r="G118">
        <v>1</v>
      </c>
      <c r="H118">
        <v>70.7</v>
      </c>
      <c r="I118">
        <v>0</v>
      </c>
      <c r="J118">
        <v>0</v>
      </c>
    </row>
    <row r="119" spans="1:10" x14ac:dyDescent="0.35">
      <c r="A119" t="s">
        <v>17</v>
      </c>
      <c r="B119" t="s">
        <v>25</v>
      </c>
      <c r="C119" t="s">
        <v>113</v>
      </c>
      <c r="D119">
        <v>3.7</v>
      </c>
      <c r="E119">
        <v>5.48</v>
      </c>
      <c r="F119">
        <v>115.2</v>
      </c>
      <c r="G119">
        <v>3</v>
      </c>
      <c r="H119">
        <v>38.4</v>
      </c>
      <c r="I119">
        <v>14</v>
      </c>
      <c r="J119">
        <v>2</v>
      </c>
    </row>
    <row r="120" spans="1:10" x14ac:dyDescent="0.35">
      <c r="A120" t="s">
        <v>18</v>
      </c>
      <c r="B120" t="s">
        <v>30</v>
      </c>
      <c r="C120" t="s">
        <v>217</v>
      </c>
      <c r="D120">
        <v>3.69</v>
      </c>
      <c r="E120">
        <v>3.88</v>
      </c>
      <c r="F120">
        <v>110.7</v>
      </c>
      <c r="G120">
        <v>1</v>
      </c>
      <c r="H120">
        <v>110.7</v>
      </c>
      <c r="I120">
        <v>0</v>
      </c>
      <c r="J120">
        <v>0</v>
      </c>
    </row>
    <row r="121" spans="1:10" x14ac:dyDescent="0.35">
      <c r="A121" t="s">
        <v>18</v>
      </c>
      <c r="B121" t="s">
        <v>36</v>
      </c>
      <c r="C121" t="s">
        <v>281</v>
      </c>
      <c r="D121">
        <v>3.66</v>
      </c>
      <c r="E121">
        <v>3.66</v>
      </c>
      <c r="F121">
        <v>36.57</v>
      </c>
      <c r="G121">
        <v>1</v>
      </c>
      <c r="H121">
        <v>36.57</v>
      </c>
      <c r="I121">
        <v>0</v>
      </c>
      <c r="J121">
        <v>0</v>
      </c>
    </row>
    <row r="122" spans="1:10" x14ac:dyDescent="0.35">
      <c r="A122" t="s">
        <v>17</v>
      </c>
      <c r="B122" t="s">
        <v>27</v>
      </c>
      <c r="C122" t="s">
        <v>142</v>
      </c>
      <c r="D122">
        <v>3.65</v>
      </c>
      <c r="E122">
        <v>3.56</v>
      </c>
      <c r="F122">
        <v>65.67</v>
      </c>
      <c r="G122">
        <v>4</v>
      </c>
      <c r="H122">
        <v>16.420000000000002</v>
      </c>
      <c r="I122">
        <v>2</v>
      </c>
      <c r="J122">
        <v>1</v>
      </c>
    </row>
    <row r="123" spans="1:10" x14ac:dyDescent="0.35">
      <c r="A123" t="s">
        <v>17</v>
      </c>
      <c r="B123" t="s">
        <v>27</v>
      </c>
      <c r="C123" t="s">
        <v>143</v>
      </c>
      <c r="D123">
        <v>3.63</v>
      </c>
      <c r="E123">
        <v>3.38</v>
      </c>
      <c r="F123">
        <v>156.28</v>
      </c>
      <c r="G123">
        <v>9</v>
      </c>
      <c r="H123">
        <v>17.36</v>
      </c>
      <c r="I123">
        <v>0</v>
      </c>
      <c r="J123">
        <v>0</v>
      </c>
    </row>
    <row r="124" spans="1:10" x14ac:dyDescent="0.35">
      <c r="A124" t="s">
        <v>17</v>
      </c>
      <c r="B124" t="s">
        <v>26</v>
      </c>
      <c r="C124" t="s">
        <v>109</v>
      </c>
      <c r="D124">
        <v>3.61</v>
      </c>
      <c r="E124">
        <v>4.1900000000000004</v>
      </c>
      <c r="F124">
        <v>249.36</v>
      </c>
      <c r="G124">
        <v>4</v>
      </c>
      <c r="H124">
        <v>62.34</v>
      </c>
      <c r="I124">
        <v>2</v>
      </c>
      <c r="J124">
        <v>1</v>
      </c>
    </row>
    <row r="125" spans="1:10" x14ac:dyDescent="0.35">
      <c r="A125" t="s">
        <v>18</v>
      </c>
      <c r="B125" t="s">
        <v>28</v>
      </c>
      <c r="C125" t="s">
        <v>172</v>
      </c>
      <c r="D125">
        <v>3.6</v>
      </c>
      <c r="E125">
        <v>3.6</v>
      </c>
      <c r="F125">
        <v>72.09</v>
      </c>
      <c r="G125">
        <v>2</v>
      </c>
      <c r="H125">
        <v>36.04</v>
      </c>
      <c r="I125">
        <v>2</v>
      </c>
      <c r="J125">
        <v>1</v>
      </c>
    </row>
    <row r="126" spans="1:10" x14ac:dyDescent="0.35">
      <c r="A126" t="s">
        <v>18</v>
      </c>
      <c r="B126" t="s">
        <v>28</v>
      </c>
      <c r="C126" t="s">
        <v>160</v>
      </c>
      <c r="D126">
        <v>3.59</v>
      </c>
      <c r="E126">
        <v>3.59</v>
      </c>
      <c r="F126">
        <v>46.62</v>
      </c>
      <c r="G126">
        <v>1</v>
      </c>
      <c r="H126">
        <v>46.62</v>
      </c>
      <c r="I126">
        <v>0</v>
      </c>
      <c r="J126">
        <v>0</v>
      </c>
    </row>
    <row r="127" spans="1:10" x14ac:dyDescent="0.35">
      <c r="A127" t="s">
        <v>17</v>
      </c>
      <c r="B127" t="s">
        <v>22</v>
      </c>
      <c r="C127" t="s">
        <v>65</v>
      </c>
      <c r="D127">
        <v>3.55</v>
      </c>
      <c r="E127">
        <v>2.0499999999999998</v>
      </c>
      <c r="F127">
        <v>366.03</v>
      </c>
      <c r="G127">
        <v>7</v>
      </c>
      <c r="H127">
        <v>52.29</v>
      </c>
      <c r="I127">
        <v>0</v>
      </c>
      <c r="J127">
        <v>0</v>
      </c>
    </row>
    <row r="128" spans="1:10" x14ac:dyDescent="0.35">
      <c r="A128" t="s">
        <v>18</v>
      </c>
      <c r="B128" t="s">
        <v>28</v>
      </c>
      <c r="C128" t="s">
        <v>182</v>
      </c>
      <c r="D128">
        <v>3.54</v>
      </c>
      <c r="E128">
        <v>3.54</v>
      </c>
      <c r="F128">
        <v>279.55</v>
      </c>
      <c r="G128">
        <v>3</v>
      </c>
      <c r="H128">
        <v>93.18</v>
      </c>
      <c r="I128">
        <v>0</v>
      </c>
      <c r="J128">
        <v>0</v>
      </c>
    </row>
    <row r="129" spans="1:10" x14ac:dyDescent="0.35">
      <c r="A129" t="s">
        <v>17</v>
      </c>
      <c r="B129" t="s">
        <v>25</v>
      </c>
      <c r="C129" t="s">
        <v>112</v>
      </c>
      <c r="D129">
        <v>3.53</v>
      </c>
      <c r="E129">
        <v>3.71</v>
      </c>
      <c r="F129">
        <v>38.85</v>
      </c>
      <c r="G129">
        <v>1</v>
      </c>
      <c r="H129">
        <v>38.85</v>
      </c>
      <c r="I129">
        <v>0</v>
      </c>
      <c r="J129">
        <v>0</v>
      </c>
    </row>
    <row r="130" spans="1:10" x14ac:dyDescent="0.35">
      <c r="A130" t="s">
        <v>17</v>
      </c>
      <c r="B130" t="s">
        <v>22</v>
      </c>
      <c r="C130" t="s">
        <v>68</v>
      </c>
      <c r="D130">
        <v>3.43</v>
      </c>
      <c r="E130">
        <v>3.5</v>
      </c>
      <c r="F130">
        <v>101.15</v>
      </c>
      <c r="G130">
        <v>2</v>
      </c>
      <c r="H130">
        <v>50.57</v>
      </c>
      <c r="I130">
        <v>1</v>
      </c>
      <c r="J130">
        <v>1</v>
      </c>
    </row>
    <row r="131" spans="1:10" x14ac:dyDescent="0.35">
      <c r="A131" t="s">
        <v>18</v>
      </c>
      <c r="B131" t="s">
        <v>34</v>
      </c>
      <c r="C131" t="s">
        <v>253</v>
      </c>
      <c r="D131">
        <v>3.43</v>
      </c>
      <c r="E131">
        <v>3.34</v>
      </c>
      <c r="F131">
        <v>209.14</v>
      </c>
      <c r="G131">
        <v>5</v>
      </c>
      <c r="H131">
        <v>41.83</v>
      </c>
      <c r="I131">
        <v>0</v>
      </c>
      <c r="J131">
        <v>0</v>
      </c>
    </row>
    <row r="132" spans="1:10" x14ac:dyDescent="0.35">
      <c r="A132" t="s">
        <v>18</v>
      </c>
      <c r="B132" t="s">
        <v>28</v>
      </c>
      <c r="C132" t="s">
        <v>186</v>
      </c>
      <c r="D132">
        <v>3.38</v>
      </c>
      <c r="E132">
        <v>3.19</v>
      </c>
      <c r="F132">
        <v>223.2</v>
      </c>
      <c r="G132">
        <v>3</v>
      </c>
      <c r="H132">
        <v>74.400000000000006</v>
      </c>
      <c r="I132">
        <v>16</v>
      </c>
      <c r="J132">
        <v>2</v>
      </c>
    </row>
    <row r="133" spans="1:10" x14ac:dyDescent="0.35">
      <c r="A133" t="s">
        <v>18</v>
      </c>
      <c r="B133" t="s">
        <v>30</v>
      </c>
      <c r="C133" t="s">
        <v>207</v>
      </c>
      <c r="D133">
        <v>3.37</v>
      </c>
      <c r="E133">
        <v>3.37</v>
      </c>
      <c r="F133">
        <v>161.58000000000001</v>
      </c>
      <c r="G133">
        <v>3</v>
      </c>
      <c r="H133">
        <v>53.86</v>
      </c>
      <c r="I133">
        <v>6</v>
      </c>
      <c r="J133">
        <v>2</v>
      </c>
    </row>
    <row r="134" spans="1:10" x14ac:dyDescent="0.35">
      <c r="A134" t="s">
        <v>17</v>
      </c>
      <c r="B134" t="s">
        <v>26</v>
      </c>
      <c r="C134" t="s">
        <v>134</v>
      </c>
      <c r="D134">
        <v>3.36</v>
      </c>
      <c r="E134">
        <v>3.22</v>
      </c>
      <c r="F134">
        <v>204.68</v>
      </c>
      <c r="G134">
        <v>5</v>
      </c>
      <c r="H134">
        <v>40.94</v>
      </c>
      <c r="I134">
        <v>2</v>
      </c>
      <c r="J134">
        <v>1</v>
      </c>
    </row>
    <row r="135" spans="1:10" x14ac:dyDescent="0.35">
      <c r="A135" t="s">
        <v>18</v>
      </c>
      <c r="B135" t="s">
        <v>29</v>
      </c>
      <c r="C135" t="s">
        <v>203</v>
      </c>
      <c r="D135">
        <v>3.33</v>
      </c>
      <c r="E135">
        <v>3.25</v>
      </c>
      <c r="F135">
        <v>37.729999999999997</v>
      </c>
      <c r="G135">
        <v>1</v>
      </c>
      <c r="H135">
        <v>37.729999999999997</v>
      </c>
      <c r="I135">
        <v>0</v>
      </c>
      <c r="J135">
        <v>0</v>
      </c>
    </row>
    <row r="136" spans="1:10" x14ac:dyDescent="0.35">
      <c r="A136" t="s">
        <v>18</v>
      </c>
      <c r="B136" t="s">
        <v>30</v>
      </c>
      <c r="C136" t="s">
        <v>65</v>
      </c>
      <c r="D136">
        <v>3.31</v>
      </c>
      <c r="E136">
        <v>2.0499999999999998</v>
      </c>
      <c r="F136">
        <v>244.6</v>
      </c>
      <c r="G136">
        <v>3</v>
      </c>
      <c r="H136">
        <v>81.53</v>
      </c>
      <c r="I136">
        <v>0</v>
      </c>
      <c r="J136">
        <v>0</v>
      </c>
    </row>
    <row r="137" spans="1:10" x14ac:dyDescent="0.35">
      <c r="A137" t="s">
        <v>18</v>
      </c>
      <c r="B137" t="s">
        <v>30</v>
      </c>
      <c r="C137" t="s">
        <v>66</v>
      </c>
      <c r="D137">
        <v>3.3</v>
      </c>
      <c r="E137">
        <v>2.69</v>
      </c>
      <c r="F137">
        <v>158.16999999999999</v>
      </c>
      <c r="G137">
        <v>3</v>
      </c>
      <c r="H137">
        <v>52.72</v>
      </c>
      <c r="I137">
        <v>0</v>
      </c>
      <c r="J137">
        <v>0</v>
      </c>
    </row>
    <row r="138" spans="1:10" x14ac:dyDescent="0.35">
      <c r="A138" t="s">
        <v>17</v>
      </c>
      <c r="B138" t="s">
        <v>26</v>
      </c>
      <c r="C138" t="s">
        <v>125</v>
      </c>
      <c r="D138">
        <v>3.29</v>
      </c>
      <c r="E138">
        <v>4.01</v>
      </c>
      <c r="F138">
        <v>115.2</v>
      </c>
      <c r="G138">
        <v>3</v>
      </c>
      <c r="H138">
        <v>38.4</v>
      </c>
      <c r="I138">
        <v>0</v>
      </c>
      <c r="J138">
        <v>0</v>
      </c>
    </row>
    <row r="139" spans="1:10" x14ac:dyDescent="0.35">
      <c r="A139" t="s">
        <v>17</v>
      </c>
      <c r="B139" t="s">
        <v>27</v>
      </c>
      <c r="C139" t="s">
        <v>144</v>
      </c>
      <c r="D139">
        <v>3.25</v>
      </c>
      <c r="E139">
        <v>3.21</v>
      </c>
      <c r="F139">
        <v>269.83</v>
      </c>
      <c r="G139">
        <v>17</v>
      </c>
      <c r="H139">
        <v>15.87</v>
      </c>
      <c r="I139">
        <v>4</v>
      </c>
      <c r="J139">
        <v>2</v>
      </c>
    </row>
    <row r="140" spans="1:10" x14ac:dyDescent="0.35">
      <c r="A140" t="s">
        <v>17</v>
      </c>
      <c r="B140" t="s">
        <v>25</v>
      </c>
      <c r="C140" t="s">
        <v>115</v>
      </c>
      <c r="D140">
        <v>3.24</v>
      </c>
      <c r="E140">
        <v>3.24</v>
      </c>
      <c r="F140">
        <v>45.41</v>
      </c>
      <c r="G140">
        <v>1</v>
      </c>
      <c r="H140">
        <v>45.41</v>
      </c>
      <c r="I140">
        <v>0</v>
      </c>
      <c r="J140">
        <v>0</v>
      </c>
    </row>
    <row r="141" spans="1:10" x14ac:dyDescent="0.35">
      <c r="A141" t="s">
        <v>18</v>
      </c>
      <c r="B141" t="s">
        <v>29</v>
      </c>
      <c r="C141" t="s">
        <v>198</v>
      </c>
      <c r="D141">
        <v>3.24</v>
      </c>
      <c r="E141">
        <v>3.24</v>
      </c>
      <c r="F141">
        <v>84.3</v>
      </c>
      <c r="G141">
        <v>1</v>
      </c>
      <c r="H141">
        <v>84.3</v>
      </c>
      <c r="I141">
        <v>0</v>
      </c>
      <c r="J141">
        <v>0</v>
      </c>
    </row>
    <row r="142" spans="1:10" x14ac:dyDescent="0.35">
      <c r="A142" t="s">
        <v>17</v>
      </c>
      <c r="B142" t="s">
        <v>22</v>
      </c>
      <c r="C142" t="s">
        <v>55</v>
      </c>
      <c r="D142">
        <v>3.23</v>
      </c>
      <c r="E142">
        <v>5.04</v>
      </c>
      <c r="F142">
        <v>195.74</v>
      </c>
      <c r="G142">
        <v>2</v>
      </c>
      <c r="H142">
        <v>97.87</v>
      </c>
      <c r="I142">
        <v>0</v>
      </c>
      <c r="J142">
        <v>0</v>
      </c>
    </row>
    <row r="143" spans="1:10" x14ac:dyDescent="0.35">
      <c r="A143" t="s">
        <v>17</v>
      </c>
      <c r="B143" t="s">
        <v>26</v>
      </c>
      <c r="C143" t="s">
        <v>124</v>
      </c>
      <c r="D143">
        <v>3.23</v>
      </c>
      <c r="E143">
        <v>3.23</v>
      </c>
      <c r="F143">
        <v>187.24</v>
      </c>
      <c r="G143">
        <v>4</v>
      </c>
      <c r="H143">
        <v>46.81</v>
      </c>
      <c r="I143">
        <v>2</v>
      </c>
      <c r="J143">
        <v>1</v>
      </c>
    </row>
    <row r="144" spans="1:10" x14ac:dyDescent="0.35">
      <c r="A144" t="s">
        <v>18</v>
      </c>
      <c r="B144" t="s">
        <v>28</v>
      </c>
      <c r="C144" t="s">
        <v>153</v>
      </c>
      <c r="D144">
        <v>3.23</v>
      </c>
      <c r="E144">
        <v>3.23</v>
      </c>
      <c r="F144">
        <v>129.34</v>
      </c>
      <c r="G144">
        <v>1</v>
      </c>
      <c r="H144">
        <v>129.34</v>
      </c>
      <c r="I144">
        <v>0</v>
      </c>
      <c r="J144">
        <v>0</v>
      </c>
    </row>
    <row r="145" spans="1:10" x14ac:dyDescent="0.35">
      <c r="A145" t="s">
        <v>18</v>
      </c>
      <c r="B145" t="s">
        <v>28</v>
      </c>
      <c r="C145" t="s">
        <v>157</v>
      </c>
      <c r="D145">
        <v>3.22</v>
      </c>
      <c r="E145">
        <v>3.22</v>
      </c>
      <c r="F145">
        <v>77.19</v>
      </c>
      <c r="G145">
        <v>2</v>
      </c>
      <c r="H145">
        <v>38.590000000000003</v>
      </c>
      <c r="I145">
        <v>12</v>
      </c>
      <c r="J145">
        <v>2</v>
      </c>
    </row>
    <row r="146" spans="1:10" x14ac:dyDescent="0.35">
      <c r="A146" t="s">
        <v>18</v>
      </c>
      <c r="B146" t="s">
        <v>28</v>
      </c>
      <c r="C146" t="s">
        <v>163</v>
      </c>
      <c r="D146">
        <v>3.22</v>
      </c>
      <c r="E146">
        <v>3.22</v>
      </c>
      <c r="F146">
        <v>80.41</v>
      </c>
      <c r="G146">
        <v>1</v>
      </c>
      <c r="H146">
        <v>80.41</v>
      </c>
      <c r="I146">
        <v>0</v>
      </c>
      <c r="J146">
        <v>0</v>
      </c>
    </row>
    <row r="147" spans="1:10" x14ac:dyDescent="0.35">
      <c r="A147" t="s">
        <v>17</v>
      </c>
      <c r="B147" t="s">
        <v>22</v>
      </c>
      <c r="C147" t="s">
        <v>58</v>
      </c>
      <c r="D147">
        <v>3.2</v>
      </c>
      <c r="E147">
        <v>4.1100000000000003</v>
      </c>
      <c r="F147">
        <v>373.84</v>
      </c>
      <c r="G147">
        <v>9</v>
      </c>
      <c r="H147">
        <v>41.54</v>
      </c>
      <c r="I147">
        <v>7</v>
      </c>
      <c r="J147">
        <v>2</v>
      </c>
    </row>
    <row r="148" spans="1:10" x14ac:dyDescent="0.35">
      <c r="A148" t="s">
        <v>17</v>
      </c>
      <c r="B148" t="s">
        <v>24</v>
      </c>
      <c r="C148" t="s">
        <v>89</v>
      </c>
      <c r="D148">
        <v>3.18</v>
      </c>
      <c r="E148">
        <v>2.81</v>
      </c>
      <c r="F148">
        <v>86.42</v>
      </c>
      <c r="G148">
        <v>3</v>
      </c>
      <c r="H148">
        <v>28.81</v>
      </c>
      <c r="I148">
        <v>11</v>
      </c>
      <c r="J148">
        <v>3</v>
      </c>
    </row>
    <row r="149" spans="1:10" x14ac:dyDescent="0.35">
      <c r="A149" t="s">
        <v>17</v>
      </c>
      <c r="B149" t="s">
        <v>27</v>
      </c>
      <c r="C149" t="s">
        <v>145</v>
      </c>
      <c r="D149">
        <v>3.15</v>
      </c>
      <c r="E149">
        <v>3.27</v>
      </c>
      <c r="F149">
        <v>170.19</v>
      </c>
      <c r="G149">
        <v>13</v>
      </c>
      <c r="H149">
        <v>13.09</v>
      </c>
      <c r="I149">
        <v>0</v>
      </c>
      <c r="J149">
        <v>0</v>
      </c>
    </row>
    <row r="150" spans="1:10" x14ac:dyDescent="0.35">
      <c r="A150" t="s">
        <v>17</v>
      </c>
      <c r="B150" t="s">
        <v>23</v>
      </c>
      <c r="C150" t="s">
        <v>82</v>
      </c>
      <c r="D150">
        <v>3.13</v>
      </c>
      <c r="E150">
        <v>3.13</v>
      </c>
      <c r="F150">
        <v>43.8</v>
      </c>
      <c r="G150">
        <v>1</v>
      </c>
      <c r="H150">
        <v>43.8</v>
      </c>
      <c r="I150">
        <v>0</v>
      </c>
      <c r="J150">
        <v>0</v>
      </c>
    </row>
    <row r="151" spans="1:10" x14ac:dyDescent="0.35">
      <c r="A151" t="s">
        <v>17</v>
      </c>
      <c r="B151" t="s">
        <v>26</v>
      </c>
      <c r="C151" t="s">
        <v>131</v>
      </c>
      <c r="D151">
        <v>3.13</v>
      </c>
      <c r="E151">
        <v>2.5099999999999998</v>
      </c>
      <c r="F151">
        <v>37.5</v>
      </c>
      <c r="G151">
        <v>1</v>
      </c>
      <c r="H151">
        <v>37.5</v>
      </c>
      <c r="I151">
        <v>0</v>
      </c>
      <c r="J151">
        <v>0</v>
      </c>
    </row>
    <row r="152" spans="1:10" x14ac:dyDescent="0.35">
      <c r="A152" t="s">
        <v>18</v>
      </c>
      <c r="B152" t="s">
        <v>31</v>
      </c>
      <c r="C152" t="s">
        <v>222</v>
      </c>
      <c r="D152">
        <v>3.12</v>
      </c>
      <c r="E152">
        <v>2.89</v>
      </c>
      <c r="F152">
        <v>318</v>
      </c>
      <c r="G152">
        <v>7</v>
      </c>
      <c r="H152">
        <v>45.43</v>
      </c>
      <c r="I152">
        <v>2</v>
      </c>
      <c r="J152">
        <v>2</v>
      </c>
    </row>
    <row r="153" spans="1:10" x14ac:dyDescent="0.35">
      <c r="A153" t="s">
        <v>18</v>
      </c>
      <c r="B153" t="s">
        <v>28</v>
      </c>
      <c r="C153" t="s">
        <v>189</v>
      </c>
      <c r="D153">
        <v>3.07</v>
      </c>
      <c r="E153">
        <v>2.1</v>
      </c>
      <c r="F153">
        <v>89.15</v>
      </c>
      <c r="G153">
        <v>1</v>
      </c>
      <c r="H153">
        <v>89.15</v>
      </c>
      <c r="I153">
        <v>0</v>
      </c>
      <c r="J153">
        <v>0</v>
      </c>
    </row>
    <row r="154" spans="1:10" x14ac:dyDescent="0.35">
      <c r="A154" t="s">
        <v>18</v>
      </c>
      <c r="B154" t="s">
        <v>30</v>
      </c>
      <c r="C154" t="s">
        <v>210</v>
      </c>
      <c r="D154">
        <v>3.03</v>
      </c>
      <c r="E154">
        <v>4.5599999999999996</v>
      </c>
      <c r="F154">
        <v>42.37</v>
      </c>
      <c r="G154">
        <v>1</v>
      </c>
      <c r="H154">
        <v>42.37</v>
      </c>
      <c r="I154">
        <v>0</v>
      </c>
      <c r="J154">
        <v>0</v>
      </c>
    </row>
    <row r="155" spans="1:10" x14ac:dyDescent="0.35">
      <c r="A155" t="s">
        <v>18</v>
      </c>
      <c r="B155" t="s">
        <v>28</v>
      </c>
      <c r="C155" t="s">
        <v>197</v>
      </c>
      <c r="D155">
        <v>3</v>
      </c>
      <c r="E155">
        <v>3</v>
      </c>
      <c r="F155">
        <v>101.98</v>
      </c>
      <c r="G155">
        <v>2</v>
      </c>
      <c r="H155">
        <v>50.99</v>
      </c>
      <c r="I155">
        <v>5</v>
      </c>
      <c r="J155">
        <v>1</v>
      </c>
    </row>
    <row r="156" spans="1:10" x14ac:dyDescent="0.35">
      <c r="A156" t="s">
        <v>17</v>
      </c>
      <c r="B156" t="s">
        <v>25</v>
      </c>
      <c r="C156" t="s">
        <v>116</v>
      </c>
      <c r="D156">
        <v>2.99</v>
      </c>
      <c r="E156">
        <v>2.99</v>
      </c>
      <c r="F156">
        <v>38.85</v>
      </c>
      <c r="G156">
        <v>1</v>
      </c>
      <c r="H156">
        <v>38.85</v>
      </c>
      <c r="I156">
        <v>0</v>
      </c>
      <c r="J156">
        <v>0</v>
      </c>
    </row>
    <row r="157" spans="1:10" x14ac:dyDescent="0.35">
      <c r="A157" t="s">
        <v>17</v>
      </c>
      <c r="B157" t="s">
        <v>24</v>
      </c>
      <c r="C157" t="s">
        <v>95</v>
      </c>
      <c r="D157">
        <v>2.96</v>
      </c>
      <c r="E157">
        <v>3.59</v>
      </c>
      <c r="F157">
        <v>216.73</v>
      </c>
      <c r="G157">
        <v>5</v>
      </c>
      <c r="H157">
        <v>43.35</v>
      </c>
      <c r="I157">
        <v>15</v>
      </c>
      <c r="J157">
        <v>4</v>
      </c>
    </row>
    <row r="158" spans="1:10" x14ac:dyDescent="0.35">
      <c r="A158" t="s">
        <v>18</v>
      </c>
      <c r="B158" t="s">
        <v>34</v>
      </c>
      <c r="C158" t="s">
        <v>242</v>
      </c>
      <c r="D158">
        <v>2.94</v>
      </c>
      <c r="E158">
        <v>3.04</v>
      </c>
      <c r="F158">
        <v>275.49</v>
      </c>
      <c r="G158">
        <v>7</v>
      </c>
      <c r="H158">
        <v>39.36</v>
      </c>
      <c r="I158">
        <v>0</v>
      </c>
      <c r="J158">
        <v>0</v>
      </c>
    </row>
    <row r="159" spans="1:10" x14ac:dyDescent="0.35">
      <c r="A159" t="s">
        <v>18</v>
      </c>
      <c r="B159" t="s">
        <v>29</v>
      </c>
      <c r="C159" t="s">
        <v>199</v>
      </c>
      <c r="D159">
        <v>2.93</v>
      </c>
      <c r="E159">
        <v>2.93</v>
      </c>
      <c r="F159">
        <v>38.04</v>
      </c>
      <c r="G159">
        <v>1</v>
      </c>
      <c r="H159">
        <v>38.04</v>
      </c>
      <c r="I159">
        <v>0</v>
      </c>
      <c r="J159">
        <v>0</v>
      </c>
    </row>
    <row r="160" spans="1:10" x14ac:dyDescent="0.35">
      <c r="A160" t="s">
        <v>18</v>
      </c>
      <c r="B160" t="s">
        <v>35</v>
      </c>
      <c r="C160" t="s">
        <v>268</v>
      </c>
      <c r="D160">
        <v>2.84</v>
      </c>
      <c r="E160">
        <v>0.34</v>
      </c>
      <c r="F160">
        <v>71</v>
      </c>
      <c r="G160">
        <v>3</v>
      </c>
      <c r="H160">
        <v>23.67</v>
      </c>
      <c r="I160">
        <v>2</v>
      </c>
      <c r="J160">
        <v>1</v>
      </c>
    </row>
    <row r="161" spans="1:10" x14ac:dyDescent="0.35">
      <c r="A161" t="s">
        <v>17</v>
      </c>
      <c r="B161" t="s">
        <v>27</v>
      </c>
      <c r="C161" t="s">
        <v>140</v>
      </c>
      <c r="D161">
        <v>2.83</v>
      </c>
      <c r="E161">
        <v>2.62</v>
      </c>
      <c r="F161">
        <v>260.24</v>
      </c>
      <c r="G161">
        <v>13</v>
      </c>
      <c r="H161">
        <v>20.02</v>
      </c>
      <c r="I161">
        <v>0</v>
      </c>
      <c r="J161">
        <v>0</v>
      </c>
    </row>
    <row r="162" spans="1:10" x14ac:dyDescent="0.35">
      <c r="A162" t="s">
        <v>17</v>
      </c>
      <c r="B162" t="s">
        <v>22</v>
      </c>
      <c r="C162" t="s">
        <v>62</v>
      </c>
      <c r="D162">
        <v>2.82</v>
      </c>
      <c r="E162">
        <v>3.42</v>
      </c>
      <c r="F162">
        <v>272.99</v>
      </c>
      <c r="G162">
        <v>5</v>
      </c>
      <c r="H162">
        <v>54.6</v>
      </c>
      <c r="I162">
        <v>4</v>
      </c>
      <c r="J162">
        <v>1</v>
      </c>
    </row>
    <row r="163" spans="1:10" x14ac:dyDescent="0.35">
      <c r="A163" t="s">
        <v>17</v>
      </c>
      <c r="B163" t="s">
        <v>27</v>
      </c>
      <c r="C163" t="s">
        <v>139</v>
      </c>
      <c r="D163">
        <v>2.76</v>
      </c>
      <c r="E163">
        <v>2.8</v>
      </c>
      <c r="F163">
        <v>190.09</v>
      </c>
      <c r="G163">
        <v>9</v>
      </c>
      <c r="H163">
        <v>21.12</v>
      </c>
      <c r="I163">
        <v>3</v>
      </c>
      <c r="J163">
        <v>2</v>
      </c>
    </row>
    <row r="164" spans="1:10" x14ac:dyDescent="0.35">
      <c r="A164" t="s">
        <v>18</v>
      </c>
      <c r="B164" t="s">
        <v>34</v>
      </c>
      <c r="C164" t="s">
        <v>241</v>
      </c>
      <c r="D164">
        <v>2.71</v>
      </c>
      <c r="E164">
        <v>2.71</v>
      </c>
      <c r="F164">
        <v>100.38</v>
      </c>
      <c r="G164">
        <v>2</v>
      </c>
      <c r="H164">
        <v>50.19</v>
      </c>
      <c r="I164">
        <v>0</v>
      </c>
      <c r="J164">
        <v>0</v>
      </c>
    </row>
    <row r="165" spans="1:10" x14ac:dyDescent="0.35">
      <c r="A165" t="s">
        <v>18</v>
      </c>
      <c r="B165" t="s">
        <v>28</v>
      </c>
      <c r="C165" t="s">
        <v>154</v>
      </c>
      <c r="D165">
        <v>2.63</v>
      </c>
      <c r="E165">
        <v>2.63</v>
      </c>
      <c r="F165">
        <v>39.46</v>
      </c>
      <c r="G165">
        <v>1</v>
      </c>
      <c r="H165">
        <v>39.46</v>
      </c>
      <c r="I165">
        <v>0</v>
      </c>
      <c r="J165">
        <v>0</v>
      </c>
    </row>
    <row r="166" spans="1:10" x14ac:dyDescent="0.35">
      <c r="A166" t="s">
        <v>17</v>
      </c>
      <c r="B166" t="s">
        <v>22</v>
      </c>
      <c r="C166" t="s">
        <v>64</v>
      </c>
      <c r="D166">
        <v>2.62</v>
      </c>
      <c r="E166">
        <v>2.82</v>
      </c>
      <c r="F166">
        <v>99.58</v>
      </c>
      <c r="G166">
        <v>2</v>
      </c>
      <c r="H166">
        <v>49.79</v>
      </c>
      <c r="I166">
        <v>1</v>
      </c>
      <c r="J166">
        <v>1</v>
      </c>
    </row>
    <row r="167" spans="1:10" x14ac:dyDescent="0.35">
      <c r="A167" t="s">
        <v>17</v>
      </c>
      <c r="B167" t="s">
        <v>22</v>
      </c>
      <c r="C167" t="s">
        <v>61</v>
      </c>
      <c r="D167">
        <v>2.6</v>
      </c>
      <c r="E167">
        <v>3.37</v>
      </c>
      <c r="F167">
        <v>168.83</v>
      </c>
      <c r="G167">
        <v>3</v>
      </c>
      <c r="H167">
        <v>56.28</v>
      </c>
      <c r="I167">
        <v>0</v>
      </c>
      <c r="J167">
        <v>0</v>
      </c>
    </row>
    <row r="168" spans="1:10" x14ac:dyDescent="0.35">
      <c r="A168" t="s">
        <v>19</v>
      </c>
      <c r="B168" t="s">
        <v>39</v>
      </c>
      <c r="C168" t="s">
        <v>289</v>
      </c>
      <c r="D168">
        <v>2.59</v>
      </c>
      <c r="E168">
        <v>2.46</v>
      </c>
      <c r="F168">
        <v>56.08</v>
      </c>
      <c r="G168">
        <v>3</v>
      </c>
      <c r="H168">
        <v>18.690000000000001</v>
      </c>
      <c r="I168">
        <v>12</v>
      </c>
      <c r="J168">
        <v>2</v>
      </c>
    </row>
    <row r="169" spans="1:10" x14ac:dyDescent="0.35">
      <c r="A169" t="s">
        <v>18</v>
      </c>
      <c r="B169" t="s">
        <v>28</v>
      </c>
      <c r="C169" t="s">
        <v>188</v>
      </c>
      <c r="D169">
        <v>2.57</v>
      </c>
      <c r="E169">
        <v>3.07</v>
      </c>
      <c r="F169">
        <v>36.04</v>
      </c>
      <c r="G169">
        <v>1</v>
      </c>
      <c r="H169">
        <v>36.04</v>
      </c>
      <c r="I169">
        <v>0</v>
      </c>
      <c r="J169">
        <v>0</v>
      </c>
    </row>
    <row r="170" spans="1:10" x14ac:dyDescent="0.35">
      <c r="A170" t="s">
        <v>18</v>
      </c>
      <c r="B170" t="s">
        <v>28</v>
      </c>
      <c r="C170" t="s">
        <v>166</v>
      </c>
      <c r="D170">
        <v>2.5099999999999998</v>
      </c>
      <c r="E170">
        <v>2.5099999999999998</v>
      </c>
      <c r="F170">
        <v>80.41</v>
      </c>
      <c r="G170">
        <v>1</v>
      </c>
      <c r="H170">
        <v>80.41</v>
      </c>
      <c r="I170">
        <v>0</v>
      </c>
      <c r="J170">
        <v>0</v>
      </c>
    </row>
    <row r="171" spans="1:10" x14ac:dyDescent="0.35">
      <c r="A171" t="s">
        <v>18</v>
      </c>
      <c r="B171" t="s">
        <v>28</v>
      </c>
      <c r="C171" t="s">
        <v>174</v>
      </c>
      <c r="D171">
        <v>2.48</v>
      </c>
      <c r="E171">
        <v>2.31</v>
      </c>
      <c r="F171">
        <v>131.61000000000001</v>
      </c>
      <c r="G171">
        <v>3</v>
      </c>
      <c r="H171">
        <v>43.87</v>
      </c>
      <c r="I171">
        <v>18</v>
      </c>
      <c r="J171">
        <v>3</v>
      </c>
    </row>
    <row r="172" spans="1:10" x14ac:dyDescent="0.35">
      <c r="A172" t="s">
        <v>18</v>
      </c>
      <c r="B172" t="s">
        <v>31</v>
      </c>
      <c r="C172" t="s">
        <v>221</v>
      </c>
      <c r="D172">
        <v>2.4700000000000002</v>
      </c>
      <c r="E172">
        <v>2.73</v>
      </c>
      <c r="F172">
        <v>256</v>
      </c>
      <c r="G172">
        <v>9</v>
      </c>
      <c r="H172">
        <v>28.44</v>
      </c>
      <c r="I172">
        <v>4</v>
      </c>
      <c r="J172">
        <v>4</v>
      </c>
    </row>
    <row r="173" spans="1:10" x14ac:dyDescent="0.35">
      <c r="A173" t="s">
        <v>17</v>
      </c>
      <c r="B173" t="s">
        <v>23</v>
      </c>
      <c r="C173" t="s">
        <v>66</v>
      </c>
      <c r="D173">
        <v>2.46</v>
      </c>
      <c r="E173">
        <v>2.69</v>
      </c>
      <c r="F173">
        <v>292.02999999999997</v>
      </c>
      <c r="G173">
        <v>4</v>
      </c>
      <c r="H173">
        <v>73.010000000000005</v>
      </c>
      <c r="I173">
        <v>0</v>
      </c>
      <c r="J173">
        <v>0</v>
      </c>
    </row>
    <row r="174" spans="1:10" x14ac:dyDescent="0.35">
      <c r="A174" t="s">
        <v>18</v>
      </c>
      <c r="B174" t="s">
        <v>37</v>
      </c>
      <c r="C174" t="s">
        <v>286</v>
      </c>
      <c r="D174">
        <v>2.4500000000000002</v>
      </c>
      <c r="E174">
        <v>2.54</v>
      </c>
      <c r="F174">
        <v>105.55</v>
      </c>
      <c r="G174">
        <v>15</v>
      </c>
      <c r="H174">
        <v>7.04</v>
      </c>
      <c r="I174">
        <v>33</v>
      </c>
      <c r="J174">
        <v>8</v>
      </c>
    </row>
    <row r="175" spans="1:10" x14ac:dyDescent="0.35">
      <c r="A175" t="s">
        <v>18</v>
      </c>
      <c r="B175" t="s">
        <v>32</v>
      </c>
      <c r="C175" t="s">
        <v>232</v>
      </c>
      <c r="D175">
        <v>2.37</v>
      </c>
      <c r="E175">
        <v>2.37</v>
      </c>
      <c r="F175">
        <v>37.93</v>
      </c>
      <c r="G175">
        <v>1</v>
      </c>
      <c r="H175">
        <v>37.93</v>
      </c>
      <c r="I175">
        <v>0</v>
      </c>
      <c r="J175">
        <v>0</v>
      </c>
    </row>
    <row r="176" spans="1:10" x14ac:dyDescent="0.35">
      <c r="A176" t="s">
        <v>18</v>
      </c>
      <c r="B176" t="s">
        <v>28</v>
      </c>
      <c r="C176" t="s">
        <v>155</v>
      </c>
      <c r="D176">
        <v>2.36</v>
      </c>
      <c r="E176">
        <v>2.36</v>
      </c>
      <c r="F176">
        <v>37.729999999999997</v>
      </c>
      <c r="G176">
        <v>1</v>
      </c>
      <c r="H176">
        <v>37.729999999999997</v>
      </c>
      <c r="I176">
        <v>0</v>
      </c>
      <c r="J176">
        <v>0</v>
      </c>
    </row>
    <row r="177" spans="1:10" x14ac:dyDescent="0.35">
      <c r="A177" t="s">
        <v>17</v>
      </c>
      <c r="B177" t="s">
        <v>27</v>
      </c>
      <c r="C177" t="s">
        <v>138</v>
      </c>
      <c r="D177">
        <v>2.35</v>
      </c>
      <c r="E177">
        <v>1.99</v>
      </c>
      <c r="F177">
        <v>219.02</v>
      </c>
      <c r="G177">
        <v>16</v>
      </c>
      <c r="H177">
        <v>13.69</v>
      </c>
      <c r="I177">
        <v>2</v>
      </c>
      <c r="J177">
        <v>1</v>
      </c>
    </row>
    <row r="178" spans="1:10" x14ac:dyDescent="0.35">
      <c r="A178" t="s">
        <v>18</v>
      </c>
      <c r="B178" t="s">
        <v>28</v>
      </c>
      <c r="C178" t="s">
        <v>159</v>
      </c>
      <c r="D178">
        <v>2.33</v>
      </c>
      <c r="E178">
        <v>2.33</v>
      </c>
      <c r="F178">
        <v>72.239999999999995</v>
      </c>
      <c r="G178">
        <v>1</v>
      </c>
      <c r="H178">
        <v>72.239999999999995</v>
      </c>
      <c r="I178">
        <v>0</v>
      </c>
      <c r="J178">
        <v>0</v>
      </c>
    </row>
    <row r="179" spans="1:10" x14ac:dyDescent="0.35">
      <c r="A179" t="s">
        <v>18</v>
      </c>
      <c r="B179" t="s">
        <v>28</v>
      </c>
      <c r="C179" t="s">
        <v>173</v>
      </c>
      <c r="D179">
        <v>2.2599999999999998</v>
      </c>
      <c r="E179">
        <v>2.2599999999999998</v>
      </c>
      <c r="F179">
        <v>101.85</v>
      </c>
      <c r="G179">
        <v>1</v>
      </c>
      <c r="H179">
        <v>101.85</v>
      </c>
      <c r="I179">
        <v>0</v>
      </c>
      <c r="J179">
        <v>0</v>
      </c>
    </row>
    <row r="180" spans="1:10" x14ac:dyDescent="0.35">
      <c r="A180" t="s">
        <v>18</v>
      </c>
      <c r="B180" t="s">
        <v>37</v>
      </c>
      <c r="C180" t="s">
        <v>284</v>
      </c>
      <c r="D180">
        <v>2.25</v>
      </c>
      <c r="E180">
        <v>2.8</v>
      </c>
      <c r="F180">
        <v>35.979999999999997</v>
      </c>
      <c r="G180">
        <v>6</v>
      </c>
      <c r="H180">
        <v>6</v>
      </c>
      <c r="I180">
        <v>15</v>
      </c>
      <c r="J180">
        <v>2</v>
      </c>
    </row>
    <row r="181" spans="1:10" x14ac:dyDescent="0.35">
      <c r="A181" t="s">
        <v>18</v>
      </c>
      <c r="B181" t="s">
        <v>28</v>
      </c>
      <c r="C181" t="s">
        <v>152</v>
      </c>
      <c r="D181">
        <v>2.2400000000000002</v>
      </c>
      <c r="E181">
        <v>2.2400000000000002</v>
      </c>
      <c r="F181">
        <v>156.83000000000001</v>
      </c>
      <c r="G181">
        <v>1</v>
      </c>
      <c r="H181">
        <v>156.83000000000001</v>
      </c>
      <c r="I181">
        <v>0</v>
      </c>
      <c r="J181">
        <v>0</v>
      </c>
    </row>
    <row r="182" spans="1:10" x14ac:dyDescent="0.35">
      <c r="A182" t="s">
        <v>18</v>
      </c>
      <c r="B182" t="s">
        <v>35</v>
      </c>
      <c r="C182" t="s">
        <v>264</v>
      </c>
      <c r="D182">
        <v>2.23</v>
      </c>
      <c r="E182">
        <v>0.48</v>
      </c>
      <c r="F182">
        <v>213</v>
      </c>
      <c r="G182">
        <v>6</v>
      </c>
      <c r="H182">
        <v>35.5</v>
      </c>
      <c r="I182">
        <v>25</v>
      </c>
      <c r="J182">
        <v>4</v>
      </c>
    </row>
    <row r="183" spans="1:10" x14ac:dyDescent="0.35">
      <c r="A183" t="s">
        <v>18</v>
      </c>
      <c r="B183" t="s">
        <v>35</v>
      </c>
      <c r="C183" t="s">
        <v>257</v>
      </c>
      <c r="D183">
        <v>2.21</v>
      </c>
      <c r="E183">
        <v>0.99</v>
      </c>
      <c r="F183">
        <v>124</v>
      </c>
      <c r="G183">
        <v>4</v>
      </c>
      <c r="H183">
        <v>31</v>
      </c>
      <c r="I183">
        <v>4</v>
      </c>
      <c r="J183">
        <v>1</v>
      </c>
    </row>
    <row r="184" spans="1:10" x14ac:dyDescent="0.35">
      <c r="A184" t="s">
        <v>18</v>
      </c>
      <c r="B184" t="s">
        <v>34</v>
      </c>
      <c r="C184" t="s">
        <v>252</v>
      </c>
      <c r="D184">
        <v>2.19</v>
      </c>
      <c r="E184">
        <v>1.82</v>
      </c>
      <c r="F184">
        <v>177.12</v>
      </c>
      <c r="G184">
        <v>4</v>
      </c>
      <c r="H184">
        <v>44.28</v>
      </c>
      <c r="I184">
        <v>0</v>
      </c>
      <c r="J184">
        <v>0</v>
      </c>
    </row>
    <row r="185" spans="1:10" x14ac:dyDescent="0.35">
      <c r="A185" t="s">
        <v>18</v>
      </c>
      <c r="B185" t="s">
        <v>30</v>
      </c>
      <c r="C185" t="s">
        <v>220</v>
      </c>
      <c r="D185">
        <v>2.0499999999999998</v>
      </c>
      <c r="E185">
        <v>2.0499999999999998</v>
      </c>
      <c r="F185">
        <v>53.32</v>
      </c>
      <c r="G185">
        <v>1</v>
      </c>
      <c r="H185">
        <v>53.32</v>
      </c>
      <c r="I185">
        <v>0</v>
      </c>
      <c r="J185">
        <v>0</v>
      </c>
    </row>
    <row r="186" spans="1:10" x14ac:dyDescent="0.35">
      <c r="A186" t="s">
        <v>18</v>
      </c>
      <c r="B186" t="s">
        <v>28</v>
      </c>
      <c r="C186" t="s">
        <v>168</v>
      </c>
      <c r="D186">
        <v>2.0099999999999998</v>
      </c>
      <c r="E186">
        <v>2.0099999999999998</v>
      </c>
      <c r="F186">
        <v>80.41</v>
      </c>
      <c r="G186">
        <v>1</v>
      </c>
      <c r="H186">
        <v>80.41</v>
      </c>
      <c r="I186">
        <v>0</v>
      </c>
      <c r="J186">
        <v>0</v>
      </c>
    </row>
    <row r="187" spans="1:10" x14ac:dyDescent="0.35">
      <c r="A187" t="s">
        <v>17</v>
      </c>
      <c r="B187" t="s">
        <v>23</v>
      </c>
      <c r="C187" t="s">
        <v>70</v>
      </c>
      <c r="D187">
        <v>2</v>
      </c>
      <c r="E187">
        <v>2</v>
      </c>
      <c r="F187">
        <v>86.15</v>
      </c>
      <c r="G187">
        <v>2</v>
      </c>
      <c r="H187">
        <v>43.08</v>
      </c>
      <c r="I187">
        <v>0</v>
      </c>
      <c r="J187">
        <v>0</v>
      </c>
    </row>
    <row r="188" spans="1:10" x14ac:dyDescent="0.35">
      <c r="A188" t="s">
        <v>18</v>
      </c>
      <c r="B188" t="s">
        <v>28</v>
      </c>
      <c r="C188" t="s">
        <v>151</v>
      </c>
      <c r="D188">
        <v>1.99</v>
      </c>
      <c r="E188">
        <v>0.28000000000000003</v>
      </c>
      <c r="F188">
        <v>37.729999999999997</v>
      </c>
      <c r="G188">
        <v>1</v>
      </c>
      <c r="H188">
        <v>37.729999999999997</v>
      </c>
      <c r="I188">
        <v>0</v>
      </c>
      <c r="J188">
        <v>0</v>
      </c>
    </row>
    <row r="189" spans="1:10" x14ac:dyDescent="0.35">
      <c r="A189" t="s">
        <v>18</v>
      </c>
      <c r="B189" t="s">
        <v>32</v>
      </c>
      <c r="C189" t="s">
        <v>230</v>
      </c>
      <c r="D189">
        <v>1.99</v>
      </c>
      <c r="E189">
        <v>2.2599999999999998</v>
      </c>
      <c r="F189">
        <v>162.22999999999999</v>
      </c>
      <c r="G189">
        <v>4</v>
      </c>
      <c r="H189">
        <v>40.56</v>
      </c>
      <c r="I189">
        <v>14</v>
      </c>
      <c r="J189">
        <v>4</v>
      </c>
    </row>
    <row r="190" spans="1:10" x14ac:dyDescent="0.35">
      <c r="A190" t="s">
        <v>17</v>
      </c>
      <c r="B190" t="s">
        <v>23</v>
      </c>
      <c r="C190" t="s">
        <v>80</v>
      </c>
      <c r="D190">
        <v>1.86</v>
      </c>
      <c r="E190">
        <v>1.86</v>
      </c>
      <c r="F190">
        <v>37.14</v>
      </c>
      <c r="G190">
        <v>1</v>
      </c>
      <c r="H190">
        <v>37.14</v>
      </c>
      <c r="I190">
        <v>0</v>
      </c>
      <c r="J190">
        <v>0</v>
      </c>
    </row>
    <row r="191" spans="1:10" x14ac:dyDescent="0.35">
      <c r="A191" t="s">
        <v>17</v>
      </c>
      <c r="B191" t="s">
        <v>23</v>
      </c>
      <c r="C191" t="s">
        <v>65</v>
      </c>
      <c r="D191">
        <v>1.81</v>
      </c>
      <c r="E191">
        <v>2.0499999999999998</v>
      </c>
      <c r="F191">
        <v>148.84</v>
      </c>
      <c r="G191">
        <v>3</v>
      </c>
      <c r="H191">
        <v>49.61</v>
      </c>
      <c r="I191">
        <v>0</v>
      </c>
      <c r="J191">
        <v>0</v>
      </c>
    </row>
    <row r="192" spans="1:10" x14ac:dyDescent="0.35">
      <c r="A192" t="s">
        <v>17</v>
      </c>
      <c r="B192" t="s">
        <v>26</v>
      </c>
      <c r="C192" t="s">
        <v>133</v>
      </c>
      <c r="D192">
        <v>1.76</v>
      </c>
      <c r="E192">
        <v>1.97</v>
      </c>
      <c r="F192">
        <v>150.02000000000001</v>
      </c>
      <c r="G192">
        <v>4</v>
      </c>
      <c r="H192">
        <v>37.5</v>
      </c>
      <c r="I192">
        <v>1</v>
      </c>
      <c r="J192">
        <v>1</v>
      </c>
    </row>
    <row r="193" spans="1:10" x14ac:dyDescent="0.35">
      <c r="A193" t="s">
        <v>18</v>
      </c>
      <c r="B193" t="s">
        <v>30</v>
      </c>
      <c r="C193" t="s">
        <v>213</v>
      </c>
      <c r="D193">
        <v>1.75</v>
      </c>
      <c r="E193">
        <v>1.75</v>
      </c>
      <c r="F193">
        <v>43.78</v>
      </c>
      <c r="G193">
        <v>1</v>
      </c>
      <c r="H193">
        <v>43.78</v>
      </c>
      <c r="I193">
        <v>0</v>
      </c>
      <c r="J193">
        <v>0</v>
      </c>
    </row>
    <row r="194" spans="1:10" x14ac:dyDescent="0.35">
      <c r="A194" t="s">
        <v>17</v>
      </c>
      <c r="B194" t="s">
        <v>25</v>
      </c>
      <c r="C194" t="s">
        <v>105</v>
      </c>
      <c r="D194">
        <v>1.7</v>
      </c>
      <c r="E194">
        <v>1.7</v>
      </c>
      <c r="F194">
        <v>129.11000000000001</v>
      </c>
      <c r="G194">
        <v>1</v>
      </c>
      <c r="H194">
        <v>129.11000000000001</v>
      </c>
      <c r="I194">
        <v>0</v>
      </c>
      <c r="J194">
        <v>0</v>
      </c>
    </row>
    <row r="195" spans="1:10" x14ac:dyDescent="0.35">
      <c r="A195" t="s">
        <v>18</v>
      </c>
      <c r="B195" t="s">
        <v>35</v>
      </c>
      <c r="C195" t="s">
        <v>267</v>
      </c>
      <c r="D195">
        <v>1.7</v>
      </c>
      <c r="E195">
        <v>0.96</v>
      </c>
      <c r="F195">
        <v>147</v>
      </c>
      <c r="G195">
        <v>5</v>
      </c>
      <c r="H195">
        <v>29.4</v>
      </c>
      <c r="I195">
        <v>12</v>
      </c>
      <c r="J195">
        <v>1</v>
      </c>
    </row>
    <row r="196" spans="1:10" x14ac:dyDescent="0.35">
      <c r="A196" t="s">
        <v>17</v>
      </c>
      <c r="B196" t="s">
        <v>23</v>
      </c>
      <c r="C196" t="s">
        <v>76</v>
      </c>
      <c r="D196">
        <v>1.65</v>
      </c>
      <c r="E196">
        <v>0.57999999999999996</v>
      </c>
      <c r="F196">
        <v>72.47</v>
      </c>
      <c r="G196">
        <v>1</v>
      </c>
      <c r="H196">
        <v>72.47</v>
      </c>
      <c r="I196">
        <v>0</v>
      </c>
      <c r="J196">
        <v>0</v>
      </c>
    </row>
    <row r="197" spans="1:10" x14ac:dyDescent="0.35">
      <c r="A197" t="s">
        <v>18</v>
      </c>
      <c r="B197" t="s">
        <v>35</v>
      </c>
      <c r="C197" t="s">
        <v>260</v>
      </c>
      <c r="D197">
        <v>1.64</v>
      </c>
      <c r="E197">
        <v>0.46</v>
      </c>
      <c r="F197">
        <v>116</v>
      </c>
      <c r="G197">
        <v>6</v>
      </c>
      <c r="H197">
        <v>19.329999999999998</v>
      </c>
      <c r="I197">
        <v>0</v>
      </c>
      <c r="J197">
        <v>0</v>
      </c>
    </row>
    <row r="198" spans="1:10" x14ac:dyDescent="0.35">
      <c r="A198" t="s">
        <v>17</v>
      </c>
      <c r="B198" t="s">
        <v>26</v>
      </c>
      <c r="C198" t="s">
        <v>123</v>
      </c>
      <c r="D198">
        <v>1.63</v>
      </c>
      <c r="E198">
        <v>1.63</v>
      </c>
      <c r="F198">
        <v>37.5</v>
      </c>
      <c r="G198">
        <v>1</v>
      </c>
      <c r="H198">
        <v>37.5</v>
      </c>
      <c r="I198">
        <v>0</v>
      </c>
      <c r="J198">
        <v>0</v>
      </c>
    </row>
    <row r="199" spans="1:10" x14ac:dyDescent="0.35">
      <c r="A199" t="s">
        <v>17</v>
      </c>
      <c r="B199" t="s">
        <v>23</v>
      </c>
      <c r="C199" t="s">
        <v>74</v>
      </c>
      <c r="D199">
        <v>1.55</v>
      </c>
      <c r="E199">
        <v>1.55</v>
      </c>
      <c r="F199">
        <v>88.42</v>
      </c>
      <c r="G199">
        <v>2</v>
      </c>
      <c r="H199">
        <v>44.21</v>
      </c>
      <c r="I199">
        <v>0</v>
      </c>
      <c r="J199">
        <v>0</v>
      </c>
    </row>
    <row r="200" spans="1:10" x14ac:dyDescent="0.35">
      <c r="A200" t="s">
        <v>18</v>
      </c>
      <c r="B200" t="s">
        <v>31</v>
      </c>
      <c r="C200" t="s">
        <v>224</v>
      </c>
      <c r="D200">
        <v>1.55</v>
      </c>
      <c r="E200">
        <v>1.67</v>
      </c>
      <c r="F200">
        <v>45</v>
      </c>
      <c r="G200">
        <v>1</v>
      </c>
      <c r="H200">
        <v>45</v>
      </c>
      <c r="I200">
        <v>0</v>
      </c>
      <c r="J200">
        <v>0</v>
      </c>
    </row>
    <row r="201" spans="1:10" x14ac:dyDescent="0.35">
      <c r="A201" t="s">
        <v>17</v>
      </c>
      <c r="B201" t="s">
        <v>23</v>
      </c>
      <c r="C201" t="s">
        <v>87</v>
      </c>
      <c r="D201">
        <v>1.49</v>
      </c>
      <c r="E201">
        <v>0.66</v>
      </c>
      <c r="F201">
        <v>171.75</v>
      </c>
      <c r="G201">
        <v>2</v>
      </c>
      <c r="H201">
        <v>85.88</v>
      </c>
      <c r="I201">
        <v>1</v>
      </c>
      <c r="J201">
        <v>1</v>
      </c>
    </row>
    <row r="202" spans="1:10" x14ac:dyDescent="0.35">
      <c r="A202" t="s">
        <v>18</v>
      </c>
      <c r="B202" t="s">
        <v>37</v>
      </c>
      <c r="C202" t="s">
        <v>285</v>
      </c>
      <c r="D202">
        <v>1.48</v>
      </c>
      <c r="E202">
        <v>1.48</v>
      </c>
      <c r="F202">
        <v>11.81</v>
      </c>
      <c r="G202">
        <v>2</v>
      </c>
      <c r="H202">
        <v>5.9</v>
      </c>
      <c r="I202">
        <v>0</v>
      </c>
      <c r="J202">
        <v>0</v>
      </c>
    </row>
    <row r="203" spans="1:10" x14ac:dyDescent="0.35">
      <c r="A203" t="s">
        <v>18</v>
      </c>
      <c r="B203" t="s">
        <v>28</v>
      </c>
      <c r="C203" t="s">
        <v>171</v>
      </c>
      <c r="D203">
        <v>1.47</v>
      </c>
      <c r="E203">
        <v>2.1</v>
      </c>
      <c r="F203">
        <v>206.13</v>
      </c>
      <c r="G203">
        <v>2</v>
      </c>
      <c r="H203">
        <v>103.06</v>
      </c>
      <c r="I203">
        <v>0</v>
      </c>
      <c r="J203">
        <v>0</v>
      </c>
    </row>
    <row r="204" spans="1:10" x14ac:dyDescent="0.35">
      <c r="A204" t="s">
        <v>18</v>
      </c>
      <c r="B204" t="s">
        <v>29</v>
      </c>
      <c r="C204" t="s">
        <v>187</v>
      </c>
      <c r="D204">
        <v>1.47</v>
      </c>
      <c r="E204">
        <v>4.3499999999999996</v>
      </c>
      <c r="F204">
        <v>155.1</v>
      </c>
      <c r="G204">
        <v>3</v>
      </c>
      <c r="H204">
        <v>51.7</v>
      </c>
      <c r="I204">
        <v>0</v>
      </c>
      <c r="J204">
        <v>0</v>
      </c>
    </row>
    <row r="205" spans="1:10" x14ac:dyDescent="0.35">
      <c r="A205" t="s">
        <v>17</v>
      </c>
      <c r="B205" t="s">
        <v>27</v>
      </c>
      <c r="C205" t="s">
        <v>141</v>
      </c>
      <c r="D205">
        <v>1.44</v>
      </c>
      <c r="E205">
        <v>0.59</v>
      </c>
      <c r="F205">
        <v>247.05</v>
      </c>
      <c r="G205">
        <v>14</v>
      </c>
      <c r="H205">
        <v>17.649999999999999</v>
      </c>
      <c r="I205">
        <v>0</v>
      </c>
      <c r="J205">
        <v>0</v>
      </c>
    </row>
    <row r="206" spans="1:10" x14ac:dyDescent="0.35">
      <c r="A206" t="s">
        <v>18</v>
      </c>
      <c r="B206" t="s">
        <v>28</v>
      </c>
      <c r="C206" t="s">
        <v>158</v>
      </c>
      <c r="D206">
        <v>1.39</v>
      </c>
      <c r="E206">
        <v>3.11</v>
      </c>
      <c r="F206">
        <v>213.64</v>
      </c>
      <c r="G206">
        <v>2</v>
      </c>
      <c r="H206">
        <v>106.82</v>
      </c>
      <c r="I206">
        <v>0</v>
      </c>
      <c r="J206">
        <v>0</v>
      </c>
    </row>
    <row r="207" spans="1:10" x14ac:dyDescent="0.35">
      <c r="A207" t="s">
        <v>18</v>
      </c>
      <c r="B207" t="s">
        <v>29</v>
      </c>
      <c r="C207" t="s">
        <v>201</v>
      </c>
      <c r="D207">
        <v>1.28</v>
      </c>
      <c r="E207">
        <v>0.99</v>
      </c>
      <c r="F207">
        <v>168.88</v>
      </c>
      <c r="G207">
        <v>3</v>
      </c>
      <c r="H207">
        <v>56.29</v>
      </c>
      <c r="I207">
        <v>0</v>
      </c>
      <c r="J207">
        <v>0</v>
      </c>
    </row>
    <row r="208" spans="1:10" x14ac:dyDescent="0.35">
      <c r="A208" t="s">
        <v>18</v>
      </c>
      <c r="B208" t="s">
        <v>35</v>
      </c>
      <c r="C208" t="s">
        <v>236</v>
      </c>
      <c r="D208">
        <v>1.25</v>
      </c>
      <c r="E208">
        <v>1.43</v>
      </c>
      <c r="F208">
        <v>141</v>
      </c>
      <c r="G208">
        <v>6</v>
      </c>
      <c r="H208">
        <v>23.5</v>
      </c>
      <c r="I208">
        <v>2</v>
      </c>
      <c r="J208">
        <v>1</v>
      </c>
    </row>
    <row r="209" spans="1:10" x14ac:dyDescent="0.35">
      <c r="A209" t="s">
        <v>17</v>
      </c>
      <c r="B209" t="s">
        <v>23</v>
      </c>
      <c r="C209" t="s">
        <v>78</v>
      </c>
      <c r="D209">
        <v>1.24</v>
      </c>
      <c r="E209">
        <v>3.05</v>
      </c>
      <c r="F209">
        <v>411.23</v>
      </c>
      <c r="G209">
        <v>11</v>
      </c>
      <c r="H209">
        <v>37.380000000000003</v>
      </c>
      <c r="I209">
        <v>0</v>
      </c>
      <c r="J209">
        <v>0</v>
      </c>
    </row>
    <row r="210" spans="1:10" x14ac:dyDescent="0.35">
      <c r="A210" t="s">
        <v>17</v>
      </c>
      <c r="B210" t="s">
        <v>27</v>
      </c>
      <c r="C210" t="s">
        <v>136</v>
      </c>
      <c r="D210">
        <v>1.24</v>
      </c>
      <c r="E210">
        <v>1.1599999999999999</v>
      </c>
      <c r="F210">
        <v>11.14</v>
      </c>
      <c r="G210">
        <v>1</v>
      </c>
      <c r="H210">
        <v>11.14</v>
      </c>
      <c r="I210">
        <v>0</v>
      </c>
      <c r="J210">
        <v>0</v>
      </c>
    </row>
    <row r="211" spans="1:10" x14ac:dyDescent="0.35">
      <c r="A211" t="s">
        <v>18</v>
      </c>
      <c r="B211" t="s">
        <v>35</v>
      </c>
      <c r="C211" t="s">
        <v>265</v>
      </c>
      <c r="D211">
        <v>1.23</v>
      </c>
      <c r="E211">
        <v>0.42</v>
      </c>
      <c r="F211">
        <v>247</v>
      </c>
      <c r="G211">
        <v>10</v>
      </c>
      <c r="H211">
        <v>24.7</v>
      </c>
      <c r="I211">
        <v>0</v>
      </c>
      <c r="J211">
        <v>0</v>
      </c>
    </row>
    <row r="212" spans="1:10" x14ac:dyDescent="0.35">
      <c r="A212" t="s">
        <v>17</v>
      </c>
      <c r="B212" t="s">
        <v>23</v>
      </c>
      <c r="C212" t="s">
        <v>86</v>
      </c>
      <c r="D212">
        <v>1.22</v>
      </c>
      <c r="E212">
        <v>0.77</v>
      </c>
      <c r="F212">
        <v>149.02000000000001</v>
      </c>
      <c r="G212">
        <v>3</v>
      </c>
      <c r="H212">
        <v>49.67</v>
      </c>
      <c r="I212">
        <v>0</v>
      </c>
      <c r="J212">
        <v>0</v>
      </c>
    </row>
    <row r="213" spans="1:10" x14ac:dyDescent="0.35">
      <c r="A213" t="s">
        <v>17</v>
      </c>
      <c r="B213" t="s">
        <v>23</v>
      </c>
      <c r="C213" t="s">
        <v>85</v>
      </c>
      <c r="D213">
        <v>1.2</v>
      </c>
      <c r="E213">
        <v>1.1499999999999999</v>
      </c>
      <c r="F213">
        <v>145.46</v>
      </c>
      <c r="G213">
        <v>2</v>
      </c>
      <c r="H213">
        <v>72.73</v>
      </c>
      <c r="I213">
        <v>0</v>
      </c>
      <c r="J213">
        <v>0</v>
      </c>
    </row>
    <row r="214" spans="1:10" x14ac:dyDescent="0.35">
      <c r="A214" t="s">
        <v>18</v>
      </c>
      <c r="B214" t="s">
        <v>35</v>
      </c>
      <c r="C214" t="s">
        <v>269</v>
      </c>
      <c r="D214">
        <v>1.2</v>
      </c>
      <c r="E214">
        <v>0.43</v>
      </c>
      <c r="F214">
        <v>169</v>
      </c>
      <c r="G214">
        <v>7</v>
      </c>
      <c r="H214">
        <v>24.14</v>
      </c>
      <c r="I214">
        <v>12</v>
      </c>
      <c r="J214">
        <v>1</v>
      </c>
    </row>
    <row r="215" spans="1:10" x14ac:dyDescent="0.35">
      <c r="A215" t="s">
        <v>17</v>
      </c>
      <c r="B215" t="s">
        <v>25</v>
      </c>
      <c r="C215" t="s">
        <v>111</v>
      </c>
      <c r="D215">
        <v>1.18</v>
      </c>
      <c r="E215">
        <v>1.82</v>
      </c>
      <c r="F215">
        <v>38.85</v>
      </c>
      <c r="G215">
        <v>1</v>
      </c>
      <c r="H215">
        <v>38.85</v>
      </c>
      <c r="I215">
        <v>0</v>
      </c>
      <c r="J215">
        <v>0</v>
      </c>
    </row>
    <row r="216" spans="1:10" x14ac:dyDescent="0.35">
      <c r="A216" t="s">
        <v>18</v>
      </c>
      <c r="B216" t="s">
        <v>35</v>
      </c>
      <c r="C216" t="s">
        <v>256</v>
      </c>
      <c r="D216">
        <v>1.18</v>
      </c>
      <c r="E216">
        <v>0.56999999999999995</v>
      </c>
      <c r="F216">
        <v>146</v>
      </c>
      <c r="G216">
        <v>6</v>
      </c>
      <c r="H216">
        <v>24.33</v>
      </c>
      <c r="I216">
        <v>7</v>
      </c>
      <c r="J216">
        <v>2</v>
      </c>
    </row>
    <row r="217" spans="1:10" x14ac:dyDescent="0.35">
      <c r="A217" t="s">
        <v>17</v>
      </c>
      <c r="B217" t="s">
        <v>23</v>
      </c>
      <c r="C217" t="s">
        <v>73</v>
      </c>
      <c r="D217">
        <v>1.1399999999999999</v>
      </c>
      <c r="E217">
        <v>1.85</v>
      </c>
      <c r="F217">
        <v>97.71</v>
      </c>
      <c r="G217">
        <v>2</v>
      </c>
      <c r="H217">
        <v>48.86</v>
      </c>
      <c r="I217">
        <v>0</v>
      </c>
      <c r="J217">
        <v>0</v>
      </c>
    </row>
    <row r="218" spans="1:10" x14ac:dyDescent="0.35">
      <c r="A218" t="s">
        <v>18</v>
      </c>
      <c r="B218" t="s">
        <v>33</v>
      </c>
      <c r="C218" t="s">
        <v>240</v>
      </c>
      <c r="D218">
        <v>1.1399999999999999</v>
      </c>
      <c r="E218">
        <v>0.48</v>
      </c>
      <c r="F218">
        <v>237</v>
      </c>
      <c r="G218">
        <v>5</v>
      </c>
      <c r="H218">
        <v>47.4</v>
      </c>
      <c r="I218">
        <v>0</v>
      </c>
      <c r="J218">
        <v>0</v>
      </c>
    </row>
    <row r="219" spans="1:10" x14ac:dyDescent="0.35">
      <c r="A219" t="s">
        <v>17</v>
      </c>
      <c r="B219" t="s">
        <v>27</v>
      </c>
      <c r="C219" t="s">
        <v>137</v>
      </c>
      <c r="D219">
        <v>1.0900000000000001</v>
      </c>
      <c r="E219">
        <v>1.0900000000000001</v>
      </c>
      <c r="F219">
        <v>12</v>
      </c>
      <c r="G219">
        <v>1</v>
      </c>
      <c r="H219">
        <v>12</v>
      </c>
      <c r="I219">
        <v>0</v>
      </c>
      <c r="J219">
        <v>0</v>
      </c>
    </row>
    <row r="220" spans="1:10" x14ac:dyDescent="0.35">
      <c r="A220" t="s">
        <v>18</v>
      </c>
      <c r="B220" t="s">
        <v>37</v>
      </c>
      <c r="C220" t="s">
        <v>283</v>
      </c>
      <c r="D220">
        <v>1.08</v>
      </c>
      <c r="E220">
        <v>1.08</v>
      </c>
      <c r="F220">
        <v>8.67</v>
      </c>
      <c r="G220">
        <v>2</v>
      </c>
      <c r="H220">
        <v>4.34</v>
      </c>
      <c r="I220">
        <v>0</v>
      </c>
      <c r="J220">
        <v>0</v>
      </c>
    </row>
    <row r="221" spans="1:10" x14ac:dyDescent="0.35">
      <c r="A221" t="s">
        <v>18</v>
      </c>
      <c r="B221" t="s">
        <v>33</v>
      </c>
      <c r="C221" t="s">
        <v>65</v>
      </c>
      <c r="D221">
        <v>1.02</v>
      </c>
      <c r="E221">
        <v>2.0499999999999998</v>
      </c>
      <c r="F221">
        <v>225</v>
      </c>
      <c r="G221">
        <v>4</v>
      </c>
      <c r="H221">
        <v>56.25</v>
      </c>
      <c r="I221">
        <v>0</v>
      </c>
      <c r="J221">
        <v>0</v>
      </c>
    </row>
    <row r="222" spans="1:10" x14ac:dyDescent="0.35">
      <c r="A222" t="s">
        <v>18</v>
      </c>
      <c r="B222" t="s">
        <v>33</v>
      </c>
      <c r="C222" t="s">
        <v>233</v>
      </c>
      <c r="D222">
        <v>1</v>
      </c>
      <c r="E222">
        <v>0.48</v>
      </c>
      <c r="F222">
        <v>292</v>
      </c>
      <c r="G222">
        <v>5</v>
      </c>
      <c r="H222">
        <v>58.4</v>
      </c>
      <c r="I222">
        <v>1</v>
      </c>
      <c r="J222">
        <v>1</v>
      </c>
    </row>
    <row r="223" spans="1:10" x14ac:dyDescent="0.35">
      <c r="A223" t="s">
        <v>18</v>
      </c>
      <c r="B223" t="s">
        <v>33</v>
      </c>
      <c r="C223" t="s">
        <v>234</v>
      </c>
      <c r="D223">
        <v>1</v>
      </c>
      <c r="E223">
        <v>0.74</v>
      </c>
      <c r="F223">
        <v>101</v>
      </c>
      <c r="G223">
        <v>2</v>
      </c>
      <c r="H223">
        <v>50.5</v>
      </c>
      <c r="I223">
        <v>3</v>
      </c>
      <c r="J223">
        <v>1</v>
      </c>
    </row>
    <row r="224" spans="1:10" x14ac:dyDescent="0.35">
      <c r="A224" t="s">
        <v>18</v>
      </c>
      <c r="B224" t="s">
        <v>37</v>
      </c>
      <c r="C224" t="s">
        <v>287</v>
      </c>
      <c r="D224">
        <v>1</v>
      </c>
      <c r="E224">
        <v>1.32</v>
      </c>
      <c r="F224">
        <v>40.42</v>
      </c>
      <c r="G224">
        <v>5</v>
      </c>
      <c r="H224">
        <v>8.08</v>
      </c>
      <c r="I224">
        <v>8</v>
      </c>
      <c r="J224">
        <v>2</v>
      </c>
    </row>
    <row r="225" spans="1:10" x14ac:dyDescent="0.35">
      <c r="A225" t="s">
        <v>18</v>
      </c>
      <c r="B225" t="s">
        <v>28</v>
      </c>
      <c r="C225" t="s">
        <v>192</v>
      </c>
      <c r="D225">
        <v>0.99</v>
      </c>
      <c r="E225">
        <v>0.99</v>
      </c>
      <c r="F225">
        <v>37.729999999999997</v>
      </c>
      <c r="G225">
        <v>1</v>
      </c>
      <c r="H225">
        <v>37.729999999999997</v>
      </c>
      <c r="I225">
        <v>0</v>
      </c>
      <c r="J225">
        <v>0</v>
      </c>
    </row>
    <row r="226" spans="1:10" x14ac:dyDescent="0.35">
      <c r="A226" t="s">
        <v>18</v>
      </c>
      <c r="B226" t="s">
        <v>35</v>
      </c>
      <c r="C226" t="s">
        <v>274</v>
      </c>
      <c r="D226">
        <v>0.99</v>
      </c>
      <c r="E226">
        <v>0.47</v>
      </c>
      <c r="F226">
        <v>156</v>
      </c>
      <c r="G226">
        <v>4</v>
      </c>
      <c r="H226">
        <v>39</v>
      </c>
      <c r="I226">
        <v>2</v>
      </c>
      <c r="J226">
        <v>1</v>
      </c>
    </row>
    <row r="227" spans="1:10" x14ac:dyDescent="0.35">
      <c r="A227" t="s">
        <v>17</v>
      </c>
      <c r="B227" t="s">
        <v>23</v>
      </c>
      <c r="C227" t="s">
        <v>79</v>
      </c>
      <c r="D227">
        <v>0.94</v>
      </c>
      <c r="E227">
        <v>0.79</v>
      </c>
      <c r="F227">
        <v>302.27999999999997</v>
      </c>
      <c r="G227">
        <v>8</v>
      </c>
      <c r="H227">
        <v>37.79</v>
      </c>
      <c r="I227">
        <v>0</v>
      </c>
      <c r="J227">
        <v>0</v>
      </c>
    </row>
    <row r="228" spans="1:10" x14ac:dyDescent="0.35">
      <c r="A228" t="s">
        <v>17</v>
      </c>
      <c r="B228" t="s">
        <v>27</v>
      </c>
      <c r="C228" t="s">
        <v>135</v>
      </c>
      <c r="D228">
        <v>0.94</v>
      </c>
      <c r="E228">
        <v>3.82</v>
      </c>
      <c r="F228">
        <v>18.73</v>
      </c>
      <c r="G228">
        <v>1</v>
      </c>
      <c r="H228">
        <v>18.73</v>
      </c>
      <c r="I228">
        <v>0</v>
      </c>
      <c r="J228">
        <v>0</v>
      </c>
    </row>
    <row r="229" spans="1:10" x14ac:dyDescent="0.35">
      <c r="A229" t="s">
        <v>17</v>
      </c>
      <c r="B229" t="s">
        <v>23</v>
      </c>
      <c r="C229" t="s">
        <v>71</v>
      </c>
      <c r="D229">
        <v>0.89</v>
      </c>
      <c r="E229">
        <v>0.6</v>
      </c>
      <c r="F229">
        <v>319.85000000000002</v>
      </c>
      <c r="G229">
        <v>3</v>
      </c>
      <c r="H229">
        <v>106.62</v>
      </c>
      <c r="I229">
        <v>0</v>
      </c>
      <c r="J229">
        <v>0</v>
      </c>
    </row>
    <row r="230" spans="1:10" x14ac:dyDescent="0.35">
      <c r="A230" t="s">
        <v>17</v>
      </c>
      <c r="B230" t="s">
        <v>23</v>
      </c>
      <c r="C230" t="s">
        <v>72</v>
      </c>
      <c r="D230">
        <v>0.88</v>
      </c>
      <c r="E230">
        <v>0.71</v>
      </c>
      <c r="F230">
        <v>117.02</v>
      </c>
      <c r="G230">
        <v>2</v>
      </c>
      <c r="H230">
        <v>58.51</v>
      </c>
      <c r="I230">
        <v>0</v>
      </c>
      <c r="J230">
        <v>0</v>
      </c>
    </row>
    <row r="231" spans="1:10" x14ac:dyDescent="0.35">
      <c r="A231" t="s">
        <v>18</v>
      </c>
      <c r="B231" t="s">
        <v>33</v>
      </c>
      <c r="C231" t="s">
        <v>235</v>
      </c>
      <c r="D231">
        <v>0.84</v>
      </c>
      <c r="E231">
        <v>0.43</v>
      </c>
      <c r="F231">
        <v>72</v>
      </c>
      <c r="G231">
        <v>2</v>
      </c>
      <c r="H231">
        <v>36</v>
      </c>
      <c r="I231">
        <v>0</v>
      </c>
      <c r="J231">
        <v>0</v>
      </c>
    </row>
    <row r="232" spans="1:10" x14ac:dyDescent="0.35">
      <c r="A232" t="s">
        <v>18</v>
      </c>
      <c r="B232" t="s">
        <v>35</v>
      </c>
      <c r="C232" t="s">
        <v>263</v>
      </c>
      <c r="D232">
        <v>0.82</v>
      </c>
      <c r="E232">
        <v>0.32</v>
      </c>
      <c r="F232">
        <v>165</v>
      </c>
      <c r="G232">
        <v>7</v>
      </c>
      <c r="H232">
        <v>23.57</v>
      </c>
      <c r="I232">
        <v>0</v>
      </c>
      <c r="J232">
        <v>0</v>
      </c>
    </row>
    <row r="233" spans="1:10" x14ac:dyDescent="0.35">
      <c r="A233" t="s">
        <v>18</v>
      </c>
      <c r="B233" t="s">
        <v>35</v>
      </c>
      <c r="C233" t="s">
        <v>261</v>
      </c>
      <c r="D233">
        <v>0.78</v>
      </c>
      <c r="E233">
        <v>1.21</v>
      </c>
      <c r="F233">
        <v>250</v>
      </c>
      <c r="G233">
        <v>9</v>
      </c>
      <c r="H233">
        <v>27.78</v>
      </c>
      <c r="I233">
        <v>0</v>
      </c>
      <c r="J233">
        <v>0</v>
      </c>
    </row>
    <row r="234" spans="1:10" x14ac:dyDescent="0.35">
      <c r="A234" t="s">
        <v>17</v>
      </c>
      <c r="B234" t="s">
        <v>23</v>
      </c>
      <c r="C234" t="s">
        <v>84</v>
      </c>
      <c r="D234">
        <v>0.76</v>
      </c>
      <c r="E234">
        <v>2.15</v>
      </c>
      <c r="F234">
        <v>99.78</v>
      </c>
      <c r="G234">
        <v>1</v>
      </c>
      <c r="H234">
        <v>99.78</v>
      </c>
      <c r="I234">
        <v>0</v>
      </c>
      <c r="J234">
        <v>0</v>
      </c>
    </row>
    <row r="235" spans="1:10" x14ac:dyDescent="0.35">
      <c r="A235" t="s">
        <v>17</v>
      </c>
      <c r="B235" t="s">
        <v>23</v>
      </c>
      <c r="C235" t="s">
        <v>88</v>
      </c>
      <c r="D235">
        <v>0.76</v>
      </c>
      <c r="E235">
        <v>0.49</v>
      </c>
      <c r="F235">
        <v>151.29</v>
      </c>
      <c r="G235">
        <v>4</v>
      </c>
      <c r="H235">
        <v>37.82</v>
      </c>
      <c r="I235">
        <v>0</v>
      </c>
      <c r="J235">
        <v>0</v>
      </c>
    </row>
    <row r="236" spans="1:10" x14ac:dyDescent="0.35">
      <c r="A236" t="s">
        <v>18</v>
      </c>
      <c r="B236" t="s">
        <v>35</v>
      </c>
      <c r="C236" t="s">
        <v>266</v>
      </c>
      <c r="D236">
        <v>0.62</v>
      </c>
      <c r="E236">
        <v>0.33</v>
      </c>
      <c r="F236">
        <v>233</v>
      </c>
      <c r="G236">
        <v>7</v>
      </c>
      <c r="H236">
        <v>33.29</v>
      </c>
      <c r="I236">
        <v>0</v>
      </c>
      <c r="J236">
        <v>0</v>
      </c>
    </row>
    <row r="237" spans="1:10" x14ac:dyDescent="0.35">
      <c r="A237" t="s">
        <v>18</v>
      </c>
      <c r="B237" t="s">
        <v>35</v>
      </c>
      <c r="C237" t="s">
        <v>273</v>
      </c>
      <c r="D237">
        <v>0.54</v>
      </c>
      <c r="E237">
        <v>0.54</v>
      </c>
      <c r="F237">
        <v>21</v>
      </c>
      <c r="G237">
        <v>1</v>
      </c>
      <c r="H237">
        <v>21</v>
      </c>
      <c r="I237">
        <v>0</v>
      </c>
      <c r="J237">
        <v>0</v>
      </c>
    </row>
    <row r="238" spans="1:10" x14ac:dyDescent="0.35">
      <c r="A238" t="s">
        <v>17</v>
      </c>
      <c r="B238" t="s">
        <v>27</v>
      </c>
      <c r="C238" t="s">
        <v>146</v>
      </c>
      <c r="D238">
        <v>0.53</v>
      </c>
      <c r="E238">
        <v>0.63</v>
      </c>
      <c r="F238">
        <v>42.54</v>
      </c>
      <c r="G238">
        <v>3</v>
      </c>
      <c r="H238">
        <v>14.18</v>
      </c>
      <c r="I238">
        <v>0</v>
      </c>
      <c r="J238">
        <v>0</v>
      </c>
    </row>
    <row r="239" spans="1:10" x14ac:dyDescent="0.35">
      <c r="A239" t="s">
        <v>18</v>
      </c>
      <c r="B239" t="s">
        <v>35</v>
      </c>
      <c r="C239" t="s">
        <v>280</v>
      </c>
      <c r="D239">
        <v>0.53</v>
      </c>
      <c r="E239">
        <v>0.53</v>
      </c>
      <c r="F239">
        <v>34</v>
      </c>
      <c r="G239">
        <v>1</v>
      </c>
      <c r="H239">
        <v>34</v>
      </c>
      <c r="I239">
        <v>0</v>
      </c>
      <c r="J239">
        <v>0</v>
      </c>
    </row>
    <row r="240" spans="1:10" x14ac:dyDescent="0.35">
      <c r="A240" t="s">
        <v>18</v>
      </c>
      <c r="B240" t="s">
        <v>35</v>
      </c>
      <c r="C240" t="s">
        <v>259</v>
      </c>
      <c r="D240">
        <v>0.52</v>
      </c>
      <c r="E240">
        <v>0.28999999999999998</v>
      </c>
      <c r="F240">
        <v>234</v>
      </c>
      <c r="G240">
        <v>8</v>
      </c>
      <c r="H240">
        <v>29.25</v>
      </c>
      <c r="I240">
        <v>1</v>
      </c>
      <c r="J240">
        <v>1</v>
      </c>
    </row>
    <row r="241" spans="1:10" x14ac:dyDescent="0.35">
      <c r="A241" t="s">
        <v>17</v>
      </c>
      <c r="B241" t="s">
        <v>23</v>
      </c>
      <c r="C241" t="s">
        <v>81</v>
      </c>
      <c r="D241">
        <v>0.48</v>
      </c>
      <c r="E241">
        <v>0.48</v>
      </c>
      <c r="F241">
        <v>139.97</v>
      </c>
      <c r="G241">
        <v>1</v>
      </c>
      <c r="H241">
        <v>139.97</v>
      </c>
      <c r="I241">
        <v>0</v>
      </c>
      <c r="J241">
        <v>0</v>
      </c>
    </row>
    <row r="242" spans="1:10" x14ac:dyDescent="0.35">
      <c r="A242" t="s">
        <v>18</v>
      </c>
      <c r="B242" t="s">
        <v>35</v>
      </c>
      <c r="C242" t="s">
        <v>277</v>
      </c>
      <c r="D242">
        <v>0.45</v>
      </c>
      <c r="E242">
        <v>0.45</v>
      </c>
      <c r="F242">
        <v>30</v>
      </c>
      <c r="G242">
        <v>1</v>
      </c>
      <c r="H242">
        <v>30</v>
      </c>
      <c r="I242">
        <v>0</v>
      </c>
      <c r="J242">
        <v>0</v>
      </c>
    </row>
    <row r="243" spans="1:10" x14ac:dyDescent="0.35">
      <c r="A243" t="s">
        <v>17</v>
      </c>
      <c r="B243" t="s">
        <v>25</v>
      </c>
      <c r="C243" t="s">
        <v>99</v>
      </c>
      <c r="D243">
        <v>0.43</v>
      </c>
      <c r="E243">
        <v>0.43</v>
      </c>
      <c r="F243">
        <v>38.85</v>
      </c>
      <c r="G243">
        <v>1</v>
      </c>
      <c r="H243">
        <v>38.85</v>
      </c>
      <c r="I243">
        <v>0</v>
      </c>
      <c r="J243">
        <v>0</v>
      </c>
    </row>
    <row r="244" spans="1:10" x14ac:dyDescent="0.35">
      <c r="A244" t="s">
        <v>18</v>
      </c>
      <c r="B244" t="s">
        <v>28</v>
      </c>
      <c r="C244" t="s">
        <v>150</v>
      </c>
      <c r="D244">
        <v>0.41</v>
      </c>
      <c r="E244">
        <v>0.41</v>
      </c>
      <c r="F244">
        <v>37.729999999999997</v>
      </c>
      <c r="G244">
        <v>1</v>
      </c>
      <c r="H244">
        <v>37.729999999999997</v>
      </c>
      <c r="I244">
        <v>0</v>
      </c>
      <c r="J244">
        <v>0</v>
      </c>
    </row>
    <row r="245" spans="1:10" x14ac:dyDescent="0.35">
      <c r="A245" t="s">
        <v>18</v>
      </c>
      <c r="B245" t="s">
        <v>33</v>
      </c>
      <c r="C245" t="s">
        <v>236</v>
      </c>
      <c r="D245">
        <v>0.39</v>
      </c>
      <c r="E245">
        <v>1.43</v>
      </c>
      <c r="F245">
        <v>72</v>
      </c>
      <c r="G245">
        <v>2</v>
      </c>
      <c r="H245">
        <v>36</v>
      </c>
      <c r="I245">
        <v>2</v>
      </c>
      <c r="J245">
        <v>1</v>
      </c>
    </row>
    <row r="246" spans="1:10" x14ac:dyDescent="0.35">
      <c r="A246" t="s">
        <v>17</v>
      </c>
      <c r="B246" t="s">
        <v>23</v>
      </c>
      <c r="C246" t="s">
        <v>77</v>
      </c>
      <c r="D246">
        <v>0.38</v>
      </c>
      <c r="E246">
        <v>0.2</v>
      </c>
      <c r="F246">
        <v>75.069999999999993</v>
      </c>
      <c r="G246">
        <v>2</v>
      </c>
      <c r="H246">
        <v>37.53</v>
      </c>
      <c r="I246">
        <v>0</v>
      </c>
      <c r="J246">
        <v>0</v>
      </c>
    </row>
    <row r="247" spans="1:10" x14ac:dyDescent="0.35">
      <c r="A247" t="s">
        <v>18</v>
      </c>
      <c r="B247" t="s">
        <v>29</v>
      </c>
      <c r="C247" t="s">
        <v>205</v>
      </c>
      <c r="D247">
        <v>0.26</v>
      </c>
      <c r="E247">
        <v>0.26</v>
      </c>
      <c r="F247">
        <v>36.04</v>
      </c>
      <c r="G247">
        <v>1</v>
      </c>
      <c r="H247">
        <v>36.04</v>
      </c>
      <c r="I247">
        <v>0</v>
      </c>
      <c r="J247">
        <v>0</v>
      </c>
    </row>
    <row r="248" spans="1:10" x14ac:dyDescent="0.35">
      <c r="A248" t="s">
        <v>18</v>
      </c>
      <c r="B248" t="s">
        <v>33</v>
      </c>
      <c r="C248" t="s">
        <v>239</v>
      </c>
      <c r="D248">
        <v>0.25</v>
      </c>
      <c r="E248">
        <v>0.25</v>
      </c>
      <c r="F248">
        <v>46</v>
      </c>
      <c r="G248">
        <v>1</v>
      </c>
      <c r="H248">
        <v>46</v>
      </c>
      <c r="I248">
        <v>0</v>
      </c>
      <c r="J248">
        <v>0</v>
      </c>
    </row>
    <row r="249" spans="1:10" x14ac:dyDescent="0.35">
      <c r="A249" t="s">
        <v>18</v>
      </c>
      <c r="B249" t="s">
        <v>33</v>
      </c>
      <c r="C249" t="s">
        <v>237</v>
      </c>
      <c r="D249">
        <v>0.21</v>
      </c>
      <c r="E249">
        <v>0.8</v>
      </c>
      <c r="F249">
        <v>118</v>
      </c>
      <c r="G249">
        <v>3</v>
      </c>
      <c r="H249">
        <v>39.33</v>
      </c>
      <c r="I249">
        <v>0</v>
      </c>
      <c r="J249">
        <v>0</v>
      </c>
    </row>
    <row r="250" spans="1:10" x14ac:dyDescent="0.35">
      <c r="A250" t="s">
        <v>18</v>
      </c>
      <c r="B250" t="s">
        <v>29</v>
      </c>
      <c r="C250" t="s">
        <v>202</v>
      </c>
      <c r="D250">
        <v>0.2</v>
      </c>
      <c r="E250">
        <v>0.2</v>
      </c>
      <c r="F250">
        <v>38.04</v>
      </c>
      <c r="G250">
        <v>1</v>
      </c>
      <c r="H250">
        <v>38.04</v>
      </c>
      <c r="I250">
        <v>0</v>
      </c>
      <c r="J250">
        <v>0</v>
      </c>
    </row>
    <row r="251" spans="1:10" x14ac:dyDescent="0.35">
      <c r="A251" t="s">
        <v>18</v>
      </c>
      <c r="B251" t="s">
        <v>29</v>
      </c>
      <c r="C251" t="s">
        <v>206</v>
      </c>
      <c r="D251">
        <v>0.2</v>
      </c>
      <c r="E251">
        <v>0.2</v>
      </c>
      <c r="F251">
        <v>37.729999999999997</v>
      </c>
      <c r="G251">
        <v>1</v>
      </c>
      <c r="H251">
        <v>37.729999999999997</v>
      </c>
      <c r="I251">
        <v>0</v>
      </c>
      <c r="J251">
        <v>0</v>
      </c>
    </row>
    <row r="252" spans="1:10" x14ac:dyDescent="0.35">
      <c r="A252" t="s">
        <v>18</v>
      </c>
      <c r="B252" t="s">
        <v>35</v>
      </c>
      <c r="C252" t="s">
        <v>271</v>
      </c>
      <c r="D252">
        <v>0.2</v>
      </c>
      <c r="E252">
        <v>0.28000000000000003</v>
      </c>
      <c r="F252">
        <v>43</v>
      </c>
      <c r="G252">
        <v>1</v>
      </c>
      <c r="H252">
        <v>43</v>
      </c>
      <c r="I252">
        <v>0</v>
      </c>
      <c r="J252">
        <v>0</v>
      </c>
    </row>
    <row r="253" spans="1:10" x14ac:dyDescent="0.35">
      <c r="A253" t="s">
        <v>18</v>
      </c>
      <c r="B253" t="s">
        <v>35</v>
      </c>
      <c r="C253" t="s">
        <v>258</v>
      </c>
      <c r="D253">
        <v>0.18</v>
      </c>
      <c r="E253">
        <v>0.18</v>
      </c>
      <c r="F253">
        <v>27</v>
      </c>
      <c r="G253">
        <v>1</v>
      </c>
      <c r="H253">
        <v>27</v>
      </c>
      <c r="I253">
        <v>0</v>
      </c>
      <c r="J253">
        <v>0</v>
      </c>
    </row>
    <row r="254" spans="1:10" x14ac:dyDescent="0.35">
      <c r="A254" t="s">
        <v>18</v>
      </c>
      <c r="B254" t="s">
        <v>28</v>
      </c>
      <c r="C254" t="s">
        <v>156</v>
      </c>
      <c r="D254">
        <v>0.17</v>
      </c>
      <c r="E254">
        <v>0.17</v>
      </c>
      <c r="F254">
        <v>36.04</v>
      </c>
      <c r="G254">
        <v>1</v>
      </c>
      <c r="H254">
        <v>36.04</v>
      </c>
      <c r="I254">
        <v>0</v>
      </c>
      <c r="J254">
        <v>0</v>
      </c>
    </row>
    <row r="255" spans="1:10" x14ac:dyDescent="0.35">
      <c r="A255" t="s">
        <v>18</v>
      </c>
      <c r="B255" t="s">
        <v>29</v>
      </c>
      <c r="C255" t="s">
        <v>151</v>
      </c>
      <c r="D255">
        <v>0.15</v>
      </c>
      <c r="E255">
        <v>0.28000000000000003</v>
      </c>
      <c r="F255">
        <v>38.04</v>
      </c>
      <c r="G255">
        <v>1</v>
      </c>
      <c r="H255">
        <v>38.04</v>
      </c>
      <c r="I255">
        <v>0</v>
      </c>
      <c r="J255">
        <v>0</v>
      </c>
    </row>
    <row r="256" spans="1:10" x14ac:dyDescent="0.35">
      <c r="A256" t="s">
        <v>18</v>
      </c>
      <c r="B256" t="s">
        <v>29</v>
      </c>
      <c r="C256" t="s">
        <v>200</v>
      </c>
      <c r="D256">
        <v>0.15</v>
      </c>
      <c r="E256">
        <v>0.15</v>
      </c>
      <c r="F256">
        <v>37.729999999999997</v>
      </c>
      <c r="G256">
        <v>1</v>
      </c>
      <c r="H256">
        <v>37.729999999999997</v>
      </c>
      <c r="I256">
        <v>0</v>
      </c>
      <c r="J256">
        <v>0</v>
      </c>
    </row>
    <row r="257" spans="1:10" x14ac:dyDescent="0.35">
      <c r="A257" t="s">
        <v>18</v>
      </c>
      <c r="B257" t="s">
        <v>35</v>
      </c>
      <c r="C257" t="s">
        <v>278</v>
      </c>
      <c r="D257">
        <v>0.15</v>
      </c>
      <c r="E257">
        <v>0.24</v>
      </c>
      <c r="F257">
        <v>18</v>
      </c>
      <c r="G257">
        <v>1</v>
      </c>
      <c r="H257">
        <v>18</v>
      </c>
      <c r="I257">
        <v>0</v>
      </c>
      <c r="J257">
        <v>0</v>
      </c>
    </row>
    <row r="258" spans="1:10" x14ac:dyDescent="0.35">
      <c r="A258" t="s">
        <v>18</v>
      </c>
      <c r="B258" t="s">
        <v>35</v>
      </c>
      <c r="C258" t="s">
        <v>279</v>
      </c>
      <c r="D258">
        <v>0.15</v>
      </c>
      <c r="E258">
        <v>0.45</v>
      </c>
      <c r="F258">
        <v>18</v>
      </c>
      <c r="G258">
        <v>1</v>
      </c>
      <c r="H258">
        <v>18</v>
      </c>
      <c r="I258">
        <v>0</v>
      </c>
      <c r="J258">
        <v>0</v>
      </c>
    </row>
    <row r="259" spans="1:10" x14ac:dyDescent="0.35">
      <c r="A259" t="s">
        <v>17</v>
      </c>
      <c r="B259" t="s">
        <v>23</v>
      </c>
      <c r="C259" t="s">
        <v>75</v>
      </c>
      <c r="D259">
        <v>0.14000000000000001</v>
      </c>
      <c r="E259">
        <v>0.14000000000000001</v>
      </c>
      <c r="F259">
        <v>36.159999999999997</v>
      </c>
      <c r="G259">
        <v>1</v>
      </c>
      <c r="H259">
        <v>36.159999999999997</v>
      </c>
      <c r="I259">
        <v>0</v>
      </c>
      <c r="J259">
        <v>0</v>
      </c>
    </row>
    <row r="260" spans="1:10" x14ac:dyDescent="0.35">
      <c r="A260" t="s">
        <v>18</v>
      </c>
      <c r="B260" t="s">
        <v>35</v>
      </c>
      <c r="C260" t="s">
        <v>270</v>
      </c>
      <c r="D260">
        <v>0.14000000000000001</v>
      </c>
      <c r="E260">
        <v>0.38</v>
      </c>
      <c r="F260">
        <v>37</v>
      </c>
      <c r="G260">
        <v>1</v>
      </c>
      <c r="H260">
        <v>37</v>
      </c>
      <c r="I260">
        <v>0</v>
      </c>
      <c r="J260">
        <v>0</v>
      </c>
    </row>
    <row r="261" spans="1:10" x14ac:dyDescent="0.35">
      <c r="A261" t="s">
        <v>18</v>
      </c>
      <c r="B261" t="s">
        <v>35</v>
      </c>
      <c r="C261" t="s">
        <v>275</v>
      </c>
      <c r="D261">
        <v>0.14000000000000001</v>
      </c>
      <c r="E261">
        <v>0.66</v>
      </c>
      <c r="F261">
        <v>79</v>
      </c>
      <c r="G261">
        <v>3</v>
      </c>
      <c r="H261">
        <v>26.33</v>
      </c>
      <c r="I261">
        <v>0</v>
      </c>
      <c r="J261">
        <v>0</v>
      </c>
    </row>
    <row r="262" spans="1:10" x14ac:dyDescent="0.35">
      <c r="A262" t="s">
        <v>18</v>
      </c>
      <c r="B262" t="s">
        <v>35</v>
      </c>
      <c r="C262" t="s">
        <v>272</v>
      </c>
      <c r="D262">
        <v>0.12</v>
      </c>
      <c r="E262">
        <v>0.12</v>
      </c>
      <c r="F262">
        <v>30</v>
      </c>
      <c r="G262">
        <v>1</v>
      </c>
      <c r="H262">
        <v>30</v>
      </c>
      <c r="I262">
        <v>0</v>
      </c>
      <c r="J262">
        <v>0</v>
      </c>
    </row>
    <row r="263" spans="1:10" x14ac:dyDescent="0.35">
      <c r="A263" t="s">
        <v>18</v>
      </c>
      <c r="B263" t="s">
        <v>35</v>
      </c>
      <c r="C263" t="s">
        <v>276</v>
      </c>
      <c r="D263">
        <v>0.12</v>
      </c>
      <c r="E263">
        <v>0.18</v>
      </c>
      <c r="F263">
        <v>32</v>
      </c>
      <c r="G263">
        <v>1</v>
      </c>
      <c r="H263">
        <v>32</v>
      </c>
      <c r="I263">
        <v>0</v>
      </c>
      <c r="J263">
        <v>0</v>
      </c>
    </row>
  </sheetData>
  <autoFilter ref="A1:J1" xr:uid="{00000000-0001-0000-0200-000000000000}">
    <sortState xmlns:xlrd2="http://schemas.microsoft.com/office/spreadsheetml/2017/richdata2" ref="A2:J263">
      <sortCondition descending="1" ref="D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7"/>
  <sheetViews>
    <sheetView workbookViewId="0"/>
  </sheetViews>
  <sheetFormatPr defaultRowHeight="14.5" x14ac:dyDescent="0.35"/>
  <sheetData>
    <row r="1" spans="1:5" x14ac:dyDescent="0.35">
      <c r="A1" s="1" t="s">
        <v>290</v>
      </c>
      <c r="B1" s="1" t="s">
        <v>291</v>
      </c>
      <c r="C1" s="1" t="s">
        <v>292</v>
      </c>
      <c r="D1" s="1" t="s">
        <v>293</v>
      </c>
      <c r="E1" s="1" t="s">
        <v>51</v>
      </c>
    </row>
    <row r="2" spans="1:5" x14ac:dyDescent="0.35">
      <c r="A2" t="s">
        <v>147</v>
      </c>
      <c r="B2" t="s">
        <v>294</v>
      </c>
      <c r="C2" t="s">
        <v>295</v>
      </c>
      <c r="D2">
        <v>2</v>
      </c>
      <c r="E2">
        <v>2</v>
      </c>
    </row>
    <row r="3" spans="1:5" x14ac:dyDescent="0.35">
      <c r="A3" t="s">
        <v>256</v>
      </c>
      <c r="B3" t="s">
        <v>296</v>
      </c>
      <c r="C3" t="s">
        <v>297</v>
      </c>
      <c r="D3">
        <v>2</v>
      </c>
      <c r="E3">
        <v>2</v>
      </c>
    </row>
    <row r="4" spans="1:5" x14ac:dyDescent="0.35">
      <c r="A4" t="s">
        <v>256</v>
      </c>
      <c r="B4" t="s">
        <v>298</v>
      </c>
      <c r="C4" t="s">
        <v>299</v>
      </c>
      <c r="D4">
        <v>5</v>
      </c>
      <c r="E4">
        <v>5</v>
      </c>
    </row>
    <row r="5" spans="1:5" x14ac:dyDescent="0.35">
      <c r="A5" t="s">
        <v>207</v>
      </c>
      <c r="B5" t="s">
        <v>296</v>
      </c>
      <c r="C5" t="s">
        <v>296</v>
      </c>
      <c r="D5">
        <v>1</v>
      </c>
      <c r="E5">
        <v>1</v>
      </c>
    </row>
    <row r="6" spans="1:5" x14ac:dyDescent="0.35">
      <c r="A6" t="s">
        <v>207</v>
      </c>
      <c r="B6" t="s">
        <v>300</v>
      </c>
      <c r="C6" t="s">
        <v>301</v>
      </c>
      <c r="D6">
        <v>5</v>
      </c>
      <c r="E6">
        <v>5</v>
      </c>
    </row>
    <row r="7" spans="1:5" x14ac:dyDescent="0.35">
      <c r="A7" t="s">
        <v>288</v>
      </c>
      <c r="B7" t="s">
        <v>302</v>
      </c>
      <c r="C7" t="s">
        <v>302</v>
      </c>
      <c r="D7">
        <v>1</v>
      </c>
      <c r="E7">
        <v>1</v>
      </c>
    </row>
    <row r="8" spans="1:5" x14ac:dyDescent="0.35">
      <c r="A8" t="s">
        <v>148</v>
      </c>
      <c r="B8" t="s">
        <v>303</v>
      </c>
      <c r="C8" t="s">
        <v>303</v>
      </c>
      <c r="D8">
        <v>1</v>
      </c>
      <c r="E8">
        <v>1</v>
      </c>
    </row>
    <row r="9" spans="1:5" x14ac:dyDescent="0.35">
      <c r="A9" t="s">
        <v>148</v>
      </c>
      <c r="B9" t="s">
        <v>304</v>
      </c>
      <c r="C9" t="s">
        <v>305</v>
      </c>
      <c r="D9">
        <v>3</v>
      </c>
      <c r="E9">
        <v>3</v>
      </c>
    </row>
    <row r="10" spans="1:5" x14ac:dyDescent="0.35">
      <c r="A10" t="s">
        <v>54</v>
      </c>
      <c r="B10" t="s">
        <v>306</v>
      </c>
      <c r="C10" t="s">
        <v>307</v>
      </c>
      <c r="D10">
        <v>7</v>
      </c>
      <c r="E10">
        <v>7</v>
      </c>
    </row>
    <row r="11" spans="1:5" x14ac:dyDescent="0.35">
      <c r="A11" t="s">
        <v>138</v>
      </c>
      <c r="B11" t="s">
        <v>308</v>
      </c>
      <c r="C11" t="s">
        <v>309</v>
      </c>
      <c r="D11">
        <v>2</v>
      </c>
      <c r="E11">
        <v>2</v>
      </c>
    </row>
    <row r="12" spans="1:5" x14ac:dyDescent="0.35">
      <c r="A12" t="s">
        <v>257</v>
      </c>
      <c r="B12" t="s">
        <v>310</v>
      </c>
      <c r="C12" t="s">
        <v>311</v>
      </c>
      <c r="D12">
        <v>4</v>
      </c>
      <c r="E12">
        <v>4</v>
      </c>
    </row>
    <row r="13" spans="1:5" x14ac:dyDescent="0.35">
      <c r="A13" t="s">
        <v>100</v>
      </c>
      <c r="B13" t="s">
        <v>300</v>
      </c>
      <c r="C13" t="s">
        <v>302</v>
      </c>
      <c r="D13">
        <v>2</v>
      </c>
      <c r="E13">
        <v>2</v>
      </c>
    </row>
    <row r="14" spans="1:5" x14ac:dyDescent="0.35">
      <c r="A14" t="s">
        <v>225</v>
      </c>
      <c r="B14" t="s">
        <v>312</v>
      </c>
      <c r="C14" t="s">
        <v>312</v>
      </c>
      <c r="D14">
        <v>1</v>
      </c>
      <c r="E14">
        <v>1</v>
      </c>
    </row>
    <row r="15" spans="1:5" x14ac:dyDescent="0.35">
      <c r="A15" t="s">
        <v>225</v>
      </c>
      <c r="B15" t="s">
        <v>313</v>
      </c>
      <c r="C15" t="s">
        <v>313</v>
      </c>
      <c r="D15">
        <v>1</v>
      </c>
      <c r="E15">
        <v>1</v>
      </c>
    </row>
    <row r="16" spans="1:5" x14ac:dyDescent="0.35">
      <c r="A16" t="s">
        <v>101</v>
      </c>
      <c r="B16" t="s">
        <v>314</v>
      </c>
      <c r="C16" t="s">
        <v>313</v>
      </c>
      <c r="D16">
        <v>2</v>
      </c>
      <c r="E16">
        <v>2</v>
      </c>
    </row>
    <row r="17" spans="1:5" x14ac:dyDescent="0.35">
      <c r="A17" t="s">
        <v>101</v>
      </c>
      <c r="B17" t="s">
        <v>300</v>
      </c>
      <c r="C17" t="s">
        <v>300</v>
      </c>
      <c r="D17">
        <v>1</v>
      </c>
      <c r="E17">
        <v>1</v>
      </c>
    </row>
    <row r="18" spans="1:5" x14ac:dyDescent="0.35">
      <c r="A18" t="s">
        <v>157</v>
      </c>
      <c r="B18" t="s">
        <v>315</v>
      </c>
      <c r="C18" t="s">
        <v>316</v>
      </c>
      <c r="D18">
        <v>7</v>
      </c>
      <c r="E18">
        <v>7</v>
      </c>
    </row>
    <row r="19" spans="1:5" x14ac:dyDescent="0.35">
      <c r="A19" t="s">
        <v>157</v>
      </c>
      <c r="B19" t="s">
        <v>317</v>
      </c>
      <c r="C19" t="s">
        <v>318</v>
      </c>
      <c r="D19">
        <v>5</v>
      </c>
      <c r="E19">
        <v>5</v>
      </c>
    </row>
    <row r="20" spans="1:5" x14ac:dyDescent="0.35">
      <c r="A20" t="s">
        <v>139</v>
      </c>
      <c r="B20" t="s">
        <v>319</v>
      </c>
      <c r="C20" t="s">
        <v>320</v>
      </c>
      <c r="D20">
        <v>2</v>
      </c>
      <c r="E20">
        <v>2</v>
      </c>
    </row>
    <row r="21" spans="1:5" x14ac:dyDescent="0.35">
      <c r="A21" t="s">
        <v>139</v>
      </c>
      <c r="B21" t="s">
        <v>311</v>
      </c>
      <c r="C21" t="s">
        <v>311</v>
      </c>
      <c r="D21">
        <v>1</v>
      </c>
      <c r="E21">
        <v>1</v>
      </c>
    </row>
    <row r="22" spans="1:5" x14ac:dyDescent="0.35">
      <c r="A22" t="s">
        <v>103</v>
      </c>
      <c r="B22" t="s">
        <v>300</v>
      </c>
      <c r="C22" t="s">
        <v>321</v>
      </c>
      <c r="D22">
        <v>12</v>
      </c>
      <c r="E22">
        <v>12</v>
      </c>
    </row>
    <row r="23" spans="1:5" x14ac:dyDescent="0.35">
      <c r="A23" t="s">
        <v>103</v>
      </c>
      <c r="B23" t="s">
        <v>322</v>
      </c>
      <c r="C23" t="s">
        <v>322</v>
      </c>
      <c r="D23">
        <v>1</v>
      </c>
      <c r="E23">
        <v>1</v>
      </c>
    </row>
    <row r="24" spans="1:5" x14ac:dyDescent="0.35">
      <c r="A24" t="s">
        <v>226</v>
      </c>
      <c r="B24" t="s">
        <v>323</v>
      </c>
      <c r="C24" t="s">
        <v>321</v>
      </c>
      <c r="D24">
        <v>2</v>
      </c>
      <c r="E24">
        <v>2</v>
      </c>
    </row>
    <row r="25" spans="1:5" x14ac:dyDescent="0.35">
      <c r="A25" t="s">
        <v>226</v>
      </c>
      <c r="B25" t="s">
        <v>324</v>
      </c>
      <c r="C25" t="s">
        <v>325</v>
      </c>
      <c r="D25">
        <v>11</v>
      </c>
      <c r="E25">
        <v>11</v>
      </c>
    </row>
    <row r="26" spans="1:5" x14ac:dyDescent="0.35">
      <c r="A26" t="s">
        <v>233</v>
      </c>
      <c r="B26" t="s">
        <v>326</v>
      </c>
      <c r="C26" t="s">
        <v>326</v>
      </c>
      <c r="D26">
        <v>1</v>
      </c>
      <c r="E26">
        <v>1</v>
      </c>
    </row>
    <row r="27" spans="1:5" x14ac:dyDescent="0.35">
      <c r="A27" t="s">
        <v>161</v>
      </c>
      <c r="B27" t="s">
        <v>296</v>
      </c>
      <c r="C27" t="s">
        <v>310</v>
      </c>
      <c r="D27">
        <v>5</v>
      </c>
      <c r="E27">
        <v>5</v>
      </c>
    </row>
    <row r="28" spans="1:5" x14ac:dyDescent="0.35">
      <c r="A28" t="s">
        <v>162</v>
      </c>
      <c r="B28" t="s">
        <v>327</v>
      </c>
      <c r="C28" t="s">
        <v>327</v>
      </c>
      <c r="D28">
        <v>1</v>
      </c>
      <c r="E28">
        <v>1</v>
      </c>
    </row>
    <row r="29" spans="1:5" x14ac:dyDescent="0.35">
      <c r="A29" t="s">
        <v>162</v>
      </c>
      <c r="B29" t="s">
        <v>328</v>
      </c>
      <c r="C29" t="s">
        <v>316</v>
      </c>
      <c r="D29">
        <v>2</v>
      </c>
      <c r="E29">
        <v>2</v>
      </c>
    </row>
    <row r="30" spans="1:5" x14ac:dyDescent="0.35">
      <c r="A30" t="s">
        <v>162</v>
      </c>
      <c r="B30" t="s">
        <v>317</v>
      </c>
      <c r="C30" t="s">
        <v>304</v>
      </c>
      <c r="D30">
        <v>2</v>
      </c>
      <c r="E30">
        <v>2</v>
      </c>
    </row>
    <row r="31" spans="1:5" x14ac:dyDescent="0.35">
      <c r="A31" t="s">
        <v>162</v>
      </c>
      <c r="B31" t="s">
        <v>310</v>
      </c>
      <c r="C31" t="s">
        <v>329</v>
      </c>
      <c r="D31">
        <v>2</v>
      </c>
      <c r="E31">
        <v>2</v>
      </c>
    </row>
    <row r="32" spans="1:5" x14ac:dyDescent="0.35">
      <c r="A32" t="s">
        <v>245</v>
      </c>
      <c r="B32" t="s">
        <v>322</v>
      </c>
      <c r="C32" t="s">
        <v>322</v>
      </c>
      <c r="D32">
        <v>1</v>
      </c>
      <c r="E32">
        <v>1</v>
      </c>
    </row>
    <row r="33" spans="1:5" x14ac:dyDescent="0.35">
      <c r="A33" t="s">
        <v>259</v>
      </c>
      <c r="B33" t="s">
        <v>326</v>
      </c>
      <c r="C33" t="s">
        <v>326</v>
      </c>
      <c r="D33">
        <v>1</v>
      </c>
      <c r="E33">
        <v>1</v>
      </c>
    </row>
    <row r="34" spans="1:5" x14ac:dyDescent="0.35">
      <c r="A34" t="s">
        <v>56</v>
      </c>
      <c r="B34" t="s">
        <v>330</v>
      </c>
      <c r="C34" t="s">
        <v>330</v>
      </c>
      <c r="D34">
        <v>1</v>
      </c>
      <c r="E34">
        <v>1</v>
      </c>
    </row>
    <row r="35" spans="1:5" x14ac:dyDescent="0.35">
      <c r="A35" t="s">
        <v>56</v>
      </c>
      <c r="B35" t="s">
        <v>331</v>
      </c>
      <c r="C35" t="s">
        <v>313</v>
      </c>
      <c r="D35">
        <v>3</v>
      </c>
      <c r="E35">
        <v>3</v>
      </c>
    </row>
    <row r="36" spans="1:5" x14ac:dyDescent="0.35">
      <c r="A36" t="s">
        <v>56</v>
      </c>
      <c r="B36" t="s">
        <v>300</v>
      </c>
      <c r="C36" t="s">
        <v>332</v>
      </c>
      <c r="D36">
        <v>6</v>
      </c>
      <c r="E36">
        <v>6</v>
      </c>
    </row>
    <row r="37" spans="1:5" x14ac:dyDescent="0.35">
      <c r="A37" t="s">
        <v>228</v>
      </c>
      <c r="B37" t="s">
        <v>333</v>
      </c>
      <c r="C37" t="s">
        <v>333</v>
      </c>
      <c r="D37">
        <v>1</v>
      </c>
      <c r="E37">
        <v>1</v>
      </c>
    </row>
    <row r="38" spans="1:5" x14ac:dyDescent="0.35">
      <c r="A38" t="s">
        <v>228</v>
      </c>
      <c r="B38" t="s">
        <v>312</v>
      </c>
      <c r="C38" t="s">
        <v>334</v>
      </c>
      <c r="D38">
        <v>5</v>
      </c>
      <c r="E38">
        <v>5</v>
      </c>
    </row>
    <row r="39" spans="1:5" x14ac:dyDescent="0.35">
      <c r="A39" t="s">
        <v>234</v>
      </c>
      <c r="B39" t="s">
        <v>326</v>
      </c>
      <c r="C39" t="s">
        <v>308</v>
      </c>
      <c r="D39">
        <v>3</v>
      </c>
      <c r="E39">
        <v>3</v>
      </c>
    </row>
    <row r="40" spans="1:5" x14ac:dyDescent="0.35">
      <c r="A40" t="s">
        <v>262</v>
      </c>
      <c r="B40" t="s">
        <v>327</v>
      </c>
      <c r="C40" t="s">
        <v>335</v>
      </c>
      <c r="D40">
        <v>3</v>
      </c>
      <c r="E40">
        <v>3</v>
      </c>
    </row>
    <row r="41" spans="1:5" x14ac:dyDescent="0.35">
      <c r="A41" t="s">
        <v>262</v>
      </c>
      <c r="B41" t="s">
        <v>316</v>
      </c>
      <c r="C41" t="s">
        <v>316</v>
      </c>
      <c r="D41">
        <v>1</v>
      </c>
      <c r="E41">
        <v>1</v>
      </c>
    </row>
    <row r="42" spans="1:5" x14ac:dyDescent="0.35">
      <c r="A42" t="s">
        <v>262</v>
      </c>
      <c r="B42" t="s">
        <v>317</v>
      </c>
      <c r="C42" t="s">
        <v>320</v>
      </c>
      <c r="D42">
        <v>12</v>
      </c>
      <c r="E42">
        <v>12</v>
      </c>
    </row>
    <row r="43" spans="1:5" x14ac:dyDescent="0.35">
      <c r="A43" t="s">
        <v>262</v>
      </c>
      <c r="B43" t="s">
        <v>336</v>
      </c>
      <c r="C43" t="s">
        <v>336</v>
      </c>
      <c r="D43">
        <v>1</v>
      </c>
      <c r="E43">
        <v>1</v>
      </c>
    </row>
    <row r="44" spans="1:5" x14ac:dyDescent="0.35">
      <c r="A44" t="s">
        <v>165</v>
      </c>
      <c r="B44" t="s">
        <v>337</v>
      </c>
      <c r="C44" t="s">
        <v>303</v>
      </c>
      <c r="D44">
        <v>3</v>
      </c>
      <c r="E44">
        <v>3</v>
      </c>
    </row>
    <row r="45" spans="1:5" x14ac:dyDescent="0.35">
      <c r="A45" t="s">
        <v>165</v>
      </c>
      <c r="B45" t="s">
        <v>338</v>
      </c>
      <c r="C45" t="s">
        <v>339</v>
      </c>
      <c r="D45">
        <v>2</v>
      </c>
      <c r="E45">
        <v>2</v>
      </c>
    </row>
    <row r="46" spans="1:5" x14ac:dyDescent="0.35">
      <c r="A46" t="s">
        <v>104</v>
      </c>
      <c r="B46" t="s">
        <v>340</v>
      </c>
      <c r="C46" t="s">
        <v>334</v>
      </c>
      <c r="D46">
        <v>2</v>
      </c>
      <c r="E46">
        <v>2</v>
      </c>
    </row>
    <row r="47" spans="1:5" x14ac:dyDescent="0.35">
      <c r="A47" t="s">
        <v>104</v>
      </c>
      <c r="B47" t="s">
        <v>341</v>
      </c>
      <c r="C47" t="s">
        <v>326</v>
      </c>
      <c r="D47">
        <v>3</v>
      </c>
      <c r="E47">
        <v>3</v>
      </c>
    </row>
    <row r="48" spans="1:5" x14ac:dyDescent="0.35">
      <c r="A48" t="s">
        <v>104</v>
      </c>
      <c r="B48" t="s">
        <v>342</v>
      </c>
      <c r="C48" t="s">
        <v>343</v>
      </c>
      <c r="D48">
        <v>8</v>
      </c>
      <c r="E48">
        <v>8</v>
      </c>
    </row>
    <row r="49" spans="1:5" x14ac:dyDescent="0.35">
      <c r="A49" t="s">
        <v>58</v>
      </c>
      <c r="B49" t="s">
        <v>344</v>
      </c>
      <c r="C49" t="s">
        <v>345</v>
      </c>
      <c r="D49">
        <v>2</v>
      </c>
      <c r="E49">
        <v>2</v>
      </c>
    </row>
    <row r="50" spans="1:5" x14ac:dyDescent="0.35">
      <c r="A50" t="s">
        <v>58</v>
      </c>
      <c r="B50" t="s">
        <v>346</v>
      </c>
      <c r="C50" t="s">
        <v>323</v>
      </c>
      <c r="D50">
        <v>5</v>
      </c>
      <c r="E50">
        <v>5</v>
      </c>
    </row>
    <row r="51" spans="1:5" x14ac:dyDescent="0.35">
      <c r="A51" t="s">
        <v>59</v>
      </c>
      <c r="B51" t="s">
        <v>322</v>
      </c>
      <c r="C51" t="s">
        <v>322</v>
      </c>
      <c r="D51">
        <v>1</v>
      </c>
      <c r="E51">
        <v>1</v>
      </c>
    </row>
    <row r="52" spans="1:5" x14ac:dyDescent="0.35">
      <c r="A52" t="s">
        <v>124</v>
      </c>
      <c r="B52" t="s">
        <v>300</v>
      </c>
      <c r="C52" t="s">
        <v>302</v>
      </c>
      <c r="D52">
        <v>2</v>
      </c>
      <c r="E52">
        <v>2</v>
      </c>
    </row>
    <row r="53" spans="1:5" x14ac:dyDescent="0.35">
      <c r="A53" t="s">
        <v>264</v>
      </c>
      <c r="B53" t="s">
        <v>347</v>
      </c>
      <c r="C53" t="s">
        <v>335</v>
      </c>
      <c r="D53">
        <v>8</v>
      </c>
      <c r="E53">
        <v>8</v>
      </c>
    </row>
    <row r="54" spans="1:5" x14ac:dyDescent="0.35">
      <c r="A54" t="s">
        <v>264</v>
      </c>
      <c r="B54" t="s">
        <v>348</v>
      </c>
      <c r="C54" t="s">
        <v>316</v>
      </c>
      <c r="D54">
        <v>3</v>
      </c>
      <c r="E54">
        <v>3</v>
      </c>
    </row>
    <row r="55" spans="1:5" x14ac:dyDescent="0.35">
      <c r="A55" t="s">
        <v>264</v>
      </c>
      <c r="B55" t="s">
        <v>317</v>
      </c>
      <c r="C55" t="s">
        <v>319</v>
      </c>
      <c r="D55">
        <v>11</v>
      </c>
      <c r="E55">
        <v>11</v>
      </c>
    </row>
    <row r="56" spans="1:5" x14ac:dyDescent="0.35">
      <c r="A56" t="s">
        <v>264</v>
      </c>
      <c r="B56" t="s">
        <v>349</v>
      </c>
      <c r="C56" t="s">
        <v>350</v>
      </c>
      <c r="D56">
        <v>3</v>
      </c>
      <c r="E56">
        <v>3</v>
      </c>
    </row>
    <row r="57" spans="1:5" x14ac:dyDescent="0.35">
      <c r="A57" t="s">
        <v>267</v>
      </c>
      <c r="B57" t="s">
        <v>296</v>
      </c>
      <c r="C57" t="s">
        <v>351</v>
      </c>
      <c r="D57">
        <v>12</v>
      </c>
      <c r="E57">
        <v>12</v>
      </c>
    </row>
    <row r="58" spans="1:5" x14ac:dyDescent="0.35">
      <c r="A58" t="s">
        <v>268</v>
      </c>
      <c r="B58" t="s">
        <v>336</v>
      </c>
      <c r="C58" t="s">
        <v>299</v>
      </c>
      <c r="D58">
        <v>2</v>
      </c>
      <c r="E58">
        <v>2</v>
      </c>
    </row>
    <row r="59" spans="1:5" x14ac:dyDescent="0.35">
      <c r="A59" t="s">
        <v>221</v>
      </c>
      <c r="B59" t="s">
        <v>352</v>
      </c>
      <c r="C59" t="s">
        <v>352</v>
      </c>
      <c r="D59">
        <v>1</v>
      </c>
      <c r="E59">
        <v>1</v>
      </c>
    </row>
    <row r="60" spans="1:5" x14ac:dyDescent="0.35">
      <c r="A60" t="s">
        <v>221</v>
      </c>
      <c r="B60" t="s">
        <v>353</v>
      </c>
      <c r="C60" t="s">
        <v>353</v>
      </c>
      <c r="D60">
        <v>1</v>
      </c>
      <c r="E60">
        <v>1</v>
      </c>
    </row>
    <row r="61" spans="1:5" x14ac:dyDescent="0.35">
      <c r="A61" t="s">
        <v>221</v>
      </c>
      <c r="B61" t="s">
        <v>354</v>
      </c>
      <c r="C61" t="s">
        <v>354</v>
      </c>
      <c r="D61">
        <v>1</v>
      </c>
      <c r="E61">
        <v>1</v>
      </c>
    </row>
    <row r="62" spans="1:5" x14ac:dyDescent="0.35">
      <c r="A62" t="s">
        <v>221</v>
      </c>
      <c r="B62" t="s">
        <v>326</v>
      </c>
      <c r="C62" t="s">
        <v>326</v>
      </c>
      <c r="D62">
        <v>1</v>
      </c>
      <c r="E62">
        <v>1</v>
      </c>
    </row>
    <row r="63" spans="1:5" x14ac:dyDescent="0.35">
      <c r="A63" t="s">
        <v>229</v>
      </c>
      <c r="B63" t="s">
        <v>306</v>
      </c>
      <c r="C63" t="s">
        <v>355</v>
      </c>
      <c r="D63">
        <v>2</v>
      </c>
      <c r="E63">
        <v>2</v>
      </c>
    </row>
    <row r="64" spans="1:5" x14ac:dyDescent="0.35">
      <c r="A64" t="s">
        <v>229</v>
      </c>
      <c r="B64" t="s">
        <v>312</v>
      </c>
      <c r="C64" t="s">
        <v>312</v>
      </c>
      <c r="D64">
        <v>1</v>
      </c>
      <c r="E64">
        <v>1</v>
      </c>
    </row>
    <row r="65" spans="1:5" x14ac:dyDescent="0.35">
      <c r="A65" t="s">
        <v>229</v>
      </c>
      <c r="B65" t="s">
        <v>299</v>
      </c>
      <c r="C65" t="s">
        <v>294</v>
      </c>
      <c r="D65">
        <v>3</v>
      </c>
      <c r="E65">
        <v>3</v>
      </c>
    </row>
    <row r="66" spans="1:5" x14ac:dyDescent="0.35">
      <c r="A66" t="s">
        <v>229</v>
      </c>
      <c r="B66" t="s">
        <v>356</v>
      </c>
      <c r="C66" t="s">
        <v>356</v>
      </c>
      <c r="D66">
        <v>1</v>
      </c>
      <c r="E66">
        <v>1</v>
      </c>
    </row>
    <row r="67" spans="1:5" x14ac:dyDescent="0.35">
      <c r="A67" t="s">
        <v>229</v>
      </c>
      <c r="B67" t="s">
        <v>357</v>
      </c>
      <c r="C67" t="s">
        <v>358</v>
      </c>
      <c r="D67">
        <v>5</v>
      </c>
      <c r="E67">
        <v>5</v>
      </c>
    </row>
    <row r="68" spans="1:5" x14ac:dyDescent="0.35">
      <c r="A68" t="s">
        <v>269</v>
      </c>
      <c r="B68" t="s">
        <v>359</v>
      </c>
      <c r="C68" t="s">
        <v>350</v>
      </c>
      <c r="D68">
        <v>12</v>
      </c>
      <c r="E68">
        <v>12</v>
      </c>
    </row>
    <row r="69" spans="1:5" x14ac:dyDescent="0.35">
      <c r="A69" t="s">
        <v>107</v>
      </c>
      <c r="B69" t="s">
        <v>313</v>
      </c>
      <c r="C69" t="s">
        <v>313</v>
      </c>
      <c r="D69">
        <v>1</v>
      </c>
      <c r="E69">
        <v>1</v>
      </c>
    </row>
    <row r="70" spans="1:5" x14ac:dyDescent="0.35">
      <c r="A70" t="s">
        <v>107</v>
      </c>
      <c r="B70" t="s">
        <v>300</v>
      </c>
      <c r="C70" t="s">
        <v>300</v>
      </c>
      <c r="D70">
        <v>1</v>
      </c>
      <c r="E70">
        <v>1</v>
      </c>
    </row>
    <row r="71" spans="1:5" x14ac:dyDescent="0.35">
      <c r="A71" t="s">
        <v>89</v>
      </c>
      <c r="B71" t="s">
        <v>329</v>
      </c>
      <c r="C71" t="s">
        <v>329</v>
      </c>
      <c r="D71">
        <v>1</v>
      </c>
      <c r="E71">
        <v>1</v>
      </c>
    </row>
    <row r="72" spans="1:5" x14ac:dyDescent="0.35">
      <c r="A72" t="s">
        <v>89</v>
      </c>
      <c r="B72" t="s">
        <v>336</v>
      </c>
      <c r="C72" t="s">
        <v>331</v>
      </c>
      <c r="D72">
        <v>6</v>
      </c>
      <c r="E72">
        <v>6</v>
      </c>
    </row>
    <row r="73" spans="1:5" x14ac:dyDescent="0.35">
      <c r="A73" t="s">
        <v>89</v>
      </c>
      <c r="B73" t="s">
        <v>360</v>
      </c>
      <c r="C73" t="s">
        <v>323</v>
      </c>
      <c r="D73">
        <v>4</v>
      </c>
      <c r="E73">
        <v>4</v>
      </c>
    </row>
    <row r="74" spans="1:5" x14ac:dyDescent="0.35">
      <c r="A74" t="s">
        <v>92</v>
      </c>
      <c r="B74" t="s">
        <v>313</v>
      </c>
      <c r="C74" t="s">
        <v>313</v>
      </c>
      <c r="D74">
        <v>1</v>
      </c>
      <c r="E74">
        <v>1</v>
      </c>
    </row>
    <row r="75" spans="1:5" x14ac:dyDescent="0.35">
      <c r="A75" t="s">
        <v>92</v>
      </c>
      <c r="B75" t="s">
        <v>341</v>
      </c>
      <c r="C75" t="s">
        <v>341</v>
      </c>
      <c r="D75">
        <v>1</v>
      </c>
      <c r="E75">
        <v>1</v>
      </c>
    </row>
    <row r="76" spans="1:5" x14ac:dyDescent="0.35">
      <c r="A76" t="s">
        <v>92</v>
      </c>
      <c r="B76" t="s">
        <v>324</v>
      </c>
      <c r="C76" t="s">
        <v>324</v>
      </c>
      <c r="D76">
        <v>1</v>
      </c>
      <c r="E76">
        <v>1</v>
      </c>
    </row>
    <row r="77" spans="1:5" x14ac:dyDescent="0.35">
      <c r="A77" t="s">
        <v>95</v>
      </c>
      <c r="B77" t="s">
        <v>335</v>
      </c>
      <c r="C77" t="s">
        <v>361</v>
      </c>
      <c r="D77">
        <v>8</v>
      </c>
      <c r="E77">
        <v>8</v>
      </c>
    </row>
    <row r="78" spans="1:5" x14ac:dyDescent="0.35">
      <c r="A78" t="s">
        <v>95</v>
      </c>
      <c r="B78" t="s">
        <v>297</v>
      </c>
      <c r="C78" t="s">
        <v>297</v>
      </c>
      <c r="D78">
        <v>1</v>
      </c>
      <c r="E78">
        <v>1</v>
      </c>
    </row>
    <row r="79" spans="1:5" x14ac:dyDescent="0.35">
      <c r="A79" t="s">
        <v>95</v>
      </c>
      <c r="B79" t="s">
        <v>313</v>
      </c>
      <c r="C79" t="s">
        <v>313</v>
      </c>
      <c r="D79">
        <v>1</v>
      </c>
      <c r="E79">
        <v>1</v>
      </c>
    </row>
    <row r="80" spans="1:5" x14ac:dyDescent="0.35">
      <c r="A80" t="s">
        <v>95</v>
      </c>
      <c r="B80" t="s">
        <v>300</v>
      </c>
      <c r="C80" t="s">
        <v>301</v>
      </c>
      <c r="D80">
        <v>5</v>
      </c>
      <c r="E80">
        <v>5</v>
      </c>
    </row>
    <row r="81" spans="1:5" x14ac:dyDescent="0.35">
      <c r="A81" t="s">
        <v>222</v>
      </c>
      <c r="B81" t="s">
        <v>313</v>
      </c>
      <c r="C81" t="s">
        <v>313</v>
      </c>
      <c r="D81">
        <v>1</v>
      </c>
      <c r="E81">
        <v>1</v>
      </c>
    </row>
    <row r="82" spans="1:5" x14ac:dyDescent="0.35">
      <c r="A82" t="s">
        <v>222</v>
      </c>
      <c r="B82" t="s">
        <v>362</v>
      </c>
      <c r="C82" t="s">
        <v>362</v>
      </c>
      <c r="D82">
        <v>1</v>
      </c>
      <c r="E82">
        <v>1</v>
      </c>
    </row>
    <row r="83" spans="1:5" x14ac:dyDescent="0.35">
      <c r="A83" t="s">
        <v>97</v>
      </c>
      <c r="B83" t="s">
        <v>349</v>
      </c>
      <c r="C83" t="s">
        <v>349</v>
      </c>
      <c r="D83">
        <v>1</v>
      </c>
      <c r="E83">
        <v>1</v>
      </c>
    </row>
    <row r="84" spans="1:5" x14ac:dyDescent="0.35">
      <c r="A84" t="s">
        <v>98</v>
      </c>
      <c r="B84" t="s">
        <v>363</v>
      </c>
      <c r="C84" t="s">
        <v>364</v>
      </c>
      <c r="D84">
        <v>2</v>
      </c>
      <c r="E84">
        <v>2</v>
      </c>
    </row>
    <row r="85" spans="1:5" x14ac:dyDescent="0.35">
      <c r="A85" t="s">
        <v>98</v>
      </c>
      <c r="B85" t="s">
        <v>309</v>
      </c>
      <c r="C85" t="s">
        <v>322</v>
      </c>
      <c r="D85">
        <v>3</v>
      </c>
      <c r="E85">
        <v>3</v>
      </c>
    </row>
    <row r="86" spans="1:5" x14ac:dyDescent="0.35">
      <c r="A86" t="s">
        <v>223</v>
      </c>
      <c r="B86" t="s">
        <v>344</v>
      </c>
      <c r="C86" t="s">
        <v>365</v>
      </c>
      <c r="D86">
        <v>3</v>
      </c>
      <c r="E86">
        <v>3</v>
      </c>
    </row>
    <row r="87" spans="1:5" x14ac:dyDescent="0.35">
      <c r="A87" t="s">
        <v>223</v>
      </c>
      <c r="B87" t="s">
        <v>329</v>
      </c>
      <c r="C87" t="s">
        <v>298</v>
      </c>
      <c r="D87">
        <v>2</v>
      </c>
      <c r="E87">
        <v>2</v>
      </c>
    </row>
    <row r="88" spans="1:5" x14ac:dyDescent="0.35">
      <c r="A88" t="s">
        <v>223</v>
      </c>
      <c r="B88" t="s">
        <v>331</v>
      </c>
      <c r="C88" t="s">
        <v>314</v>
      </c>
      <c r="D88">
        <v>2</v>
      </c>
      <c r="E88">
        <v>2</v>
      </c>
    </row>
    <row r="89" spans="1:5" x14ac:dyDescent="0.35">
      <c r="A89" t="s">
        <v>170</v>
      </c>
      <c r="B89" t="s">
        <v>366</v>
      </c>
      <c r="C89" t="s">
        <v>307</v>
      </c>
      <c r="D89">
        <v>3</v>
      </c>
      <c r="E89">
        <v>3</v>
      </c>
    </row>
    <row r="90" spans="1:5" x14ac:dyDescent="0.35">
      <c r="A90" t="s">
        <v>170</v>
      </c>
      <c r="B90" t="s">
        <v>320</v>
      </c>
      <c r="C90" t="s">
        <v>338</v>
      </c>
      <c r="D90">
        <v>5</v>
      </c>
      <c r="E90">
        <v>5</v>
      </c>
    </row>
    <row r="91" spans="1:5" x14ac:dyDescent="0.35">
      <c r="A91" t="s">
        <v>172</v>
      </c>
      <c r="B91" t="s">
        <v>367</v>
      </c>
      <c r="C91" t="s">
        <v>337</v>
      </c>
      <c r="D91">
        <v>2</v>
      </c>
      <c r="E91">
        <v>2</v>
      </c>
    </row>
    <row r="92" spans="1:5" x14ac:dyDescent="0.35">
      <c r="A92" t="s">
        <v>174</v>
      </c>
      <c r="B92" t="s">
        <v>368</v>
      </c>
      <c r="C92" t="s">
        <v>316</v>
      </c>
      <c r="D92">
        <v>8</v>
      </c>
      <c r="E92">
        <v>8</v>
      </c>
    </row>
    <row r="93" spans="1:5" x14ac:dyDescent="0.35">
      <c r="A93" t="s">
        <v>174</v>
      </c>
      <c r="B93" t="s">
        <v>317</v>
      </c>
      <c r="C93" t="s">
        <v>318</v>
      </c>
      <c r="D93">
        <v>5</v>
      </c>
      <c r="E93">
        <v>5</v>
      </c>
    </row>
    <row r="94" spans="1:5" x14ac:dyDescent="0.35">
      <c r="A94" t="s">
        <v>174</v>
      </c>
      <c r="B94" t="s">
        <v>329</v>
      </c>
      <c r="C94" t="s">
        <v>336</v>
      </c>
      <c r="D94">
        <v>5</v>
      </c>
      <c r="E94">
        <v>5</v>
      </c>
    </row>
    <row r="95" spans="1:5" x14ac:dyDescent="0.35">
      <c r="A95" t="s">
        <v>175</v>
      </c>
      <c r="B95" t="s">
        <v>337</v>
      </c>
      <c r="C95" t="s">
        <v>337</v>
      </c>
      <c r="D95">
        <v>1</v>
      </c>
      <c r="E95">
        <v>1</v>
      </c>
    </row>
    <row r="96" spans="1:5" x14ac:dyDescent="0.35">
      <c r="A96" t="s">
        <v>175</v>
      </c>
      <c r="B96" t="s">
        <v>361</v>
      </c>
      <c r="C96" t="s">
        <v>316</v>
      </c>
      <c r="D96">
        <v>6</v>
      </c>
      <c r="E96">
        <v>6</v>
      </c>
    </row>
    <row r="97" spans="1:5" x14ac:dyDescent="0.35">
      <c r="A97" t="s">
        <v>175</v>
      </c>
      <c r="B97" t="s">
        <v>317</v>
      </c>
      <c r="C97" t="s">
        <v>317</v>
      </c>
      <c r="D97">
        <v>1</v>
      </c>
      <c r="E97">
        <v>1</v>
      </c>
    </row>
    <row r="98" spans="1:5" x14ac:dyDescent="0.35">
      <c r="A98" t="s">
        <v>175</v>
      </c>
      <c r="B98" t="s">
        <v>297</v>
      </c>
      <c r="C98" t="s">
        <v>298</v>
      </c>
      <c r="D98">
        <v>6</v>
      </c>
      <c r="E98">
        <v>6</v>
      </c>
    </row>
    <row r="99" spans="1:5" x14ac:dyDescent="0.35">
      <c r="A99" t="s">
        <v>282</v>
      </c>
      <c r="B99" t="s">
        <v>342</v>
      </c>
      <c r="C99" t="s">
        <v>342</v>
      </c>
      <c r="D99">
        <v>1</v>
      </c>
      <c r="E99">
        <v>1</v>
      </c>
    </row>
    <row r="100" spans="1:5" x14ac:dyDescent="0.35">
      <c r="A100" t="s">
        <v>181</v>
      </c>
      <c r="B100" t="s">
        <v>368</v>
      </c>
      <c r="C100" t="s">
        <v>368</v>
      </c>
      <c r="D100">
        <v>1</v>
      </c>
      <c r="E100">
        <v>1</v>
      </c>
    </row>
    <row r="101" spans="1:5" x14ac:dyDescent="0.35">
      <c r="A101" t="s">
        <v>108</v>
      </c>
      <c r="B101" t="s">
        <v>344</v>
      </c>
      <c r="C101" t="s">
        <v>345</v>
      </c>
      <c r="D101">
        <v>2</v>
      </c>
      <c r="E101">
        <v>2</v>
      </c>
    </row>
    <row r="102" spans="1:5" x14ac:dyDescent="0.35">
      <c r="A102" t="s">
        <v>236</v>
      </c>
      <c r="B102" t="s">
        <v>341</v>
      </c>
      <c r="C102" t="s">
        <v>359</v>
      </c>
      <c r="D102">
        <v>2</v>
      </c>
      <c r="E102">
        <v>2</v>
      </c>
    </row>
    <row r="103" spans="1:5" x14ac:dyDescent="0.35">
      <c r="A103" t="s">
        <v>109</v>
      </c>
      <c r="B103" t="s">
        <v>360</v>
      </c>
      <c r="C103" t="s">
        <v>363</v>
      </c>
      <c r="D103">
        <v>2</v>
      </c>
      <c r="E103">
        <v>2</v>
      </c>
    </row>
    <row r="104" spans="1:5" x14ac:dyDescent="0.35">
      <c r="A104" t="s">
        <v>215</v>
      </c>
      <c r="B104" t="s">
        <v>301</v>
      </c>
      <c r="C104" t="s">
        <v>332</v>
      </c>
      <c r="D104">
        <v>2</v>
      </c>
      <c r="E104">
        <v>2</v>
      </c>
    </row>
    <row r="105" spans="1:5" x14ac:dyDescent="0.35">
      <c r="A105" t="s">
        <v>230</v>
      </c>
      <c r="B105" t="s">
        <v>347</v>
      </c>
      <c r="C105" t="s">
        <v>369</v>
      </c>
      <c r="D105">
        <v>2</v>
      </c>
      <c r="E105">
        <v>2</v>
      </c>
    </row>
    <row r="106" spans="1:5" x14ac:dyDescent="0.35">
      <c r="A106" t="s">
        <v>230</v>
      </c>
      <c r="B106" t="s">
        <v>352</v>
      </c>
      <c r="C106" t="s">
        <v>316</v>
      </c>
      <c r="D106">
        <v>4</v>
      </c>
      <c r="E106">
        <v>4</v>
      </c>
    </row>
    <row r="107" spans="1:5" x14ac:dyDescent="0.35">
      <c r="A107" t="s">
        <v>230</v>
      </c>
      <c r="B107" t="s">
        <v>317</v>
      </c>
      <c r="C107" t="s">
        <v>318</v>
      </c>
      <c r="D107">
        <v>5</v>
      </c>
      <c r="E107">
        <v>5</v>
      </c>
    </row>
    <row r="108" spans="1:5" x14ac:dyDescent="0.35">
      <c r="A108" t="s">
        <v>230</v>
      </c>
      <c r="B108" t="s">
        <v>299</v>
      </c>
      <c r="C108" t="s">
        <v>294</v>
      </c>
      <c r="D108">
        <v>3</v>
      </c>
      <c r="E108">
        <v>3</v>
      </c>
    </row>
    <row r="109" spans="1:5" x14ac:dyDescent="0.35">
      <c r="A109" t="s">
        <v>186</v>
      </c>
      <c r="B109" t="s">
        <v>370</v>
      </c>
      <c r="C109" t="s">
        <v>369</v>
      </c>
      <c r="D109">
        <v>7</v>
      </c>
      <c r="E109">
        <v>7</v>
      </c>
    </row>
    <row r="110" spans="1:5" x14ac:dyDescent="0.35">
      <c r="A110" t="s">
        <v>186</v>
      </c>
      <c r="B110" t="s">
        <v>333</v>
      </c>
      <c r="C110" t="s">
        <v>352</v>
      </c>
      <c r="D110">
        <v>9</v>
      </c>
      <c r="E110">
        <v>9</v>
      </c>
    </row>
    <row r="111" spans="1:5" x14ac:dyDescent="0.35">
      <c r="A111" t="s">
        <v>142</v>
      </c>
      <c r="B111" t="s">
        <v>358</v>
      </c>
      <c r="C111" t="s">
        <v>371</v>
      </c>
      <c r="D111">
        <v>2</v>
      </c>
      <c r="E111">
        <v>2</v>
      </c>
    </row>
    <row r="112" spans="1:5" x14ac:dyDescent="0.35">
      <c r="A112" t="s">
        <v>144</v>
      </c>
      <c r="B112" t="s">
        <v>315</v>
      </c>
      <c r="C112" t="s">
        <v>361</v>
      </c>
      <c r="D112">
        <v>2</v>
      </c>
      <c r="E112">
        <v>2</v>
      </c>
    </row>
    <row r="113" spans="1:5" x14ac:dyDescent="0.35">
      <c r="A113" t="s">
        <v>144</v>
      </c>
      <c r="B113" t="s">
        <v>356</v>
      </c>
      <c r="C113" t="s">
        <v>301</v>
      </c>
      <c r="D113">
        <v>2</v>
      </c>
      <c r="E113">
        <v>2</v>
      </c>
    </row>
    <row r="114" spans="1:5" x14ac:dyDescent="0.35">
      <c r="A114" t="s">
        <v>274</v>
      </c>
      <c r="B114" t="s">
        <v>308</v>
      </c>
      <c r="C114" t="s">
        <v>309</v>
      </c>
      <c r="D114">
        <v>2</v>
      </c>
      <c r="E114">
        <v>2</v>
      </c>
    </row>
    <row r="115" spans="1:5" x14ac:dyDescent="0.35">
      <c r="A115" t="s">
        <v>62</v>
      </c>
      <c r="B115" t="s">
        <v>344</v>
      </c>
      <c r="C115" t="s">
        <v>319</v>
      </c>
      <c r="D115">
        <v>4</v>
      </c>
      <c r="E115">
        <v>4</v>
      </c>
    </row>
    <row r="116" spans="1:5" x14ac:dyDescent="0.35">
      <c r="A116" t="s">
        <v>64</v>
      </c>
      <c r="B116" t="s">
        <v>361</v>
      </c>
      <c r="C116" t="s">
        <v>361</v>
      </c>
      <c r="D116">
        <v>1</v>
      </c>
      <c r="E116">
        <v>1</v>
      </c>
    </row>
    <row r="117" spans="1:5" x14ac:dyDescent="0.35">
      <c r="A117" t="s">
        <v>113</v>
      </c>
      <c r="B117" t="s">
        <v>306</v>
      </c>
      <c r="C117" t="s">
        <v>366</v>
      </c>
      <c r="D117">
        <v>5</v>
      </c>
      <c r="E117">
        <v>5</v>
      </c>
    </row>
    <row r="118" spans="1:5" x14ac:dyDescent="0.35">
      <c r="A118" t="s">
        <v>113</v>
      </c>
      <c r="B118" t="s">
        <v>372</v>
      </c>
      <c r="C118" t="s">
        <v>328</v>
      </c>
      <c r="D118">
        <v>9</v>
      </c>
      <c r="E118">
        <v>9</v>
      </c>
    </row>
    <row r="119" spans="1:5" x14ac:dyDescent="0.35">
      <c r="A119" t="s">
        <v>289</v>
      </c>
      <c r="B119" t="s">
        <v>356</v>
      </c>
      <c r="C119" t="s">
        <v>356</v>
      </c>
      <c r="D119">
        <v>1</v>
      </c>
      <c r="E119">
        <v>1</v>
      </c>
    </row>
    <row r="120" spans="1:5" x14ac:dyDescent="0.35">
      <c r="A120" t="s">
        <v>289</v>
      </c>
      <c r="B120" t="s">
        <v>323</v>
      </c>
      <c r="C120" t="s">
        <v>342</v>
      </c>
      <c r="D120">
        <v>11</v>
      </c>
      <c r="E120">
        <v>11</v>
      </c>
    </row>
    <row r="121" spans="1:5" x14ac:dyDescent="0.35">
      <c r="A121" t="s">
        <v>284</v>
      </c>
      <c r="B121" t="s">
        <v>368</v>
      </c>
      <c r="C121" t="s">
        <v>315</v>
      </c>
      <c r="D121">
        <v>2</v>
      </c>
      <c r="E121">
        <v>2</v>
      </c>
    </row>
    <row r="122" spans="1:5" x14ac:dyDescent="0.35">
      <c r="A122" t="s">
        <v>284</v>
      </c>
      <c r="B122" t="s">
        <v>317</v>
      </c>
      <c r="C122" t="s">
        <v>373</v>
      </c>
      <c r="D122">
        <v>13</v>
      </c>
      <c r="E122">
        <v>13</v>
      </c>
    </row>
    <row r="123" spans="1:5" x14ac:dyDescent="0.35">
      <c r="A123" t="s">
        <v>286</v>
      </c>
      <c r="B123" t="s">
        <v>374</v>
      </c>
      <c r="C123" t="s">
        <v>316</v>
      </c>
      <c r="D123">
        <v>9</v>
      </c>
      <c r="E123">
        <v>9</v>
      </c>
    </row>
    <row r="124" spans="1:5" x14ac:dyDescent="0.35">
      <c r="A124" t="s">
        <v>286</v>
      </c>
      <c r="B124" t="s">
        <v>317</v>
      </c>
      <c r="C124" t="s">
        <v>317</v>
      </c>
      <c r="D124">
        <v>1</v>
      </c>
      <c r="E124">
        <v>1</v>
      </c>
    </row>
    <row r="125" spans="1:5" x14ac:dyDescent="0.35">
      <c r="A125" t="s">
        <v>286</v>
      </c>
      <c r="B125" t="s">
        <v>373</v>
      </c>
      <c r="C125" t="s">
        <v>298</v>
      </c>
      <c r="D125">
        <v>8</v>
      </c>
      <c r="E125">
        <v>8</v>
      </c>
    </row>
    <row r="126" spans="1:5" x14ac:dyDescent="0.35">
      <c r="A126" t="s">
        <v>286</v>
      </c>
      <c r="B126" t="s">
        <v>351</v>
      </c>
      <c r="C126" t="s">
        <v>351</v>
      </c>
      <c r="D126">
        <v>1</v>
      </c>
      <c r="E126">
        <v>1</v>
      </c>
    </row>
    <row r="127" spans="1:5" x14ac:dyDescent="0.35">
      <c r="A127" t="s">
        <v>286</v>
      </c>
      <c r="B127" t="s">
        <v>313</v>
      </c>
      <c r="C127" t="s">
        <v>313</v>
      </c>
      <c r="D127">
        <v>1</v>
      </c>
      <c r="E127">
        <v>1</v>
      </c>
    </row>
    <row r="128" spans="1:5" x14ac:dyDescent="0.35">
      <c r="A128" t="s">
        <v>286</v>
      </c>
      <c r="B128" t="s">
        <v>300</v>
      </c>
      <c r="C128" t="s">
        <v>354</v>
      </c>
      <c r="D128">
        <v>3</v>
      </c>
      <c r="E128">
        <v>3</v>
      </c>
    </row>
    <row r="129" spans="1:5" x14ac:dyDescent="0.35">
      <c r="A129" t="s">
        <v>286</v>
      </c>
      <c r="B129" t="s">
        <v>363</v>
      </c>
      <c r="C129" t="s">
        <v>308</v>
      </c>
      <c r="D129">
        <v>9</v>
      </c>
      <c r="E129">
        <v>9</v>
      </c>
    </row>
    <row r="130" spans="1:5" x14ac:dyDescent="0.35">
      <c r="A130" t="s">
        <v>286</v>
      </c>
      <c r="B130" t="s">
        <v>342</v>
      </c>
      <c r="C130" t="s">
        <v>342</v>
      </c>
      <c r="D130">
        <v>1</v>
      </c>
      <c r="E130">
        <v>1</v>
      </c>
    </row>
    <row r="131" spans="1:5" x14ac:dyDescent="0.35">
      <c r="A131" t="s">
        <v>190</v>
      </c>
      <c r="B131" t="s">
        <v>335</v>
      </c>
      <c r="C131" t="s">
        <v>375</v>
      </c>
      <c r="D131">
        <v>3</v>
      </c>
      <c r="E131">
        <v>3</v>
      </c>
    </row>
    <row r="132" spans="1:5" x14ac:dyDescent="0.35">
      <c r="A132" t="s">
        <v>190</v>
      </c>
      <c r="B132" t="s">
        <v>296</v>
      </c>
      <c r="C132" t="s">
        <v>297</v>
      </c>
      <c r="D132">
        <v>2</v>
      </c>
      <c r="E132">
        <v>2</v>
      </c>
    </row>
    <row r="133" spans="1:5" x14ac:dyDescent="0.35">
      <c r="A133" t="s">
        <v>87</v>
      </c>
      <c r="B133" t="s">
        <v>323</v>
      </c>
      <c r="C133" t="s">
        <v>323</v>
      </c>
      <c r="D133">
        <v>1</v>
      </c>
      <c r="E133">
        <v>1</v>
      </c>
    </row>
    <row r="134" spans="1:5" x14ac:dyDescent="0.35">
      <c r="A134" t="s">
        <v>126</v>
      </c>
      <c r="B134" t="s">
        <v>345</v>
      </c>
      <c r="C134" t="s">
        <v>365</v>
      </c>
      <c r="D134">
        <v>2</v>
      </c>
      <c r="E134">
        <v>2</v>
      </c>
    </row>
    <row r="135" spans="1:5" x14ac:dyDescent="0.35">
      <c r="A135" t="s">
        <v>191</v>
      </c>
      <c r="B135" t="s">
        <v>333</v>
      </c>
      <c r="C135" t="s">
        <v>352</v>
      </c>
      <c r="D135">
        <v>9</v>
      </c>
      <c r="E135">
        <v>9</v>
      </c>
    </row>
    <row r="136" spans="1:5" x14ac:dyDescent="0.35">
      <c r="A136" t="s">
        <v>130</v>
      </c>
      <c r="B136" t="s">
        <v>297</v>
      </c>
      <c r="C136" t="s">
        <v>339</v>
      </c>
      <c r="D136">
        <v>3</v>
      </c>
      <c r="E136">
        <v>3</v>
      </c>
    </row>
    <row r="137" spans="1:5" x14ac:dyDescent="0.35">
      <c r="A137" t="s">
        <v>130</v>
      </c>
      <c r="B137" t="s">
        <v>300</v>
      </c>
      <c r="C137" t="s">
        <v>302</v>
      </c>
      <c r="D137">
        <v>2</v>
      </c>
      <c r="E137">
        <v>2</v>
      </c>
    </row>
    <row r="138" spans="1:5" x14ac:dyDescent="0.35">
      <c r="A138" t="s">
        <v>68</v>
      </c>
      <c r="B138" t="s">
        <v>306</v>
      </c>
      <c r="C138" t="s">
        <v>306</v>
      </c>
      <c r="D138">
        <v>1</v>
      </c>
      <c r="E138">
        <v>1</v>
      </c>
    </row>
    <row r="139" spans="1:5" x14ac:dyDescent="0.35">
      <c r="A139" t="s">
        <v>119</v>
      </c>
      <c r="B139" t="s">
        <v>320</v>
      </c>
      <c r="C139" t="s">
        <v>296</v>
      </c>
      <c r="D139">
        <v>3</v>
      </c>
      <c r="E139">
        <v>3</v>
      </c>
    </row>
    <row r="140" spans="1:5" x14ac:dyDescent="0.35">
      <c r="A140" t="s">
        <v>231</v>
      </c>
      <c r="B140" t="s">
        <v>337</v>
      </c>
      <c r="C140" t="s">
        <v>337</v>
      </c>
      <c r="D140">
        <v>1</v>
      </c>
      <c r="E140">
        <v>1</v>
      </c>
    </row>
    <row r="141" spans="1:5" x14ac:dyDescent="0.35">
      <c r="A141" t="s">
        <v>231</v>
      </c>
      <c r="B141" t="s">
        <v>299</v>
      </c>
      <c r="C141" t="s">
        <v>351</v>
      </c>
      <c r="D141">
        <v>2</v>
      </c>
      <c r="E141">
        <v>2</v>
      </c>
    </row>
    <row r="142" spans="1:5" x14ac:dyDescent="0.35">
      <c r="A142" t="s">
        <v>194</v>
      </c>
      <c r="B142" t="s">
        <v>347</v>
      </c>
      <c r="C142" t="s">
        <v>347</v>
      </c>
      <c r="D142">
        <v>1</v>
      </c>
      <c r="E142">
        <v>1</v>
      </c>
    </row>
    <row r="143" spans="1:5" x14ac:dyDescent="0.35">
      <c r="A143" t="s">
        <v>194</v>
      </c>
      <c r="B143" t="s">
        <v>315</v>
      </c>
      <c r="C143" t="s">
        <v>352</v>
      </c>
      <c r="D143">
        <v>4</v>
      </c>
      <c r="E143">
        <v>4</v>
      </c>
    </row>
    <row r="144" spans="1:5" x14ac:dyDescent="0.35">
      <c r="A144" t="s">
        <v>194</v>
      </c>
      <c r="B144" t="s">
        <v>365</v>
      </c>
      <c r="C144" t="s">
        <v>365</v>
      </c>
      <c r="D144">
        <v>1</v>
      </c>
      <c r="E144">
        <v>1</v>
      </c>
    </row>
    <row r="145" spans="1:5" x14ac:dyDescent="0.35">
      <c r="A145" t="s">
        <v>195</v>
      </c>
      <c r="B145" t="s">
        <v>376</v>
      </c>
      <c r="C145" t="s">
        <v>376</v>
      </c>
      <c r="D145">
        <v>1</v>
      </c>
      <c r="E145">
        <v>1</v>
      </c>
    </row>
    <row r="146" spans="1:5" x14ac:dyDescent="0.35">
      <c r="A146" t="s">
        <v>196</v>
      </c>
      <c r="B146" t="s">
        <v>303</v>
      </c>
      <c r="C146" t="s">
        <v>374</v>
      </c>
      <c r="D146">
        <v>6</v>
      </c>
      <c r="E146">
        <v>6</v>
      </c>
    </row>
    <row r="147" spans="1:5" x14ac:dyDescent="0.35">
      <c r="A147" t="s">
        <v>287</v>
      </c>
      <c r="B147" t="s">
        <v>359</v>
      </c>
      <c r="C147" t="s">
        <v>359</v>
      </c>
      <c r="D147">
        <v>1</v>
      </c>
      <c r="E147">
        <v>1</v>
      </c>
    </row>
    <row r="148" spans="1:5" x14ac:dyDescent="0.35">
      <c r="A148" t="s">
        <v>287</v>
      </c>
      <c r="B148" t="s">
        <v>309</v>
      </c>
      <c r="C148" t="s">
        <v>377</v>
      </c>
      <c r="D148">
        <v>7</v>
      </c>
      <c r="E148">
        <v>7</v>
      </c>
    </row>
    <row r="149" spans="1:5" x14ac:dyDescent="0.35">
      <c r="A149" t="s">
        <v>120</v>
      </c>
      <c r="B149" t="s">
        <v>360</v>
      </c>
      <c r="C149" t="s">
        <v>360</v>
      </c>
      <c r="D149">
        <v>1</v>
      </c>
      <c r="E149">
        <v>1</v>
      </c>
    </row>
    <row r="150" spans="1:5" x14ac:dyDescent="0.35">
      <c r="A150" t="s">
        <v>197</v>
      </c>
      <c r="B150" t="s">
        <v>303</v>
      </c>
      <c r="C150" t="s">
        <v>372</v>
      </c>
      <c r="D150">
        <v>5</v>
      </c>
      <c r="E150">
        <v>5</v>
      </c>
    </row>
    <row r="151" spans="1:5" x14ac:dyDescent="0.35">
      <c r="A151" t="s">
        <v>133</v>
      </c>
      <c r="B151" t="s">
        <v>309</v>
      </c>
      <c r="C151" t="s">
        <v>309</v>
      </c>
      <c r="D151">
        <v>1</v>
      </c>
      <c r="E151">
        <v>1</v>
      </c>
    </row>
    <row r="152" spans="1:5" x14ac:dyDescent="0.35">
      <c r="A152" t="s">
        <v>134</v>
      </c>
      <c r="B152" t="s">
        <v>300</v>
      </c>
      <c r="C152" t="s">
        <v>302</v>
      </c>
      <c r="D152">
        <v>2</v>
      </c>
      <c r="E152">
        <v>2</v>
      </c>
    </row>
    <row r="153" spans="1:5" x14ac:dyDescent="0.35">
      <c r="A153" t="s">
        <v>122</v>
      </c>
      <c r="B153" t="s">
        <v>330</v>
      </c>
      <c r="C153" t="s">
        <v>330</v>
      </c>
      <c r="D153">
        <v>1</v>
      </c>
      <c r="E153">
        <v>1</v>
      </c>
    </row>
    <row r="154" spans="1:5" x14ac:dyDescent="0.35">
      <c r="A154" t="s">
        <v>122</v>
      </c>
      <c r="B154" t="s">
        <v>368</v>
      </c>
      <c r="C154" t="s">
        <v>361</v>
      </c>
      <c r="D154">
        <v>3</v>
      </c>
      <c r="E154">
        <v>3</v>
      </c>
    </row>
    <row r="155" spans="1:5" x14ac:dyDescent="0.35">
      <c r="A155" t="s">
        <v>122</v>
      </c>
      <c r="B155" t="s">
        <v>339</v>
      </c>
      <c r="C155" t="s">
        <v>339</v>
      </c>
      <c r="D155">
        <v>1</v>
      </c>
      <c r="E155">
        <v>1</v>
      </c>
    </row>
    <row r="156" spans="1:5" x14ac:dyDescent="0.35">
      <c r="A156" t="s">
        <v>122</v>
      </c>
      <c r="B156" t="s">
        <v>295</v>
      </c>
      <c r="C156" t="s">
        <v>295</v>
      </c>
      <c r="D156">
        <v>1</v>
      </c>
      <c r="E156">
        <v>1</v>
      </c>
    </row>
    <row r="157" spans="1:5" x14ac:dyDescent="0.35">
      <c r="A157" t="s">
        <v>122</v>
      </c>
      <c r="B157" t="s">
        <v>332</v>
      </c>
      <c r="C157" t="s">
        <v>332</v>
      </c>
      <c r="D157">
        <v>1</v>
      </c>
      <c r="E15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7"/>
  <sheetViews>
    <sheetView workbookViewId="0">
      <selection activeCell="A2" sqref="A2"/>
    </sheetView>
  </sheetViews>
  <sheetFormatPr defaultRowHeight="14.5" x14ac:dyDescent="0.35"/>
  <cols>
    <col min="3" max="3" width="18.36328125" customWidth="1"/>
    <col min="4" max="4" width="20.26953125" bestFit="1" customWidth="1"/>
    <col min="5" max="5" width="22.26953125" bestFit="1" customWidth="1"/>
    <col min="6" max="6" width="14.08984375" bestFit="1" customWidth="1"/>
    <col min="8" max="8" width="22.6328125" bestFit="1" customWidth="1"/>
    <col min="9" max="9" width="17.26953125" bestFit="1" customWidth="1"/>
    <col min="10" max="10" width="21.36328125" bestFit="1" customWidth="1"/>
  </cols>
  <sheetData>
    <row r="1" spans="1:10" x14ac:dyDescent="0.35">
      <c r="A1" t="s">
        <v>378</v>
      </c>
    </row>
    <row r="2" spans="1:10" x14ac:dyDescent="0.35">
      <c r="A2" s="1" t="s">
        <v>16</v>
      </c>
      <c r="B2" s="1" t="s">
        <v>21</v>
      </c>
      <c r="C2" s="1" t="s">
        <v>49</v>
      </c>
      <c r="D2" s="1" t="s">
        <v>12</v>
      </c>
      <c r="E2" s="1" t="s">
        <v>50</v>
      </c>
      <c r="F2" s="1" t="s">
        <v>13</v>
      </c>
      <c r="G2" s="1" t="s">
        <v>14</v>
      </c>
      <c r="H2" s="1" t="s">
        <v>15</v>
      </c>
      <c r="I2" s="1" t="s">
        <v>51</v>
      </c>
      <c r="J2" s="1" t="s">
        <v>52</v>
      </c>
    </row>
    <row r="3" spans="1:10" x14ac:dyDescent="0.35">
      <c r="A3" t="s">
        <v>17</v>
      </c>
      <c r="B3" t="s">
        <v>22</v>
      </c>
      <c r="C3" t="s">
        <v>66</v>
      </c>
      <c r="D3">
        <v>6.99</v>
      </c>
      <c r="E3">
        <v>2.69</v>
      </c>
      <c r="F3">
        <v>153.78</v>
      </c>
      <c r="G3">
        <v>4</v>
      </c>
      <c r="H3">
        <v>38.450000000000003</v>
      </c>
      <c r="I3">
        <v>0</v>
      </c>
      <c r="J3">
        <v>0</v>
      </c>
    </row>
    <row r="4" spans="1:10" x14ac:dyDescent="0.35">
      <c r="A4" t="s">
        <v>17</v>
      </c>
      <c r="B4" t="s">
        <v>22</v>
      </c>
      <c r="C4" t="s">
        <v>69</v>
      </c>
      <c r="D4">
        <v>6.78</v>
      </c>
      <c r="E4">
        <v>6.64</v>
      </c>
      <c r="F4">
        <v>640.80999999999995</v>
      </c>
      <c r="G4">
        <v>5</v>
      </c>
      <c r="H4">
        <v>128.16</v>
      </c>
      <c r="I4">
        <v>0</v>
      </c>
      <c r="J4">
        <v>0</v>
      </c>
    </row>
    <row r="5" spans="1:10" x14ac:dyDescent="0.35">
      <c r="A5" t="s">
        <v>17</v>
      </c>
      <c r="B5" t="s">
        <v>22</v>
      </c>
      <c r="C5" t="s">
        <v>57</v>
      </c>
      <c r="D5">
        <v>5.31</v>
      </c>
      <c r="E5">
        <v>4.93</v>
      </c>
      <c r="F5">
        <v>366.12</v>
      </c>
      <c r="G5">
        <v>6</v>
      </c>
      <c r="H5">
        <v>61.02</v>
      </c>
      <c r="I5">
        <v>0</v>
      </c>
      <c r="J5">
        <v>0</v>
      </c>
    </row>
    <row r="6" spans="1:10" x14ac:dyDescent="0.35">
      <c r="A6" t="s">
        <v>17</v>
      </c>
      <c r="B6" t="s">
        <v>23</v>
      </c>
      <c r="C6" t="s">
        <v>66</v>
      </c>
      <c r="D6">
        <v>2.46</v>
      </c>
      <c r="E6">
        <v>2.69</v>
      </c>
      <c r="F6">
        <v>292.02999999999997</v>
      </c>
      <c r="G6">
        <v>4</v>
      </c>
      <c r="H6">
        <v>73.010000000000005</v>
      </c>
      <c r="I6">
        <v>0</v>
      </c>
      <c r="J6">
        <v>0</v>
      </c>
    </row>
    <row r="7" spans="1:10" x14ac:dyDescent="0.35">
      <c r="A7" t="s">
        <v>17</v>
      </c>
      <c r="B7" t="s">
        <v>23</v>
      </c>
      <c r="C7" t="s">
        <v>78</v>
      </c>
      <c r="D7">
        <v>1.24</v>
      </c>
      <c r="E7">
        <v>3.05</v>
      </c>
      <c r="F7">
        <v>411.23</v>
      </c>
      <c r="G7">
        <v>11</v>
      </c>
      <c r="H7">
        <v>37.380000000000003</v>
      </c>
      <c r="I7">
        <v>0</v>
      </c>
      <c r="J7">
        <v>0</v>
      </c>
    </row>
    <row r="8" spans="1:10" x14ac:dyDescent="0.35">
      <c r="A8" t="s">
        <v>17</v>
      </c>
      <c r="B8" t="s">
        <v>23</v>
      </c>
      <c r="C8" t="s">
        <v>79</v>
      </c>
      <c r="D8">
        <v>0.94</v>
      </c>
      <c r="E8">
        <v>0.79</v>
      </c>
      <c r="F8">
        <v>302.27999999999997</v>
      </c>
      <c r="G8">
        <v>8</v>
      </c>
      <c r="H8">
        <v>37.79</v>
      </c>
      <c r="I8">
        <v>0</v>
      </c>
      <c r="J8">
        <v>0</v>
      </c>
    </row>
    <row r="9" spans="1:10" x14ac:dyDescent="0.35">
      <c r="A9" t="s">
        <v>17</v>
      </c>
      <c r="B9" t="s">
        <v>24</v>
      </c>
      <c r="C9" t="s">
        <v>94</v>
      </c>
      <c r="D9">
        <v>7.16</v>
      </c>
      <c r="E9">
        <v>7.03</v>
      </c>
      <c r="F9">
        <v>655.30999999999995</v>
      </c>
      <c r="G9">
        <v>16</v>
      </c>
      <c r="H9">
        <v>40.96</v>
      </c>
      <c r="I9">
        <v>0</v>
      </c>
      <c r="J9">
        <v>0</v>
      </c>
    </row>
    <row r="10" spans="1:10" x14ac:dyDescent="0.35">
      <c r="A10" t="s">
        <v>17</v>
      </c>
      <c r="B10" t="s">
        <v>24</v>
      </c>
      <c r="C10" t="s">
        <v>90</v>
      </c>
      <c r="D10">
        <v>5.91</v>
      </c>
      <c r="E10">
        <v>5.91</v>
      </c>
      <c r="F10">
        <v>165.36</v>
      </c>
      <c r="G10">
        <v>4</v>
      </c>
      <c r="H10">
        <v>41.34</v>
      </c>
      <c r="I10">
        <v>0</v>
      </c>
      <c r="J10">
        <v>0</v>
      </c>
    </row>
    <row r="11" spans="1:10" x14ac:dyDescent="0.35">
      <c r="A11" t="s">
        <v>17</v>
      </c>
      <c r="B11" t="s">
        <v>24</v>
      </c>
      <c r="C11" t="s">
        <v>92</v>
      </c>
      <c r="D11">
        <v>5.15</v>
      </c>
      <c r="E11">
        <v>5.18</v>
      </c>
      <c r="F11">
        <v>428.99</v>
      </c>
      <c r="G11">
        <v>10</v>
      </c>
      <c r="H11">
        <v>42.9</v>
      </c>
      <c r="I11">
        <v>3</v>
      </c>
      <c r="J11">
        <v>3</v>
      </c>
    </row>
    <row r="12" spans="1:10" x14ac:dyDescent="0.35">
      <c r="A12" t="s">
        <v>17</v>
      </c>
      <c r="B12" t="s">
        <v>25</v>
      </c>
      <c r="C12" t="s">
        <v>120</v>
      </c>
      <c r="D12">
        <v>4.28</v>
      </c>
      <c r="E12">
        <v>5.74</v>
      </c>
      <c r="F12">
        <v>355.13</v>
      </c>
      <c r="G12">
        <v>8</v>
      </c>
      <c r="H12">
        <v>44.39</v>
      </c>
      <c r="I12">
        <v>1</v>
      </c>
      <c r="J12">
        <v>1</v>
      </c>
    </row>
    <row r="13" spans="1:10" x14ac:dyDescent="0.35">
      <c r="A13" t="s">
        <v>17</v>
      </c>
      <c r="B13" t="s">
        <v>25</v>
      </c>
      <c r="C13" t="s">
        <v>122</v>
      </c>
      <c r="D13">
        <v>3.76</v>
      </c>
      <c r="E13">
        <v>3.61</v>
      </c>
      <c r="F13">
        <v>236.96</v>
      </c>
      <c r="G13">
        <v>6</v>
      </c>
      <c r="H13">
        <v>39.49</v>
      </c>
      <c r="I13">
        <v>7</v>
      </c>
      <c r="J13">
        <v>5</v>
      </c>
    </row>
    <row r="14" spans="1:10" x14ac:dyDescent="0.35">
      <c r="A14" t="s">
        <v>17</v>
      </c>
      <c r="B14" t="s">
        <v>26</v>
      </c>
      <c r="C14" t="s">
        <v>130</v>
      </c>
      <c r="D14">
        <v>6.73</v>
      </c>
      <c r="E14">
        <v>7.25</v>
      </c>
      <c r="F14">
        <v>693.03</v>
      </c>
      <c r="G14">
        <v>13</v>
      </c>
      <c r="H14">
        <v>53.31</v>
      </c>
      <c r="I14">
        <v>5</v>
      </c>
      <c r="J14">
        <v>2</v>
      </c>
    </row>
    <row r="15" spans="1:10" x14ac:dyDescent="0.35">
      <c r="A15" t="s">
        <v>17</v>
      </c>
      <c r="B15" t="s">
        <v>26</v>
      </c>
      <c r="C15" t="s">
        <v>132</v>
      </c>
      <c r="D15">
        <v>6.72</v>
      </c>
      <c r="E15">
        <v>6.45</v>
      </c>
      <c r="F15">
        <v>180.39</v>
      </c>
      <c r="G15">
        <v>4</v>
      </c>
      <c r="H15">
        <v>45.1</v>
      </c>
      <c r="I15">
        <v>0</v>
      </c>
      <c r="J15">
        <v>0</v>
      </c>
    </row>
    <row r="16" spans="1:10" x14ac:dyDescent="0.35">
      <c r="A16" t="s">
        <v>17</v>
      </c>
      <c r="B16" t="s">
        <v>26</v>
      </c>
      <c r="C16" t="s">
        <v>101</v>
      </c>
      <c r="D16">
        <v>5.98</v>
      </c>
      <c r="E16">
        <v>5.97</v>
      </c>
      <c r="F16">
        <v>382.78</v>
      </c>
      <c r="G16">
        <v>5</v>
      </c>
      <c r="H16">
        <v>76.56</v>
      </c>
      <c r="I16">
        <v>3</v>
      </c>
      <c r="J16">
        <v>2</v>
      </c>
    </row>
    <row r="17" spans="1:10" x14ac:dyDescent="0.35">
      <c r="A17" t="s">
        <v>17</v>
      </c>
      <c r="B17" t="s">
        <v>27</v>
      </c>
      <c r="C17" t="s">
        <v>142</v>
      </c>
      <c r="D17">
        <v>3.65</v>
      </c>
      <c r="E17">
        <v>3.56</v>
      </c>
      <c r="F17">
        <v>65.67</v>
      </c>
      <c r="G17">
        <v>4</v>
      </c>
      <c r="H17">
        <v>16.420000000000002</v>
      </c>
      <c r="I17">
        <v>2</v>
      </c>
      <c r="J17">
        <v>1</v>
      </c>
    </row>
    <row r="18" spans="1:10" x14ac:dyDescent="0.35">
      <c r="A18" t="s">
        <v>17</v>
      </c>
      <c r="B18" t="s">
        <v>27</v>
      </c>
      <c r="C18" t="s">
        <v>143</v>
      </c>
      <c r="D18">
        <v>3.63</v>
      </c>
      <c r="E18">
        <v>3.38</v>
      </c>
      <c r="F18">
        <v>156.28</v>
      </c>
      <c r="G18">
        <v>9</v>
      </c>
      <c r="H18">
        <v>17.36</v>
      </c>
      <c r="I18">
        <v>0</v>
      </c>
      <c r="J18">
        <v>0</v>
      </c>
    </row>
    <row r="19" spans="1:10" x14ac:dyDescent="0.35">
      <c r="A19" t="s">
        <v>17</v>
      </c>
      <c r="B19" t="s">
        <v>27</v>
      </c>
      <c r="C19" t="s">
        <v>144</v>
      </c>
      <c r="D19">
        <v>3.25</v>
      </c>
      <c r="E19">
        <v>3.21</v>
      </c>
      <c r="F19">
        <v>269.83</v>
      </c>
      <c r="G19">
        <v>17</v>
      </c>
      <c r="H19">
        <v>15.87</v>
      </c>
      <c r="I19">
        <v>4</v>
      </c>
      <c r="J19">
        <v>2</v>
      </c>
    </row>
    <row r="20" spans="1:10" x14ac:dyDescent="0.35">
      <c r="A20" t="s">
        <v>18</v>
      </c>
      <c r="B20" t="s">
        <v>28</v>
      </c>
      <c r="C20" t="s">
        <v>187</v>
      </c>
      <c r="D20">
        <v>6.61</v>
      </c>
      <c r="E20">
        <v>4.3499999999999996</v>
      </c>
      <c r="F20">
        <v>343.98</v>
      </c>
      <c r="G20">
        <v>4</v>
      </c>
      <c r="H20">
        <v>85.99</v>
      </c>
      <c r="I20">
        <v>0</v>
      </c>
      <c r="J20">
        <v>0</v>
      </c>
    </row>
    <row r="21" spans="1:10" x14ac:dyDescent="0.35">
      <c r="A21" t="s">
        <v>18</v>
      </c>
      <c r="B21" t="s">
        <v>28</v>
      </c>
      <c r="C21" t="s">
        <v>194</v>
      </c>
      <c r="D21">
        <v>6.24</v>
      </c>
      <c r="E21">
        <v>5.56</v>
      </c>
      <c r="F21">
        <v>496.83</v>
      </c>
      <c r="G21">
        <v>5</v>
      </c>
      <c r="H21">
        <v>99.37</v>
      </c>
      <c r="I21">
        <v>6</v>
      </c>
      <c r="J21">
        <v>3</v>
      </c>
    </row>
    <row r="22" spans="1:10" x14ac:dyDescent="0.35">
      <c r="A22" t="s">
        <v>18</v>
      </c>
      <c r="B22" t="s">
        <v>28</v>
      </c>
      <c r="C22" t="s">
        <v>162</v>
      </c>
      <c r="D22">
        <v>5.66</v>
      </c>
      <c r="E22">
        <v>5.66</v>
      </c>
      <c r="F22">
        <v>266.18</v>
      </c>
      <c r="G22">
        <v>4</v>
      </c>
      <c r="H22">
        <v>66.55</v>
      </c>
      <c r="I22">
        <v>7</v>
      </c>
      <c r="J22">
        <v>4</v>
      </c>
    </row>
    <row r="23" spans="1:10" x14ac:dyDescent="0.35">
      <c r="A23" t="s">
        <v>18</v>
      </c>
      <c r="B23" t="s">
        <v>30</v>
      </c>
      <c r="C23" t="s">
        <v>214</v>
      </c>
      <c r="D23">
        <v>4.6900000000000004</v>
      </c>
      <c r="E23">
        <v>4.5599999999999996</v>
      </c>
      <c r="F23">
        <v>518.52</v>
      </c>
      <c r="G23">
        <v>5</v>
      </c>
      <c r="H23">
        <v>103.7</v>
      </c>
      <c r="I23">
        <v>0</v>
      </c>
      <c r="J23">
        <v>0</v>
      </c>
    </row>
    <row r="24" spans="1:10" x14ac:dyDescent="0.35">
      <c r="A24" t="s">
        <v>18</v>
      </c>
      <c r="B24" t="s">
        <v>31</v>
      </c>
      <c r="C24" t="s">
        <v>223</v>
      </c>
      <c r="D24">
        <v>4.8499999999999996</v>
      </c>
      <c r="E24">
        <v>4.5599999999999996</v>
      </c>
      <c r="F24">
        <v>386</v>
      </c>
      <c r="G24">
        <v>8</v>
      </c>
      <c r="H24">
        <v>48.25</v>
      </c>
      <c r="I24">
        <v>7</v>
      </c>
      <c r="J24">
        <v>3</v>
      </c>
    </row>
    <row r="25" spans="1:10" x14ac:dyDescent="0.35">
      <c r="A25" t="s">
        <v>18</v>
      </c>
      <c r="B25" t="s">
        <v>31</v>
      </c>
      <c r="C25" t="s">
        <v>222</v>
      </c>
      <c r="D25">
        <v>3.12</v>
      </c>
      <c r="E25">
        <v>2.89</v>
      </c>
      <c r="F25">
        <v>318</v>
      </c>
      <c r="G25">
        <v>7</v>
      </c>
      <c r="H25">
        <v>45.43</v>
      </c>
      <c r="I25">
        <v>2</v>
      </c>
      <c r="J25">
        <v>2</v>
      </c>
    </row>
    <row r="26" spans="1:10" x14ac:dyDescent="0.35">
      <c r="A26" t="s">
        <v>18</v>
      </c>
      <c r="B26" t="s">
        <v>31</v>
      </c>
      <c r="C26" t="s">
        <v>221</v>
      </c>
      <c r="D26">
        <v>2.4700000000000002</v>
      </c>
      <c r="E26">
        <v>2.73</v>
      </c>
      <c r="F26">
        <v>256</v>
      </c>
      <c r="G26">
        <v>9</v>
      </c>
      <c r="H26">
        <v>28.44</v>
      </c>
      <c r="I26">
        <v>4</v>
      </c>
      <c r="J26">
        <v>4</v>
      </c>
    </row>
    <row r="27" spans="1:10" x14ac:dyDescent="0.35">
      <c r="A27" t="s">
        <v>18</v>
      </c>
      <c r="B27" t="s">
        <v>32</v>
      </c>
      <c r="C27" t="s">
        <v>229</v>
      </c>
      <c r="D27">
        <v>8.92</v>
      </c>
      <c r="E27">
        <v>7.24</v>
      </c>
      <c r="F27">
        <v>736.01</v>
      </c>
      <c r="G27">
        <v>16</v>
      </c>
      <c r="H27">
        <v>46</v>
      </c>
      <c r="I27">
        <v>12</v>
      </c>
      <c r="J27">
        <v>5</v>
      </c>
    </row>
    <row r="28" spans="1:10" x14ac:dyDescent="0.35">
      <c r="A28" t="s">
        <v>18</v>
      </c>
      <c r="B28" t="s">
        <v>32</v>
      </c>
      <c r="C28" t="s">
        <v>231</v>
      </c>
      <c r="D28">
        <v>8.59</v>
      </c>
      <c r="E28">
        <v>7.46</v>
      </c>
      <c r="F28">
        <v>821.02</v>
      </c>
      <c r="G28">
        <v>21</v>
      </c>
      <c r="H28">
        <v>39.1</v>
      </c>
      <c r="I28">
        <v>3</v>
      </c>
      <c r="J28">
        <v>2</v>
      </c>
    </row>
    <row r="29" spans="1:10" x14ac:dyDescent="0.35">
      <c r="A29" t="s">
        <v>18</v>
      </c>
      <c r="B29" t="s">
        <v>32</v>
      </c>
      <c r="C29" t="s">
        <v>225</v>
      </c>
      <c r="D29">
        <v>6.64</v>
      </c>
      <c r="E29">
        <v>6.01</v>
      </c>
      <c r="F29">
        <v>498.31</v>
      </c>
      <c r="G29">
        <v>11</v>
      </c>
      <c r="H29">
        <v>45.3</v>
      </c>
      <c r="I29">
        <v>2</v>
      </c>
      <c r="J29">
        <v>2</v>
      </c>
    </row>
    <row r="30" spans="1:10" x14ac:dyDescent="0.35">
      <c r="A30" t="s">
        <v>18</v>
      </c>
      <c r="B30" t="s">
        <v>33</v>
      </c>
      <c r="C30" t="s">
        <v>240</v>
      </c>
      <c r="D30">
        <v>1.1399999999999999</v>
      </c>
      <c r="E30">
        <v>0.48</v>
      </c>
      <c r="F30">
        <v>237</v>
      </c>
      <c r="G30">
        <v>5</v>
      </c>
      <c r="H30">
        <v>47.4</v>
      </c>
      <c r="I30">
        <v>0</v>
      </c>
      <c r="J30">
        <v>0</v>
      </c>
    </row>
    <row r="31" spans="1:10" x14ac:dyDescent="0.35">
      <c r="A31" t="s">
        <v>18</v>
      </c>
      <c r="B31" t="s">
        <v>33</v>
      </c>
      <c r="C31" t="s">
        <v>65</v>
      </c>
      <c r="D31">
        <v>1.02</v>
      </c>
      <c r="E31">
        <v>2.0499999999999998</v>
      </c>
      <c r="F31">
        <v>225</v>
      </c>
      <c r="G31">
        <v>4</v>
      </c>
      <c r="H31">
        <v>56.25</v>
      </c>
      <c r="I31">
        <v>0</v>
      </c>
      <c r="J31">
        <v>0</v>
      </c>
    </row>
    <row r="32" spans="1:10" x14ac:dyDescent="0.35">
      <c r="A32" t="s">
        <v>18</v>
      </c>
      <c r="B32" t="s">
        <v>33</v>
      </c>
      <c r="C32" t="s">
        <v>233</v>
      </c>
      <c r="D32">
        <v>1</v>
      </c>
      <c r="E32">
        <v>0.48</v>
      </c>
      <c r="F32">
        <v>292</v>
      </c>
      <c r="G32">
        <v>5</v>
      </c>
      <c r="H32">
        <v>58.4</v>
      </c>
      <c r="I32">
        <v>1</v>
      </c>
      <c r="J32">
        <v>1</v>
      </c>
    </row>
    <row r="33" spans="1:10" x14ac:dyDescent="0.35">
      <c r="A33" t="s">
        <v>18</v>
      </c>
      <c r="B33" t="s">
        <v>34</v>
      </c>
      <c r="C33" t="s">
        <v>243</v>
      </c>
      <c r="D33">
        <v>6.58</v>
      </c>
      <c r="E33">
        <v>6.38</v>
      </c>
      <c r="F33">
        <v>590.98</v>
      </c>
      <c r="G33">
        <v>10</v>
      </c>
      <c r="H33">
        <v>59.1</v>
      </c>
      <c r="I33">
        <v>0</v>
      </c>
      <c r="J33">
        <v>0</v>
      </c>
    </row>
    <row r="34" spans="1:10" x14ac:dyDescent="0.35">
      <c r="A34" t="s">
        <v>18</v>
      </c>
      <c r="B34" t="s">
        <v>34</v>
      </c>
      <c r="C34" t="s">
        <v>254</v>
      </c>
      <c r="D34">
        <v>6.23</v>
      </c>
      <c r="E34">
        <v>6</v>
      </c>
      <c r="F34">
        <v>386.17</v>
      </c>
      <c r="G34">
        <v>7</v>
      </c>
      <c r="H34">
        <v>55.17</v>
      </c>
      <c r="I34">
        <v>0</v>
      </c>
      <c r="J34">
        <v>0</v>
      </c>
    </row>
    <row r="35" spans="1:10" x14ac:dyDescent="0.35">
      <c r="A35" t="s">
        <v>18</v>
      </c>
      <c r="B35" t="s">
        <v>34</v>
      </c>
      <c r="C35" t="s">
        <v>78</v>
      </c>
      <c r="D35">
        <v>6.14</v>
      </c>
      <c r="E35">
        <v>3.05</v>
      </c>
      <c r="F35">
        <v>576.87</v>
      </c>
      <c r="G35">
        <v>12</v>
      </c>
      <c r="H35">
        <v>48.07</v>
      </c>
      <c r="I35">
        <v>0</v>
      </c>
      <c r="J35">
        <v>0</v>
      </c>
    </row>
    <row r="36" spans="1:10" x14ac:dyDescent="0.35">
      <c r="A36" t="s">
        <v>18</v>
      </c>
      <c r="B36" t="s">
        <v>35</v>
      </c>
      <c r="C36" t="s">
        <v>262</v>
      </c>
      <c r="D36">
        <v>5.05</v>
      </c>
      <c r="E36">
        <v>0.64</v>
      </c>
      <c r="F36">
        <v>222</v>
      </c>
      <c r="G36">
        <v>7</v>
      </c>
      <c r="H36">
        <v>31.71</v>
      </c>
      <c r="I36">
        <v>17</v>
      </c>
      <c r="J36">
        <v>4</v>
      </c>
    </row>
    <row r="37" spans="1:10" x14ac:dyDescent="0.35">
      <c r="A37" t="s">
        <v>18</v>
      </c>
      <c r="B37" t="s">
        <v>35</v>
      </c>
      <c r="C37" t="s">
        <v>264</v>
      </c>
      <c r="D37">
        <v>2.23</v>
      </c>
      <c r="E37">
        <v>0.48</v>
      </c>
      <c r="F37">
        <v>213</v>
      </c>
      <c r="G37">
        <v>6</v>
      </c>
      <c r="H37">
        <v>35.5</v>
      </c>
      <c r="I37">
        <v>25</v>
      </c>
      <c r="J37">
        <v>4</v>
      </c>
    </row>
    <row r="38" spans="1:10" x14ac:dyDescent="0.35">
      <c r="A38" t="s">
        <v>18</v>
      </c>
      <c r="B38" t="s">
        <v>35</v>
      </c>
      <c r="C38" t="s">
        <v>257</v>
      </c>
      <c r="D38">
        <v>2.21</v>
      </c>
      <c r="E38">
        <v>0.99</v>
      </c>
      <c r="F38">
        <v>124</v>
      </c>
      <c r="G38">
        <v>4</v>
      </c>
      <c r="H38">
        <v>31</v>
      </c>
      <c r="I38">
        <v>4</v>
      </c>
      <c r="J38">
        <v>1</v>
      </c>
    </row>
    <row r="39" spans="1:10" x14ac:dyDescent="0.35">
      <c r="A39" t="s">
        <v>18</v>
      </c>
      <c r="B39" t="s">
        <v>37</v>
      </c>
      <c r="C39" t="s">
        <v>286</v>
      </c>
      <c r="D39">
        <v>2.4500000000000002</v>
      </c>
      <c r="E39">
        <v>2.54</v>
      </c>
      <c r="F39">
        <v>105.55</v>
      </c>
      <c r="G39">
        <v>15</v>
      </c>
      <c r="H39">
        <v>7.04</v>
      </c>
      <c r="I39">
        <v>33</v>
      </c>
      <c r="J39">
        <v>8</v>
      </c>
    </row>
    <row r="40" spans="1:10" x14ac:dyDescent="0.35">
      <c r="A40" t="s">
        <v>18</v>
      </c>
      <c r="B40" t="s">
        <v>37</v>
      </c>
      <c r="C40" t="s">
        <v>284</v>
      </c>
      <c r="D40">
        <v>2.25</v>
      </c>
      <c r="E40">
        <v>2.8</v>
      </c>
      <c r="F40">
        <v>35.979999999999997</v>
      </c>
      <c r="G40">
        <v>6</v>
      </c>
      <c r="H40">
        <v>6</v>
      </c>
      <c r="I40">
        <v>15</v>
      </c>
      <c r="J40">
        <v>2</v>
      </c>
    </row>
    <row r="41" spans="1:10" x14ac:dyDescent="0.35">
      <c r="A41" t="s">
        <v>18</v>
      </c>
      <c r="B41" t="s">
        <v>37</v>
      </c>
      <c r="C41" t="s">
        <v>287</v>
      </c>
      <c r="D41">
        <v>1</v>
      </c>
      <c r="E41">
        <v>1.32</v>
      </c>
      <c r="F41">
        <v>40.42</v>
      </c>
      <c r="G41">
        <v>5</v>
      </c>
      <c r="H41">
        <v>8.08</v>
      </c>
      <c r="I41">
        <v>8</v>
      </c>
      <c r="J41">
        <v>2</v>
      </c>
    </row>
    <row r="42" spans="1:10" x14ac:dyDescent="0.35">
      <c r="A42" t="s">
        <v>19</v>
      </c>
      <c r="B42" t="s">
        <v>38</v>
      </c>
      <c r="C42" t="s">
        <v>288</v>
      </c>
      <c r="D42">
        <v>4.01</v>
      </c>
      <c r="E42">
        <v>3.84</v>
      </c>
      <c r="F42">
        <v>376.42</v>
      </c>
      <c r="G42">
        <v>16</v>
      </c>
      <c r="H42">
        <v>23.53</v>
      </c>
      <c r="I42">
        <v>1</v>
      </c>
      <c r="J42">
        <v>1</v>
      </c>
    </row>
    <row r="46" spans="1:10" x14ac:dyDescent="0.35">
      <c r="A46" t="s">
        <v>379</v>
      </c>
    </row>
    <row r="47" spans="1:10" x14ac:dyDescent="0.35">
      <c r="A47" s="1" t="s">
        <v>16</v>
      </c>
      <c r="B47" s="1" t="s">
        <v>21</v>
      </c>
      <c r="C47" s="1" t="s">
        <v>49</v>
      </c>
      <c r="D47" s="1" t="s">
        <v>12</v>
      </c>
      <c r="E47" s="1" t="s">
        <v>50</v>
      </c>
      <c r="F47" s="1" t="s">
        <v>13</v>
      </c>
      <c r="G47" s="1" t="s">
        <v>14</v>
      </c>
      <c r="H47" s="1" t="s">
        <v>15</v>
      </c>
      <c r="I47" s="1" t="s">
        <v>51</v>
      </c>
      <c r="J47" s="1" t="s">
        <v>52</v>
      </c>
    </row>
    <row r="48" spans="1:10" x14ac:dyDescent="0.35">
      <c r="A48" t="s">
        <v>17</v>
      </c>
      <c r="B48" t="s">
        <v>22</v>
      </c>
      <c r="C48" t="s">
        <v>62</v>
      </c>
      <c r="D48">
        <v>2.82</v>
      </c>
      <c r="E48">
        <v>3.42</v>
      </c>
      <c r="F48">
        <v>272.99</v>
      </c>
      <c r="G48">
        <v>5</v>
      </c>
      <c r="H48">
        <v>54.6</v>
      </c>
      <c r="I48">
        <v>4</v>
      </c>
      <c r="J48">
        <v>1</v>
      </c>
    </row>
    <row r="49" spans="1:10" x14ac:dyDescent="0.35">
      <c r="A49" t="s">
        <v>17</v>
      </c>
      <c r="B49" t="s">
        <v>22</v>
      </c>
      <c r="C49" t="s">
        <v>58</v>
      </c>
      <c r="D49">
        <v>3.2</v>
      </c>
      <c r="E49">
        <v>4.1100000000000003</v>
      </c>
      <c r="F49">
        <v>373.84</v>
      </c>
      <c r="G49">
        <v>9</v>
      </c>
      <c r="H49">
        <v>41.54</v>
      </c>
      <c r="I49">
        <v>7</v>
      </c>
      <c r="J49">
        <v>2</v>
      </c>
    </row>
    <row r="50" spans="1:10" x14ac:dyDescent="0.35">
      <c r="A50" t="s">
        <v>17</v>
      </c>
      <c r="B50" t="s">
        <v>22</v>
      </c>
      <c r="C50" t="s">
        <v>65</v>
      </c>
      <c r="D50">
        <v>3.55</v>
      </c>
      <c r="E50">
        <v>2.0499999999999998</v>
      </c>
      <c r="F50">
        <v>366.03</v>
      </c>
      <c r="G50">
        <v>7</v>
      </c>
      <c r="H50">
        <v>52.29</v>
      </c>
      <c r="I50">
        <v>0</v>
      </c>
      <c r="J50">
        <v>0</v>
      </c>
    </row>
    <row r="51" spans="1:10" x14ac:dyDescent="0.35">
      <c r="A51" t="s">
        <v>17</v>
      </c>
      <c r="B51" t="s">
        <v>23</v>
      </c>
      <c r="C51" t="s">
        <v>88</v>
      </c>
      <c r="D51">
        <v>0.76</v>
      </c>
      <c r="E51">
        <v>0.49</v>
      </c>
      <c r="F51">
        <v>151.29</v>
      </c>
      <c r="G51">
        <v>4</v>
      </c>
      <c r="H51">
        <v>37.82</v>
      </c>
      <c r="I51">
        <v>0</v>
      </c>
      <c r="J51">
        <v>0</v>
      </c>
    </row>
    <row r="52" spans="1:10" x14ac:dyDescent="0.35">
      <c r="A52" t="s">
        <v>17</v>
      </c>
      <c r="B52" t="s">
        <v>23</v>
      </c>
      <c r="C52" t="s">
        <v>79</v>
      </c>
      <c r="D52">
        <v>0.94</v>
      </c>
      <c r="E52">
        <v>0.79</v>
      </c>
      <c r="F52">
        <v>302.27999999999997</v>
      </c>
      <c r="G52">
        <v>8</v>
      </c>
      <c r="H52">
        <v>37.79</v>
      </c>
      <c r="I52">
        <v>0</v>
      </c>
      <c r="J52">
        <v>0</v>
      </c>
    </row>
    <row r="53" spans="1:10" x14ac:dyDescent="0.35">
      <c r="A53" t="s">
        <v>17</v>
      </c>
      <c r="B53" t="s">
        <v>23</v>
      </c>
      <c r="C53" t="s">
        <v>78</v>
      </c>
      <c r="D53">
        <v>1.24</v>
      </c>
      <c r="E53">
        <v>3.05</v>
      </c>
      <c r="F53">
        <v>411.23</v>
      </c>
      <c r="G53">
        <v>11</v>
      </c>
      <c r="H53">
        <v>37.380000000000003</v>
      </c>
      <c r="I53">
        <v>0</v>
      </c>
      <c r="J53">
        <v>0</v>
      </c>
    </row>
    <row r="54" spans="1:10" x14ac:dyDescent="0.35">
      <c r="A54" t="s">
        <v>17</v>
      </c>
      <c r="B54" t="s">
        <v>24</v>
      </c>
      <c r="C54" t="s">
        <v>95</v>
      </c>
      <c r="D54">
        <v>2.96</v>
      </c>
      <c r="E54">
        <v>3.59</v>
      </c>
      <c r="F54">
        <v>216.73</v>
      </c>
      <c r="G54">
        <v>5</v>
      </c>
      <c r="H54">
        <v>43.35</v>
      </c>
      <c r="I54">
        <v>15</v>
      </c>
      <c r="J54">
        <v>4</v>
      </c>
    </row>
    <row r="55" spans="1:10" x14ac:dyDescent="0.35">
      <c r="A55" t="s">
        <v>17</v>
      </c>
      <c r="B55" t="s">
        <v>24</v>
      </c>
      <c r="C55" t="s">
        <v>97</v>
      </c>
      <c r="D55">
        <v>3.93</v>
      </c>
      <c r="E55">
        <v>3.88</v>
      </c>
      <c r="F55">
        <v>157.6</v>
      </c>
      <c r="G55">
        <v>4</v>
      </c>
      <c r="H55">
        <v>39.4</v>
      </c>
      <c r="I55">
        <v>1</v>
      </c>
      <c r="J55">
        <v>1</v>
      </c>
    </row>
    <row r="56" spans="1:10" x14ac:dyDescent="0.35">
      <c r="A56" t="s">
        <v>17</v>
      </c>
      <c r="B56" t="s">
        <v>24</v>
      </c>
      <c r="C56" t="s">
        <v>96</v>
      </c>
      <c r="D56">
        <v>4.93</v>
      </c>
      <c r="E56">
        <v>4.7699999999999996</v>
      </c>
      <c r="F56">
        <v>199.63</v>
      </c>
      <c r="G56">
        <v>5</v>
      </c>
      <c r="H56">
        <v>39.93</v>
      </c>
      <c r="I56">
        <v>0</v>
      </c>
      <c r="J56">
        <v>0</v>
      </c>
    </row>
    <row r="57" spans="1:10" x14ac:dyDescent="0.35">
      <c r="A57" t="s">
        <v>17</v>
      </c>
      <c r="B57" t="s">
        <v>25</v>
      </c>
      <c r="C57" t="s">
        <v>122</v>
      </c>
      <c r="D57">
        <v>3.76</v>
      </c>
      <c r="E57">
        <v>3.61</v>
      </c>
      <c r="F57">
        <v>236.96</v>
      </c>
      <c r="G57">
        <v>6</v>
      </c>
      <c r="H57">
        <v>39.49</v>
      </c>
      <c r="I57">
        <v>7</v>
      </c>
      <c r="J57">
        <v>5</v>
      </c>
    </row>
    <row r="58" spans="1:10" x14ac:dyDescent="0.35">
      <c r="A58" t="s">
        <v>17</v>
      </c>
      <c r="B58" t="s">
        <v>25</v>
      </c>
      <c r="C58" t="s">
        <v>120</v>
      </c>
      <c r="D58">
        <v>4.28</v>
      </c>
      <c r="E58">
        <v>5.74</v>
      </c>
      <c r="F58">
        <v>355.13</v>
      </c>
      <c r="G58">
        <v>8</v>
      </c>
      <c r="H58">
        <v>44.39</v>
      </c>
      <c r="I58">
        <v>1</v>
      </c>
      <c r="J58">
        <v>1</v>
      </c>
    </row>
    <row r="59" spans="1:10" x14ac:dyDescent="0.35">
      <c r="A59" t="s">
        <v>17</v>
      </c>
      <c r="B59" t="s">
        <v>26</v>
      </c>
      <c r="C59" t="s">
        <v>133</v>
      </c>
      <c r="D59">
        <v>1.76</v>
      </c>
      <c r="E59">
        <v>1.97</v>
      </c>
      <c r="F59">
        <v>150.02000000000001</v>
      </c>
      <c r="G59">
        <v>4</v>
      </c>
      <c r="H59">
        <v>37.5</v>
      </c>
      <c r="I59">
        <v>1</v>
      </c>
      <c r="J59">
        <v>1</v>
      </c>
    </row>
    <row r="60" spans="1:10" x14ac:dyDescent="0.35">
      <c r="A60" t="s">
        <v>17</v>
      </c>
      <c r="B60" t="s">
        <v>26</v>
      </c>
      <c r="C60" t="s">
        <v>124</v>
      </c>
      <c r="D60">
        <v>3.23</v>
      </c>
      <c r="E60">
        <v>3.23</v>
      </c>
      <c r="F60">
        <v>187.24</v>
      </c>
      <c r="G60">
        <v>4</v>
      </c>
      <c r="H60">
        <v>46.81</v>
      </c>
      <c r="I60">
        <v>2</v>
      </c>
      <c r="J60">
        <v>1</v>
      </c>
    </row>
    <row r="61" spans="1:10" x14ac:dyDescent="0.35">
      <c r="A61" t="s">
        <v>17</v>
      </c>
      <c r="B61" t="s">
        <v>26</v>
      </c>
      <c r="C61" t="s">
        <v>134</v>
      </c>
      <c r="D61">
        <v>3.36</v>
      </c>
      <c r="E61">
        <v>3.22</v>
      </c>
      <c r="F61">
        <v>204.68</v>
      </c>
      <c r="G61">
        <v>5</v>
      </c>
      <c r="H61">
        <v>40.94</v>
      </c>
      <c r="I61">
        <v>2</v>
      </c>
      <c r="J61">
        <v>1</v>
      </c>
    </row>
    <row r="62" spans="1:10" x14ac:dyDescent="0.35">
      <c r="A62" t="s">
        <v>17</v>
      </c>
      <c r="B62" t="s">
        <v>27</v>
      </c>
      <c r="C62" t="s">
        <v>141</v>
      </c>
      <c r="D62">
        <v>1.44</v>
      </c>
      <c r="E62">
        <v>0.59</v>
      </c>
      <c r="F62">
        <v>247.05</v>
      </c>
      <c r="G62">
        <v>14</v>
      </c>
      <c r="H62">
        <v>17.649999999999999</v>
      </c>
      <c r="I62">
        <v>0</v>
      </c>
      <c r="J62">
        <v>0</v>
      </c>
    </row>
    <row r="63" spans="1:10" x14ac:dyDescent="0.35">
      <c r="A63" t="s">
        <v>17</v>
      </c>
      <c r="B63" t="s">
        <v>27</v>
      </c>
      <c r="C63" t="s">
        <v>138</v>
      </c>
      <c r="D63">
        <v>2.35</v>
      </c>
      <c r="E63">
        <v>1.99</v>
      </c>
      <c r="F63">
        <v>219.02</v>
      </c>
      <c r="G63">
        <v>16</v>
      </c>
      <c r="H63">
        <v>13.69</v>
      </c>
      <c r="I63">
        <v>2</v>
      </c>
      <c r="J63">
        <v>1</v>
      </c>
    </row>
    <row r="64" spans="1:10" x14ac:dyDescent="0.35">
      <c r="A64" t="s">
        <v>17</v>
      </c>
      <c r="B64" t="s">
        <v>27</v>
      </c>
      <c r="C64" t="s">
        <v>139</v>
      </c>
      <c r="D64">
        <v>2.76</v>
      </c>
      <c r="E64">
        <v>2.8</v>
      </c>
      <c r="F64">
        <v>190.09</v>
      </c>
      <c r="G64">
        <v>9</v>
      </c>
      <c r="H64">
        <v>21.12</v>
      </c>
      <c r="I64">
        <v>3</v>
      </c>
      <c r="J64">
        <v>2</v>
      </c>
    </row>
    <row r="65" spans="1:10" x14ac:dyDescent="0.35">
      <c r="A65" t="s">
        <v>18</v>
      </c>
      <c r="B65" t="s">
        <v>28</v>
      </c>
      <c r="C65" t="s">
        <v>175</v>
      </c>
      <c r="D65">
        <v>3.76</v>
      </c>
      <c r="E65">
        <v>3.76</v>
      </c>
      <c r="F65">
        <v>157.91999999999999</v>
      </c>
      <c r="G65">
        <v>4</v>
      </c>
      <c r="H65">
        <v>39.479999999999997</v>
      </c>
      <c r="I65">
        <v>14</v>
      </c>
      <c r="J65">
        <v>4</v>
      </c>
    </row>
    <row r="66" spans="1:10" x14ac:dyDescent="0.35">
      <c r="A66" t="s">
        <v>18</v>
      </c>
      <c r="B66" t="s">
        <v>28</v>
      </c>
      <c r="C66" t="s">
        <v>196</v>
      </c>
      <c r="D66">
        <v>3.97</v>
      </c>
      <c r="E66">
        <v>3.97</v>
      </c>
      <c r="F66">
        <v>380.67</v>
      </c>
      <c r="G66">
        <v>4</v>
      </c>
      <c r="H66">
        <v>95.17</v>
      </c>
      <c r="I66">
        <v>6</v>
      </c>
      <c r="J66">
        <v>1</v>
      </c>
    </row>
    <row r="67" spans="1:10" x14ac:dyDescent="0.35">
      <c r="A67" t="s">
        <v>18</v>
      </c>
      <c r="B67" t="s">
        <v>28</v>
      </c>
      <c r="C67" t="s">
        <v>165</v>
      </c>
      <c r="D67">
        <v>5.12</v>
      </c>
      <c r="E67">
        <v>5.12</v>
      </c>
      <c r="F67">
        <v>394.41</v>
      </c>
      <c r="G67">
        <v>4</v>
      </c>
      <c r="H67">
        <v>98.6</v>
      </c>
      <c r="I67">
        <v>5</v>
      </c>
      <c r="J67">
        <v>2</v>
      </c>
    </row>
    <row r="68" spans="1:10" x14ac:dyDescent="0.35">
      <c r="A68" t="s">
        <v>18</v>
      </c>
      <c r="B68" t="s">
        <v>30</v>
      </c>
      <c r="C68" t="s">
        <v>214</v>
      </c>
      <c r="D68">
        <v>4.6900000000000004</v>
      </c>
      <c r="E68">
        <v>4.5599999999999996</v>
      </c>
      <c r="F68">
        <v>518.52</v>
      </c>
      <c r="G68">
        <v>5</v>
      </c>
      <c r="H68">
        <v>103.7</v>
      </c>
      <c r="I68">
        <v>0</v>
      </c>
      <c r="J68">
        <v>0</v>
      </c>
    </row>
    <row r="69" spans="1:10" x14ac:dyDescent="0.35">
      <c r="A69" t="s">
        <v>18</v>
      </c>
      <c r="B69" t="s">
        <v>31</v>
      </c>
      <c r="C69" t="s">
        <v>221</v>
      </c>
      <c r="D69">
        <v>2.4700000000000002</v>
      </c>
      <c r="E69">
        <v>2.73</v>
      </c>
      <c r="F69">
        <v>256</v>
      </c>
      <c r="G69">
        <v>9</v>
      </c>
      <c r="H69">
        <v>28.44</v>
      </c>
      <c r="I69">
        <v>4</v>
      </c>
      <c r="J69">
        <v>4</v>
      </c>
    </row>
    <row r="70" spans="1:10" x14ac:dyDescent="0.35">
      <c r="A70" t="s">
        <v>18</v>
      </c>
      <c r="B70" t="s">
        <v>31</v>
      </c>
      <c r="C70" t="s">
        <v>222</v>
      </c>
      <c r="D70">
        <v>3.12</v>
      </c>
      <c r="E70">
        <v>2.89</v>
      </c>
      <c r="F70">
        <v>318</v>
      </c>
      <c r="G70">
        <v>7</v>
      </c>
      <c r="H70">
        <v>45.43</v>
      </c>
      <c r="I70">
        <v>2</v>
      </c>
      <c r="J70">
        <v>2</v>
      </c>
    </row>
    <row r="71" spans="1:10" x14ac:dyDescent="0.35">
      <c r="A71" t="s">
        <v>18</v>
      </c>
      <c r="B71" t="s">
        <v>31</v>
      </c>
      <c r="C71" t="s">
        <v>223</v>
      </c>
      <c r="D71">
        <v>4.8499999999999996</v>
      </c>
      <c r="E71">
        <v>4.5599999999999996</v>
      </c>
      <c r="F71">
        <v>386</v>
      </c>
      <c r="G71">
        <v>8</v>
      </c>
      <c r="H71">
        <v>48.25</v>
      </c>
      <c r="I71">
        <v>7</v>
      </c>
      <c r="J71">
        <v>3</v>
      </c>
    </row>
    <row r="72" spans="1:10" x14ac:dyDescent="0.35">
      <c r="A72" t="s">
        <v>18</v>
      </c>
      <c r="B72" t="s">
        <v>32</v>
      </c>
      <c r="C72" t="s">
        <v>230</v>
      </c>
      <c r="D72">
        <v>1.99</v>
      </c>
      <c r="E72">
        <v>2.2599999999999998</v>
      </c>
      <c r="F72">
        <v>162.22999999999999</v>
      </c>
      <c r="G72">
        <v>4</v>
      </c>
      <c r="H72">
        <v>40.56</v>
      </c>
      <c r="I72">
        <v>14</v>
      </c>
      <c r="J72">
        <v>4</v>
      </c>
    </row>
    <row r="73" spans="1:10" x14ac:dyDescent="0.35">
      <c r="A73" t="s">
        <v>18</v>
      </c>
      <c r="B73" t="s">
        <v>32</v>
      </c>
      <c r="C73" t="s">
        <v>228</v>
      </c>
      <c r="D73">
        <v>4.67</v>
      </c>
      <c r="E73">
        <v>4.22</v>
      </c>
      <c r="F73">
        <v>249.14</v>
      </c>
      <c r="G73">
        <v>5</v>
      </c>
      <c r="H73">
        <v>49.83</v>
      </c>
      <c r="I73">
        <v>6</v>
      </c>
      <c r="J73">
        <v>2</v>
      </c>
    </row>
    <row r="74" spans="1:10" x14ac:dyDescent="0.35">
      <c r="A74" t="s">
        <v>18</v>
      </c>
      <c r="B74" t="s">
        <v>32</v>
      </c>
      <c r="C74" t="s">
        <v>225</v>
      </c>
      <c r="D74">
        <v>6.64</v>
      </c>
      <c r="E74">
        <v>6.01</v>
      </c>
      <c r="F74">
        <v>498.31</v>
      </c>
      <c r="G74">
        <v>11</v>
      </c>
      <c r="H74">
        <v>45.3</v>
      </c>
      <c r="I74">
        <v>2</v>
      </c>
      <c r="J74">
        <v>2</v>
      </c>
    </row>
    <row r="75" spans="1:10" x14ac:dyDescent="0.35">
      <c r="A75" t="s">
        <v>18</v>
      </c>
      <c r="B75" t="s">
        <v>33</v>
      </c>
      <c r="C75" t="s">
        <v>233</v>
      </c>
      <c r="D75">
        <v>1</v>
      </c>
      <c r="E75">
        <v>0.48</v>
      </c>
      <c r="F75">
        <v>292</v>
      </c>
      <c r="G75">
        <v>5</v>
      </c>
      <c r="H75">
        <v>58.4</v>
      </c>
      <c r="I75">
        <v>1</v>
      </c>
      <c r="J75">
        <v>1</v>
      </c>
    </row>
    <row r="76" spans="1:10" x14ac:dyDescent="0.35">
      <c r="A76" t="s">
        <v>18</v>
      </c>
      <c r="B76" t="s">
        <v>33</v>
      </c>
      <c r="C76" t="s">
        <v>65</v>
      </c>
      <c r="D76">
        <v>1.02</v>
      </c>
      <c r="E76">
        <v>2.0499999999999998</v>
      </c>
      <c r="F76">
        <v>225</v>
      </c>
      <c r="G76">
        <v>4</v>
      </c>
      <c r="H76">
        <v>56.25</v>
      </c>
      <c r="I76">
        <v>0</v>
      </c>
      <c r="J76">
        <v>0</v>
      </c>
    </row>
    <row r="77" spans="1:10" x14ac:dyDescent="0.35">
      <c r="A77" t="s">
        <v>18</v>
      </c>
      <c r="B77" t="s">
        <v>33</v>
      </c>
      <c r="C77" t="s">
        <v>240</v>
      </c>
      <c r="D77">
        <v>1.1399999999999999</v>
      </c>
      <c r="E77">
        <v>0.48</v>
      </c>
      <c r="F77">
        <v>237</v>
      </c>
      <c r="G77">
        <v>5</v>
      </c>
      <c r="H77">
        <v>47.4</v>
      </c>
      <c r="I77">
        <v>0</v>
      </c>
      <c r="J77">
        <v>0</v>
      </c>
    </row>
    <row r="78" spans="1:10" x14ac:dyDescent="0.35">
      <c r="A78" t="s">
        <v>18</v>
      </c>
      <c r="B78" t="s">
        <v>34</v>
      </c>
      <c r="C78" t="s">
        <v>252</v>
      </c>
      <c r="D78">
        <v>2.19</v>
      </c>
      <c r="E78">
        <v>1.82</v>
      </c>
      <c r="F78">
        <v>177.12</v>
      </c>
      <c r="G78">
        <v>4</v>
      </c>
      <c r="H78">
        <v>44.28</v>
      </c>
      <c r="I78">
        <v>0</v>
      </c>
      <c r="J78">
        <v>0</v>
      </c>
    </row>
    <row r="79" spans="1:10" x14ac:dyDescent="0.35">
      <c r="A79" t="s">
        <v>18</v>
      </c>
      <c r="B79" t="s">
        <v>34</v>
      </c>
      <c r="C79" t="s">
        <v>242</v>
      </c>
      <c r="D79">
        <v>2.94</v>
      </c>
      <c r="E79">
        <v>3.04</v>
      </c>
      <c r="F79">
        <v>275.49</v>
      </c>
      <c r="G79">
        <v>7</v>
      </c>
      <c r="H79">
        <v>39.36</v>
      </c>
      <c r="I79">
        <v>0</v>
      </c>
      <c r="J79">
        <v>0</v>
      </c>
    </row>
    <row r="80" spans="1:10" x14ac:dyDescent="0.35">
      <c r="A80" t="s">
        <v>18</v>
      </c>
      <c r="B80" t="s">
        <v>34</v>
      </c>
      <c r="C80" t="s">
        <v>253</v>
      </c>
      <c r="D80">
        <v>3.43</v>
      </c>
      <c r="E80">
        <v>3.34</v>
      </c>
      <c r="F80">
        <v>209.14</v>
      </c>
      <c r="G80">
        <v>5</v>
      </c>
      <c r="H80">
        <v>41.83</v>
      </c>
      <c r="I80">
        <v>0</v>
      </c>
      <c r="J80">
        <v>0</v>
      </c>
    </row>
    <row r="81" spans="1:10" x14ac:dyDescent="0.35">
      <c r="A81" t="s">
        <v>18</v>
      </c>
      <c r="B81" t="s">
        <v>35</v>
      </c>
      <c r="C81" t="s">
        <v>259</v>
      </c>
      <c r="D81">
        <v>0.52</v>
      </c>
      <c r="E81">
        <v>0.28999999999999998</v>
      </c>
      <c r="F81">
        <v>234</v>
      </c>
      <c r="G81">
        <v>8</v>
      </c>
      <c r="H81">
        <v>29.25</v>
      </c>
      <c r="I81">
        <v>1</v>
      </c>
      <c r="J81">
        <v>1</v>
      </c>
    </row>
    <row r="82" spans="1:10" x14ac:dyDescent="0.35">
      <c r="A82" t="s">
        <v>18</v>
      </c>
      <c r="B82" t="s">
        <v>35</v>
      </c>
      <c r="C82" t="s">
        <v>266</v>
      </c>
      <c r="D82">
        <v>0.62</v>
      </c>
      <c r="E82">
        <v>0.33</v>
      </c>
      <c r="F82">
        <v>233</v>
      </c>
      <c r="G82">
        <v>7</v>
      </c>
      <c r="H82">
        <v>33.29</v>
      </c>
      <c r="I82">
        <v>0</v>
      </c>
      <c r="J82">
        <v>0</v>
      </c>
    </row>
    <row r="83" spans="1:10" x14ac:dyDescent="0.35">
      <c r="A83" t="s">
        <v>18</v>
      </c>
      <c r="B83" t="s">
        <v>35</v>
      </c>
      <c r="C83" t="s">
        <v>261</v>
      </c>
      <c r="D83">
        <v>0.78</v>
      </c>
      <c r="E83">
        <v>1.21</v>
      </c>
      <c r="F83">
        <v>250</v>
      </c>
      <c r="G83">
        <v>9</v>
      </c>
      <c r="H83">
        <v>27.78</v>
      </c>
      <c r="I83">
        <v>0</v>
      </c>
      <c r="J83">
        <v>0</v>
      </c>
    </row>
    <row r="84" spans="1:10" x14ac:dyDescent="0.35">
      <c r="A84" t="s">
        <v>18</v>
      </c>
      <c r="B84" t="s">
        <v>37</v>
      </c>
      <c r="C84" t="s">
        <v>287</v>
      </c>
      <c r="D84">
        <v>1</v>
      </c>
      <c r="E84">
        <v>1.32</v>
      </c>
      <c r="F84">
        <v>40.42</v>
      </c>
      <c r="G84">
        <v>5</v>
      </c>
      <c r="H84">
        <v>8.08</v>
      </c>
      <c r="I84">
        <v>8</v>
      </c>
      <c r="J84">
        <v>2</v>
      </c>
    </row>
    <row r="85" spans="1:10" x14ac:dyDescent="0.35">
      <c r="A85" t="s">
        <v>18</v>
      </c>
      <c r="B85" t="s">
        <v>37</v>
      </c>
      <c r="C85" t="s">
        <v>284</v>
      </c>
      <c r="D85">
        <v>2.25</v>
      </c>
      <c r="E85">
        <v>2.8</v>
      </c>
      <c r="F85">
        <v>35.979999999999997</v>
      </c>
      <c r="G85">
        <v>6</v>
      </c>
      <c r="H85">
        <v>6</v>
      </c>
      <c r="I85">
        <v>15</v>
      </c>
      <c r="J85">
        <v>2</v>
      </c>
    </row>
    <row r="86" spans="1:10" x14ac:dyDescent="0.35">
      <c r="A86" t="s">
        <v>18</v>
      </c>
      <c r="B86" t="s">
        <v>37</v>
      </c>
      <c r="C86" t="s">
        <v>286</v>
      </c>
      <c r="D86">
        <v>2.4500000000000002</v>
      </c>
      <c r="E86">
        <v>2.54</v>
      </c>
      <c r="F86">
        <v>105.55</v>
      </c>
      <c r="G86">
        <v>15</v>
      </c>
      <c r="H86">
        <v>7.04</v>
      </c>
      <c r="I86">
        <v>33</v>
      </c>
      <c r="J86">
        <v>8</v>
      </c>
    </row>
    <row r="87" spans="1:10" x14ac:dyDescent="0.35">
      <c r="A87" t="s">
        <v>19</v>
      </c>
      <c r="B87" t="s">
        <v>38</v>
      </c>
      <c r="C87" t="s">
        <v>288</v>
      </c>
      <c r="D87">
        <v>4.01</v>
      </c>
      <c r="E87">
        <v>3.84</v>
      </c>
      <c r="F87">
        <v>376.42</v>
      </c>
      <c r="G87">
        <v>16</v>
      </c>
      <c r="H87">
        <v>23.53</v>
      </c>
      <c r="I87">
        <v>1</v>
      </c>
      <c r="J8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0"/>
  <sheetViews>
    <sheetView workbookViewId="0"/>
  </sheetViews>
  <sheetFormatPr defaultRowHeight="14.5" x14ac:dyDescent="0.35"/>
  <sheetData>
    <row r="1" spans="1:17" x14ac:dyDescent="0.35">
      <c r="A1" s="1" t="s">
        <v>16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5">
      <c r="A2" t="s">
        <v>17</v>
      </c>
      <c r="B2" t="s">
        <v>22</v>
      </c>
      <c r="C2">
        <v>4.18</v>
      </c>
      <c r="D2">
        <v>4.26</v>
      </c>
      <c r="E2">
        <v>3.8</v>
      </c>
      <c r="F2">
        <v>3.87</v>
      </c>
      <c r="G2">
        <v>3.51</v>
      </c>
      <c r="H2">
        <v>4.59</v>
      </c>
      <c r="I2">
        <v>4.17</v>
      </c>
      <c r="J2">
        <v>4.57</v>
      </c>
      <c r="K2">
        <v>4.54</v>
      </c>
      <c r="L2">
        <v>3.99</v>
      </c>
      <c r="M2">
        <v>3.87</v>
      </c>
      <c r="N2">
        <v>5.29</v>
      </c>
      <c r="O2">
        <v>4.13</v>
      </c>
      <c r="P2">
        <v>4055.38</v>
      </c>
      <c r="Q2">
        <v>73</v>
      </c>
    </row>
    <row r="3" spans="1:17" x14ac:dyDescent="0.35">
      <c r="A3" t="s">
        <v>17</v>
      </c>
      <c r="B3" t="s">
        <v>23</v>
      </c>
      <c r="C3">
        <v>0.76</v>
      </c>
      <c r="D3">
        <v>0.43</v>
      </c>
      <c r="E3">
        <v>0.68</v>
      </c>
      <c r="F3">
        <v>0.82</v>
      </c>
      <c r="G3">
        <v>0.72</v>
      </c>
      <c r="H3">
        <v>0.65</v>
      </c>
      <c r="I3">
        <v>0.99</v>
      </c>
      <c r="J3">
        <v>1.39</v>
      </c>
      <c r="K3">
        <v>1.1200000000000001</v>
      </c>
      <c r="L3">
        <v>1.37</v>
      </c>
      <c r="M3">
        <v>2.7</v>
      </c>
      <c r="N3">
        <v>3.01</v>
      </c>
      <c r="O3">
        <v>1.1599999999999999</v>
      </c>
      <c r="P3">
        <v>3160.43</v>
      </c>
      <c r="Q3">
        <v>58</v>
      </c>
    </row>
    <row r="4" spans="1:17" x14ac:dyDescent="0.35">
      <c r="A4" t="s">
        <v>17</v>
      </c>
      <c r="B4" t="s">
        <v>24</v>
      </c>
      <c r="C4">
        <v>5.13</v>
      </c>
      <c r="D4">
        <v>4.87</v>
      </c>
      <c r="E4">
        <v>4.8099999999999996</v>
      </c>
      <c r="F4">
        <v>5.0999999999999996</v>
      </c>
      <c r="G4">
        <v>5.15</v>
      </c>
      <c r="H4">
        <v>4.2300000000000004</v>
      </c>
      <c r="I4">
        <v>6</v>
      </c>
      <c r="J4">
        <v>5.2</v>
      </c>
      <c r="K4">
        <v>4.96</v>
      </c>
      <c r="L4">
        <v>4.5999999999999996</v>
      </c>
      <c r="M4">
        <v>4.5599999999999996</v>
      </c>
      <c r="N4">
        <v>4.29</v>
      </c>
      <c r="O4">
        <v>4.8099999999999996</v>
      </c>
      <c r="P4">
        <v>2296.13</v>
      </c>
      <c r="Q4">
        <v>57</v>
      </c>
    </row>
    <row r="5" spans="1:17" x14ac:dyDescent="0.35">
      <c r="A5" t="s">
        <v>17</v>
      </c>
      <c r="B5" t="s">
        <v>25</v>
      </c>
      <c r="C5">
        <v>3.18</v>
      </c>
      <c r="D5">
        <v>3.19</v>
      </c>
      <c r="E5">
        <v>3.2</v>
      </c>
      <c r="F5">
        <v>3.88</v>
      </c>
      <c r="G5">
        <v>3.98</v>
      </c>
      <c r="H5">
        <v>4.6399999999999997</v>
      </c>
      <c r="I5">
        <v>5.08</v>
      </c>
      <c r="J5">
        <v>4.96</v>
      </c>
      <c r="K5">
        <v>4.6399999999999997</v>
      </c>
      <c r="L5">
        <v>4.92</v>
      </c>
      <c r="M5">
        <v>4.17</v>
      </c>
      <c r="N5">
        <v>0</v>
      </c>
      <c r="O5">
        <v>4.09</v>
      </c>
      <c r="P5">
        <v>2230.61</v>
      </c>
      <c r="Q5">
        <v>46</v>
      </c>
    </row>
    <row r="6" spans="1:17" x14ac:dyDescent="0.35">
      <c r="A6" t="s">
        <v>17</v>
      </c>
      <c r="B6" t="s">
        <v>26</v>
      </c>
      <c r="C6">
        <v>4.4000000000000004</v>
      </c>
      <c r="D6">
        <v>4.43</v>
      </c>
      <c r="E6">
        <v>4.74</v>
      </c>
      <c r="F6">
        <v>4.5599999999999996</v>
      </c>
      <c r="G6">
        <v>4.12</v>
      </c>
      <c r="H6">
        <v>4.3499999999999996</v>
      </c>
      <c r="I6">
        <v>4.26</v>
      </c>
      <c r="J6">
        <v>4.47</v>
      </c>
      <c r="K6">
        <v>4.4000000000000004</v>
      </c>
      <c r="L6">
        <v>4.67</v>
      </c>
      <c r="M6">
        <v>5.61</v>
      </c>
      <c r="N6">
        <v>4.8600000000000003</v>
      </c>
      <c r="O6">
        <v>4.58</v>
      </c>
      <c r="P6">
        <v>4514.6400000000003</v>
      </c>
      <c r="Q6">
        <v>92</v>
      </c>
    </row>
    <row r="7" spans="1:17" x14ac:dyDescent="0.35">
      <c r="A7" t="s">
        <v>17</v>
      </c>
      <c r="B7" t="s">
        <v>27</v>
      </c>
      <c r="C7">
        <v>2.21</v>
      </c>
      <c r="D7">
        <v>2.57</v>
      </c>
      <c r="E7">
        <v>2.16</v>
      </c>
      <c r="F7">
        <v>2.4500000000000002</v>
      </c>
      <c r="G7">
        <v>2.4700000000000002</v>
      </c>
      <c r="H7">
        <v>2.2999999999999998</v>
      </c>
      <c r="I7">
        <v>2</v>
      </c>
      <c r="J7">
        <v>2.08</v>
      </c>
      <c r="K7">
        <v>1.95</v>
      </c>
      <c r="L7">
        <v>1.95</v>
      </c>
      <c r="M7">
        <v>1.96</v>
      </c>
      <c r="N7">
        <v>2.64</v>
      </c>
      <c r="O7">
        <v>2.2400000000000002</v>
      </c>
      <c r="P7">
        <v>1662.77</v>
      </c>
      <c r="Q7">
        <v>101</v>
      </c>
    </row>
    <row r="8" spans="1:17" x14ac:dyDescent="0.35">
      <c r="O8" t="s">
        <v>20</v>
      </c>
      <c r="P8">
        <v>17919.96</v>
      </c>
      <c r="Q8">
        <v>427</v>
      </c>
    </row>
    <row r="10" spans="1:17" x14ac:dyDescent="0.35">
      <c r="A10" s="1" t="s">
        <v>43</v>
      </c>
      <c r="B10" s="1" t="s">
        <v>44</v>
      </c>
      <c r="C10" s="1" t="s">
        <v>45</v>
      </c>
      <c r="D10" s="1" t="s">
        <v>46</v>
      </c>
    </row>
    <row r="11" spans="1:17" x14ac:dyDescent="0.35">
      <c r="A11" t="s">
        <v>380</v>
      </c>
    </row>
    <row r="12" spans="1:17" x14ac:dyDescent="0.35">
      <c r="A12" s="1" t="s">
        <v>43</v>
      </c>
      <c r="B12" s="1" t="s">
        <v>44</v>
      </c>
      <c r="C12" s="1" t="s">
        <v>45</v>
      </c>
      <c r="D12" s="1" t="s">
        <v>46</v>
      </c>
    </row>
    <row r="13" spans="1:17" x14ac:dyDescent="0.35">
      <c r="A13" t="s">
        <v>47</v>
      </c>
      <c r="B13">
        <v>2.76</v>
      </c>
      <c r="C13">
        <v>2.87</v>
      </c>
      <c r="D13">
        <v>3.32</v>
      </c>
    </row>
    <row r="14" spans="1:17" x14ac:dyDescent="0.35">
      <c r="A14" t="s">
        <v>48</v>
      </c>
      <c r="B14">
        <v>72</v>
      </c>
      <c r="C14">
        <v>65</v>
      </c>
      <c r="D14">
        <v>67</v>
      </c>
    </row>
    <row r="16" spans="1:17" x14ac:dyDescent="0.35">
      <c r="A16" s="1" t="s">
        <v>43</v>
      </c>
      <c r="B16" s="1" t="s">
        <v>44</v>
      </c>
      <c r="C16" s="1" t="s">
        <v>45</v>
      </c>
      <c r="D16" s="1" t="s">
        <v>46</v>
      </c>
    </row>
    <row r="17" spans="1:4" x14ac:dyDescent="0.35">
      <c r="A17" t="s">
        <v>381</v>
      </c>
    </row>
    <row r="18" spans="1:4" x14ac:dyDescent="0.35">
      <c r="A18" s="1" t="s">
        <v>43</v>
      </c>
      <c r="B18" s="1" t="s">
        <v>44</v>
      </c>
      <c r="C18" s="1" t="s">
        <v>45</v>
      </c>
      <c r="D18" s="1" t="s">
        <v>46</v>
      </c>
    </row>
    <row r="19" spans="1:4" x14ac:dyDescent="0.35">
      <c r="A19" t="s">
        <v>47</v>
      </c>
      <c r="B19">
        <v>4.0199999999999996</v>
      </c>
      <c r="C19">
        <v>4.1900000000000004</v>
      </c>
      <c r="D19">
        <v>4.3899999999999997</v>
      </c>
    </row>
    <row r="20" spans="1:4" x14ac:dyDescent="0.35">
      <c r="A20" t="s">
        <v>48</v>
      </c>
      <c r="B20">
        <v>17</v>
      </c>
      <c r="C20">
        <v>11</v>
      </c>
      <c r="D20">
        <v>7</v>
      </c>
    </row>
    <row r="22" spans="1:4" x14ac:dyDescent="0.35">
      <c r="A22" s="1" t="s">
        <v>43</v>
      </c>
      <c r="B22" s="1" t="s">
        <v>44</v>
      </c>
      <c r="C22" s="1" t="s">
        <v>45</v>
      </c>
      <c r="D22" s="1" t="s">
        <v>46</v>
      </c>
    </row>
    <row r="23" spans="1:4" x14ac:dyDescent="0.35">
      <c r="A23" t="s">
        <v>382</v>
      </c>
    </row>
    <row r="24" spans="1:4" x14ac:dyDescent="0.35">
      <c r="A24" s="1" t="s">
        <v>43</v>
      </c>
      <c r="B24" s="1" t="s">
        <v>44</v>
      </c>
      <c r="C24" s="1" t="s">
        <v>45</v>
      </c>
      <c r="D24" s="1" t="s">
        <v>46</v>
      </c>
    </row>
    <row r="25" spans="1:4" x14ac:dyDescent="0.35">
      <c r="A25" t="s">
        <v>47</v>
      </c>
      <c r="B25">
        <v>0.69</v>
      </c>
      <c r="C25">
        <v>1</v>
      </c>
      <c r="D25">
        <v>1.95</v>
      </c>
    </row>
    <row r="26" spans="1:4" x14ac:dyDescent="0.35">
      <c r="A26" t="s">
        <v>48</v>
      </c>
      <c r="B26">
        <v>18</v>
      </c>
      <c r="C26">
        <v>18</v>
      </c>
      <c r="D26">
        <v>19</v>
      </c>
    </row>
    <row r="28" spans="1:4" x14ac:dyDescent="0.35">
      <c r="A28" s="1" t="s">
        <v>43</v>
      </c>
      <c r="B28" s="1" t="s">
        <v>44</v>
      </c>
      <c r="C28" s="1" t="s">
        <v>45</v>
      </c>
      <c r="D28" s="1" t="s">
        <v>46</v>
      </c>
    </row>
    <row r="29" spans="1:4" x14ac:dyDescent="0.35">
      <c r="A29" t="s">
        <v>383</v>
      </c>
    </row>
    <row r="30" spans="1:4" x14ac:dyDescent="0.35">
      <c r="A30" s="1" t="s">
        <v>43</v>
      </c>
      <c r="B30" s="1" t="s">
        <v>44</v>
      </c>
      <c r="C30" s="1" t="s">
        <v>45</v>
      </c>
      <c r="D30" s="1" t="s">
        <v>46</v>
      </c>
    </row>
    <row r="31" spans="1:4" x14ac:dyDescent="0.35">
      <c r="A31" t="s">
        <v>47</v>
      </c>
      <c r="B31">
        <v>4.99</v>
      </c>
      <c r="C31">
        <v>5.24</v>
      </c>
      <c r="D31">
        <v>4.54</v>
      </c>
    </row>
    <row r="32" spans="1:4" x14ac:dyDescent="0.35">
      <c r="A32" t="s">
        <v>48</v>
      </c>
      <c r="B32">
        <v>4</v>
      </c>
      <c r="C32">
        <v>6</v>
      </c>
      <c r="D32">
        <v>11</v>
      </c>
    </row>
    <row r="34" spans="1:4" x14ac:dyDescent="0.35">
      <c r="A34" s="1" t="s">
        <v>43</v>
      </c>
      <c r="B34" s="1" t="s">
        <v>44</v>
      </c>
      <c r="C34" s="1" t="s">
        <v>45</v>
      </c>
      <c r="D34" s="1" t="s">
        <v>46</v>
      </c>
    </row>
    <row r="35" spans="1:4" x14ac:dyDescent="0.35">
      <c r="A35" t="s">
        <v>384</v>
      </c>
    </row>
    <row r="36" spans="1:4" x14ac:dyDescent="0.35">
      <c r="A36" s="1" t="s">
        <v>43</v>
      </c>
      <c r="B36" s="1" t="s">
        <v>44</v>
      </c>
      <c r="C36" s="1" t="s">
        <v>45</v>
      </c>
      <c r="D36" s="1" t="s">
        <v>46</v>
      </c>
    </row>
    <row r="37" spans="1:4" x14ac:dyDescent="0.35">
      <c r="A37" t="s">
        <v>47</v>
      </c>
      <c r="B37">
        <v>3.35</v>
      </c>
      <c r="C37">
        <v>4.7300000000000004</v>
      </c>
      <c r="D37">
        <v>4.74</v>
      </c>
    </row>
    <row r="38" spans="1:4" x14ac:dyDescent="0.35">
      <c r="A38" t="s">
        <v>48</v>
      </c>
      <c r="B38">
        <v>14</v>
      </c>
      <c r="C38">
        <v>13</v>
      </c>
      <c r="D38">
        <v>9</v>
      </c>
    </row>
    <row r="40" spans="1:4" x14ac:dyDescent="0.35">
      <c r="A40" s="1" t="s">
        <v>43</v>
      </c>
      <c r="B40" s="1" t="s">
        <v>44</v>
      </c>
      <c r="C40" s="1" t="s">
        <v>45</v>
      </c>
      <c r="D40" s="1" t="s">
        <v>46</v>
      </c>
    </row>
    <row r="41" spans="1:4" x14ac:dyDescent="0.35">
      <c r="A41" t="s">
        <v>385</v>
      </c>
    </row>
    <row r="42" spans="1:4" x14ac:dyDescent="0.35">
      <c r="A42" s="1" t="s">
        <v>43</v>
      </c>
      <c r="B42" s="1" t="s">
        <v>44</v>
      </c>
      <c r="C42" s="1" t="s">
        <v>45</v>
      </c>
      <c r="D42" s="1" t="s">
        <v>46</v>
      </c>
    </row>
    <row r="43" spans="1:4" x14ac:dyDescent="0.35">
      <c r="A43" t="s">
        <v>47</v>
      </c>
      <c r="B43">
        <v>4.55</v>
      </c>
      <c r="C43">
        <v>4.3099999999999996</v>
      </c>
      <c r="D43">
        <v>4.92</v>
      </c>
    </row>
    <row r="44" spans="1:4" x14ac:dyDescent="0.35">
      <c r="A44" t="s">
        <v>48</v>
      </c>
      <c r="B44">
        <v>17</v>
      </c>
      <c r="C44">
        <v>15</v>
      </c>
      <c r="D44">
        <v>16</v>
      </c>
    </row>
    <row r="46" spans="1:4" x14ac:dyDescent="0.35">
      <c r="A46" s="1" t="s">
        <v>43</v>
      </c>
      <c r="B46" s="1" t="s">
        <v>44</v>
      </c>
      <c r="C46" s="1" t="s">
        <v>45</v>
      </c>
      <c r="D46" s="1" t="s">
        <v>46</v>
      </c>
    </row>
    <row r="47" spans="1:4" x14ac:dyDescent="0.35">
      <c r="A47" t="s">
        <v>386</v>
      </c>
    </row>
    <row r="48" spans="1:4" x14ac:dyDescent="0.35">
      <c r="A48" s="1" t="s">
        <v>43</v>
      </c>
      <c r="B48" s="1" t="s">
        <v>44</v>
      </c>
      <c r="C48" s="1" t="s">
        <v>45</v>
      </c>
      <c r="D48" s="1" t="s">
        <v>46</v>
      </c>
    </row>
    <row r="49" spans="1:4" x14ac:dyDescent="0.35">
      <c r="A49" t="s">
        <v>47</v>
      </c>
      <c r="B49">
        <v>2.36</v>
      </c>
      <c r="C49">
        <v>2.2200000000000002</v>
      </c>
      <c r="D49">
        <v>2.08</v>
      </c>
    </row>
    <row r="50" spans="1:4" x14ac:dyDescent="0.35">
      <c r="A50" t="s">
        <v>48</v>
      </c>
      <c r="B50">
        <v>10</v>
      </c>
      <c r="C50">
        <v>8</v>
      </c>
      <c r="D50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8"/>
  <sheetViews>
    <sheetView workbookViewId="0"/>
  </sheetViews>
  <sheetFormatPr defaultRowHeight="14.5" x14ac:dyDescent="0.35"/>
  <sheetData>
    <row r="1" spans="1:17" x14ac:dyDescent="0.35">
      <c r="A1" s="1" t="s">
        <v>16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5">
      <c r="A2" t="s">
        <v>18</v>
      </c>
      <c r="B2" t="s">
        <v>28</v>
      </c>
      <c r="C2">
        <v>2.93</v>
      </c>
      <c r="D2">
        <v>4.0999999999999996</v>
      </c>
      <c r="E2">
        <v>4.09</v>
      </c>
      <c r="F2">
        <v>3.73</v>
      </c>
      <c r="G2">
        <v>3.56</v>
      </c>
      <c r="H2">
        <v>3.72</v>
      </c>
      <c r="I2">
        <v>4.1500000000000004</v>
      </c>
      <c r="J2">
        <v>4.5199999999999996</v>
      </c>
      <c r="K2">
        <v>4.38</v>
      </c>
      <c r="L2">
        <v>3.66</v>
      </c>
      <c r="M2">
        <v>3.34</v>
      </c>
      <c r="N2">
        <v>3.47</v>
      </c>
      <c r="O2">
        <v>3.92</v>
      </c>
      <c r="P2">
        <v>7657.89</v>
      </c>
      <c r="Q2">
        <v>102</v>
      </c>
    </row>
    <row r="3" spans="1:17" x14ac:dyDescent="0.35">
      <c r="A3" t="s">
        <v>18</v>
      </c>
      <c r="B3" t="s">
        <v>29</v>
      </c>
      <c r="C3">
        <v>0.24</v>
      </c>
      <c r="D3">
        <v>0.24</v>
      </c>
      <c r="E3">
        <v>0.24</v>
      </c>
      <c r="F3">
        <v>0.24</v>
      </c>
      <c r="G3">
        <v>0.24</v>
      </c>
      <c r="H3">
        <v>0.32</v>
      </c>
      <c r="I3">
        <v>0.41</v>
      </c>
      <c r="J3">
        <v>0.45</v>
      </c>
      <c r="K3">
        <v>0.72</v>
      </c>
      <c r="L3">
        <v>0.8</v>
      </c>
      <c r="M3">
        <v>2.44</v>
      </c>
      <c r="N3">
        <v>4.1900000000000004</v>
      </c>
      <c r="O3">
        <v>0.91</v>
      </c>
      <c r="P3">
        <v>747.09</v>
      </c>
      <c r="Q3">
        <v>16</v>
      </c>
    </row>
    <row r="4" spans="1:17" x14ac:dyDescent="0.35">
      <c r="A4" t="s">
        <v>18</v>
      </c>
      <c r="B4" t="s">
        <v>30</v>
      </c>
      <c r="C4">
        <v>4.38</v>
      </c>
      <c r="D4">
        <v>4.2699999999999996</v>
      </c>
      <c r="E4">
        <v>3.61</v>
      </c>
      <c r="F4">
        <v>3.65</v>
      </c>
      <c r="G4">
        <v>3.48</v>
      </c>
      <c r="H4">
        <v>3.72</v>
      </c>
      <c r="I4">
        <v>4.4000000000000004</v>
      </c>
      <c r="J4">
        <v>4.37</v>
      </c>
      <c r="K4">
        <v>4.2300000000000004</v>
      </c>
      <c r="L4">
        <v>3.41</v>
      </c>
      <c r="M4">
        <v>3.2</v>
      </c>
      <c r="N4">
        <v>2.89</v>
      </c>
      <c r="O4">
        <v>3.87</v>
      </c>
      <c r="P4">
        <v>2643.72</v>
      </c>
      <c r="Q4">
        <v>32</v>
      </c>
    </row>
    <row r="5" spans="1:17" x14ac:dyDescent="0.35">
      <c r="A5" t="s">
        <v>18</v>
      </c>
      <c r="B5" t="s">
        <v>31</v>
      </c>
      <c r="C5">
        <v>2.65</v>
      </c>
      <c r="D5">
        <v>2.66</v>
      </c>
      <c r="E5">
        <v>2.81</v>
      </c>
      <c r="F5">
        <v>2.92</v>
      </c>
      <c r="G5">
        <v>3.04</v>
      </c>
      <c r="H5">
        <v>3.26</v>
      </c>
      <c r="I5">
        <v>3.2</v>
      </c>
      <c r="J5">
        <v>3.03</v>
      </c>
      <c r="K5">
        <v>4.83</v>
      </c>
      <c r="L5">
        <v>3.83</v>
      </c>
      <c r="M5">
        <v>4.6500000000000004</v>
      </c>
      <c r="N5">
        <v>4.41</v>
      </c>
      <c r="O5">
        <v>3.42</v>
      </c>
      <c r="P5">
        <v>1055</v>
      </c>
      <c r="Q5">
        <v>26</v>
      </c>
    </row>
    <row r="6" spans="1:17" x14ac:dyDescent="0.35">
      <c r="A6" t="s">
        <v>18</v>
      </c>
      <c r="B6" t="s">
        <v>32</v>
      </c>
      <c r="C6">
        <v>4.0199999999999996</v>
      </c>
      <c r="D6">
        <v>5.61</v>
      </c>
      <c r="E6">
        <v>5.51</v>
      </c>
      <c r="F6">
        <v>4.6500000000000004</v>
      </c>
      <c r="G6">
        <v>6.28</v>
      </c>
      <c r="H6">
        <v>6.75</v>
      </c>
      <c r="I6">
        <v>6.12</v>
      </c>
      <c r="J6">
        <v>7.2</v>
      </c>
      <c r="K6">
        <v>6.84</v>
      </c>
      <c r="L6">
        <v>7.38</v>
      </c>
      <c r="M6">
        <v>7.9</v>
      </c>
      <c r="N6">
        <v>12.27</v>
      </c>
      <c r="O6">
        <v>6.43</v>
      </c>
      <c r="P6">
        <v>2682.41</v>
      </c>
      <c r="Q6">
        <v>61</v>
      </c>
    </row>
    <row r="7" spans="1:17" x14ac:dyDescent="0.35">
      <c r="A7" t="s">
        <v>18</v>
      </c>
      <c r="B7" t="s">
        <v>33</v>
      </c>
      <c r="C7">
        <v>0.51</v>
      </c>
      <c r="D7">
        <v>0.95</v>
      </c>
      <c r="E7">
        <v>0.85</v>
      </c>
      <c r="F7">
        <v>0.39</v>
      </c>
      <c r="G7">
        <v>0.28000000000000003</v>
      </c>
      <c r="H7">
        <v>0.28000000000000003</v>
      </c>
      <c r="I7">
        <v>0.67</v>
      </c>
      <c r="J7">
        <v>0.55000000000000004</v>
      </c>
      <c r="K7">
        <v>0.31</v>
      </c>
      <c r="L7">
        <v>0.32</v>
      </c>
      <c r="M7">
        <v>5.14</v>
      </c>
      <c r="N7">
        <v>6.04</v>
      </c>
      <c r="O7">
        <v>1.02</v>
      </c>
      <c r="P7">
        <v>1303</v>
      </c>
      <c r="Q7">
        <v>27</v>
      </c>
    </row>
    <row r="8" spans="1:17" x14ac:dyDescent="0.35">
      <c r="A8" t="s">
        <v>18</v>
      </c>
      <c r="B8" t="s">
        <v>34</v>
      </c>
      <c r="C8">
        <v>4.55</v>
      </c>
      <c r="D8">
        <v>4.83</v>
      </c>
      <c r="E8">
        <v>4.9400000000000004</v>
      </c>
      <c r="F8">
        <v>3.93</v>
      </c>
      <c r="G8">
        <v>3.66</v>
      </c>
      <c r="H8">
        <v>3.88</v>
      </c>
      <c r="I8">
        <v>4.1100000000000003</v>
      </c>
      <c r="J8">
        <v>4.6900000000000004</v>
      </c>
      <c r="K8">
        <v>4.8</v>
      </c>
      <c r="L8">
        <v>4.88</v>
      </c>
      <c r="M8">
        <v>5.0999999999999996</v>
      </c>
      <c r="N8">
        <v>5.51</v>
      </c>
      <c r="O8">
        <v>4.62</v>
      </c>
      <c r="P8">
        <v>5272.99</v>
      </c>
      <c r="Q8">
        <v>109</v>
      </c>
    </row>
    <row r="9" spans="1:17" x14ac:dyDescent="0.35">
      <c r="A9" t="s">
        <v>18</v>
      </c>
      <c r="B9" t="s">
        <v>35</v>
      </c>
      <c r="C9">
        <v>0.21</v>
      </c>
      <c r="D9">
        <v>0.6</v>
      </c>
      <c r="E9">
        <v>1.17</v>
      </c>
      <c r="F9">
        <v>1.1599999999999999</v>
      </c>
      <c r="G9">
        <v>0.31</v>
      </c>
      <c r="H9">
        <v>0.46</v>
      </c>
      <c r="I9">
        <v>1.9</v>
      </c>
      <c r="J9">
        <v>1.62</v>
      </c>
      <c r="K9">
        <v>0.28000000000000003</v>
      </c>
      <c r="L9">
        <v>0.38</v>
      </c>
      <c r="M9">
        <v>2.14</v>
      </c>
      <c r="N9">
        <v>3.88</v>
      </c>
      <c r="O9">
        <v>0.96</v>
      </c>
      <c r="P9">
        <v>3003</v>
      </c>
      <c r="Q9">
        <v>108</v>
      </c>
    </row>
    <row r="10" spans="1:17" x14ac:dyDescent="0.35">
      <c r="A10" t="s">
        <v>18</v>
      </c>
      <c r="B10" t="s">
        <v>36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6.1</v>
      </c>
      <c r="N10">
        <v>3.96</v>
      </c>
      <c r="O10">
        <v>4.3099999999999996</v>
      </c>
      <c r="P10">
        <v>109.72</v>
      </c>
      <c r="Q10">
        <v>3</v>
      </c>
    </row>
    <row r="11" spans="1:17" x14ac:dyDescent="0.35">
      <c r="A11" t="s">
        <v>18</v>
      </c>
      <c r="B11" t="s">
        <v>37</v>
      </c>
      <c r="C11">
        <v>0</v>
      </c>
      <c r="D11">
        <v>0</v>
      </c>
      <c r="E11">
        <v>1.4</v>
      </c>
      <c r="F11">
        <v>2.37</v>
      </c>
      <c r="G11">
        <v>2.2400000000000002</v>
      </c>
      <c r="H11">
        <v>1.5</v>
      </c>
      <c r="I11">
        <v>1.1299999999999999</v>
      </c>
      <c r="J11">
        <v>1.6</v>
      </c>
      <c r="K11">
        <v>1.41</v>
      </c>
      <c r="L11">
        <v>0.66</v>
      </c>
      <c r="M11">
        <v>3.07</v>
      </c>
      <c r="N11">
        <v>3.08</v>
      </c>
      <c r="O11">
        <v>1.74</v>
      </c>
      <c r="P11">
        <v>202.43</v>
      </c>
      <c r="Q11">
        <v>30</v>
      </c>
    </row>
    <row r="12" spans="1:17" x14ac:dyDescent="0.35">
      <c r="O12" t="s">
        <v>20</v>
      </c>
      <c r="P12">
        <v>24677.25</v>
      </c>
      <c r="Q12">
        <v>514</v>
      </c>
    </row>
    <row r="14" spans="1:17" x14ac:dyDescent="0.35">
      <c r="A14" s="1" t="s">
        <v>43</v>
      </c>
      <c r="B14" s="1" t="s">
        <v>44</v>
      </c>
      <c r="C14" s="1" t="s">
        <v>45</v>
      </c>
      <c r="D14" s="1" t="s">
        <v>46</v>
      </c>
    </row>
    <row r="15" spans="1:17" x14ac:dyDescent="0.35">
      <c r="A15" t="s">
        <v>380</v>
      </c>
    </row>
    <row r="16" spans="1:17" x14ac:dyDescent="0.35">
      <c r="A16" s="1" t="s">
        <v>43</v>
      </c>
      <c r="B16" s="1" t="s">
        <v>44</v>
      </c>
      <c r="C16" s="1" t="s">
        <v>45</v>
      </c>
      <c r="D16" s="1" t="s">
        <v>46</v>
      </c>
    </row>
    <row r="17" spans="1:4" x14ac:dyDescent="0.35">
      <c r="A17" t="s">
        <v>47</v>
      </c>
      <c r="B17">
        <v>2.2200000000000002</v>
      </c>
      <c r="C17">
        <v>2.73</v>
      </c>
      <c r="D17">
        <v>3.67</v>
      </c>
    </row>
    <row r="18" spans="1:4" x14ac:dyDescent="0.35">
      <c r="A18" t="s">
        <v>48</v>
      </c>
      <c r="B18">
        <v>113</v>
      </c>
      <c r="C18">
        <v>112</v>
      </c>
      <c r="D18">
        <v>93</v>
      </c>
    </row>
    <row r="20" spans="1:4" x14ac:dyDescent="0.35">
      <c r="A20" s="1" t="s">
        <v>43</v>
      </c>
      <c r="B20" s="1" t="s">
        <v>44</v>
      </c>
      <c r="C20" s="1" t="s">
        <v>45</v>
      </c>
      <c r="D20" s="1" t="s">
        <v>46</v>
      </c>
    </row>
    <row r="21" spans="1:4" x14ac:dyDescent="0.35">
      <c r="A21" t="s">
        <v>387</v>
      </c>
    </row>
    <row r="22" spans="1:4" x14ac:dyDescent="0.35">
      <c r="A22" s="1" t="s">
        <v>43</v>
      </c>
      <c r="B22" s="1" t="s">
        <v>44</v>
      </c>
      <c r="C22" s="1" t="s">
        <v>45</v>
      </c>
      <c r="D22" s="1" t="s">
        <v>46</v>
      </c>
    </row>
    <row r="23" spans="1:4" x14ac:dyDescent="0.35">
      <c r="A23" t="s">
        <v>47</v>
      </c>
      <c r="B23">
        <v>3.77</v>
      </c>
      <c r="C23">
        <v>4.05</v>
      </c>
      <c r="D23">
        <v>3.89</v>
      </c>
    </row>
    <row r="24" spans="1:4" x14ac:dyDescent="0.35">
      <c r="A24" t="s">
        <v>48</v>
      </c>
      <c r="B24">
        <v>40</v>
      </c>
      <c r="C24">
        <v>42</v>
      </c>
      <c r="D24">
        <v>23</v>
      </c>
    </row>
    <row r="26" spans="1:4" x14ac:dyDescent="0.35">
      <c r="A26" s="1" t="s">
        <v>43</v>
      </c>
      <c r="B26" s="1" t="s">
        <v>44</v>
      </c>
      <c r="C26" s="1" t="s">
        <v>45</v>
      </c>
      <c r="D26" s="1" t="s">
        <v>46</v>
      </c>
    </row>
    <row r="27" spans="1:4" x14ac:dyDescent="0.35">
      <c r="A27" t="s">
        <v>388</v>
      </c>
    </row>
    <row r="28" spans="1:4" x14ac:dyDescent="0.35">
      <c r="A28" s="1" t="s">
        <v>43</v>
      </c>
      <c r="B28" s="1" t="s">
        <v>44</v>
      </c>
      <c r="C28" s="1" t="s">
        <v>45</v>
      </c>
      <c r="D28" s="1" t="s">
        <v>46</v>
      </c>
    </row>
    <row r="29" spans="1:4" x14ac:dyDescent="0.35">
      <c r="A29" t="s">
        <v>47</v>
      </c>
      <c r="B29">
        <v>0.24</v>
      </c>
      <c r="C29">
        <v>0.37</v>
      </c>
      <c r="D29">
        <v>2.0099999999999998</v>
      </c>
    </row>
    <row r="30" spans="1:4" x14ac:dyDescent="0.35">
      <c r="A30" t="s">
        <v>48</v>
      </c>
      <c r="B30">
        <v>7</v>
      </c>
      <c r="C30">
        <v>8</v>
      </c>
      <c r="D30">
        <v>14</v>
      </c>
    </row>
    <row r="32" spans="1:4" x14ac:dyDescent="0.35">
      <c r="A32" s="1" t="s">
        <v>43</v>
      </c>
      <c r="B32" s="1" t="s">
        <v>44</v>
      </c>
      <c r="C32" s="1" t="s">
        <v>45</v>
      </c>
      <c r="D32" s="1" t="s">
        <v>46</v>
      </c>
    </row>
    <row r="33" spans="1:4" x14ac:dyDescent="0.35">
      <c r="A33" t="s">
        <v>389</v>
      </c>
    </row>
    <row r="34" spans="1:4" x14ac:dyDescent="0.35">
      <c r="A34" s="1" t="s">
        <v>43</v>
      </c>
      <c r="B34" s="1" t="s">
        <v>44</v>
      </c>
      <c r="C34" s="1" t="s">
        <v>45</v>
      </c>
      <c r="D34" s="1" t="s">
        <v>46</v>
      </c>
    </row>
    <row r="35" spans="1:4" x14ac:dyDescent="0.35">
      <c r="A35" t="s">
        <v>47</v>
      </c>
      <c r="B35">
        <v>4.05</v>
      </c>
      <c r="C35">
        <v>4.05</v>
      </c>
      <c r="D35">
        <v>3.36</v>
      </c>
    </row>
    <row r="36" spans="1:4" x14ac:dyDescent="0.35">
      <c r="A36" t="s">
        <v>48</v>
      </c>
      <c r="B36">
        <v>12</v>
      </c>
      <c r="C36">
        <v>9</v>
      </c>
      <c r="D36">
        <v>6</v>
      </c>
    </row>
    <row r="38" spans="1:4" x14ac:dyDescent="0.35">
      <c r="A38" s="1" t="s">
        <v>43</v>
      </c>
      <c r="B38" s="1" t="s">
        <v>44</v>
      </c>
      <c r="C38" s="1" t="s">
        <v>45</v>
      </c>
      <c r="D38" s="1" t="s">
        <v>46</v>
      </c>
    </row>
    <row r="39" spans="1:4" x14ac:dyDescent="0.35">
      <c r="A39" t="s">
        <v>390</v>
      </c>
    </row>
    <row r="40" spans="1:4" x14ac:dyDescent="0.35">
      <c r="A40" s="1" t="s">
        <v>43</v>
      </c>
      <c r="B40" s="1" t="s">
        <v>44</v>
      </c>
      <c r="C40" s="1" t="s">
        <v>45</v>
      </c>
      <c r="D40" s="1" t="s">
        <v>46</v>
      </c>
    </row>
    <row r="41" spans="1:4" x14ac:dyDescent="0.35">
      <c r="A41" t="s">
        <v>47</v>
      </c>
      <c r="B41">
        <v>2.77</v>
      </c>
      <c r="C41">
        <v>3.13</v>
      </c>
      <c r="D41">
        <v>4.42</v>
      </c>
    </row>
    <row r="42" spans="1:4" x14ac:dyDescent="0.35">
      <c r="A42" t="s">
        <v>48</v>
      </c>
      <c r="B42">
        <v>5</v>
      </c>
      <c r="C42">
        <v>3</v>
      </c>
      <c r="D42">
        <v>3</v>
      </c>
    </row>
    <row r="44" spans="1:4" x14ac:dyDescent="0.35">
      <c r="A44" s="1" t="s">
        <v>43</v>
      </c>
      <c r="B44" s="1" t="s">
        <v>44</v>
      </c>
      <c r="C44" s="1" t="s">
        <v>45</v>
      </c>
      <c r="D44" s="1" t="s">
        <v>46</v>
      </c>
    </row>
    <row r="45" spans="1:4" x14ac:dyDescent="0.35">
      <c r="A45" t="s">
        <v>391</v>
      </c>
    </row>
    <row r="46" spans="1:4" x14ac:dyDescent="0.35">
      <c r="A46" s="1" t="s">
        <v>43</v>
      </c>
      <c r="B46" s="1" t="s">
        <v>44</v>
      </c>
      <c r="C46" s="1" t="s">
        <v>45</v>
      </c>
      <c r="D46" s="1" t="s">
        <v>46</v>
      </c>
    </row>
    <row r="47" spans="1:4" x14ac:dyDescent="0.35">
      <c r="A47" t="s">
        <v>47</v>
      </c>
      <c r="B47">
        <v>4.93</v>
      </c>
      <c r="C47">
        <v>6.62</v>
      </c>
      <c r="D47">
        <v>8.0500000000000007</v>
      </c>
    </row>
    <row r="48" spans="1:4" x14ac:dyDescent="0.35">
      <c r="A48" t="s">
        <v>48</v>
      </c>
      <c r="B48">
        <v>6</v>
      </c>
      <c r="C48">
        <v>7</v>
      </c>
      <c r="D48">
        <v>5</v>
      </c>
    </row>
    <row r="50" spans="1:4" x14ac:dyDescent="0.35">
      <c r="A50" s="1" t="s">
        <v>43</v>
      </c>
      <c r="B50" s="1" t="s">
        <v>44</v>
      </c>
      <c r="C50" s="1" t="s">
        <v>45</v>
      </c>
      <c r="D50" s="1" t="s">
        <v>46</v>
      </c>
    </row>
    <row r="51" spans="1:4" x14ac:dyDescent="0.35">
      <c r="A51" t="s">
        <v>392</v>
      </c>
    </row>
    <row r="52" spans="1:4" x14ac:dyDescent="0.35">
      <c r="A52" s="1" t="s">
        <v>43</v>
      </c>
      <c r="B52" s="1" t="s">
        <v>44</v>
      </c>
      <c r="C52" s="1" t="s">
        <v>45</v>
      </c>
      <c r="D52" s="1" t="s">
        <v>46</v>
      </c>
    </row>
    <row r="53" spans="1:4" x14ac:dyDescent="0.35">
      <c r="A53" t="s">
        <v>47</v>
      </c>
      <c r="B53">
        <v>0.66</v>
      </c>
      <c r="C53">
        <v>0.42</v>
      </c>
      <c r="D53">
        <v>3</v>
      </c>
    </row>
    <row r="54" spans="1:4" x14ac:dyDescent="0.35">
      <c r="A54" t="s">
        <v>48</v>
      </c>
      <c r="B54">
        <v>9</v>
      </c>
      <c r="C54">
        <v>8</v>
      </c>
      <c r="D54">
        <v>6</v>
      </c>
    </row>
    <row r="56" spans="1:4" x14ac:dyDescent="0.35">
      <c r="A56" s="1" t="s">
        <v>43</v>
      </c>
      <c r="B56" s="1" t="s">
        <v>44</v>
      </c>
      <c r="C56" s="1" t="s">
        <v>45</v>
      </c>
      <c r="D56" s="1" t="s">
        <v>46</v>
      </c>
    </row>
    <row r="57" spans="1:4" x14ac:dyDescent="0.35">
      <c r="A57" t="s">
        <v>393</v>
      </c>
    </row>
    <row r="58" spans="1:4" x14ac:dyDescent="0.35">
      <c r="A58" s="1" t="s">
        <v>43</v>
      </c>
      <c r="B58" s="1" t="s">
        <v>44</v>
      </c>
      <c r="C58" s="1" t="s">
        <v>45</v>
      </c>
      <c r="D58" s="1" t="s">
        <v>46</v>
      </c>
    </row>
    <row r="59" spans="1:4" x14ac:dyDescent="0.35">
      <c r="A59" t="s">
        <v>47</v>
      </c>
      <c r="B59">
        <v>4.51</v>
      </c>
      <c r="C59">
        <v>4.1399999999999997</v>
      </c>
      <c r="D59">
        <v>5.0999999999999996</v>
      </c>
    </row>
    <row r="60" spans="1:4" x14ac:dyDescent="0.35">
      <c r="A60" t="s">
        <v>48</v>
      </c>
      <c r="B60">
        <v>12</v>
      </c>
      <c r="C60">
        <v>12</v>
      </c>
      <c r="D60">
        <v>16</v>
      </c>
    </row>
    <row r="62" spans="1:4" x14ac:dyDescent="0.35">
      <c r="A62" s="1" t="s">
        <v>43</v>
      </c>
      <c r="B62" s="1" t="s">
        <v>44</v>
      </c>
      <c r="C62" s="1" t="s">
        <v>45</v>
      </c>
      <c r="D62" s="1" t="s">
        <v>46</v>
      </c>
    </row>
    <row r="63" spans="1:4" x14ac:dyDescent="0.35">
      <c r="A63" t="s">
        <v>394</v>
      </c>
    </row>
    <row r="64" spans="1:4" x14ac:dyDescent="0.35">
      <c r="A64" s="1" t="s">
        <v>43</v>
      </c>
      <c r="B64" s="1" t="s">
        <v>44</v>
      </c>
      <c r="C64" s="1" t="s">
        <v>45</v>
      </c>
      <c r="D64" s="1" t="s">
        <v>46</v>
      </c>
    </row>
    <row r="65" spans="1:4" x14ac:dyDescent="0.35">
      <c r="A65" t="s">
        <v>47</v>
      </c>
      <c r="B65">
        <v>0.83</v>
      </c>
      <c r="C65">
        <v>1.04</v>
      </c>
      <c r="D65">
        <v>1.32</v>
      </c>
    </row>
    <row r="66" spans="1:4" x14ac:dyDescent="0.35">
      <c r="A66" t="s">
        <v>48</v>
      </c>
      <c r="B66">
        <v>25</v>
      </c>
      <c r="C66">
        <v>23</v>
      </c>
      <c r="D66">
        <v>16</v>
      </c>
    </row>
    <row r="68" spans="1:4" x14ac:dyDescent="0.35">
      <c r="A68" s="1" t="s">
        <v>43</v>
      </c>
      <c r="B68" s="1" t="s">
        <v>44</v>
      </c>
      <c r="C68" s="1" t="s">
        <v>45</v>
      </c>
      <c r="D68" s="1" t="s">
        <v>46</v>
      </c>
    </row>
    <row r="69" spans="1:4" x14ac:dyDescent="0.35">
      <c r="A69" t="s">
        <v>395</v>
      </c>
    </row>
    <row r="70" spans="1:4" x14ac:dyDescent="0.35">
      <c r="A70" s="1" t="s">
        <v>43</v>
      </c>
      <c r="B70" s="1" t="s">
        <v>44</v>
      </c>
      <c r="C70" s="1" t="s">
        <v>45</v>
      </c>
      <c r="D70" s="1" t="s">
        <v>46</v>
      </c>
    </row>
    <row r="71" spans="1:4" x14ac:dyDescent="0.35">
      <c r="A71" t="s">
        <v>47</v>
      </c>
      <c r="B71">
        <v>0</v>
      </c>
      <c r="C71">
        <v>0</v>
      </c>
      <c r="D71">
        <v>4.3099999999999996</v>
      </c>
    </row>
    <row r="72" spans="1:4" x14ac:dyDescent="0.35">
      <c r="A72" t="s">
        <v>48</v>
      </c>
      <c r="B72">
        <v>0</v>
      </c>
      <c r="C72">
        <v>0</v>
      </c>
      <c r="D72">
        <v>3</v>
      </c>
    </row>
    <row r="74" spans="1:4" x14ac:dyDescent="0.35">
      <c r="A74" s="1" t="s">
        <v>43</v>
      </c>
      <c r="B74" s="1" t="s">
        <v>44</v>
      </c>
      <c r="C74" s="1" t="s">
        <v>45</v>
      </c>
      <c r="D74" s="1" t="s">
        <v>46</v>
      </c>
    </row>
    <row r="75" spans="1:4" x14ac:dyDescent="0.35">
      <c r="A75" t="s">
        <v>396</v>
      </c>
    </row>
    <row r="76" spans="1:4" x14ac:dyDescent="0.35">
      <c r="A76" s="1" t="s">
        <v>43</v>
      </c>
      <c r="B76" s="1" t="s">
        <v>44</v>
      </c>
      <c r="C76" s="1" t="s">
        <v>45</v>
      </c>
      <c r="D76" s="1" t="s">
        <v>46</v>
      </c>
    </row>
    <row r="77" spans="1:4" x14ac:dyDescent="0.35">
      <c r="A77" t="s">
        <v>47</v>
      </c>
      <c r="B77">
        <v>2.04</v>
      </c>
      <c r="C77">
        <v>1.53</v>
      </c>
      <c r="D77">
        <v>1.97</v>
      </c>
    </row>
    <row r="78" spans="1:4" x14ac:dyDescent="0.35">
      <c r="A78" t="s">
        <v>48</v>
      </c>
      <c r="B78">
        <v>2</v>
      </c>
      <c r="C78">
        <v>5</v>
      </c>
      <c r="D78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2"/>
  <sheetViews>
    <sheetView workbookViewId="0"/>
  </sheetViews>
  <sheetFormatPr defaultRowHeight="14.5" x14ac:dyDescent="0.35"/>
  <sheetData>
    <row r="1" spans="1:17" x14ac:dyDescent="0.35">
      <c r="A1" s="1" t="s">
        <v>16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5">
      <c r="A2" t="s">
        <v>19</v>
      </c>
      <c r="B2" t="s">
        <v>38</v>
      </c>
      <c r="C2">
        <v>3.21</v>
      </c>
      <c r="D2">
        <v>4.76</v>
      </c>
      <c r="E2">
        <v>4.7</v>
      </c>
      <c r="F2">
        <v>3.55</v>
      </c>
      <c r="G2">
        <v>4.66</v>
      </c>
      <c r="H2">
        <v>3.93</v>
      </c>
      <c r="I2">
        <v>3.67</v>
      </c>
      <c r="J2">
        <v>4.07</v>
      </c>
      <c r="K2">
        <v>3.58</v>
      </c>
      <c r="L2">
        <v>3.87</v>
      </c>
      <c r="M2">
        <v>4.12</v>
      </c>
      <c r="N2">
        <v>4.12</v>
      </c>
      <c r="O2">
        <v>4.01</v>
      </c>
      <c r="P2">
        <v>376.42</v>
      </c>
      <c r="Q2">
        <v>16</v>
      </c>
    </row>
    <row r="3" spans="1:17" x14ac:dyDescent="0.35">
      <c r="A3" t="s">
        <v>19</v>
      </c>
      <c r="B3" t="s">
        <v>39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2.62</v>
      </c>
      <c r="K3">
        <v>2.84</v>
      </c>
      <c r="L3">
        <v>3.05</v>
      </c>
      <c r="M3">
        <v>0</v>
      </c>
      <c r="N3">
        <v>2.02</v>
      </c>
      <c r="O3">
        <v>2.35</v>
      </c>
      <c r="P3">
        <v>56.08</v>
      </c>
      <c r="Q3">
        <v>3</v>
      </c>
    </row>
    <row r="4" spans="1:17" x14ac:dyDescent="0.35">
      <c r="O4" t="s">
        <v>20</v>
      </c>
      <c r="P4">
        <v>432.5</v>
      </c>
      <c r="Q4">
        <v>19</v>
      </c>
    </row>
    <row r="6" spans="1:17" x14ac:dyDescent="0.35">
      <c r="A6" s="1" t="s">
        <v>43</v>
      </c>
      <c r="B6" s="1" t="s">
        <v>44</v>
      </c>
      <c r="C6" s="1" t="s">
        <v>45</v>
      </c>
      <c r="D6" s="1" t="s">
        <v>46</v>
      </c>
    </row>
    <row r="7" spans="1:17" x14ac:dyDescent="0.35">
      <c r="A7" t="s">
        <v>380</v>
      </c>
    </row>
    <row r="8" spans="1:17" x14ac:dyDescent="0.35">
      <c r="A8" s="1" t="s">
        <v>43</v>
      </c>
      <c r="B8" s="1" t="s">
        <v>44</v>
      </c>
      <c r="C8" s="1" t="s">
        <v>45</v>
      </c>
      <c r="D8" s="1" t="s">
        <v>46</v>
      </c>
    </row>
    <row r="9" spans="1:17" x14ac:dyDescent="0.35">
      <c r="A9" t="s">
        <v>47</v>
      </c>
      <c r="B9">
        <v>4</v>
      </c>
      <c r="C9">
        <v>3.95</v>
      </c>
      <c r="D9">
        <v>3.04</v>
      </c>
    </row>
    <row r="10" spans="1:17" x14ac:dyDescent="0.35">
      <c r="A10" t="s">
        <v>48</v>
      </c>
      <c r="B10">
        <v>1</v>
      </c>
      <c r="C10">
        <v>2</v>
      </c>
      <c r="D10">
        <v>3</v>
      </c>
    </row>
    <row r="12" spans="1:17" x14ac:dyDescent="0.35">
      <c r="A12" s="1" t="s">
        <v>43</v>
      </c>
      <c r="B12" s="1" t="s">
        <v>44</v>
      </c>
      <c r="C12" s="1" t="s">
        <v>45</v>
      </c>
      <c r="D12" s="1" t="s">
        <v>46</v>
      </c>
    </row>
    <row r="13" spans="1:17" x14ac:dyDescent="0.35">
      <c r="A13" t="s">
        <v>397</v>
      </c>
    </row>
    <row r="14" spans="1:17" x14ac:dyDescent="0.35">
      <c r="A14" s="1" t="s">
        <v>43</v>
      </c>
      <c r="B14" s="1" t="s">
        <v>44</v>
      </c>
      <c r="C14" s="1" t="s">
        <v>45</v>
      </c>
      <c r="D14" s="1" t="s">
        <v>46</v>
      </c>
    </row>
    <row r="15" spans="1:17" x14ac:dyDescent="0.35">
      <c r="A15" t="s">
        <v>47</v>
      </c>
      <c r="B15">
        <v>4</v>
      </c>
      <c r="C15">
        <v>4.1100000000000003</v>
      </c>
      <c r="D15">
        <v>3.9</v>
      </c>
    </row>
    <row r="16" spans="1:17" x14ac:dyDescent="0.35">
      <c r="A16" t="s">
        <v>48</v>
      </c>
      <c r="B16">
        <v>1</v>
      </c>
      <c r="C16">
        <v>1</v>
      </c>
      <c r="D16">
        <v>1</v>
      </c>
    </row>
    <row r="18" spans="1:4" x14ac:dyDescent="0.35">
      <c r="A18" s="1" t="s">
        <v>43</v>
      </c>
      <c r="B18" s="1" t="s">
        <v>44</v>
      </c>
      <c r="C18" s="1" t="s">
        <v>45</v>
      </c>
      <c r="D18" s="1" t="s">
        <v>46</v>
      </c>
    </row>
    <row r="19" spans="1:4" x14ac:dyDescent="0.35">
      <c r="A19" t="s">
        <v>398</v>
      </c>
    </row>
    <row r="20" spans="1:4" x14ac:dyDescent="0.35">
      <c r="A20" s="1" t="s">
        <v>43</v>
      </c>
      <c r="B20" s="1" t="s">
        <v>44</v>
      </c>
      <c r="C20" s="1" t="s">
        <v>45</v>
      </c>
      <c r="D20" s="1" t="s">
        <v>46</v>
      </c>
    </row>
    <row r="21" spans="1:4" x14ac:dyDescent="0.35">
      <c r="A21" t="s">
        <v>47</v>
      </c>
      <c r="B21">
        <v>0</v>
      </c>
      <c r="C21">
        <v>2.62</v>
      </c>
      <c r="D21">
        <v>2.31</v>
      </c>
    </row>
    <row r="22" spans="1:4" x14ac:dyDescent="0.35">
      <c r="A22" t="s">
        <v>48</v>
      </c>
      <c r="B22">
        <v>0</v>
      </c>
      <c r="C22">
        <v>1</v>
      </c>
      <c r="D2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Erection Summary</vt:lpstr>
      <vt:lpstr>Review_Format</vt:lpstr>
      <vt:lpstr>Gang Level Productivity</vt:lpstr>
      <vt:lpstr>Idle Intervals</vt:lpstr>
      <vt:lpstr>Project Gang Rankings</vt:lpstr>
      <vt:lpstr>PCH Mr. Sanjay Kumar Gupta</vt:lpstr>
      <vt:lpstr>PCH Mr. Arun Felbin</vt:lpstr>
      <vt:lpstr>PCH Mr. Dheeraj Vashishth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Kaushik</cp:lastModifiedBy>
  <dcterms:created xsi:type="dcterms:W3CDTF">2026-01-20T11:08:59Z</dcterms:created>
  <dcterms:modified xsi:type="dcterms:W3CDTF">2026-01-20T11:34:34Z</dcterms:modified>
</cp:coreProperties>
</file>