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kaushikb\Documents\Work\Git\Office-work-\Productivity Summaries\"/>
    </mc:Choice>
  </mc:AlternateContent>
  <xr:revisionPtr revIDLastSave="0" documentId="13_ncr:1_{78725DFA-27C8-4F52-A4A5-F96561DED72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KV Productivity" sheetId="1" r:id="rId1"/>
    <sheet name="Sheet1" sheetId="3" r:id="rId2"/>
    <sheet name="Issu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3" l="1"/>
  <c r="D14" i="3" s="1"/>
  <c r="D9" i="3"/>
  <c r="D6" i="3"/>
  <c r="D4" i="3"/>
  <c r="D3" i="3"/>
  <c r="H6" i="1"/>
  <c r="H2" i="1"/>
  <c r="O3" i="1"/>
  <c r="O4" i="1"/>
  <c r="O5" i="1"/>
  <c r="O2" i="1"/>
  <c r="N3" i="1"/>
  <c r="N4" i="1"/>
  <c r="N5" i="1"/>
  <c r="N2" i="1"/>
  <c r="F7" i="1"/>
  <c r="F8" i="1"/>
  <c r="F9" i="1"/>
  <c r="F6" i="1"/>
  <c r="F3" i="1"/>
  <c r="F4" i="1"/>
  <c r="F5" i="1"/>
  <c r="F2" i="1"/>
  <c r="G7" i="1"/>
  <c r="G8" i="1"/>
  <c r="G9" i="1"/>
  <c r="G6" i="1"/>
  <c r="G3" i="1"/>
  <c r="G4" i="1"/>
  <c r="G5" i="1"/>
  <c r="G2" i="1"/>
  <c r="M2" i="1"/>
  <c r="M3" i="1"/>
  <c r="M4" i="1"/>
  <c r="M5" i="1"/>
  <c r="L3" i="1"/>
  <c r="L4" i="1"/>
  <c r="L5" i="1"/>
  <c r="L2" i="1"/>
</calcChain>
</file>

<file path=xl/sharedStrings.xml><?xml version="1.0" encoding="utf-8"?>
<sst xmlns="http://schemas.openxmlformats.org/spreadsheetml/2006/main" count="361" uniqueCount="125">
  <si>
    <t>Voltage</t>
  </si>
  <si>
    <t>Tower family</t>
  </si>
  <si>
    <t>Total MT</t>
  </si>
  <si>
    <t>Total No. of Erections</t>
  </si>
  <si>
    <t>Average Tower Weight</t>
  </si>
  <si>
    <t>400 &amp; Below</t>
  </si>
  <si>
    <t>DA</t>
  </si>
  <si>
    <t>DB</t>
  </si>
  <si>
    <t>DC</t>
  </si>
  <si>
    <t>DD</t>
  </si>
  <si>
    <t>765</t>
  </si>
  <si>
    <t>800</t>
  </si>
  <si>
    <t>Avg Productivity (YTD)</t>
  </si>
  <si>
    <t>Total MT (YTD)</t>
  </si>
  <si>
    <t>Total No. of Erections (YTD)</t>
  </si>
  <si>
    <t>132/220</t>
  </si>
  <si>
    <t>400</t>
  </si>
  <si>
    <t>Tower Family</t>
  </si>
  <si>
    <t>Avg Productivity</t>
  </si>
  <si>
    <t>Unknown</t>
  </si>
  <si>
    <t>Tower Type</t>
  </si>
  <si>
    <t>DA+0</t>
  </si>
  <si>
    <t>DA+3</t>
  </si>
  <si>
    <t>DA+6</t>
  </si>
  <si>
    <t>DA+9</t>
  </si>
  <si>
    <t>DB+0</t>
  </si>
  <si>
    <t>DB+3</t>
  </si>
  <si>
    <t>DB+6</t>
  </si>
  <si>
    <t>DB+9</t>
  </si>
  <si>
    <t>DC+0</t>
  </si>
  <si>
    <t>DC+3</t>
  </si>
  <si>
    <t>DC+6</t>
  </si>
  <si>
    <t>DC+9</t>
  </si>
  <si>
    <t>DD+0</t>
  </si>
  <si>
    <t>DD+18</t>
  </si>
  <si>
    <t>DD+3</t>
  </si>
  <si>
    <t>DD+6</t>
  </si>
  <si>
    <t>DD+9</t>
  </si>
  <si>
    <t>DDAUX</t>
  </si>
  <si>
    <t>GANTRYUC</t>
  </si>
  <si>
    <t>GANTRYUC(+2)</t>
  </si>
  <si>
    <t>DA+1.5</t>
  </si>
  <si>
    <t>DA-1.5</t>
  </si>
  <si>
    <t>DA-3</t>
  </si>
  <si>
    <t>DB1+6</t>
  </si>
  <si>
    <t>DB1+9</t>
  </si>
  <si>
    <t>DB2+0</t>
  </si>
  <si>
    <t>DB2+3</t>
  </si>
  <si>
    <t>DB2+6</t>
  </si>
  <si>
    <t>DC1+0</t>
  </si>
  <si>
    <t>DC2+0</t>
  </si>
  <si>
    <t>DC2+3</t>
  </si>
  <si>
    <t>DD+0,1MRC</t>
  </si>
  <si>
    <t>DD45+0</t>
  </si>
  <si>
    <t>DD45+6</t>
  </si>
  <si>
    <t>DA+4.5</t>
  </si>
  <si>
    <t>DA+6(3MRC)</t>
  </si>
  <si>
    <t>DA+9(2MRC)</t>
  </si>
  <si>
    <t>DB+18</t>
  </si>
  <si>
    <t>DB+25</t>
  </si>
  <si>
    <t>DB1+0</t>
  </si>
  <si>
    <t>DB1+12</t>
  </si>
  <si>
    <t>DB1+18</t>
  </si>
  <si>
    <t>DB1+3</t>
  </si>
  <si>
    <t>DB1+3(3MRC)</t>
  </si>
  <si>
    <t>DB1-3</t>
  </si>
  <si>
    <t>DB2+15</t>
  </si>
  <si>
    <t>DB2+18</t>
  </si>
  <si>
    <t>DB2+25</t>
  </si>
  <si>
    <t>DB2+9</t>
  </si>
  <si>
    <t>DB2-1.5</t>
  </si>
  <si>
    <t>DB2-3</t>
  </si>
  <si>
    <t>DC+18</t>
  </si>
  <si>
    <t>DC+25</t>
  </si>
  <si>
    <t>DC1+0(DCT)</t>
  </si>
  <si>
    <t>DC1+0(TP)</t>
  </si>
  <si>
    <t>DC1+18</t>
  </si>
  <si>
    <t>DC1+3</t>
  </si>
  <si>
    <t>DC1+6</t>
  </si>
  <si>
    <t>DC1+9</t>
  </si>
  <si>
    <t>DC1-1.5</t>
  </si>
  <si>
    <t>DC1-3</t>
  </si>
  <si>
    <t>DC2+15</t>
  </si>
  <si>
    <t>DC2+18</t>
  </si>
  <si>
    <t>DC2+25</t>
  </si>
  <si>
    <t>DC2+6</t>
  </si>
  <si>
    <t>DC2+9</t>
  </si>
  <si>
    <t>DC2-3</t>
  </si>
  <si>
    <t>DCT</t>
  </si>
  <si>
    <t>DCT+0</t>
  </si>
  <si>
    <t>DD2+30</t>
  </si>
  <si>
    <t>DD45+00</t>
  </si>
  <si>
    <t>DD45+18</t>
  </si>
  <si>
    <t>DD45+25</t>
  </si>
  <si>
    <t>DD45+3</t>
  </si>
  <si>
    <t>DD45+35</t>
  </si>
  <si>
    <t>DD45+9</t>
  </si>
  <si>
    <t>DD45-3</t>
  </si>
  <si>
    <t>DD60+0</t>
  </si>
  <si>
    <t>DD60+00</t>
  </si>
  <si>
    <t>DD60+09</t>
  </si>
  <si>
    <t>DD60+18</t>
  </si>
  <si>
    <t>DD60+25</t>
  </si>
  <si>
    <t>DD60+3</t>
  </si>
  <si>
    <t>DD60+30</t>
  </si>
  <si>
    <t>DD60+35</t>
  </si>
  <si>
    <t>DD60+55</t>
  </si>
  <si>
    <t>DD60+6</t>
  </si>
  <si>
    <t>DD60+9</t>
  </si>
  <si>
    <t>DE+0</t>
  </si>
  <si>
    <t>Issue</t>
  </si>
  <si>
    <t>No issues detected</t>
  </si>
  <si>
    <t>Rounded</t>
  </si>
  <si>
    <t>Boom Crane</t>
  </si>
  <si>
    <t>DAGP</t>
  </si>
  <si>
    <t>DAGP Productivity</t>
  </si>
  <si>
    <t>Working Months</t>
  </si>
  <si>
    <t>Number of DAGP required</t>
  </si>
  <si>
    <t>Current Inventory</t>
  </si>
  <si>
    <t>Balance</t>
  </si>
  <si>
    <t>Scope to be Excluded</t>
  </si>
  <si>
    <t>Total Scope Available</t>
  </si>
  <si>
    <t>Scope for DAGP</t>
  </si>
  <si>
    <t>-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</si>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</sst>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9" fontId="0" fillId="0" borderId="0" xfId="1" applyFont="1"/>
    <xf numFmtId="0" fontId="1" fillId="0" borderId="2" xfId="0" applyFont="1" applyBorder="1" applyAlignment="1">
      <alignment horizontal="center" vertical="top"/>
    </xf>
    <xf numFmtId="0" fontId="0" fillId="3" borderId="1" xfId="0" applyFill="1" applyBorder="1"/>
    <xf numFmtId="9" fontId="0" fillId="3" borderId="1" xfId="1" applyFont="1" applyFill="1" applyBorder="1"/>
    <xf numFmtId="0" fontId="0" fillId="2" borderId="1" xfId="0" applyFill="1" applyBorder="1"/>
    <xf numFmtId="9" fontId="0" fillId="2" borderId="1" xfId="1" applyFont="1" applyFill="1" applyBorder="1"/>
    <xf numFmtId="0" fontId="0" fillId="0" borderId="1" xfId="0" applyBorder="1"/>
    <xf numFmtId="9" fontId="0" fillId="0" borderId="1" xfId="0" applyNumberFormat="1" applyBorder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5"/>
  <sheetViews>
    <sheetView topLeftCell="A10" workbookViewId="0">
      <selection activeCell="H15" sqref="H15:H19"/>
    </sheetView>
  </sheetViews>
  <sheetFormatPr defaultRowHeight="14.5" x14ac:dyDescent="0.35"/>
  <cols>
    <col min="1" max="1" width="11.1796875" bestFit="1" customWidth="1"/>
    <col min="2" max="3" width="19.54296875" bestFit="1" customWidth="1"/>
    <col min="4" max="5" width="24.08984375" bestFit="1" customWidth="1"/>
    <col min="6" max="6" width="4.26953125" bestFit="1" customWidth="1"/>
  </cols>
  <sheetData>
    <row r="1" spans="1:1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spans="1:15" x14ac:dyDescent="0.35">
      <c r="A2" s="4" t="s">
        <v>5</v>
      </c>
      <c r="B2" s="4" t="s">
        <v>6</v>
      </c>
      <c r="C2" s="4">
        <v>7012.39</v>
      </c>
      <c r="D2" s="4">
        <v>428</v>
      </c>
      <c r="E2" s="4">
        <v>16.38</v>
      </c>
      <c r="F2" s="5">
        <f>C2/SUM($C$2:$C$5)</f>
        <v>0.58795086372489591</v>
      </c>
      <c r="G2" s="5">
        <f>D2/SUM($D$2:$D$5)</f>
        <v>0.65543644716692195</v>
      </c>
      <c r="H2">
        <f>SUM(C2:C5)*(1-F2)</f>
        <v>4914.4399999999996</v>
      </c>
      <c r="K2" t="s">
        <v>6</v>
      </c>
      <c r="L2">
        <f>C2+C6</f>
        <v>111952.02</v>
      </c>
      <c r="M2">
        <f>D2+D6</f>
        <v>3196</v>
      </c>
      <c r="N2" s="2">
        <f>L2/SUM($L$2:$L$5)</f>
        <v>0.59747859509512813</v>
      </c>
      <c r="O2" s="2">
        <f>M2/SUM($M$2:$M$5)</f>
        <v>0.72685922219695243</v>
      </c>
    </row>
    <row r="3" spans="1:15" x14ac:dyDescent="0.35">
      <c r="A3" s="4" t="s">
        <v>5</v>
      </c>
      <c r="B3" s="4" t="s">
        <v>7</v>
      </c>
      <c r="C3" s="4">
        <v>1999.09</v>
      </c>
      <c r="D3" s="4">
        <v>90</v>
      </c>
      <c r="E3" s="4">
        <v>22.21</v>
      </c>
      <c r="F3" s="5">
        <f t="shared" ref="F3:F5" si="0">C3/SUM($C$2:$C$5)</f>
        <v>0.16761285270268797</v>
      </c>
      <c r="G3" s="5">
        <f>D3/SUM($D$2:$D$5)</f>
        <v>0.13782542113323124</v>
      </c>
      <c r="K3" t="s">
        <v>7</v>
      </c>
      <c r="L3">
        <f>C3+C7</f>
        <v>25473.87</v>
      </c>
      <c r="M3">
        <f>D3+D7</f>
        <v>499</v>
      </c>
      <c r="N3" s="2">
        <f t="shared" ref="N3:N5" si="1">L3/SUM($L$2:$L$5)</f>
        <v>0.13595191993173442</v>
      </c>
      <c r="O3" s="2">
        <f t="shared" ref="O3:O5" si="2">M3/SUM($M$2:$M$5)</f>
        <v>0.11348646804639527</v>
      </c>
    </row>
    <row r="4" spans="1:15" x14ac:dyDescent="0.35">
      <c r="A4" s="4" t="s">
        <v>5</v>
      </c>
      <c r="B4" s="4" t="s">
        <v>8</v>
      </c>
      <c r="C4" s="4">
        <v>1554.51</v>
      </c>
      <c r="D4" s="4">
        <v>70</v>
      </c>
      <c r="E4" s="4">
        <v>22.21</v>
      </c>
      <c r="F4" s="5">
        <f t="shared" si="0"/>
        <v>0.13033723126765454</v>
      </c>
      <c r="G4" s="5">
        <f>D4/SUM($D$2:$D$5)</f>
        <v>0.10719754977029096</v>
      </c>
      <c r="K4" t="s">
        <v>8</v>
      </c>
      <c r="L4">
        <f>C4+C8</f>
        <v>16717.43</v>
      </c>
      <c r="M4">
        <f>D4+D8</f>
        <v>304</v>
      </c>
      <c r="N4" s="2">
        <f t="shared" si="1"/>
        <v>8.9219529848600737E-2</v>
      </c>
      <c r="O4" s="2">
        <f t="shared" si="2"/>
        <v>6.9138048669547425E-2</v>
      </c>
    </row>
    <row r="5" spans="1:15" x14ac:dyDescent="0.35">
      <c r="A5" s="4" t="s">
        <v>5</v>
      </c>
      <c r="B5" s="4" t="s">
        <v>9</v>
      </c>
      <c r="C5" s="4">
        <v>1360.84</v>
      </c>
      <c r="D5" s="4">
        <v>65</v>
      </c>
      <c r="E5" s="4">
        <v>20.94</v>
      </c>
      <c r="F5" s="5">
        <f t="shared" si="0"/>
        <v>0.11409905230476161</v>
      </c>
      <c r="G5" s="5">
        <f>D5/SUM($D$2:$D$5)</f>
        <v>9.9540581929555894E-2</v>
      </c>
      <c r="K5" t="s">
        <v>9</v>
      </c>
      <c r="L5">
        <f>C5+C9</f>
        <v>33230.79</v>
      </c>
      <c r="M5">
        <f>D5+D9</f>
        <v>398</v>
      </c>
      <c r="N5" s="2">
        <f t="shared" si="1"/>
        <v>0.17734995512453666</v>
      </c>
      <c r="O5" s="2">
        <f t="shared" si="2"/>
        <v>9.0516261087104838E-2</v>
      </c>
    </row>
    <row r="6" spans="1:15" x14ac:dyDescent="0.35">
      <c r="A6" s="6" t="s">
        <v>10</v>
      </c>
      <c r="B6" s="6" t="s">
        <v>6</v>
      </c>
      <c r="C6" s="6">
        <v>104939.63</v>
      </c>
      <c r="D6" s="6">
        <v>2768</v>
      </c>
      <c r="E6" s="6">
        <v>37.909999999999997</v>
      </c>
      <c r="F6" s="7">
        <f>C6/SUM($C$6:$C$9)</f>
        <v>0.59812628614134111</v>
      </c>
      <c r="G6" s="7">
        <f>D6/SUM($D$6:$D$9)</f>
        <v>0.73931623931623935</v>
      </c>
      <c r="H6">
        <f>SUM(C6:C9)*(1-F6)</f>
        <v>70507.650000000023</v>
      </c>
    </row>
    <row r="7" spans="1:15" x14ac:dyDescent="0.35">
      <c r="A7" s="6" t="s">
        <v>10</v>
      </c>
      <c r="B7" s="6" t="s">
        <v>7</v>
      </c>
      <c r="C7" s="6">
        <v>23474.78</v>
      </c>
      <c r="D7" s="6">
        <v>409</v>
      </c>
      <c r="E7" s="6">
        <v>57.4</v>
      </c>
      <c r="F7" s="7">
        <f t="shared" ref="F7:F9" si="3">C7/SUM($C$6:$C$9)</f>
        <v>0.1337996234538375</v>
      </c>
      <c r="G7" s="7">
        <f>D7/SUM($D$6:$D$9)</f>
        <v>0.10924145299145299</v>
      </c>
    </row>
    <row r="8" spans="1:15" x14ac:dyDescent="0.35">
      <c r="A8" s="6" t="s">
        <v>10</v>
      </c>
      <c r="B8" s="6" t="s">
        <v>8</v>
      </c>
      <c r="C8" s="6">
        <v>15162.92</v>
      </c>
      <c r="D8" s="6">
        <v>234</v>
      </c>
      <c r="E8" s="6">
        <v>64.8</v>
      </c>
      <c r="F8" s="7">
        <f t="shared" si="3"/>
        <v>8.6424366339563644E-2</v>
      </c>
      <c r="G8" s="7">
        <f>D8/SUM($D$6:$D$9)</f>
        <v>6.25E-2</v>
      </c>
    </row>
    <row r="9" spans="1:15" x14ac:dyDescent="0.35">
      <c r="A9" s="6" t="s">
        <v>10</v>
      </c>
      <c r="B9" s="6" t="s">
        <v>9</v>
      </c>
      <c r="C9" s="6">
        <v>31869.95</v>
      </c>
      <c r="D9" s="6">
        <v>333</v>
      </c>
      <c r="E9" s="6">
        <v>95.71</v>
      </c>
      <c r="F9" s="7">
        <f t="shared" si="3"/>
        <v>0.18164972406525765</v>
      </c>
      <c r="G9" s="7">
        <f>D9/SUM($D$6:$D$9)</f>
        <v>8.8942307692307696E-2</v>
      </c>
    </row>
    <row r="10" spans="1:15" x14ac:dyDescent="0.35">
      <c r="A10" t="s">
        <v>11</v>
      </c>
      <c r="B10" t="s">
        <v>6</v>
      </c>
      <c r="C10">
        <v>0</v>
      </c>
      <c r="D10">
        <v>0</v>
      </c>
      <c r="E10">
        <v>0</v>
      </c>
    </row>
    <row r="11" spans="1:15" x14ac:dyDescent="0.35">
      <c r="A11" t="s">
        <v>11</v>
      </c>
      <c r="B11" t="s">
        <v>7</v>
      </c>
      <c r="C11">
        <v>0</v>
      </c>
      <c r="D11">
        <v>0</v>
      </c>
      <c r="E11">
        <v>0</v>
      </c>
    </row>
    <row r="12" spans="1:15" x14ac:dyDescent="0.35">
      <c r="A12" t="s">
        <v>11</v>
      </c>
      <c r="B12" t="s">
        <v>8</v>
      </c>
      <c r="C12">
        <v>0</v>
      </c>
      <c r="D12">
        <v>0</v>
      </c>
      <c r="E12">
        <v>0</v>
      </c>
    </row>
    <row r="13" spans="1:15" x14ac:dyDescent="0.35">
      <c r="A13" t="s">
        <v>11</v>
      </c>
      <c r="B13" t="s">
        <v>9</v>
      </c>
      <c r="C13">
        <v>0</v>
      </c>
      <c r="D13">
        <v>0</v>
      </c>
      <c r="E13">
        <v>0</v>
      </c>
    </row>
    <row r="17" spans="1:5" x14ac:dyDescent="0.35">
      <c r="A17" s="1" t="s">
        <v>0</v>
      </c>
      <c r="B17" s="1" t="s">
        <v>12</v>
      </c>
      <c r="C17" s="1" t="s">
        <v>13</v>
      </c>
      <c r="D17" s="1" t="s">
        <v>14</v>
      </c>
    </row>
    <row r="18" spans="1:5" x14ac:dyDescent="0.35">
      <c r="A18" t="s">
        <v>15</v>
      </c>
      <c r="B18">
        <v>1.25</v>
      </c>
      <c r="C18">
        <v>791.54</v>
      </c>
      <c r="D18">
        <v>220</v>
      </c>
    </row>
    <row r="19" spans="1:5" x14ac:dyDescent="0.35">
      <c r="A19" t="s">
        <v>16</v>
      </c>
      <c r="B19">
        <v>3.26</v>
      </c>
      <c r="C19">
        <v>11150.74</v>
      </c>
      <c r="D19">
        <v>436</v>
      </c>
    </row>
    <row r="20" spans="1:5" x14ac:dyDescent="0.35">
      <c r="A20" t="s">
        <v>10</v>
      </c>
      <c r="B20">
        <v>4.18</v>
      </c>
      <c r="C20">
        <v>178638.41</v>
      </c>
      <c r="D20">
        <v>3814</v>
      </c>
    </row>
    <row r="24" spans="1:5" x14ac:dyDescent="0.35">
      <c r="A24" s="1" t="s">
        <v>0</v>
      </c>
      <c r="B24" s="1" t="s">
        <v>17</v>
      </c>
      <c r="C24" s="1" t="s">
        <v>18</v>
      </c>
      <c r="D24" s="1" t="s">
        <v>2</v>
      </c>
      <c r="E24" s="1" t="s">
        <v>3</v>
      </c>
    </row>
    <row r="25" spans="1:5" x14ac:dyDescent="0.35">
      <c r="A25" t="s">
        <v>15</v>
      </c>
      <c r="B25" t="s">
        <v>6</v>
      </c>
      <c r="C25">
        <v>0.99</v>
      </c>
      <c r="D25">
        <v>322.63</v>
      </c>
      <c r="E25">
        <v>126</v>
      </c>
    </row>
    <row r="26" spans="1:5" x14ac:dyDescent="0.35">
      <c r="A26" t="s">
        <v>15</v>
      </c>
      <c r="B26" t="s">
        <v>7</v>
      </c>
      <c r="C26">
        <v>1.4</v>
      </c>
      <c r="D26">
        <v>146.6</v>
      </c>
      <c r="E26">
        <v>38</v>
      </c>
    </row>
    <row r="27" spans="1:5" x14ac:dyDescent="0.35">
      <c r="A27" t="s">
        <v>15</v>
      </c>
      <c r="B27" t="s">
        <v>8</v>
      </c>
      <c r="C27">
        <v>1.62</v>
      </c>
      <c r="D27">
        <v>87.6</v>
      </c>
      <c r="E27">
        <v>20</v>
      </c>
    </row>
    <row r="28" spans="1:5" x14ac:dyDescent="0.35">
      <c r="A28" t="s">
        <v>15</v>
      </c>
      <c r="B28" t="s">
        <v>9</v>
      </c>
      <c r="C28">
        <v>1.6</v>
      </c>
      <c r="D28">
        <v>219.25</v>
      </c>
      <c r="E28">
        <v>33</v>
      </c>
    </row>
    <row r="29" spans="1:5" x14ac:dyDescent="0.35">
      <c r="A29" t="s">
        <v>15</v>
      </c>
      <c r="B29" t="s">
        <v>19</v>
      </c>
      <c r="C29">
        <v>1.29</v>
      </c>
      <c r="D29">
        <v>15.46</v>
      </c>
      <c r="E29">
        <v>3</v>
      </c>
    </row>
    <row r="30" spans="1:5" x14ac:dyDescent="0.35">
      <c r="A30" t="s">
        <v>16</v>
      </c>
      <c r="B30" t="s">
        <v>6</v>
      </c>
      <c r="C30">
        <v>2.93</v>
      </c>
      <c r="D30">
        <v>6689.76</v>
      </c>
      <c r="E30">
        <v>302</v>
      </c>
    </row>
    <row r="31" spans="1:5" x14ac:dyDescent="0.35">
      <c r="A31" t="s">
        <v>16</v>
      </c>
      <c r="B31" t="s">
        <v>7</v>
      </c>
      <c r="C31">
        <v>4.1900000000000004</v>
      </c>
      <c r="D31">
        <v>1852.49</v>
      </c>
      <c r="E31">
        <v>52</v>
      </c>
    </row>
    <row r="32" spans="1:5" x14ac:dyDescent="0.35">
      <c r="A32" t="s">
        <v>16</v>
      </c>
      <c r="B32" t="s">
        <v>8</v>
      </c>
      <c r="C32">
        <v>3.66</v>
      </c>
      <c r="D32">
        <v>1466.91</v>
      </c>
      <c r="E32">
        <v>50</v>
      </c>
    </row>
    <row r="33" spans="1:5" x14ac:dyDescent="0.35">
      <c r="A33" t="s">
        <v>16</v>
      </c>
      <c r="B33" t="s">
        <v>9</v>
      </c>
      <c r="C33">
        <v>3.9</v>
      </c>
      <c r="D33">
        <v>1141.58</v>
      </c>
      <c r="E33">
        <v>32</v>
      </c>
    </row>
    <row r="34" spans="1:5" x14ac:dyDescent="0.35">
      <c r="A34" t="s">
        <v>10</v>
      </c>
      <c r="B34" t="s">
        <v>6</v>
      </c>
      <c r="C34">
        <v>3.9</v>
      </c>
      <c r="D34">
        <v>104939.63</v>
      </c>
      <c r="E34">
        <v>2768</v>
      </c>
    </row>
    <row r="35" spans="1:5" x14ac:dyDescent="0.35">
      <c r="A35" t="s">
        <v>10</v>
      </c>
      <c r="B35" t="s">
        <v>7</v>
      </c>
      <c r="C35">
        <v>4.88</v>
      </c>
      <c r="D35">
        <v>23474.78</v>
      </c>
      <c r="E35">
        <v>409</v>
      </c>
    </row>
    <row r="36" spans="1:5" x14ac:dyDescent="0.35">
      <c r="A36" t="s">
        <v>10</v>
      </c>
      <c r="B36" t="s">
        <v>8</v>
      </c>
      <c r="C36">
        <v>4.4000000000000004</v>
      </c>
      <c r="D36">
        <v>15162.92</v>
      </c>
      <c r="E36">
        <v>234</v>
      </c>
    </row>
    <row r="37" spans="1:5" x14ac:dyDescent="0.35">
      <c r="A37" t="s">
        <v>10</v>
      </c>
      <c r="B37" t="s">
        <v>9</v>
      </c>
      <c r="C37">
        <v>4.62</v>
      </c>
      <c r="D37">
        <v>31869.95</v>
      </c>
      <c r="E37">
        <v>333</v>
      </c>
    </row>
    <row r="38" spans="1:5" x14ac:dyDescent="0.35">
      <c r="A38" t="s">
        <v>10</v>
      </c>
      <c r="B38" t="s">
        <v>19</v>
      </c>
      <c r="C38">
        <v>4.82</v>
      </c>
      <c r="D38">
        <v>3191.13</v>
      </c>
      <c r="E38">
        <v>70</v>
      </c>
    </row>
    <row r="42" spans="1:5" x14ac:dyDescent="0.35">
      <c r="A42" s="1" t="s">
        <v>0</v>
      </c>
      <c r="B42" s="1" t="s">
        <v>20</v>
      </c>
      <c r="C42" s="1" t="s">
        <v>12</v>
      </c>
      <c r="D42" s="1" t="s">
        <v>13</v>
      </c>
      <c r="E42" s="1" t="s">
        <v>14</v>
      </c>
    </row>
    <row r="43" spans="1:5" x14ac:dyDescent="0.35">
      <c r="A43" t="s">
        <v>15</v>
      </c>
      <c r="B43" t="s">
        <v>21</v>
      </c>
      <c r="C43">
        <v>0.91</v>
      </c>
      <c r="D43">
        <v>120.32</v>
      </c>
      <c r="E43">
        <v>53</v>
      </c>
    </row>
    <row r="44" spans="1:5" x14ac:dyDescent="0.35">
      <c r="A44" t="s">
        <v>15</v>
      </c>
      <c r="B44" t="s">
        <v>22</v>
      </c>
      <c r="C44">
        <v>0.99</v>
      </c>
      <c r="D44">
        <v>135.9</v>
      </c>
      <c r="E44">
        <v>52</v>
      </c>
    </row>
    <row r="45" spans="1:5" x14ac:dyDescent="0.35">
      <c r="A45" t="s">
        <v>15</v>
      </c>
      <c r="B45" t="s">
        <v>23</v>
      </c>
      <c r="C45">
        <v>1.1299999999999999</v>
      </c>
      <c r="D45">
        <v>54.1</v>
      </c>
      <c r="E45">
        <v>17</v>
      </c>
    </row>
    <row r="46" spans="1:5" x14ac:dyDescent="0.35">
      <c r="A46" t="s">
        <v>15</v>
      </c>
      <c r="B46" t="s">
        <v>24</v>
      </c>
      <c r="C46">
        <v>1.23</v>
      </c>
      <c r="D46">
        <v>12.31</v>
      </c>
      <c r="E46">
        <v>4</v>
      </c>
    </row>
    <row r="47" spans="1:5" x14ac:dyDescent="0.35">
      <c r="A47" t="s">
        <v>15</v>
      </c>
      <c r="B47" t="s">
        <v>25</v>
      </c>
      <c r="C47">
        <v>1.31</v>
      </c>
      <c r="D47">
        <v>48.33</v>
      </c>
      <c r="E47">
        <v>14</v>
      </c>
    </row>
    <row r="48" spans="1:5" x14ac:dyDescent="0.35">
      <c r="A48" t="s">
        <v>15</v>
      </c>
      <c r="B48" t="s">
        <v>26</v>
      </c>
      <c r="C48">
        <v>1.52</v>
      </c>
      <c r="D48">
        <v>42.54</v>
      </c>
      <c r="E48">
        <v>11</v>
      </c>
    </row>
    <row r="49" spans="1:5" x14ac:dyDescent="0.35">
      <c r="A49" t="s">
        <v>15</v>
      </c>
      <c r="B49" t="s">
        <v>27</v>
      </c>
      <c r="C49">
        <v>1.38</v>
      </c>
      <c r="D49">
        <v>16.579999999999998</v>
      </c>
      <c r="E49">
        <v>4</v>
      </c>
    </row>
    <row r="50" spans="1:5" x14ac:dyDescent="0.35">
      <c r="A50" t="s">
        <v>15</v>
      </c>
      <c r="B50" t="s">
        <v>28</v>
      </c>
      <c r="C50">
        <v>1.4</v>
      </c>
      <c r="D50">
        <v>39.159999999999997</v>
      </c>
      <c r="E50">
        <v>9</v>
      </c>
    </row>
    <row r="51" spans="1:5" x14ac:dyDescent="0.35">
      <c r="A51" t="s">
        <v>15</v>
      </c>
      <c r="B51" t="s">
        <v>29</v>
      </c>
      <c r="C51">
        <v>1.54</v>
      </c>
      <c r="D51">
        <v>44.63</v>
      </c>
      <c r="E51">
        <v>11</v>
      </c>
    </row>
    <row r="52" spans="1:5" x14ac:dyDescent="0.35">
      <c r="A52" t="s">
        <v>15</v>
      </c>
      <c r="B52" t="s">
        <v>30</v>
      </c>
      <c r="C52">
        <v>1.62</v>
      </c>
      <c r="D52">
        <v>22.69</v>
      </c>
      <c r="E52">
        <v>5</v>
      </c>
    </row>
    <row r="53" spans="1:5" x14ac:dyDescent="0.35">
      <c r="A53" t="s">
        <v>15</v>
      </c>
      <c r="B53" t="s">
        <v>31</v>
      </c>
      <c r="C53">
        <v>2.4700000000000002</v>
      </c>
      <c r="D53">
        <v>9.8800000000000008</v>
      </c>
      <c r="E53">
        <v>2</v>
      </c>
    </row>
    <row r="54" spans="1:5" x14ac:dyDescent="0.35">
      <c r="A54" t="s">
        <v>15</v>
      </c>
      <c r="B54" t="s">
        <v>32</v>
      </c>
      <c r="C54">
        <v>1.49</v>
      </c>
      <c r="D54">
        <v>10.4</v>
      </c>
      <c r="E54">
        <v>2</v>
      </c>
    </row>
    <row r="55" spans="1:5" x14ac:dyDescent="0.35">
      <c r="A55" t="s">
        <v>15</v>
      </c>
      <c r="B55" t="s">
        <v>33</v>
      </c>
      <c r="C55">
        <v>1.1599999999999999</v>
      </c>
      <c r="D55">
        <v>86.04</v>
      </c>
      <c r="E55">
        <v>15</v>
      </c>
    </row>
    <row r="56" spans="1:5" x14ac:dyDescent="0.35">
      <c r="A56" t="s">
        <v>15</v>
      </c>
      <c r="B56" t="s">
        <v>34</v>
      </c>
      <c r="C56">
        <v>2.97</v>
      </c>
      <c r="D56">
        <v>26.69</v>
      </c>
      <c r="E56">
        <v>3</v>
      </c>
    </row>
    <row r="57" spans="1:5" x14ac:dyDescent="0.35">
      <c r="A57" t="s">
        <v>15</v>
      </c>
      <c r="B57" t="s">
        <v>35</v>
      </c>
      <c r="C57">
        <v>1.86</v>
      </c>
      <c r="D57">
        <v>42.75</v>
      </c>
      <c r="E57">
        <v>7</v>
      </c>
    </row>
    <row r="58" spans="1:5" x14ac:dyDescent="0.35">
      <c r="A58" t="s">
        <v>15</v>
      </c>
      <c r="B58" t="s">
        <v>36</v>
      </c>
      <c r="C58">
        <v>2.23</v>
      </c>
      <c r="D58">
        <v>35.68</v>
      </c>
      <c r="E58">
        <v>4</v>
      </c>
    </row>
    <row r="59" spans="1:5" x14ac:dyDescent="0.35">
      <c r="A59" t="s">
        <v>15</v>
      </c>
      <c r="B59" t="s">
        <v>37</v>
      </c>
      <c r="C59">
        <v>1.51</v>
      </c>
      <c r="D59">
        <v>18.18</v>
      </c>
      <c r="E59">
        <v>3</v>
      </c>
    </row>
    <row r="60" spans="1:5" x14ac:dyDescent="0.35">
      <c r="A60" t="s">
        <v>15</v>
      </c>
      <c r="B60" t="s">
        <v>38</v>
      </c>
      <c r="C60">
        <v>3.3</v>
      </c>
      <c r="D60">
        <v>9.91</v>
      </c>
      <c r="E60">
        <v>1</v>
      </c>
    </row>
    <row r="61" spans="1:5" x14ac:dyDescent="0.35">
      <c r="A61" t="s">
        <v>15</v>
      </c>
      <c r="B61" t="s">
        <v>39</v>
      </c>
      <c r="C61">
        <v>0.83</v>
      </c>
      <c r="D61">
        <v>7.48</v>
      </c>
      <c r="E61">
        <v>2</v>
      </c>
    </row>
    <row r="62" spans="1:5" x14ac:dyDescent="0.35">
      <c r="A62" t="s">
        <v>15</v>
      </c>
      <c r="B62" t="s">
        <v>40</v>
      </c>
      <c r="C62">
        <v>2.66</v>
      </c>
      <c r="D62">
        <v>7.99</v>
      </c>
      <c r="E62">
        <v>1</v>
      </c>
    </row>
    <row r="63" spans="1:5" x14ac:dyDescent="0.35">
      <c r="A63" t="s">
        <v>16</v>
      </c>
      <c r="B63" t="s">
        <v>21</v>
      </c>
      <c r="C63">
        <v>2.15</v>
      </c>
      <c r="D63">
        <v>2812.21</v>
      </c>
      <c r="E63">
        <v>147</v>
      </c>
    </row>
    <row r="64" spans="1:5" x14ac:dyDescent="0.35">
      <c r="A64" t="s">
        <v>16</v>
      </c>
      <c r="B64" t="s">
        <v>41</v>
      </c>
      <c r="C64">
        <v>2.94</v>
      </c>
      <c r="D64">
        <v>35.270000000000003</v>
      </c>
      <c r="E64">
        <v>2</v>
      </c>
    </row>
    <row r="65" spans="1:5" x14ac:dyDescent="0.35">
      <c r="A65" t="s">
        <v>16</v>
      </c>
      <c r="B65" t="s">
        <v>22</v>
      </c>
      <c r="C65">
        <v>3.76</v>
      </c>
      <c r="D65">
        <v>1956.84</v>
      </c>
      <c r="E65">
        <v>84</v>
      </c>
    </row>
    <row r="66" spans="1:5" x14ac:dyDescent="0.35">
      <c r="A66" t="s">
        <v>16</v>
      </c>
      <c r="B66" t="s">
        <v>23</v>
      </c>
      <c r="C66">
        <v>4.09</v>
      </c>
      <c r="D66">
        <v>790.06</v>
      </c>
      <c r="E66">
        <v>31</v>
      </c>
    </row>
    <row r="67" spans="1:5" x14ac:dyDescent="0.35">
      <c r="A67" t="s">
        <v>16</v>
      </c>
      <c r="B67" t="s">
        <v>24</v>
      </c>
      <c r="C67">
        <v>3.27</v>
      </c>
      <c r="D67">
        <v>604.26</v>
      </c>
      <c r="E67">
        <v>24</v>
      </c>
    </row>
    <row r="68" spans="1:5" x14ac:dyDescent="0.35">
      <c r="A68" t="s">
        <v>16</v>
      </c>
      <c r="B68" t="s">
        <v>42</v>
      </c>
      <c r="C68">
        <v>8.09</v>
      </c>
      <c r="D68">
        <v>178.01</v>
      </c>
      <c r="E68">
        <v>5</v>
      </c>
    </row>
    <row r="69" spans="1:5" x14ac:dyDescent="0.35">
      <c r="A69" t="s">
        <v>16</v>
      </c>
      <c r="B69" t="s">
        <v>43</v>
      </c>
      <c r="C69">
        <v>6.81</v>
      </c>
      <c r="D69">
        <v>313.11</v>
      </c>
      <c r="E69">
        <v>9</v>
      </c>
    </row>
    <row r="70" spans="1:5" x14ac:dyDescent="0.35">
      <c r="A70" t="s">
        <v>16</v>
      </c>
      <c r="B70" t="s">
        <v>25</v>
      </c>
      <c r="C70">
        <v>4.28</v>
      </c>
      <c r="D70">
        <v>534.87</v>
      </c>
      <c r="E70">
        <v>22</v>
      </c>
    </row>
    <row r="71" spans="1:5" x14ac:dyDescent="0.35">
      <c r="A71" t="s">
        <v>16</v>
      </c>
      <c r="B71" t="s">
        <v>26</v>
      </c>
      <c r="C71">
        <v>3.48</v>
      </c>
      <c r="D71">
        <v>149.54</v>
      </c>
      <c r="E71">
        <v>7</v>
      </c>
    </row>
    <row r="72" spans="1:5" x14ac:dyDescent="0.35">
      <c r="A72" t="s">
        <v>16</v>
      </c>
      <c r="B72" t="s">
        <v>27</v>
      </c>
      <c r="C72">
        <v>2.58</v>
      </c>
      <c r="D72">
        <v>20.62</v>
      </c>
      <c r="E72">
        <v>1</v>
      </c>
    </row>
    <row r="73" spans="1:5" x14ac:dyDescent="0.35">
      <c r="A73" t="s">
        <v>16</v>
      </c>
      <c r="B73" t="s">
        <v>28</v>
      </c>
      <c r="C73">
        <v>2.71</v>
      </c>
      <c r="D73">
        <v>130.03</v>
      </c>
      <c r="E73">
        <v>6</v>
      </c>
    </row>
    <row r="74" spans="1:5" x14ac:dyDescent="0.35">
      <c r="A74" t="s">
        <v>16</v>
      </c>
      <c r="B74" t="s">
        <v>44</v>
      </c>
      <c r="C74">
        <v>6.5</v>
      </c>
      <c r="D74">
        <v>195.07</v>
      </c>
      <c r="E74">
        <v>3</v>
      </c>
    </row>
    <row r="75" spans="1:5" x14ac:dyDescent="0.35">
      <c r="A75" t="s">
        <v>16</v>
      </c>
      <c r="B75" t="s">
        <v>45</v>
      </c>
      <c r="C75">
        <v>5.56</v>
      </c>
      <c r="D75">
        <v>333.88</v>
      </c>
      <c r="E75">
        <v>5</v>
      </c>
    </row>
    <row r="76" spans="1:5" x14ac:dyDescent="0.35">
      <c r="A76" t="s">
        <v>16</v>
      </c>
      <c r="B76" t="s">
        <v>46</v>
      </c>
      <c r="C76">
        <v>3.68</v>
      </c>
      <c r="D76">
        <v>357</v>
      </c>
      <c r="E76">
        <v>6</v>
      </c>
    </row>
    <row r="77" spans="1:5" x14ac:dyDescent="0.35">
      <c r="A77" t="s">
        <v>16</v>
      </c>
      <c r="B77" t="s">
        <v>47</v>
      </c>
      <c r="C77">
        <v>2.96</v>
      </c>
      <c r="D77">
        <v>62.12</v>
      </c>
      <c r="E77">
        <v>1</v>
      </c>
    </row>
    <row r="78" spans="1:5" x14ac:dyDescent="0.35">
      <c r="A78" t="s">
        <v>16</v>
      </c>
      <c r="B78" t="s">
        <v>48</v>
      </c>
      <c r="C78">
        <v>6.94</v>
      </c>
      <c r="D78">
        <v>69.38</v>
      </c>
      <c r="E78">
        <v>1</v>
      </c>
    </row>
    <row r="79" spans="1:5" x14ac:dyDescent="0.35">
      <c r="A79" t="s">
        <v>16</v>
      </c>
      <c r="B79" t="s">
        <v>29</v>
      </c>
      <c r="C79">
        <v>3.06</v>
      </c>
      <c r="D79">
        <v>689.42</v>
      </c>
      <c r="E79">
        <v>30</v>
      </c>
    </row>
    <row r="80" spans="1:5" x14ac:dyDescent="0.35">
      <c r="A80" t="s">
        <v>16</v>
      </c>
      <c r="B80" t="s">
        <v>30</v>
      </c>
      <c r="C80">
        <v>4</v>
      </c>
      <c r="D80">
        <v>267.68</v>
      </c>
      <c r="E80">
        <v>10</v>
      </c>
    </row>
    <row r="81" spans="1:5" x14ac:dyDescent="0.35">
      <c r="A81" t="s">
        <v>16</v>
      </c>
      <c r="B81" t="s">
        <v>31</v>
      </c>
      <c r="C81">
        <v>3.44</v>
      </c>
      <c r="D81">
        <v>68.84</v>
      </c>
      <c r="E81">
        <v>3</v>
      </c>
    </row>
    <row r="82" spans="1:5" x14ac:dyDescent="0.35">
      <c r="A82" t="s">
        <v>16</v>
      </c>
      <c r="B82" t="s">
        <v>32</v>
      </c>
      <c r="C82">
        <v>2.69</v>
      </c>
      <c r="D82">
        <v>24.18</v>
      </c>
      <c r="E82">
        <v>1</v>
      </c>
    </row>
    <row r="83" spans="1:5" x14ac:dyDescent="0.35">
      <c r="A83" t="s">
        <v>16</v>
      </c>
      <c r="B83" t="s">
        <v>49</v>
      </c>
      <c r="C83">
        <v>5.34</v>
      </c>
      <c r="D83">
        <v>144.26</v>
      </c>
      <c r="E83">
        <v>2</v>
      </c>
    </row>
    <row r="84" spans="1:5" x14ac:dyDescent="0.35">
      <c r="A84" t="s">
        <v>16</v>
      </c>
      <c r="B84" t="s">
        <v>50</v>
      </c>
      <c r="C84">
        <v>5.04</v>
      </c>
      <c r="D84">
        <v>201.79</v>
      </c>
      <c r="E84">
        <v>3</v>
      </c>
    </row>
    <row r="85" spans="1:5" x14ac:dyDescent="0.35">
      <c r="A85" t="s">
        <v>16</v>
      </c>
      <c r="B85" t="s">
        <v>51</v>
      </c>
      <c r="C85">
        <v>5.44</v>
      </c>
      <c r="D85">
        <v>70.739999999999995</v>
      </c>
      <c r="E85">
        <v>1</v>
      </c>
    </row>
    <row r="86" spans="1:5" x14ac:dyDescent="0.35">
      <c r="A86" t="s">
        <v>16</v>
      </c>
      <c r="B86" t="s">
        <v>33</v>
      </c>
      <c r="C86">
        <v>3.61</v>
      </c>
      <c r="D86">
        <v>458.38</v>
      </c>
      <c r="E86">
        <v>18</v>
      </c>
    </row>
    <row r="87" spans="1:5" x14ac:dyDescent="0.35">
      <c r="A87" t="s">
        <v>16</v>
      </c>
      <c r="B87" t="s">
        <v>52</v>
      </c>
      <c r="C87">
        <v>1.65</v>
      </c>
      <c r="D87">
        <v>21.41</v>
      </c>
      <c r="E87">
        <v>1</v>
      </c>
    </row>
    <row r="88" spans="1:5" x14ac:dyDescent="0.35">
      <c r="A88" t="s">
        <v>16</v>
      </c>
      <c r="B88" t="s">
        <v>34</v>
      </c>
      <c r="C88">
        <v>2.72</v>
      </c>
      <c r="D88">
        <v>78.8</v>
      </c>
      <c r="E88">
        <v>2</v>
      </c>
    </row>
    <row r="89" spans="1:5" x14ac:dyDescent="0.35">
      <c r="A89" t="s">
        <v>16</v>
      </c>
      <c r="B89" t="s">
        <v>35</v>
      </c>
      <c r="C89">
        <v>4.9000000000000004</v>
      </c>
      <c r="D89">
        <v>44.07</v>
      </c>
      <c r="E89">
        <v>1</v>
      </c>
    </row>
    <row r="90" spans="1:5" x14ac:dyDescent="0.35">
      <c r="A90" t="s">
        <v>16</v>
      </c>
      <c r="B90" t="s">
        <v>36</v>
      </c>
      <c r="C90">
        <v>3.9</v>
      </c>
      <c r="D90">
        <v>105.24</v>
      </c>
      <c r="E90">
        <v>3</v>
      </c>
    </row>
    <row r="91" spans="1:5" x14ac:dyDescent="0.35">
      <c r="A91" t="s">
        <v>16</v>
      </c>
      <c r="B91" t="s">
        <v>37</v>
      </c>
      <c r="C91">
        <v>3.08</v>
      </c>
      <c r="D91">
        <v>55.43</v>
      </c>
      <c r="E91">
        <v>2</v>
      </c>
    </row>
    <row r="92" spans="1:5" x14ac:dyDescent="0.35">
      <c r="A92" t="s">
        <v>16</v>
      </c>
      <c r="B92" t="s">
        <v>53</v>
      </c>
      <c r="C92">
        <v>5.43</v>
      </c>
      <c r="D92">
        <v>292.98</v>
      </c>
      <c r="E92">
        <v>4</v>
      </c>
    </row>
    <row r="93" spans="1:5" x14ac:dyDescent="0.35">
      <c r="A93" t="s">
        <v>16</v>
      </c>
      <c r="B93" t="s">
        <v>54</v>
      </c>
      <c r="C93">
        <v>5.33</v>
      </c>
      <c r="D93">
        <v>85.26</v>
      </c>
      <c r="E93">
        <v>1</v>
      </c>
    </row>
    <row r="94" spans="1:5" x14ac:dyDescent="0.35">
      <c r="A94" t="s">
        <v>10</v>
      </c>
      <c r="B94" t="s">
        <v>21</v>
      </c>
      <c r="C94">
        <v>3.81</v>
      </c>
      <c r="D94">
        <v>37371.730000000003</v>
      </c>
      <c r="E94">
        <v>1026</v>
      </c>
    </row>
    <row r="95" spans="1:5" x14ac:dyDescent="0.35">
      <c r="A95" t="s">
        <v>10</v>
      </c>
      <c r="B95" t="s">
        <v>41</v>
      </c>
      <c r="C95">
        <v>2.09</v>
      </c>
      <c r="D95">
        <v>1479.92</v>
      </c>
      <c r="E95">
        <v>43</v>
      </c>
    </row>
    <row r="96" spans="1:5" x14ac:dyDescent="0.35">
      <c r="A96" t="s">
        <v>10</v>
      </c>
      <c r="B96" t="s">
        <v>22</v>
      </c>
      <c r="C96">
        <v>4.0599999999999996</v>
      </c>
      <c r="D96">
        <v>30933.439999999999</v>
      </c>
      <c r="E96">
        <v>815</v>
      </c>
    </row>
    <row r="97" spans="1:5" x14ac:dyDescent="0.35">
      <c r="A97" t="s">
        <v>10</v>
      </c>
      <c r="B97" t="s">
        <v>55</v>
      </c>
      <c r="C97">
        <v>3.9</v>
      </c>
      <c r="D97">
        <v>42.92</v>
      </c>
      <c r="E97">
        <v>1</v>
      </c>
    </row>
    <row r="98" spans="1:5" x14ac:dyDescent="0.35">
      <c r="A98" t="s">
        <v>10</v>
      </c>
      <c r="B98" t="s">
        <v>23</v>
      </c>
      <c r="C98">
        <v>4.33</v>
      </c>
      <c r="D98">
        <v>14071.25</v>
      </c>
      <c r="E98">
        <v>337</v>
      </c>
    </row>
    <row r="99" spans="1:5" x14ac:dyDescent="0.35">
      <c r="A99" t="s">
        <v>10</v>
      </c>
      <c r="B99" t="s">
        <v>56</v>
      </c>
      <c r="C99">
        <v>4.72</v>
      </c>
      <c r="D99">
        <v>37.72</v>
      </c>
      <c r="E99">
        <v>1</v>
      </c>
    </row>
    <row r="100" spans="1:5" x14ac:dyDescent="0.35">
      <c r="A100" t="s">
        <v>10</v>
      </c>
      <c r="B100" t="s">
        <v>24</v>
      </c>
      <c r="C100">
        <v>4.41</v>
      </c>
      <c r="D100">
        <v>10072.99</v>
      </c>
      <c r="E100">
        <v>232</v>
      </c>
    </row>
    <row r="101" spans="1:5" x14ac:dyDescent="0.35">
      <c r="A101" t="s">
        <v>10</v>
      </c>
      <c r="B101" t="s">
        <v>57</v>
      </c>
      <c r="C101">
        <v>7.47</v>
      </c>
      <c r="D101">
        <v>134.5</v>
      </c>
      <c r="E101">
        <v>3</v>
      </c>
    </row>
    <row r="102" spans="1:5" x14ac:dyDescent="0.35">
      <c r="A102" t="s">
        <v>10</v>
      </c>
      <c r="B102" t="s">
        <v>42</v>
      </c>
      <c r="C102">
        <v>3.99</v>
      </c>
      <c r="D102">
        <v>2132.4299999999998</v>
      </c>
      <c r="E102">
        <v>67</v>
      </c>
    </row>
    <row r="103" spans="1:5" x14ac:dyDescent="0.35">
      <c r="A103" t="s">
        <v>10</v>
      </c>
      <c r="B103" t="s">
        <v>43</v>
      </c>
      <c r="C103">
        <v>3.27</v>
      </c>
      <c r="D103">
        <v>8662.73</v>
      </c>
      <c r="E103">
        <v>243</v>
      </c>
    </row>
    <row r="104" spans="1:5" x14ac:dyDescent="0.35">
      <c r="A104" t="s">
        <v>10</v>
      </c>
      <c r="B104" t="s">
        <v>25</v>
      </c>
      <c r="C104">
        <v>5.4</v>
      </c>
      <c r="D104">
        <v>1356.64</v>
      </c>
      <c r="E104">
        <v>22</v>
      </c>
    </row>
    <row r="105" spans="1:5" x14ac:dyDescent="0.35">
      <c r="A105" t="s">
        <v>10</v>
      </c>
      <c r="B105" t="s">
        <v>58</v>
      </c>
      <c r="C105">
        <v>4.4400000000000004</v>
      </c>
      <c r="D105">
        <v>195.31</v>
      </c>
      <c r="E105">
        <v>2</v>
      </c>
    </row>
    <row r="106" spans="1:5" x14ac:dyDescent="0.35">
      <c r="A106" t="s">
        <v>10</v>
      </c>
      <c r="B106" t="s">
        <v>59</v>
      </c>
      <c r="C106">
        <v>3.46</v>
      </c>
      <c r="D106">
        <v>221.25</v>
      </c>
      <c r="E106">
        <v>2</v>
      </c>
    </row>
    <row r="107" spans="1:5" x14ac:dyDescent="0.35">
      <c r="A107" t="s">
        <v>10</v>
      </c>
      <c r="B107" t="s">
        <v>26</v>
      </c>
      <c r="C107">
        <v>6.07</v>
      </c>
      <c r="D107">
        <v>194.32</v>
      </c>
      <c r="E107">
        <v>3</v>
      </c>
    </row>
    <row r="108" spans="1:5" x14ac:dyDescent="0.35">
      <c r="A108" t="s">
        <v>10</v>
      </c>
      <c r="B108" t="s">
        <v>27</v>
      </c>
      <c r="C108">
        <v>4.2699999999999996</v>
      </c>
      <c r="D108">
        <v>303.43</v>
      </c>
      <c r="E108">
        <v>4</v>
      </c>
    </row>
    <row r="109" spans="1:5" x14ac:dyDescent="0.35">
      <c r="A109" t="s">
        <v>10</v>
      </c>
      <c r="B109" t="s">
        <v>28</v>
      </c>
      <c r="C109">
        <v>6.28</v>
      </c>
      <c r="D109">
        <v>213.36</v>
      </c>
      <c r="E109">
        <v>3</v>
      </c>
    </row>
    <row r="110" spans="1:5" x14ac:dyDescent="0.35">
      <c r="A110" t="s">
        <v>10</v>
      </c>
      <c r="B110" t="s">
        <v>60</v>
      </c>
      <c r="C110">
        <v>4.79</v>
      </c>
      <c r="D110">
        <v>4792.4399999999996</v>
      </c>
      <c r="E110">
        <v>92</v>
      </c>
    </row>
    <row r="111" spans="1:5" x14ac:dyDescent="0.35">
      <c r="A111" t="s">
        <v>10</v>
      </c>
      <c r="B111" t="s">
        <v>61</v>
      </c>
      <c r="C111">
        <v>7.08</v>
      </c>
      <c r="D111">
        <v>283.14999999999998</v>
      </c>
      <c r="E111">
        <v>4</v>
      </c>
    </row>
    <row r="112" spans="1:5" x14ac:dyDescent="0.35">
      <c r="A112" t="s">
        <v>10</v>
      </c>
      <c r="B112" t="s">
        <v>62</v>
      </c>
      <c r="C112">
        <v>4.2</v>
      </c>
      <c r="D112">
        <v>411.42</v>
      </c>
      <c r="E112">
        <v>5</v>
      </c>
    </row>
    <row r="113" spans="1:5" x14ac:dyDescent="0.35">
      <c r="A113" t="s">
        <v>10</v>
      </c>
      <c r="B113" t="s">
        <v>63</v>
      </c>
      <c r="C113">
        <v>4.38</v>
      </c>
      <c r="D113">
        <v>1391.31</v>
      </c>
      <c r="E113">
        <v>25</v>
      </c>
    </row>
    <row r="114" spans="1:5" x14ac:dyDescent="0.35">
      <c r="A114" t="s">
        <v>10</v>
      </c>
      <c r="B114" t="s">
        <v>64</v>
      </c>
      <c r="C114">
        <v>2.11</v>
      </c>
      <c r="D114">
        <v>56.86</v>
      </c>
      <c r="E114">
        <v>1</v>
      </c>
    </row>
    <row r="115" spans="1:5" x14ac:dyDescent="0.35">
      <c r="A115" t="s">
        <v>10</v>
      </c>
      <c r="B115" t="s">
        <v>44</v>
      </c>
      <c r="C115">
        <v>5.27</v>
      </c>
      <c r="D115">
        <v>2626.72</v>
      </c>
      <c r="E115">
        <v>44</v>
      </c>
    </row>
    <row r="116" spans="1:5" x14ac:dyDescent="0.35">
      <c r="A116" t="s">
        <v>10</v>
      </c>
      <c r="B116" t="s">
        <v>45</v>
      </c>
      <c r="C116">
        <v>4.91</v>
      </c>
      <c r="D116">
        <v>3384.58</v>
      </c>
      <c r="E116">
        <v>55</v>
      </c>
    </row>
    <row r="117" spans="1:5" x14ac:dyDescent="0.35">
      <c r="A117" t="s">
        <v>10</v>
      </c>
      <c r="B117" t="s">
        <v>65</v>
      </c>
      <c r="C117">
        <v>4.0199999999999996</v>
      </c>
      <c r="D117">
        <v>92.4</v>
      </c>
      <c r="E117">
        <v>3</v>
      </c>
    </row>
    <row r="118" spans="1:5" x14ac:dyDescent="0.35">
      <c r="A118" t="s">
        <v>10</v>
      </c>
      <c r="B118" t="s">
        <v>46</v>
      </c>
      <c r="C118">
        <v>5.03</v>
      </c>
      <c r="D118">
        <v>4728.8100000000004</v>
      </c>
      <c r="E118">
        <v>87</v>
      </c>
    </row>
    <row r="119" spans="1:5" x14ac:dyDescent="0.35">
      <c r="A119" t="s">
        <v>10</v>
      </c>
      <c r="B119" t="s">
        <v>66</v>
      </c>
      <c r="C119">
        <v>4.07</v>
      </c>
      <c r="D119">
        <v>85.49</v>
      </c>
      <c r="E119">
        <v>1</v>
      </c>
    </row>
    <row r="120" spans="1:5" x14ac:dyDescent="0.35">
      <c r="A120" t="s">
        <v>10</v>
      </c>
      <c r="B120" t="s">
        <v>67</v>
      </c>
      <c r="C120">
        <v>6.17</v>
      </c>
      <c r="D120">
        <v>246.72</v>
      </c>
      <c r="E120">
        <v>3</v>
      </c>
    </row>
    <row r="121" spans="1:5" x14ac:dyDescent="0.35">
      <c r="A121" t="s">
        <v>10</v>
      </c>
      <c r="B121" t="s">
        <v>68</v>
      </c>
      <c r="C121">
        <v>2.2200000000000002</v>
      </c>
      <c r="D121">
        <v>91.06</v>
      </c>
      <c r="E121">
        <v>1</v>
      </c>
    </row>
    <row r="122" spans="1:5" x14ac:dyDescent="0.35">
      <c r="A122" t="s">
        <v>10</v>
      </c>
      <c r="B122" t="s">
        <v>47</v>
      </c>
      <c r="C122">
        <v>4.43</v>
      </c>
      <c r="D122">
        <v>934.31</v>
      </c>
      <c r="E122">
        <v>18</v>
      </c>
    </row>
    <row r="123" spans="1:5" x14ac:dyDescent="0.35">
      <c r="A123" t="s">
        <v>10</v>
      </c>
      <c r="B123" t="s">
        <v>48</v>
      </c>
      <c r="C123">
        <v>5.6</v>
      </c>
      <c r="D123">
        <v>772.91</v>
      </c>
      <c r="E123">
        <v>14</v>
      </c>
    </row>
    <row r="124" spans="1:5" x14ac:dyDescent="0.35">
      <c r="A124" t="s">
        <v>10</v>
      </c>
      <c r="B124" t="s">
        <v>69</v>
      </c>
      <c r="C124">
        <v>4.99</v>
      </c>
      <c r="D124">
        <v>1047.42</v>
      </c>
      <c r="E124">
        <v>18</v>
      </c>
    </row>
    <row r="125" spans="1:5" x14ac:dyDescent="0.35">
      <c r="A125" t="s">
        <v>10</v>
      </c>
      <c r="B125" t="s">
        <v>70</v>
      </c>
      <c r="C125">
        <v>2.88</v>
      </c>
      <c r="D125">
        <v>20.18</v>
      </c>
      <c r="E125">
        <v>1</v>
      </c>
    </row>
    <row r="126" spans="1:5" x14ac:dyDescent="0.35">
      <c r="A126" t="s">
        <v>10</v>
      </c>
      <c r="B126" t="s">
        <v>71</v>
      </c>
      <c r="C126">
        <v>3.09</v>
      </c>
      <c r="D126">
        <v>24.7</v>
      </c>
      <c r="E126">
        <v>1</v>
      </c>
    </row>
    <row r="127" spans="1:5" x14ac:dyDescent="0.35">
      <c r="A127" t="s">
        <v>10</v>
      </c>
      <c r="B127" t="s">
        <v>29</v>
      </c>
      <c r="C127">
        <v>4.67</v>
      </c>
      <c r="D127">
        <v>639.70000000000005</v>
      </c>
      <c r="E127">
        <v>9</v>
      </c>
    </row>
    <row r="128" spans="1:5" x14ac:dyDescent="0.35">
      <c r="A128" t="s">
        <v>10</v>
      </c>
      <c r="B128" t="s">
        <v>72</v>
      </c>
      <c r="C128">
        <v>4.18</v>
      </c>
      <c r="D128">
        <v>442.78</v>
      </c>
      <c r="E128">
        <v>4</v>
      </c>
    </row>
    <row r="129" spans="1:5" x14ac:dyDescent="0.35">
      <c r="A129" t="s">
        <v>10</v>
      </c>
      <c r="B129" t="s">
        <v>73</v>
      </c>
      <c r="C129">
        <v>4.96</v>
      </c>
      <c r="D129">
        <v>124.04</v>
      </c>
      <c r="E129">
        <v>1</v>
      </c>
    </row>
    <row r="130" spans="1:5" x14ac:dyDescent="0.35">
      <c r="A130" t="s">
        <v>10</v>
      </c>
      <c r="B130" t="s">
        <v>30</v>
      </c>
      <c r="C130">
        <v>5.95</v>
      </c>
      <c r="D130">
        <v>303.45</v>
      </c>
      <c r="E130">
        <v>4</v>
      </c>
    </row>
    <row r="131" spans="1:5" x14ac:dyDescent="0.35">
      <c r="A131" t="s">
        <v>10</v>
      </c>
      <c r="B131" t="s">
        <v>31</v>
      </c>
      <c r="C131">
        <v>5.55</v>
      </c>
      <c r="D131">
        <v>261.02999999999997</v>
      </c>
      <c r="E131">
        <v>3</v>
      </c>
    </row>
    <row r="132" spans="1:5" x14ac:dyDescent="0.35">
      <c r="A132" t="s">
        <v>10</v>
      </c>
      <c r="B132" t="s">
        <v>32</v>
      </c>
      <c r="C132">
        <v>4.58</v>
      </c>
      <c r="D132">
        <v>270.38</v>
      </c>
      <c r="E132">
        <v>3</v>
      </c>
    </row>
    <row r="133" spans="1:5" x14ac:dyDescent="0.35">
      <c r="A133" t="s">
        <v>10</v>
      </c>
      <c r="B133" t="s">
        <v>49</v>
      </c>
      <c r="C133">
        <v>5.22</v>
      </c>
      <c r="D133">
        <v>3479.31</v>
      </c>
      <c r="E133">
        <v>60</v>
      </c>
    </row>
    <row r="134" spans="1:5" x14ac:dyDescent="0.35">
      <c r="A134" t="s">
        <v>10</v>
      </c>
      <c r="B134" t="s">
        <v>74</v>
      </c>
      <c r="C134">
        <v>4.2</v>
      </c>
      <c r="D134">
        <v>42.05</v>
      </c>
      <c r="E134">
        <v>1</v>
      </c>
    </row>
    <row r="135" spans="1:5" x14ac:dyDescent="0.35">
      <c r="A135" t="s">
        <v>10</v>
      </c>
      <c r="B135" t="s">
        <v>75</v>
      </c>
      <c r="C135">
        <v>6.79</v>
      </c>
      <c r="D135">
        <v>101.9</v>
      </c>
      <c r="E135">
        <v>1</v>
      </c>
    </row>
    <row r="136" spans="1:5" x14ac:dyDescent="0.35">
      <c r="A136" t="s">
        <v>10</v>
      </c>
      <c r="B136" t="s">
        <v>76</v>
      </c>
      <c r="C136">
        <v>4.1399999999999997</v>
      </c>
      <c r="D136">
        <v>182.37</v>
      </c>
      <c r="E136">
        <v>2</v>
      </c>
    </row>
    <row r="137" spans="1:5" x14ac:dyDescent="0.35">
      <c r="A137" t="s">
        <v>10</v>
      </c>
      <c r="B137" t="s">
        <v>77</v>
      </c>
      <c r="C137">
        <v>4.68</v>
      </c>
      <c r="D137">
        <v>968.5</v>
      </c>
      <c r="E137">
        <v>17</v>
      </c>
    </row>
    <row r="138" spans="1:5" x14ac:dyDescent="0.35">
      <c r="A138" t="s">
        <v>10</v>
      </c>
      <c r="B138" t="s">
        <v>78</v>
      </c>
      <c r="C138">
        <v>1.64</v>
      </c>
      <c r="D138">
        <v>1001.04</v>
      </c>
      <c r="E138">
        <v>16</v>
      </c>
    </row>
    <row r="139" spans="1:5" x14ac:dyDescent="0.35">
      <c r="A139" t="s">
        <v>10</v>
      </c>
      <c r="B139" t="s">
        <v>79</v>
      </c>
      <c r="C139">
        <v>4.38</v>
      </c>
      <c r="D139">
        <v>876.47</v>
      </c>
      <c r="E139">
        <v>14</v>
      </c>
    </row>
    <row r="140" spans="1:5" x14ac:dyDescent="0.35">
      <c r="A140" t="s">
        <v>10</v>
      </c>
      <c r="B140" t="s">
        <v>80</v>
      </c>
      <c r="C140">
        <v>5.69</v>
      </c>
      <c r="D140">
        <v>28.43</v>
      </c>
      <c r="E140">
        <v>1</v>
      </c>
    </row>
    <row r="141" spans="1:5" x14ac:dyDescent="0.35">
      <c r="A141" t="s">
        <v>10</v>
      </c>
      <c r="B141" t="s">
        <v>81</v>
      </c>
      <c r="C141">
        <v>4</v>
      </c>
      <c r="D141">
        <v>104</v>
      </c>
      <c r="E141">
        <v>3</v>
      </c>
    </row>
    <row r="142" spans="1:5" x14ac:dyDescent="0.35">
      <c r="A142" t="s">
        <v>10</v>
      </c>
      <c r="B142" t="s">
        <v>50</v>
      </c>
      <c r="C142">
        <v>5.21</v>
      </c>
      <c r="D142">
        <v>2525.4699999999998</v>
      </c>
      <c r="E142">
        <v>42</v>
      </c>
    </row>
    <row r="143" spans="1:5" x14ac:dyDescent="0.35">
      <c r="A143" t="s">
        <v>10</v>
      </c>
      <c r="B143" t="s">
        <v>82</v>
      </c>
      <c r="C143">
        <v>5.7</v>
      </c>
      <c r="D143">
        <v>96.88</v>
      </c>
      <c r="E143">
        <v>1</v>
      </c>
    </row>
    <row r="144" spans="1:5" x14ac:dyDescent="0.35">
      <c r="A144" t="s">
        <v>10</v>
      </c>
      <c r="B144" t="s">
        <v>83</v>
      </c>
      <c r="C144">
        <v>4.71</v>
      </c>
      <c r="D144">
        <v>593.14</v>
      </c>
      <c r="E144">
        <v>6</v>
      </c>
    </row>
    <row r="145" spans="1:5" x14ac:dyDescent="0.35">
      <c r="A145" t="s">
        <v>10</v>
      </c>
      <c r="B145" t="s">
        <v>84</v>
      </c>
      <c r="C145">
        <v>6.85</v>
      </c>
      <c r="D145">
        <v>328.82</v>
      </c>
      <c r="E145">
        <v>3</v>
      </c>
    </row>
    <row r="146" spans="1:5" x14ac:dyDescent="0.35">
      <c r="A146" t="s">
        <v>10</v>
      </c>
      <c r="B146" t="s">
        <v>51</v>
      </c>
      <c r="C146">
        <v>5.74</v>
      </c>
      <c r="D146">
        <v>711.77</v>
      </c>
      <c r="E146">
        <v>13</v>
      </c>
    </row>
    <row r="147" spans="1:5" x14ac:dyDescent="0.35">
      <c r="A147" t="s">
        <v>10</v>
      </c>
      <c r="B147" t="s">
        <v>85</v>
      </c>
      <c r="C147">
        <v>5.4</v>
      </c>
      <c r="D147">
        <v>605.35</v>
      </c>
      <c r="E147">
        <v>10</v>
      </c>
    </row>
    <row r="148" spans="1:5" x14ac:dyDescent="0.35">
      <c r="A148" t="s">
        <v>10</v>
      </c>
      <c r="B148" t="s">
        <v>86</v>
      </c>
      <c r="C148">
        <v>5.07</v>
      </c>
      <c r="D148">
        <v>912.77</v>
      </c>
      <c r="E148">
        <v>13</v>
      </c>
    </row>
    <row r="149" spans="1:5" x14ac:dyDescent="0.35">
      <c r="A149" t="s">
        <v>10</v>
      </c>
      <c r="B149" t="s">
        <v>87</v>
      </c>
      <c r="C149">
        <v>4.8499999999999996</v>
      </c>
      <c r="D149">
        <v>92.14</v>
      </c>
      <c r="E149">
        <v>2</v>
      </c>
    </row>
    <row r="150" spans="1:5" x14ac:dyDescent="0.35">
      <c r="A150" t="s">
        <v>10</v>
      </c>
      <c r="B150" t="s">
        <v>88</v>
      </c>
      <c r="C150">
        <v>4.54</v>
      </c>
      <c r="D150">
        <v>177.22</v>
      </c>
      <c r="E150">
        <v>2</v>
      </c>
    </row>
    <row r="151" spans="1:5" x14ac:dyDescent="0.35">
      <c r="A151" t="s">
        <v>10</v>
      </c>
      <c r="B151" t="s">
        <v>89</v>
      </c>
      <c r="C151">
        <v>3.46</v>
      </c>
      <c r="D151">
        <v>293.91000000000003</v>
      </c>
      <c r="E151">
        <v>3</v>
      </c>
    </row>
    <row r="152" spans="1:5" x14ac:dyDescent="0.35">
      <c r="A152" t="s">
        <v>10</v>
      </c>
      <c r="B152" t="s">
        <v>33</v>
      </c>
      <c r="C152">
        <v>7.83</v>
      </c>
      <c r="D152">
        <v>86.13</v>
      </c>
      <c r="E152">
        <v>1</v>
      </c>
    </row>
    <row r="153" spans="1:5" x14ac:dyDescent="0.35">
      <c r="A153" t="s">
        <v>10</v>
      </c>
      <c r="B153" t="s">
        <v>90</v>
      </c>
      <c r="C153">
        <v>3.69</v>
      </c>
      <c r="D153">
        <v>376.76</v>
      </c>
      <c r="E153">
        <v>2</v>
      </c>
    </row>
    <row r="154" spans="1:5" x14ac:dyDescent="0.35">
      <c r="A154" t="s">
        <v>10</v>
      </c>
      <c r="B154" t="s">
        <v>53</v>
      </c>
      <c r="C154">
        <v>5.04</v>
      </c>
      <c r="D154">
        <v>3883.57</v>
      </c>
      <c r="E154">
        <v>55</v>
      </c>
    </row>
    <row r="155" spans="1:5" x14ac:dyDescent="0.35">
      <c r="A155" t="s">
        <v>10</v>
      </c>
      <c r="B155" t="s">
        <v>91</v>
      </c>
      <c r="C155">
        <v>2.56</v>
      </c>
      <c r="D155">
        <v>35.85</v>
      </c>
      <c r="E155">
        <v>1</v>
      </c>
    </row>
    <row r="156" spans="1:5" x14ac:dyDescent="0.35">
      <c r="A156" t="s">
        <v>10</v>
      </c>
      <c r="B156" t="s">
        <v>92</v>
      </c>
      <c r="C156">
        <v>3.81</v>
      </c>
      <c r="D156">
        <v>852.54</v>
      </c>
      <c r="E156">
        <v>8</v>
      </c>
    </row>
    <row r="157" spans="1:5" x14ac:dyDescent="0.35">
      <c r="A157" t="s">
        <v>10</v>
      </c>
      <c r="B157" t="s">
        <v>93</v>
      </c>
      <c r="C157">
        <v>3.02</v>
      </c>
      <c r="D157">
        <v>615.72</v>
      </c>
      <c r="E157">
        <v>5</v>
      </c>
    </row>
    <row r="158" spans="1:5" x14ac:dyDescent="0.35">
      <c r="A158" t="s">
        <v>10</v>
      </c>
      <c r="B158" t="s">
        <v>94</v>
      </c>
      <c r="C158">
        <v>4.97</v>
      </c>
      <c r="D158">
        <v>1835.26</v>
      </c>
      <c r="E158">
        <v>25</v>
      </c>
    </row>
    <row r="159" spans="1:5" x14ac:dyDescent="0.35">
      <c r="A159" t="s">
        <v>10</v>
      </c>
      <c r="B159" t="s">
        <v>95</v>
      </c>
      <c r="C159">
        <v>2.8</v>
      </c>
      <c r="D159">
        <v>313.64999999999998</v>
      </c>
      <c r="E159">
        <v>2</v>
      </c>
    </row>
    <row r="160" spans="1:5" x14ac:dyDescent="0.35">
      <c r="A160" t="s">
        <v>10</v>
      </c>
      <c r="B160" t="s">
        <v>54</v>
      </c>
      <c r="C160">
        <v>5.85</v>
      </c>
      <c r="D160">
        <v>953.12</v>
      </c>
      <c r="E160">
        <v>13</v>
      </c>
    </row>
    <row r="161" spans="1:5" x14ac:dyDescent="0.35">
      <c r="A161" t="s">
        <v>10</v>
      </c>
      <c r="B161" t="s">
        <v>96</v>
      </c>
      <c r="C161">
        <v>5.25</v>
      </c>
      <c r="D161">
        <v>1301.17</v>
      </c>
      <c r="E161">
        <v>17</v>
      </c>
    </row>
    <row r="162" spans="1:5" x14ac:dyDescent="0.35">
      <c r="A162" t="s">
        <v>10</v>
      </c>
      <c r="B162" t="s">
        <v>97</v>
      </c>
      <c r="C162">
        <v>5.3</v>
      </c>
      <c r="D162">
        <v>68.86</v>
      </c>
      <c r="E162">
        <v>2</v>
      </c>
    </row>
    <row r="163" spans="1:5" x14ac:dyDescent="0.35">
      <c r="A163" t="s">
        <v>10</v>
      </c>
      <c r="B163" t="s">
        <v>98</v>
      </c>
      <c r="C163">
        <v>4.7300000000000004</v>
      </c>
      <c r="D163">
        <v>4306.5600000000004</v>
      </c>
      <c r="E163">
        <v>54</v>
      </c>
    </row>
    <row r="164" spans="1:5" x14ac:dyDescent="0.35">
      <c r="A164" t="s">
        <v>10</v>
      </c>
      <c r="B164" t="s">
        <v>99</v>
      </c>
      <c r="C164">
        <v>3.3</v>
      </c>
      <c r="D164">
        <v>39.6</v>
      </c>
      <c r="E164">
        <v>1</v>
      </c>
    </row>
    <row r="165" spans="1:5" x14ac:dyDescent="0.35">
      <c r="A165" t="s">
        <v>10</v>
      </c>
      <c r="B165" t="s">
        <v>100</v>
      </c>
      <c r="C165">
        <v>10.6</v>
      </c>
      <c r="D165">
        <v>53</v>
      </c>
      <c r="E165">
        <v>1</v>
      </c>
    </row>
    <row r="166" spans="1:5" x14ac:dyDescent="0.35">
      <c r="A166" t="s">
        <v>10</v>
      </c>
      <c r="B166" t="s">
        <v>101</v>
      </c>
      <c r="C166">
        <v>3.61</v>
      </c>
      <c r="D166">
        <v>3241.19</v>
      </c>
      <c r="E166">
        <v>26</v>
      </c>
    </row>
    <row r="167" spans="1:5" x14ac:dyDescent="0.35">
      <c r="A167" t="s">
        <v>10</v>
      </c>
      <c r="B167" t="s">
        <v>102</v>
      </c>
      <c r="C167">
        <v>4.78</v>
      </c>
      <c r="D167">
        <v>5181.8500000000004</v>
      </c>
      <c r="E167">
        <v>36</v>
      </c>
    </row>
    <row r="168" spans="1:5" x14ac:dyDescent="0.35">
      <c r="A168" t="s">
        <v>10</v>
      </c>
      <c r="B168" t="s">
        <v>103</v>
      </c>
      <c r="C168">
        <v>6.26</v>
      </c>
      <c r="D168">
        <v>2126.86</v>
      </c>
      <c r="E168">
        <v>25</v>
      </c>
    </row>
    <row r="169" spans="1:5" x14ac:dyDescent="0.35">
      <c r="A169" t="s">
        <v>10</v>
      </c>
      <c r="B169" t="s">
        <v>104</v>
      </c>
      <c r="C169">
        <v>4.75</v>
      </c>
      <c r="D169">
        <v>726.08</v>
      </c>
      <c r="E169">
        <v>4</v>
      </c>
    </row>
    <row r="170" spans="1:5" x14ac:dyDescent="0.35">
      <c r="A170" t="s">
        <v>10</v>
      </c>
      <c r="B170" t="s">
        <v>105</v>
      </c>
      <c r="C170">
        <v>2.72</v>
      </c>
      <c r="D170">
        <v>1039.27</v>
      </c>
      <c r="E170">
        <v>6</v>
      </c>
    </row>
    <row r="171" spans="1:5" x14ac:dyDescent="0.35">
      <c r="A171" t="s">
        <v>10</v>
      </c>
      <c r="B171" t="s">
        <v>106</v>
      </c>
      <c r="C171">
        <v>5.94</v>
      </c>
      <c r="D171">
        <v>457.41</v>
      </c>
      <c r="E171">
        <v>2</v>
      </c>
    </row>
    <row r="172" spans="1:5" x14ac:dyDescent="0.35">
      <c r="A172" t="s">
        <v>10</v>
      </c>
      <c r="B172" t="s">
        <v>107</v>
      </c>
      <c r="C172">
        <v>5.37</v>
      </c>
      <c r="D172">
        <v>2631.95</v>
      </c>
      <c r="E172">
        <v>28</v>
      </c>
    </row>
    <row r="173" spans="1:5" x14ac:dyDescent="0.35">
      <c r="A173" t="s">
        <v>10</v>
      </c>
      <c r="B173" t="s">
        <v>108</v>
      </c>
      <c r="C173">
        <v>5.5</v>
      </c>
      <c r="D173">
        <v>1743.56</v>
      </c>
      <c r="E173">
        <v>19</v>
      </c>
    </row>
    <row r="174" spans="1:5" x14ac:dyDescent="0.35">
      <c r="A174" t="s">
        <v>10</v>
      </c>
      <c r="B174" t="s">
        <v>109</v>
      </c>
      <c r="C174">
        <v>2.33</v>
      </c>
      <c r="D174">
        <v>86.13</v>
      </c>
      <c r="E174">
        <v>1</v>
      </c>
    </row>
    <row r="175" spans="1:5" x14ac:dyDescent="0.35">
      <c r="A175" t="s">
        <v>10</v>
      </c>
      <c r="B175" t="s">
        <v>19</v>
      </c>
      <c r="C175">
        <v>4.97</v>
      </c>
      <c r="D175">
        <v>3105</v>
      </c>
      <c r="E175">
        <v>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E7A45-396C-4869-B0F3-A8771D84A98F}">
  <dimension ref="A2:D14"/>
  <sheetViews>
    <sheetView tabSelected="1" workbookViewId="0">
      <selection activeCell="D8" sqref="D8"/>
    </sheetView>
  </sheetViews>
  <sheetFormatPr defaultRowHeight="14.5" x14ac:dyDescent="0.35"/>
  <cols>
    <col min="1" max="1" width="11.1796875" bestFit="1" customWidth="1"/>
    <col min="2" max="2" width="18.54296875" bestFit="1" customWidth="1"/>
    <col min="3" max="3" width="22.90625" bestFit="1" customWidth="1"/>
    <col min="4" max="4" width="13.90625" bestFit="1" customWidth="1"/>
  </cols>
  <sheetData>
    <row r="2" spans="1:4" x14ac:dyDescent="0.35">
      <c r="A2" s="8"/>
      <c r="B2" s="8" t="s">
        <v>120</v>
      </c>
      <c r="C2" s="8" t="s">
        <v>121</v>
      </c>
      <c r="D2" s="8" t="s">
        <v>122</v>
      </c>
    </row>
    <row r="3" spans="1:4" x14ac:dyDescent="0.35">
      <c r="A3" s="8" t="s">
        <v>5</v>
      </c>
      <c r="B3" s="9">
        <v>0.6</v>
      </c>
      <c r="C3" s="8">
        <v>47727</v>
      </c>
      <c r="D3" s="8">
        <f>SUM(C3)*(1-B3)</f>
        <v>19090.8</v>
      </c>
    </row>
    <row r="4" spans="1:4" x14ac:dyDescent="0.35">
      <c r="A4" s="8">
        <v>765</v>
      </c>
      <c r="B4" s="9">
        <v>0.6</v>
      </c>
      <c r="C4" s="8">
        <v>72799</v>
      </c>
      <c r="D4" s="8">
        <f>SUM(C4)*(1-B4)</f>
        <v>29119.600000000002</v>
      </c>
    </row>
    <row r="5" spans="1:4" x14ac:dyDescent="0.35">
      <c r="A5" s="8">
        <v>800</v>
      </c>
      <c r="B5" s="8" t="s">
        <v>123</v>
      </c>
      <c r="C5" s="8" t="s">
        <v>123</v>
      </c>
      <c r="D5" s="8"/>
    </row>
    <row r="6" spans="1:4" x14ac:dyDescent="0.35">
      <c r="A6" s="8"/>
      <c r="B6" s="8"/>
      <c r="C6" s="8" t="s">
        <v>124</v>
      </c>
      <c r="D6" s="8">
        <f>SUM(D3:D4)</f>
        <v>48210.400000000001</v>
      </c>
    </row>
    <row r="7" spans="1:4" x14ac:dyDescent="0.35">
      <c r="A7" s="8"/>
      <c r="B7" s="8"/>
      <c r="C7" s="8" t="s">
        <v>112</v>
      </c>
      <c r="D7" s="8">
        <v>50000</v>
      </c>
    </row>
    <row r="8" spans="1:4" x14ac:dyDescent="0.35">
      <c r="A8" s="8"/>
      <c r="B8" s="8"/>
      <c r="C8" s="8" t="s">
        <v>113</v>
      </c>
      <c r="D8" s="8">
        <v>15000</v>
      </c>
    </row>
    <row r="9" spans="1:4" x14ac:dyDescent="0.35">
      <c r="A9" s="8"/>
      <c r="B9" s="8"/>
      <c r="C9" s="8" t="s">
        <v>114</v>
      </c>
      <c r="D9" s="8">
        <f>D7-D8</f>
        <v>35000</v>
      </c>
    </row>
    <row r="10" spans="1:4" x14ac:dyDescent="0.35">
      <c r="A10" s="8"/>
      <c r="B10" s="8"/>
      <c r="C10" s="8" t="s">
        <v>115</v>
      </c>
      <c r="D10" s="8">
        <v>250</v>
      </c>
    </row>
    <row r="11" spans="1:4" x14ac:dyDescent="0.35">
      <c r="A11" s="8"/>
      <c r="B11" s="8"/>
      <c r="C11" s="8" t="s">
        <v>116</v>
      </c>
      <c r="D11" s="8">
        <v>10</v>
      </c>
    </row>
    <row r="12" spans="1:4" x14ac:dyDescent="0.35">
      <c r="A12" s="8"/>
      <c r="B12" s="8"/>
      <c r="C12" s="8" t="s">
        <v>117</v>
      </c>
      <c r="D12" s="8">
        <f>D9/(D10*D11)</f>
        <v>14</v>
      </c>
    </row>
    <row r="13" spans="1:4" x14ac:dyDescent="0.35">
      <c r="A13" s="8"/>
      <c r="B13" s="8"/>
      <c r="C13" s="8" t="s">
        <v>118</v>
      </c>
      <c r="D13" s="8">
        <v>2</v>
      </c>
    </row>
    <row r="14" spans="1:4" x14ac:dyDescent="0.35">
      <c r="A14" s="8"/>
      <c r="B14" s="8"/>
      <c r="C14" s="8" t="s">
        <v>119</v>
      </c>
      <c r="D14" s="8">
        <f>D12-D13</f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defaultRowHeight="14.5" x14ac:dyDescent="0.35"/>
  <sheetData>
    <row r="1" spans="1:1" x14ac:dyDescent="0.35">
      <c r="A1" s="1" t="s">
        <v>110</v>
      </c>
    </row>
    <row r="2" spans="1:1" x14ac:dyDescent="0.35">
      <c r="A2" t="s">
        <v>111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KV Productivity</vt:lpstr>
      <vt:lpstr>Sheet1</vt:lpstr>
      <vt:lpstr>Issues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Bharat Kaushik</cp:lastModifiedBy>
  <dcterms:created xsi:type="dcterms:W3CDTF">2026-04-08T09:02:14Z</dcterms:created>
  <dcterms:modified xsi:type="dcterms:W3CDTF">2026-04-08T10:42:32Z</dcterms:modified>
</cp:coreProperties>
</file>