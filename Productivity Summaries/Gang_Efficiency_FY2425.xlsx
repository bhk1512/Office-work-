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aw Inputs" sheetId="1" state="visible" r:id="rId1"/>
    <sheet xmlns:r="http://schemas.openxmlformats.org/officeDocument/2006/relationships" name="2. Fleet Efficiency" sheetId="2" state="visible" r:id="rId2"/>
    <sheet xmlns:r="http://schemas.openxmlformats.org/officeDocument/2006/relationships" name="3. Idle Recovery" sheetId="3" state="visible" r:id="rId3"/>
    <sheet xmlns:r="http://schemas.openxmlformats.org/officeDocument/2006/relationships" name="4. Leadership Summary" sheetId="4" state="visible" r:id="rId4"/>
    <sheet xmlns:r="http://schemas.openxmlformats.org/officeDocument/2006/relationships" name="5. Idle Narrative" sheetId="5" state="visible" r:id="rId5"/>
  </sheets>
  <definedNames>
    <definedName name="controllable_share">'5. Idle Narrative'!$B$5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7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b val="1"/>
      <color rgb="FF000000"/>
    </font>
    <font>
      <color rgb="FF2F5496"/>
    </font>
    <font>
      <color rgb="FF548235"/>
    </font>
    <font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5" fillId="6" borderId="1" applyAlignment="1" pivotButton="0" quotePrefix="0" xfId="0">
      <alignment horizontal="center" vertical="center"/>
    </xf>
    <xf numFmtId="1" fontId="2" fillId="7" borderId="1" applyAlignment="1" pivotButton="0" quotePrefix="0" xfId="0">
      <alignment horizontal="center" vertical="center"/>
    </xf>
    <xf numFmtId="10" fontId="2" fillId="7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2" fontId="2" fillId="7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9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" fontId="5" fillId="6" borderId="0" pivotButton="0" quotePrefix="0" xfId="0"/>
    <xf numFmtId="2" fontId="5" fillId="6" borderId="0" pivotButton="0" quotePrefix="0" xfId="0"/>
    <xf numFmtId="164" fontId="2" fillId="0" borderId="0" pivotButton="0" quotePrefix="0" xfId="0"/>
    <xf numFmtId="9" fontId="2" fillId="7" borderId="1" applyAlignment="1" pivotButton="0" quotePrefix="0" xfId="0">
      <alignment horizontal="center" vertical="center" wrapText="1"/>
    </xf>
    <xf numFmtId="2" fontId="2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Gang Deployment Efficiency Inputs (Overall Block Only)</t>
        </is>
      </c>
    </row>
    <row r="2">
      <c r="A2" s="2" t="inlineStr">
        <is>
          <t>Source: FY24_FY25_Erection_Summary.xlsx -&gt; Idle Days Buckets (Overall, A:M)</t>
        </is>
      </c>
    </row>
    <row r="4">
      <c r="A4" s="3" t="inlineStr">
        <is>
          <t>Gang Count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2" t="n"/>
    </row>
    <row r="5">
      <c r="A5" s="5" t="inlineStr">
        <is>
          <t>Threshold</t>
        </is>
      </c>
      <c r="B5" s="5" t="inlineStr">
        <is>
          <t>0-1</t>
        </is>
      </c>
      <c r="C5" s="5" t="inlineStr">
        <is>
          <t>1-2</t>
        </is>
      </c>
      <c r="D5" s="5" t="inlineStr">
        <is>
          <t>2-3</t>
        </is>
      </c>
      <c r="E5" s="5" t="inlineStr">
        <is>
          <t>3-4</t>
        </is>
      </c>
      <c r="F5" s="5" t="inlineStr">
        <is>
          <t>4-5</t>
        </is>
      </c>
      <c r="G5" s="5" t="inlineStr">
        <is>
          <t>5-6</t>
        </is>
      </c>
      <c r="H5" s="5" t="inlineStr">
        <is>
          <t>6-7</t>
        </is>
      </c>
      <c r="I5" s="5" t="inlineStr">
        <is>
          <t>7-8</t>
        </is>
      </c>
      <c r="J5" s="5" t="inlineStr">
        <is>
          <t>8-9</t>
        </is>
      </c>
      <c r="K5" s="5" t="inlineStr">
        <is>
          <t>TOTAL</t>
        </is>
      </c>
    </row>
    <row r="6">
      <c r="A6" s="5" t="inlineStr">
        <is>
          <t>&gt;=1</t>
        </is>
      </c>
      <c r="B6" s="6" t="n">
        <v>11</v>
      </c>
      <c r="C6" s="6" t="n">
        <v>48</v>
      </c>
      <c r="D6" s="6" t="n">
        <v>84</v>
      </c>
      <c r="E6" s="6" t="n">
        <v>115</v>
      </c>
      <c r="F6" s="6" t="n">
        <v>96</v>
      </c>
      <c r="G6" s="6" t="n">
        <v>60</v>
      </c>
      <c r="H6" s="6" t="n">
        <v>39</v>
      </c>
      <c r="I6" s="6" t="n">
        <v>25</v>
      </c>
      <c r="J6" s="6" t="n">
        <v>5</v>
      </c>
      <c r="K6" s="7">
        <f>SUM(B6:J6)</f>
        <v/>
      </c>
    </row>
    <row r="7">
      <c r="A7" s="5" t="inlineStr">
        <is>
          <t>&gt;=2</t>
        </is>
      </c>
      <c r="B7" s="6" t="n">
        <v>3</v>
      </c>
      <c r="C7" s="6" t="n">
        <v>30</v>
      </c>
      <c r="D7" s="6" t="n">
        <v>47</v>
      </c>
      <c r="E7" s="6" t="n">
        <v>93</v>
      </c>
      <c r="F7" s="6" t="n">
        <v>83</v>
      </c>
      <c r="G7" s="6" t="n">
        <v>50</v>
      </c>
      <c r="H7" s="6" t="n">
        <v>31</v>
      </c>
      <c r="I7" s="6" t="n">
        <v>19</v>
      </c>
      <c r="J7" s="6" t="n">
        <v>4</v>
      </c>
      <c r="K7" s="7">
        <f>SUM(B7:J7)</f>
        <v/>
      </c>
    </row>
    <row r="8">
      <c r="A8" s="5" t="inlineStr">
        <is>
          <t>&gt;=3</t>
        </is>
      </c>
      <c r="B8" s="6" t="n">
        <v>3</v>
      </c>
      <c r="C8" s="6" t="n">
        <v>19</v>
      </c>
      <c r="D8" s="6" t="n">
        <v>35</v>
      </c>
      <c r="E8" s="6" t="n">
        <v>78</v>
      </c>
      <c r="F8" s="6" t="n">
        <v>75</v>
      </c>
      <c r="G8" s="6" t="n">
        <v>49</v>
      </c>
      <c r="H8" s="6" t="n">
        <v>27</v>
      </c>
      <c r="I8" s="6" t="n">
        <v>18</v>
      </c>
      <c r="J8" s="6" t="n">
        <v>4</v>
      </c>
      <c r="K8" s="7">
        <f>SUM(B8:J8)</f>
        <v/>
      </c>
    </row>
    <row r="10">
      <c r="A10" s="3" t="inlineStr">
        <is>
          <t>Weight Erected (MT) - Daily Prod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2" t="n"/>
    </row>
    <row r="11">
      <c r="A11" s="5" t="inlineStr">
        <is>
          <t>Threshold</t>
        </is>
      </c>
      <c r="B11" s="5" t="inlineStr">
        <is>
          <t>0-1</t>
        </is>
      </c>
      <c r="C11" s="5" t="inlineStr">
        <is>
          <t>1-2</t>
        </is>
      </c>
      <c r="D11" s="5" t="inlineStr">
        <is>
          <t>2-3</t>
        </is>
      </c>
      <c r="E11" s="5" t="inlineStr">
        <is>
          <t>3-4</t>
        </is>
      </c>
      <c r="F11" s="5" t="inlineStr">
        <is>
          <t>4-5</t>
        </is>
      </c>
      <c r="G11" s="5" t="inlineStr">
        <is>
          <t>5-6</t>
        </is>
      </c>
      <c r="H11" s="5" t="inlineStr">
        <is>
          <t>6-7</t>
        </is>
      </c>
      <c r="I11" s="5" t="inlineStr">
        <is>
          <t>7-8</t>
        </is>
      </c>
      <c r="J11" s="5" t="inlineStr">
        <is>
          <t>8-9</t>
        </is>
      </c>
      <c r="K11" s="5" t="inlineStr">
        <is>
          <t>TOTAL</t>
        </is>
      </c>
    </row>
    <row r="12">
      <c r="A12" s="5" t="inlineStr">
        <is>
          <t>&gt;=1</t>
        </is>
      </c>
      <c r="B12" s="8" t="n">
        <v>783.71</v>
      </c>
      <c r="C12" s="8" t="n">
        <v>7448.76</v>
      </c>
      <c r="D12" s="8" t="n">
        <v>15649.51</v>
      </c>
      <c r="E12" s="8" t="n">
        <v>31804.35</v>
      </c>
      <c r="F12" s="8" t="n">
        <v>37825.28</v>
      </c>
      <c r="G12" s="8" t="n">
        <v>32844.98</v>
      </c>
      <c r="H12" s="8" t="n">
        <v>38660.44</v>
      </c>
      <c r="I12" s="8" t="n">
        <v>16322.87</v>
      </c>
      <c r="J12" s="8" t="n">
        <v>2049.49</v>
      </c>
      <c r="K12" s="9">
        <f>SUM(B12:J12)</f>
        <v/>
      </c>
    </row>
    <row r="13">
      <c r="A13" s="5" t="inlineStr">
        <is>
          <t>&gt;=2</t>
        </is>
      </c>
      <c r="B13" s="8" t="n">
        <v>481.32</v>
      </c>
      <c r="C13" s="8" t="n">
        <v>6729.73</v>
      </c>
      <c r="D13" s="8" t="n">
        <v>13752.75</v>
      </c>
      <c r="E13" s="8" t="n">
        <v>30465.39</v>
      </c>
      <c r="F13" s="8" t="n">
        <v>37189.96</v>
      </c>
      <c r="G13" s="8" t="n">
        <v>32262.26</v>
      </c>
      <c r="H13" s="8" t="n">
        <v>38183.85</v>
      </c>
      <c r="I13" s="8" t="n">
        <v>15982.88</v>
      </c>
      <c r="J13" s="8" t="n">
        <v>1983.11</v>
      </c>
      <c r="K13" s="9">
        <f>SUM(B13:J13)</f>
        <v/>
      </c>
    </row>
    <row r="14">
      <c r="A14" s="5" t="inlineStr">
        <is>
          <t>&gt;=3</t>
        </is>
      </c>
      <c r="B14" s="8" t="n">
        <v>481.32</v>
      </c>
      <c r="C14" s="8" t="n">
        <v>5939.23</v>
      </c>
      <c r="D14" s="8" t="n">
        <v>12320.99</v>
      </c>
      <c r="E14" s="8" t="n">
        <v>29065.73</v>
      </c>
      <c r="F14" s="8" t="n">
        <v>36331.12</v>
      </c>
      <c r="G14" s="8" t="n">
        <v>32076.42</v>
      </c>
      <c r="H14" s="8" t="n">
        <v>37740.95</v>
      </c>
      <c r="I14" s="8" t="n">
        <v>15679.55</v>
      </c>
      <c r="J14" s="8" t="n">
        <v>1983.11</v>
      </c>
      <c r="K14" s="9">
        <f>SUM(B14:J14)</f>
        <v/>
      </c>
    </row>
    <row r="16">
      <c r="A16" s="3" t="inlineStr">
        <is>
          <t>Deployment months (avg)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2" t="n"/>
    </row>
    <row r="17">
      <c r="A17" s="5" t="inlineStr">
        <is>
          <t>Threshold</t>
        </is>
      </c>
      <c r="B17" s="5" t="inlineStr">
        <is>
          <t>0-1</t>
        </is>
      </c>
      <c r="C17" s="5" t="inlineStr">
        <is>
          <t>1-2</t>
        </is>
      </c>
      <c r="D17" s="5" t="inlineStr">
        <is>
          <t>2-3</t>
        </is>
      </c>
      <c r="E17" s="5" t="inlineStr">
        <is>
          <t>3-4</t>
        </is>
      </c>
      <c r="F17" s="5" t="inlineStr">
        <is>
          <t>4-5</t>
        </is>
      </c>
      <c r="G17" s="5" t="inlineStr">
        <is>
          <t>5-6</t>
        </is>
      </c>
      <c r="H17" s="5" t="inlineStr">
        <is>
          <t>6-7</t>
        </is>
      </c>
      <c r="I17" s="5" t="inlineStr">
        <is>
          <t>7-8</t>
        </is>
      </c>
      <c r="J17" s="5" t="inlineStr">
        <is>
          <t>8-9</t>
        </is>
      </c>
      <c r="K17" s="5" t="inlineStr">
        <is>
          <t>AVG</t>
        </is>
      </c>
    </row>
    <row r="18">
      <c r="A18" s="5" t="inlineStr">
        <is>
          <t>&gt;=1</t>
        </is>
      </c>
      <c r="B18" s="8" t="n">
        <v>4.89</v>
      </c>
      <c r="C18" s="8" t="n">
        <v>2.91</v>
      </c>
      <c r="D18" s="8" t="n">
        <v>2.47</v>
      </c>
      <c r="E18" s="8" t="n">
        <v>2.64</v>
      </c>
      <c r="F18" s="8" t="n">
        <v>2.99</v>
      </c>
      <c r="G18" s="8" t="n">
        <v>3.19</v>
      </c>
      <c r="H18" s="8" t="n">
        <v>4.72</v>
      </c>
      <c r="I18" s="8" t="n">
        <v>2.94</v>
      </c>
      <c r="J18" s="8" t="n">
        <v>1.85</v>
      </c>
      <c r="K18" s="9">
        <f>AVERAGE(B18:J18)</f>
        <v/>
      </c>
    </row>
    <row r="19">
      <c r="A19" s="5" t="inlineStr">
        <is>
          <t>&gt;=2</t>
        </is>
      </c>
      <c r="B19" s="8" t="n">
        <v>6.78</v>
      </c>
      <c r="C19" s="8" t="n">
        <v>4.16</v>
      </c>
      <c r="D19" s="8" t="n">
        <v>3.86</v>
      </c>
      <c r="E19" s="8" t="n">
        <v>3.13</v>
      </c>
      <c r="F19" s="8" t="n">
        <v>3.4</v>
      </c>
      <c r="G19" s="8" t="n">
        <v>3.75</v>
      </c>
      <c r="H19" s="8" t="n">
        <v>5.86</v>
      </c>
      <c r="I19" s="8" t="n">
        <v>3.78</v>
      </c>
      <c r="J19" s="8" t="n">
        <v>2.24</v>
      </c>
      <c r="K19" s="9">
        <f>AVERAGE(B19:J19)</f>
        <v/>
      </c>
    </row>
    <row r="20">
      <c r="A20" s="5" t="inlineStr">
        <is>
          <t>&gt;=3</t>
        </is>
      </c>
      <c r="B20" s="8" t="n">
        <v>6.78</v>
      </c>
      <c r="C20" s="8" t="n">
        <v>5.74</v>
      </c>
      <c r="D20" s="8" t="n">
        <v>4.62</v>
      </c>
      <c r="E20" s="8" t="n">
        <v>3.54</v>
      </c>
      <c r="F20" s="8" t="n">
        <v>3.63</v>
      </c>
      <c r="G20" s="8" t="n">
        <v>3.81</v>
      </c>
      <c r="H20" s="8" t="n">
        <v>6.63</v>
      </c>
      <c r="I20" s="8" t="n">
        <v>3.92</v>
      </c>
      <c r="J20" s="8" t="n">
        <v>2.24</v>
      </c>
      <c r="K20" s="9">
        <f>AVERAGE(B20:J20)</f>
        <v/>
      </c>
    </row>
    <row r="22">
      <c r="A22" s="3" t="inlineStr">
        <is>
          <t>Idle days per deployment month (normalized, primary)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2" t="n"/>
    </row>
    <row r="23">
      <c r="A23" s="5" t="inlineStr">
        <is>
          <t>Threshold</t>
        </is>
      </c>
      <c r="B23" s="5" t="inlineStr">
        <is>
          <t>0-1</t>
        </is>
      </c>
      <c r="C23" s="5" t="inlineStr">
        <is>
          <t>1-2</t>
        </is>
      </c>
      <c r="D23" s="5" t="inlineStr">
        <is>
          <t>2-3</t>
        </is>
      </c>
      <c r="E23" s="5" t="inlineStr">
        <is>
          <t>3-4</t>
        </is>
      </c>
      <c r="F23" s="5" t="inlineStr">
        <is>
          <t>4-5</t>
        </is>
      </c>
      <c r="G23" s="5" t="inlineStr">
        <is>
          <t>5-6</t>
        </is>
      </c>
      <c r="H23" s="5" t="inlineStr">
        <is>
          <t>6-7</t>
        </is>
      </c>
      <c r="I23" s="5" t="inlineStr">
        <is>
          <t>7-8</t>
        </is>
      </c>
      <c r="J23" s="5" t="inlineStr">
        <is>
          <t>8-9</t>
        </is>
      </c>
      <c r="K23" s="5" t="inlineStr">
        <is>
          <t>AVG</t>
        </is>
      </c>
    </row>
    <row r="24">
      <c r="A24" s="5" t="inlineStr">
        <is>
          <t>&gt;=1</t>
        </is>
      </c>
      <c r="B24" s="8" t="n">
        <v>0</v>
      </c>
      <c r="C24" s="8" t="n">
        <v>0.96</v>
      </c>
      <c r="D24" s="8" t="n">
        <v>1.2</v>
      </c>
      <c r="E24" s="8" t="n">
        <v>2</v>
      </c>
      <c r="F24" s="8" t="n">
        <v>2.67</v>
      </c>
      <c r="G24" s="8" t="n">
        <v>1.92</v>
      </c>
      <c r="H24" s="8" t="n">
        <v>1.64</v>
      </c>
      <c r="I24" s="8" t="n">
        <v>1.97</v>
      </c>
      <c r="J24" s="8" t="n">
        <v>3.19</v>
      </c>
      <c r="K24" s="9">
        <f>AVERAGE(B24:J24)</f>
        <v/>
      </c>
    </row>
    <row r="25">
      <c r="A25" s="5" t="inlineStr">
        <is>
          <t>&gt;=2</t>
        </is>
      </c>
      <c r="B25" s="8" t="n">
        <v>0</v>
      </c>
      <c r="C25" s="8" t="n">
        <v>1.53</v>
      </c>
      <c r="D25" s="8" t="n">
        <v>2.15</v>
      </c>
      <c r="E25" s="8" t="n">
        <v>2.47</v>
      </c>
      <c r="F25" s="8" t="n">
        <v>3.09</v>
      </c>
      <c r="G25" s="8" t="n">
        <v>2.31</v>
      </c>
      <c r="H25" s="8" t="n">
        <v>2.06</v>
      </c>
      <c r="I25" s="8" t="n">
        <v>2.59</v>
      </c>
      <c r="J25" s="8" t="n">
        <v>3.99</v>
      </c>
      <c r="K25" s="9">
        <f>AVERAGE(B25:J25)</f>
        <v/>
      </c>
    </row>
    <row r="26">
      <c r="A26" s="5" t="inlineStr">
        <is>
          <t>&gt;=3</t>
        </is>
      </c>
      <c r="B26" s="8" t="n">
        <v>0</v>
      </c>
      <c r="C26" s="8" t="n">
        <v>1.45</v>
      </c>
      <c r="D26" s="8" t="n">
        <v>2.13</v>
      </c>
      <c r="E26" s="8" t="n">
        <v>2.18</v>
      </c>
      <c r="F26" s="8" t="n">
        <v>2.92</v>
      </c>
      <c r="G26" s="8" t="n">
        <v>2.36</v>
      </c>
      <c r="H26" s="8" t="n">
        <v>1.78</v>
      </c>
      <c r="I26" s="8" t="n">
        <v>2.61</v>
      </c>
      <c r="J26" s="8" t="n">
        <v>3.99</v>
      </c>
      <c r="K26" s="9">
        <f>AVERAGE(B26:J26)</f>
        <v/>
      </c>
    </row>
    <row r="28">
      <c r="A28" s="3" t="inlineStr">
        <is>
          <t>Idle days per month (normalized)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2" t="n"/>
    </row>
    <row r="29">
      <c r="A29" s="5" t="inlineStr">
        <is>
          <t>Threshold</t>
        </is>
      </c>
      <c r="B29" s="5" t="inlineStr">
        <is>
          <t>0-1</t>
        </is>
      </c>
      <c r="C29" s="5" t="inlineStr">
        <is>
          <t>1-2</t>
        </is>
      </c>
      <c r="D29" s="5" t="inlineStr">
        <is>
          <t>2-3</t>
        </is>
      </c>
      <c r="E29" s="5" t="inlineStr">
        <is>
          <t>3-4</t>
        </is>
      </c>
      <c r="F29" s="5" t="inlineStr">
        <is>
          <t>4-5</t>
        </is>
      </c>
      <c r="G29" s="5" t="inlineStr">
        <is>
          <t>5-6</t>
        </is>
      </c>
      <c r="H29" s="5" t="inlineStr">
        <is>
          <t>6-7</t>
        </is>
      </c>
      <c r="I29" s="5" t="inlineStr">
        <is>
          <t>7-8</t>
        </is>
      </c>
      <c r="J29" s="5" t="inlineStr">
        <is>
          <t>8-9</t>
        </is>
      </c>
      <c r="K29" s="5" t="inlineStr">
        <is>
          <t>AVG</t>
        </is>
      </c>
    </row>
    <row r="30">
      <c r="A30" s="5" t="inlineStr">
        <is>
          <t>&gt;=1</t>
        </is>
      </c>
      <c r="B30" s="8" t="n">
        <v>0</v>
      </c>
      <c r="C30" s="8" t="n">
        <v>0.88</v>
      </c>
      <c r="D30" s="8" t="n">
        <v>1.18</v>
      </c>
      <c r="E30" s="8" t="n">
        <v>1.94</v>
      </c>
      <c r="F30" s="8" t="n">
        <v>2.54</v>
      </c>
      <c r="G30" s="8" t="n">
        <v>1.86</v>
      </c>
      <c r="H30" s="8" t="n">
        <v>1.56</v>
      </c>
      <c r="I30" s="8" t="n">
        <v>1.75</v>
      </c>
      <c r="J30" s="8" t="n">
        <v>2.91</v>
      </c>
      <c r="K30" s="9">
        <f>AVERAGE(B30:J30)</f>
        <v/>
      </c>
    </row>
    <row r="31">
      <c r="A31" s="5" t="inlineStr">
        <is>
          <t>&gt;=2</t>
        </is>
      </c>
      <c r="B31" s="8" t="n">
        <v>0</v>
      </c>
      <c r="C31" s="8" t="n">
        <v>1.4</v>
      </c>
      <c r="D31" s="8" t="n">
        <v>2.12</v>
      </c>
      <c r="E31" s="8" t="n">
        <v>2.4</v>
      </c>
      <c r="F31" s="8" t="n">
        <v>2.94</v>
      </c>
      <c r="G31" s="8" t="n">
        <v>2.23</v>
      </c>
      <c r="H31" s="8" t="n">
        <v>1.97</v>
      </c>
      <c r="I31" s="8" t="n">
        <v>2.3</v>
      </c>
      <c r="J31" s="8" t="n">
        <v>3.63</v>
      </c>
      <c r="K31" s="9">
        <f>AVERAGE(B31:J31)</f>
        <v/>
      </c>
    </row>
    <row r="32">
      <c r="A32" s="5" t="inlineStr">
        <is>
          <t>&gt;=3</t>
        </is>
      </c>
      <c r="B32" s="8" t="n">
        <v>0</v>
      </c>
      <c r="C32" s="8" t="n">
        <v>1.24</v>
      </c>
      <c r="D32" s="8" t="n">
        <v>2.09</v>
      </c>
      <c r="E32" s="8" t="n">
        <v>2.09</v>
      </c>
      <c r="F32" s="8" t="n">
        <v>2.75</v>
      </c>
      <c r="G32" s="8" t="n">
        <v>2.27</v>
      </c>
      <c r="H32" s="8" t="n">
        <v>1.68</v>
      </c>
      <c r="I32" s="8" t="n">
        <v>2.31</v>
      </c>
      <c r="J32" s="8" t="n">
        <v>3.63</v>
      </c>
      <c r="K32" s="9">
        <f>AVERAGE(B32:J32)</f>
        <v/>
      </c>
    </row>
    <row r="34">
      <c r="A34" s="3" t="inlineStr">
        <is>
          <t>Avg max raw gap days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2" t="n"/>
    </row>
    <row r="35">
      <c r="A35" s="5" t="inlineStr">
        <is>
          <t>Threshold</t>
        </is>
      </c>
      <c r="B35" s="5" t="inlineStr">
        <is>
          <t>0-1</t>
        </is>
      </c>
      <c r="C35" s="5" t="inlineStr">
        <is>
          <t>1-2</t>
        </is>
      </c>
      <c r="D35" s="5" t="inlineStr">
        <is>
          <t>2-3</t>
        </is>
      </c>
      <c r="E35" s="5" t="inlineStr">
        <is>
          <t>3-4</t>
        </is>
      </c>
      <c r="F35" s="5" t="inlineStr">
        <is>
          <t>4-5</t>
        </is>
      </c>
      <c r="G35" s="5" t="inlineStr">
        <is>
          <t>5-6</t>
        </is>
      </c>
      <c r="H35" s="5" t="inlineStr">
        <is>
          <t>6-7</t>
        </is>
      </c>
      <c r="I35" s="5" t="inlineStr">
        <is>
          <t>7-8</t>
        </is>
      </c>
      <c r="J35" s="5" t="inlineStr">
        <is>
          <t>8-9</t>
        </is>
      </c>
      <c r="K35" s="5" t="inlineStr">
        <is>
          <t>AVG</t>
        </is>
      </c>
    </row>
    <row r="36">
      <c r="A36" s="5" t="inlineStr">
        <is>
          <t>&gt;=1</t>
        </is>
      </c>
      <c r="B36" s="8" t="n">
        <v>0</v>
      </c>
      <c r="C36" s="8" t="n">
        <v>3</v>
      </c>
      <c r="D36" s="8" t="n">
        <v>4.65</v>
      </c>
      <c r="E36" s="8" t="n">
        <v>5.28</v>
      </c>
      <c r="F36" s="8" t="n">
        <v>6.4</v>
      </c>
      <c r="G36" s="8" t="n">
        <v>4.28</v>
      </c>
      <c r="H36" s="8" t="n">
        <v>5.9</v>
      </c>
      <c r="I36" s="8" t="n">
        <v>6.04</v>
      </c>
      <c r="J36" s="8" t="n">
        <v>4.6</v>
      </c>
      <c r="K36" s="9">
        <f>AVERAGE(B36:J36)</f>
        <v/>
      </c>
    </row>
    <row r="37">
      <c r="A37" s="5" t="inlineStr">
        <is>
          <t>&gt;=2</t>
        </is>
      </c>
      <c r="B37" s="8" t="n">
        <v>0</v>
      </c>
      <c r="C37" s="8" t="n">
        <v>4.8</v>
      </c>
      <c r="D37" s="8" t="n">
        <v>8.32</v>
      </c>
      <c r="E37" s="8" t="n">
        <v>6.53</v>
      </c>
      <c r="F37" s="8" t="n">
        <v>7.4</v>
      </c>
      <c r="G37" s="8" t="n">
        <v>5.14</v>
      </c>
      <c r="H37" s="8" t="n">
        <v>7.42</v>
      </c>
      <c r="I37" s="8" t="n">
        <v>7.95</v>
      </c>
      <c r="J37" s="8" t="n">
        <v>5.75</v>
      </c>
      <c r="K37" s="9">
        <f>AVERAGE(B37:J37)</f>
        <v/>
      </c>
    </row>
    <row r="38">
      <c r="A38" s="5" t="inlineStr">
        <is>
          <t>&gt;=3</t>
        </is>
      </c>
      <c r="B38" s="8" t="n">
        <v>0</v>
      </c>
      <c r="C38" s="8" t="n">
        <v>6.74</v>
      </c>
      <c r="D38" s="8" t="n">
        <v>9.460000000000001</v>
      </c>
      <c r="E38" s="8" t="n">
        <v>6.94</v>
      </c>
      <c r="F38" s="8" t="n">
        <v>7.13</v>
      </c>
      <c r="G38" s="8" t="n">
        <v>5.24</v>
      </c>
      <c r="H38" s="8" t="n">
        <v>7.89</v>
      </c>
      <c r="I38" s="8" t="n">
        <v>8.220000000000001</v>
      </c>
      <c r="J38" s="8" t="n">
        <v>5.75</v>
      </c>
      <c r="K38" s="9">
        <f>AVERAGE(B38:J38)</f>
        <v/>
      </c>
    </row>
    <row r="40">
      <c r="A40" s="3" t="inlineStr">
        <is>
          <t>Scope months (avg)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2" t="n"/>
    </row>
    <row r="41">
      <c r="A41" s="5" t="inlineStr">
        <is>
          <t>Threshold</t>
        </is>
      </c>
      <c r="B41" s="5" t="inlineStr">
        <is>
          <t>0-1</t>
        </is>
      </c>
      <c r="C41" s="5" t="inlineStr">
        <is>
          <t>1-2</t>
        </is>
      </c>
      <c r="D41" s="5" t="inlineStr">
        <is>
          <t>2-3</t>
        </is>
      </c>
      <c r="E41" s="5" t="inlineStr">
        <is>
          <t>3-4</t>
        </is>
      </c>
      <c r="F41" s="5" t="inlineStr">
        <is>
          <t>4-5</t>
        </is>
      </c>
      <c r="G41" s="5" t="inlineStr">
        <is>
          <t>5-6</t>
        </is>
      </c>
      <c r="H41" s="5" t="inlineStr">
        <is>
          <t>6-7</t>
        </is>
      </c>
      <c r="I41" s="5" t="inlineStr">
        <is>
          <t>7-8</t>
        </is>
      </c>
      <c r="J41" s="5" t="inlineStr">
        <is>
          <t>8-9</t>
        </is>
      </c>
      <c r="K41" s="5" t="inlineStr">
        <is>
          <t>AVG</t>
        </is>
      </c>
    </row>
    <row r="42">
      <c r="A42" s="5" t="inlineStr">
        <is>
          <t>&gt;=1</t>
        </is>
      </c>
      <c r="B42" s="8" t="n">
        <v>4.89</v>
      </c>
      <c r="C42" s="8" t="n">
        <v>2.96</v>
      </c>
      <c r="D42" s="8" t="n">
        <v>2.66</v>
      </c>
      <c r="E42" s="8" t="n">
        <v>3.07</v>
      </c>
      <c r="F42" s="8" t="n">
        <v>3.85</v>
      </c>
      <c r="G42" s="8" t="n">
        <v>3.6</v>
      </c>
      <c r="H42" s="8" t="n">
        <v>5.69</v>
      </c>
      <c r="I42" s="8" t="n">
        <v>3.16</v>
      </c>
      <c r="J42" s="8" t="n">
        <v>2.66</v>
      </c>
      <c r="K42" s="9">
        <f>AVERAGE(B42:J42)</f>
        <v/>
      </c>
    </row>
    <row r="43">
      <c r="A43" s="5" t="inlineStr">
        <is>
          <t>&gt;=2</t>
        </is>
      </c>
      <c r="B43" s="8" t="n">
        <v>6.78</v>
      </c>
      <c r="C43" s="8" t="n">
        <v>4.24</v>
      </c>
      <c r="D43" s="8" t="n">
        <v>4.19</v>
      </c>
      <c r="E43" s="8" t="n">
        <v>3.67</v>
      </c>
      <c r="F43" s="8" t="n">
        <v>4.39</v>
      </c>
      <c r="G43" s="8" t="n">
        <v>4.25</v>
      </c>
      <c r="H43" s="8" t="n">
        <v>7.07</v>
      </c>
      <c r="I43" s="8" t="n">
        <v>4.08</v>
      </c>
      <c r="J43" s="8" t="n">
        <v>3.26</v>
      </c>
      <c r="K43" s="9">
        <f>AVERAGE(B43:J43)</f>
        <v/>
      </c>
    </row>
    <row r="44">
      <c r="A44" s="5" t="inlineStr">
        <is>
          <t>&gt;=3</t>
        </is>
      </c>
      <c r="B44" s="8" t="n">
        <v>6.78</v>
      </c>
      <c r="C44" s="8" t="n">
        <v>5.86</v>
      </c>
      <c r="D44" s="8" t="n">
        <v>5.06</v>
      </c>
      <c r="E44" s="8" t="n">
        <v>4.18</v>
      </c>
      <c r="F44" s="8" t="n">
        <v>4.74</v>
      </c>
      <c r="G44" s="8" t="n">
        <v>4.32</v>
      </c>
      <c r="H44" s="8" t="n">
        <v>8.029999999999999</v>
      </c>
      <c r="I44" s="8" t="n">
        <v>4.23</v>
      </c>
      <c r="J44" s="8" t="n">
        <v>3.26</v>
      </c>
      <c r="K44" s="9">
        <f>AVERAGE(B44:J44)</f>
        <v/>
      </c>
    </row>
    <row r="46">
      <c r="A46" s="3" t="inlineStr">
        <is>
          <t>Baseline MT/day Assumption (Hardcoded)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2" t="n"/>
    </row>
    <row r="47">
      <c r="A47" s="5" t="inlineStr">
        <is>
          <t>Threshold</t>
        </is>
      </c>
      <c r="B47" s="5" t="inlineStr">
        <is>
          <t>0-1</t>
        </is>
      </c>
      <c r="C47" s="5" t="inlineStr">
        <is>
          <t>1-2</t>
        </is>
      </c>
      <c r="D47" s="5" t="inlineStr">
        <is>
          <t>2-3</t>
        </is>
      </c>
      <c r="E47" s="5" t="inlineStr">
        <is>
          <t>3-4</t>
        </is>
      </c>
      <c r="F47" s="5" t="inlineStr">
        <is>
          <t>4-5</t>
        </is>
      </c>
      <c r="G47" s="5" t="inlineStr">
        <is>
          <t>5-6</t>
        </is>
      </c>
      <c r="H47" s="5" t="inlineStr">
        <is>
          <t>6-7</t>
        </is>
      </c>
      <c r="I47" s="5" t="inlineStr">
        <is>
          <t>7-8</t>
        </is>
      </c>
      <c r="J47" s="5" t="inlineStr">
        <is>
          <t>8-9</t>
        </is>
      </c>
      <c r="K47" s="5" t="inlineStr">
        <is>
          <t>AVG</t>
        </is>
      </c>
    </row>
    <row r="48">
      <c r="A48" s="5" t="inlineStr">
        <is>
          <t>&gt;=1</t>
        </is>
      </c>
      <c r="B48" s="8" t="n">
        <v>0.5</v>
      </c>
      <c r="C48" s="8" t="n">
        <v>1.5</v>
      </c>
      <c r="D48" s="8" t="n">
        <v>2.5</v>
      </c>
      <c r="E48" s="8" t="n">
        <v>3.5</v>
      </c>
      <c r="F48" s="8" t="n">
        <v>4.5</v>
      </c>
      <c r="G48" s="8" t="n">
        <v>5.5</v>
      </c>
      <c r="H48" s="8" t="n">
        <v>6.5</v>
      </c>
      <c r="I48" s="8" t="n">
        <v>7.5</v>
      </c>
      <c r="J48" s="8" t="n">
        <v>8.5</v>
      </c>
      <c r="K48" s="9">
        <f>AVERAGE(B48:J48)</f>
        <v/>
      </c>
    </row>
    <row r="49">
      <c r="A49" s="5" t="inlineStr">
        <is>
          <t>&gt;=2</t>
        </is>
      </c>
      <c r="B49" s="8" t="n">
        <v>0.5</v>
      </c>
      <c r="C49" s="8" t="n">
        <v>1.5</v>
      </c>
      <c r="D49" s="8" t="n">
        <v>2.5</v>
      </c>
      <c r="E49" s="8" t="n">
        <v>3.5</v>
      </c>
      <c r="F49" s="8" t="n">
        <v>4.5</v>
      </c>
      <c r="G49" s="8" t="n">
        <v>5.5</v>
      </c>
      <c r="H49" s="8" t="n">
        <v>6.5</v>
      </c>
      <c r="I49" s="8" t="n">
        <v>7.5</v>
      </c>
      <c r="J49" s="8" t="n">
        <v>8.5</v>
      </c>
      <c r="K49" s="9">
        <f>AVERAGE(B49:J49)</f>
        <v/>
      </c>
    </row>
    <row r="50">
      <c r="A50" s="5" t="inlineStr">
        <is>
          <t>&gt;=3</t>
        </is>
      </c>
      <c r="B50" s="8" t="n">
        <v>0.5</v>
      </c>
      <c r="C50" s="8" t="n">
        <v>1.5</v>
      </c>
      <c r="D50" s="8" t="n">
        <v>2.5</v>
      </c>
      <c r="E50" s="8" t="n">
        <v>3.5</v>
      </c>
      <c r="F50" s="8" t="n">
        <v>4.5</v>
      </c>
      <c r="G50" s="8" t="n">
        <v>5.5</v>
      </c>
      <c r="H50" s="8" t="n">
        <v>6.5</v>
      </c>
      <c r="I50" s="8" t="n">
        <v>7.5</v>
      </c>
      <c r="J50" s="8" t="n">
        <v>8.5</v>
      </c>
      <c r="K50" s="9">
        <f>AVERAGE(B50:J50)</f>
        <v/>
      </c>
    </row>
  </sheetData>
  <mergeCells count="10">
    <mergeCell ref="A22:K22"/>
    <mergeCell ref="A34:K34"/>
    <mergeCell ref="A4:K4"/>
    <mergeCell ref="A2:K2"/>
    <mergeCell ref="A16:K16"/>
    <mergeCell ref="A10:K10"/>
    <mergeCell ref="A28:K28"/>
    <mergeCell ref="A46:K46"/>
    <mergeCell ref="A1:K1"/>
    <mergeCell ref="A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24" customWidth="1" min="2" max="2"/>
  </cols>
  <sheetData>
    <row r="1">
      <c r="A1" s="1" t="inlineStr">
        <is>
          <t>Fleet Efficiency (Formula Driven)</t>
        </is>
      </c>
    </row>
    <row r="3">
      <c r="A3" s="3" t="inlineStr">
        <is>
          <t>Section A - Fleet Coverage</t>
        </is>
      </c>
      <c r="B3" s="22" t="n"/>
    </row>
    <row r="4">
      <c r="A4" s="10" t="inlineStr">
        <is>
          <t>Gangs &gt;=1</t>
        </is>
      </c>
      <c r="B4" s="11">
        <f>'1. Raw Inputs'!$K$6</f>
        <v/>
      </c>
    </row>
    <row r="5">
      <c r="A5" s="10" t="inlineStr">
        <is>
          <t>Gangs &gt;=2</t>
        </is>
      </c>
      <c r="B5" s="11">
        <f>'1. Raw Inputs'!$K$7</f>
        <v/>
      </c>
    </row>
    <row r="6">
      <c r="A6" s="10" t="inlineStr">
        <is>
          <t>Gangs &gt;=3</t>
        </is>
      </c>
      <c r="B6" s="11">
        <f>'1. Raw Inputs'!$K$8</f>
        <v/>
      </c>
    </row>
    <row r="7">
      <c r="A7" s="10" t="inlineStr">
        <is>
          <t>Gangs Dropped (&gt;=1 minus &gt;=3)</t>
        </is>
      </c>
      <c r="B7" s="12">
        <f>B4-B6</f>
        <v/>
      </c>
    </row>
    <row r="8">
      <c r="A8" s="10" t="inlineStr">
        <is>
          <t>% of Fleet Removed</t>
        </is>
      </c>
      <c r="B8" s="13">
        <f>IFERROR(B7/B4,0)</f>
        <v/>
      </c>
    </row>
    <row r="10">
      <c r="A10" s="3" t="inlineStr">
        <is>
          <t>Section B - Throughput</t>
        </is>
      </c>
      <c r="B10" s="22" t="n"/>
    </row>
    <row r="11">
      <c r="A11" s="10" t="inlineStr">
        <is>
          <t>Total MT &gt;=1</t>
        </is>
      </c>
      <c r="B11" s="14">
        <f>'1. Raw Inputs'!$K$12</f>
        <v/>
      </c>
    </row>
    <row r="12">
      <c r="A12" s="10" t="inlineStr">
        <is>
          <t>Total MT &gt;=2</t>
        </is>
      </c>
      <c r="B12" s="14">
        <f>'1. Raw Inputs'!$K$13</f>
        <v/>
      </c>
    </row>
    <row r="13">
      <c r="A13" s="10" t="inlineStr">
        <is>
          <t>Total MT &gt;=3</t>
        </is>
      </c>
      <c r="B13" s="14">
        <f>'1. Raw Inputs'!$K$14</f>
        <v/>
      </c>
    </row>
    <row r="14">
      <c r="A14" s="10" t="inlineStr">
        <is>
          <t>MT per Gang &gt;=1</t>
        </is>
      </c>
      <c r="B14" s="15">
        <f>IFERROR(B11/B4,0)</f>
        <v/>
      </c>
    </row>
    <row r="15">
      <c r="A15" s="10" t="inlineStr">
        <is>
          <t>MT per Gang &gt;=2</t>
        </is>
      </c>
      <c r="B15" s="15">
        <f>IFERROR(B12/B5,0)</f>
        <v/>
      </c>
    </row>
    <row r="16">
      <c r="A16" s="10" t="inlineStr">
        <is>
          <t>MT per Gang &gt;=3</t>
        </is>
      </c>
      <c r="B16" s="15">
        <f>IFERROR(B13/B6,0)</f>
        <v/>
      </c>
    </row>
    <row r="17">
      <c r="A17" s="10" t="inlineStr">
        <is>
          <t>Efficiency Ratio (MT/gang &gt;=3 vs &gt;=1)</t>
        </is>
      </c>
      <c r="B17" s="15">
        <f>IFERROR(B16/B14,0)</f>
        <v/>
      </c>
    </row>
    <row r="19">
      <c r="A19" s="3" t="inlineStr">
        <is>
          <t>Section C - Loss and Outperformance</t>
        </is>
      </c>
      <c r="B19" s="22" t="n"/>
    </row>
    <row r="20">
      <c r="A20" s="10" t="inlineStr">
        <is>
          <t>MT Lost (&gt;=1 minus &gt;=3)</t>
        </is>
      </c>
      <c r="B20" s="15">
        <f>B11-B13</f>
        <v/>
      </c>
    </row>
    <row r="21">
      <c r="A21" s="10" t="inlineStr">
        <is>
          <t>% MT Lost</t>
        </is>
      </c>
      <c r="B21" s="13">
        <f>IFERROR(B20/B11,0)</f>
        <v/>
      </c>
    </row>
    <row r="22">
      <c r="A22" s="10" t="inlineStr">
        <is>
          <t>MT per Dropped Gang</t>
        </is>
      </c>
      <c r="B22" s="15">
        <f>IFERROR(B20/B7,0)</f>
        <v/>
      </c>
    </row>
    <row r="23">
      <c r="A23" s="10" t="inlineStr">
        <is>
          <t>Retained Outperformance</t>
        </is>
      </c>
      <c r="B23" s="15">
        <f>IFERROR(B16/B22,0)</f>
        <v/>
      </c>
    </row>
    <row r="25">
      <c r="A25" s="3" t="inlineStr">
        <is>
          <t>Summary KPIs</t>
        </is>
      </c>
      <c r="B25" s="22" t="n"/>
    </row>
    <row r="26">
      <c r="A26" s="10" t="inlineStr">
        <is>
          <t>% Fleet Removed</t>
        </is>
      </c>
      <c r="B26" s="13">
        <f>B8</f>
        <v/>
      </c>
    </row>
    <row r="27">
      <c r="A27" s="10" t="inlineStr">
        <is>
          <t>% MT from Marginal Gangs</t>
        </is>
      </c>
      <c r="B27" s="13">
        <f>B21</f>
        <v/>
      </c>
    </row>
    <row r="28">
      <c r="A28" s="10" t="inlineStr">
        <is>
          <t>Deployment Inefficiency Ratio</t>
        </is>
      </c>
      <c r="B28" s="15">
        <f>IFERROR(B26/B27,0)</f>
        <v/>
      </c>
    </row>
    <row r="29">
      <c r="A29" s="10" t="inlineStr">
        <is>
          <t>MT/gang retained</t>
        </is>
      </c>
      <c r="B29" s="15">
        <f>B16</f>
        <v/>
      </c>
    </row>
    <row r="30">
      <c r="A30" s="10" t="inlineStr">
        <is>
          <t>MT/gang dropped</t>
        </is>
      </c>
      <c r="B30" s="15">
        <f>B22</f>
        <v/>
      </c>
    </row>
    <row r="31">
      <c r="A31" s="10" t="inlineStr">
        <is>
          <t>Retained Outperformance</t>
        </is>
      </c>
      <c r="B31" s="15">
        <f>B23</f>
        <v/>
      </c>
    </row>
  </sheetData>
  <mergeCells count="5">
    <mergeCell ref="A25:B25"/>
    <mergeCell ref="A19:B19"/>
    <mergeCell ref="A10:B10"/>
    <mergeCell ref="A1:B1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Idle Recovery (Deployment-Month Basis)</t>
        </is>
      </c>
    </row>
    <row r="3">
      <c r="A3" s="3" t="inlineStr">
        <is>
          <t>Section A - Inputs (&gt;=3, pulled from Sheet 1)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2" t="n"/>
    </row>
    <row r="4">
      <c r="A4" s="5" t="inlineStr">
        <is>
          <t>Metric</t>
        </is>
      </c>
      <c r="B4" s="5" t="inlineStr">
        <is>
          <t>0-1</t>
        </is>
      </c>
      <c r="C4" s="5" t="inlineStr">
        <is>
          <t>1-2</t>
        </is>
      </c>
      <c r="D4" s="5" t="inlineStr">
        <is>
          <t>2-3</t>
        </is>
      </c>
      <c r="E4" s="5" t="inlineStr">
        <is>
          <t>3-4</t>
        </is>
      </c>
      <c r="F4" s="5" t="inlineStr">
        <is>
          <t>4-5</t>
        </is>
      </c>
      <c r="G4" s="5" t="inlineStr">
        <is>
          <t>5-6</t>
        </is>
      </c>
      <c r="H4" s="5" t="inlineStr">
        <is>
          <t>6-7</t>
        </is>
      </c>
      <c r="I4" s="5" t="inlineStr">
        <is>
          <t>7-8</t>
        </is>
      </c>
      <c r="J4" s="5" t="inlineStr">
        <is>
          <t>8-9</t>
        </is>
      </c>
      <c r="K4" s="5" t="inlineStr">
        <is>
          <t>TOTAL/AVG</t>
        </is>
      </c>
    </row>
    <row r="5">
      <c r="A5" s="10" t="inlineStr">
        <is>
          <t>Gang Count (&gt;=3)</t>
        </is>
      </c>
      <c r="B5" s="11">
        <f>'1. Raw Inputs'!$B$8</f>
        <v/>
      </c>
      <c r="C5" s="11">
        <f>'1. Raw Inputs'!$C$8</f>
        <v/>
      </c>
      <c r="D5" s="11">
        <f>'1. Raw Inputs'!$D$8</f>
        <v/>
      </c>
      <c r="E5" s="11">
        <f>'1. Raw Inputs'!$E$8</f>
        <v/>
      </c>
      <c r="F5" s="11">
        <f>'1. Raw Inputs'!$F$8</f>
        <v/>
      </c>
      <c r="G5" s="11">
        <f>'1. Raw Inputs'!$G$8</f>
        <v/>
      </c>
      <c r="H5" s="11">
        <f>'1. Raw Inputs'!$H$8</f>
        <v/>
      </c>
      <c r="I5" s="11">
        <f>'1. Raw Inputs'!$I$8</f>
        <v/>
      </c>
      <c r="J5" s="11">
        <f>'1. Raw Inputs'!$J$8</f>
        <v/>
      </c>
      <c r="K5" s="12">
        <f>SUM(B5:J5)</f>
        <v/>
      </c>
    </row>
    <row r="6">
      <c r="A6" s="10" t="inlineStr">
        <is>
          <t>Deployment Months (&gt;=3)</t>
        </is>
      </c>
      <c r="B6" s="14">
        <f>'1. Raw Inputs'!$B$20</f>
        <v/>
      </c>
      <c r="C6" s="14">
        <f>'1. Raw Inputs'!$C$20</f>
        <v/>
      </c>
      <c r="D6" s="14">
        <f>'1. Raw Inputs'!$D$20</f>
        <v/>
      </c>
      <c r="E6" s="14">
        <f>'1. Raw Inputs'!$E$20</f>
        <v/>
      </c>
      <c r="F6" s="14">
        <f>'1. Raw Inputs'!$F$20</f>
        <v/>
      </c>
      <c r="G6" s="14">
        <f>'1. Raw Inputs'!$G$20</f>
        <v/>
      </c>
      <c r="H6" s="14">
        <f>'1. Raw Inputs'!$H$20</f>
        <v/>
      </c>
      <c r="I6" s="14">
        <f>'1. Raw Inputs'!$I$20</f>
        <v/>
      </c>
      <c r="J6" s="14">
        <f>'1. Raw Inputs'!$J$20</f>
        <v/>
      </c>
      <c r="K6" s="15">
        <f>AVERAGE(B6:J6)</f>
        <v/>
      </c>
    </row>
    <row r="7">
      <c r="A7" s="10" t="inlineStr">
        <is>
          <t>Idle Days / Deployment Month (&gt;=3)</t>
        </is>
      </c>
      <c r="B7" s="14">
        <f>'1. Raw Inputs'!$B$26</f>
        <v/>
      </c>
      <c r="C7" s="14">
        <f>'1. Raw Inputs'!$C$26</f>
        <v/>
      </c>
      <c r="D7" s="14">
        <f>'1. Raw Inputs'!$D$26</f>
        <v/>
      </c>
      <c r="E7" s="14">
        <f>'1. Raw Inputs'!$E$26</f>
        <v/>
      </c>
      <c r="F7" s="14">
        <f>'1. Raw Inputs'!$F$26</f>
        <v/>
      </c>
      <c r="G7" s="14">
        <f>'1. Raw Inputs'!$G$26</f>
        <v/>
      </c>
      <c r="H7" s="14">
        <f>'1. Raw Inputs'!$H$26</f>
        <v/>
      </c>
      <c r="I7" s="14">
        <f>'1. Raw Inputs'!$I$26</f>
        <v/>
      </c>
      <c r="J7" s="14">
        <f>'1. Raw Inputs'!$J$26</f>
        <v/>
      </c>
      <c r="K7" s="15">
        <f>AVERAGE(B7:J7)</f>
        <v/>
      </c>
    </row>
    <row r="8">
      <c r="A8" s="10" t="inlineStr">
        <is>
          <t>Baseline MT/day</t>
        </is>
      </c>
      <c r="B8" s="14">
        <f>'1. Raw Inputs'!$B$50</f>
        <v/>
      </c>
      <c r="C8" s="14">
        <f>'1. Raw Inputs'!$C$50</f>
        <v/>
      </c>
      <c r="D8" s="14">
        <f>'1. Raw Inputs'!$D$50</f>
        <v/>
      </c>
      <c r="E8" s="14">
        <f>'1. Raw Inputs'!$E$50</f>
        <v/>
      </c>
      <c r="F8" s="14">
        <f>'1. Raw Inputs'!$F$50</f>
        <v/>
      </c>
      <c r="G8" s="14">
        <f>'1. Raw Inputs'!$G$50</f>
        <v/>
      </c>
      <c r="H8" s="14">
        <f>'1. Raw Inputs'!$H$50</f>
        <v/>
      </c>
      <c r="I8" s="14">
        <f>'1. Raw Inputs'!$I$50</f>
        <v/>
      </c>
      <c r="J8" s="14">
        <f>'1. Raw Inputs'!$J$50</f>
        <v/>
      </c>
      <c r="K8" s="15">
        <f>AVERAGE(B8:J8)</f>
        <v/>
      </c>
    </row>
    <row r="10">
      <c r="A10" s="3" t="inlineStr">
        <is>
          <t>Section B - Recovery Calculation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2" t="n"/>
    </row>
    <row r="11">
      <c r="A11" s="10" t="inlineStr">
        <is>
          <t>Total Idle Days</t>
        </is>
      </c>
      <c r="B11" s="15">
        <f>B5*B6*B7</f>
        <v/>
      </c>
      <c r="C11" s="15">
        <f>C5*C6*C7</f>
        <v/>
      </c>
      <c r="D11" s="15">
        <f>D5*D6*D7</f>
        <v/>
      </c>
      <c r="E11" s="15">
        <f>E5*E6*E7</f>
        <v/>
      </c>
      <c r="F11" s="15">
        <f>F5*F6*F7</f>
        <v/>
      </c>
      <c r="G11" s="15">
        <f>G5*G6*G7</f>
        <v/>
      </c>
      <c r="H11" s="15">
        <f>H5*H6*H7</f>
        <v/>
      </c>
      <c r="I11" s="15">
        <f>I5*I6*I7</f>
        <v/>
      </c>
      <c r="J11" s="15">
        <f>J5*J6*J7</f>
        <v/>
      </c>
      <c r="K11" s="16">
        <f>SUM(B11:J11)</f>
        <v/>
      </c>
    </row>
    <row r="12">
      <c r="A12" s="10" t="inlineStr">
        <is>
          <t>Recoverable MT</t>
        </is>
      </c>
      <c r="B12" s="15">
        <f>B11*B8</f>
        <v/>
      </c>
      <c r="C12" s="15">
        <f>C11*C8</f>
        <v/>
      </c>
      <c r="D12" s="15">
        <f>D11*D8</f>
        <v/>
      </c>
      <c r="E12" s="15">
        <f>E11*E8</f>
        <v/>
      </c>
      <c r="F12" s="15">
        <f>F11*F8</f>
        <v/>
      </c>
      <c r="G12" s="15">
        <f>G11*G8</f>
        <v/>
      </c>
      <c r="H12" s="15">
        <f>H11*H8</f>
        <v/>
      </c>
      <c r="I12" s="15">
        <f>I11*I8</f>
        <v/>
      </c>
      <c r="J12" s="15">
        <f>J11*J8</f>
        <v/>
      </c>
      <c r="K12" s="16">
        <f>SUM(B12:J12)</f>
        <v/>
      </c>
    </row>
    <row r="14">
      <c r="A14" s="3" t="inlineStr">
        <is>
          <t>Section C - Idle Gap Analysis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2" t="n"/>
    </row>
    <row r="15">
      <c r="A15" s="10" t="inlineStr">
        <is>
          <t>4-5 Bucket Idle Rate (&gt;=3)</t>
        </is>
      </c>
      <c r="B15" s="15">
        <f>F7</f>
        <v/>
      </c>
    </row>
    <row r="16">
      <c r="A16" s="10" t="inlineStr">
        <is>
          <t>6-7 Bucket Idle Rate (&gt;=3)</t>
        </is>
      </c>
      <c r="B16" s="15">
        <f>H7</f>
        <v/>
      </c>
    </row>
    <row r="17">
      <c r="A17" s="10" t="inlineStr">
        <is>
          <t>Idle Rate Gap (4-5 minus 6-7)</t>
        </is>
      </c>
      <c r="B17" s="15">
        <f>MAX(B15-B16,0)</f>
        <v/>
      </c>
    </row>
    <row r="18">
      <c r="A18" s="10" t="inlineStr">
        <is>
          <t>Targeted Recovery MT (4-5 closes to 6-7 benchmark)</t>
        </is>
      </c>
      <c r="B18" s="15">
        <f>B17*F5*F6*F8</f>
        <v/>
      </c>
    </row>
    <row r="20">
      <c r="A20" s="3" t="inlineStr">
        <is>
          <t>Section D - Coverage Test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2" t="n"/>
    </row>
    <row r="21">
      <c r="A21" s="10" t="inlineStr">
        <is>
          <t>MT Lost (from Sheet 2)</t>
        </is>
      </c>
      <c r="B21" s="14">
        <f>'2. Fleet Efficiency'!$B$20</f>
        <v/>
      </c>
    </row>
    <row r="22">
      <c r="A22" s="10" t="inlineStr">
        <is>
          <t>Recoverable MT (Section B total)</t>
        </is>
      </c>
      <c r="B22" s="15">
        <f>K12</f>
        <v/>
      </c>
    </row>
    <row r="23">
      <c r="A23" s="10" t="inlineStr">
        <is>
          <t>Net Coverage (Recoverable - Lost)</t>
        </is>
      </c>
      <c r="B23" s="15">
        <f>B22-B21</f>
        <v/>
      </c>
    </row>
    <row r="24">
      <c r="A24" s="10" t="inlineStr">
        <is>
          <t>Coverage Ratio</t>
        </is>
      </c>
      <c r="B24" s="13">
        <f>IFERROR(B22/B21,0)</f>
        <v/>
      </c>
    </row>
    <row r="25">
      <c r="A25" s="10" t="inlineStr">
        <is>
          <t>Feasibility</t>
        </is>
      </c>
      <c r="B25" s="17">
        <f>IF(B24&gt;=1,"FULL SUBSTITUTION POSSIBLE","PARTIAL - gap remains")</f>
        <v/>
      </c>
    </row>
  </sheetData>
  <mergeCells count="5">
    <mergeCell ref="A20:K20"/>
    <mergeCell ref="A3:K3"/>
    <mergeCell ref="A10:K10"/>
    <mergeCell ref="A14:K14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2" customWidth="1" min="1" max="1"/>
    <col width="28" customWidth="1" min="2" max="2"/>
  </cols>
  <sheetData>
    <row r="1">
      <c r="A1" s="1" t="inlineStr">
        <is>
          <t>Leadership Summary</t>
        </is>
      </c>
    </row>
    <row r="3">
      <c r="A3" s="4" t="inlineStr">
        <is>
          <t>KPI</t>
        </is>
      </c>
      <c r="B3" s="4" t="inlineStr">
        <is>
          <t>Value</t>
        </is>
      </c>
    </row>
    <row r="4">
      <c r="A4" s="10" t="inlineStr">
        <is>
          <t>Total Gangs Deployed (&gt;=1)</t>
        </is>
      </c>
      <c r="B4" s="11">
        <f>'2. Fleet Efficiency'!$B$4</f>
        <v/>
      </c>
    </row>
    <row r="5">
      <c r="A5" s="10" t="inlineStr">
        <is>
          <t>Marginal Gangs (&lt;3 erections)</t>
        </is>
      </c>
      <c r="B5" s="11">
        <f>'2. Fleet Efficiency'!$B$7</f>
        <v/>
      </c>
    </row>
    <row r="6">
      <c r="A6" s="10" t="inlineStr">
        <is>
          <t>% of Fleet That Was Marginal</t>
        </is>
      </c>
      <c r="B6" s="18">
        <f>'2. Fleet Efficiency'!$B$8</f>
        <v/>
      </c>
    </row>
    <row r="7">
      <c r="A7" s="10" t="inlineStr">
        <is>
          <t>MT from Marginal Gangs</t>
        </is>
      </c>
      <c r="B7" s="14">
        <f>'2. Fleet Efficiency'!$B$20</f>
        <v/>
      </c>
    </row>
    <row r="8">
      <c r="A8" s="10" t="inlineStr">
        <is>
          <t>% of Total MT from Marginal Gangs</t>
        </is>
      </c>
      <c r="B8" s="18">
        <f>'2. Fleet Efficiency'!$B$21</f>
        <v/>
      </c>
    </row>
    <row r="9">
      <c r="A9" s="10" t="inlineStr">
        <is>
          <t>Deployment Inefficiency Ratio</t>
        </is>
      </c>
      <c r="B9" s="14">
        <f>'2. Fleet Efficiency'!$B$28</f>
        <v/>
      </c>
    </row>
    <row r="10">
      <c r="A10" s="10" t="inlineStr">
        <is>
          <t>MT/gang Retained (&gt;=3)</t>
        </is>
      </c>
      <c r="B10" s="14">
        <f>'2. Fleet Efficiency'!$B$16</f>
        <v/>
      </c>
    </row>
    <row r="11">
      <c r="A11" s="10" t="inlineStr">
        <is>
          <t>MT/gang Marginal (dropped)</t>
        </is>
      </c>
      <c r="B11" s="14">
        <f>'2. Fleet Efficiency'!$B$22</f>
        <v/>
      </c>
    </row>
    <row r="12">
      <c r="A12" s="10" t="inlineStr">
        <is>
          <t>Retained Outperformance</t>
        </is>
      </c>
      <c r="B12" s="14">
        <f>'2. Fleet Efficiency'!$B$23</f>
        <v/>
      </c>
    </row>
    <row r="13">
      <c r="A13" s="10" t="inlineStr">
        <is>
          <t>Total Idle MT Recoverable (productive &gt;=3 gangs, deployment-month basis)</t>
        </is>
      </c>
      <c r="B13" s="14">
        <f>'3. Idle Recovery'!$K$12</f>
        <v/>
      </c>
    </row>
    <row r="14">
      <c r="A14" s="10" t="inlineStr">
        <is>
          <t>Coverage Ratio (Idle Recovery vs MT Gap)</t>
        </is>
      </c>
      <c r="B14" s="18">
        <f>'3. Idle Recovery'!$B$24</f>
        <v/>
      </c>
    </row>
    <row r="15">
      <c r="A15" s="10" t="inlineStr">
        <is>
          <t>Targeted Recovery: MT recovered if 4-5 bucket closes to 6-7 benchmark</t>
        </is>
      </c>
      <c r="B15" s="14">
        <f>'3. Idle Recovery'!$B$18</f>
        <v/>
      </c>
    </row>
    <row r="18">
      <c r="A18" s="3" t="inlineStr">
        <is>
          <t>Slide Bullets (Manual)</t>
        </is>
      </c>
      <c r="B18" s="22" t="n"/>
    </row>
    <row r="19">
      <c r="A19" s="20" t="inlineStr">
        <is>
          <t>[BULLET 1]</t>
        </is>
      </c>
      <c r="B19" s="22" t="n"/>
    </row>
    <row r="20">
      <c r="A20" s="20" t="inlineStr">
        <is>
          <t>[BULLET 2]</t>
        </is>
      </c>
      <c r="B20" s="22" t="n"/>
    </row>
    <row r="21">
      <c r="A21" s="20" t="inlineStr">
        <is>
          <t>[BULLET 3]</t>
        </is>
      </c>
      <c r="B21" s="22" t="n"/>
    </row>
    <row r="22">
      <c r="A22" s="20" t="inlineStr">
        <is>
          <t>[BULLET 4]</t>
        </is>
      </c>
      <c r="B22" s="22" t="n"/>
    </row>
    <row r="23">
      <c r="A23" s="20" t="inlineStr">
        <is>
          <t>[BULLET 5]</t>
        </is>
      </c>
      <c r="B23" s="22" t="n"/>
    </row>
  </sheetData>
  <mergeCells count="7">
    <mergeCell ref="A20:B20"/>
    <mergeCell ref="A21:B21"/>
    <mergeCell ref="A19:B19"/>
    <mergeCell ref="A1:B1"/>
    <mergeCell ref="A23:B23"/>
    <mergeCell ref="A18:B18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4" customWidth="1" min="2" max="2"/>
    <col width="24" customWidth="1" min="3" max="3"/>
    <col width="24" customWidth="1" min="4" max="4"/>
    <col width="24" customWidth="1" min="5" max="5"/>
    <col width="26" customWidth="1" min="6" max="6"/>
    <col width="18" customWidth="1" min="7" max="7"/>
  </cols>
  <sheetData>
    <row r="1">
      <c r="A1" s="23" t="inlineStr">
        <is>
          <t>Idle Narrative (Deployment-Month Basis)</t>
        </is>
      </c>
      <c r="B1" s="23" t="n"/>
      <c r="C1" s="23" t="n"/>
      <c r="D1" s="23" t="n"/>
      <c r="E1" s="23" t="n"/>
      <c r="F1" s="23" t="n"/>
      <c r="G1" s="23" t="n"/>
    </row>
    <row r="2">
      <c r="A2" s="24" t="inlineStr">
        <is>
          <t>Live formulas pull from '1. Raw Inputs' (&gt;=3 rows: B8:J8, B20:J20, B26:J26, B50:J50).</t>
        </is>
      </c>
      <c r="B2" s="24" t="n"/>
      <c r="C2" s="24" t="n"/>
      <c r="D2" s="24" t="n"/>
      <c r="E2" s="24" t="n"/>
      <c r="F2" s="24" t="n"/>
      <c r="G2" s="24" t="n"/>
    </row>
    <row r="4">
      <c r="A4" s="25" t="inlineStr">
        <is>
          <t>Section A - Assumptions</t>
        </is>
      </c>
      <c r="B4" s="25" t="n"/>
      <c r="C4" s="25" t="n"/>
      <c r="D4" s="25" t="n"/>
      <c r="E4" s="25" t="n"/>
      <c r="F4" s="25" t="n"/>
      <c r="G4" s="25" t="n"/>
    </row>
    <row r="5">
      <c r="A5" s="26" t="inlineStr">
        <is>
          <t>Controllable idle share (Others)</t>
        </is>
      </c>
      <c r="B5" s="27" t="n">
        <v>0.35</v>
      </c>
    </row>
    <row r="6">
      <c r="A6" s="26" t="inlineStr">
        <is>
          <t>Uncontrollable idle share (ROW)</t>
        </is>
      </c>
      <c r="B6" s="27">
        <f>1-B5</f>
        <v/>
      </c>
    </row>
    <row r="7">
      <c r="A7" s="26" t="inlineStr">
        <is>
          <t>Productivity band - Low (MT/day)</t>
        </is>
      </c>
      <c r="B7" s="28" t="inlineStr">
        <is>
          <t>0-4 (buckets 0-1, 1-2, 2-3, 3-4)</t>
        </is>
      </c>
    </row>
    <row r="8">
      <c r="A8" s="26" t="inlineStr">
        <is>
          <t>Productivity band - Mid (MT/day)</t>
        </is>
      </c>
      <c r="B8" s="28" t="inlineStr">
        <is>
          <t>4-6 (buckets 4-5, 5-6)</t>
        </is>
      </c>
    </row>
    <row r="9">
      <c r="A9" s="26" t="inlineStr">
        <is>
          <t>Productivity band - High (MT/day)</t>
        </is>
      </c>
      <c r="B9" s="28" t="inlineStr">
        <is>
          <t>6-10 (buckets 6-7, 7-8, 8-9)</t>
        </is>
      </c>
    </row>
    <row r="11">
      <c r="A11" s="25" t="inlineStr">
        <is>
          <t>Section B - Band-level Idle Summary (Threshold &gt;=3)</t>
        </is>
      </c>
      <c r="B11" s="25" t="n"/>
      <c r="C11" s="25" t="n"/>
      <c r="D11" s="25" t="n"/>
      <c r="E11" s="25" t="n"/>
      <c r="F11" s="25" t="n"/>
      <c r="G11" s="25" t="n"/>
    </row>
    <row r="12">
      <c r="A12" s="29" t="inlineStr">
        <is>
          <t>Band</t>
        </is>
      </c>
      <c r="B12" s="29" t="inlineStr">
        <is>
          <t>Total Gangs</t>
        </is>
      </c>
      <c r="C12" s="29" t="inlineStr">
        <is>
          <t>Weighted Avg Idle Days / Deployment Month</t>
        </is>
      </c>
      <c r="D12" s="29" t="inlineStr">
        <is>
          <t>Weighted Avg Deployment Months</t>
        </is>
      </c>
      <c r="E12" s="29" t="inlineStr">
        <is>
          <t>Weighted Avg Baseline MT/day</t>
        </is>
      </c>
      <c r="F12" s="29" t="inlineStr">
        <is>
          <t>Total Idle Days in Scope</t>
        </is>
      </c>
      <c r="G12" s="29" t="inlineStr">
        <is>
          <t>Idle Index vs Low</t>
        </is>
      </c>
    </row>
    <row r="13">
      <c r="A13" s="29" t="inlineStr">
        <is>
          <t>Low</t>
        </is>
      </c>
      <c r="B13" s="30">
        <f>SUM('1. Raw Inputs'!B8:E8)</f>
        <v/>
      </c>
      <c r="C13" s="31">
        <f>IFERROR(SUMPRODUCT('1. Raw Inputs'!B8:E8,'1. Raw Inputs'!B26:E26)/B13,0)</f>
        <v/>
      </c>
      <c r="D13" s="31">
        <f>IFERROR(SUMPRODUCT('1. Raw Inputs'!B8:E8,'1. Raw Inputs'!B20:E20)/B13,0)</f>
        <v/>
      </c>
      <c r="E13" s="31">
        <f>IFERROR(SUMPRODUCT('1. Raw Inputs'!B8:E8,'1. Raw Inputs'!B50:E50)/B13,0)</f>
        <v/>
      </c>
      <c r="F13" s="31">
        <f>SUMPRODUCT('1. Raw Inputs'!B8:E8,'1. Raw Inputs'!B26:E26,'1. Raw Inputs'!B20:E20)</f>
        <v/>
      </c>
      <c r="G13" s="32">
        <f>1</f>
        <v/>
      </c>
    </row>
    <row r="14">
      <c r="A14" s="33" t="inlineStr">
        <is>
          <t>Mid</t>
        </is>
      </c>
      <c r="B14" s="34">
        <f>SUM('1. Raw Inputs'!F8:G8)</f>
        <v/>
      </c>
      <c r="C14" s="35">
        <f>IFERROR(SUMPRODUCT('1. Raw Inputs'!F8:G8,'1. Raw Inputs'!F26:G26)/B14,0)</f>
        <v/>
      </c>
      <c r="D14" s="35">
        <f>IFERROR(SUMPRODUCT('1. Raw Inputs'!F8:G8,'1. Raw Inputs'!F20:G20)/B14,0)</f>
        <v/>
      </c>
      <c r="E14" s="35">
        <f>IFERROR(SUMPRODUCT('1. Raw Inputs'!F8:G8,'1. Raw Inputs'!F50:G50)/B14,0)</f>
        <v/>
      </c>
      <c r="F14" s="35">
        <f>SUMPRODUCT('1. Raw Inputs'!F8:G8,'1. Raw Inputs'!F26:G26,'1. Raw Inputs'!F20:G20)</f>
        <v/>
      </c>
      <c r="G14" s="36">
        <f>IFERROR(C14/$C$13,0)</f>
        <v/>
      </c>
    </row>
    <row r="15">
      <c r="A15" s="33" t="inlineStr">
        <is>
          <t>High</t>
        </is>
      </c>
      <c r="B15" s="34">
        <f>SUM('1. Raw Inputs'!H8:J8)</f>
        <v/>
      </c>
      <c r="C15" s="35">
        <f>IFERROR(SUMPRODUCT('1. Raw Inputs'!H8:J8,'1. Raw Inputs'!H26:J26)/B15,0)</f>
        <v/>
      </c>
      <c r="D15" s="35">
        <f>IFERROR(SUMPRODUCT('1. Raw Inputs'!H8:J8,'1. Raw Inputs'!H20:J20)/B15,0)</f>
        <v/>
      </c>
      <c r="E15" s="35">
        <f>IFERROR(SUMPRODUCT('1. Raw Inputs'!H8:J8,'1. Raw Inputs'!H50:J50)/B15,0)</f>
        <v/>
      </c>
      <c r="F15" s="35">
        <f>SUMPRODUCT('1. Raw Inputs'!H8:J8,'1. Raw Inputs'!H26:J26,'1. Raw Inputs'!H20:J20)</f>
        <v/>
      </c>
      <c r="G15" s="36">
        <f>IFERROR(C15/$C$13,0)</f>
        <v/>
      </c>
    </row>
    <row r="16">
      <c r="B16" s="29" t="inlineStr">
        <is>
          <t>Low</t>
        </is>
      </c>
      <c r="C16" s="29" t="inlineStr">
        <is>
          <t>Mid</t>
        </is>
      </c>
      <c r="D16" s="29" t="inlineStr">
        <is>
          <t>High</t>
        </is>
      </c>
    </row>
    <row r="17">
      <c r="A17" s="26" t="inlineStr">
        <is>
          <t>Idle Index = Band idle days / Low band idle days</t>
        </is>
      </c>
      <c r="B17" s="32">
        <f>1</f>
        <v/>
      </c>
      <c r="C17" s="32">
        <f>IFERROR(C14/$C$13,0)</f>
        <v/>
      </c>
      <c r="D17" s="32">
        <f>IFERROR(C15/$C$13,0)</f>
        <v/>
      </c>
    </row>
    <row r="19">
      <c r="A19" s="25" t="inlineStr">
        <is>
          <t>Section C - Controllable Idle Recovery for High-productivity Gangs</t>
        </is>
      </c>
      <c r="B19" s="25" t="n"/>
      <c r="C19" s="25" t="n"/>
      <c r="D19" s="25" t="n"/>
      <c r="E19" s="25" t="n"/>
      <c r="F19" s="25" t="n"/>
      <c r="G19" s="25" t="n"/>
    </row>
    <row r="20">
      <c r="A20" s="26" t="inlineStr">
        <is>
          <t>Total idle days in scope (High band)</t>
        </is>
      </c>
      <c r="B20" s="31">
        <f>F15</f>
        <v/>
      </c>
    </row>
    <row r="21">
      <c r="A21" s="26" t="inlineStr">
        <is>
          <t>Controllable share</t>
        </is>
      </c>
      <c r="B21" s="37">
        <f>B5</f>
        <v/>
      </c>
    </row>
    <row r="22">
      <c r="A22" s="26" t="inlineStr">
        <is>
          <t>Controllable idle days</t>
        </is>
      </c>
      <c r="B22" s="38">
        <f>B20*B21</f>
        <v/>
      </c>
    </row>
    <row r="23">
      <c r="A23" s="26" t="inlineStr">
        <is>
          <t>Baseline MT/day (High band weighted avg)</t>
        </is>
      </c>
      <c r="B23" s="31">
        <f>E15</f>
        <v/>
      </c>
    </row>
    <row r="24">
      <c r="A24" s="26" t="inlineStr">
        <is>
          <t>Recoverable MT (total, full scope)</t>
        </is>
      </c>
      <c r="B24" s="38">
        <f>B22*B23</f>
        <v/>
      </c>
    </row>
    <row r="25">
      <c r="A25" s="26" t="inlineStr">
        <is>
          <t>Weighted avg deployment months (High band)</t>
        </is>
      </c>
      <c r="B25" s="31">
        <f>D15</f>
        <v/>
      </c>
    </row>
    <row r="26">
      <c r="A26" s="26" t="inlineStr">
        <is>
          <t>Recoverable MT per month</t>
        </is>
      </c>
      <c r="B26" s="38">
        <f>IFERROR(B24/B25,0)</f>
        <v/>
      </c>
    </row>
    <row r="27">
      <c r="A27" s="26" t="inlineStr">
        <is>
          <t>Total High-band gangs</t>
        </is>
      </c>
      <c r="B27" s="30">
        <f>B15</f>
        <v/>
      </c>
    </row>
    <row r="28">
      <c r="A28" s="26" t="inlineStr">
        <is>
          <t>Recoverable MT per gang per month</t>
        </is>
      </c>
      <c r="B28" s="38">
        <f>IFERROR(B26/B27,0)</f>
        <v/>
      </c>
    </row>
    <row r="30">
      <c r="A30" s="25" t="inlineStr">
        <is>
          <t>Section D - Sensitivity (Controllable Share 20% to 50%)</t>
        </is>
      </c>
      <c r="B30" s="25" t="n"/>
      <c r="C30" s="25" t="n"/>
      <c r="D30" s="25" t="n"/>
    </row>
    <row r="31">
      <c r="A31" s="29" t="inlineStr">
        <is>
          <t>Controllable Share</t>
        </is>
      </c>
      <c r="B31" s="29" t="inlineStr">
        <is>
          <t>Controllable Idle Days</t>
        </is>
      </c>
      <c r="C31" s="29" t="inlineStr">
        <is>
          <t>Recoverable MT</t>
        </is>
      </c>
      <c r="D31" s="29" t="inlineStr">
        <is>
          <t>Recoverable MT / Month</t>
        </is>
      </c>
    </row>
    <row r="32">
      <c r="A32" s="27" t="n">
        <v>0.2</v>
      </c>
      <c r="B32" s="38">
        <f>A32*$B$20</f>
        <v/>
      </c>
      <c r="C32" s="38">
        <f>B32*$B$23</f>
        <v/>
      </c>
      <c r="D32" s="38">
        <f>IFERROR(C32/$B$25,0)</f>
        <v/>
      </c>
    </row>
    <row r="33">
      <c r="A33" s="27" t="n">
        <v>0.25</v>
      </c>
      <c r="B33" s="38">
        <f>A33*$B$20</f>
        <v/>
      </c>
      <c r="C33" s="38">
        <f>B33*$B$23</f>
        <v/>
      </c>
      <c r="D33" s="38">
        <f>IFERROR(C33/$B$25,0)</f>
        <v/>
      </c>
    </row>
    <row r="34">
      <c r="A34" s="27" t="n">
        <v>0.3</v>
      </c>
      <c r="B34" s="38">
        <f>A34*$B$20</f>
        <v/>
      </c>
      <c r="C34" s="38">
        <f>B34*$B$23</f>
        <v/>
      </c>
      <c r="D34" s="38">
        <f>IFERROR(C34/$B$25,0)</f>
        <v/>
      </c>
    </row>
    <row r="35">
      <c r="A35" s="27" t="n">
        <v>0.35</v>
      </c>
      <c r="B35" s="38">
        <f>A35*$B$20</f>
        <v/>
      </c>
      <c r="C35" s="38">
        <f>B35*$B$23</f>
        <v/>
      </c>
      <c r="D35" s="38">
        <f>IFERROR(C35/$B$25,0)</f>
        <v/>
      </c>
    </row>
    <row r="36">
      <c r="A36" s="27" t="n">
        <v>0.4</v>
      </c>
      <c r="B36" s="38">
        <f>A36*$B$20</f>
        <v/>
      </c>
      <c r="C36" s="38">
        <f>B36*$B$23</f>
        <v/>
      </c>
      <c r="D36" s="38">
        <f>IFERROR(C36/$B$25,0)</f>
        <v/>
      </c>
    </row>
    <row r="37">
      <c r="A37" s="27" t="n">
        <v>0.45</v>
      </c>
      <c r="B37" s="38">
        <f>A37*$B$20</f>
        <v/>
      </c>
      <c r="C37" s="38">
        <f>B37*$B$23</f>
        <v/>
      </c>
      <c r="D37" s="38">
        <f>IFERROR(C37/$B$25,0)</f>
        <v/>
      </c>
    </row>
    <row r="38">
      <c r="A38" s="27" t="n">
        <v>0.5</v>
      </c>
      <c r="B38" s="38">
        <f>A38*$B$20</f>
        <v/>
      </c>
      <c r="C38" s="38">
        <f>B38*$B$23</f>
        <v/>
      </c>
      <c r="D38" s="38">
        <f>IFERROR(C38/$B$25,0)</f>
        <v/>
      </c>
    </row>
    <row r="40">
      <c r="A40" s="25" t="inlineStr">
        <is>
          <t>Section E - Narrative Output (Live Formula Callouts)</t>
        </is>
      </c>
      <c r="B40" s="25" t="n"/>
      <c r="C40" s="25" t="n"/>
      <c r="D40" s="25" t="n"/>
    </row>
    <row r="41" ht="34" customHeight="1">
      <c r="A41" s="39">
        <f>"High-productivity gangs (6-10 MT/day) idle "&amp;TEXT($C$15,"0.0")&amp;" days/deployment-month - "&amp;TEXT(IFERROR($C$15/$C$13,0),"0.0")&amp;"x more than low-productivity gangs ("&amp;TEXT($C$13,"0.0")&amp;" days/deployment-month)."</f>
        <v/>
      </c>
      <c r="B41" s="39" t="n"/>
      <c r="C41" s="39" t="n"/>
      <c r="D41" s="39" t="n"/>
    </row>
    <row r="42">
      <c r="A42" s="19" t="n"/>
      <c r="B42" s="19" t="n"/>
      <c r="C42" s="19" t="n"/>
      <c r="D42" s="19" t="n"/>
    </row>
    <row r="43" ht="34" customHeight="1">
      <c r="A43" s="39">
        <f>"At "&amp;TEXT($B$5,"0%")&amp;" controllable share, high-band controllable idle equals "&amp;TEXT($B$22,"0.0")&amp;" days and "&amp;TEXT($B$24,"0.0")&amp;" MT recoverable over full scope."</f>
        <v/>
      </c>
      <c r="B43" s="39" t="n"/>
      <c r="C43" s="39" t="n"/>
      <c r="D43" s="39" t="n"/>
    </row>
    <row r="44">
      <c r="A44" s="19" t="n"/>
      <c r="B44" s="19" t="n"/>
      <c r="C44" s="19" t="n"/>
      <c r="D44" s="19" t="n"/>
    </row>
    <row r="45" ht="34" customHeight="1">
      <c r="A45" s="39">
        <f>"Recovery opportunity is "&amp;TEXT($B$26,"0.0")&amp;" MT/month from high-productivity gangs under current assumptions."</f>
        <v/>
      </c>
      <c r="B45" s="39" t="n"/>
      <c r="C45" s="39" t="n"/>
      <c r="D45" s="39" t="n"/>
    </row>
    <row r="46">
      <c r="A46" s="19" t="n"/>
      <c r="B46" s="19" t="n"/>
      <c r="C46" s="19" t="n"/>
      <c r="D46" s="19" t="n"/>
    </row>
    <row r="47" ht="34" customHeight="1">
      <c r="A47" s="39">
        <f>"Per-gang opportunity is "&amp;TEXT($B$28,"0.00")&amp;" MT/gang/month for high-band crews."</f>
        <v/>
      </c>
      <c r="B47" s="39" t="n"/>
      <c r="C47" s="39" t="n"/>
      <c r="D47" s="39" t="n"/>
    </row>
  </sheetData>
  <mergeCells count="11">
    <mergeCell ref="A45:D45"/>
    <mergeCell ref="A40:D40"/>
    <mergeCell ref="A1:G1"/>
    <mergeCell ref="A30:D30"/>
    <mergeCell ref="A4:G4"/>
    <mergeCell ref="A2:G2"/>
    <mergeCell ref="A43:D43"/>
    <mergeCell ref="A41:D41"/>
    <mergeCell ref="A47:D47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2026-03-13T07:09:15Z</dcterms:created>
  <dcterms:modified xmlns:dcterms="http://purl.org/dc/terms/" xmlns:xsi="http://www.w3.org/2001/XMLSchema-instance" xsi:type="dcterms:W3CDTF">2026-03-13T07:24:19Z</dcterms:modified>
</cp:coreProperties>
</file>