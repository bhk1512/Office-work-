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Productivity Summaries\"/>
    </mc:Choice>
  </mc:AlternateContent>
  <xr:revisionPtr revIDLastSave="0" documentId="13_ncr:1_{1CCFC767-47A6-4746-B43F-C764B0DCC16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Erection Summary" sheetId="1" r:id="rId1"/>
    <sheet name="Project Gang Ranking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3" i="2" l="1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52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3" i="2"/>
</calcChain>
</file>

<file path=xl/sharedStrings.xml><?xml version="1.0" encoding="utf-8"?>
<sst xmlns="http://schemas.openxmlformats.org/spreadsheetml/2006/main" count="434" uniqueCount="143">
  <si>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</si>
  <si>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</si>
  <si>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</si>
  <si>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</si>
  <si>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</si>
  <si>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</si>
  <si>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</si>
  <si>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</si>
  <si>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</si>
  <si>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</si>
  <si>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</si>
  <si>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</si>
  <si>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</si>
  <si>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</si>
  <si>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Avg Productivity (MTD)</t>
  </si>
  <si>
    <t>Total MT (MTD)</t>
  </si>
  <si>
    <t>Total No. of Erections (MTD)</t>
  </si>
  <si>
    <t>DA</t>
  </si>
  <si>
    <t>DA Avg Tower Weight</t>
  </si>
  <si>
    <t>DB</t>
  </si>
  <si>
    <t>DB Avg Tower Weight</t>
  </si>
  <si>
    <t>DC</t>
  </si>
  <si>
    <t>DC Avg Tower Weight</t>
  </si>
  <si>
    <t>DD</t>
  </si>
  <si>
    <t>DD Avg Tower Weight</t>
  </si>
  <si>
    <t>Exception</t>
  </si>
  <si>
    <t>Exception Avg Tower Weight</t>
  </si>
  <si>
    <t>Avg Tower Weight Overall</t>
  </si>
  <si>
    <t>PCH</t>
  </si>
  <si>
    <t>Mr. Sanjay Kumar Gupta</t>
  </si>
  <si>
    <t>Mr. Arun Felbin</t>
  </si>
  <si>
    <t>Mr. Dheeraj Vashishth</t>
  </si>
  <si>
    <t>Total</t>
  </si>
  <si>
    <t>Project</t>
  </si>
  <si>
    <t>TA413</t>
  </si>
  <si>
    <t>TA419</t>
  </si>
  <si>
    <t>TA512</t>
  </si>
  <si>
    <t>TB401</t>
  </si>
  <si>
    <t>TB408</t>
  </si>
  <si>
    <t>TB507</t>
  </si>
  <si>
    <t>TA325</t>
  </si>
  <si>
    <t>TA414</t>
  </si>
  <si>
    <t>TA416</t>
  </si>
  <si>
    <t>TA418</t>
  </si>
  <si>
    <t>TA421</t>
  </si>
  <si>
    <t>TA504</t>
  </si>
  <si>
    <t>TA505</t>
  </si>
  <si>
    <t>TA506</t>
  </si>
  <si>
    <t>TA513</t>
  </si>
  <si>
    <t>TB605</t>
  </si>
  <si>
    <t>Top 3 Gangs</t>
  </si>
  <si>
    <t>Gang Name</t>
  </si>
  <si>
    <t>Punam Kumari 2</t>
  </si>
  <si>
    <t>Ved Prakash</t>
  </si>
  <si>
    <t>Punam Kumari 4</t>
  </si>
  <si>
    <t>Radha Enterprises 1</t>
  </si>
  <si>
    <t>Radha Enterprises</t>
  </si>
  <si>
    <t>Mukhilal 2</t>
  </si>
  <si>
    <t>M S Kartik Mahto</t>
  </si>
  <si>
    <t>M S Govind Mahto</t>
  </si>
  <si>
    <t>M S Govind Mahto 2</t>
  </si>
  <si>
    <t>Chinta Devi</t>
  </si>
  <si>
    <t>Sobha Devi</t>
  </si>
  <si>
    <t>Panva Devi</t>
  </si>
  <si>
    <t>Santosh Singh Laxmi</t>
  </si>
  <si>
    <t>Shobha Devi</t>
  </si>
  <si>
    <t>Rajesh Mahto</t>
  </si>
  <si>
    <t>Prayag Saw</t>
  </si>
  <si>
    <t>Prayag Saw 1</t>
  </si>
  <si>
    <t>Pc Construction</t>
  </si>
  <si>
    <t>Nasirudin</t>
  </si>
  <si>
    <t>Sakila Khatun</t>
  </si>
  <si>
    <t>Sakhila Khatun</t>
  </si>
  <si>
    <t>Rahul Kumar</t>
  </si>
  <si>
    <t>Subhash</t>
  </si>
  <si>
    <t>Ananya Trader</t>
  </si>
  <si>
    <t>Punam Kumari</t>
  </si>
  <si>
    <t>Reeta Bharti</t>
  </si>
  <si>
    <t>M S Tofit</t>
  </si>
  <si>
    <t>M S Mdpl</t>
  </si>
  <si>
    <t>Khatun</t>
  </si>
  <si>
    <t>Subash</t>
  </si>
  <si>
    <t>Gauri Shankar Mahto</t>
  </si>
  <si>
    <t>Punam Kumari 1</t>
  </si>
  <si>
    <t>Pinki Devi</t>
  </si>
  <si>
    <t>Jhemon Mahato 1</t>
  </si>
  <si>
    <t>Deglal Mahato</t>
  </si>
  <si>
    <t>Shila Devi</t>
  </si>
  <si>
    <t>Zainab Fatima</t>
  </si>
  <si>
    <t>Tejal Mahto</t>
  </si>
  <si>
    <t>Karni Const 2</t>
  </si>
  <si>
    <t>Anil Construction</t>
  </si>
  <si>
    <t>Raj Labour Suppliers</t>
  </si>
  <si>
    <t>Bottom 3 Gangs</t>
  </si>
  <si>
    <t>Pritam Enterprises 1</t>
  </si>
  <si>
    <t>Pritam Enterprises 4</t>
  </si>
  <si>
    <t>Pritam Enterprises 2</t>
  </si>
  <si>
    <t>Ganesh 2</t>
  </si>
  <si>
    <t>Infinidea</t>
  </si>
  <si>
    <t>Mukhilal 1</t>
  </si>
  <si>
    <t>M S Karni Construction 1</t>
  </si>
  <si>
    <t>M S Kavya Enterprises</t>
  </si>
  <si>
    <t>M S Karni Construction 2</t>
  </si>
  <si>
    <t>Anjani Power Priyanka Devi Sudheer</t>
  </si>
  <si>
    <t>Priyanka Devi Santosh</t>
  </si>
  <si>
    <t>Jwala Singh 3 Bhairo Mahto</t>
  </si>
  <si>
    <t>Vedanta Construction</t>
  </si>
  <si>
    <t>Dular Chand Patel</t>
  </si>
  <si>
    <t>Shri Shyam Construction</t>
  </si>
  <si>
    <t>Namechand Mahto 2</t>
  </si>
  <si>
    <t>Ajay Kumar</t>
  </si>
  <si>
    <t>Balaji Tour Travels 2</t>
  </si>
  <si>
    <t>Dildar Electricals</t>
  </si>
  <si>
    <t>Barkat Ali Mithun Kumar Vntl</t>
  </si>
  <si>
    <t>Senaul</t>
  </si>
  <si>
    <t>Subhash Kumar</t>
  </si>
  <si>
    <t>Chitra Construction</t>
  </si>
  <si>
    <t>Zakir Hussain</t>
  </si>
  <si>
    <t>Niranjan Singh</t>
  </si>
  <si>
    <t>Spotyfy</t>
  </si>
  <si>
    <t>Kongres Kumar 1</t>
  </si>
  <si>
    <t>Savitha</t>
  </si>
  <si>
    <t>Kec 02 Barkat Ali</t>
  </si>
  <si>
    <t>Praveen</t>
  </si>
  <si>
    <t>Yadhav D K Verma</t>
  </si>
  <si>
    <t>Hassan</t>
  </si>
  <si>
    <t>Rajesh Kumar</t>
  </si>
  <si>
    <t>Karam Mahto</t>
  </si>
  <si>
    <t>Ghyansham Mahto</t>
  </si>
  <si>
    <t>Paramanand 1</t>
  </si>
  <si>
    <t>Anil Kumar</t>
  </si>
  <si>
    <t>Crane Erc Team Mp</t>
  </si>
  <si>
    <t>Pappu Kumar</t>
  </si>
  <si>
    <t>Alo Reeva</t>
  </si>
  <si>
    <t>Karni Const 1</t>
  </si>
  <si>
    <t>Number of fitters</t>
  </si>
  <si>
    <t>Manpower</t>
  </si>
  <si>
    <t>ROW</t>
  </si>
  <si>
    <t>Scattered Locations</t>
  </si>
  <si>
    <t>Skill also high</t>
  </si>
  <si>
    <t>Skill</t>
  </si>
  <si>
    <t>Poonam Kumari</t>
  </si>
  <si>
    <t>Jwala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</si>
</sst>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1"/>
  <sheetViews>
    <sheetView topLeftCell="C13" workbookViewId="0">
      <selection activeCell="Q15" sqref="Q15"/>
    </sheetView>
  </sheetViews>
  <sheetFormatPr defaultRowHeight="14.5" x14ac:dyDescent="0.35"/>
  <cols>
    <col min="17" max="17" width="24.81640625" bestFit="1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30" x14ac:dyDescent="0.35">
      <c r="A2">
        <v>3.79</v>
      </c>
      <c r="B2">
        <v>4.1900000000000004</v>
      </c>
      <c r="C2">
        <v>4.0999999999999996</v>
      </c>
      <c r="D2">
        <v>3.91</v>
      </c>
      <c r="E2">
        <v>3.97</v>
      </c>
      <c r="F2">
        <v>4.28</v>
      </c>
      <c r="G2">
        <v>4.3</v>
      </c>
      <c r="H2">
        <v>4.32</v>
      </c>
      <c r="I2">
        <v>4.4000000000000004</v>
      </c>
      <c r="J2">
        <v>4.3</v>
      </c>
      <c r="K2">
        <v>4.2300000000000004</v>
      </c>
      <c r="L2">
        <v>4.4000000000000004</v>
      </c>
      <c r="M2">
        <v>4.84</v>
      </c>
      <c r="N2">
        <v>5.26</v>
      </c>
      <c r="O2">
        <v>4.21</v>
      </c>
      <c r="P2">
        <v>44414.61</v>
      </c>
      <c r="Q2">
        <v>983</v>
      </c>
      <c r="R2">
        <v>607</v>
      </c>
      <c r="S2">
        <v>33.03</v>
      </c>
      <c r="T2">
        <v>134</v>
      </c>
      <c r="U2">
        <v>50.72</v>
      </c>
      <c r="V2">
        <v>102</v>
      </c>
      <c r="W2">
        <v>56.06</v>
      </c>
      <c r="X2">
        <v>140</v>
      </c>
      <c r="Y2">
        <v>84.65</v>
      </c>
      <c r="Z2">
        <v>0</v>
      </c>
      <c r="AA2">
        <v>0</v>
      </c>
      <c r="AB2">
        <v>45.18</v>
      </c>
    </row>
    <row r="6" spans="1:30" x14ac:dyDescent="0.35">
      <c r="A6" s="1" t="s">
        <v>28</v>
      </c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  <c r="P6" s="1" t="s">
        <v>14</v>
      </c>
      <c r="Q6" s="1" t="s">
        <v>15</v>
      </c>
      <c r="R6" s="1" t="s">
        <v>16</v>
      </c>
      <c r="S6" s="1" t="s">
        <v>17</v>
      </c>
      <c r="T6" s="1" t="s">
        <v>18</v>
      </c>
      <c r="U6" s="1" t="s">
        <v>19</v>
      </c>
      <c r="V6" s="1" t="s">
        <v>20</v>
      </c>
      <c r="W6" s="1" t="s">
        <v>21</v>
      </c>
      <c r="X6" s="1" t="s">
        <v>22</v>
      </c>
      <c r="Y6" s="1" t="s">
        <v>23</v>
      </c>
      <c r="Z6" s="1" t="s">
        <v>24</v>
      </c>
      <c r="AA6" s="1" t="s">
        <v>25</v>
      </c>
      <c r="AB6" s="1" t="s">
        <v>26</v>
      </c>
      <c r="AC6" s="1" t="s">
        <v>27</v>
      </c>
    </row>
    <row r="7" spans="1:30" x14ac:dyDescent="0.35">
      <c r="A7" t="s">
        <v>29</v>
      </c>
      <c r="B7">
        <v>3.99</v>
      </c>
      <c r="C7">
        <v>4.05</v>
      </c>
      <c r="D7">
        <v>3.83</v>
      </c>
      <c r="E7">
        <v>3.86</v>
      </c>
      <c r="F7">
        <v>3.96</v>
      </c>
      <c r="G7">
        <v>4.12</v>
      </c>
      <c r="H7">
        <v>4.13</v>
      </c>
      <c r="I7">
        <v>4.0999999999999996</v>
      </c>
      <c r="J7">
        <v>4.2</v>
      </c>
      <c r="K7">
        <v>4.1100000000000003</v>
      </c>
      <c r="L7">
        <v>4.16</v>
      </c>
      <c r="M7">
        <v>4.2300000000000004</v>
      </c>
      <c r="N7">
        <v>4.58</v>
      </c>
      <c r="O7">
        <v>4.3099999999999996</v>
      </c>
      <c r="P7">
        <v>4.01</v>
      </c>
      <c r="Q7">
        <v>18077.16</v>
      </c>
      <c r="R7">
        <v>429</v>
      </c>
      <c r="S7">
        <v>298</v>
      </c>
      <c r="T7">
        <v>35.18</v>
      </c>
      <c r="U7">
        <v>50</v>
      </c>
      <c r="V7">
        <v>48.27</v>
      </c>
      <c r="W7">
        <v>41</v>
      </c>
      <c r="X7">
        <v>47.51</v>
      </c>
      <c r="Y7">
        <v>40</v>
      </c>
      <c r="Z7">
        <v>80.8</v>
      </c>
      <c r="AA7">
        <v>0</v>
      </c>
      <c r="AB7">
        <v>0</v>
      </c>
      <c r="AC7">
        <v>42.14</v>
      </c>
    </row>
    <row r="8" spans="1:30" x14ac:dyDescent="0.35">
      <c r="A8" t="s">
        <v>30</v>
      </c>
      <c r="B8">
        <v>3.71</v>
      </c>
      <c r="C8">
        <v>4.22</v>
      </c>
      <c r="D8">
        <v>4.25</v>
      </c>
      <c r="E8">
        <v>3.99</v>
      </c>
      <c r="F8">
        <v>3.94</v>
      </c>
      <c r="G8">
        <v>4.45</v>
      </c>
      <c r="H8">
        <v>4.51</v>
      </c>
      <c r="I8">
        <v>4.5999999999999996</v>
      </c>
      <c r="J8">
        <v>4.7699999999999996</v>
      </c>
      <c r="K8">
        <v>4.7</v>
      </c>
      <c r="L8">
        <v>4.47</v>
      </c>
      <c r="M8">
        <v>4.79</v>
      </c>
      <c r="N8">
        <v>5.39</v>
      </c>
      <c r="O8">
        <v>6.02</v>
      </c>
      <c r="P8">
        <v>4.38</v>
      </c>
      <c r="Q8">
        <v>25904.95</v>
      </c>
      <c r="R8">
        <v>535</v>
      </c>
      <c r="S8">
        <v>295</v>
      </c>
      <c r="T8">
        <v>31.44</v>
      </c>
      <c r="U8">
        <v>82</v>
      </c>
      <c r="V8">
        <v>52.8</v>
      </c>
      <c r="W8">
        <v>58</v>
      </c>
      <c r="X8">
        <v>63.47</v>
      </c>
      <c r="Y8">
        <v>100</v>
      </c>
      <c r="Z8">
        <v>86.18</v>
      </c>
      <c r="AA8">
        <v>0</v>
      </c>
      <c r="AB8">
        <v>0</v>
      </c>
      <c r="AC8">
        <v>48.42</v>
      </c>
    </row>
    <row r="9" spans="1:30" x14ac:dyDescent="0.35">
      <c r="A9" t="s">
        <v>31</v>
      </c>
      <c r="B9">
        <v>3.21</v>
      </c>
      <c r="C9">
        <v>4.76</v>
      </c>
      <c r="D9">
        <v>4.7</v>
      </c>
      <c r="E9">
        <v>3.63</v>
      </c>
      <c r="F9">
        <v>4.1900000000000004</v>
      </c>
      <c r="G9">
        <v>4.1100000000000003</v>
      </c>
      <c r="H9">
        <v>3.86</v>
      </c>
      <c r="I9">
        <v>3.72</v>
      </c>
      <c r="J9">
        <v>3.49</v>
      </c>
      <c r="K9">
        <v>3.26</v>
      </c>
      <c r="L9">
        <v>3.5</v>
      </c>
      <c r="M9">
        <v>3.28</v>
      </c>
      <c r="N9">
        <v>3.28</v>
      </c>
      <c r="O9">
        <v>0</v>
      </c>
      <c r="P9">
        <v>3.77</v>
      </c>
      <c r="Q9">
        <v>432.5</v>
      </c>
      <c r="R9">
        <v>19</v>
      </c>
      <c r="S9">
        <v>14</v>
      </c>
      <c r="T9">
        <v>20.64</v>
      </c>
      <c r="U9">
        <v>2</v>
      </c>
      <c r="V9">
        <v>27.09</v>
      </c>
      <c r="W9">
        <v>3</v>
      </c>
      <c r="X9">
        <v>29.78</v>
      </c>
      <c r="Y9">
        <v>0</v>
      </c>
      <c r="Z9">
        <v>0</v>
      </c>
      <c r="AA9">
        <v>0</v>
      </c>
      <c r="AB9">
        <v>0</v>
      </c>
      <c r="AC9">
        <v>22.76</v>
      </c>
    </row>
    <row r="10" spans="1:30" x14ac:dyDescent="0.35">
      <c r="P10" t="s">
        <v>32</v>
      </c>
      <c r="Q10">
        <v>44414.61</v>
      </c>
      <c r="R10">
        <v>983</v>
      </c>
    </row>
    <row r="14" spans="1:30" x14ac:dyDescent="0.35">
      <c r="A14" s="1" t="s">
        <v>28</v>
      </c>
      <c r="B14" s="1" t="s">
        <v>33</v>
      </c>
      <c r="C14" s="1" t="s">
        <v>0</v>
      </c>
      <c r="D14" s="1" t="s">
        <v>1</v>
      </c>
      <c r="E14" s="1" t="s">
        <v>2</v>
      </c>
      <c r="F14" s="1" t="s">
        <v>3</v>
      </c>
      <c r="G14" s="1" t="s">
        <v>4</v>
      </c>
      <c r="H14" s="1" t="s">
        <v>5</v>
      </c>
      <c r="I14" s="1" t="s">
        <v>6</v>
      </c>
      <c r="J14" s="1" t="s">
        <v>7</v>
      </c>
      <c r="K14" s="1" t="s">
        <v>8</v>
      </c>
      <c r="L14" s="1" t="s">
        <v>9</v>
      </c>
      <c r="M14" s="1" t="s">
        <v>10</v>
      </c>
      <c r="N14" s="1" t="s">
        <v>11</v>
      </c>
      <c r="O14" s="1" t="s">
        <v>12</v>
      </c>
      <c r="P14" s="1" t="s">
        <v>13</v>
      </c>
      <c r="Q14" s="1" t="s">
        <v>14</v>
      </c>
      <c r="R14" s="1" t="s">
        <v>15</v>
      </c>
      <c r="S14" s="1" t="s">
        <v>16</v>
      </c>
      <c r="T14" s="1" t="s">
        <v>17</v>
      </c>
      <c r="U14" s="1" t="s">
        <v>18</v>
      </c>
      <c r="V14" s="1" t="s">
        <v>19</v>
      </c>
      <c r="W14" s="1" t="s">
        <v>20</v>
      </c>
      <c r="X14" s="1" t="s">
        <v>21</v>
      </c>
      <c r="Y14" s="1" t="s">
        <v>22</v>
      </c>
      <c r="Z14" s="1" t="s">
        <v>23</v>
      </c>
      <c r="AA14" s="1" t="s">
        <v>24</v>
      </c>
      <c r="AB14" s="1" t="s">
        <v>25</v>
      </c>
      <c r="AC14" s="1" t="s">
        <v>26</v>
      </c>
      <c r="AD14" s="1" t="s">
        <v>27</v>
      </c>
    </row>
    <row r="15" spans="1:30" x14ac:dyDescent="0.35">
      <c r="A15" t="s">
        <v>29</v>
      </c>
      <c r="B15" t="s">
        <v>34</v>
      </c>
      <c r="C15">
        <v>4.18</v>
      </c>
      <c r="D15">
        <v>4.26</v>
      </c>
      <c r="E15">
        <v>3.8</v>
      </c>
      <c r="F15">
        <v>3.89</v>
      </c>
      <c r="G15">
        <v>3.63</v>
      </c>
      <c r="H15">
        <v>4.21</v>
      </c>
      <c r="I15">
        <v>4.22</v>
      </c>
      <c r="J15">
        <v>4.41</v>
      </c>
      <c r="K15">
        <v>4.68</v>
      </c>
      <c r="L15">
        <v>4.3099999999999996</v>
      </c>
      <c r="M15">
        <v>3.94</v>
      </c>
      <c r="N15">
        <v>4.09</v>
      </c>
      <c r="O15">
        <v>5.52</v>
      </c>
      <c r="P15">
        <v>5.44</v>
      </c>
      <c r="Q15">
        <v>4.13</v>
      </c>
      <c r="R15">
        <v>4055.38</v>
      </c>
      <c r="S15">
        <v>73</v>
      </c>
      <c r="T15">
        <v>47</v>
      </c>
      <c r="U15">
        <v>38.72</v>
      </c>
      <c r="V15">
        <v>10</v>
      </c>
      <c r="W15">
        <v>65.819999999999993</v>
      </c>
      <c r="X15">
        <v>5</v>
      </c>
      <c r="Y15">
        <v>74.62</v>
      </c>
      <c r="Z15">
        <v>11</v>
      </c>
      <c r="AA15">
        <v>109.47</v>
      </c>
      <c r="AB15">
        <v>0</v>
      </c>
      <c r="AC15">
        <v>0</v>
      </c>
      <c r="AD15">
        <v>55.55</v>
      </c>
    </row>
    <row r="16" spans="1:30" x14ac:dyDescent="0.35">
      <c r="A16" t="s">
        <v>29</v>
      </c>
      <c r="B16" t="s">
        <v>35</v>
      </c>
      <c r="C16">
        <v>4.55</v>
      </c>
      <c r="D16">
        <v>4.68</v>
      </c>
      <c r="E16">
        <v>3.99</v>
      </c>
      <c r="F16">
        <v>3.56</v>
      </c>
      <c r="G16">
        <v>3.6</v>
      </c>
      <c r="H16">
        <v>4.13</v>
      </c>
      <c r="I16">
        <v>3.54</v>
      </c>
      <c r="J16">
        <v>3.15</v>
      </c>
      <c r="K16">
        <v>3.42</v>
      </c>
      <c r="L16">
        <v>3.82</v>
      </c>
      <c r="M16">
        <v>3.67</v>
      </c>
      <c r="N16">
        <v>3.86</v>
      </c>
      <c r="O16">
        <v>3.66</v>
      </c>
      <c r="P16">
        <v>2.2400000000000002</v>
      </c>
      <c r="Q16">
        <v>3.69</v>
      </c>
      <c r="R16">
        <v>3432.83</v>
      </c>
      <c r="S16">
        <v>63</v>
      </c>
      <c r="T16">
        <v>48</v>
      </c>
      <c r="U16">
        <v>40.619999999999997</v>
      </c>
      <c r="V16">
        <v>1</v>
      </c>
      <c r="W16">
        <v>69.38</v>
      </c>
      <c r="X16">
        <v>5</v>
      </c>
      <c r="Y16">
        <v>83.9</v>
      </c>
      <c r="Z16">
        <v>9</v>
      </c>
      <c r="AA16">
        <v>110.45</v>
      </c>
      <c r="AB16">
        <v>0</v>
      </c>
      <c r="AC16">
        <v>0</v>
      </c>
      <c r="AD16">
        <v>54.49</v>
      </c>
    </row>
    <row r="17" spans="1:30" x14ac:dyDescent="0.35">
      <c r="A17" t="s">
        <v>29</v>
      </c>
      <c r="B17" t="s">
        <v>36</v>
      </c>
      <c r="C17">
        <v>5.13</v>
      </c>
      <c r="D17">
        <v>4.87</v>
      </c>
      <c r="E17">
        <v>4.8099999999999996</v>
      </c>
      <c r="F17">
        <v>5.33</v>
      </c>
      <c r="G17">
        <v>4.84</v>
      </c>
      <c r="H17">
        <v>4.71</v>
      </c>
      <c r="I17">
        <v>5.48</v>
      </c>
      <c r="J17">
        <v>5.67</v>
      </c>
      <c r="K17">
        <v>5.09</v>
      </c>
      <c r="L17">
        <v>4.8899999999999997</v>
      </c>
      <c r="M17">
        <v>4.8600000000000003</v>
      </c>
      <c r="N17">
        <v>4.82</v>
      </c>
      <c r="O17">
        <v>4.7699999999999996</v>
      </c>
      <c r="P17">
        <v>4.22</v>
      </c>
      <c r="Q17">
        <v>4.9800000000000004</v>
      </c>
      <c r="R17">
        <v>2296.13</v>
      </c>
      <c r="S17">
        <v>57</v>
      </c>
      <c r="T17">
        <v>51</v>
      </c>
      <c r="U17">
        <v>39.14</v>
      </c>
      <c r="V17">
        <v>3</v>
      </c>
      <c r="W17">
        <v>56.8</v>
      </c>
      <c r="X17">
        <v>3</v>
      </c>
      <c r="Y17">
        <v>43.24</v>
      </c>
      <c r="Z17">
        <v>0</v>
      </c>
      <c r="AA17">
        <v>0</v>
      </c>
      <c r="AB17">
        <v>0</v>
      </c>
      <c r="AC17">
        <v>0</v>
      </c>
      <c r="AD17">
        <v>40.28</v>
      </c>
    </row>
    <row r="18" spans="1:30" x14ac:dyDescent="0.35">
      <c r="A18" t="s">
        <v>29</v>
      </c>
      <c r="B18" t="s">
        <v>37</v>
      </c>
      <c r="C18">
        <v>3.18</v>
      </c>
      <c r="D18">
        <v>3.19</v>
      </c>
      <c r="E18">
        <v>3.2</v>
      </c>
      <c r="F18">
        <v>3.12</v>
      </c>
      <c r="G18">
        <v>4.6500000000000004</v>
      </c>
      <c r="H18">
        <v>4.6900000000000004</v>
      </c>
      <c r="I18">
        <v>4.6500000000000004</v>
      </c>
      <c r="J18">
        <v>4.96</v>
      </c>
      <c r="K18">
        <v>5.03</v>
      </c>
      <c r="L18">
        <v>4.6500000000000004</v>
      </c>
      <c r="M18">
        <v>4.99</v>
      </c>
      <c r="N18">
        <v>0</v>
      </c>
      <c r="O18">
        <v>0</v>
      </c>
      <c r="P18">
        <v>0</v>
      </c>
      <c r="Q18">
        <v>4.09</v>
      </c>
      <c r="R18">
        <v>2230.61</v>
      </c>
      <c r="S18">
        <v>46</v>
      </c>
      <c r="T18">
        <v>36</v>
      </c>
      <c r="U18">
        <v>41.52</v>
      </c>
      <c r="V18">
        <v>6</v>
      </c>
      <c r="W18">
        <v>61.49</v>
      </c>
      <c r="X18">
        <v>2</v>
      </c>
      <c r="Y18">
        <v>73.94</v>
      </c>
      <c r="Z18">
        <v>2</v>
      </c>
      <c r="AA18">
        <v>109.51</v>
      </c>
      <c r="AB18">
        <v>0</v>
      </c>
      <c r="AC18">
        <v>0</v>
      </c>
      <c r="AD18">
        <v>48.49</v>
      </c>
    </row>
    <row r="19" spans="1:30" x14ac:dyDescent="0.35">
      <c r="A19" t="s">
        <v>29</v>
      </c>
      <c r="B19" t="s">
        <v>38</v>
      </c>
      <c r="C19">
        <v>4.4000000000000004</v>
      </c>
      <c r="D19">
        <v>4.43</v>
      </c>
      <c r="E19">
        <v>4.74</v>
      </c>
      <c r="F19">
        <v>4.5</v>
      </c>
      <c r="G19">
        <v>4.3899999999999997</v>
      </c>
      <c r="H19">
        <v>4.2699999999999996</v>
      </c>
      <c r="I19">
        <v>4.3899999999999997</v>
      </c>
      <c r="J19">
        <v>4.1500000000000004</v>
      </c>
      <c r="K19">
        <v>4.53</v>
      </c>
      <c r="L19">
        <v>4.8</v>
      </c>
      <c r="M19">
        <v>5.39</v>
      </c>
      <c r="N19">
        <v>5.95</v>
      </c>
      <c r="O19">
        <v>5.07</v>
      </c>
      <c r="P19">
        <v>0</v>
      </c>
      <c r="Q19">
        <v>4.66</v>
      </c>
      <c r="R19">
        <v>4399.45</v>
      </c>
      <c r="S19">
        <v>89</v>
      </c>
      <c r="T19">
        <v>65</v>
      </c>
      <c r="U19">
        <v>39.909999999999997</v>
      </c>
      <c r="V19">
        <v>13</v>
      </c>
      <c r="W19">
        <v>63.57</v>
      </c>
      <c r="X19">
        <v>7</v>
      </c>
      <c r="Y19">
        <v>72.040000000000006</v>
      </c>
      <c r="Z19">
        <v>4</v>
      </c>
      <c r="AA19">
        <v>118.66</v>
      </c>
      <c r="AB19">
        <v>0</v>
      </c>
      <c r="AC19">
        <v>0</v>
      </c>
      <c r="AD19">
        <v>49.43</v>
      </c>
    </row>
    <row r="20" spans="1:30" x14ac:dyDescent="0.35">
      <c r="A20" t="s">
        <v>29</v>
      </c>
      <c r="B20" t="s">
        <v>39</v>
      </c>
      <c r="C20">
        <v>2.4900000000000002</v>
      </c>
      <c r="D20">
        <v>2.88</v>
      </c>
      <c r="E20">
        <v>2.42</v>
      </c>
      <c r="F20">
        <v>2.77</v>
      </c>
      <c r="G20">
        <v>2.65</v>
      </c>
      <c r="H20">
        <v>2.74</v>
      </c>
      <c r="I20">
        <v>2.5</v>
      </c>
      <c r="J20">
        <v>2.23</v>
      </c>
      <c r="K20">
        <v>2.4500000000000002</v>
      </c>
      <c r="L20">
        <v>2.2200000000000002</v>
      </c>
      <c r="M20">
        <v>2.12</v>
      </c>
      <c r="N20">
        <v>2.41</v>
      </c>
      <c r="O20">
        <v>3.86</v>
      </c>
      <c r="P20">
        <v>5.35</v>
      </c>
      <c r="Q20">
        <v>2.5499999999999998</v>
      </c>
      <c r="R20">
        <v>1662.77</v>
      </c>
      <c r="S20">
        <v>101</v>
      </c>
      <c r="T20">
        <v>51</v>
      </c>
      <c r="U20">
        <v>12.33</v>
      </c>
      <c r="V20">
        <v>17</v>
      </c>
      <c r="W20">
        <v>18.850000000000001</v>
      </c>
      <c r="X20">
        <v>19</v>
      </c>
      <c r="Y20">
        <v>19.66</v>
      </c>
      <c r="Z20">
        <v>14</v>
      </c>
      <c r="AA20">
        <v>24.29</v>
      </c>
      <c r="AB20">
        <v>0</v>
      </c>
      <c r="AC20">
        <v>0</v>
      </c>
      <c r="AD20">
        <v>16.46</v>
      </c>
    </row>
    <row r="21" spans="1:30" x14ac:dyDescent="0.35">
      <c r="A21" t="s">
        <v>30</v>
      </c>
      <c r="B21" t="s">
        <v>40</v>
      </c>
      <c r="C21">
        <v>2.93</v>
      </c>
      <c r="D21">
        <v>4.0999999999999996</v>
      </c>
      <c r="E21">
        <v>4.09</v>
      </c>
      <c r="F21">
        <v>3.81</v>
      </c>
      <c r="G21">
        <v>3.54</v>
      </c>
      <c r="H21">
        <v>3.62</v>
      </c>
      <c r="I21">
        <v>3.96</v>
      </c>
      <c r="J21">
        <v>4.3600000000000003</v>
      </c>
      <c r="K21">
        <v>4.62</v>
      </c>
      <c r="L21">
        <v>4.25</v>
      </c>
      <c r="M21">
        <v>3.57</v>
      </c>
      <c r="N21">
        <v>3.12</v>
      </c>
      <c r="O21">
        <v>3.53</v>
      </c>
      <c r="P21">
        <v>0</v>
      </c>
      <c r="Q21">
        <v>3.92</v>
      </c>
      <c r="R21">
        <v>7657.89</v>
      </c>
      <c r="S21">
        <v>102</v>
      </c>
      <c r="T21">
        <v>34</v>
      </c>
      <c r="U21">
        <v>38.78</v>
      </c>
      <c r="V21">
        <v>17</v>
      </c>
      <c r="W21">
        <v>64.94</v>
      </c>
      <c r="X21">
        <v>9</v>
      </c>
      <c r="Y21">
        <v>78.790000000000006</v>
      </c>
      <c r="Z21">
        <v>42</v>
      </c>
      <c r="AA21">
        <v>107.77</v>
      </c>
      <c r="AB21">
        <v>0</v>
      </c>
      <c r="AC21">
        <v>0</v>
      </c>
      <c r="AD21">
        <v>75.08</v>
      </c>
    </row>
    <row r="22" spans="1:30" x14ac:dyDescent="0.35">
      <c r="A22" t="s">
        <v>30</v>
      </c>
      <c r="B22" t="s">
        <v>41</v>
      </c>
      <c r="C22">
        <v>3.24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3.24</v>
      </c>
      <c r="L22">
        <v>3.2</v>
      </c>
      <c r="M22">
        <v>3.53</v>
      </c>
      <c r="N22">
        <v>3.94</v>
      </c>
      <c r="O22">
        <v>4.4800000000000004</v>
      </c>
      <c r="P22">
        <v>4.53</v>
      </c>
      <c r="Q22">
        <v>3.88</v>
      </c>
      <c r="R22">
        <v>747.7</v>
      </c>
      <c r="S22">
        <v>16</v>
      </c>
      <c r="T22">
        <v>11</v>
      </c>
      <c r="U22">
        <v>37.69</v>
      </c>
      <c r="V22">
        <v>2</v>
      </c>
      <c r="W22">
        <v>59</v>
      </c>
      <c r="X22">
        <v>1</v>
      </c>
      <c r="Y22">
        <v>61.55</v>
      </c>
      <c r="Z22">
        <v>2</v>
      </c>
      <c r="AA22">
        <v>76.790000000000006</v>
      </c>
      <c r="AB22">
        <v>0</v>
      </c>
      <c r="AC22">
        <v>0</v>
      </c>
      <c r="AD22">
        <v>46.73</v>
      </c>
    </row>
    <row r="23" spans="1:30" x14ac:dyDescent="0.35">
      <c r="A23" t="s">
        <v>30</v>
      </c>
      <c r="B23" t="s">
        <v>42</v>
      </c>
      <c r="C23">
        <v>4.38</v>
      </c>
      <c r="D23">
        <v>4.2699999999999996</v>
      </c>
      <c r="E23">
        <v>3.61</v>
      </c>
      <c r="F23">
        <v>3.68</v>
      </c>
      <c r="G23">
        <v>3.56</v>
      </c>
      <c r="H23">
        <v>3.59</v>
      </c>
      <c r="I23">
        <v>4.1100000000000003</v>
      </c>
      <c r="J23">
        <v>4.42</v>
      </c>
      <c r="K23">
        <v>4.3899999999999997</v>
      </c>
      <c r="L23">
        <v>4.34</v>
      </c>
      <c r="M23">
        <v>4.0199999999999996</v>
      </c>
      <c r="N23">
        <v>3.55</v>
      </c>
      <c r="O23">
        <v>2.81</v>
      </c>
      <c r="P23">
        <v>0</v>
      </c>
      <c r="Q23">
        <v>4.0599999999999996</v>
      </c>
      <c r="R23">
        <v>2643.72</v>
      </c>
      <c r="S23">
        <v>32</v>
      </c>
      <c r="T23">
        <v>10</v>
      </c>
      <c r="U23">
        <v>45.12</v>
      </c>
      <c r="V23">
        <v>4</v>
      </c>
      <c r="W23">
        <v>67.98</v>
      </c>
      <c r="X23">
        <v>10</v>
      </c>
      <c r="Y23">
        <v>97.97</v>
      </c>
      <c r="Z23">
        <v>8</v>
      </c>
      <c r="AA23">
        <v>117.6</v>
      </c>
      <c r="AB23">
        <v>0</v>
      </c>
      <c r="AC23">
        <v>0</v>
      </c>
      <c r="AD23">
        <v>82.62</v>
      </c>
    </row>
    <row r="24" spans="1:30" x14ac:dyDescent="0.35">
      <c r="A24" t="s">
        <v>30</v>
      </c>
      <c r="B24" t="s">
        <v>43</v>
      </c>
      <c r="C24">
        <v>2.65</v>
      </c>
      <c r="D24">
        <v>2.66</v>
      </c>
      <c r="E24">
        <v>2.81</v>
      </c>
      <c r="F24">
        <v>2.89</v>
      </c>
      <c r="G24">
        <v>2.99</v>
      </c>
      <c r="H24">
        <v>3.08</v>
      </c>
      <c r="I24">
        <v>3.48</v>
      </c>
      <c r="J24">
        <v>2.87</v>
      </c>
      <c r="K24">
        <v>3.65</v>
      </c>
      <c r="L24">
        <v>4.57</v>
      </c>
      <c r="M24">
        <v>3.96</v>
      </c>
      <c r="N24">
        <v>4.75</v>
      </c>
      <c r="O24">
        <v>4.92</v>
      </c>
      <c r="P24">
        <v>0</v>
      </c>
      <c r="Q24">
        <v>3.4</v>
      </c>
      <c r="R24">
        <v>1055</v>
      </c>
      <c r="S24">
        <v>26</v>
      </c>
      <c r="T24">
        <v>16</v>
      </c>
      <c r="U24">
        <v>28.88</v>
      </c>
      <c r="V24">
        <v>3</v>
      </c>
      <c r="W24">
        <v>47</v>
      </c>
      <c r="X24">
        <v>5</v>
      </c>
      <c r="Y24">
        <v>54.8</v>
      </c>
      <c r="Z24">
        <v>2</v>
      </c>
      <c r="AA24">
        <v>89</v>
      </c>
      <c r="AB24">
        <v>0</v>
      </c>
      <c r="AC24">
        <v>0</v>
      </c>
      <c r="AD24">
        <v>40.58</v>
      </c>
    </row>
    <row r="25" spans="1:30" x14ac:dyDescent="0.35">
      <c r="A25" t="s">
        <v>30</v>
      </c>
      <c r="B25" t="s">
        <v>44</v>
      </c>
      <c r="C25">
        <v>4.0199999999999996</v>
      </c>
      <c r="D25">
        <v>5.61</v>
      </c>
      <c r="E25">
        <v>5.51</v>
      </c>
      <c r="F25">
        <v>4.72</v>
      </c>
      <c r="G25">
        <v>5.0199999999999996</v>
      </c>
      <c r="H25">
        <v>6.92</v>
      </c>
      <c r="I25">
        <v>6.12</v>
      </c>
      <c r="J25">
        <v>6.5</v>
      </c>
      <c r="K25">
        <v>7.4</v>
      </c>
      <c r="L25">
        <v>7.03</v>
      </c>
      <c r="M25">
        <v>7.17</v>
      </c>
      <c r="N25">
        <v>9.19</v>
      </c>
      <c r="O25">
        <v>12.76</v>
      </c>
      <c r="P25">
        <v>11.79</v>
      </c>
      <c r="Q25">
        <v>6.43</v>
      </c>
      <c r="R25">
        <v>2682.41</v>
      </c>
      <c r="S25">
        <v>61</v>
      </c>
      <c r="T25">
        <v>45</v>
      </c>
      <c r="U25">
        <v>36.11</v>
      </c>
      <c r="V25">
        <v>10</v>
      </c>
      <c r="W25">
        <v>57.96</v>
      </c>
      <c r="X25">
        <v>1</v>
      </c>
      <c r="Y25">
        <v>101.9</v>
      </c>
      <c r="Z25">
        <v>5</v>
      </c>
      <c r="AA25">
        <v>75.23</v>
      </c>
      <c r="AB25">
        <v>0</v>
      </c>
      <c r="AC25">
        <v>0</v>
      </c>
      <c r="AD25">
        <v>43.97</v>
      </c>
    </row>
    <row r="26" spans="1:30" x14ac:dyDescent="0.35">
      <c r="A26" t="s">
        <v>30</v>
      </c>
      <c r="B26" t="s">
        <v>45</v>
      </c>
      <c r="C26">
        <v>4.03</v>
      </c>
      <c r="D26">
        <v>4.13</v>
      </c>
      <c r="E26">
        <v>4.0999999999999996</v>
      </c>
      <c r="F26">
        <v>3.91</v>
      </c>
      <c r="G26">
        <v>4.0199999999999996</v>
      </c>
      <c r="H26">
        <v>4.46</v>
      </c>
      <c r="I26">
        <v>4.17</v>
      </c>
      <c r="J26">
        <v>4.63</v>
      </c>
      <c r="K26">
        <v>5.07</v>
      </c>
      <c r="L26">
        <v>5.23</v>
      </c>
      <c r="M26">
        <v>5.0199999999999996</v>
      </c>
      <c r="N26">
        <v>5.28</v>
      </c>
      <c r="O26">
        <v>5.39</v>
      </c>
      <c r="P26">
        <v>3.75</v>
      </c>
      <c r="Q26">
        <v>4.71</v>
      </c>
      <c r="R26">
        <v>1610.53</v>
      </c>
      <c r="S26">
        <v>30</v>
      </c>
      <c r="T26">
        <v>14</v>
      </c>
      <c r="U26">
        <v>38.06</v>
      </c>
      <c r="V26">
        <v>9</v>
      </c>
      <c r="W26">
        <v>63.64</v>
      </c>
      <c r="X26">
        <v>3</v>
      </c>
      <c r="Y26">
        <v>66.67</v>
      </c>
      <c r="Z26">
        <v>4</v>
      </c>
      <c r="AA26">
        <v>76.25</v>
      </c>
      <c r="AB26">
        <v>0</v>
      </c>
      <c r="AC26">
        <v>0</v>
      </c>
      <c r="AD26">
        <v>53.68</v>
      </c>
    </row>
    <row r="27" spans="1:30" x14ac:dyDescent="0.35">
      <c r="A27" t="s">
        <v>30</v>
      </c>
      <c r="B27" t="s">
        <v>46</v>
      </c>
      <c r="C27">
        <v>4.55</v>
      </c>
      <c r="D27">
        <v>4.83</v>
      </c>
      <c r="E27">
        <v>4.9400000000000004</v>
      </c>
      <c r="F27">
        <v>4.16</v>
      </c>
      <c r="G27">
        <v>3.52</v>
      </c>
      <c r="H27">
        <v>3.83</v>
      </c>
      <c r="I27">
        <v>4</v>
      </c>
      <c r="J27">
        <v>4.34</v>
      </c>
      <c r="K27">
        <v>4.95</v>
      </c>
      <c r="L27">
        <v>4.67</v>
      </c>
      <c r="M27">
        <v>5</v>
      </c>
      <c r="N27">
        <v>5.18</v>
      </c>
      <c r="O27">
        <v>5.6</v>
      </c>
      <c r="P27">
        <v>5.69</v>
      </c>
      <c r="Q27">
        <v>4.62</v>
      </c>
      <c r="R27">
        <v>5271.62</v>
      </c>
      <c r="S27">
        <v>109</v>
      </c>
      <c r="T27">
        <v>75</v>
      </c>
      <c r="U27">
        <v>37.229999999999997</v>
      </c>
      <c r="V27">
        <v>13</v>
      </c>
      <c r="W27">
        <v>59.3</v>
      </c>
      <c r="X27">
        <v>11</v>
      </c>
      <c r="Y27">
        <v>67.94</v>
      </c>
      <c r="Z27">
        <v>10</v>
      </c>
      <c r="AA27">
        <v>96.12</v>
      </c>
      <c r="AB27">
        <v>0</v>
      </c>
      <c r="AC27">
        <v>0</v>
      </c>
      <c r="AD27">
        <v>48.36</v>
      </c>
    </row>
    <row r="28" spans="1:30" x14ac:dyDescent="0.35">
      <c r="A28" t="s">
        <v>30</v>
      </c>
      <c r="B28" t="s">
        <v>47</v>
      </c>
      <c r="C28">
        <v>3.84</v>
      </c>
      <c r="D28">
        <v>3.97</v>
      </c>
      <c r="E28">
        <v>4.68</v>
      </c>
      <c r="F28">
        <v>4.79</v>
      </c>
      <c r="G28">
        <v>4.95</v>
      </c>
      <c r="H28">
        <v>5.63</v>
      </c>
      <c r="I28">
        <v>5.72</v>
      </c>
      <c r="J28">
        <v>5.05</v>
      </c>
      <c r="K28">
        <v>4.88</v>
      </c>
      <c r="L28">
        <v>4.2699999999999996</v>
      </c>
      <c r="M28">
        <v>3.52</v>
      </c>
      <c r="N28">
        <v>3.29</v>
      </c>
      <c r="O28">
        <v>3.64</v>
      </c>
      <c r="P28">
        <v>4.3499999999999996</v>
      </c>
      <c r="Q28">
        <v>4.54</v>
      </c>
      <c r="R28">
        <v>4236.09</v>
      </c>
      <c r="S28">
        <v>159</v>
      </c>
      <c r="T28">
        <v>90</v>
      </c>
      <c r="U28">
        <v>18.670000000000002</v>
      </c>
      <c r="V28">
        <v>24</v>
      </c>
      <c r="W28">
        <v>32.130000000000003</v>
      </c>
      <c r="X28">
        <v>18</v>
      </c>
      <c r="Y28">
        <v>33.76</v>
      </c>
      <c r="Z28">
        <v>27</v>
      </c>
      <c r="AA28">
        <v>43.6</v>
      </c>
      <c r="AB28">
        <v>0</v>
      </c>
      <c r="AC28">
        <v>0</v>
      </c>
      <c r="AD28">
        <v>26.64</v>
      </c>
    </row>
    <row r="29" spans="1:30" x14ac:dyDescent="0.35">
      <c r="A29" t="s">
        <v>31</v>
      </c>
      <c r="B29" t="s">
        <v>48</v>
      </c>
      <c r="C29">
        <v>3.21</v>
      </c>
      <c r="D29">
        <v>4.76</v>
      </c>
      <c r="E29">
        <v>4.7</v>
      </c>
      <c r="F29">
        <v>3.63</v>
      </c>
      <c r="G29">
        <v>4.1900000000000004</v>
      </c>
      <c r="H29">
        <v>4.1100000000000003</v>
      </c>
      <c r="I29">
        <v>3.86</v>
      </c>
      <c r="J29">
        <v>3.72</v>
      </c>
      <c r="K29">
        <v>4.37</v>
      </c>
      <c r="L29">
        <v>3.53</v>
      </c>
      <c r="M29">
        <v>3.94</v>
      </c>
      <c r="N29">
        <v>4.12</v>
      </c>
      <c r="O29">
        <v>4.12</v>
      </c>
      <c r="P29">
        <v>0</v>
      </c>
      <c r="Q29">
        <v>4.01</v>
      </c>
      <c r="R29">
        <v>376.42</v>
      </c>
      <c r="S29">
        <v>16</v>
      </c>
      <c r="T29">
        <v>11</v>
      </c>
      <c r="U29">
        <v>21.17</v>
      </c>
      <c r="V29">
        <v>2</v>
      </c>
      <c r="W29">
        <v>27.09</v>
      </c>
      <c r="X29">
        <v>3</v>
      </c>
      <c r="Y29">
        <v>29.78</v>
      </c>
      <c r="Z29">
        <v>0</v>
      </c>
      <c r="AA29">
        <v>0</v>
      </c>
      <c r="AB29">
        <v>0</v>
      </c>
      <c r="AC29">
        <v>0</v>
      </c>
      <c r="AD29">
        <v>23.53</v>
      </c>
    </row>
    <row r="30" spans="1:30" x14ac:dyDescent="0.35">
      <c r="A30" t="s">
        <v>31</v>
      </c>
      <c r="B30" t="s">
        <v>49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2.62</v>
      </c>
      <c r="L30">
        <v>2.98</v>
      </c>
      <c r="M30">
        <v>3.05</v>
      </c>
      <c r="N30">
        <v>2.4300000000000002</v>
      </c>
      <c r="O30">
        <v>2.4300000000000002</v>
      </c>
      <c r="P30">
        <v>0</v>
      </c>
      <c r="Q30">
        <v>2.67</v>
      </c>
      <c r="R30">
        <v>56.08</v>
      </c>
      <c r="S30">
        <v>3</v>
      </c>
      <c r="T30">
        <v>3</v>
      </c>
      <c r="U30">
        <v>18.690000000000001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18.690000000000001</v>
      </c>
    </row>
    <row r="31" spans="1:30" x14ac:dyDescent="0.35">
      <c r="Q31" t="s">
        <v>32</v>
      </c>
      <c r="R31">
        <v>44414.63</v>
      </c>
      <c r="S31">
        <v>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5"/>
  <sheetViews>
    <sheetView tabSelected="1" topLeftCell="E1" workbookViewId="0">
      <selection activeCell="X11" sqref="X11"/>
    </sheetView>
  </sheetViews>
  <sheetFormatPr defaultRowHeight="14.5" x14ac:dyDescent="0.35"/>
  <cols>
    <col min="3" max="3" width="31.26953125" bestFit="1" customWidth="1"/>
    <col min="4" max="4" width="20.26953125" bestFit="1" customWidth="1"/>
    <col min="5" max="5" width="14.08984375" bestFit="1" customWidth="1"/>
    <col min="6" max="6" width="24.81640625" bestFit="1" customWidth="1"/>
    <col min="7" max="16" width="0" hidden="1" customWidth="1"/>
    <col min="17" max="17" width="22.6328125" bestFit="1" customWidth="1"/>
    <col min="18" max="18" width="10" bestFit="1" customWidth="1"/>
    <col min="19" max="19" width="15.453125" bestFit="1" customWidth="1"/>
    <col min="22" max="22" width="17.08984375" bestFit="1" customWidth="1"/>
  </cols>
  <sheetData>
    <row r="1" spans="1:25" x14ac:dyDescent="0.35">
      <c r="A1" t="s">
        <v>50</v>
      </c>
    </row>
    <row r="2" spans="1:25" x14ac:dyDescent="0.35">
      <c r="A2" s="1" t="s">
        <v>28</v>
      </c>
      <c r="B2" s="1" t="s">
        <v>33</v>
      </c>
      <c r="C2" s="1" t="s">
        <v>51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2" t="s">
        <v>136</v>
      </c>
      <c r="S2" s="2" t="s">
        <v>135</v>
      </c>
      <c r="T2" s="2" t="s">
        <v>32</v>
      </c>
    </row>
    <row r="3" spans="1:25" x14ac:dyDescent="0.35">
      <c r="A3" t="s">
        <v>29</v>
      </c>
      <c r="B3" t="s">
        <v>34</v>
      </c>
      <c r="C3" t="s">
        <v>52</v>
      </c>
      <c r="D3">
        <v>6.99</v>
      </c>
      <c r="E3">
        <v>153.78</v>
      </c>
      <c r="F3">
        <v>4</v>
      </c>
      <c r="G3">
        <v>4</v>
      </c>
      <c r="H3">
        <v>38.450000000000003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38.450000000000003</v>
      </c>
      <c r="R3">
        <v>22</v>
      </c>
      <c r="S3">
        <v>8</v>
      </c>
      <c r="T3">
        <f>R3+S3</f>
        <v>30</v>
      </c>
      <c r="U3" t="s">
        <v>139</v>
      </c>
    </row>
    <row r="4" spans="1:25" x14ac:dyDescent="0.35">
      <c r="A4" t="s">
        <v>29</v>
      </c>
      <c r="B4" t="s">
        <v>34</v>
      </c>
      <c r="C4" t="s">
        <v>53</v>
      </c>
      <c r="D4">
        <v>6.78</v>
      </c>
      <c r="E4">
        <v>640.80999999999995</v>
      </c>
      <c r="F4">
        <v>5</v>
      </c>
      <c r="G4">
        <v>0</v>
      </c>
      <c r="H4">
        <v>0</v>
      </c>
      <c r="I4">
        <v>1</v>
      </c>
      <c r="J4">
        <v>66.78</v>
      </c>
      <c r="K4">
        <v>0</v>
      </c>
      <c r="L4">
        <v>0</v>
      </c>
      <c r="M4">
        <v>4</v>
      </c>
      <c r="N4">
        <v>143.51</v>
      </c>
      <c r="O4">
        <v>0</v>
      </c>
      <c r="P4">
        <v>0</v>
      </c>
      <c r="Q4">
        <v>128.16</v>
      </c>
      <c r="R4">
        <v>28</v>
      </c>
      <c r="S4">
        <v>13</v>
      </c>
      <c r="T4">
        <f t="shared" ref="T4:T46" si="0">R4+S4</f>
        <v>41</v>
      </c>
    </row>
    <row r="5" spans="1:25" x14ac:dyDescent="0.35">
      <c r="A5" t="s">
        <v>29</v>
      </c>
      <c r="B5" t="s">
        <v>34</v>
      </c>
      <c r="C5" t="s">
        <v>54</v>
      </c>
      <c r="D5">
        <v>5.74</v>
      </c>
      <c r="E5">
        <v>81.739999999999995</v>
      </c>
      <c r="F5">
        <v>2</v>
      </c>
      <c r="G5">
        <v>2</v>
      </c>
      <c r="H5">
        <v>40.869999999999997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40.869999999999997</v>
      </c>
      <c r="R5">
        <v>23</v>
      </c>
      <c r="S5">
        <v>7</v>
      </c>
      <c r="T5">
        <f t="shared" si="0"/>
        <v>30</v>
      </c>
    </row>
    <row r="6" spans="1:25" x14ac:dyDescent="0.35">
      <c r="A6" t="s">
        <v>29</v>
      </c>
      <c r="B6" t="s">
        <v>35</v>
      </c>
      <c r="C6" t="s">
        <v>55</v>
      </c>
      <c r="D6">
        <v>7.68</v>
      </c>
      <c r="E6">
        <v>99.78</v>
      </c>
      <c r="F6">
        <v>1</v>
      </c>
      <c r="G6">
        <v>0</v>
      </c>
      <c r="H6">
        <v>0</v>
      </c>
      <c r="I6">
        <v>0</v>
      </c>
      <c r="J6">
        <v>0</v>
      </c>
      <c r="K6">
        <v>1</v>
      </c>
      <c r="L6">
        <v>99.78</v>
      </c>
      <c r="M6">
        <v>0</v>
      </c>
      <c r="N6">
        <v>0</v>
      </c>
      <c r="O6">
        <v>0</v>
      </c>
      <c r="P6">
        <v>0</v>
      </c>
      <c r="Q6">
        <v>99.78</v>
      </c>
      <c r="T6">
        <f t="shared" si="0"/>
        <v>0</v>
      </c>
    </row>
    <row r="7" spans="1:25" x14ac:dyDescent="0.35">
      <c r="A7" t="s">
        <v>29</v>
      </c>
      <c r="B7" t="s">
        <v>35</v>
      </c>
      <c r="C7" t="s">
        <v>56</v>
      </c>
      <c r="D7">
        <v>6.23</v>
      </c>
      <c r="E7">
        <v>137.05000000000001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137.05000000000001</v>
      </c>
      <c r="O7">
        <v>0</v>
      </c>
      <c r="P7">
        <v>0</v>
      </c>
      <c r="Q7">
        <v>137.05000000000001</v>
      </c>
      <c r="T7">
        <f t="shared" si="0"/>
        <v>0</v>
      </c>
      <c r="V7" t="s">
        <v>142</v>
      </c>
      <c r="W7">
        <v>20</v>
      </c>
      <c r="X7">
        <v>10</v>
      </c>
      <c r="Y7" t="s">
        <v>140</v>
      </c>
    </row>
    <row r="8" spans="1:25" x14ac:dyDescent="0.35">
      <c r="A8" t="s">
        <v>29</v>
      </c>
      <c r="B8" t="s">
        <v>35</v>
      </c>
      <c r="C8" t="s">
        <v>57</v>
      </c>
      <c r="D8">
        <v>5.83</v>
      </c>
      <c r="E8">
        <v>139.97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139.97</v>
      </c>
      <c r="O8">
        <v>0</v>
      </c>
      <c r="P8">
        <v>0</v>
      </c>
      <c r="Q8">
        <v>139.97</v>
      </c>
      <c r="R8">
        <v>19</v>
      </c>
      <c r="S8">
        <v>10</v>
      </c>
      <c r="T8">
        <f t="shared" si="0"/>
        <v>29</v>
      </c>
      <c r="V8" t="s">
        <v>141</v>
      </c>
      <c r="W8">
        <v>19</v>
      </c>
      <c r="X8">
        <v>8</v>
      </c>
      <c r="Y8" t="s">
        <v>140</v>
      </c>
    </row>
    <row r="9" spans="1:25" x14ac:dyDescent="0.35">
      <c r="A9" t="s">
        <v>29</v>
      </c>
      <c r="B9" t="s">
        <v>36</v>
      </c>
      <c r="C9" t="s">
        <v>58</v>
      </c>
      <c r="D9">
        <v>7.16</v>
      </c>
      <c r="E9">
        <v>655.30999999999995</v>
      </c>
      <c r="F9">
        <v>16</v>
      </c>
      <c r="G9">
        <v>14</v>
      </c>
      <c r="H9">
        <v>38.6</v>
      </c>
      <c r="I9">
        <v>2</v>
      </c>
      <c r="J9">
        <v>57.48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40.96</v>
      </c>
      <c r="T9">
        <f t="shared" si="0"/>
        <v>0</v>
      </c>
    </row>
    <row r="10" spans="1:25" x14ac:dyDescent="0.35">
      <c r="A10" t="s">
        <v>29</v>
      </c>
      <c r="B10" t="s">
        <v>36</v>
      </c>
      <c r="C10" t="s">
        <v>59</v>
      </c>
      <c r="D10">
        <v>5.91</v>
      </c>
      <c r="E10">
        <v>165.36</v>
      </c>
      <c r="F10">
        <v>4</v>
      </c>
      <c r="G10">
        <v>4</v>
      </c>
      <c r="H10">
        <v>41.34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41.34</v>
      </c>
      <c r="T10">
        <f t="shared" si="0"/>
        <v>0</v>
      </c>
    </row>
    <row r="11" spans="1:25" x14ac:dyDescent="0.35">
      <c r="A11" t="s">
        <v>29</v>
      </c>
      <c r="B11" t="s">
        <v>36</v>
      </c>
      <c r="C11" t="s">
        <v>60</v>
      </c>
      <c r="D11">
        <v>5.42</v>
      </c>
      <c r="E11">
        <v>37.93</v>
      </c>
      <c r="F11">
        <v>1</v>
      </c>
      <c r="G11">
        <v>1</v>
      </c>
      <c r="H11">
        <v>37.93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37.93</v>
      </c>
      <c r="T11">
        <f t="shared" si="0"/>
        <v>0</v>
      </c>
    </row>
    <row r="12" spans="1:25" x14ac:dyDescent="0.35">
      <c r="A12" t="s">
        <v>29</v>
      </c>
      <c r="B12" t="s">
        <v>37</v>
      </c>
      <c r="C12" t="s">
        <v>61</v>
      </c>
      <c r="D12">
        <v>10.29</v>
      </c>
      <c r="E12">
        <v>92.6</v>
      </c>
      <c r="F12">
        <v>2</v>
      </c>
      <c r="G12">
        <v>2</v>
      </c>
      <c r="H12">
        <v>46.3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46.3</v>
      </c>
      <c r="T12">
        <f t="shared" si="0"/>
        <v>0</v>
      </c>
    </row>
    <row r="13" spans="1:25" x14ac:dyDescent="0.35">
      <c r="A13" t="s">
        <v>29</v>
      </c>
      <c r="B13" t="s">
        <v>37</v>
      </c>
      <c r="C13" t="s">
        <v>62</v>
      </c>
      <c r="D13">
        <v>9.08</v>
      </c>
      <c r="E13">
        <v>45.41</v>
      </c>
      <c r="F13">
        <v>1</v>
      </c>
      <c r="G13">
        <v>1</v>
      </c>
      <c r="H13">
        <v>45.41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45.41</v>
      </c>
      <c r="T13">
        <f t="shared" si="0"/>
        <v>0</v>
      </c>
    </row>
    <row r="14" spans="1:25" x14ac:dyDescent="0.35">
      <c r="A14" t="s">
        <v>29</v>
      </c>
      <c r="B14" t="s">
        <v>37</v>
      </c>
      <c r="C14" t="s">
        <v>63</v>
      </c>
      <c r="D14">
        <v>7.49</v>
      </c>
      <c r="E14">
        <v>89.91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89.91</v>
      </c>
      <c r="O14">
        <v>0</v>
      </c>
      <c r="P14">
        <v>0</v>
      </c>
      <c r="Q14">
        <v>89.91</v>
      </c>
      <c r="T14">
        <f t="shared" si="0"/>
        <v>0</v>
      </c>
    </row>
    <row r="15" spans="1:25" x14ac:dyDescent="0.35">
      <c r="A15" t="s">
        <v>29</v>
      </c>
      <c r="B15" t="s">
        <v>38</v>
      </c>
      <c r="C15" t="s">
        <v>62</v>
      </c>
      <c r="D15">
        <v>12.5</v>
      </c>
      <c r="E15">
        <v>37.5</v>
      </c>
      <c r="F15">
        <v>1</v>
      </c>
      <c r="G15">
        <v>1</v>
      </c>
      <c r="H15">
        <v>37.5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37.5</v>
      </c>
      <c r="T15">
        <f t="shared" si="0"/>
        <v>0</v>
      </c>
    </row>
    <row r="16" spans="1:25" x14ac:dyDescent="0.35">
      <c r="A16" t="s">
        <v>29</v>
      </c>
      <c r="B16" t="s">
        <v>38</v>
      </c>
      <c r="C16" t="s">
        <v>64</v>
      </c>
      <c r="D16">
        <v>7.86</v>
      </c>
      <c r="E16">
        <v>47.18</v>
      </c>
      <c r="F16">
        <v>1</v>
      </c>
      <c r="G16">
        <v>1</v>
      </c>
      <c r="H16">
        <v>47.18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47.18</v>
      </c>
      <c r="T16">
        <f t="shared" si="0"/>
        <v>0</v>
      </c>
    </row>
    <row r="17" spans="1:20" x14ac:dyDescent="0.35">
      <c r="A17" t="s">
        <v>29</v>
      </c>
      <c r="B17" t="s">
        <v>38</v>
      </c>
      <c r="C17" t="s">
        <v>65</v>
      </c>
      <c r="D17">
        <v>6.73</v>
      </c>
      <c r="E17">
        <v>693.03</v>
      </c>
      <c r="F17">
        <v>13</v>
      </c>
      <c r="G17">
        <v>8</v>
      </c>
      <c r="H17">
        <v>43.11</v>
      </c>
      <c r="I17">
        <v>3</v>
      </c>
      <c r="J17">
        <v>67.87</v>
      </c>
      <c r="K17">
        <v>2</v>
      </c>
      <c r="L17">
        <v>72.260000000000005</v>
      </c>
      <c r="M17">
        <v>0</v>
      </c>
      <c r="N17">
        <v>0</v>
      </c>
      <c r="O17">
        <v>0</v>
      </c>
      <c r="P17">
        <v>0</v>
      </c>
      <c r="Q17">
        <v>53.31</v>
      </c>
      <c r="T17">
        <f t="shared" si="0"/>
        <v>0</v>
      </c>
    </row>
    <row r="18" spans="1:20" x14ac:dyDescent="0.35">
      <c r="A18" t="s">
        <v>29</v>
      </c>
      <c r="B18" t="s">
        <v>39</v>
      </c>
      <c r="C18" t="s">
        <v>66</v>
      </c>
      <c r="D18">
        <v>4.2</v>
      </c>
      <c r="E18">
        <v>16.82</v>
      </c>
      <c r="F18">
        <v>1</v>
      </c>
      <c r="G18">
        <v>0</v>
      </c>
      <c r="H18">
        <v>0</v>
      </c>
      <c r="I18">
        <v>1</v>
      </c>
      <c r="J18">
        <v>16.82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16.82</v>
      </c>
      <c r="T18">
        <f t="shared" si="0"/>
        <v>0</v>
      </c>
    </row>
    <row r="19" spans="1:20" x14ac:dyDescent="0.35">
      <c r="A19" t="s">
        <v>29</v>
      </c>
      <c r="B19" t="s">
        <v>39</v>
      </c>
      <c r="C19" t="s">
        <v>67</v>
      </c>
      <c r="D19">
        <v>3.65</v>
      </c>
      <c r="E19">
        <v>65.67</v>
      </c>
      <c r="F19">
        <v>4</v>
      </c>
      <c r="G19">
        <v>3</v>
      </c>
      <c r="H19">
        <v>15.65</v>
      </c>
      <c r="I19">
        <v>0</v>
      </c>
      <c r="J19">
        <v>0</v>
      </c>
      <c r="K19">
        <v>1</v>
      </c>
      <c r="L19">
        <v>18.73</v>
      </c>
      <c r="M19">
        <v>0</v>
      </c>
      <c r="N19">
        <v>0</v>
      </c>
      <c r="O19">
        <v>0</v>
      </c>
      <c r="P19">
        <v>0</v>
      </c>
      <c r="Q19">
        <v>16.420000000000002</v>
      </c>
      <c r="T19">
        <f t="shared" si="0"/>
        <v>0</v>
      </c>
    </row>
    <row r="20" spans="1:20" x14ac:dyDescent="0.35">
      <c r="A20" t="s">
        <v>29</v>
      </c>
      <c r="B20" t="s">
        <v>39</v>
      </c>
      <c r="C20" t="s">
        <v>68</v>
      </c>
      <c r="D20">
        <v>3.63</v>
      </c>
      <c r="E20">
        <v>156.28</v>
      </c>
      <c r="F20">
        <v>9</v>
      </c>
      <c r="G20">
        <v>3</v>
      </c>
      <c r="H20">
        <v>12</v>
      </c>
      <c r="I20">
        <v>0</v>
      </c>
      <c r="J20">
        <v>0</v>
      </c>
      <c r="K20">
        <v>4</v>
      </c>
      <c r="L20">
        <v>19.37</v>
      </c>
      <c r="M20">
        <v>2</v>
      </c>
      <c r="N20">
        <v>21.41</v>
      </c>
      <c r="O20">
        <v>0</v>
      </c>
      <c r="P20">
        <v>0</v>
      </c>
      <c r="Q20">
        <v>17.36</v>
      </c>
      <c r="T20">
        <f t="shared" si="0"/>
        <v>0</v>
      </c>
    </row>
    <row r="21" spans="1:20" x14ac:dyDescent="0.35">
      <c r="A21" t="s">
        <v>30</v>
      </c>
      <c r="B21" t="s">
        <v>40</v>
      </c>
      <c r="C21" t="s">
        <v>69</v>
      </c>
      <c r="D21">
        <v>7.53</v>
      </c>
      <c r="E21">
        <v>97.93</v>
      </c>
      <c r="F21">
        <v>1</v>
      </c>
      <c r="G21">
        <v>0</v>
      </c>
      <c r="H21">
        <v>0</v>
      </c>
      <c r="I21">
        <v>0</v>
      </c>
      <c r="J21">
        <v>0</v>
      </c>
      <c r="K21">
        <v>1</v>
      </c>
      <c r="L21">
        <v>97.93</v>
      </c>
      <c r="M21">
        <v>0</v>
      </c>
      <c r="N21">
        <v>0</v>
      </c>
      <c r="O21">
        <v>0</v>
      </c>
      <c r="P21">
        <v>0</v>
      </c>
      <c r="Q21">
        <v>97.93</v>
      </c>
      <c r="T21">
        <f t="shared" si="0"/>
        <v>0</v>
      </c>
    </row>
    <row r="22" spans="1:20" x14ac:dyDescent="0.35">
      <c r="A22" t="s">
        <v>30</v>
      </c>
      <c r="B22" t="s">
        <v>40</v>
      </c>
      <c r="C22" t="s">
        <v>70</v>
      </c>
      <c r="D22">
        <v>7.46</v>
      </c>
      <c r="E22">
        <v>74.63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74.63</v>
      </c>
      <c r="M22">
        <v>0</v>
      </c>
      <c r="N22">
        <v>0</v>
      </c>
      <c r="O22">
        <v>0</v>
      </c>
      <c r="P22">
        <v>0</v>
      </c>
      <c r="Q22">
        <v>74.63</v>
      </c>
      <c r="T22">
        <f t="shared" si="0"/>
        <v>0</v>
      </c>
    </row>
    <row r="23" spans="1:20" x14ac:dyDescent="0.35">
      <c r="A23" t="s">
        <v>30</v>
      </c>
      <c r="B23" t="s">
        <v>40</v>
      </c>
      <c r="C23" t="s">
        <v>71</v>
      </c>
      <c r="D23">
        <v>6.88</v>
      </c>
      <c r="E23">
        <v>336.97</v>
      </c>
      <c r="F23">
        <v>3</v>
      </c>
      <c r="G23">
        <v>0</v>
      </c>
      <c r="H23">
        <v>0</v>
      </c>
      <c r="I23">
        <v>1</v>
      </c>
      <c r="J23">
        <v>65.760000000000005</v>
      </c>
      <c r="K23">
        <v>0</v>
      </c>
      <c r="L23">
        <v>0</v>
      </c>
      <c r="M23">
        <v>2</v>
      </c>
      <c r="N23">
        <v>135.61000000000001</v>
      </c>
      <c r="O23">
        <v>0</v>
      </c>
      <c r="P23">
        <v>0</v>
      </c>
      <c r="Q23">
        <v>112.32</v>
      </c>
      <c r="T23">
        <f t="shared" si="0"/>
        <v>0</v>
      </c>
    </row>
    <row r="24" spans="1:20" x14ac:dyDescent="0.35">
      <c r="A24" t="s">
        <v>30</v>
      </c>
      <c r="B24" t="s">
        <v>41</v>
      </c>
      <c r="C24" t="s">
        <v>72</v>
      </c>
      <c r="D24">
        <v>7.34</v>
      </c>
      <c r="E24">
        <v>168.88</v>
      </c>
      <c r="F24">
        <v>3</v>
      </c>
      <c r="G24">
        <v>1</v>
      </c>
      <c r="H24">
        <v>38.04</v>
      </c>
      <c r="I24">
        <v>0</v>
      </c>
      <c r="J24">
        <v>0</v>
      </c>
      <c r="K24">
        <v>1</v>
      </c>
      <c r="L24">
        <v>61.55</v>
      </c>
      <c r="M24">
        <v>1</v>
      </c>
      <c r="N24">
        <v>69.290000000000006</v>
      </c>
      <c r="O24">
        <v>0</v>
      </c>
      <c r="P24">
        <v>0</v>
      </c>
      <c r="Q24">
        <v>56.29</v>
      </c>
      <c r="T24">
        <f t="shared" si="0"/>
        <v>0</v>
      </c>
    </row>
    <row r="25" spans="1:20" x14ac:dyDescent="0.35">
      <c r="A25" t="s">
        <v>30</v>
      </c>
      <c r="B25" t="s">
        <v>41</v>
      </c>
      <c r="C25" t="s">
        <v>73</v>
      </c>
      <c r="D25">
        <v>6.21</v>
      </c>
      <c r="E25">
        <v>100.67</v>
      </c>
      <c r="F25">
        <v>2</v>
      </c>
      <c r="G25">
        <v>1</v>
      </c>
      <c r="H25">
        <v>37.729999999999997</v>
      </c>
      <c r="I25">
        <v>1</v>
      </c>
      <c r="J25">
        <v>62.95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50.34</v>
      </c>
      <c r="T25">
        <f t="shared" si="0"/>
        <v>0</v>
      </c>
    </row>
    <row r="26" spans="1:20" x14ac:dyDescent="0.35">
      <c r="A26" t="s">
        <v>30</v>
      </c>
      <c r="B26" t="s">
        <v>41</v>
      </c>
      <c r="C26" t="s">
        <v>74</v>
      </c>
      <c r="D26">
        <v>5.78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T26">
        <f t="shared" si="0"/>
        <v>0</v>
      </c>
    </row>
    <row r="27" spans="1:20" x14ac:dyDescent="0.35">
      <c r="A27" t="s">
        <v>30</v>
      </c>
      <c r="B27" t="s">
        <v>42</v>
      </c>
      <c r="C27" t="s">
        <v>75</v>
      </c>
      <c r="D27">
        <v>6.52</v>
      </c>
      <c r="E27">
        <v>143.46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143.46</v>
      </c>
      <c r="O27">
        <v>0</v>
      </c>
      <c r="P27">
        <v>0</v>
      </c>
      <c r="Q27">
        <v>143.46</v>
      </c>
      <c r="T27">
        <f t="shared" si="0"/>
        <v>0</v>
      </c>
    </row>
    <row r="28" spans="1:20" x14ac:dyDescent="0.35">
      <c r="A28" t="s">
        <v>30</v>
      </c>
      <c r="B28" t="s">
        <v>42</v>
      </c>
      <c r="C28" t="s">
        <v>76</v>
      </c>
      <c r="D28">
        <v>5.16</v>
      </c>
      <c r="E28">
        <v>67.11</v>
      </c>
      <c r="F28">
        <v>1</v>
      </c>
      <c r="G28">
        <v>0</v>
      </c>
      <c r="H28">
        <v>0</v>
      </c>
      <c r="I28">
        <v>1</v>
      </c>
      <c r="J28">
        <v>67.11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67.11</v>
      </c>
      <c r="T28">
        <f t="shared" si="0"/>
        <v>0</v>
      </c>
    </row>
    <row r="29" spans="1:20" x14ac:dyDescent="0.35">
      <c r="A29" t="s">
        <v>30</v>
      </c>
      <c r="B29" t="s">
        <v>42</v>
      </c>
      <c r="C29" t="s">
        <v>77</v>
      </c>
      <c r="D29">
        <v>4.84</v>
      </c>
      <c r="E29">
        <v>101.69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101.69</v>
      </c>
      <c r="O29">
        <v>0</v>
      </c>
      <c r="P29">
        <v>0</v>
      </c>
      <c r="Q29">
        <v>101.69</v>
      </c>
      <c r="T29">
        <f t="shared" si="0"/>
        <v>0</v>
      </c>
    </row>
    <row r="30" spans="1:20" x14ac:dyDescent="0.35">
      <c r="A30" t="s">
        <v>30</v>
      </c>
      <c r="B30" t="s">
        <v>43</v>
      </c>
      <c r="C30" t="s">
        <v>74</v>
      </c>
      <c r="D30">
        <v>7.14</v>
      </c>
      <c r="E30">
        <v>50</v>
      </c>
      <c r="F30">
        <v>1</v>
      </c>
      <c r="G30">
        <v>0</v>
      </c>
      <c r="H30">
        <v>0</v>
      </c>
      <c r="I30">
        <v>0</v>
      </c>
      <c r="J30">
        <v>0</v>
      </c>
      <c r="K30">
        <v>1</v>
      </c>
      <c r="L30">
        <v>50</v>
      </c>
      <c r="M30">
        <v>0</v>
      </c>
      <c r="N30">
        <v>0</v>
      </c>
      <c r="O30">
        <v>0</v>
      </c>
      <c r="P30">
        <v>0</v>
      </c>
      <c r="Q30">
        <v>50</v>
      </c>
      <c r="T30">
        <f t="shared" si="0"/>
        <v>0</v>
      </c>
    </row>
    <row r="31" spans="1:20" x14ac:dyDescent="0.35">
      <c r="A31" t="s">
        <v>30</v>
      </c>
      <c r="B31" t="s">
        <v>43</v>
      </c>
      <c r="C31" t="s">
        <v>78</v>
      </c>
      <c r="D31">
        <v>4.82</v>
      </c>
      <c r="E31">
        <v>386</v>
      </c>
      <c r="F31">
        <v>8</v>
      </c>
      <c r="G31">
        <v>3</v>
      </c>
      <c r="H31">
        <v>29.67</v>
      </c>
      <c r="I31">
        <v>2</v>
      </c>
      <c r="J31">
        <v>48</v>
      </c>
      <c r="K31">
        <v>2</v>
      </c>
      <c r="L31">
        <v>56</v>
      </c>
      <c r="M31">
        <v>1</v>
      </c>
      <c r="N31">
        <v>89</v>
      </c>
      <c r="O31">
        <v>0</v>
      </c>
      <c r="P31">
        <v>0</v>
      </c>
      <c r="Q31">
        <v>48.25</v>
      </c>
      <c r="T31">
        <f t="shared" si="0"/>
        <v>0</v>
      </c>
    </row>
    <row r="32" spans="1:20" x14ac:dyDescent="0.35">
      <c r="A32" t="s">
        <v>30</v>
      </c>
      <c r="B32" t="s">
        <v>43</v>
      </c>
      <c r="C32" t="s">
        <v>79</v>
      </c>
      <c r="D32">
        <v>3.12</v>
      </c>
      <c r="E32">
        <v>318</v>
      </c>
      <c r="F32">
        <v>7</v>
      </c>
      <c r="G32">
        <v>4</v>
      </c>
      <c r="H32">
        <v>29.25</v>
      </c>
      <c r="I32">
        <v>0</v>
      </c>
      <c r="J32">
        <v>0</v>
      </c>
      <c r="K32">
        <v>2</v>
      </c>
      <c r="L32">
        <v>56</v>
      </c>
      <c r="M32">
        <v>1</v>
      </c>
      <c r="N32">
        <v>89</v>
      </c>
      <c r="O32">
        <v>0</v>
      </c>
      <c r="P32">
        <v>0</v>
      </c>
      <c r="Q32">
        <v>45.43</v>
      </c>
      <c r="T32">
        <f t="shared" si="0"/>
        <v>0</v>
      </c>
    </row>
    <row r="33" spans="1:20" x14ac:dyDescent="0.35">
      <c r="A33" t="s">
        <v>30</v>
      </c>
      <c r="B33" t="s">
        <v>44</v>
      </c>
      <c r="C33" t="s">
        <v>80</v>
      </c>
      <c r="D33">
        <v>8.92</v>
      </c>
      <c r="E33">
        <v>736.01</v>
      </c>
      <c r="F33">
        <v>16</v>
      </c>
      <c r="G33">
        <v>10</v>
      </c>
      <c r="H33">
        <v>35.450000000000003</v>
      </c>
      <c r="I33">
        <v>4</v>
      </c>
      <c r="J33">
        <v>59.49</v>
      </c>
      <c r="K33">
        <v>0</v>
      </c>
      <c r="L33">
        <v>0</v>
      </c>
      <c r="M33">
        <v>2</v>
      </c>
      <c r="N33">
        <v>71.760000000000005</v>
      </c>
      <c r="O33">
        <v>0</v>
      </c>
      <c r="P33">
        <v>0</v>
      </c>
      <c r="Q33">
        <v>46</v>
      </c>
      <c r="T33">
        <f t="shared" si="0"/>
        <v>0</v>
      </c>
    </row>
    <row r="34" spans="1:20" x14ac:dyDescent="0.35">
      <c r="A34" t="s">
        <v>30</v>
      </c>
      <c r="B34" t="s">
        <v>44</v>
      </c>
      <c r="C34" t="s">
        <v>81</v>
      </c>
      <c r="D34">
        <v>8.59</v>
      </c>
      <c r="E34">
        <v>821.02</v>
      </c>
      <c r="F34">
        <v>21</v>
      </c>
      <c r="G34">
        <v>17</v>
      </c>
      <c r="H34">
        <v>34.17</v>
      </c>
      <c r="I34">
        <v>3</v>
      </c>
      <c r="J34">
        <v>55.81</v>
      </c>
      <c r="K34">
        <v>0</v>
      </c>
      <c r="L34">
        <v>0</v>
      </c>
      <c r="M34">
        <v>1</v>
      </c>
      <c r="N34">
        <v>72.63</v>
      </c>
      <c r="O34">
        <v>0</v>
      </c>
      <c r="P34">
        <v>0</v>
      </c>
      <c r="Q34">
        <v>39.1</v>
      </c>
      <c r="T34">
        <f t="shared" si="0"/>
        <v>0</v>
      </c>
    </row>
    <row r="35" spans="1:20" x14ac:dyDescent="0.35">
      <c r="A35" t="s">
        <v>30</v>
      </c>
      <c r="B35" t="s">
        <v>44</v>
      </c>
      <c r="C35" t="s">
        <v>82</v>
      </c>
      <c r="D35">
        <v>6.66</v>
      </c>
      <c r="E35">
        <v>139.83000000000001</v>
      </c>
      <c r="F35">
        <v>2</v>
      </c>
      <c r="G35">
        <v>1</v>
      </c>
      <c r="H35">
        <v>37.93</v>
      </c>
      <c r="I35">
        <v>0</v>
      </c>
      <c r="J35">
        <v>0</v>
      </c>
      <c r="K35">
        <v>1</v>
      </c>
      <c r="L35">
        <v>101.9</v>
      </c>
      <c r="M35">
        <v>0</v>
      </c>
      <c r="N35">
        <v>0</v>
      </c>
      <c r="O35">
        <v>0</v>
      </c>
      <c r="P35">
        <v>0</v>
      </c>
      <c r="Q35">
        <v>69.92</v>
      </c>
      <c r="T35">
        <f t="shared" si="0"/>
        <v>0</v>
      </c>
    </row>
    <row r="36" spans="1:20" x14ac:dyDescent="0.35">
      <c r="A36" t="s">
        <v>30</v>
      </c>
      <c r="B36" t="s">
        <v>45</v>
      </c>
      <c r="C36" t="s">
        <v>52</v>
      </c>
      <c r="D36">
        <v>6.68</v>
      </c>
      <c r="E36">
        <v>66.78</v>
      </c>
      <c r="F36">
        <v>1</v>
      </c>
      <c r="G36">
        <v>0</v>
      </c>
      <c r="H36">
        <v>0</v>
      </c>
      <c r="I36">
        <v>1</v>
      </c>
      <c r="J36">
        <v>66.78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66.78</v>
      </c>
      <c r="T36">
        <f t="shared" si="0"/>
        <v>0</v>
      </c>
    </row>
    <row r="37" spans="1:20" x14ac:dyDescent="0.35">
      <c r="A37" t="s">
        <v>30</v>
      </c>
      <c r="B37" t="s">
        <v>45</v>
      </c>
      <c r="C37" t="s">
        <v>83</v>
      </c>
      <c r="D37">
        <v>6.23</v>
      </c>
      <c r="E37">
        <v>224.44</v>
      </c>
      <c r="F37">
        <v>4</v>
      </c>
      <c r="G37">
        <v>1</v>
      </c>
      <c r="H37">
        <v>36.159999999999997</v>
      </c>
      <c r="I37">
        <v>2</v>
      </c>
      <c r="J37">
        <v>63.14</v>
      </c>
      <c r="K37">
        <v>1</v>
      </c>
      <c r="L37">
        <v>62</v>
      </c>
      <c r="M37">
        <v>0</v>
      </c>
      <c r="N37">
        <v>0</v>
      </c>
      <c r="O37">
        <v>0</v>
      </c>
      <c r="P37">
        <v>0</v>
      </c>
      <c r="Q37">
        <v>56.11</v>
      </c>
      <c r="T37">
        <f t="shared" si="0"/>
        <v>0</v>
      </c>
    </row>
    <row r="38" spans="1:20" x14ac:dyDescent="0.35">
      <c r="A38" t="s">
        <v>30</v>
      </c>
      <c r="B38" t="s">
        <v>45</v>
      </c>
      <c r="C38" t="s">
        <v>84</v>
      </c>
      <c r="D38">
        <v>5.63</v>
      </c>
      <c r="E38">
        <v>142.1</v>
      </c>
      <c r="F38">
        <v>3</v>
      </c>
      <c r="G38">
        <v>2</v>
      </c>
      <c r="H38">
        <v>36.36</v>
      </c>
      <c r="I38">
        <v>1</v>
      </c>
      <c r="J38">
        <v>69.38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47.37</v>
      </c>
      <c r="T38">
        <f t="shared" si="0"/>
        <v>0</v>
      </c>
    </row>
    <row r="39" spans="1:20" x14ac:dyDescent="0.35">
      <c r="A39" t="s">
        <v>30</v>
      </c>
      <c r="B39" t="s">
        <v>46</v>
      </c>
      <c r="C39" t="s">
        <v>85</v>
      </c>
      <c r="D39">
        <v>6.94</v>
      </c>
      <c r="E39">
        <v>97.17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97.17</v>
      </c>
      <c r="O39">
        <v>0</v>
      </c>
      <c r="P39">
        <v>0</v>
      </c>
      <c r="Q39">
        <v>97.17</v>
      </c>
      <c r="T39">
        <f t="shared" si="0"/>
        <v>0</v>
      </c>
    </row>
    <row r="40" spans="1:20" x14ac:dyDescent="0.35">
      <c r="A40" t="s">
        <v>30</v>
      </c>
      <c r="B40" t="s">
        <v>46</v>
      </c>
      <c r="C40" t="s">
        <v>86</v>
      </c>
      <c r="D40">
        <v>6.58</v>
      </c>
      <c r="E40">
        <v>590.98</v>
      </c>
      <c r="F40">
        <v>10</v>
      </c>
      <c r="G40">
        <v>5</v>
      </c>
      <c r="H40">
        <v>39.479999999999997</v>
      </c>
      <c r="I40">
        <v>1</v>
      </c>
      <c r="J40">
        <v>65.03</v>
      </c>
      <c r="K40">
        <v>1</v>
      </c>
      <c r="L40">
        <v>67.260000000000005</v>
      </c>
      <c r="M40">
        <v>3</v>
      </c>
      <c r="N40">
        <v>87.09</v>
      </c>
      <c r="O40">
        <v>0</v>
      </c>
      <c r="P40">
        <v>0</v>
      </c>
      <c r="Q40">
        <v>59.1</v>
      </c>
      <c r="T40">
        <f t="shared" si="0"/>
        <v>0</v>
      </c>
    </row>
    <row r="41" spans="1:20" x14ac:dyDescent="0.35">
      <c r="A41" t="s">
        <v>30</v>
      </c>
      <c r="B41" t="s">
        <v>46</v>
      </c>
      <c r="C41" t="s">
        <v>87</v>
      </c>
      <c r="D41">
        <v>6.23</v>
      </c>
      <c r="E41">
        <v>386.17</v>
      </c>
      <c r="F41">
        <v>7</v>
      </c>
      <c r="G41">
        <v>4</v>
      </c>
      <c r="H41">
        <v>37.93</v>
      </c>
      <c r="I41">
        <v>1</v>
      </c>
      <c r="J41">
        <v>55.45</v>
      </c>
      <c r="K41">
        <v>1</v>
      </c>
      <c r="L41">
        <v>81.83</v>
      </c>
      <c r="M41">
        <v>1</v>
      </c>
      <c r="N41">
        <v>97.17</v>
      </c>
      <c r="O41">
        <v>0</v>
      </c>
      <c r="P41">
        <v>0</v>
      </c>
      <c r="Q41">
        <v>55.17</v>
      </c>
      <c r="T41">
        <f t="shared" si="0"/>
        <v>0</v>
      </c>
    </row>
    <row r="42" spans="1:20" x14ac:dyDescent="0.35">
      <c r="A42" t="s">
        <v>30</v>
      </c>
      <c r="B42" t="s">
        <v>47</v>
      </c>
      <c r="C42" t="s">
        <v>88</v>
      </c>
      <c r="D42">
        <v>6.83</v>
      </c>
      <c r="E42">
        <v>34.17</v>
      </c>
      <c r="F42">
        <v>1</v>
      </c>
      <c r="G42">
        <v>0</v>
      </c>
      <c r="H42">
        <v>0</v>
      </c>
      <c r="I42">
        <v>1</v>
      </c>
      <c r="J42">
        <v>34.17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34.17</v>
      </c>
      <c r="T42">
        <f t="shared" si="0"/>
        <v>0</v>
      </c>
    </row>
    <row r="43" spans="1:20" x14ac:dyDescent="0.35">
      <c r="A43" t="s">
        <v>30</v>
      </c>
      <c r="B43" t="s">
        <v>47</v>
      </c>
      <c r="C43" t="s">
        <v>89</v>
      </c>
      <c r="D43">
        <v>5.79</v>
      </c>
      <c r="E43">
        <v>121.69</v>
      </c>
      <c r="F43">
        <v>4</v>
      </c>
      <c r="G43">
        <v>1</v>
      </c>
      <c r="H43">
        <v>18.12</v>
      </c>
      <c r="I43">
        <v>1</v>
      </c>
      <c r="J43">
        <v>34.17</v>
      </c>
      <c r="K43">
        <v>2</v>
      </c>
      <c r="L43">
        <v>34.700000000000003</v>
      </c>
      <c r="M43">
        <v>0</v>
      </c>
      <c r="N43">
        <v>0</v>
      </c>
      <c r="O43">
        <v>0</v>
      </c>
      <c r="P43">
        <v>0</v>
      </c>
      <c r="Q43">
        <v>30.42</v>
      </c>
      <c r="T43">
        <f t="shared" si="0"/>
        <v>0</v>
      </c>
    </row>
    <row r="44" spans="1:20" x14ac:dyDescent="0.35">
      <c r="A44" t="s">
        <v>30</v>
      </c>
      <c r="B44" t="s">
        <v>47</v>
      </c>
      <c r="C44" t="s">
        <v>90</v>
      </c>
      <c r="D44">
        <v>4.95</v>
      </c>
      <c r="E44">
        <v>351.3</v>
      </c>
      <c r="F44">
        <v>12</v>
      </c>
      <c r="G44">
        <v>7</v>
      </c>
      <c r="H44">
        <v>18.78</v>
      </c>
      <c r="I44">
        <v>1</v>
      </c>
      <c r="J44">
        <v>28.37</v>
      </c>
      <c r="K44">
        <v>0</v>
      </c>
      <c r="L44">
        <v>0</v>
      </c>
      <c r="M44">
        <v>4</v>
      </c>
      <c r="N44">
        <v>47.87</v>
      </c>
      <c r="O44">
        <v>0</v>
      </c>
      <c r="P44">
        <v>0</v>
      </c>
      <c r="Q44">
        <v>29.27</v>
      </c>
      <c r="T44">
        <f t="shared" si="0"/>
        <v>0</v>
      </c>
    </row>
    <row r="45" spans="1:20" x14ac:dyDescent="0.35">
      <c r="A45" t="s">
        <v>31</v>
      </c>
      <c r="B45" t="s">
        <v>48</v>
      </c>
      <c r="C45" t="s">
        <v>91</v>
      </c>
      <c r="D45">
        <v>4.01</v>
      </c>
      <c r="E45">
        <v>376.42</v>
      </c>
      <c r="F45">
        <v>16</v>
      </c>
      <c r="G45">
        <v>11</v>
      </c>
      <c r="H45">
        <v>21.17</v>
      </c>
      <c r="I45">
        <v>2</v>
      </c>
      <c r="J45">
        <v>27.09</v>
      </c>
      <c r="K45">
        <v>3</v>
      </c>
      <c r="L45">
        <v>29.78</v>
      </c>
      <c r="M45">
        <v>0</v>
      </c>
      <c r="N45">
        <v>0</v>
      </c>
      <c r="O45">
        <v>0</v>
      </c>
      <c r="P45">
        <v>0</v>
      </c>
      <c r="Q45">
        <v>23.53</v>
      </c>
      <c r="T45">
        <f t="shared" si="0"/>
        <v>0</v>
      </c>
    </row>
    <row r="46" spans="1:20" x14ac:dyDescent="0.35">
      <c r="A46" t="s">
        <v>31</v>
      </c>
      <c r="B46" t="s">
        <v>49</v>
      </c>
      <c r="C46" t="s">
        <v>92</v>
      </c>
      <c r="D46">
        <v>2.67</v>
      </c>
      <c r="E46">
        <v>56.08</v>
      </c>
      <c r="F46">
        <v>3</v>
      </c>
      <c r="G46">
        <v>3</v>
      </c>
      <c r="H46">
        <v>18.690000000000001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18.690000000000001</v>
      </c>
      <c r="T46">
        <f t="shared" si="0"/>
        <v>0</v>
      </c>
    </row>
    <row r="50" spans="1:22" x14ac:dyDescent="0.35">
      <c r="A50" t="s">
        <v>93</v>
      </c>
    </row>
    <row r="51" spans="1:22" x14ac:dyDescent="0.35">
      <c r="A51" s="1" t="s">
        <v>28</v>
      </c>
      <c r="B51" s="1" t="s">
        <v>33</v>
      </c>
      <c r="C51" s="1" t="s">
        <v>51</v>
      </c>
      <c r="D51" s="1" t="s">
        <v>14</v>
      </c>
      <c r="E51" s="1" t="s">
        <v>15</v>
      </c>
      <c r="F51" s="1" t="s">
        <v>16</v>
      </c>
      <c r="G51" s="1" t="s">
        <v>17</v>
      </c>
      <c r="H51" s="1" t="s">
        <v>18</v>
      </c>
      <c r="I51" s="1" t="s">
        <v>19</v>
      </c>
      <c r="J51" s="1" t="s">
        <v>20</v>
      </c>
      <c r="K51" s="1" t="s">
        <v>21</v>
      </c>
      <c r="L51" s="1" t="s">
        <v>22</v>
      </c>
      <c r="M51" s="1" t="s">
        <v>23</v>
      </c>
      <c r="N51" s="1" t="s">
        <v>24</v>
      </c>
      <c r="O51" s="1" t="s">
        <v>25</v>
      </c>
      <c r="P51" s="1" t="s">
        <v>26</v>
      </c>
      <c r="Q51" s="1" t="s">
        <v>27</v>
      </c>
    </row>
    <row r="52" spans="1:22" x14ac:dyDescent="0.35">
      <c r="A52" t="s">
        <v>29</v>
      </c>
      <c r="B52" t="s">
        <v>34</v>
      </c>
      <c r="C52" t="s">
        <v>94</v>
      </c>
      <c r="D52">
        <v>2.6</v>
      </c>
      <c r="E52">
        <v>168.83</v>
      </c>
      <c r="F52">
        <v>3</v>
      </c>
      <c r="G52">
        <v>1</v>
      </c>
      <c r="H52">
        <v>37.93</v>
      </c>
      <c r="I52">
        <v>1</v>
      </c>
      <c r="J52">
        <v>65.03</v>
      </c>
      <c r="K52">
        <v>1</v>
      </c>
      <c r="L52">
        <v>65.87</v>
      </c>
      <c r="M52">
        <v>0</v>
      </c>
      <c r="N52">
        <v>0</v>
      </c>
      <c r="O52">
        <v>0</v>
      </c>
      <c r="P52">
        <v>0</v>
      </c>
      <c r="Q52">
        <v>56.28</v>
      </c>
      <c r="R52">
        <v>23</v>
      </c>
      <c r="S52">
        <v>7</v>
      </c>
      <c r="T52">
        <f t="shared" ref="T52:T95" si="1">R52+S52</f>
        <v>30</v>
      </c>
      <c r="U52" t="s">
        <v>137</v>
      </c>
      <c r="V52" t="s">
        <v>138</v>
      </c>
    </row>
    <row r="53" spans="1:22" x14ac:dyDescent="0.35">
      <c r="A53" t="s">
        <v>29</v>
      </c>
      <c r="B53" t="s">
        <v>34</v>
      </c>
      <c r="C53" t="s">
        <v>95</v>
      </c>
      <c r="D53">
        <v>2.62</v>
      </c>
      <c r="E53">
        <v>99.58</v>
      </c>
      <c r="F53">
        <v>2</v>
      </c>
      <c r="G53">
        <v>1</v>
      </c>
      <c r="H53">
        <v>37.14</v>
      </c>
      <c r="I53">
        <v>0</v>
      </c>
      <c r="J53">
        <v>0</v>
      </c>
      <c r="K53">
        <v>1</v>
      </c>
      <c r="L53">
        <v>62.44</v>
      </c>
      <c r="M53">
        <v>0</v>
      </c>
      <c r="N53">
        <v>0</v>
      </c>
      <c r="O53">
        <v>0</v>
      </c>
      <c r="P53">
        <v>0</v>
      </c>
      <c r="Q53">
        <v>49.79</v>
      </c>
      <c r="R53">
        <v>23</v>
      </c>
      <c r="S53">
        <v>7</v>
      </c>
      <c r="T53">
        <f t="shared" si="1"/>
        <v>30</v>
      </c>
    </row>
    <row r="54" spans="1:22" x14ac:dyDescent="0.35">
      <c r="A54" t="s">
        <v>29</v>
      </c>
      <c r="B54" t="s">
        <v>34</v>
      </c>
      <c r="C54" t="s">
        <v>96</v>
      </c>
      <c r="D54">
        <v>2.82</v>
      </c>
      <c r="E54">
        <v>272.99</v>
      </c>
      <c r="F54">
        <v>5</v>
      </c>
      <c r="G54">
        <v>2</v>
      </c>
      <c r="H54">
        <v>39.700000000000003</v>
      </c>
      <c r="I54">
        <v>1</v>
      </c>
      <c r="J54">
        <v>66.78</v>
      </c>
      <c r="K54">
        <v>1</v>
      </c>
      <c r="L54">
        <v>83</v>
      </c>
      <c r="M54">
        <v>1</v>
      </c>
      <c r="N54">
        <v>43.8</v>
      </c>
      <c r="O54">
        <v>0</v>
      </c>
      <c r="P54">
        <v>0</v>
      </c>
      <c r="Q54">
        <v>54.6</v>
      </c>
      <c r="R54">
        <v>23</v>
      </c>
      <c r="S54">
        <v>7</v>
      </c>
      <c r="T54">
        <f t="shared" si="1"/>
        <v>30</v>
      </c>
    </row>
    <row r="55" spans="1:22" x14ac:dyDescent="0.35">
      <c r="A55" t="s">
        <v>29</v>
      </c>
      <c r="B55" t="s">
        <v>35</v>
      </c>
      <c r="C55" t="s">
        <v>97</v>
      </c>
      <c r="D55">
        <v>1.55</v>
      </c>
      <c r="E55">
        <v>88.42</v>
      </c>
      <c r="F55">
        <v>2</v>
      </c>
      <c r="G55">
        <v>2</v>
      </c>
      <c r="H55">
        <v>44.21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44.21</v>
      </c>
      <c r="R55">
        <v>19</v>
      </c>
      <c r="S55">
        <v>9</v>
      </c>
      <c r="T55">
        <f t="shared" si="1"/>
        <v>28</v>
      </c>
    </row>
    <row r="56" spans="1:22" x14ac:dyDescent="0.35">
      <c r="A56" t="s">
        <v>29</v>
      </c>
      <c r="B56" t="s">
        <v>35</v>
      </c>
      <c r="C56" t="s">
        <v>98</v>
      </c>
      <c r="D56">
        <v>1.65</v>
      </c>
      <c r="E56">
        <v>72.47</v>
      </c>
      <c r="F56">
        <v>1</v>
      </c>
      <c r="G56">
        <v>0</v>
      </c>
      <c r="H56">
        <v>0</v>
      </c>
      <c r="I56">
        <v>0</v>
      </c>
      <c r="J56">
        <v>0</v>
      </c>
      <c r="K56">
        <v>1</v>
      </c>
      <c r="L56">
        <v>72.47</v>
      </c>
      <c r="M56">
        <v>0</v>
      </c>
      <c r="N56">
        <v>0</v>
      </c>
      <c r="O56">
        <v>0</v>
      </c>
      <c r="P56">
        <v>0</v>
      </c>
      <c r="Q56">
        <v>72.47</v>
      </c>
      <c r="R56">
        <v>18</v>
      </c>
      <c r="S56">
        <v>8</v>
      </c>
      <c r="T56">
        <f t="shared" si="1"/>
        <v>26</v>
      </c>
    </row>
    <row r="57" spans="1:22" x14ac:dyDescent="0.35">
      <c r="A57" t="s">
        <v>29</v>
      </c>
      <c r="B57" t="s">
        <v>35</v>
      </c>
      <c r="C57" t="s">
        <v>99</v>
      </c>
      <c r="D57">
        <v>1.86</v>
      </c>
      <c r="E57">
        <v>37.14</v>
      </c>
      <c r="F57">
        <v>1</v>
      </c>
      <c r="G57">
        <v>1</v>
      </c>
      <c r="H57">
        <v>37.14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37.14</v>
      </c>
      <c r="R57">
        <v>18</v>
      </c>
      <c r="S57">
        <v>9</v>
      </c>
      <c r="T57">
        <f t="shared" si="1"/>
        <v>27</v>
      </c>
    </row>
    <row r="58" spans="1:22" x14ac:dyDescent="0.35">
      <c r="A58" t="s">
        <v>29</v>
      </c>
      <c r="B58" t="s">
        <v>36</v>
      </c>
      <c r="C58" t="s">
        <v>100</v>
      </c>
      <c r="D58">
        <v>2.3199999999999998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T58">
        <f t="shared" si="1"/>
        <v>0</v>
      </c>
    </row>
    <row r="59" spans="1:22" x14ac:dyDescent="0.35">
      <c r="A59" t="s">
        <v>29</v>
      </c>
      <c r="B59" t="s">
        <v>36</v>
      </c>
      <c r="C59" t="s">
        <v>101</v>
      </c>
      <c r="D59">
        <v>2.96</v>
      </c>
      <c r="E59">
        <v>216.73</v>
      </c>
      <c r="F59">
        <v>5</v>
      </c>
      <c r="G59">
        <v>3</v>
      </c>
      <c r="H59">
        <v>43.11</v>
      </c>
      <c r="I59">
        <v>1</v>
      </c>
      <c r="J59">
        <v>55.45</v>
      </c>
      <c r="K59">
        <v>1</v>
      </c>
      <c r="L59">
        <v>31.96</v>
      </c>
      <c r="M59">
        <v>0</v>
      </c>
      <c r="N59">
        <v>0</v>
      </c>
      <c r="O59">
        <v>0</v>
      </c>
      <c r="P59">
        <v>0</v>
      </c>
      <c r="Q59">
        <v>43.35</v>
      </c>
      <c r="T59">
        <f t="shared" si="1"/>
        <v>0</v>
      </c>
    </row>
    <row r="60" spans="1:22" x14ac:dyDescent="0.35">
      <c r="A60" t="s">
        <v>29</v>
      </c>
      <c r="B60" t="s">
        <v>36</v>
      </c>
      <c r="C60" t="s">
        <v>102</v>
      </c>
      <c r="D60">
        <v>3.13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T60">
        <f t="shared" si="1"/>
        <v>0</v>
      </c>
    </row>
    <row r="61" spans="1:22" x14ac:dyDescent="0.35">
      <c r="A61" t="s">
        <v>29</v>
      </c>
      <c r="B61" t="s">
        <v>37</v>
      </c>
      <c r="C61" t="s">
        <v>103</v>
      </c>
      <c r="D61">
        <v>0.43</v>
      </c>
      <c r="E61">
        <v>38.85</v>
      </c>
      <c r="F61">
        <v>1</v>
      </c>
      <c r="G61">
        <v>1</v>
      </c>
      <c r="H61">
        <v>38.85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38.85</v>
      </c>
      <c r="T61">
        <f t="shared" si="1"/>
        <v>0</v>
      </c>
    </row>
    <row r="62" spans="1:22" x14ac:dyDescent="0.35">
      <c r="A62" t="s">
        <v>29</v>
      </c>
      <c r="B62" t="s">
        <v>37</v>
      </c>
      <c r="C62" t="s">
        <v>104</v>
      </c>
      <c r="D62">
        <v>1.18</v>
      </c>
      <c r="E62">
        <v>38.85</v>
      </c>
      <c r="F62">
        <v>1</v>
      </c>
      <c r="G62">
        <v>1</v>
      </c>
      <c r="H62">
        <v>38.85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38.85</v>
      </c>
      <c r="T62">
        <f t="shared" si="1"/>
        <v>0</v>
      </c>
    </row>
    <row r="63" spans="1:22" x14ac:dyDescent="0.35">
      <c r="A63" t="s">
        <v>29</v>
      </c>
      <c r="B63" t="s">
        <v>37</v>
      </c>
      <c r="C63" t="s">
        <v>105</v>
      </c>
      <c r="D63">
        <v>1.7</v>
      </c>
      <c r="E63">
        <v>129.11000000000001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129.11000000000001</v>
      </c>
      <c r="O63">
        <v>0</v>
      </c>
      <c r="P63">
        <v>0</v>
      </c>
      <c r="Q63">
        <v>129.11000000000001</v>
      </c>
      <c r="T63">
        <f t="shared" si="1"/>
        <v>0</v>
      </c>
    </row>
    <row r="64" spans="1:22" x14ac:dyDescent="0.35">
      <c r="A64" t="s">
        <v>29</v>
      </c>
      <c r="B64" t="s">
        <v>38</v>
      </c>
      <c r="C64" t="s">
        <v>106</v>
      </c>
      <c r="D64">
        <v>1.39</v>
      </c>
      <c r="E64">
        <v>112.51</v>
      </c>
      <c r="F64">
        <v>3</v>
      </c>
      <c r="G64">
        <v>3</v>
      </c>
      <c r="H64">
        <v>37.5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37.5</v>
      </c>
      <c r="T64">
        <f t="shared" si="1"/>
        <v>0</v>
      </c>
    </row>
    <row r="65" spans="1:20" x14ac:dyDescent="0.35">
      <c r="A65" t="s">
        <v>29</v>
      </c>
      <c r="B65" t="s">
        <v>38</v>
      </c>
      <c r="C65" t="s">
        <v>107</v>
      </c>
      <c r="D65">
        <v>1.63</v>
      </c>
      <c r="E65">
        <v>37.5</v>
      </c>
      <c r="F65">
        <v>1</v>
      </c>
      <c r="G65">
        <v>1</v>
      </c>
      <c r="H65">
        <v>37.5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37.5</v>
      </c>
      <c r="T65">
        <f t="shared" si="1"/>
        <v>0</v>
      </c>
    </row>
    <row r="66" spans="1:20" x14ac:dyDescent="0.35">
      <c r="A66" t="s">
        <v>29</v>
      </c>
      <c r="B66" t="s">
        <v>38</v>
      </c>
      <c r="C66" t="s">
        <v>108</v>
      </c>
      <c r="D66">
        <v>3.13</v>
      </c>
      <c r="E66">
        <v>37.5</v>
      </c>
      <c r="F66">
        <v>1</v>
      </c>
      <c r="G66">
        <v>1</v>
      </c>
      <c r="H66">
        <v>37.5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37.5</v>
      </c>
      <c r="T66">
        <f t="shared" si="1"/>
        <v>0</v>
      </c>
    </row>
    <row r="67" spans="1:20" x14ac:dyDescent="0.35">
      <c r="A67" t="s">
        <v>29</v>
      </c>
      <c r="B67" t="s">
        <v>39</v>
      </c>
      <c r="C67" t="s">
        <v>109</v>
      </c>
      <c r="D67">
        <v>0.32</v>
      </c>
      <c r="E67">
        <v>25.72</v>
      </c>
      <c r="F67">
        <v>2</v>
      </c>
      <c r="G67">
        <v>2</v>
      </c>
      <c r="H67">
        <v>12.86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12.86</v>
      </c>
      <c r="T67">
        <f t="shared" si="1"/>
        <v>0</v>
      </c>
    </row>
    <row r="68" spans="1:20" x14ac:dyDescent="0.35">
      <c r="A68" t="s">
        <v>29</v>
      </c>
      <c r="B68" t="s">
        <v>39</v>
      </c>
      <c r="C68" t="s">
        <v>110</v>
      </c>
      <c r="D68">
        <v>0.94</v>
      </c>
      <c r="E68">
        <v>18.73</v>
      </c>
      <c r="F68">
        <v>1</v>
      </c>
      <c r="G68">
        <v>0</v>
      </c>
      <c r="H68">
        <v>0</v>
      </c>
      <c r="I68">
        <v>0</v>
      </c>
      <c r="J68">
        <v>0</v>
      </c>
      <c r="K68">
        <v>1</v>
      </c>
      <c r="L68">
        <v>18.73</v>
      </c>
      <c r="M68">
        <v>0</v>
      </c>
      <c r="N68">
        <v>0</v>
      </c>
      <c r="O68">
        <v>0</v>
      </c>
      <c r="P68">
        <v>0</v>
      </c>
      <c r="Q68">
        <v>18.73</v>
      </c>
      <c r="T68">
        <f t="shared" si="1"/>
        <v>0</v>
      </c>
    </row>
    <row r="69" spans="1:20" x14ac:dyDescent="0.35">
      <c r="A69" t="s">
        <v>29</v>
      </c>
      <c r="B69" t="s">
        <v>39</v>
      </c>
      <c r="C69" t="s">
        <v>111</v>
      </c>
      <c r="D69">
        <v>1.0900000000000001</v>
      </c>
      <c r="E69">
        <v>12</v>
      </c>
      <c r="F69">
        <v>1</v>
      </c>
      <c r="G69">
        <v>1</v>
      </c>
      <c r="H69">
        <v>12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12</v>
      </c>
      <c r="T69">
        <f t="shared" si="1"/>
        <v>0</v>
      </c>
    </row>
    <row r="70" spans="1:20" x14ac:dyDescent="0.35">
      <c r="A70" t="s">
        <v>30</v>
      </c>
      <c r="B70" t="s">
        <v>40</v>
      </c>
      <c r="C70" t="s">
        <v>112</v>
      </c>
      <c r="D70">
        <v>0.17</v>
      </c>
      <c r="E70">
        <v>36.04</v>
      </c>
      <c r="F70">
        <v>1</v>
      </c>
      <c r="G70">
        <v>1</v>
      </c>
      <c r="H70">
        <v>36.04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36.04</v>
      </c>
      <c r="T70">
        <f t="shared" si="1"/>
        <v>0</v>
      </c>
    </row>
    <row r="71" spans="1:20" x14ac:dyDescent="0.35">
      <c r="A71" t="s">
        <v>30</v>
      </c>
      <c r="B71" t="s">
        <v>40</v>
      </c>
      <c r="C71" t="s">
        <v>113</v>
      </c>
      <c r="D71">
        <v>0.41</v>
      </c>
      <c r="E71">
        <v>37.729999999999997</v>
      </c>
      <c r="F71">
        <v>1</v>
      </c>
      <c r="G71">
        <v>1</v>
      </c>
      <c r="H71">
        <v>37.729999999999997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37.729999999999997</v>
      </c>
      <c r="T71">
        <f t="shared" si="1"/>
        <v>0</v>
      </c>
    </row>
    <row r="72" spans="1:20" x14ac:dyDescent="0.35">
      <c r="A72" t="s">
        <v>30</v>
      </c>
      <c r="B72" t="s">
        <v>40</v>
      </c>
      <c r="C72" t="s">
        <v>114</v>
      </c>
      <c r="D72">
        <v>0.99</v>
      </c>
      <c r="E72">
        <v>37.729999999999997</v>
      </c>
      <c r="F72">
        <v>1</v>
      </c>
      <c r="G72">
        <v>1</v>
      </c>
      <c r="H72">
        <v>37.729999999999997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37.729999999999997</v>
      </c>
      <c r="T72">
        <f t="shared" si="1"/>
        <v>0</v>
      </c>
    </row>
    <row r="73" spans="1:20" x14ac:dyDescent="0.35">
      <c r="A73" t="s">
        <v>30</v>
      </c>
      <c r="B73" t="s">
        <v>41</v>
      </c>
      <c r="C73" t="s">
        <v>115</v>
      </c>
      <c r="D73">
        <v>1.8</v>
      </c>
      <c r="E73">
        <v>36.04</v>
      </c>
      <c r="F73">
        <v>1</v>
      </c>
      <c r="G73">
        <v>1</v>
      </c>
      <c r="H73">
        <v>36.04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36.04</v>
      </c>
      <c r="T73">
        <f t="shared" si="1"/>
        <v>0</v>
      </c>
    </row>
    <row r="74" spans="1:20" x14ac:dyDescent="0.35">
      <c r="A74" t="s">
        <v>30</v>
      </c>
      <c r="B74" t="s">
        <v>41</v>
      </c>
      <c r="C74" t="s">
        <v>116</v>
      </c>
      <c r="D74">
        <v>2.38</v>
      </c>
      <c r="E74">
        <v>38.04</v>
      </c>
      <c r="F74">
        <v>1</v>
      </c>
      <c r="G74">
        <v>1</v>
      </c>
      <c r="H74">
        <v>38.04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38.04</v>
      </c>
      <c r="T74">
        <f t="shared" si="1"/>
        <v>0</v>
      </c>
    </row>
    <row r="75" spans="1:20" x14ac:dyDescent="0.35">
      <c r="A75" t="s">
        <v>30</v>
      </c>
      <c r="B75" t="s">
        <v>41</v>
      </c>
      <c r="C75" t="s">
        <v>117</v>
      </c>
      <c r="D75">
        <v>2.52</v>
      </c>
      <c r="E75">
        <v>37.729999999999997</v>
      </c>
      <c r="F75">
        <v>1</v>
      </c>
      <c r="G75">
        <v>1</v>
      </c>
      <c r="H75">
        <v>37.729999999999997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37.729999999999997</v>
      </c>
      <c r="T75">
        <f t="shared" si="1"/>
        <v>0</v>
      </c>
    </row>
    <row r="76" spans="1:20" x14ac:dyDescent="0.35">
      <c r="A76" t="s">
        <v>30</v>
      </c>
      <c r="B76" t="s">
        <v>42</v>
      </c>
      <c r="C76" t="s">
        <v>118</v>
      </c>
      <c r="D76">
        <v>1.75</v>
      </c>
      <c r="E76">
        <v>43.78</v>
      </c>
      <c r="F76">
        <v>1</v>
      </c>
      <c r="G76">
        <v>1</v>
      </c>
      <c r="H76">
        <v>43.78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43.78</v>
      </c>
      <c r="T76">
        <f t="shared" si="1"/>
        <v>0</v>
      </c>
    </row>
    <row r="77" spans="1:20" x14ac:dyDescent="0.35">
      <c r="A77" t="s">
        <v>30</v>
      </c>
      <c r="B77" t="s">
        <v>42</v>
      </c>
      <c r="C77" t="s">
        <v>119</v>
      </c>
      <c r="D77">
        <v>2.0499999999999998</v>
      </c>
      <c r="E77">
        <v>53.32</v>
      </c>
      <c r="F77">
        <v>1</v>
      </c>
      <c r="G77">
        <v>1</v>
      </c>
      <c r="H77">
        <v>53.32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53.32</v>
      </c>
      <c r="T77">
        <f t="shared" si="1"/>
        <v>0</v>
      </c>
    </row>
    <row r="78" spans="1:20" x14ac:dyDescent="0.35">
      <c r="A78" t="s">
        <v>30</v>
      </c>
      <c r="B78" t="s">
        <v>42</v>
      </c>
      <c r="C78" t="s">
        <v>120</v>
      </c>
      <c r="D78">
        <v>3.03</v>
      </c>
      <c r="E78">
        <v>42.37</v>
      </c>
      <c r="F78">
        <v>1</v>
      </c>
      <c r="G78">
        <v>1</v>
      </c>
      <c r="H78">
        <v>42.37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42.37</v>
      </c>
      <c r="T78">
        <f t="shared" si="1"/>
        <v>0</v>
      </c>
    </row>
    <row r="79" spans="1:20" x14ac:dyDescent="0.35">
      <c r="A79" t="s">
        <v>30</v>
      </c>
      <c r="B79" t="s">
        <v>43</v>
      </c>
      <c r="C79" t="s">
        <v>121</v>
      </c>
      <c r="D79">
        <v>1.55</v>
      </c>
      <c r="E79">
        <v>45</v>
      </c>
      <c r="F79">
        <v>1</v>
      </c>
      <c r="G79">
        <v>0</v>
      </c>
      <c r="H79">
        <v>0</v>
      </c>
      <c r="I79">
        <v>1</v>
      </c>
      <c r="J79">
        <v>45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45</v>
      </c>
      <c r="T79">
        <f t="shared" si="1"/>
        <v>0</v>
      </c>
    </row>
    <row r="80" spans="1:20" x14ac:dyDescent="0.35">
      <c r="A80" t="s">
        <v>30</v>
      </c>
      <c r="B80" t="s">
        <v>43</v>
      </c>
      <c r="C80" t="s">
        <v>122</v>
      </c>
      <c r="D80">
        <v>2.4900000000000002</v>
      </c>
      <c r="E80">
        <v>256</v>
      </c>
      <c r="F80">
        <v>9</v>
      </c>
      <c r="G80">
        <v>9</v>
      </c>
      <c r="H80">
        <v>28.44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28.44</v>
      </c>
      <c r="T80">
        <f t="shared" si="1"/>
        <v>0</v>
      </c>
    </row>
    <row r="81" spans="1:20" x14ac:dyDescent="0.35">
      <c r="A81" t="s">
        <v>30</v>
      </c>
      <c r="B81" t="s">
        <v>43</v>
      </c>
      <c r="C81" t="s">
        <v>79</v>
      </c>
      <c r="D81">
        <v>3.12</v>
      </c>
      <c r="E81">
        <v>318</v>
      </c>
      <c r="F81">
        <v>7</v>
      </c>
      <c r="G81">
        <v>4</v>
      </c>
      <c r="H81">
        <v>29.25</v>
      </c>
      <c r="I81">
        <v>0</v>
      </c>
      <c r="J81">
        <v>0</v>
      </c>
      <c r="K81">
        <v>2</v>
      </c>
      <c r="L81">
        <v>56</v>
      </c>
      <c r="M81">
        <v>1</v>
      </c>
      <c r="N81">
        <v>89</v>
      </c>
      <c r="O81">
        <v>0</v>
      </c>
      <c r="P81">
        <v>0</v>
      </c>
      <c r="Q81">
        <v>45.43</v>
      </c>
      <c r="T81">
        <f t="shared" si="1"/>
        <v>0</v>
      </c>
    </row>
    <row r="82" spans="1:20" x14ac:dyDescent="0.35">
      <c r="A82" t="s">
        <v>30</v>
      </c>
      <c r="B82" t="s">
        <v>44</v>
      </c>
      <c r="C82" t="s">
        <v>123</v>
      </c>
      <c r="D82">
        <v>1.99</v>
      </c>
      <c r="E82">
        <v>162.22999999999999</v>
      </c>
      <c r="F82">
        <v>4</v>
      </c>
      <c r="G82">
        <v>4</v>
      </c>
      <c r="H82">
        <v>40.56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40.56</v>
      </c>
      <c r="T82">
        <f t="shared" si="1"/>
        <v>0</v>
      </c>
    </row>
    <row r="83" spans="1:20" x14ac:dyDescent="0.35">
      <c r="A83" t="s">
        <v>30</v>
      </c>
      <c r="B83" t="s">
        <v>44</v>
      </c>
      <c r="C83" t="s">
        <v>124</v>
      </c>
      <c r="D83">
        <v>2.37</v>
      </c>
      <c r="E83">
        <v>37.93</v>
      </c>
      <c r="F83">
        <v>1</v>
      </c>
      <c r="G83">
        <v>1</v>
      </c>
      <c r="H83">
        <v>37.93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37.93</v>
      </c>
      <c r="T83">
        <f t="shared" si="1"/>
        <v>0</v>
      </c>
    </row>
    <row r="84" spans="1:20" x14ac:dyDescent="0.35">
      <c r="A84" t="s">
        <v>30</v>
      </c>
      <c r="B84" t="s">
        <v>44</v>
      </c>
      <c r="C84" t="s">
        <v>125</v>
      </c>
      <c r="D84">
        <v>4.67</v>
      </c>
      <c r="E84">
        <v>249.14</v>
      </c>
      <c r="F84">
        <v>5</v>
      </c>
      <c r="G84">
        <v>3</v>
      </c>
      <c r="H84">
        <v>36.89</v>
      </c>
      <c r="I84">
        <v>1</v>
      </c>
      <c r="J84">
        <v>54.66</v>
      </c>
      <c r="K84">
        <v>0</v>
      </c>
      <c r="L84">
        <v>0</v>
      </c>
      <c r="M84">
        <v>1</v>
      </c>
      <c r="N84">
        <v>83.81</v>
      </c>
      <c r="O84">
        <v>0</v>
      </c>
      <c r="P84">
        <v>0</v>
      </c>
      <c r="Q84">
        <v>49.83</v>
      </c>
      <c r="T84">
        <f t="shared" si="1"/>
        <v>0</v>
      </c>
    </row>
    <row r="85" spans="1:20" x14ac:dyDescent="0.35">
      <c r="A85" t="s">
        <v>30</v>
      </c>
      <c r="B85" t="s">
        <v>45</v>
      </c>
      <c r="C85" t="s">
        <v>126</v>
      </c>
      <c r="D85">
        <v>3.35</v>
      </c>
      <c r="E85">
        <v>45.7</v>
      </c>
      <c r="F85">
        <v>1</v>
      </c>
      <c r="G85">
        <v>1</v>
      </c>
      <c r="H85">
        <v>45.7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45.7</v>
      </c>
      <c r="T85">
        <f t="shared" si="1"/>
        <v>0</v>
      </c>
    </row>
    <row r="86" spans="1:20" x14ac:dyDescent="0.35">
      <c r="A86" t="s">
        <v>30</v>
      </c>
      <c r="B86" t="s">
        <v>45</v>
      </c>
      <c r="C86" t="s">
        <v>127</v>
      </c>
      <c r="D86">
        <v>3.44</v>
      </c>
      <c r="E86">
        <v>223.21</v>
      </c>
      <c r="F86">
        <v>5</v>
      </c>
      <c r="G86">
        <v>4</v>
      </c>
      <c r="H86">
        <v>38.99</v>
      </c>
      <c r="I86">
        <v>0</v>
      </c>
      <c r="J86">
        <v>0</v>
      </c>
      <c r="K86">
        <v>1</v>
      </c>
      <c r="L86">
        <v>67.260000000000005</v>
      </c>
      <c r="M86">
        <v>0</v>
      </c>
      <c r="N86">
        <v>0</v>
      </c>
      <c r="O86">
        <v>0</v>
      </c>
      <c r="P86">
        <v>0</v>
      </c>
      <c r="Q86">
        <v>44.64</v>
      </c>
      <c r="T86">
        <f t="shared" si="1"/>
        <v>0</v>
      </c>
    </row>
    <row r="87" spans="1:20" x14ac:dyDescent="0.35">
      <c r="A87" t="s">
        <v>30</v>
      </c>
      <c r="B87" t="s">
        <v>45</v>
      </c>
      <c r="C87" t="s">
        <v>128</v>
      </c>
      <c r="D87">
        <v>4.41</v>
      </c>
      <c r="E87">
        <v>399.93</v>
      </c>
      <c r="F87">
        <v>6</v>
      </c>
      <c r="G87">
        <v>1</v>
      </c>
      <c r="H87">
        <v>37.93</v>
      </c>
      <c r="I87">
        <v>1</v>
      </c>
      <c r="J87">
        <v>59.5</v>
      </c>
      <c r="K87">
        <v>1</v>
      </c>
      <c r="L87">
        <v>70.739999999999995</v>
      </c>
      <c r="M87">
        <v>3</v>
      </c>
      <c r="N87">
        <v>77.25</v>
      </c>
      <c r="O87">
        <v>0</v>
      </c>
      <c r="P87">
        <v>0</v>
      </c>
      <c r="Q87">
        <v>66.650000000000006</v>
      </c>
      <c r="T87">
        <f t="shared" si="1"/>
        <v>0</v>
      </c>
    </row>
    <row r="88" spans="1:20" x14ac:dyDescent="0.35">
      <c r="A88" t="s">
        <v>30</v>
      </c>
      <c r="B88" t="s">
        <v>46</v>
      </c>
      <c r="C88" t="s">
        <v>129</v>
      </c>
      <c r="D88">
        <v>2.19</v>
      </c>
      <c r="E88">
        <v>177.12</v>
      </c>
      <c r="F88">
        <v>4</v>
      </c>
      <c r="G88">
        <v>3</v>
      </c>
      <c r="H88">
        <v>38.340000000000003</v>
      </c>
      <c r="I88">
        <v>1</v>
      </c>
      <c r="J88">
        <v>62.12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44.28</v>
      </c>
      <c r="T88">
        <f t="shared" si="1"/>
        <v>0</v>
      </c>
    </row>
    <row r="89" spans="1:20" x14ac:dyDescent="0.35">
      <c r="A89" t="s">
        <v>30</v>
      </c>
      <c r="B89" t="s">
        <v>46</v>
      </c>
      <c r="C89" t="s">
        <v>130</v>
      </c>
      <c r="D89">
        <v>2.71</v>
      </c>
      <c r="E89">
        <v>100.38</v>
      </c>
      <c r="F89">
        <v>2</v>
      </c>
      <c r="G89">
        <v>1</v>
      </c>
      <c r="H89">
        <v>37.93</v>
      </c>
      <c r="I89">
        <v>0</v>
      </c>
      <c r="J89">
        <v>0</v>
      </c>
      <c r="K89">
        <v>1</v>
      </c>
      <c r="L89">
        <v>62.44</v>
      </c>
      <c r="M89">
        <v>0</v>
      </c>
      <c r="N89">
        <v>0</v>
      </c>
      <c r="O89">
        <v>0</v>
      </c>
      <c r="P89">
        <v>0</v>
      </c>
      <c r="Q89">
        <v>50.19</v>
      </c>
      <c r="T89">
        <f t="shared" si="1"/>
        <v>0</v>
      </c>
    </row>
    <row r="90" spans="1:20" x14ac:dyDescent="0.35">
      <c r="A90" t="s">
        <v>30</v>
      </c>
      <c r="B90" t="s">
        <v>46</v>
      </c>
      <c r="C90" t="s">
        <v>131</v>
      </c>
      <c r="D90">
        <v>2.93</v>
      </c>
      <c r="E90">
        <v>275.49</v>
      </c>
      <c r="F90">
        <v>7</v>
      </c>
      <c r="G90">
        <v>6</v>
      </c>
      <c r="H90">
        <v>36</v>
      </c>
      <c r="I90">
        <v>1</v>
      </c>
      <c r="J90">
        <v>59.5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39.36</v>
      </c>
      <c r="T90">
        <f t="shared" si="1"/>
        <v>0</v>
      </c>
    </row>
    <row r="91" spans="1:20" x14ac:dyDescent="0.35">
      <c r="A91" t="s">
        <v>30</v>
      </c>
      <c r="B91" t="s">
        <v>47</v>
      </c>
      <c r="C91" t="s">
        <v>132</v>
      </c>
      <c r="D91">
        <v>2.11</v>
      </c>
      <c r="E91">
        <v>21.1</v>
      </c>
      <c r="F91">
        <v>1</v>
      </c>
      <c r="G91">
        <v>1</v>
      </c>
      <c r="H91">
        <v>21.1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21.1</v>
      </c>
      <c r="T91">
        <f t="shared" si="1"/>
        <v>0</v>
      </c>
    </row>
    <row r="92" spans="1:20" x14ac:dyDescent="0.35">
      <c r="A92" t="s">
        <v>30</v>
      </c>
      <c r="B92" t="s">
        <v>47</v>
      </c>
      <c r="C92" t="s">
        <v>133</v>
      </c>
      <c r="D92">
        <v>3.29</v>
      </c>
      <c r="E92">
        <v>16.45</v>
      </c>
      <c r="F92">
        <v>1</v>
      </c>
      <c r="G92">
        <v>1</v>
      </c>
      <c r="H92">
        <v>16.45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16.45</v>
      </c>
      <c r="T92">
        <f t="shared" si="1"/>
        <v>0</v>
      </c>
    </row>
    <row r="93" spans="1:20" x14ac:dyDescent="0.35">
      <c r="A93" t="s">
        <v>30</v>
      </c>
      <c r="B93" t="s">
        <v>47</v>
      </c>
      <c r="C93" t="s">
        <v>134</v>
      </c>
      <c r="D93">
        <v>3.83</v>
      </c>
      <c r="E93">
        <v>264.04000000000002</v>
      </c>
      <c r="F93">
        <v>12</v>
      </c>
      <c r="G93">
        <v>9</v>
      </c>
      <c r="H93">
        <v>16.55</v>
      </c>
      <c r="I93">
        <v>0</v>
      </c>
      <c r="J93">
        <v>0</v>
      </c>
      <c r="K93">
        <v>1</v>
      </c>
      <c r="L93">
        <v>39.619999999999997</v>
      </c>
      <c r="M93">
        <v>2</v>
      </c>
      <c r="N93">
        <v>37.72</v>
      </c>
      <c r="O93">
        <v>0</v>
      </c>
      <c r="P93">
        <v>0</v>
      </c>
      <c r="Q93">
        <v>22</v>
      </c>
      <c r="T93">
        <f t="shared" si="1"/>
        <v>0</v>
      </c>
    </row>
    <row r="94" spans="1:20" x14ac:dyDescent="0.35">
      <c r="A94" t="s">
        <v>31</v>
      </c>
      <c r="B94" t="s">
        <v>48</v>
      </c>
      <c r="C94" t="s">
        <v>91</v>
      </c>
      <c r="D94">
        <v>4.01</v>
      </c>
      <c r="E94">
        <v>376.42</v>
      </c>
      <c r="F94">
        <v>16</v>
      </c>
      <c r="G94">
        <v>11</v>
      </c>
      <c r="H94">
        <v>21.17</v>
      </c>
      <c r="I94">
        <v>2</v>
      </c>
      <c r="J94">
        <v>27.09</v>
      </c>
      <c r="K94">
        <v>3</v>
      </c>
      <c r="L94">
        <v>29.78</v>
      </c>
      <c r="M94">
        <v>0</v>
      </c>
      <c r="N94">
        <v>0</v>
      </c>
      <c r="O94">
        <v>0</v>
      </c>
      <c r="P94">
        <v>0</v>
      </c>
      <c r="Q94">
        <v>23.53</v>
      </c>
      <c r="T94">
        <f t="shared" si="1"/>
        <v>0</v>
      </c>
    </row>
    <row r="95" spans="1:20" x14ac:dyDescent="0.35">
      <c r="A95" t="s">
        <v>31</v>
      </c>
      <c r="B95" t="s">
        <v>49</v>
      </c>
      <c r="C95" t="s">
        <v>92</v>
      </c>
      <c r="D95">
        <v>2.67</v>
      </c>
      <c r="E95">
        <v>56.08</v>
      </c>
      <c r="F95">
        <v>3</v>
      </c>
      <c r="G95">
        <v>3</v>
      </c>
      <c r="H95">
        <v>18.690000000000001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18.690000000000001</v>
      </c>
      <c r="T95">
        <f t="shared" si="1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Erection Summary</vt:lpstr>
      <vt:lpstr>Project Gang Rankings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 Kaushik</cp:lastModifiedBy>
  <dcterms:created xsi:type="dcterms:W3CDTF">2026-01-05T09:13:17Z</dcterms:created>
  <dcterms:modified xsi:type="dcterms:W3CDTF">2026-01-05T10:31:44Z</dcterms:modified>
</cp:coreProperties>
</file>