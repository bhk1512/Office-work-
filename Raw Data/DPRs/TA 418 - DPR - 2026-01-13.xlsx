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368" windowHeight="8808" tabRatio="641"/>
  </bookViews>
  <sheets>
    <sheet name="MASTER SHEET" sheetId="44" r:id="rId1"/>
    <sheet name="Progress" sheetId="36" r:id="rId2"/>
    <sheet name="Erection Compiled" sheetId="52" r:id="rId3"/>
    <sheet name="Visual Chart" sheetId="22" r:id="rId4"/>
    <sheet name="ROW TRACKER" sheetId="54" r:id="rId5"/>
    <sheet name="PENDING FDN DETAILS" sheetId="50" r:id="rId6"/>
    <sheet name="PENDING ERE DETAILS" sheetId="51" r:id="rId7"/>
    <sheet name="TSE-MANUAL-LT-11KV-33KV Details" sheetId="45" r:id="rId8"/>
    <sheet name="Crossing Details" sheetId="46" r:id="rId9"/>
    <sheet name="Project Details" sheetId="53" r:id="rId10"/>
    <sheet name="TS" sheetId="12" state="hidden" r:id="rId11"/>
    <sheet name="TS (2)" sheetId="48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\0" localSheetId="3">#REF!</definedName>
    <definedName name="\A">#REF!</definedName>
    <definedName name="\B">#REF!</definedName>
    <definedName name="\C">#REF!</definedName>
    <definedName name="\M">#REF!</definedName>
    <definedName name="\N">#REF!</definedName>
    <definedName name="\P">#REF!</definedName>
    <definedName name="\R">#REF!</definedName>
    <definedName name="\U">#REF!</definedName>
    <definedName name="\V">#REF!</definedName>
    <definedName name="__________________KEY3" localSheetId="3" hidden="1">'[1]SC Cost FEB 03'!#REF!</definedName>
    <definedName name="________________KEY3" localSheetId="3" hidden="1">'[1]SC Cost FEB 03'!#REF!</definedName>
    <definedName name="_______________KEY3" localSheetId="3" hidden="1">'[1]SC Cost FEB 03'!#REF!</definedName>
    <definedName name="____________KEY3" localSheetId="3" hidden="1">'[1]SC Cost FEB 03'!#REF!</definedName>
    <definedName name="________KEY3" localSheetId="3" hidden="1">'[1]SC Cost FEB 03'!#REF!</definedName>
    <definedName name="____A1" localSheetId="3">#REF!</definedName>
    <definedName name="____A10" localSheetId="3">#REF!</definedName>
    <definedName name="____A13" localSheetId="3">#REF!</definedName>
    <definedName name="____A2" localSheetId="3">#REF!</definedName>
    <definedName name="____A3" localSheetId="3">#REF!</definedName>
    <definedName name="____A4" localSheetId="3">#REF!</definedName>
    <definedName name="____A5" localSheetId="3">#REF!</definedName>
    <definedName name="____A6" localSheetId="3">#REF!</definedName>
    <definedName name="____A655600" localSheetId="3">#REF!</definedName>
    <definedName name="____A7" localSheetId="3">#REF!</definedName>
    <definedName name="____A8" localSheetId="3">#REF!</definedName>
    <definedName name="____A9" localSheetId="3">#REF!</definedName>
    <definedName name="___A1" localSheetId="3">#REF!</definedName>
    <definedName name="___A10" localSheetId="3">#REF!</definedName>
    <definedName name="___A13" localSheetId="3">#REF!</definedName>
    <definedName name="___A2" localSheetId="3">#REF!</definedName>
    <definedName name="___A3" localSheetId="3">#REF!</definedName>
    <definedName name="___A4" localSheetId="3">#REF!</definedName>
    <definedName name="___A5" localSheetId="3">#REF!</definedName>
    <definedName name="___A6" localSheetId="3">#REF!</definedName>
    <definedName name="___A655600" localSheetId="3">#REF!</definedName>
    <definedName name="___A7" localSheetId="3">#REF!</definedName>
    <definedName name="___A8" localSheetId="3">#REF!</definedName>
    <definedName name="___A9" localSheetId="3">#REF!</definedName>
    <definedName name="___KEY3" localSheetId="3" hidden="1">'[1]SC Cost FEB 03'!#REF!</definedName>
    <definedName name="__123Graph_B" localSheetId="3" hidden="1">'[2]CASH-FLOW'!#REF!</definedName>
    <definedName name="__123Graph_B" hidden="1">'[3]CASH-FLOW'!#REF!</definedName>
    <definedName name="__A1" localSheetId="3">#REF!</definedName>
    <definedName name="__A10" localSheetId="3">#REF!</definedName>
    <definedName name="__A13" localSheetId="3">#REF!</definedName>
    <definedName name="__A2" localSheetId="3">#REF!</definedName>
    <definedName name="__A3" localSheetId="3">#REF!</definedName>
    <definedName name="__A4" localSheetId="3">#REF!</definedName>
    <definedName name="__A5" localSheetId="3">#REF!</definedName>
    <definedName name="__A6" localSheetId="3">#REF!</definedName>
    <definedName name="__A655600" localSheetId="3">#REF!</definedName>
    <definedName name="__A7" localSheetId="3">#REF!</definedName>
    <definedName name="__A8" localSheetId="3">#REF!</definedName>
    <definedName name="__A9" localSheetId="3">#REF!</definedName>
    <definedName name="__KEY3" localSheetId="3" hidden="1">'[1]SC Cost FEB 03'!#REF!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A1" localSheetId="3">#REF!</definedName>
    <definedName name="_A10" localSheetId="3">#REF!</definedName>
    <definedName name="_A13" localSheetId="3">#REF!</definedName>
    <definedName name="_A2" localSheetId="3">#REF!</definedName>
    <definedName name="_A3" localSheetId="3">#REF!</definedName>
    <definedName name="_A4" localSheetId="3">#REF!</definedName>
    <definedName name="_A5" localSheetId="3">#REF!</definedName>
    <definedName name="_A6" localSheetId="3">#REF!</definedName>
    <definedName name="_A655600" localSheetId="3">#REF!</definedName>
    <definedName name="_a655601">#REF!</definedName>
    <definedName name="_A7" localSheetId="3">#REF!</definedName>
    <definedName name="_A8" localSheetId="3">#REF!</definedName>
    <definedName name="_A9" localSheetId="3">#REF!</definedName>
    <definedName name="_b111121" localSheetId="3">'[4]PACK (B)'!#REF!</definedName>
    <definedName name="_xlnm._FilterDatabase" localSheetId="2" hidden="1">'Erection Compiled'!$A$2:$P$96</definedName>
    <definedName name="_xlnm._FilterDatabase" localSheetId="6" hidden="1">'PENDING ERE DETAILS'!$A$5:$G$21</definedName>
    <definedName name="_xlnm._FilterDatabase" localSheetId="5" hidden="1">'PENDING FDN DETAILS'!$A$3:$AD$5</definedName>
    <definedName name="_xlnm._FilterDatabase" localSheetId="1" hidden="1">Progress!$A$141:$P$223</definedName>
    <definedName name="_xlnm._FilterDatabase" localSheetId="10" hidden="1">TS!$B$10:$B$264</definedName>
    <definedName name="_xlnm._FilterDatabase" localSheetId="11" hidden="1">'TS (2)'!$C$8:$C$254</definedName>
    <definedName name="_xlnm._FilterDatabase" hidden="1">'[5]SP Break Up'!$A$6:$I$39</definedName>
    <definedName name="_Key1" localSheetId="3" hidden="1">#REF!</definedName>
    <definedName name="_KEY3" localSheetId="3" hidden="1">'[1]SC Cost FEB 03'!#REF!</definedName>
    <definedName name="_Order1" hidden="1">255</definedName>
    <definedName name="_Order2" hidden="1">255</definedName>
    <definedName name="_TAB1">[6]TABLES!$A$2:$C$16</definedName>
    <definedName name="A" localSheetId="3">#REF!</definedName>
    <definedName name="A">#REF!</definedName>
    <definedName name="A1_" localSheetId="3">#REF!</definedName>
    <definedName name="A10_" localSheetId="3">#REF!</definedName>
    <definedName name="A13_" localSheetId="3">#REF!</definedName>
    <definedName name="A2_" localSheetId="3">#REF!</definedName>
    <definedName name="A3_" localSheetId="3">#REF!</definedName>
    <definedName name="A4_" localSheetId="3">#REF!</definedName>
    <definedName name="A5_" localSheetId="3">#REF!</definedName>
    <definedName name="A6_" localSheetId="3">#REF!</definedName>
    <definedName name="A7_" localSheetId="3">#REF!</definedName>
    <definedName name="A8_" localSheetId="3">#REF!</definedName>
    <definedName name="A9_" localSheetId="3">#REF!</definedName>
    <definedName name="aa" localSheetId="3">#REF!</definedName>
    <definedName name="AAA" hidden="1">{#N/A,#N/A,FALSE,"COVER1.XLS ";#N/A,#N/A,FALSE,"RACT1.XLS";#N/A,#N/A,FALSE,"RACT2.XLS";#N/A,#N/A,FALSE,"ECCMP";#N/A,#N/A,FALSE,"WELDER.XLS"}</definedName>
    <definedName name="aaaa">#REF!</definedName>
    <definedName name="ab">#REF!</definedName>
    <definedName name="ABC" localSheetId="3">#REF!</definedName>
    <definedName name="abcd">#REF!</definedName>
    <definedName name="ADVIK">#REF!</definedName>
    <definedName name="adwea" localSheetId="3">#REF!</definedName>
    <definedName name="april_qty" localSheetId="3">#REF!</definedName>
    <definedName name="ax">[7]CLAY!#REF!</definedName>
    <definedName name="ay">[7]CLAY!#REF!</definedName>
    <definedName name="B">'[8]PRECAST lightconc-II'!$K$19</definedName>
    <definedName name="bf" localSheetId="3">[9]Transfer!#REF!</definedName>
    <definedName name="bol" localSheetId="3">#REF!</definedName>
    <definedName name="botn">#REF!</definedName>
    <definedName name="bua">#REF!</definedName>
    <definedName name="building">'[10]DETAILED  BOQ'!$A$2</definedName>
    <definedName name="cant">'[11]Staff Acco.'!#REF!</definedName>
    <definedName name="carpet" localSheetId="3">#REF!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hecked" localSheetId="3">[7]CLAY!#REF!</definedName>
    <definedName name="col" localSheetId="3">#REF!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r">[12]dBase!$J$14</definedName>
    <definedName name="cummeas_may1006" localSheetId="3">#REF!</definedName>
    <definedName name="cummeas_up_to_mar" localSheetId="3">#REF!</definedName>
    <definedName name="_xlnm.Database">#N/A</definedName>
    <definedName name="dev">'[13]july-I'!$H$126:$H$140</definedName>
    <definedName name="Dome1">'[14]Data Sheet'!$B$3:$B$51</definedName>
    <definedName name="E">'[8]PRECAST lightconc-II'!$K$20</definedName>
    <definedName name="F" localSheetId="3">#REF!</definedName>
    <definedName name="fdsdafas" localSheetId="3" hidden="1">{"'TP-SUMMARY'!$I$11:$K$11"}</definedName>
    <definedName name="feb_qty_rev_3" localSheetId="3">#REF!</definedName>
    <definedName name="feb_rev4_qty" localSheetId="3">#REF!</definedName>
    <definedName name="ff" hidden="1">#REF!</definedName>
    <definedName name="FGNFN" localSheetId="3">#REF!</definedName>
    <definedName name="fhfgfhgfh" localSheetId="3">#REF!</definedName>
    <definedName name="fiI">#REF!</definedName>
    <definedName name="Floor">'[10]DETAILED  BOQ'!$C$4</definedName>
    <definedName name="GBDFG" localSheetId="3">#REF!</definedName>
    <definedName name="GRADE" localSheetId="3">#REF!</definedName>
    <definedName name="hfghfhertye5y5" localSheetId="3">#REF!</definedName>
    <definedName name="HTML_CodePage" hidden="1">1252</definedName>
    <definedName name="HTML_Control" localSheetId="3" hidden="1">{"'TP-SUMMARY'!$I$11:$K$11"}</definedName>
    <definedName name="HTML_Description" hidden="1">""</definedName>
    <definedName name="HTML_Email" hidden="1">""</definedName>
    <definedName name="HTML_Header" hidden="1">"TP-SUMMARY"</definedName>
    <definedName name="HTML_LastUpdate" hidden="1">"12/10/04"</definedName>
    <definedName name="HTML_LineAfter" hidden="1">FALSE</definedName>
    <definedName name="HTML_LineBefore" hidden="1">FALSE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hidden="1">"C:\My Documents\TATA RECORD\TLTS 2385 TATA  POWER\NEW TATA\tata\MyHTML.htm"</definedName>
    <definedName name="HTML_Title" hidden="1">"JEERAT - SG INSP"</definedName>
    <definedName name="insertplate_and_exp_joint" localSheetId="3">#REF!</definedName>
    <definedName name="job">'[15]DETAILED  BOQ'!$A$1</definedName>
    <definedName name="JobID" localSheetId="3">#REF!</definedName>
    <definedName name="kllkl">#REF!</definedName>
    <definedName name="knlkk">#REF!</definedName>
    <definedName name="lakh">[12]dBase!$J$12</definedName>
    <definedName name="lef" localSheetId="3">#REF!</definedName>
    <definedName name="logo1">"Picture 7"</definedName>
    <definedName name="man" localSheetId="3">#REF!</definedName>
    <definedName name="manday1" localSheetId="3">#REF!</definedName>
    <definedName name="march_qty" localSheetId="3">#REF!</definedName>
    <definedName name="mhr" localSheetId="3">#REF!</definedName>
    <definedName name="MonthYear">'[14]Data Sheet'!$A$2:$A$50</definedName>
    <definedName name="MS200202rev2" localSheetId="3">#REF!</definedName>
    <definedName name="ms2002may1706" localSheetId="3">#REF!</definedName>
    <definedName name="msjune1807" localSheetId="3">#REF!</definedName>
    <definedName name="NONSOR">#REF!</definedName>
    <definedName name="num2text">[12]dBase!$A$3:$I$1005</definedName>
    <definedName name="Pane2" localSheetId="3">#REF!</definedName>
    <definedName name="PHYSICAL_STATUS_OF_CONDUCTOR_AS_ON_DATE">'[16]Conductor Supply'!$A$1:$M$16</definedName>
    <definedName name="PPP" localSheetId="3">#REF!</definedName>
    <definedName name="PPPPPP" hidden="1">{#N/A,#N/A,FALSE,"COVER1.XLS ";#N/A,#N/A,FALSE,"RACT1.XLS";#N/A,#N/A,FALSE,"RACT2.XLS";#N/A,#N/A,FALSE,"ECCMP";#N/A,#N/A,FALSE,"WELDER.XLS"}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xlnm.Print_Area" localSheetId="3">'Visual Chart'!$B$1:$W$175</definedName>
    <definedName name="_xlnm.Print_Area">#REF!</definedName>
    <definedName name="_xlnm.Print_Titles" localSheetId="1">Progress!$1:$2</definedName>
    <definedName name="_xlnm.Print_Titles">#N/A</definedName>
    <definedName name="printarea" localSheetId="3">#REF!</definedName>
    <definedName name="project" localSheetId="3">[7]CLAY!#REF!</definedName>
    <definedName name="Qty_as_on_apr" localSheetId="3">#REF!</definedName>
    <definedName name="_xlnm.Recorder">#REF!</definedName>
    <definedName name="rel">#REF!</definedName>
    <definedName name="Rev">#REF!</definedName>
    <definedName name="RFGF" localSheetId="3">#REF!</definedName>
    <definedName name="rig">#REF!</definedName>
    <definedName name="robot">#REF!</definedName>
    <definedName name="rosid">#REF!</definedName>
    <definedName name="rrammv" localSheetId="3">#REF!</definedName>
    <definedName name="RRR" hidden="1">#REF!</definedName>
    <definedName name="S">#REF!</definedName>
    <definedName name="S0" localSheetId="3">#REF!</definedName>
    <definedName name="sas">#REF!</definedName>
    <definedName name="sasssss">#REF!</definedName>
    <definedName name="Sdate">#REF!</definedName>
    <definedName name="SESHA_SAI_CONSTRUCTION">#REF!</definedName>
    <definedName name="sheet1">#REF!</definedName>
    <definedName name="SOR">#REF!</definedName>
    <definedName name="SPTNP">[6]TABLES!$E$4:$F$57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D" localSheetId="3">#REF!</definedName>
    <definedName name="structure" localSheetId="3">[7]CLAY!#REF!</definedName>
    <definedName name="Subject" localSheetId="3">#REF!</definedName>
    <definedName name="Supply">#REF!</definedName>
    <definedName name="T0" localSheetId="3">#REF!</definedName>
    <definedName name="t1_" localSheetId="3">#REF!</definedName>
    <definedName name="TABLE_4" localSheetId="3">#REF!</definedName>
    <definedName name="TEST">#REF!</definedName>
    <definedName name="TITLE">#REF!</definedName>
    <definedName name="Title1">#REF!</definedName>
    <definedName name="Title2">#REF!</definedName>
    <definedName name="tol">#REF!</definedName>
    <definedName name="topl">#REF!</definedName>
    <definedName name="topn">#REF!</definedName>
    <definedName name="tree" localSheetId="3" hidden="1">{"'TP-SUMMARY'!$I$11:$K$11"}</definedName>
    <definedName name="UNITS">#REF!</definedName>
    <definedName name="v">'[17]AT-3'!$C$10</definedName>
    <definedName name="vertical_col_and_corner_walls" localSheetId="3">#REF!</definedName>
    <definedName name="w" localSheetId="3">[7]CLAY!#REF!</definedName>
    <definedName name="Waiting">"Picture 1"</definedName>
    <definedName name="wertt" hidden="1">{#N/A,#N/A,FALSE,"COVER1.XLS ";#N/A,#N/A,FALSE,"RACT1.XLS";#N/A,#N/A,FALSE,"RACT2.XLS";#N/A,#N/A,FALSE,"ECCMP";#N/A,#N/A,FALSE,"WELDER.XLS"}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hidden="1">{#N/A,#N/A,FALSE,"COVER.XLS";#N/A,#N/A,FALSE,"RACT1.XLS";#N/A,#N/A,FALSE,"RACT2.XLS";#N/A,#N/A,FALSE,"ECCMP";#N/A,#N/A,FALSE,"WELDER.XLS"}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hidden="1">{#N/A,#N/A,FALSE,"COVER1.XLS ";#N/A,#N/A,FALSE,"RACT1.XLS";#N/A,#N/A,FALSE,"RACT2.XLS";#N/A,#N/A,FALSE,"ECCMP";#N/A,#N/A,FALSE,"WELDER.XLS"}</definedName>
    <definedName name="전체" localSheetId="3">#REF!</definedName>
  </definedNames>
  <calcPr calcId="152511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4" i="52" l="1"/>
  <c r="A115" i="52" s="1"/>
  <c r="A116" i="52" s="1"/>
  <c r="A117" i="52" s="1"/>
  <c r="A113" i="52"/>
  <c r="A16" i="51" l="1"/>
  <c r="A17" i="51"/>
  <c r="A18" i="51" s="1"/>
  <c r="A19" i="51" s="1"/>
  <c r="A20" i="51" s="1"/>
  <c r="A21" i="51" s="1"/>
  <c r="A110" i="52"/>
  <c r="A111" i="52" s="1"/>
  <c r="A112" i="52" s="1"/>
  <c r="A109" i="52"/>
  <c r="A254" i="36"/>
  <c r="A255" i="36" s="1"/>
  <c r="A256" i="36" s="1"/>
  <c r="A138" i="36" l="1"/>
  <c r="A253" i="36" l="1"/>
  <c r="H62" i="44"/>
  <c r="A252" i="36" l="1"/>
  <c r="H63" i="44"/>
  <c r="T8" i="22" l="1"/>
  <c r="A251" i="36"/>
  <c r="H71" i="44"/>
  <c r="K23" i="44"/>
  <c r="AB56" i="22" l="1"/>
  <c r="AB66" i="22"/>
  <c r="A108" i="52" l="1"/>
  <c r="A250" i="36"/>
  <c r="A107" i="52" l="1"/>
  <c r="A249" i="36"/>
  <c r="A81" i="52" l="1"/>
  <c r="A248" i="36"/>
  <c r="A7" i="51" l="1"/>
  <c r="A8" i="51" s="1"/>
  <c r="A9" i="51" s="1"/>
  <c r="A10" i="51" s="1"/>
  <c r="A11" i="51" s="1"/>
  <c r="A12" i="51" s="1"/>
  <c r="A13" i="51" s="1"/>
  <c r="A14" i="51" s="1"/>
  <c r="A15" i="51" s="1"/>
  <c r="S170" i="22"/>
  <c r="AB38" i="22"/>
  <c r="AB47" i="22" l="1"/>
  <c r="A60" i="44" l="1"/>
  <c r="A61" i="44" s="1"/>
  <c r="A62" i="44" s="1"/>
  <c r="A63" i="44" s="1"/>
  <c r="A64" i="44" s="1"/>
  <c r="A65" i="44" s="1"/>
  <c r="A66" i="44" s="1"/>
  <c r="A67" i="44" s="1"/>
  <c r="A68" i="44" s="1"/>
  <c r="A69" i="44" s="1"/>
  <c r="A70" i="44" s="1"/>
  <c r="A71" i="44" s="1"/>
  <c r="A72" i="44" s="1"/>
  <c r="A73" i="44" s="1"/>
  <c r="A74" i="44" s="1"/>
  <c r="A75" i="44" s="1"/>
  <c r="A76" i="44" s="1"/>
  <c r="A77" i="44" s="1"/>
  <c r="A78" i="44" s="1"/>
  <c r="A79" i="44" s="1"/>
  <c r="A80" i="44" s="1"/>
  <c r="A81" i="44" s="1"/>
  <c r="A82" i="44" s="1"/>
  <c r="A83" i="44" s="1"/>
  <c r="A84" i="44" s="1"/>
  <c r="A85" i="44" s="1"/>
  <c r="A86" i="44" s="1"/>
  <c r="A87" i="44" s="1"/>
  <c r="A88" i="44" s="1"/>
  <c r="A89" i="44" s="1"/>
  <c r="A90" i="44" s="1"/>
  <c r="A91" i="44" s="1"/>
  <c r="A92" i="44" s="1"/>
  <c r="A93" i="44" s="1"/>
  <c r="I94" i="44" l="1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A94" i="44"/>
  <c r="I62" i="44"/>
  <c r="I61" i="44"/>
  <c r="I60" i="44"/>
  <c r="I59" i="44"/>
  <c r="Z21" i="22" l="1"/>
  <c r="A19" i="52" l="1"/>
  <c r="A20" i="52" s="1"/>
  <c r="A21" i="52" s="1"/>
  <c r="A22" i="52" s="1"/>
  <c r="A23" i="52" s="1"/>
  <c r="A24" i="52" s="1"/>
  <c r="A25" i="52" s="1"/>
  <c r="A26" i="52" s="1"/>
  <c r="A27" i="52" s="1"/>
  <c r="A28" i="52" s="1"/>
  <c r="A29" i="52" s="1"/>
  <c r="A30" i="52" s="1"/>
  <c r="A31" i="52" s="1"/>
  <c r="A32" i="52" s="1"/>
  <c r="A33" i="52" s="1"/>
  <c r="A34" i="52" s="1"/>
  <c r="A35" i="52" s="1"/>
  <c r="A36" i="52" s="1"/>
  <c r="A37" i="52" s="1"/>
  <c r="A38" i="52" s="1"/>
  <c r="A39" i="52" s="1"/>
  <c r="A40" i="52" s="1"/>
  <c r="A41" i="52" s="1"/>
  <c r="A42" i="52" s="1"/>
  <c r="A43" i="52" s="1"/>
  <c r="A44" i="52" s="1"/>
  <c r="A45" i="52" s="1"/>
  <c r="A46" i="52" s="1"/>
  <c r="A47" i="52" s="1"/>
  <c r="A48" i="52" s="1"/>
  <c r="A49" i="52" s="1"/>
  <c r="A50" i="52" s="1"/>
  <c r="A51" i="52" s="1"/>
  <c r="A52" i="52" s="1"/>
  <c r="A53" i="52" s="1"/>
  <c r="A54" i="52" s="1"/>
  <c r="A55" i="52" s="1"/>
  <c r="A56" i="52" s="1"/>
  <c r="A57" i="52" s="1"/>
  <c r="A58" i="52" s="1"/>
  <c r="A59" i="52" s="1"/>
  <c r="A60" i="52" s="1"/>
  <c r="A61" i="52" s="1"/>
  <c r="A62" i="52" s="1"/>
  <c r="A63" i="52" s="1"/>
  <c r="A64" i="52" s="1"/>
  <c r="A65" i="52" s="1"/>
  <c r="A66" i="52" s="1"/>
  <c r="A67" i="52" s="1"/>
  <c r="A68" i="52" s="1"/>
  <c r="A69" i="52" s="1"/>
  <c r="A70" i="52" s="1"/>
  <c r="A71" i="52" s="1"/>
  <c r="A72" i="52" s="1"/>
  <c r="A73" i="52" s="1"/>
  <c r="A74" i="52" s="1"/>
  <c r="A75" i="52" s="1"/>
  <c r="A76" i="52" s="1"/>
  <c r="A77" i="52" s="1"/>
  <c r="A78" i="52" s="1"/>
  <c r="A79" i="52" s="1"/>
  <c r="A80" i="52" s="1"/>
  <c r="A82" i="52" s="1"/>
  <c r="A83" i="52" s="1"/>
  <c r="A84" i="52" s="1"/>
  <c r="A85" i="52" s="1"/>
  <c r="A86" i="52" s="1"/>
  <c r="A87" i="52" s="1"/>
  <c r="A88" i="52" s="1"/>
  <c r="A89" i="52" s="1"/>
  <c r="A90" i="52" s="1"/>
  <c r="A91" i="52" s="1"/>
  <c r="A92" i="52" s="1"/>
  <c r="A93" i="52" s="1"/>
  <c r="A94" i="52" s="1"/>
  <c r="A95" i="52" s="1"/>
  <c r="A96" i="52" s="1"/>
  <c r="A97" i="52" s="1"/>
  <c r="A98" i="52" s="1"/>
  <c r="A99" i="52" s="1"/>
  <c r="A100" i="52" s="1"/>
  <c r="A101" i="52" s="1"/>
  <c r="A102" i="52" s="1"/>
  <c r="A103" i="52" s="1"/>
  <c r="A104" i="52" s="1"/>
  <c r="A105" i="52" s="1"/>
  <c r="A106" i="52" s="1"/>
  <c r="K21" i="44" l="1"/>
  <c r="K10" i="44" l="1"/>
  <c r="D23" i="44" l="1"/>
  <c r="T173" i="22" l="1"/>
  <c r="S173" i="22"/>
  <c r="K4" i="36" l="1"/>
  <c r="F4" i="36"/>
  <c r="K3" i="36"/>
  <c r="J3" i="36"/>
  <c r="F3" i="36"/>
  <c r="A158" i="36" l="1"/>
  <c r="A159" i="36" s="1"/>
  <c r="A160" i="36" s="1"/>
  <c r="A161" i="36" s="1"/>
  <c r="A162" i="36" s="1"/>
  <c r="A163" i="36" s="1"/>
  <c r="A164" i="36" s="1"/>
  <c r="A165" i="36" s="1"/>
  <c r="A166" i="36" s="1"/>
  <c r="A167" i="36" s="1"/>
  <c r="A168" i="36" s="1"/>
  <c r="A169" i="36" s="1"/>
  <c r="A170" i="36" s="1"/>
  <c r="A171" i="36" s="1"/>
  <c r="A172" i="36" s="1"/>
  <c r="A173" i="36" s="1"/>
  <c r="A174" i="36" s="1"/>
  <c r="A175" i="36" s="1"/>
  <c r="A176" i="36" s="1"/>
  <c r="A177" i="36" s="1"/>
  <c r="A178" i="36" s="1"/>
  <c r="A179" i="36" s="1"/>
  <c r="A180" i="36" s="1"/>
  <c r="A181" i="36" s="1"/>
  <c r="A182" i="36" s="1"/>
  <c r="A183" i="36" s="1"/>
  <c r="A184" i="36" s="1"/>
  <c r="A185" i="36" s="1"/>
  <c r="A186" i="36" s="1"/>
  <c r="A187" i="36" s="1"/>
  <c r="A188" i="36" s="1"/>
  <c r="A189" i="36" s="1"/>
  <c r="A190" i="36" s="1"/>
  <c r="A191" i="36" s="1"/>
  <c r="A192" i="36" s="1"/>
  <c r="A193" i="36" s="1"/>
  <c r="A194" i="36" s="1"/>
  <c r="A195" i="36" s="1"/>
  <c r="A196" i="36" s="1"/>
  <c r="A197" i="36" s="1"/>
  <c r="A198" i="36" s="1"/>
  <c r="A199" i="36" s="1"/>
  <c r="A200" i="36" s="1"/>
  <c r="A201" i="36" s="1"/>
  <c r="A202" i="36" s="1"/>
  <c r="A203" i="36" s="1"/>
  <c r="A204" i="36" s="1"/>
  <c r="A205" i="36" s="1"/>
  <c r="A206" i="36" s="1"/>
  <c r="A207" i="36" s="1"/>
  <c r="A208" i="36" s="1"/>
  <c r="A209" i="36" s="1"/>
  <c r="A210" i="36" s="1"/>
  <c r="A211" i="36" s="1"/>
  <c r="A212" i="36" s="1"/>
  <c r="A213" i="36" s="1"/>
  <c r="A214" i="36" s="1"/>
  <c r="A215" i="36" s="1"/>
  <c r="A216" i="36" s="1"/>
  <c r="A217" i="36" s="1"/>
  <c r="A218" i="36" s="1"/>
  <c r="A219" i="36" s="1"/>
  <c r="F10" i="36"/>
  <c r="F16" i="44"/>
  <c r="L10" i="36"/>
  <c r="L9" i="36"/>
  <c r="F9" i="36"/>
  <c r="Q171" i="22"/>
  <c r="Q174" i="22"/>
  <c r="F15" i="44"/>
  <c r="F9" i="44"/>
  <c r="J9" i="44"/>
  <c r="K9" i="44" s="1"/>
  <c r="F10" i="44"/>
  <c r="L15" i="44"/>
  <c r="L16" i="44"/>
  <c r="J20" i="44"/>
  <c r="K20" i="44"/>
  <c r="L20" i="44" s="1"/>
  <c r="J21" i="44"/>
  <c r="L21" i="44"/>
  <c r="K22" i="44"/>
  <c r="L22" i="44" s="1"/>
  <c r="L23" i="44"/>
  <c r="D174" i="22"/>
  <c r="D175" i="22" s="1"/>
  <c r="D171" i="22"/>
  <c r="AB150" i="22"/>
  <c r="V173" i="22"/>
  <c r="X150" i="22"/>
  <c r="I173" i="22"/>
  <c r="AB149" i="22"/>
  <c r="U173" i="22"/>
  <c r="AA149" i="22"/>
  <c r="AB148" i="22"/>
  <c r="AA148" i="22"/>
  <c r="AB147" i="22"/>
  <c r="AA147" i="22"/>
  <c r="Y143" i="22"/>
  <c r="E143" i="22"/>
  <c r="C143" i="22"/>
  <c r="Y142" i="22"/>
  <c r="X142" i="22"/>
  <c r="Y141" i="22"/>
  <c r="F139" i="22"/>
  <c r="D139" i="22"/>
  <c r="U133" i="22"/>
  <c r="S133" i="22"/>
  <c r="Q133" i="22"/>
  <c r="O133" i="22"/>
  <c r="M133" i="22"/>
  <c r="K133" i="22"/>
  <c r="I133" i="22"/>
  <c r="G133" i="22"/>
  <c r="E133" i="22"/>
  <c r="C133" i="22"/>
  <c r="Y132" i="22"/>
  <c r="Y133" i="22" s="1"/>
  <c r="X132" i="22"/>
  <c r="Y131" i="22"/>
  <c r="V129" i="22"/>
  <c r="V134" i="22" s="1"/>
  <c r="T129" i="22"/>
  <c r="R129" i="22"/>
  <c r="P129" i="22"/>
  <c r="L134" i="22" s="1"/>
  <c r="N129" i="22"/>
  <c r="L129" i="22"/>
  <c r="J129" i="22"/>
  <c r="H129" i="22"/>
  <c r="H134" i="22" s="1"/>
  <c r="F129" i="22"/>
  <c r="E134" i="22" s="1"/>
  <c r="D129" i="22"/>
  <c r="U123" i="22"/>
  <c r="S123" i="22"/>
  <c r="Q123" i="22"/>
  <c r="O123" i="22"/>
  <c r="M123" i="22"/>
  <c r="K123" i="22"/>
  <c r="I123" i="22"/>
  <c r="G123" i="22"/>
  <c r="E123" i="22"/>
  <c r="C123" i="22"/>
  <c r="Y122" i="22"/>
  <c r="Y121" i="22"/>
  <c r="Y123" i="22"/>
  <c r="V119" i="22"/>
  <c r="T119" i="22"/>
  <c r="R119" i="22"/>
  <c r="P119" i="22"/>
  <c r="N119" i="22"/>
  <c r="L119" i="22"/>
  <c r="J119" i="22"/>
  <c r="H119" i="22"/>
  <c r="F119" i="22"/>
  <c r="D119" i="22"/>
  <c r="AA114" i="22"/>
  <c r="Z114" i="22"/>
  <c r="U114" i="22"/>
  <c r="S114" i="22"/>
  <c r="Q114" i="22"/>
  <c r="O114" i="22"/>
  <c r="M114" i="22"/>
  <c r="K114" i="22"/>
  <c r="I114" i="22"/>
  <c r="G114" i="22"/>
  <c r="E114" i="22"/>
  <c r="C114" i="22"/>
  <c r="Y113" i="22"/>
  <c r="X113" i="22"/>
  <c r="Y112" i="22"/>
  <c r="Y114" i="22" s="1"/>
  <c r="V110" i="22"/>
  <c r="T110" i="22"/>
  <c r="R110" i="22"/>
  <c r="P110" i="22"/>
  <c r="C124" i="22" s="1"/>
  <c r="N110" i="22"/>
  <c r="L110" i="22"/>
  <c r="J110" i="22"/>
  <c r="H110" i="22"/>
  <c r="F115" i="22" s="1"/>
  <c r="F110" i="22"/>
  <c r="D110" i="22"/>
  <c r="C115" i="22" s="1"/>
  <c r="U105" i="22"/>
  <c r="S105" i="22"/>
  <c r="Q105" i="22"/>
  <c r="O105" i="22"/>
  <c r="M105" i="22"/>
  <c r="K105" i="22"/>
  <c r="I105" i="22"/>
  <c r="G105" i="22"/>
  <c r="E105" i="22"/>
  <c r="C105" i="22"/>
  <c r="Y104" i="22"/>
  <c r="X104" i="22"/>
  <c r="Y103" i="22"/>
  <c r="V101" i="22"/>
  <c r="R106" i="22" s="1"/>
  <c r="T101" i="22"/>
  <c r="R101" i="22"/>
  <c r="P101" i="22"/>
  <c r="P106" i="22"/>
  <c r="N101" i="22"/>
  <c r="N106" i="22" s="1"/>
  <c r="L101" i="22"/>
  <c r="L106" i="22" s="1"/>
  <c r="J101" i="22"/>
  <c r="W101" i="22" s="1"/>
  <c r="H101" i="22"/>
  <c r="F101" i="22"/>
  <c r="D101" i="22"/>
  <c r="AG99" i="22"/>
  <c r="AA96" i="22"/>
  <c r="U96" i="22"/>
  <c r="S96" i="22"/>
  <c r="Q96" i="22"/>
  <c r="O96" i="22"/>
  <c r="M96" i="22"/>
  <c r="K96" i="22"/>
  <c r="I96" i="22"/>
  <c r="G96" i="22"/>
  <c r="E96" i="22"/>
  <c r="C96" i="22"/>
  <c r="Y95" i="22"/>
  <c r="Y94" i="22"/>
  <c r="Y96" i="22"/>
  <c r="V92" i="22"/>
  <c r="T92" i="22"/>
  <c r="R92" i="22"/>
  <c r="P92" i="22"/>
  <c r="N92" i="22"/>
  <c r="L92" i="22"/>
  <c r="J92" i="22"/>
  <c r="H92" i="22"/>
  <c r="F92" i="22"/>
  <c r="D92" i="22"/>
  <c r="AA87" i="22"/>
  <c r="U87" i="22"/>
  <c r="S87" i="22"/>
  <c r="Q87" i="22"/>
  <c r="O87" i="22"/>
  <c r="M87" i="22"/>
  <c r="K87" i="22"/>
  <c r="I87" i="22"/>
  <c r="G87" i="22"/>
  <c r="E87" i="22"/>
  <c r="C87" i="22"/>
  <c r="Y86" i="22"/>
  <c r="Y85" i="22"/>
  <c r="Y87" i="22"/>
  <c r="X86" i="22"/>
  <c r="V83" i="22"/>
  <c r="T83" i="22"/>
  <c r="R83" i="22"/>
  <c r="P83" i="22"/>
  <c r="N83" i="22"/>
  <c r="L83" i="22"/>
  <c r="J83" i="22"/>
  <c r="H83" i="22"/>
  <c r="F83" i="22"/>
  <c r="D83" i="22"/>
  <c r="AB82" i="22"/>
  <c r="V172" i="22"/>
  <c r="V174" i="22" s="1"/>
  <c r="X82" i="22"/>
  <c r="I172" i="22"/>
  <c r="I174" i="22"/>
  <c r="AB81" i="22"/>
  <c r="AA81" i="22"/>
  <c r="AB80" i="22"/>
  <c r="AA80" i="22"/>
  <c r="X80" i="22"/>
  <c r="G172" i="22" s="1"/>
  <c r="AB79" i="22"/>
  <c r="AA79" i="22"/>
  <c r="Y79" i="22"/>
  <c r="K172" i="22" s="1"/>
  <c r="X79" i="22"/>
  <c r="U78" i="22"/>
  <c r="S78" i="22"/>
  <c r="Q78" i="22"/>
  <c r="O78" i="22"/>
  <c r="M78" i="22"/>
  <c r="K78" i="22"/>
  <c r="I78" i="22"/>
  <c r="G78" i="22"/>
  <c r="E78" i="22"/>
  <c r="C78" i="22"/>
  <c r="AF77" i="22"/>
  <c r="AE77" i="22"/>
  <c r="AD77" i="22"/>
  <c r="Z77" i="22"/>
  <c r="Y77" i="22"/>
  <c r="X77" i="22"/>
  <c r="AF76" i="22"/>
  <c r="AE76" i="22"/>
  <c r="AD76" i="22"/>
  <c r="Z80" i="22"/>
  <c r="O172" i="22" s="1"/>
  <c r="AF75" i="22"/>
  <c r="AE75" i="22"/>
  <c r="Y147" i="22" s="1"/>
  <c r="K173" i="22" s="1"/>
  <c r="AD75" i="22"/>
  <c r="Z79" i="22"/>
  <c r="N172" i="22" s="1"/>
  <c r="V74" i="22"/>
  <c r="P79" i="22" s="1"/>
  <c r="T74" i="22"/>
  <c r="R74" i="22"/>
  <c r="P74" i="22"/>
  <c r="N74" i="22"/>
  <c r="L79" i="22" s="1"/>
  <c r="L74" i="22"/>
  <c r="J74" i="22"/>
  <c r="H74" i="22"/>
  <c r="F74" i="22"/>
  <c r="W74" i="22" s="1"/>
  <c r="D74" i="22"/>
  <c r="AA69" i="22"/>
  <c r="U69" i="22"/>
  <c r="S69" i="22"/>
  <c r="Q69" i="22"/>
  <c r="O69" i="22"/>
  <c r="M69" i="22"/>
  <c r="K69" i="22"/>
  <c r="I69" i="22"/>
  <c r="G69" i="22"/>
  <c r="E69" i="22"/>
  <c r="C69" i="22"/>
  <c r="Y68" i="22"/>
  <c r="Y69" i="22" s="1"/>
  <c r="A66" i="22"/>
  <c r="A75" i="22"/>
  <c r="A84" i="22" s="1"/>
  <c r="V65" i="22"/>
  <c r="T65" i="22"/>
  <c r="R65" i="22"/>
  <c r="P65" i="22"/>
  <c r="N65" i="22"/>
  <c r="L65" i="22"/>
  <c r="J65" i="22"/>
  <c r="H65" i="22"/>
  <c r="F65" i="22"/>
  <c r="E70" i="22" s="1"/>
  <c r="D65" i="22"/>
  <c r="AA59" i="22"/>
  <c r="U59" i="22"/>
  <c r="S59" i="22"/>
  <c r="Q59" i="22"/>
  <c r="O59" i="22"/>
  <c r="M59" i="22"/>
  <c r="I59" i="22"/>
  <c r="G59" i="22"/>
  <c r="E59" i="22"/>
  <c r="C59" i="22"/>
  <c r="Y58" i="22"/>
  <c r="X58" i="22"/>
  <c r="Y57" i="22"/>
  <c r="Y80" i="22" s="1"/>
  <c r="V55" i="22"/>
  <c r="T55" i="22"/>
  <c r="R55" i="22"/>
  <c r="P55" i="22"/>
  <c r="N55" i="22"/>
  <c r="K60" i="22"/>
  <c r="H55" i="22"/>
  <c r="G60" i="22" s="1"/>
  <c r="F55" i="22"/>
  <c r="D55" i="22"/>
  <c r="AA50" i="22"/>
  <c r="U50" i="22"/>
  <c r="S50" i="22"/>
  <c r="Q50" i="22"/>
  <c r="O50" i="22"/>
  <c r="M50" i="22"/>
  <c r="K50" i="22"/>
  <c r="I50" i="22"/>
  <c r="G50" i="22"/>
  <c r="E50" i="22"/>
  <c r="C50" i="22"/>
  <c r="Y49" i="22"/>
  <c r="Y50" i="22" s="1"/>
  <c r="X49" i="22"/>
  <c r="V46" i="22"/>
  <c r="T46" i="22"/>
  <c r="R46" i="22"/>
  <c r="P46" i="22"/>
  <c r="O51" i="22" s="1"/>
  <c r="N46" i="22"/>
  <c r="L46" i="22"/>
  <c r="J46" i="22"/>
  <c r="H46" i="22"/>
  <c r="F46" i="22"/>
  <c r="D46" i="22"/>
  <c r="AA41" i="22"/>
  <c r="U41" i="22"/>
  <c r="S41" i="22"/>
  <c r="Q41" i="22"/>
  <c r="O41" i="22"/>
  <c r="M41" i="22"/>
  <c r="K41" i="22"/>
  <c r="I41" i="22"/>
  <c r="G41" i="22"/>
  <c r="E41" i="22"/>
  <c r="C41" i="22"/>
  <c r="Y40" i="22"/>
  <c r="Y41" i="22" s="1"/>
  <c r="X40" i="22"/>
  <c r="V37" i="22"/>
  <c r="T37" i="22"/>
  <c r="R37" i="22"/>
  <c r="P37" i="22"/>
  <c r="N37" i="22"/>
  <c r="L37" i="22"/>
  <c r="J37" i="22"/>
  <c r="H37" i="22"/>
  <c r="F37" i="22"/>
  <c r="D37" i="22"/>
  <c r="AB36" i="22"/>
  <c r="V170" i="22" s="1"/>
  <c r="V171" i="22" s="1"/>
  <c r="X36" i="22"/>
  <c r="X155" i="22" s="1"/>
  <c r="I170" i="22"/>
  <c r="I171" i="22" s="1"/>
  <c r="I175" i="22" s="1"/>
  <c r="AB35" i="22"/>
  <c r="U170" i="22"/>
  <c r="U171" i="22" s="1"/>
  <c r="AA35" i="22"/>
  <c r="AA154" i="22"/>
  <c r="AB34" i="22"/>
  <c r="T170" i="22" s="1"/>
  <c r="AA34" i="22"/>
  <c r="AA153" i="22" s="1"/>
  <c r="Z34" i="22"/>
  <c r="O170" i="22" s="1"/>
  <c r="O171" i="22" s="1"/>
  <c r="X34" i="22"/>
  <c r="G170" i="22" s="1"/>
  <c r="G171" i="22" s="1"/>
  <c r="AB33" i="22"/>
  <c r="S171" i="22" s="1"/>
  <c r="AA33" i="22"/>
  <c r="AA152" i="22"/>
  <c r="Y33" i="22"/>
  <c r="K170" i="22" s="1"/>
  <c r="K171" i="22" s="1"/>
  <c r="X33" i="22"/>
  <c r="F170" i="22" s="1"/>
  <c r="AA30" i="22"/>
  <c r="K30" i="22"/>
  <c r="I30" i="22"/>
  <c r="G30" i="22"/>
  <c r="E30" i="22"/>
  <c r="C30" i="22"/>
  <c r="Y29" i="22"/>
  <c r="Y35" i="22" s="1"/>
  <c r="L170" i="22" s="1"/>
  <c r="L171" i="22" s="1"/>
  <c r="Y28" i="22"/>
  <c r="X29" i="22"/>
  <c r="A27" i="22"/>
  <c r="A38" i="22" s="1"/>
  <c r="A47" i="22" s="1"/>
  <c r="A56" i="22" s="1"/>
  <c r="L26" i="22"/>
  <c r="J26" i="22"/>
  <c r="H26" i="22"/>
  <c r="F26" i="22"/>
  <c r="D26" i="22"/>
  <c r="Z29" i="22" s="1"/>
  <c r="Z30" i="22" s="1"/>
  <c r="U21" i="22"/>
  <c r="S21" i="22"/>
  <c r="Q21" i="22"/>
  <c r="O21" i="22"/>
  <c r="M21" i="22"/>
  <c r="K21" i="22"/>
  <c r="I21" i="22"/>
  <c r="G21" i="22"/>
  <c r="Y20" i="22"/>
  <c r="X20" i="22"/>
  <c r="X35" i="22" s="1"/>
  <c r="H170" i="22" s="1"/>
  <c r="H171" i="22" s="1"/>
  <c r="Y19" i="22"/>
  <c r="Y34" i="22" s="1"/>
  <c r="V17" i="22"/>
  <c r="T17" i="22"/>
  <c r="R17" i="22"/>
  <c r="P17" i="22"/>
  <c r="N17" i="22"/>
  <c r="L17" i="22"/>
  <c r="J17" i="22"/>
  <c r="H17" i="22"/>
  <c r="F17" i="22"/>
  <c r="W17" i="22" s="1"/>
  <c r="D17" i="22"/>
  <c r="C22" i="22" s="1"/>
  <c r="O12" i="22"/>
  <c r="O10" i="22"/>
  <c r="O9" i="22"/>
  <c r="O8" i="22"/>
  <c r="O7" i="22"/>
  <c r="O6" i="22"/>
  <c r="O97" i="22"/>
  <c r="C42" i="22"/>
  <c r="J124" i="22"/>
  <c r="AA123" i="22"/>
  <c r="AA78" i="22"/>
  <c r="Z40" i="22"/>
  <c r="Z41" i="22" s="1"/>
  <c r="C134" i="22"/>
  <c r="AA143" i="22"/>
  <c r="AG78" i="22"/>
  <c r="AA105" i="22"/>
  <c r="Z33" i="22"/>
  <c r="AA21" i="22"/>
  <c r="A14" i="46"/>
  <c r="A15" i="46"/>
  <c r="A16" i="46"/>
  <c r="A17" i="46"/>
  <c r="A18" i="46"/>
  <c r="A19" i="46"/>
  <c r="A20" i="46"/>
  <c r="A21" i="46"/>
  <c r="A22" i="46"/>
  <c r="A23" i="46"/>
  <c r="A24" i="46"/>
  <c r="A25" i="46"/>
  <c r="A26" i="46"/>
  <c r="H9" i="46"/>
  <c r="F9" i="46"/>
  <c r="E9" i="46"/>
  <c r="D9" i="46"/>
  <c r="I8" i="46"/>
  <c r="I7" i="46"/>
  <c r="I6" i="46"/>
  <c r="I9" i="46"/>
  <c r="A2" i="46"/>
  <c r="M44" i="45"/>
  <c r="L44" i="45"/>
  <c r="K44" i="45"/>
  <c r="H44" i="45"/>
  <c r="D44" i="45"/>
  <c r="J43" i="45"/>
  <c r="B43" i="45"/>
  <c r="J42" i="45"/>
  <c r="B42" i="45"/>
  <c r="J41" i="45"/>
  <c r="B41" i="45"/>
  <c r="I40" i="45"/>
  <c r="B40" i="45"/>
  <c r="I39" i="45"/>
  <c r="B39" i="45"/>
  <c r="J38" i="45"/>
  <c r="B38" i="45"/>
  <c r="I37" i="45"/>
  <c r="B37" i="45"/>
  <c r="J36" i="45"/>
  <c r="B36" i="45"/>
  <c r="I35" i="45"/>
  <c r="B35" i="45"/>
  <c r="I34" i="45"/>
  <c r="B34" i="45"/>
  <c r="I33" i="45"/>
  <c r="B33" i="45"/>
  <c r="J32" i="45"/>
  <c r="B32" i="45"/>
  <c r="I31" i="45"/>
  <c r="B31" i="45"/>
  <c r="J30" i="45"/>
  <c r="B30" i="45"/>
  <c r="J29" i="45"/>
  <c r="B29" i="45"/>
  <c r="J28" i="45"/>
  <c r="B28" i="45"/>
  <c r="I27" i="45"/>
  <c r="B27" i="45"/>
  <c r="I26" i="45"/>
  <c r="B26" i="45"/>
  <c r="I25" i="45"/>
  <c r="B25" i="45"/>
  <c r="I24" i="45"/>
  <c r="B24" i="45"/>
  <c r="I23" i="45"/>
  <c r="B23" i="45"/>
  <c r="I22" i="45"/>
  <c r="B22" i="45"/>
  <c r="J21" i="45"/>
  <c r="B21" i="45"/>
  <c r="I20" i="45"/>
  <c r="B20" i="45"/>
  <c r="I19" i="45"/>
  <c r="B19" i="45"/>
  <c r="I18" i="45"/>
  <c r="B18" i="45"/>
  <c r="I17" i="45"/>
  <c r="B17" i="45"/>
  <c r="I16" i="45"/>
  <c r="B16" i="45"/>
  <c r="J15" i="45"/>
  <c r="B15" i="45"/>
  <c r="I14" i="45"/>
  <c r="B14" i="45"/>
  <c r="I13" i="45"/>
  <c r="B13" i="45"/>
  <c r="J12" i="45"/>
  <c r="J5" i="45"/>
  <c r="J7" i="45"/>
  <c r="J11" i="45"/>
  <c r="J44" i="45"/>
  <c r="B12" i="45"/>
  <c r="B11" i="45"/>
  <c r="I10" i="45"/>
  <c r="B10" i="45"/>
  <c r="I9" i="45"/>
  <c r="B9" i="45"/>
  <c r="I8" i="45"/>
  <c r="B8" i="45"/>
  <c r="B7" i="45"/>
  <c r="I6" i="45"/>
  <c r="I44" i="45"/>
  <c r="B6" i="45"/>
  <c r="A6" i="45"/>
  <c r="A7" i="45"/>
  <c r="A8" i="45"/>
  <c r="A9" i="45"/>
  <c r="A10" i="45"/>
  <c r="A11" i="45"/>
  <c r="A12" i="45"/>
  <c r="A13" i="45"/>
  <c r="A14" i="45"/>
  <c r="A15" i="45"/>
  <c r="A16" i="45"/>
  <c r="A17" i="45"/>
  <c r="A18" i="45"/>
  <c r="A19" i="45"/>
  <c r="A20" i="45"/>
  <c r="A21" i="45"/>
  <c r="A22" i="45"/>
  <c r="A23" i="45"/>
  <c r="A24" i="45"/>
  <c r="A25" i="45"/>
  <c r="A26" i="45"/>
  <c r="A28" i="45"/>
  <c r="A29" i="45"/>
  <c r="A30" i="45"/>
  <c r="A31" i="45"/>
  <c r="A32" i="45"/>
  <c r="A33" i="45"/>
  <c r="A34" i="45"/>
  <c r="A35" i="45"/>
  <c r="A36" i="45"/>
  <c r="A37" i="45"/>
  <c r="A38" i="45"/>
  <c r="A39" i="45"/>
  <c r="A40" i="45"/>
  <c r="A41" i="45"/>
  <c r="A42" i="45"/>
  <c r="A43" i="45"/>
  <c r="A67" i="36"/>
  <c r="A68" i="36" s="1"/>
  <c r="A69" i="36" s="1"/>
  <c r="A70" i="36" s="1"/>
  <c r="A71" i="36" s="1"/>
  <c r="A72" i="36" s="1"/>
  <c r="A73" i="36" s="1"/>
  <c r="A74" i="36" s="1"/>
  <c r="A75" i="36" s="1"/>
  <c r="A76" i="36" s="1"/>
  <c r="A77" i="36" s="1"/>
  <c r="A78" i="36" s="1"/>
  <c r="A79" i="36" s="1"/>
  <c r="A80" i="36" s="1"/>
  <c r="A81" i="36" s="1"/>
  <c r="A82" i="36" s="1"/>
  <c r="A83" i="36" s="1"/>
  <c r="A84" i="36" s="1"/>
  <c r="A85" i="36" s="1"/>
  <c r="A86" i="36" s="1"/>
  <c r="A87" i="36" s="1"/>
  <c r="A88" i="36" s="1"/>
  <c r="A89" i="36" s="1"/>
  <c r="A90" i="36" s="1"/>
  <c r="A91" i="36" s="1"/>
  <c r="A92" i="36" s="1"/>
  <c r="A93" i="36" s="1"/>
  <c r="A94" i="36" s="1"/>
  <c r="A95" i="36" s="1"/>
  <c r="A96" i="36" s="1"/>
  <c r="A97" i="36" s="1"/>
  <c r="A98" i="36" s="1"/>
  <c r="A99" i="36" s="1"/>
  <c r="A100" i="36" s="1"/>
  <c r="A101" i="36" s="1"/>
  <c r="A102" i="36" s="1"/>
  <c r="A103" i="36" s="1"/>
  <c r="A104" i="36" s="1"/>
  <c r="A105" i="36" s="1"/>
  <c r="A106" i="36" s="1"/>
  <c r="A107" i="36" s="1"/>
  <c r="A108" i="36" s="1"/>
  <c r="A109" i="36" s="1"/>
  <c r="A110" i="36" s="1"/>
  <c r="A111" i="36" s="1"/>
  <c r="A112" i="36" s="1"/>
  <c r="A113" i="36" s="1"/>
  <c r="A114" i="36" s="1"/>
  <c r="A115" i="36" s="1"/>
  <c r="A116" i="36" s="1"/>
  <c r="A117" i="36" s="1"/>
  <c r="A118" i="36" s="1"/>
  <c r="A119" i="36" s="1"/>
  <c r="A120" i="36" s="1"/>
  <c r="A121" i="36" s="1"/>
  <c r="A122" i="36" s="1"/>
  <c r="A123" i="36" s="1"/>
  <c r="A124" i="36" s="1"/>
  <c r="A125" i="36" s="1"/>
  <c r="A126" i="36" s="1"/>
  <c r="A127" i="36" s="1"/>
  <c r="A128" i="36" s="1"/>
  <c r="A129" i="36" s="1"/>
  <c r="A130" i="36" s="1"/>
  <c r="A131" i="36" s="1"/>
  <c r="A132" i="36" s="1"/>
  <c r="A133" i="36" s="1"/>
  <c r="A134" i="36" s="1"/>
  <c r="A135" i="36" s="1"/>
  <c r="A136" i="36" s="1"/>
  <c r="A137" i="36" s="1"/>
  <c r="Q34" i="48"/>
  <c r="P34" i="48"/>
  <c r="O34" i="48"/>
  <c r="N34" i="48"/>
  <c r="M34" i="48"/>
  <c r="L34" i="48"/>
  <c r="K34" i="48"/>
  <c r="J34" i="48"/>
  <c r="I34" i="48"/>
  <c r="H34" i="48"/>
  <c r="G34" i="48"/>
  <c r="F34" i="48"/>
  <c r="Q33" i="48"/>
  <c r="P33" i="48"/>
  <c r="O33" i="48"/>
  <c r="N33" i="48"/>
  <c r="M33" i="48"/>
  <c r="L33" i="48"/>
  <c r="K33" i="48"/>
  <c r="J33" i="48"/>
  <c r="I33" i="48"/>
  <c r="H33" i="48"/>
  <c r="G33" i="48"/>
  <c r="F33" i="48"/>
  <c r="Q32" i="48"/>
  <c r="P32" i="48"/>
  <c r="O32" i="48"/>
  <c r="N32" i="48"/>
  <c r="M32" i="48"/>
  <c r="L32" i="48"/>
  <c r="K32" i="48"/>
  <c r="J32" i="48"/>
  <c r="I32" i="48"/>
  <c r="H32" i="48"/>
  <c r="G32" i="48"/>
  <c r="F32" i="48"/>
  <c r="Q31" i="48"/>
  <c r="P31" i="48"/>
  <c r="O31" i="48"/>
  <c r="N31" i="48"/>
  <c r="M31" i="48"/>
  <c r="L31" i="48"/>
  <c r="K31" i="48"/>
  <c r="J31" i="48"/>
  <c r="I31" i="48"/>
  <c r="H31" i="48"/>
  <c r="G31" i="48"/>
  <c r="F31" i="48"/>
  <c r="Q30" i="48"/>
  <c r="P30" i="48"/>
  <c r="O30" i="48"/>
  <c r="N30" i="48"/>
  <c r="M30" i="48"/>
  <c r="L30" i="48"/>
  <c r="K30" i="48"/>
  <c r="J30" i="48"/>
  <c r="I30" i="48"/>
  <c r="H30" i="48"/>
  <c r="G30" i="48"/>
  <c r="F30" i="48"/>
  <c r="Q29" i="48"/>
  <c r="P29" i="48"/>
  <c r="O29" i="48"/>
  <c r="N29" i="48"/>
  <c r="M29" i="48"/>
  <c r="L29" i="48"/>
  <c r="K29" i="48"/>
  <c r="J29" i="48"/>
  <c r="I29" i="48"/>
  <c r="H29" i="48"/>
  <c r="G29" i="48"/>
  <c r="F29" i="48"/>
  <c r="Q28" i="48"/>
  <c r="P28" i="48"/>
  <c r="O28" i="48"/>
  <c r="N28" i="48"/>
  <c r="M28" i="48"/>
  <c r="L28" i="48"/>
  <c r="K28" i="48"/>
  <c r="J28" i="48"/>
  <c r="I28" i="48"/>
  <c r="H28" i="48"/>
  <c r="G28" i="48"/>
  <c r="F28" i="48"/>
  <c r="D263" i="48"/>
  <c r="A236" i="48"/>
  <c r="A238" i="48"/>
  <c r="A240" i="48"/>
  <c r="A242" i="48"/>
  <c r="A244" i="48"/>
  <c r="A246" i="48"/>
  <c r="A248" i="48"/>
  <c r="A250" i="48"/>
  <c r="A252" i="48"/>
  <c r="A254" i="48"/>
  <c r="A256" i="48"/>
  <c r="A258" i="48"/>
  <c r="A260" i="48"/>
  <c r="A262" i="48"/>
  <c r="A174" i="48"/>
  <c r="A176" i="48"/>
  <c r="A178" i="48"/>
  <c r="A180" i="48"/>
  <c r="A182" i="48"/>
  <c r="A184" i="48"/>
  <c r="A186" i="48"/>
  <c r="A188" i="48"/>
  <c r="A190" i="48"/>
  <c r="A192" i="48"/>
  <c r="A194" i="48"/>
  <c r="A196" i="48"/>
  <c r="A198" i="48"/>
  <c r="A200" i="48"/>
  <c r="A202" i="48"/>
  <c r="A204" i="48"/>
  <c r="A206" i="48"/>
  <c r="A208" i="48"/>
  <c r="A210" i="48"/>
  <c r="A212" i="48"/>
  <c r="A214" i="48"/>
  <c r="A216" i="48"/>
  <c r="A218" i="48"/>
  <c r="A220" i="48"/>
  <c r="A222" i="48"/>
  <c r="A224" i="48"/>
  <c r="A226" i="48"/>
  <c r="A228" i="48"/>
  <c r="A230" i="48"/>
  <c r="A232" i="48"/>
  <c r="Q18" i="48"/>
  <c r="P18" i="48"/>
  <c r="O18" i="48"/>
  <c r="N18" i="48"/>
  <c r="M18" i="48"/>
  <c r="L18" i="48"/>
  <c r="K18" i="48"/>
  <c r="J18" i="48"/>
  <c r="I18" i="48"/>
  <c r="H18" i="48"/>
  <c r="G18" i="48"/>
  <c r="F18" i="48"/>
  <c r="S18" i="48" s="1"/>
  <c r="Q17" i="48"/>
  <c r="P17" i="48"/>
  <c r="O17" i="48"/>
  <c r="N17" i="48"/>
  <c r="M17" i="48"/>
  <c r="L17" i="48"/>
  <c r="K17" i="48"/>
  <c r="J17" i="48"/>
  <c r="I17" i="48"/>
  <c r="H17" i="48"/>
  <c r="G17" i="48"/>
  <c r="F17" i="48"/>
  <c r="S17" i="48" s="1"/>
  <c r="Q16" i="48"/>
  <c r="P16" i="48"/>
  <c r="O16" i="48"/>
  <c r="N16" i="48"/>
  <c r="M16" i="48"/>
  <c r="L16" i="48"/>
  <c r="K16" i="48"/>
  <c r="J16" i="48"/>
  <c r="J19" i="48" s="1"/>
  <c r="I16" i="48"/>
  <c r="H16" i="48"/>
  <c r="G16" i="48"/>
  <c r="F16" i="48"/>
  <c r="U15" i="48"/>
  <c r="U17" i="48"/>
  <c r="U19" i="48"/>
  <c r="U21" i="48"/>
  <c r="U23" i="48"/>
  <c r="U25" i="48"/>
  <c r="U27" i="48"/>
  <c r="U29" i="48"/>
  <c r="U31" i="48"/>
  <c r="Q15" i="48"/>
  <c r="P15" i="48"/>
  <c r="O15" i="48"/>
  <c r="N15" i="48"/>
  <c r="M15" i="48"/>
  <c r="L15" i="48"/>
  <c r="K15" i="48"/>
  <c r="J15" i="48"/>
  <c r="I15" i="48"/>
  <c r="H15" i="48"/>
  <c r="G15" i="48"/>
  <c r="S15" i="48" s="1"/>
  <c r="F15" i="48"/>
  <c r="Q14" i="48"/>
  <c r="P14" i="48"/>
  <c r="O14" i="48"/>
  <c r="N14" i="48"/>
  <c r="M14" i="48"/>
  <c r="L14" i="48"/>
  <c r="K14" i="48"/>
  <c r="J14" i="48"/>
  <c r="I14" i="48"/>
  <c r="H14" i="48"/>
  <c r="G14" i="48"/>
  <c r="S14" i="48" s="1"/>
  <c r="T14" i="48" s="1"/>
  <c r="F14" i="48"/>
  <c r="Q13" i="48"/>
  <c r="P13" i="48"/>
  <c r="O13" i="48"/>
  <c r="N13" i="48"/>
  <c r="M13" i="48"/>
  <c r="L13" i="48"/>
  <c r="K13" i="48"/>
  <c r="K19" i="48" s="1"/>
  <c r="J13" i="48"/>
  <c r="I13" i="48"/>
  <c r="H13" i="48"/>
  <c r="G13" i="48"/>
  <c r="F13" i="48"/>
  <c r="Q12" i="48"/>
  <c r="P12" i="48"/>
  <c r="O12" i="48"/>
  <c r="O19" i="48" s="1"/>
  <c r="N12" i="48"/>
  <c r="M12" i="48"/>
  <c r="L12" i="48"/>
  <c r="L19" i="48" s="1"/>
  <c r="K12" i="48"/>
  <c r="J12" i="48"/>
  <c r="I12" i="48"/>
  <c r="I19" i="48" s="1"/>
  <c r="H12" i="48"/>
  <c r="G12" i="48"/>
  <c r="G19" i="48" s="1"/>
  <c r="F12" i="48"/>
  <c r="F19" i="48" s="1"/>
  <c r="H19" i="48"/>
  <c r="P19" i="48"/>
  <c r="S16" i="48"/>
  <c r="T16" i="48" s="1"/>
  <c r="M19" i="48"/>
  <c r="Q19" i="48"/>
  <c r="N19" i="48"/>
  <c r="S13" i="48"/>
  <c r="T13" i="48" s="1"/>
  <c r="S34" i="48"/>
  <c r="S33" i="48"/>
  <c r="S32" i="48"/>
  <c r="L35" i="48"/>
  <c r="S31" i="48"/>
  <c r="J35" i="48"/>
  <c r="S30" i="48"/>
  <c r="Q35" i="48"/>
  <c r="P35" i="48"/>
  <c r="O35" i="48"/>
  <c r="N35" i="48"/>
  <c r="M35" i="48"/>
  <c r="I35" i="48"/>
  <c r="H35" i="48"/>
  <c r="G35" i="48"/>
  <c r="S29" i="48"/>
  <c r="K35" i="48"/>
  <c r="S28" i="48"/>
  <c r="F35" i="48"/>
  <c r="D263" i="12"/>
  <c r="S34" i="12"/>
  <c r="S33" i="12"/>
  <c r="S32" i="12"/>
  <c r="S31" i="12"/>
  <c r="S30" i="12"/>
  <c r="O35" i="12"/>
  <c r="K35" i="12"/>
  <c r="G35" i="12"/>
  <c r="S29" i="12"/>
  <c r="Q35" i="12"/>
  <c r="P35" i="12"/>
  <c r="N35" i="12"/>
  <c r="M35" i="12"/>
  <c r="L35" i="12"/>
  <c r="J35" i="12"/>
  <c r="I35" i="12"/>
  <c r="H35" i="12"/>
  <c r="F35" i="12"/>
  <c r="U15" i="12"/>
  <c r="U17" i="12"/>
  <c r="U19" i="12"/>
  <c r="U21" i="12"/>
  <c r="U23" i="12"/>
  <c r="U25" i="12"/>
  <c r="U27" i="12"/>
  <c r="U29" i="12"/>
  <c r="U31" i="12"/>
  <c r="S28" i="12"/>
  <c r="S35" i="12"/>
  <c r="P18" i="12"/>
  <c r="P17" i="12"/>
  <c r="O17" i="12"/>
  <c r="O19" i="12" s="1"/>
  <c r="N18" i="12"/>
  <c r="N17" i="12"/>
  <c r="M18" i="12"/>
  <c r="M17" i="12"/>
  <c r="M19" i="12" s="1"/>
  <c r="L18" i="12"/>
  <c r="L17" i="12"/>
  <c r="J18" i="12"/>
  <c r="J17" i="12"/>
  <c r="J19" i="12" s="1"/>
  <c r="I18" i="12"/>
  <c r="I17" i="12"/>
  <c r="H18" i="12"/>
  <c r="H17" i="12"/>
  <c r="G18" i="12"/>
  <c r="G17" i="12"/>
  <c r="F18" i="12"/>
  <c r="F17" i="12"/>
  <c r="S17" i="12" s="1"/>
  <c r="Q18" i="12"/>
  <c r="P16" i="12"/>
  <c r="O16" i="12"/>
  <c r="N16" i="12"/>
  <c r="L16" i="12"/>
  <c r="J16" i="12"/>
  <c r="I16" i="12"/>
  <c r="H16" i="12"/>
  <c r="S16" i="12" s="1"/>
  <c r="G16" i="12"/>
  <c r="F16" i="12"/>
  <c r="N15" i="12"/>
  <c r="L15" i="12"/>
  <c r="L19" i="12" s="1"/>
  <c r="J15" i="12"/>
  <c r="I15" i="12"/>
  <c r="G15" i="12"/>
  <c r="F15" i="12"/>
  <c r="S15" i="12" s="1"/>
  <c r="N14" i="12"/>
  <c r="L14" i="12"/>
  <c r="J14" i="12"/>
  <c r="I14" i="12"/>
  <c r="H14" i="12"/>
  <c r="G14" i="12"/>
  <c r="F14" i="12"/>
  <c r="N13" i="12"/>
  <c r="N19" i="12" s="1"/>
  <c r="L13" i="12"/>
  <c r="J13" i="12"/>
  <c r="I13" i="12"/>
  <c r="I19" i="12" s="1"/>
  <c r="G13" i="12"/>
  <c r="G19" i="12" s="1"/>
  <c r="F13" i="12"/>
  <c r="Q16" i="12"/>
  <c r="Q15" i="12"/>
  <c r="Q14" i="12"/>
  <c r="S14" i="12" s="1"/>
  <c r="Q13" i="12"/>
  <c r="Q12" i="12"/>
  <c r="Q19" i="12" s="1"/>
  <c r="F12" i="12"/>
  <c r="F19" i="12" s="1"/>
  <c r="A13" i="36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A38" i="36" s="1"/>
  <c r="A39" i="36" s="1"/>
  <c r="A40" i="36" s="1"/>
  <c r="A41" i="36" s="1"/>
  <c r="A42" i="36" s="1"/>
  <c r="A43" i="36" s="1"/>
  <c r="A44" i="36" s="1"/>
  <c r="A45" i="36" s="1"/>
  <c r="A46" i="36" s="1"/>
  <c r="A47" i="36" s="1"/>
  <c r="A48" i="36" s="1"/>
  <c r="A49" i="36" s="1"/>
  <c r="A50" i="36" s="1"/>
  <c r="A51" i="36" s="1"/>
  <c r="A52" i="36" s="1"/>
  <c r="A53" i="36" s="1"/>
  <c r="A54" i="36" s="1"/>
  <c r="A55" i="36" s="1"/>
  <c r="A56" i="36" s="1"/>
  <c r="A57" i="36" s="1"/>
  <c r="A58" i="36" s="1"/>
  <c r="A59" i="36" s="1"/>
  <c r="A60" i="36" s="1"/>
  <c r="A61" i="36" s="1"/>
  <c r="A62" i="36" s="1"/>
  <c r="A63" i="36" s="1"/>
  <c r="A64" i="36" s="1"/>
  <c r="S18" i="12"/>
  <c r="H19" i="12"/>
  <c r="K19" i="12"/>
  <c r="A236" i="12"/>
  <c r="A238" i="12"/>
  <c r="A240" i="12"/>
  <c r="A242" i="12"/>
  <c r="A244" i="12"/>
  <c r="A246" i="12"/>
  <c r="A248" i="12"/>
  <c r="A250" i="12"/>
  <c r="A252" i="12"/>
  <c r="A254" i="12"/>
  <c r="A256" i="12"/>
  <c r="A258" i="12"/>
  <c r="A260" i="12"/>
  <c r="A262" i="12"/>
  <c r="A174" i="12"/>
  <c r="A176" i="12"/>
  <c r="A178" i="12"/>
  <c r="A180" i="12"/>
  <c r="A182" i="12"/>
  <c r="A184" i="12"/>
  <c r="A186" i="12"/>
  <c r="A188" i="12"/>
  <c r="A190" i="12"/>
  <c r="A192" i="12"/>
  <c r="A194" i="12"/>
  <c r="A196" i="12"/>
  <c r="A198" i="12"/>
  <c r="A200" i="12"/>
  <c r="A202" i="12"/>
  <c r="A204" i="12"/>
  <c r="A206" i="12"/>
  <c r="A208" i="12"/>
  <c r="A210" i="12"/>
  <c r="A212" i="12"/>
  <c r="A214" i="12"/>
  <c r="A216" i="12"/>
  <c r="A218" i="12"/>
  <c r="A220" i="12"/>
  <c r="A222" i="12"/>
  <c r="A224" i="12"/>
  <c r="A226" i="12"/>
  <c r="A228" i="12"/>
  <c r="A230" i="12"/>
  <c r="A232" i="12"/>
  <c r="P19" i="12"/>
  <c r="S12" i="12"/>
  <c r="U172" i="22" l="1"/>
  <c r="U174" i="22" s="1"/>
  <c r="U175" i="22" s="1"/>
  <c r="A220" i="36"/>
  <c r="A221" i="36" s="1"/>
  <c r="A222" i="36" s="1"/>
  <c r="A223" i="36" s="1"/>
  <c r="A224" i="36" s="1"/>
  <c r="A225" i="36" s="1"/>
  <c r="A226" i="36" s="1"/>
  <c r="A227" i="36" s="1"/>
  <c r="A228" i="36" s="1"/>
  <c r="A229" i="36" s="1"/>
  <c r="A230" i="36" s="1"/>
  <c r="A231" i="36" s="1"/>
  <c r="A232" i="36" s="1"/>
  <c r="A233" i="36" s="1"/>
  <c r="A234" i="36" s="1"/>
  <c r="A235" i="36" s="1"/>
  <c r="A236" i="36" s="1"/>
  <c r="A237" i="36" s="1"/>
  <c r="A238" i="36" s="1"/>
  <c r="A239" i="36" s="1"/>
  <c r="A240" i="36" s="1"/>
  <c r="A241" i="36" s="1"/>
  <c r="A242" i="36" s="1"/>
  <c r="A243" i="36" s="1"/>
  <c r="A244" i="36" s="1"/>
  <c r="A245" i="36" s="1"/>
  <c r="A246" i="36" s="1"/>
  <c r="A247" i="36" s="1"/>
  <c r="Y148" i="22"/>
  <c r="Y153" i="22" s="1"/>
  <c r="Y105" i="22"/>
  <c r="AB152" i="22"/>
  <c r="AB154" i="22"/>
  <c r="S172" i="22"/>
  <c r="S174" i="22" s="1"/>
  <c r="S175" i="22" s="1"/>
  <c r="L11" i="22" s="1"/>
  <c r="O11" i="22" s="1"/>
  <c r="T172" i="22"/>
  <c r="T174" i="22" s="1"/>
  <c r="AB153" i="22"/>
  <c r="Z58" i="22"/>
  <c r="Z59" i="22" s="1"/>
  <c r="C70" i="22"/>
  <c r="Z86" i="22"/>
  <c r="Z87" i="22" s="1"/>
  <c r="W92" i="22"/>
  <c r="C106" i="22"/>
  <c r="Z104" i="22"/>
  <c r="Z105" i="22" s="1"/>
  <c r="W119" i="22"/>
  <c r="W26" i="22"/>
  <c r="E170" i="22" s="1"/>
  <c r="C31" i="22"/>
  <c r="Z49" i="22"/>
  <c r="Z50" i="22" s="1"/>
  <c r="W55" i="22"/>
  <c r="Z68" i="22"/>
  <c r="Z69" i="22" s="1"/>
  <c r="R70" i="22"/>
  <c r="W139" i="22"/>
  <c r="W37" i="22"/>
  <c r="E172" i="22" s="1"/>
  <c r="C51" i="22"/>
  <c r="W46" i="22"/>
  <c r="C60" i="22"/>
  <c r="W65" i="22"/>
  <c r="C79" i="22"/>
  <c r="V175" i="22"/>
  <c r="W83" i="22"/>
  <c r="Y21" i="22"/>
  <c r="W129" i="22"/>
  <c r="W110" i="22"/>
  <c r="U11" i="22" s="1"/>
  <c r="Y30" i="22"/>
  <c r="AA36" i="22"/>
  <c r="Z148" i="22"/>
  <c r="O173" i="22" s="1"/>
  <c r="O174" i="22" s="1"/>
  <c r="O175" i="22" s="1"/>
  <c r="T171" i="22"/>
  <c r="Z123" i="22"/>
  <c r="Y59" i="22"/>
  <c r="AB155" i="22"/>
  <c r="AF78" i="22"/>
  <c r="Z142" i="22"/>
  <c r="Z149" i="22" s="1"/>
  <c r="P173" i="22" s="1"/>
  <c r="Z96" i="22"/>
  <c r="Y149" i="22"/>
  <c r="L173" i="22" s="1"/>
  <c r="M173" i="22" s="1"/>
  <c r="C97" i="22"/>
  <c r="AA82" i="22"/>
  <c r="R172" i="22"/>
  <c r="Y78" i="22"/>
  <c r="X148" i="22"/>
  <c r="G173" i="22" s="1"/>
  <c r="G174" i="22" s="1"/>
  <c r="G175" i="22" s="1"/>
  <c r="M170" i="22"/>
  <c r="M171" i="22" s="1"/>
  <c r="X149" i="22"/>
  <c r="H173" i="22" s="1"/>
  <c r="X147" i="22"/>
  <c r="F173" i="22" s="1"/>
  <c r="J173" i="22" s="1"/>
  <c r="K174" i="22"/>
  <c r="K175" i="22" s="1"/>
  <c r="AE78" i="22"/>
  <c r="N170" i="22"/>
  <c r="Z81" i="22"/>
  <c r="Y152" i="22"/>
  <c r="J170" i="22"/>
  <c r="J171" i="22" s="1"/>
  <c r="F171" i="22"/>
  <c r="F172" i="22"/>
  <c r="X81" i="22"/>
  <c r="H172" i="22" s="1"/>
  <c r="Z78" i="22"/>
  <c r="Y81" i="22"/>
  <c r="S19" i="12"/>
  <c r="S13" i="12"/>
  <c r="T12" i="48"/>
  <c r="T17" i="48"/>
  <c r="T15" i="48"/>
  <c r="T18" i="48"/>
  <c r="S35" i="48"/>
  <c r="S12" i="48"/>
  <c r="S19" i="48" s="1"/>
  <c r="W172" i="22" l="1"/>
  <c r="Z82" i="22"/>
  <c r="Y150" i="22"/>
  <c r="T175" i="22"/>
  <c r="W170" i="22"/>
  <c r="W171" i="22" s="1"/>
  <c r="E171" i="22"/>
  <c r="Z153" i="22"/>
  <c r="Z35" i="22"/>
  <c r="P170" i="22" s="1"/>
  <c r="P171" i="22" s="1"/>
  <c r="Z36" i="22"/>
  <c r="AA133" i="22"/>
  <c r="AA150" i="22" s="1"/>
  <c r="AA155" i="22" s="1"/>
  <c r="Z133" i="22"/>
  <c r="Y82" i="22"/>
  <c r="Y36" i="22"/>
  <c r="Z147" i="22"/>
  <c r="P172" i="22"/>
  <c r="P174" i="22" s="1"/>
  <c r="Z143" i="22"/>
  <c r="E173" i="22"/>
  <c r="X153" i="22"/>
  <c r="X152" i="22"/>
  <c r="H174" i="22"/>
  <c r="H175" i="22" s="1"/>
  <c r="X154" i="22"/>
  <c r="R170" i="22"/>
  <c r="R171" i="22" s="1"/>
  <c r="N171" i="22"/>
  <c r="F174" i="22"/>
  <c r="F175" i="22" s="1"/>
  <c r="J172" i="22"/>
  <c r="J174" i="22" s="1"/>
  <c r="J175" i="22" s="1"/>
  <c r="L172" i="22"/>
  <c r="Y154" i="22"/>
  <c r="Y155" i="22" l="1"/>
  <c r="Z150" i="22"/>
  <c r="Z155" i="22" s="1"/>
  <c r="N173" i="22"/>
  <c r="Z152" i="22"/>
  <c r="P175" i="22"/>
  <c r="Z154" i="22"/>
  <c r="W173" i="22"/>
  <c r="W174" i="22" s="1"/>
  <c r="W175" i="22" s="1"/>
  <c r="E174" i="22"/>
  <c r="E175" i="22" s="1"/>
  <c r="L174" i="22"/>
  <c r="L175" i="22" s="1"/>
  <c r="M172" i="22"/>
  <c r="M174" i="22" s="1"/>
  <c r="M175" i="22" s="1"/>
  <c r="R173" i="22" l="1"/>
  <c r="R174" i="22" s="1"/>
  <c r="R175" i="22" s="1"/>
  <c r="N174" i="22"/>
  <c r="N175" i="22" s="1"/>
</calcChain>
</file>

<file path=xl/sharedStrings.xml><?xml version="1.0" encoding="utf-8"?>
<sst xmlns="http://schemas.openxmlformats.org/spreadsheetml/2006/main" count="4890" uniqueCount="901">
  <si>
    <t>+0</t>
  </si>
  <si>
    <t>+9</t>
  </si>
  <si>
    <t>40/1</t>
  </si>
  <si>
    <t>+6</t>
  </si>
  <si>
    <t>45/1</t>
  </si>
  <si>
    <t>45/2</t>
  </si>
  <si>
    <t>46/1</t>
  </si>
  <si>
    <t>+3</t>
  </si>
  <si>
    <t>48/1</t>
  </si>
  <si>
    <t>+18</t>
  </si>
  <si>
    <t>Tower</t>
  </si>
  <si>
    <t>Total</t>
  </si>
  <si>
    <t>Sl.No</t>
  </si>
  <si>
    <t>Loc. No.
(Provisional)</t>
  </si>
  <si>
    <t>Type of Tower</t>
  </si>
  <si>
    <t>Span 
(Mtr)</t>
  </si>
  <si>
    <t>34/1</t>
  </si>
  <si>
    <t>34/2</t>
  </si>
  <si>
    <t>34/3</t>
  </si>
  <si>
    <t>36/1</t>
  </si>
  <si>
    <t>37/1</t>
  </si>
  <si>
    <t>37/2</t>
  </si>
  <si>
    <t>AP38</t>
  </si>
  <si>
    <t>AP32</t>
  </si>
  <si>
    <t>AP33</t>
  </si>
  <si>
    <t>AP34</t>
  </si>
  <si>
    <t>AP35</t>
  </si>
  <si>
    <t>AP36</t>
  </si>
  <si>
    <t>AP37</t>
  </si>
  <si>
    <t>AP39</t>
  </si>
  <si>
    <t>AP40</t>
  </si>
  <si>
    <t>AP41</t>
  </si>
  <si>
    <t>AP42</t>
  </si>
  <si>
    <t>AP43</t>
  </si>
  <si>
    <t>AP44</t>
  </si>
  <si>
    <t>AP45</t>
  </si>
  <si>
    <t>AP46</t>
  </si>
  <si>
    <t>46/2</t>
  </si>
  <si>
    <t>AP47</t>
  </si>
  <si>
    <t>AP48</t>
  </si>
  <si>
    <t>48/2</t>
  </si>
  <si>
    <t>AP49</t>
  </si>
  <si>
    <t>AP50</t>
  </si>
  <si>
    <t>AP51</t>
  </si>
  <si>
    <t>AP52</t>
  </si>
  <si>
    <t>AP53</t>
  </si>
  <si>
    <t>AP54</t>
  </si>
  <si>
    <t>AP55</t>
  </si>
  <si>
    <t>AP56</t>
  </si>
  <si>
    <t>40/2</t>
  </si>
  <si>
    <t>40/3</t>
  </si>
  <si>
    <t>42/1</t>
  </si>
  <si>
    <t>42/2</t>
  </si>
  <si>
    <t>48/3</t>
  </si>
  <si>
    <t>AP57</t>
  </si>
  <si>
    <t>Completed</t>
  </si>
  <si>
    <t>WIP</t>
  </si>
  <si>
    <t>Balance</t>
  </si>
  <si>
    <t>TOTAL</t>
  </si>
  <si>
    <t>U/P</t>
  </si>
  <si>
    <t>Tower Type</t>
  </si>
  <si>
    <t>ROW</t>
  </si>
  <si>
    <t>STRG</t>
  </si>
  <si>
    <t>FDN</t>
  </si>
  <si>
    <t>ERE</t>
  </si>
  <si>
    <t>COM</t>
  </si>
  <si>
    <t>1/0</t>
  </si>
  <si>
    <t>Paying out/ Rough sag</t>
  </si>
  <si>
    <t>Tack welding completed</t>
  </si>
  <si>
    <t>Erection ROW</t>
  </si>
  <si>
    <t>Erection Completed ------&gt;</t>
  </si>
  <si>
    <t>Foundation completed ----&gt;</t>
  </si>
  <si>
    <t>&lt;------Insulator hosting</t>
  </si>
  <si>
    <t>Earthing completed -----&gt;</t>
  </si>
  <si>
    <t>Erection Cleared</t>
  </si>
  <si>
    <t>Span</t>
  </si>
  <si>
    <t xml:space="preserve">HT-D/C Power Line Crossing </t>
  </si>
  <si>
    <t>Mtr. Gauge Railway Line Crossing</t>
  </si>
  <si>
    <t>A+0</t>
  </si>
  <si>
    <t xml:space="preserve">HT-M/C Power Line Crossing </t>
  </si>
  <si>
    <t>Broad Gauge Railway</t>
  </si>
  <si>
    <t>Line Crossing</t>
  </si>
  <si>
    <t>Location No.</t>
  </si>
  <si>
    <t>Road Crossing</t>
  </si>
  <si>
    <t>Minor River Crossing</t>
  </si>
  <si>
    <t>RC</t>
  </si>
  <si>
    <t>Raised Chimney</t>
  </si>
  <si>
    <t>Major River Crossing</t>
  </si>
  <si>
    <t>SH/NH Crossing</t>
  </si>
  <si>
    <t>GANTRY</t>
  </si>
  <si>
    <t>LT  Line Crossing</t>
  </si>
  <si>
    <t>HT(11/22/33KV)  Line Crossing</t>
  </si>
  <si>
    <t>ERTH</t>
  </si>
  <si>
    <t>com</t>
  </si>
  <si>
    <t>COMP</t>
  </si>
  <si>
    <t>WFT</t>
  </si>
  <si>
    <t>BAL</t>
  </si>
  <si>
    <t>No of TWR</t>
  </si>
  <si>
    <t>Trippur</t>
  </si>
  <si>
    <t>District</t>
  </si>
  <si>
    <t>Taluk</t>
  </si>
  <si>
    <t>Foundation</t>
  </si>
  <si>
    <t>Earthing</t>
  </si>
  <si>
    <t>Erection</t>
  </si>
  <si>
    <t>Stringing</t>
  </si>
  <si>
    <t>Tower Erection</t>
  </si>
  <si>
    <t>TW</t>
  </si>
  <si>
    <t>Nos</t>
  </si>
  <si>
    <t>Kms</t>
  </si>
  <si>
    <t>LT</t>
  </si>
  <si>
    <t>Section</t>
  </si>
  <si>
    <t>Length in KM</t>
  </si>
  <si>
    <t>Status</t>
  </si>
  <si>
    <t>Remarks</t>
  </si>
  <si>
    <t>EU - Line Daily Progress Report</t>
  </si>
  <si>
    <t>DC2+06</t>
  </si>
  <si>
    <t>DD45+18</t>
  </si>
  <si>
    <t>33/1</t>
  </si>
  <si>
    <t>33/2</t>
  </si>
  <si>
    <t>33/3</t>
  </si>
  <si>
    <t>33/4</t>
  </si>
  <si>
    <t>33/5</t>
  </si>
  <si>
    <t>33/6</t>
  </si>
  <si>
    <t>33/7</t>
  </si>
  <si>
    <t>33/8</t>
  </si>
  <si>
    <t>33/9</t>
  </si>
  <si>
    <t>33/10</t>
  </si>
  <si>
    <t>33/11</t>
  </si>
  <si>
    <t>33/12</t>
  </si>
  <si>
    <t>34/4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</si>
  <si>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</si>
  <si>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</si>
  <si>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</si>
  <si>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</si>
  <si>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</si>
  <si>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</si>
  <si>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</si>
  <si>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</si>
  <si>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</si>
  <si>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</si>
  <si>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</si>
  <si>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37/3</t>
  </si>
  <si>
    <t>38/1</t>
  </si>
  <si>
    <t>40/4</t>
  </si>
  <si>
    <t>40/5</t>
  </si>
  <si>
    <t>41/1</t>
  </si>
  <si>
    <t>41/2</t>
  </si>
  <si>
    <t>41/3</t>
  </si>
  <si>
    <t>41/4</t>
  </si>
  <si>
    <t>41/5</t>
  </si>
  <si>
    <t>43/1</t>
  </si>
  <si>
    <t>43/2</t>
  </si>
  <si>
    <t>43/3</t>
  </si>
  <si>
    <t>44/1</t>
  </si>
  <si>
    <t>45/3</t>
  </si>
  <si>
    <t>46/3</t>
  </si>
  <si>
    <t>46/4</t>
  </si>
  <si>
    <t>46/5</t>
  </si>
  <si>
    <t>46/6</t>
  </si>
  <si>
    <t>46/7</t>
  </si>
  <si>
    <t>46/8</t>
  </si>
  <si>
    <t>46/9</t>
  </si>
  <si>
    <t>46/10</t>
  </si>
  <si>
    <t>46/11</t>
  </si>
  <si>
    <t>46/12</t>
  </si>
  <si>
    <t>46/13</t>
  </si>
  <si>
    <t>46/14</t>
  </si>
  <si>
    <t>46/15</t>
  </si>
  <si>
    <t>47/1</t>
  </si>
  <si>
    <t>48/4</t>
  </si>
  <si>
    <t>48/5</t>
  </si>
  <si>
    <t>52/1</t>
  </si>
  <si>
    <t>52/2</t>
  </si>
  <si>
    <t>54/1</t>
  </si>
  <si>
    <t>54/2</t>
  </si>
  <si>
    <t>54/3</t>
  </si>
  <si>
    <t>54/4</t>
  </si>
  <si>
    <t>55/1</t>
  </si>
  <si>
    <t>55/2</t>
  </si>
  <si>
    <t>55/3</t>
  </si>
  <si>
    <t>55/4</t>
  </si>
  <si>
    <t>55/5</t>
  </si>
  <si>
    <t>55/6</t>
  </si>
  <si>
    <t>56/1</t>
  </si>
  <si>
    <t>56/2</t>
  </si>
  <si>
    <t>56/3</t>
  </si>
  <si>
    <t>57/1</t>
  </si>
  <si>
    <t>57/2</t>
  </si>
  <si>
    <t>57/3</t>
  </si>
  <si>
    <t>57/4</t>
  </si>
  <si>
    <t>AP58</t>
  </si>
  <si>
    <t>58/1</t>
  </si>
  <si>
    <t>AP59</t>
  </si>
  <si>
    <t>AP60</t>
  </si>
  <si>
    <t>KOPPAL DISTRICT</t>
  </si>
  <si>
    <t>RAICHUR DISTRICT</t>
  </si>
  <si>
    <t>SINDHANURU</t>
  </si>
  <si>
    <t>CHIKKEBERAGI</t>
  </si>
  <si>
    <t>BUKKANAHATTI</t>
  </si>
  <si>
    <t>UMALOOTI</t>
  </si>
  <si>
    <t>PURA</t>
  </si>
  <si>
    <t>KUSHTAGI</t>
  </si>
  <si>
    <t>KANNALA</t>
  </si>
  <si>
    <t>METTHINALA</t>
  </si>
  <si>
    <t>MANEDHAL</t>
  </si>
  <si>
    <t>220kV S/C Sindhanur LILO Line</t>
  </si>
  <si>
    <t>110kV S/C TL on D/C Tower</t>
  </si>
  <si>
    <t>220kV D/C LINE</t>
  </si>
  <si>
    <t>LAKE Crossing</t>
  </si>
  <si>
    <t>Hill Crossing</t>
  </si>
  <si>
    <t xml:space="preserve">NH-50 (Hosapete - Kushtagi) </t>
  </si>
  <si>
    <t>HADAGALI</t>
  </si>
  <si>
    <t>VIRAPAPURA</t>
  </si>
  <si>
    <t>LINGADHAHALLI</t>
  </si>
  <si>
    <t>HOMMINALA</t>
  </si>
  <si>
    <t>GANADHALA</t>
  </si>
  <si>
    <t>YELBURGA</t>
  </si>
  <si>
    <t>KATAGIHAL</t>
  </si>
  <si>
    <t>THIPPANAHALA</t>
  </si>
  <si>
    <t>UCHHALAKUNTI</t>
  </si>
  <si>
    <t>GUNNALA</t>
  </si>
  <si>
    <t>HUNASIHALA</t>
  </si>
  <si>
    <t>BEVURA</t>
  </si>
  <si>
    <t>VANAGERI</t>
  </si>
  <si>
    <t>32/0-33/0</t>
  </si>
  <si>
    <t>Raichur</t>
  </si>
  <si>
    <t>Koppal</t>
  </si>
  <si>
    <t>+1.5</t>
  </si>
  <si>
    <t>+4.5</t>
  </si>
  <si>
    <t>-0</t>
  </si>
  <si>
    <t>-1.5</t>
  </si>
  <si>
    <t>-3</t>
  </si>
  <si>
    <t>-4.5</t>
  </si>
  <si>
    <t>-6</t>
  </si>
  <si>
    <t xml:space="preserve">Name of the Line :765kV D/C KOPPAL II(PS) - RAICHUR (Part-1) TRANSMISSION LINE </t>
  </si>
  <si>
    <t xml:space="preserve">VISUAL CHART -  765kV D/C KOPPAL II(PS) - RAICHUR TRANSMISSION LINE </t>
  </si>
  <si>
    <t>Today's Progress</t>
  </si>
  <si>
    <t>Check Survey</t>
  </si>
  <si>
    <t>Classification</t>
  </si>
  <si>
    <t>DFR</t>
  </si>
  <si>
    <t>11KV-2</t>
  </si>
  <si>
    <t>LT-3</t>
  </si>
  <si>
    <t>LT-2</t>
  </si>
  <si>
    <t>11KV-4</t>
  </si>
  <si>
    <t xml:space="preserve">LT-2 </t>
  </si>
  <si>
    <t>110kV D/C LINE</t>
  </si>
  <si>
    <r>
      <t xml:space="preserve">11KV-2           </t>
    </r>
    <r>
      <rPr>
        <sz val="8"/>
        <color theme="1" tint="4.9989318521683403E-2"/>
        <rFont val="Arial"/>
        <family val="2"/>
      </rPr>
      <t>LT-5</t>
    </r>
  </si>
  <si>
    <r>
      <rPr>
        <b/>
        <sz val="9"/>
        <color theme="1"/>
        <rFont val="Arial"/>
        <family val="2"/>
      </rPr>
      <t xml:space="preserve">SH-36     </t>
    </r>
    <r>
      <rPr>
        <b/>
        <sz val="8"/>
        <color theme="1"/>
        <rFont val="Arial"/>
        <family val="2"/>
      </rPr>
      <t xml:space="preserve">                                      110kV D/C LINE</t>
    </r>
  </si>
  <si>
    <t>TW-1</t>
  </si>
  <si>
    <t>TW-2</t>
  </si>
  <si>
    <t>TW-4</t>
  </si>
  <si>
    <t>TW-5</t>
  </si>
  <si>
    <t>TW-6</t>
  </si>
  <si>
    <t>TW-7</t>
  </si>
  <si>
    <t>TW-8</t>
  </si>
  <si>
    <t>TW-9</t>
  </si>
  <si>
    <t>TW-10</t>
  </si>
  <si>
    <t>TW-11</t>
  </si>
  <si>
    <t>TW-12</t>
  </si>
  <si>
    <t>TW-13</t>
  </si>
  <si>
    <t>TW-14</t>
  </si>
  <si>
    <t>TW-15</t>
  </si>
  <si>
    <t>TW-16</t>
  </si>
  <si>
    <t>TW-17</t>
  </si>
  <si>
    <t>TW-18</t>
  </si>
  <si>
    <t>TW-19</t>
  </si>
  <si>
    <t>TW-20</t>
  </si>
  <si>
    <t>TW-21</t>
  </si>
  <si>
    <t>TW-22</t>
  </si>
  <si>
    <t>TW-23</t>
  </si>
  <si>
    <t>TW-24</t>
  </si>
  <si>
    <t>TW-25</t>
  </si>
  <si>
    <t>110kV S/C TL</t>
  </si>
  <si>
    <t>TW-26</t>
  </si>
  <si>
    <t>TW-27</t>
  </si>
  <si>
    <t>TW-28</t>
  </si>
  <si>
    <t>TW-29</t>
  </si>
  <si>
    <t>TW-30</t>
  </si>
  <si>
    <t>TW-31</t>
  </si>
  <si>
    <t>TW-32</t>
  </si>
  <si>
    <t>TW-33</t>
  </si>
  <si>
    <t>TW-34</t>
  </si>
  <si>
    <t>TW-35</t>
  </si>
  <si>
    <t>TW-36</t>
  </si>
  <si>
    <t>TW-37</t>
  </si>
  <si>
    <t>TW-38</t>
  </si>
  <si>
    <t>TW-39</t>
  </si>
  <si>
    <t>TW-40</t>
  </si>
  <si>
    <t>TW-41</t>
  </si>
  <si>
    <t>TW-42</t>
  </si>
  <si>
    <t>TW-43</t>
  </si>
  <si>
    <t>TW-44</t>
  </si>
  <si>
    <t>TW-45</t>
  </si>
  <si>
    <t>TW-46</t>
  </si>
  <si>
    <t>TW-47</t>
  </si>
  <si>
    <t>TW-48</t>
  </si>
  <si>
    <t>TW-49</t>
  </si>
  <si>
    <t>TW-50</t>
  </si>
  <si>
    <t>TW-51</t>
  </si>
  <si>
    <t>TW-52</t>
  </si>
  <si>
    <t>TW-53</t>
  </si>
  <si>
    <t>TW-54</t>
  </si>
  <si>
    <t>TW-55</t>
  </si>
  <si>
    <t>TW-56</t>
  </si>
  <si>
    <t>TW-57</t>
  </si>
  <si>
    <t>TW-58</t>
  </si>
  <si>
    <t>TW-59</t>
  </si>
  <si>
    <t>TW-60</t>
  </si>
  <si>
    <t>TW-61</t>
  </si>
  <si>
    <t>TW-62</t>
  </si>
  <si>
    <t>TW-63</t>
  </si>
  <si>
    <t>TW-64</t>
  </si>
  <si>
    <t>TW-65</t>
  </si>
  <si>
    <t>TW-66</t>
  </si>
  <si>
    <t>TW-67</t>
  </si>
  <si>
    <t>TW-68</t>
  </si>
  <si>
    <t>TW-69</t>
  </si>
  <si>
    <t>TW-70</t>
  </si>
  <si>
    <t>TW-71</t>
  </si>
  <si>
    <t>TW-92</t>
  </si>
  <si>
    <t>TW-72</t>
  </si>
  <si>
    <t>TW-73</t>
  </si>
  <si>
    <t>TW-74</t>
  </si>
  <si>
    <t>TW-75</t>
  </si>
  <si>
    <t>TW-76</t>
  </si>
  <si>
    <t>TW-77</t>
  </si>
  <si>
    <t>TW-78</t>
  </si>
  <si>
    <t>TW-79</t>
  </si>
  <si>
    <t>TW-80</t>
  </si>
  <si>
    <t>TW-81</t>
  </si>
  <si>
    <t>TW-82</t>
  </si>
  <si>
    <t>TW-83</t>
  </si>
  <si>
    <t>TW-84</t>
  </si>
  <si>
    <t>TW-85</t>
  </si>
  <si>
    <t>TW-86</t>
  </si>
  <si>
    <t>TW-87</t>
  </si>
  <si>
    <t>TW-88</t>
  </si>
  <si>
    <t>TW-89</t>
  </si>
  <si>
    <t>TW-90</t>
  </si>
  <si>
    <t>TW-91</t>
  </si>
  <si>
    <t>TW-93</t>
  </si>
  <si>
    <t>TW-94</t>
  </si>
  <si>
    <t>TW-95</t>
  </si>
  <si>
    <t>TW-96</t>
  </si>
  <si>
    <t>TW-97</t>
  </si>
  <si>
    <t>TW-98</t>
  </si>
  <si>
    <t>TW-99</t>
  </si>
  <si>
    <t>TW-100</t>
  </si>
  <si>
    <t>TW-101</t>
  </si>
  <si>
    <t>TW-102</t>
  </si>
  <si>
    <t>TW-103</t>
  </si>
  <si>
    <t>TW-104</t>
  </si>
  <si>
    <t>TW-105</t>
  </si>
  <si>
    <t>TW-106</t>
  </si>
  <si>
    <t>TW-107</t>
  </si>
  <si>
    <t>TW-108</t>
  </si>
  <si>
    <t>TW-109</t>
  </si>
  <si>
    <t>TW-110</t>
  </si>
  <si>
    <t>TW-112</t>
  </si>
  <si>
    <t>TW-111</t>
  </si>
  <si>
    <t>TW-113</t>
  </si>
  <si>
    <t>TW-114</t>
  </si>
  <si>
    <t>TW-115</t>
  </si>
  <si>
    <t>TW-116</t>
  </si>
  <si>
    <t>TW-117</t>
  </si>
  <si>
    <t>TW-118</t>
  </si>
  <si>
    <t>TW-119</t>
  </si>
  <si>
    <t>TW-120</t>
  </si>
  <si>
    <t>TW-121</t>
  </si>
  <si>
    <t>HT-S/C Power Line Crossing</t>
  </si>
  <si>
    <t>Supply Status</t>
  </si>
  <si>
    <t>Activity</t>
  </si>
  <si>
    <t>Unit</t>
  </si>
  <si>
    <t>Final Est. Qty</t>
  </si>
  <si>
    <t>L2 till Last Month</t>
  </si>
  <si>
    <t>Received till Last Month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</si>
  <si>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</si>
  <si>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</si>
  <si>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</si>
  <si>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</si>
  <si>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</si>
  <si>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</si>
  <si>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No's</t>
  </si>
  <si>
    <t>Survey Status</t>
  </si>
  <si>
    <t>Completed till Last Month</t>
  </si>
  <si>
    <t>Approved till Last Month</t>
  </si>
  <si>
    <t>Balance to Submit</t>
  </si>
  <si>
    <t>Approved in current month</t>
  </si>
  <si>
    <t>Balance to Approve</t>
  </si>
  <si>
    <t>L2 Submission Plan for Current Month</t>
  </si>
  <si>
    <t>Survey Progress For current Month</t>
  </si>
  <si>
    <t>Survey Completed till Current Month</t>
  </si>
  <si>
    <t>Detailed Survey</t>
  </si>
  <si>
    <t>kms</t>
  </si>
  <si>
    <t>S.No</t>
  </si>
  <si>
    <t>Start Date</t>
  </si>
  <si>
    <t>Conc Volume</t>
  </si>
  <si>
    <t>End Date</t>
  </si>
  <si>
    <t>Gang Name</t>
  </si>
  <si>
    <t>Gang Strength</t>
  </si>
  <si>
    <t>Remark</t>
  </si>
  <si>
    <t>DA+0</t>
  </si>
  <si>
    <t xml:space="preserve"> COMPLETED</t>
  </si>
  <si>
    <t>SL No.</t>
  </si>
  <si>
    <t>Length</t>
  </si>
  <si>
    <t>OPGW Stringing</t>
  </si>
  <si>
    <t>Project Code</t>
  </si>
  <si>
    <t>TA-418</t>
  </si>
  <si>
    <t>Date</t>
  </si>
  <si>
    <t>SBU Head</t>
  </si>
  <si>
    <t>Mr. Rajinder Gupta</t>
  </si>
  <si>
    <t>Project Name</t>
  </si>
  <si>
    <t>765KV D/C  KOPPAL  II(PS) - RAICHUR TL  (Part-1)</t>
  </si>
  <si>
    <t>PCH</t>
  </si>
  <si>
    <t>Client Name</t>
  </si>
  <si>
    <t>Power Grid Corporation of India Limited</t>
  </si>
  <si>
    <t>11.12.2025</t>
  </si>
  <si>
    <t>Regional Manager</t>
  </si>
  <si>
    <t>Mr. Ajith Kumar MG</t>
  </si>
  <si>
    <t>Planning Engineer</t>
  </si>
  <si>
    <t>Mr.Ajith Jayasurya</t>
  </si>
  <si>
    <t>Project Manger</t>
  </si>
  <si>
    <t>Mr. Tamil Velan</t>
  </si>
  <si>
    <t>Progress Status</t>
  </si>
  <si>
    <t>Final Estimated Quantity</t>
  </si>
  <si>
    <t>Cumulative L2 till Last Month</t>
  </si>
  <si>
    <t>Cumulative Progress till Last Month</t>
  </si>
  <si>
    <t>L2 for present Month</t>
  </si>
  <si>
    <t>Plan for the Month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</si>
  <si>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</si>
  <si>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</si>
  <si>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</si>
  <si>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</si>
  <si>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</si>
  <si>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</si>
  <si>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Name of Contractor : M/s KEC International Ltd</t>
  </si>
  <si>
    <t>Progress at a Glance :</t>
  </si>
  <si>
    <t>Sl. No.</t>
  </si>
  <si>
    <t>UoM</t>
  </si>
  <si>
    <t>Total Qty</t>
  </si>
  <si>
    <t>Stringing (Paying out)</t>
  </si>
  <si>
    <t>Line Length (KM):</t>
  </si>
  <si>
    <t>Stringing (Final Sag)</t>
  </si>
  <si>
    <t>GANG-2</t>
  </si>
  <si>
    <t>DA+3</t>
  </si>
  <si>
    <t>WFR</t>
  </si>
  <si>
    <t>GANG - 1</t>
  </si>
  <si>
    <t>GANG-1</t>
  </si>
  <si>
    <t>DA-3</t>
  </si>
  <si>
    <t>Team - 1 (Sanjay)</t>
  </si>
  <si>
    <t>Team - 3 (ATK-01)</t>
  </si>
  <si>
    <t>Team - 2 (SM Constr.)</t>
  </si>
  <si>
    <t>DA+6</t>
  </si>
  <si>
    <t>DA+9</t>
  </si>
  <si>
    <t>1DB1+0</t>
  </si>
  <si>
    <t>1DA+0</t>
  </si>
  <si>
    <t>1DA+3</t>
  </si>
  <si>
    <t>1DA-3</t>
  </si>
  <si>
    <t>1DA+9</t>
  </si>
  <si>
    <t>1DB1+3</t>
  </si>
  <si>
    <t>1DB1+9</t>
  </si>
  <si>
    <t>1DC2+3</t>
  </si>
  <si>
    <t>1DC2+0</t>
  </si>
  <si>
    <t>1DB1+6</t>
  </si>
  <si>
    <t>1DB2+9</t>
  </si>
  <si>
    <t>1DA+6</t>
  </si>
  <si>
    <t>1DB2+3</t>
  </si>
  <si>
    <t>1DC1-3</t>
  </si>
  <si>
    <t>1DC1+3</t>
  </si>
  <si>
    <t>1DC1+0</t>
  </si>
  <si>
    <t>1DB1-3</t>
  </si>
  <si>
    <t>1DC2+6</t>
  </si>
  <si>
    <t>1DC1+6</t>
  </si>
  <si>
    <t>1DB2+0</t>
  </si>
  <si>
    <t>TW-3</t>
  </si>
  <si>
    <t>(ATK-02)</t>
  </si>
  <si>
    <t>DB1+0</t>
  </si>
  <si>
    <t>NOA Start Date</t>
  </si>
  <si>
    <t>12.03.2024</t>
  </si>
  <si>
    <t>NOA End Date</t>
  </si>
  <si>
    <t>SUPPLY STATUS:</t>
  </si>
  <si>
    <t>LOA Qty</t>
  </si>
  <si>
    <t xml:space="preserve">STUB </t>
  </si>
  <si>
    <t>Sets</t>
  </si>
  <si>
    <t>TOWER PARTS</t>
  </si>
  <si>
    <t>Earthing Materials</t>
  </si>
  <si>
    <t>EA</t>
  </si>
  <si>
    <t xml:space="preserve"> </t>
  </si>
  <si>
    <t>WET/WFR</t>
  </si>
  <si>
    <t>34/0</t>
  </si>
  <si>
    <t>Gang-01 (Sanjay)</t>
  </si>
  <si>
    <t>Bindu</t>
  </si>
  <si>
    <t>LALA GANG</t>
  </si>
  <si>
    <t>Km</t>
  </si>
  <si>
    <t>35/06</t>
  </si>
  <si>
    <t>GANG - 4</t>
  </si>
  <si>
    <t>41/0</t>
  </si>
  <si>
    <t>43/0</t>
  </si>
  <si>
    <t>Adarsh Gang</t>
  </si>
  <si>
    <t>Balance as per L2</t>
  </si>
  <si>
    <t>Gang-02 (Sanjay)</t>
  </si>
  <si>
    <t>11KV</t>
  </si>
  <si>
    <t>45/02</t>
  </si>
  <si>
    <t>45/0</t>
  </si>
  <si>
    <t>DC1+3</t>
  </si>
  <si>
    <t>46/0</t>
  </si>
  <si>
    <t>DB1+6</t>
  </si>
  <si>
    <t>KAVAL CHAND</t>
  </si>
  <si>
    <t>1DA-1.5</t>
  </si>
  <si>
    <t>1DD45+18</t>
  </si>
  <si>
    <t>1DD45+0</t>
  </si>
  <si>
    <t>1DD60+0</t>
  </si>
  <si>
    <t>35/0</t>
  </si>
  <si>
    <t>Sl. No</t>
  </si>
  <si>
    <t>SECTION</t>
  </si>
  <si>
    <t>33KV</t>
  </si>
  <si>
    <t>FROM</t>
  </si>
  <si>
    <t>TO</t>
  </si>
  <si>
    <t>37/0</t>
  </si>
  <si>
    <t>57/0</t>
  </si>
  <si>
    <t xml:space="preserve">765kV D/C KOPPAL II(PS) - RAICHUR TRANSMISSION LINE </t>
  </si>
  <si>
    <t>CROSSINGS PROPOSAL STATUS</t>
  </si>
  <si>
    <t>Crossing Type</t>
  </si>
  <si>
    <t>110kV</t>
  </si>
  <si>
    <t>220kV</t>
  </si>
  <si>
    <t>400kV</t>
  </si>
  <si>
    <t>765kV</t>
  </si>
  <si>
    <t>SH-Xing</t>
  </si>
  <si>
    <t>NH-Xing</t>
  </si>
  <si>
    <t>Railway Xing</t>
  </si>
  <si>
    <t>Total Nos</t>
  </si>
  <si>
    <t>Submitted Till Date</t>
  </si>
  <si>
    <t>Completed Till Date</t>
  </si>
  <si>
    <t>Balance to Execute</t>
  </si>
  <si>
    <t>Crossings Details</t>
  </si>
  <si>
    <t>FROM (AP)</t>
  </si>
  <si>
    <t>TO (AP)</t>
  </si>
  <si>
    <t>Name of the Line</t>
  </si>
  <si>
    <t>NAME OF CROSSING</t>
  </si>
  <si>
    <t>110kV S/C LINE on D/C TOWERS</t>
  </si>
  <si>
    <t>Power line</t>
  </si>
  <si>
    <t>110kV S/C LINE ON D/C TOWERS</t>
  </si>
  <si>
    <t>110kV D/C LINE UNDER CONSTRUCTION</t>
  </si>
  <si>
    <t xml:space="preserve">110kV D/C LINE </t>
  </si>
  <si>
    <t>220kV S/C Sindhanur LILO Line on DC Towers</t>
  </si>
  <si>
    <t>STATE HIGHWAY-30 (Sindhanur - Tawargere Section</t>
  </si>
  <si>
    <t>SH crossing</t>
  </si>
  <si>
    <t>STATE HIGHWAY-29 (Hulihaider - Tawargeri Section)</t>
  </si>
  <si>
    <t>STATE HIGHWAY-36 (Koppal - Kushtagi Section</t>
  </si>
  <si>
    <t>STATE HIGHWAY-130 (Bewoor - Yelburga Section</t>
  </si>
  <si>
    <t>NATIONAL HIGHWAY-50 (Hosapete - Kushtagi Section)</t>
  </si>
  <si>
    <t>NH crossing</t>
  </si>
  <si>
    <t>ANURADHA</t>
  </si>
  <si>
    <t>58/0</t>
  </si>
  <si>
    <t>1DD60+6</t>
  </si>
  <si>
    <t>59/0</t>
  </si>
  <si>
    <t>59/1</t>
  </si>
  <si>
    <t>60/0</t>
  </si>
  <si>
    <t>60/1</t>
  </si>
  <si>
    <t>60/2</t>
  </si>
  <si>
    <t>60/3</t>
  </si>
  <si>
    <t>60/4</t>
  </si>
  <si>
    <t>61/0</t>
  </si>
  <si>
    <t>1DD45+6</t>
  </si>
  <si>
    <r>
      <rPr>
        <sz val="14"/>
        <rFont val="Calibri"/>
        <family val="1"/>
      </rPr>
      <t>AP-62</t>
    </r>
  </si>
  <si>
    <t>DD60</t>
  </si>
  <si>
    <r>
      <rPr>
        <sz val="14"/>
        <rFont val="Calibri"/>
        <family val="1"/>
      </rPr>
      <t>AP-63</t>
    </r>
  </si>
  <si>
    <t>AP61</t>
  </si>
  <si>
    <t>AP62</t>
  </si>
  <si>
    <t>AP63</t>
  </si>
  <si>
    <t>TW-122</t>
  </si>
  <si>
    <t>TW-123</t>
  </si>
  <si>
    <t>TW-124</t>
  </si>
  <si>
    <t>TW-125</t>
  </si>
  <si>
    <t>TW-126</t>
  </si>
  <si>
    <t>TW-127</t>
  </si>
  <si>
    <r>
      <t xml:space="preserve">11KV-2           </t>
    </r>
    <r>
      <rPr>
        <sz val="8"/>
        <color theme="1" tint="4.9989318521683403E-2"/>
        <rFont val="Arial"/>
        <family val="2"/>
      </rPr>
      <t>LT-2</t>
    </r>
  </si>
  <si>
    <t>110kV DC</t>
  </si>
  <si>
    <t>LT-5</t>
  </si>
  <si>
    <t>LT-4</t>
  </si>
  <si>
    <t>KEC GANG -02</t>
  </si>
  <si>
    <t>KEVAL CHAND</t>
  </si>
  <si>
    <t>1DA</t>
  </si>
  <si>
    <t>1DB1</t>
  </si>
  <si>
    <t>1DB2</t>
  </si>
  <si>
    <t>1DC1</t>
  </si>
  <si>
    <t>1DC2</t>
  </si>
  <si>
    <t>1DD45</t>
  </si>
  <si>
    <t>1DD60</t>
  </si>
  <si>
    <t>DB1+9</t>
  </si>
  <si>
    <t>DB2+3</t>
  </si>
  <si>
    <t>42/0</t>
  </si>
  <si>
    <t>ADARSH</t>
  </si>
  <si>
    <t>55/0</t>
  </si>
  <si>
    <t>DB2+0</t>
  </si>
  <si>
    <t>DB2+9</t>
  </si>
  <si>
    <t>40/0</t>
  </si>
  <si>
    <t>32/0</t>
  </si>
  <si>
    <t>DC2+6</t>
  </si>
  <si>
    <t>Haque Constr.</t>
  </si>
  <si>
    <t>Section Length</t>
  </si>
  <si>
    <t>No. Of Towers B/W Angle Towers</t>
  </si>
  <si>
    <t>TSE Section    (In KM)</t>
  </si>
  <si>
    <t>Manual Section  (In KM)</t>
  </si>
  <si>
    <t>AP47/0</t>
  </si>
  <si>
    <t>48A/0</t>
  </si>
  <si>
    <t>49/0</t>
  </si>
  <si>
    <t>62/0</t>
  </si>
  <si>
    <t>63/0</t>
  </si>
  <si>
    <t>GNTY</t>
  </si>
  <si>
    <t>110kV DC YALBURGA-BEWOOR UNDER CONSTRUCTION T/L</t>
  </si>
  <si>
    <t>Date of First Submission</t>
  </si>
  <si>
    <t>Joint Inspection Status</t>
  </si>
  <si>
    <t>Provisional approval status</t>
  </si>
  <si>
    <t>Submitted</t>
  </si>
  <si>
    <t>38/2</t>
  </si>
  <si>
    <t>48A/1</t>
  </si>
  <si>
    <t>48A/2</t>
  </si>
  <si>
    <t>Koppal-II Gantry</t>
  </si>
  <si>
    <t xml:space="preserve">11KV-4 </t>
  </si>
  <si>
    <t>AP48A</t>
  </si>
  <si>
    <t>11KV-2           LT-2</t>
  </si>
  <si>
    <t>11KV-3</t>
  </si>
  <si>
    <t>11KV -2             LT-2</t>
  </si>
  <si>
    <r>
      <t xml:space="preserve">11KV-8           </t>
    </r>
    <r>
      <rPr>
        <sz val="8"/>
        <color theme="1" tint="4.9989318521683403E-2"/>
        <rFont val="Arial"/>
        <family val="2"/>
      </rPr>
      <t>LT-4</t>
    </r>
  </si>
  <si>
    <t>0.414KM</t>
  </si>
  <si>
    <t>11KV-3       33KV-1</t>
  </si>
  <si>
    <t>Canal/POND Crossing</t>
  </si>
  <si>
    <t>11KV-2          LT-2</t>
  </si>
  <si>
    <t>DC1+0</t>
  </si>
  <si>
    <t>36/0</t>
  </si>
  <si>
    <t>DB1+3</t>
  </si>
  <si>
    <t>Loc. No.</t>
  </si>
  <si>
    <t>FDN STATUS</t>
  </si>
  <si>
    <t>765KV D/C  KOPPAL  II(PS) - RAICHUR TL  (Part-1) | BALANCE WORK DETAILS</t>
  </si>
  <si>
    <t>ROW STATUS</t>
  </si>
  <si>
    <t>REMARKS</t>
  </si>
  <si>
    <t>Land Owner Not Accepted</t>
  </si>
  <si>
    <t>Village</t>
  </si>
  <si>
    <t>Tavaragera</t>
  </si>
  <si>
    <t>Manadhal</t>
  </si>
  <si>
    <t>Yalaburga</t>
  </si>
  <si>
    <t>Lakamagooli</t>
  </si>
  <si>
    <t>DC2+0</t>
  </si>
  <si>
    <t>KEC GANG -04</t>
  </si>
  <si>
    <t>56/0</t>
  </si>
  <si>
    <t>KPK</t>
  </si>
  <si>
    <t>DA+0 (RC)</t>
  </si>
  <si>
    <t>DA+6 (RC)</t>
  </si>
  <si>
    <t>Gang-02(Sanjay)</t>
  </si>
  <si>
    <t>Gang-01(Sanjay)</t>
  </si>
  <si>
    <t>DFR/WFR</t>
  </si>
  <si>
    <t>DD60+6</t>
  </si>
  <si>
    <r>
      <t xml:space="preserve">DFR - </t>
    </r>
    <r>
      <rPr>
        <b/>
        <sz val="8"/>
        <rFont val="Arial"/>
        <family val="2"/>
      </rPr>
      <t>RC</t>
    </r>
  </si>
  <si>
    <t>52/0</t>
  </si>
  <si>
    <t>DFR - RC</t>
  </si>
  <si>
    <t>DA+3 (RC)</t>
  </si>
  <si>
    <t>07-01-2025               25-5-25</t>
  </si>
  <si>
    <t>33/0</t>
  </si>
  <si>
    <t>KEC GANG -05</t>
  </si>
  <si>
    <t>DB1+9 (RC)</t>
  </si>
  <si>
    <t>KEC GANG -06</t>
  </si>
  <si>
    <t>DB+9</t>
  </si>
  <si>
    <t>39/0</t>
  </si>
  <si>
    <t xml:space="preserve">DA+0 </t>
  </si>
  <si>
    <t>44/0</t>
  </si>
  <si>
    <t>DC1-3</t>
  </si>
  <si>
    <t>KEC GANG -07</t>
  </si>
  <si>
    <t>*SUPPORT REQUIRED :</t>
  </si>
  <si>
    <t>DA-1.5</t>
  </si>
  <si>
    <t xml:space="preserve">* </t>
  </si>
  <si>
    <t>Nature of Work</t>
  </si>
  <si>
    <t>GANG NAME</t>
  </si>
  <si>
    <t>WIP LOCATION</t>
  </si>
  <si>
    <t>48/0</t>
  </si>
  <si>
    <t>KEC GANG - 06</t>
  </si>
  <si>
    <t>KEC GANG - 08</t>
  </si>
  <si>
    <t>KEC GANG -09</t>
  </si>
  <si>
    <t>47/0</t>
  </si>
  <si>
    <t>11-08-2024 and 01-07-25</t>
  </si>
  <si>
    <t>53/0</t>
  </si>
  <si>
    <t>KEC GANG - 09</t>
  </si>
  <si>
    <t>13-07-2025 &amp; 26-7-25</t>
  </si>
  <si>
    <t>KEC GANG -07 - HQ</t>
  </si>
  <si>
    <t>SUBHASH</t>
  </si>
  <si>
    <t>SAVITHA</t>
  </si>
  <si>
    <t>KEC - 01 (Barkat Ali)</t>
  </si>
  <si>
    <t>KEC - 02 (Barkat Ali)</t>
  </si>
  <si>
    <t>Gang-02(Sanjay) / KEC - 02 (Barkat Ali)</t>
  </si>
  <si>
    <t>54/0</t>
  </si>
  <si>
    <t>DC1+6</t>
  </si>
  <si>
    <t>AS ON DATE - WORK FRONT</t>
  </si>
  <si>
    <t>ERE STATUS</t>
  </si>
  <si>
    <t>COMPLETED</t>
  </si>
  <si>
    <t>PENDING</t>
  </si>
  <si>
    <t>DD60+0</t>
  </si>
  <si>
    <t>M/S MDPL</t>
  </si>
  <si>
    <t>M/s MDPL</t>
  </si>
  <si>
    <t>M/s BARKAT ALI - 02</t>
  </si>
  <si>
    <t>M/s TOFIT</t>
  </si>
  <si>
    <t>Formal Approval Awaited</t>
  </si>
  <si>
    <t>42/0 - 43/0</t>
  </si>
  <si>
    <t>SUFIYAN</t>
  </si>
  <si>
    <t>Paying out Done/ Final sag</t>
  </si>
  <si>
    <t>41/0 - 42/0</t>
  </si>
  <si>
    <t>Required further work front for Erection works without frequent shifting of gang In order to sustain the manpower.</t>
  </si>
  <si>
    <t>40/0 - 41/0</t>
  </si>
  <si>
    <t>Starting Date</t>
  </si>
  <si>
    <t>Completion Date</t>
  </si>
  <si>
    <t>Tower Weight</t>
  </si>
  <si>
    <t>LOA End Date</t>
  </si>
  <si>
    <t>Section Incharge</t>
  </si>
  <si>
    <t>Engineer/Supervisor</t>
  </si>
  <si>
    <t>PGCIL</t>
  </si>
  <si>
    <t>TA 418</t>
  </si>
  <si>
    <t>765KV D/C  KOPPAL  II(PS) - RAICHUR TL  (Part-1)       </t>
  </si>
  <si>
    <t>Mr. Ajith Jayasurya</t>
  </si>
  <si>
    <t>Not Available</t>
  </si>
  <si>
    <t>Prathab DK</t>
  </si>
  <si>
    <t>Subha Parui</t>
  </si>
  <si>
    <t>Prabhu Prasad</t>
  </si>
  <si>
    <t>Ashok Prasad</t>
  </si>
  <si>
    <t>Basudev Mahato</t>
  </si>
  <si>
    <t>Ajay Kumar</t>
  </si>
  <si>
    <t>Rahman</t>
  </si>
  <si>
    <t>Jitender</t>
  </si>
  <si>
    <t>Durai swamy</t>
  </si>
  <si>
    <t>Umesh Kumar</t>
  </si>
  <si>
    <t>Vennilavan</t>
  </si>
  <si>
    <t xml:space="preserve">SUPPLY OF STUB </t>
  </si>
  <si>
    <t>SUPPLY OF TOWER PARTS</t>
  </si>
  <si>
    <t>SUPPLY OF Earthing Materials</t>
  </si>
  <si>
    <t>7/3.66 G.S. EARTHWIRE</t>
  </si>
  <si>
    <t xml:space="preserve">KM </t>
  </si>
  <si>
    <t>ACSR/AL59/AAAC ZEBRA CONDUCTOR</t>
  </si>
  <si>
    <t xml:space="preserve">EA </t>
  </si>
  <si>
    <t>SET</t>
  </si>
  <si>
    <t>MID SPAN COMPRESSION JOINT FOR CONDUCTOR-765KV AC WITH ACSR/AL59/AAACHEX ZEBRA</t>
  </si>
  <si>
    <t>REPAIR SLEEVE FOR CONDUCTOR-765KV AC WITH ACSR/AL59/AAAC HEX ZEBRA</t>
  </si>
  <si>
    <t>PREFORMED RETAINING ROD TYPE SPACER DAMPER SUITABLE FOR HEXAACSR/AL59/AAAC ZEBRA CONDUCTOR</t>
  </si>
  <si>
    <t>HEXAGONAL RIGID SPACER-765KV AC WITH ACSR/AL59/AAAC HEX ZEBRA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</si>
  <si>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</si>
  <si>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</si>
  <si>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</si>
  <si>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</si>
  <si>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</si>
  <si>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>24 FIBRE (DWSM) OPGW FIBRE OPTIC CABLE</t>
  </si>
  <si>
    <t>Suspension clamp assembly for 24 fibreOPGW</t>
  </si>
  <si>
    <t>TENSION ASSEMBLY - DEAD END FOR 24 FIBEROPGW</t>
  </si>
  <si>
    <t>TENSION  FITTINGS ASSEMBLY FOR 24F OPGWINCLUDING ALL ACCESSORIES FORJOINT BOX(SPLICING) LOCATION</t>
  </si>
  <si>
    <t>TENSION ASSEMBLY - DOUBLE TENSION PASSTHROUGH ASSEMBLY FOR 24 FIBEROPGW</t>
  </si>
  <si>
    <t>Vibration Damper for 24 fibre OPGW</t>
  </si>
  <si>
    <t>Down Lead clamp Assembly for 24 fibreOPGW</t>
  </si>
  <si>
    <t>Joint Box for 24 fibre OPGW</t>
  </si>
  <si>
    <t>Danger  Plate for 765kV</t>
  </si>
  <si>
    <t>Number  Plate for 765kV</t>
  </si>
  <si>
    <t>Phase Plate (Set of three)</t>
  </si>
  <si>
    <t>Circuit Plate  (Set of two)</t>
  </si>
  <si>
    <t>Supply of Anti-Climbing Devices ofBarbedWire Type</t>
  </si>
  <si>
    <t>Bird Guard (Set of Three)</t>
  </si>
  <si>
    <t>SI. No.</t>
  </si>
  <si>
    <t>Activity Description</t>
  </si>
  <si>
    <t>Item  Description</t>
  </si>
  <si>
    <t>BALANCE QTY TO BE SUPPLIED</t>
  </si>
  <si>
    <t xml:space="preserve">Earthwire                               </t>
  </si>
  <si>
    <t xml:space="preserve">Conductor                               </t>
  </si>
  <si>
    <t xml:space="preserve">Composite Insulator                     </t>
  </si>
  <si>
    <t xml:space="preserve">Hardware Fitting                        </t>
  </si>
  <si>
    <t xml:space="preserve">Conductor Accesories                    </t>
  </si>
  <si>
    <t xml:space="preserve">Earthwire Accessories                   </t>
  </si>
  <si>
    <t xml:space="preserve">OPGW Supply                             </t>
  </si>
  <si>
    <t xml:space="preserve">Earthing of Tower                       </t>
  </si>
  <si>
    <t xml:space="preserve">Tower Accesories                        </t>
  </si>
  <si>
    <t>SUPPLIED QTY</t>
  </si>
  <si>
    <t>35/0 - 36/0</t>
  </si>
  <si>
    <t>Composite long rod Insulators for 765kV-160 KN</t>
  </si>
  <si>
    <t>Composite long rod Insulators for 765kV-210 KN</t>
  </si>
  <si>
    <t>Zebra Conductor-Double ISuspension String</t>
  </si>
  <si>
    <t>Zebra Conductor-Single ISuspension String (Pilot)</t>
  </si>
  <si>
    <t>ZebraConductor-Quadruple Tension String</t>
  </si>
  <si>
    <t>STRINGING ACTIVITY</t>
  </si>
  <si>
    <t>STRINGING</t>
  </si>
  <si>
    <t>M/s SUFIYAN</t>
  </si>
  <si>
    <t>PROGRESS</t>
  </si>
  <si>
    <t>LENGTH (Km)</t>
  </si>
  <si>
    <t xml:space="preserve">Supply of Shieldwire Earthing Counterpoise (4X30M) </t>
  </si>
  <si>
    <t>Supply of Shieldwire Earthing- for Pipetype Earthing</t>
  </si>
  <si>
    <t>TENSION  FITTINGS ASSEMBLY ON SUSPENSIONTOWER FOR 24F OPGW  AT JOINT BOX (SPLICING)LOCATION</t>
  </si>
  <si>
    <t>ERECTION ACTIVITY</t>
  </si>
  <si>
    <t>NIL</t>
  </si>
  <si>
    <t>Gap between Supply &amp; Cumm.L2</t>
  </si>
  <si>
    <t xml:space="preserve">Tree Cutting arrangements and Corridor Clearance for Planned stringing stretches. </t>
  </si>
  <si>
    <t>34/0 - 35/0</t>
  </si>
  <si>
    <t>KEC GANG -06 -HQ</t>
  </si>
  <si>
    <t>.</t>
  </si>
  <si>
    <t>36/0 - 36/1</t>
  </si>
  <si>
    <t>GANG - A1</t>
  </si>
  <si>
    <t>GANG - A2</t>
  </si>
  <si>
    <t>Mr. Arun Felbin</t>
  </si>
  <si>
    <t>51/0</t>
  </si>
  <si>
    <t>50/0</t>
  </si>
  <si>
    <t>DB1-3</t>
  </si>
  <si>
    <t>PayingOut Start Date</t>
  </si>
  <si>
    <t>Rough Sag Completion Date</t>
  </si>
  <si>
    <t>Final Sag Start Date</t>
  </si>
  <si>
    <t>Final Sag Completion Date</t>
  </si>
  <si>
    <t>Spacer Placement Completion Date</t>
  </si>
  <si>
    <t>Required further work front for Foundation works In order to sustain the manpower.</t>
  </si>
  <si>
    <t>Insulator Hoisting Completion Date</t>
  </si>
  <si>
    <t>DRY</t>
  </si>
  <si>
    <t>ACTIVITY</t>
  </si>
  <si>
    <t>FOUNDATION</t>
  </si>
  <si>
    <t>GANG -1 (Manju)</t>
  </si>
  <si>
    <t>GANG - 2 (Vijo)</t>
  </si>
  <si>
    <t>ERECTION</t>
  </si>
  <si>
    <t>M/s BARKAT ALI</t>
  </si>
  <si>
    <t>IDLE</t>
  </si>
  <si>
    <t>33/6 - IH</t>
  </si>
  <si>
    <t>34/0 - 36/0 FS</t>
  </si>
  <si>
    <t>IDLE - 46/11</t>
  </si>
  <si>
    <t xml:space="preserve">765KV D/C  KOPPAL  II(PS) - RAICHUR TL  (Part-1)  </t>
  </si>
  <si>
    <t>ROW TRACKER - DECEMBER'25</t>
  </si>
  <si>
    <t>Final Sag COMPLETED</t>
  </si>
  <si>
    <t>FOUNDATION ACTIVITY</t>
  </si>
  <si>
    <t>Clipping complete - 11/12/25</t>
  </si>
  <si>
    <t>Jumpering Completed (35/0) - 10/12/25</t>
  </si>
  <si>
    <t>34/1, 34/2 - CLP</t>
  </si>
  <si>
    <t>35/0 - JPR      34/3, 34/4 - CLP</t>
  </si>
  <si>
    <t>GANG - A1 (M)</t>
  </si>
  <si>
    <t>34/0, 35/0 - Spacer</t>
  </si>
  <si>
    <t>M/s Ibrahim</t>
  </si>
  <si>
    <t>M/s IBRAHIM</t>
  </si>
  <si>
    <t>35/0 - 36/0  Clipping</t>
  </si>
  <si>
    <t>ROW TRACKER - NOVEMBER'25</t>
  </si>
  <si>
    <t>GANG -1</t>
  </si>
  <si>
    <t>GANG -2</t>
  </si>
  <si>
    <t>Demobilized</t>
  </si>
  <si>
    <t>GANG -3</t>
  </si>
  <si>
    <t>ROW TRACKER -OCTOBER'25</t>
  </si>
  <si>
    <t>DM</t>
  </si>
  <si>
    <t>M/s Savitha</t>
  </si>
  <si>
    <t>Left Site</t>
  </si>
  <si>
    <t>M/s BARKAT ALI 2</t>
  </si>
  <si>
    <t>M/s SUBHASH</t>
  </si>
  <si>
    <t>40/0-41/0</t>
  </si>
  <si>
    <t>42/0-43/0</t>
  </si>
  <si>
    <t>35/0 -36/0</t>
  </si>
  <si>
    <t>35/0 - 36/0  Clipping &amp; Spacering</t>
  </si>
  <si>
    <t>33/6 - 34/0</t>
  </si>
  <si>
    <t>40/0 - 41/0   PO</t>
  </si>
  <si>
    <t>33/6 - 34/0        I H</t>
  </si>
  <si>
    <t>33/0 - 33/5</t>
  </si>
  <si>
    <r>
      <t>Stringing -</t>
    </r>
    <r>
      <rPr>
        <b/>
        <sz val="14"/>
        <color theme="2" tint="-0.749992370372631"/>
        <rFont val="Calibri Light"/>
        <family val="2"/>
        <scheme val="major"/>
      </rPr>
      <t xml:space="preserve"> RS</t>
    </r>
  </si>
  <si>
    <t>IBRAHIM</t>
  </si>
  <si>
    <t xml:space="preserve"> Insulator hoisting work</t>
  </si>
  <si>
    <t>41/0-42/0 FS    40/0 - 41/0 PO</t>
  </si>
  <si>
    <t>33/0 - 33/5        I H</t>
  </si>
  <si>
    <t>40/0 - 41/0 PO</t>
  </si>
  <si>
    <t>DATE:</t>
  </si>
  <si>
    <t xml:space="preserve">NO WORK </t>
  </si>
  <si>
    <t>IDLE @58/0</t>
  </si>
  <si>
    <t>IDLE @57/1</t>
  </si>
  <si>
    <t>40/0 - 41/0 E/w  PO</t>
  </si>
  <si>
    <t>41/2,41/3 :CLP        41/0 -41/3 :Right SPR</t>
  </si>
  <si>
    <t>KEC - 03 (Barkat Ali)</t>
  </si>
  <si>
    <t>M/s BARKAT ALI3</t>
  </si>
  <si>
    <t>Gang - 5</t>
  </si>
  <si>
    <t>Gang Reached</t>
  </si>
  <si>
    <t>40/0-41/0 : FS           41/0 -41/3 Left SPR</t>
  </si>
  <si>
    <t>IDLE @48A/2</t>
  </si>
  <si>
    <t>IDLE @59/1</t>
  </si>
  <si>
    <t>40/0-41/0 : FS           41/3 -41/5 Left SPR</t>
  </si>
  <si>
    <t>ROW TRACKER -JANUARY' 2026</t>
  </si>
  <si>
    <t xml:space="preserve">40/0-41/0 : FS  </t>
  </si>
  <si>
    <t>Jumpering Completed (41/0) - 05/01/26</t>
  </si>
  <si>
    <t>41/0 : Clipping</t>
  </si>
  <si>
    <t>40/0-41/0 : Spacer.</t>
  </si>
  <si>
    <t>M/s RAMAVATH  (HL)</t>
  </si>
  <si>
    <t>Will Supplied in 3rd Week of Jan'26</t>
  </si>
  <si>
    <t>Foundation Balance</t>
  </si>
  <si>
    <t>Erection Balance</t>
  </si>
  <si>
    <t>Stretch Readiness</t>
  </si>
  <si>
    <t>-</t>
  </si>
  <si>
    <t>38/0</t>
  </si>
  <si>
    <t>49/0 , 50/0</t>
  </si>
  <si>
    <t>50/0, 51/0</t>
  </si>
  <si>
    <t>55/5, 55/6</t>
  </si>
  <si>
    <t>57/0, 57/2, 57/3</t>
  </si>
  <si>
    <t>59/0, 59/1</t>
  </si>
  <si>
    <t>Ready</t>
  </si>
  <si>
    <t>Pending</t>
  </si>
  <si>
    <t>GANG IDLE</t>
  </si>
  <si>
    <t>Foundation:-
1)Team01 - Manpower (16) and Machinery Idle.
Stringing:
1) stringing team01 - manpower (38) and machinery idle (since 9 days)
2) stringing team02 - manpower (44) and machinery idle (since 17 days)</t>
  </si>
  <si>
    <t>* Today team idle details:- manpower - 98 Nos</t>
  </si>
  <si>
    <t>No work. (ROW)</t>
  </si>
  <si>
    <t>2nd Section work in progress</t>
  </si>
  <si>
    <t>Top Section work in progress</t>
  </si>
  <si>
    <t>Middle Section work in progress</t>
  </si>
  <si>
    <t>IDLE @57/3</t>
  </si>
  <si>
    <t>M/s Vijo</t>
  </si>
  <si>
    <t>Work Front Required for Material shifting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</si>
</sst>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9">
    <numFmt numFmtId="41" formatCode="_ * #,##0_ ;_ * \-#,##0_ ;_ * &quot;-&quot;_ ;_ @_ "/>
    <numFmt numFmtId="43" formatCode="_ * #,##0.00_ ;_ * \-#,##0.00_ ;_ * &quot;-&quot;??_ ;_ @_ "/>
    <numFmt numFmtId="164" formatCode="_-&quot;£&quot;* #,##0.00_-;\-&quot;£&quot;* #,##0.00_-;_-&quot;£&quot;* &quot;-&quot;??_-;_-@_-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0.0"/>
    <numFmt numFmtId="169" formatCode="0.000"/>
    <numFmt numFmtId="170" formatCode="_ * #,##0.000_ ;_ * \-#,##0.000_ ;_ * &quot;-&quot;??_ ;_ @_ "/>
    <numFmt numFmtId="171" formatCode="[$-409]dd/mmm/yy;@"/>
    <numFmt numFmtId="172" formatCode="0.0_)"/>
    <numFmt numFmtId="173" formatCode="#,##0.000_);\(#,##0.000\)"/>
    <numFmt numFmtId="174" formatCode=";;"/>
    <numFmt numFmtId="175" formatCode="General_)"/>
    <numFmt numFmtId="176" formatCode="&quot;\&quot;#,##0.00;[Red]\-&quot;\&quot;#,##0.00"/>
    <numFmt numFmtId="177" formatCode="_(* #,##0.00_);_(* \(#,##0.00\);_(* \-??_);_(@_)"/>
    <numFmt numFmtId="178" formatCode="[$-409]mmm\-yy;@"/>
    <numFmt numFmtId="179" formatCode="_(&quot;Rs.&quot;* #,##0_);_(&quot;Rs.&quot;* \(#,##0\);_(&quot;Rs.&quot;* &quot;-&quot;_);_(@_)"/>
    <numFmt numFmtId="180" formatCode="_(&quot;$&quot;\ * #,##0.00_);_(&quot;$&quot;\ * \(#,##0.00\);_(&quot;$&quot;\ * &quot;-&quot;??_);_(@_)"/>
    <numFmt numFmtId="181" formatCode="_(&quot;Rs.&quot;* #,##0.00_);_(&quot;Rs.&quot;* \(#,##0.00\);_(&quot;Rs.&quot;* &quot;-&quot;??_);_(@_)"/>
    <numFmt numFmtId="182" formatCode="_-* #,##0\ _k_r_-;\-* #,##0\ _k_r_-;_-* &quot;-&quot;\ _k_r_-;_-@_-"/>
    <numFmt numFmtId="183" formatCode="_-* #,##0.00\ _k_r_-;\-* #,##0.00\ _k_r_-;_-* &quot;-&quot;??\ _k_r_-;_-@_-"/>
    <numFmt numFmtId="184" formatCode="_([$€-2]* #,##0.00_);_([$€-2]* \(#,##0.00\);_([$€-2]* &quot;-&quot;??_)"/>
    <numFmt numFmtId="185" formatCode="[$-409]General"/>
    <numFmt numFmtId="186" formatCode="&quot;Rs.&quot;#,##0.00_);[Red]\(&quot;Rs.&quot;#,##0.00\)"/>
    <numFmt numFmtId="187" formatCode="#,##0.0"/>
    <numFmt numFmtId="188" formatCode="0.00_)"/>
    <numFmt numFmtId="189" formatCode="&quot;Rs.&quot;#,##0.00_);\(&quot;Rs.&quot;#,##0.00\)"/>
    <numFmt numFmtId="190" formatCode="_-* #,##0\ _D_M_-;\-* #,##0\ _D_M_-;_-* &quot;-&quot;\ _D_M_-;_-@_-"/>
    <numFmt numFmtId="191" formatCode="_-* #,##0.00\ _D_M_-;\-* #,##0.00\ _D_M_-;_-* &quot;-&quot;??\ _D_M_-;_-@_-"/>
    <numFmt numFmtId="192" formatCode="_-* #,##0\ _F_-;\-* #,##0\ _F_-;_-* &quot;-&quot;\ _F_-;_-@_-"/>
    <numFmt numFmtId="193" formatCode="_-* #,##0.00\ _F_-;\-* #,##0.00\ _F_-;_-* &quot;-&quot;??\ _F_-;_-@_-"/>
    <numFmt numFmtId="194" formatCode="_-* #,##0\ &quot;DM&quot;_-;\-* #,##0\ &quot;DM&quot;_-;_-* &quot;-&quot;\ &quot;DM&quot;_-;_-@_-"/>
    <numFmt numFmtId="195" formatCode="_-* #,##0.00\ &quot;DM&quot;_-;\-* #,##0.00\ &quot;DM&quot;_-;_-* &quot;-&quot;??\ &quot;DM&quot;_-;_-@_-"/>
    <numFmt numFmtId="196" formatCode="_-* #,##0\ &quot;F&quot;_-;\-* #,##0\ &quot;F&quot;_-;_-* &quot;-&quot;\ &quot;F&quot;_-;_-@_-"/>
    <numFmt numFmtId="197" formatCode="_-* #,##0.00\ &quot;F&quot;_-;\-* #,##0.00\ &quot;F&quot;_-;_-* &quot;-&quot;??\ &quot;F&quot;_-;_-@_-"/>
    <numFmt numFmtId="198" formatCode="_ &quot;CHF&quot;\ * #,##0_ ;_ &quot;CHF&quot;\ * \-#,##0_ ;_ &quot;CHF&quot;\ * &quot;-&quot;_ ;_ @_ "/>
    <numFmt numFmtId="199" formatCode="_ &quot;kr&quot;\ * #,##0_ ;_ &quot;kr&quot;\ * \-#,##0_ ;_ &quot;kr&quot;\ * &quot;-&quot;_ ;_ @_ "/>
    <numFmt numFmtId="200" formatCode="_ &quot;CHF&quot;\ * #,##0.00_ ;_ &quot;CHF&quot;\ * \-#,##0.00_ ;_ &quot;CHF&quot;\ * &quot;-&quot;??_ ;_ @_ "/>
    <numFmt numFmtId="201" formatCode="_-* #,##0\ &quot;kr&quot;_-;\-* #,##0\ &quot;kr&quot;_-;_-* &quot;-&quot;\ &quot;kr&quot;_-;_-@_-"/>
    <numFmt numFmtId="202" formatCode="_-* #,##0.00\ &quot;kr&quot;_-;\-* #,##0.00\ &quot;kr&quot;_-;_-* &quot;-&quot;??\ &quot;kr&quot;_-;_-@_-"/>
    <numFmt numFmtId="203" formatCode="_ &quot;\&quot;* #,##0_ ;_ &quot;\&quot;* \-#,##0_ ;_ &quot;\&quot;* &quot;-&quot;_ ;_ @_ "/>
    <numFmt numFmtId="204" formatCode="_ &quot;\&quot;* #,##0.00_ ;_ &quot;\&quot;* \-#,##0.00_ ;_ &quot;\&quot;* &quot;-&quot;??_ ;_ @_ "/>
    <numFmt numFmtId="205" formatCode="_ * #,##0.0_ ;_ * \-#,##0.0_ ;_ * &quot;-&quot;??_ ;_ @_ "/>
    <numFmt numFmtId="206" formatCode="#0.000\ [$KM]"/>
    <numFmt numFmtId="207" formatCode="#0.000[$KM]"/>
    <numFmt numFmtId="208" formatCode="_ * #,##0_ ;_ * \-#,##0_ ;_ * &quot;-&quot;??_ ;_ @_ "/>
    <numFmt numFmtId="209" formatCode="_(* #,##0.0_);_(* \(#,##0.0\);_(* &quot;-&quot;_);_(@_)"/>
    <numFmt numFmtId="210" formatCode="_(* #,##0.00_);_(* \(#,##0.00\);_(* &quot;-&quot;_);_(@_)"/>
  </numFmts>
  <fonts count="199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ahoma"/>
      <family val="2"/>
    </font>
    <font>
      <sz val="11"/>
      <color theme="0"/>
      <name val="Calibri"/>
      <family val="2"/>
      <scheme val="minor"/>
    </font>
    <font>
      <sz val="9"/>
      <name val="Tahoma"/>
      <family val="2"/>
    </font>
    <font>
      <sz val="11"/>
      <color theme="1"/>
      <name val="Calibri"/>
      <family val="2"/>
      <scheme val="minor"/>
    </font>
    <font>
      <sz val="12"/>
      <name val="Tahoma"/>
      <family val="2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  <charset val="222"/>
    </font>
    <font>
      <sz val="10"/>
      <name val="Helv"/>
    </font>
    <font>
      <sz val="10"/>
      <name val="Helv"/>
      <charset val="134"/>
    </font>
    <font>
      <sz val="11"/>
      <color indexed="10"/>
      <name val="Calibri"/>
      <family val="2"/>
    </font>
    <font>
      <sz val="10"/>
      <name val="Times New Roman"/>
      <family val="1"/>
    </font>
    <font>
      <sz val="11"/>
      <color indexed="20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Tahoma"/>
      <family val="2"/>
    </font>
    <font>
      <sz val="10"/>
      <color indexed="8"/>
      <name val="Arial"/>
      <family val="2"/>
    </font>
    <font>
      <b/>
      <sz val="12"/>
      <name val="Times New Roman"/>
      <family val="1"/>
    </font>
    <font>
      <sz val="11"/>
      <name val="Courier"/>
      <family val="3"/>
    </font>
    <font>
      <sz val="12"/>
      <name val="Helv"/>
    </font>
    <font>
      <sz val="16"/>
      <name val="Tms Rmn"/>
    </font>
    <font>
      <b/>
      <sz val="1"/>
      <color indexed="8"/>
      <name val="Courier"/>
      <family val="3"/>
    </font>
    <font>
      <b/>
      <sz val="11"/>
      <color indexed="8"/>
      <name val="Calibri"/>
      <family val="2"/>
    </font>
    <font>
      <sz val="11"/>
      <color indexed="62"/>
      <name val="Calibri"/>
      <family val="2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rgb="FF000000"/>
      <name val="Calibri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2"/>
      <name val="Marigold"/>
      <family val="4"/>
    </font>
    <font>
      <u/>
      <sz val="8.8000000000000007"/>
      <color theme="10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u/>
      <sz val="9"/>
      <color indexed="12"/>
      <name val="Arial"/>
      <family val="2"/>
    </font>
    <font>
      <b/>
      <sz val="14"/>
      <name val="Helv"/>
    </font>
    <font>
      <b/>
      <sz val="12"/>
      <name val="Tms Rmn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rgb="FF000000"/>
      <name val="Times New Roman"/>
      <family val="1"/>
    </font>
    <font>
      <sz val="11"/>
      <color rgb="FF00000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0"/>
      <name val="Verdana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b/>
      <sz val="18"/>
      <color indexed="62"/>
      <name val="Cambria"/>
      <family val="1"/>
    </font>
    <font>
      <u/>
      <sz val="9"/>
      <color indexed="36"/>
      <name val="Arial"/>
      <family val="2"/>
    </font>
    <font>
      <b/>
      <sz val="12"/>
      <color indexed="48"/>
      <name val="Arial"/>
      <family val="2"/>
    </font>
    <font>
      <b/>
      <sz val="11"/>
      <name val="Times New Roman"/>
      <family val="1"/>
    </font>
    <font>
      <sz val="24"/>
      <color indexed="13"/>
      <name val="Helv"/>
    </font>
    <font>
      <sz val="14"/>
      <color indexed="13"/>
      <name val="Tms Rmn"/>
    </font>
    <font>
      <b/>
      <sz val="18"/>
      <color indexed="56"/>
      <name val="Cambria"/>
      <family val="2"/>
    </font>
    <font>
      <sz val="12"/>
      <name val="바탕체"/>
      <charset val="129"/>
    </font>
    <font>
      <sz val="11"/>
      <name val="돋움"/>
      <charset val="129"/>
    </font>
    <font>
      <sz val="11"/>
      <color rgb="FF006100"/>
      <name val="Calibri"/>
      <family val="2"/>
      <scheme val="minor"/>
    </font>
    <font>
      <b/>
      <sz val="11"/>
      <color theme="5" tint="-0.499984740745262"/>
      <name val="Arial"/>
      <family val="2"/>
    </font>
    <font>
      <sz val="10"/>
      <color indexed="17"/>
      <name val="Arial"/>
      <family val="2"/>
    </font>
    <font>
      <sz val="10"/>
      <color theme="0"/>
      <name val="Arial"/>
      <family val="2"/>
    </font>
    <font>
      <sz val="10"/>
      <color theme="9"/>
      <name val="Arial"/>
      <family val="2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7030A0"/>
      <name val="Arial"/>
      <family val="2"/>
    </font>
    <font>
      <b/>
      <sz val="10"/>
      <color rgb="FF7030A0"/>
      <name val="Arial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0"/>
      <color rgb="FF002060"/>
      <name val="Arial"/>
      <family val="2"/>
    </font>
    <font>
      <sz val="10"/>
      <color rgb="FF000099"/>
      <name val="Arial"/>
      <family val="2"/>
    </font>
    <font>
      <b/>
      <u/>
      <sz val="12"/>
      <color rgb="FF00B050"/>
      <name val="Arial"/>
      <family val="2"/>
    </font>
    <font>
      <b/>
      <sz val="10"/>
      <color rgb="FF0070C0"/>
      <name val="Arial"/>
      <family val="2"/>
    </font>
    <font>
      <b/>
      <u/>
      <sz val="11"/>
      <color theme="1"/>
      <name val="Arial"/>
      <family val="2"/>
    </font>
    <font>
      <b/>
      <sz val="9"/>
      <color rgb="FF002060"/>
      <name val="Arial"/>
      <family val="2"/>
    </font>
    <font>
      <b/>
      <sz val="9"/>
      <color rgb="FF7030A0"/>
      <name val="Arial"/>
      <family val="2"/>
    </font>
    <font>
      <b/>
      <sz val="8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indexed="8"/>
      <name val="Arial"/>
      <family val="2"/>
    </font>
    <font>
      <b/>
      <sz val="8"/>
      <color rgb="FF0070C0"/>
      <name val="Arial"/>
      <family val="2"/>
    </font>
    <font>
      <b/>
      <sz val="8"/>
      <color rgb="FF000099"/>
      <name val="Arial"/>
      <family val="2"/>
    </font>
    <font>
      <sz val="8"/>
      <color theme="1"/>
      <name val="Arial"/>
      <family val="2"/>
    </font>
    <font>
      <sz val="8"/>
      <color theme="1" tint="4.9989318521683403E-2"/>
      <name val="Arial"/>
      <family val="2"/>
    </font>
    <font>
      <b/>
      <sz val="9"/>
      <color rgb="FFFF0000"/>
      <name val="Arial"/>
      <family val="2"/>
    </font>
    <font>
      <b/>
      <sz val="9"/>
      <color rgb="FFFF0000"/>
      <name val="Calibri"/>
      <family val="2"/>
      <scheme val="minor"/>
    </font>
    <font>
      <sz val="8"/>
      <name val="Agency FB"/>
      <family val="2"/>
    </font>
    <font>
      <sz val="8"/>
      <color theme="1"/>
      <name val="Agency FB"/>
      <family val="2"/>
    </font>
    <font>
      <b/>
      <sz val="10"/>
      <color rgb="FF4E515E"/>
      <name val="Calibri Light"/>
      <family val="1"/>
      <scheme val="major"/>
    </font>
    <font>
      <b/>
      <sz val="14"/>
      <color rgb="FFFF0000"/>
      <name val="Calibri Light"/>
      <family val="1"/>
      <scheme val="major"/>
    </font>
    <font>
      <b/>
      <sz val="16"/>
      <color rgb="FFFF0000"/>
      <name val="Calibri Light"/>
      <family val="1"/>
      <scheme val="major"/>
    </font>
    <font>
      <b/>
      <sz val="18"/>
      <color rgb="FF00B050"/>
      <name val="Calibri"/>
      <family val="2"/>
      <scheme val="minor"/>
    </font>
    <font>
      <b/>
      <sz val="10"/>
      <name val="Arial"/>
      <family val="2"/>
    </font>
    <font>
      <b/>
      <sz val="10"/>
      <color theme="2" tint="-0.749992370372631"/>
      <name val="Calibri Light"/>
      <family val="1"/>
      <scheme val="major"/>
    </font>
    <font>
      <sz val="8"/>
      <color theme="2" tint="-0.749992370372631"/>
      <name val="Calibri Light"/>
      <family val="1"/>
      <scheme val="major"/>
    </font>
    <font>
      <sz val="10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1"/>
      <scheme val="major"/>
    </font>
    <font>
      <b/>
      <sz val="14"/>
      <color theme="2" tint="-0.749992370372631"/>
      <name val="Calibri Light"/>
      <family val="1"/>
      <scheme val="major"/>
    </font>
    <font>
      <sz val="11"/>
      <color theme="2" tint="-0.749992370372631"/>
      <name val="Calibri"/>
      <family val="2"/>
      <scheme val="minor"/>
    </font>
    <font>
      <b/>
      <sz val="11"/>
      <color theme="2" tint="-0.749992370372631"/>
      <name val="Calibri Light"/>
      <family val="1"/>
      <scheme val="major"/>
    </font>
    <font>
      <b/>
      <sz val="16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2"/>
      <scheme val="major"/>
    </font>
    <font>
      <b/>
      <sz val="11"/>
      <color theme="2" tint="-0.749992370372631"/>
      <name val="Calibri Light"/>
      <family val="2"/>
      <scheme val="major"/>
    </font>
    <font>
      <sz val="12"/>
      <color theme="2" tint="-0.749992370372631"/>
      <name val="Calibri Light"/>
      <family val="1"/>
      <scheme val="major"/>
    </font>
    <font>
      <sz val="14"/>
      <color theme="1"/>
      <name val="Calibri"/>
      <family val="2"/>
      <scheme val="minor"/>
    </font>
    <font>
      <b/>
      <u/>
      <sz val="18"/>
      <color rgb="FF7030A0"/>
      <name val="Arial"/>
      <family val="2"/>
    </font>
    <font>
      <b/>
      <sz val="12"/>
      <name val="Tahoma"/>
      <family val="2"/>
    </font>
    <font>
      <b/>
      <sz val="10"/>
      <name val="Tahoma"/>
      <family val="2"/>
    </font>
    <font>
      <b/>
      <sz val="10"/>
      <color theme="1"/>
      <name val="Calibri"/>
      <family val="2"/>
      <scheme val="minor"/>
    </font>
    <font>
      <b/>
      <sz val="8"/>
      <name val="Calibri Light"/>
      <family val="2"/>
      <scheme val="major"/>
    </font>
    <font>
      <b/>
      <sz val="11"/>
      <name val="Tahoma"/>
      <family val="2"/>
    </font>
    <font>
      <b/>
      <sz val="12"/>
      <color rgb="FF00CC00"/>
      <name val="Calibri"/>
      <family val="2"/>
      <scheme val="minor"/>
    </font>
    <font>
      <b/>
      <sz val="12"/>
      <color theme="2" tint="-0.74999237037263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u/>
      <sz val="9"/>
      <color theme="2" tint="-0.749992370372631"/>
      <name val="Calibri"/>
      <family val="2"/>
      <scheme val="minor"/>
    </font>
    <font>
      <b/>
      <u/>
      <sz val="11"/>
      <color theme="2" tint="-0.749992370372631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Arial Narrow"/>
      <family val="2"/>
    </font>
    <font>
      <sz val="14"/>
      <name val="Arial"/>
      <family val="2"/>
    </font>
    <font>
      <sz val="14"/>
      <color theme="1"/>
      <name val="Arial"/>
      <family val="2"/>
    </font>
    <font>
      <b/>
      <u/>
      <sz val="14"/>
      <name val="Calibri"/>
      <family val="2"/>
      <scheme val="minor"/>
    </font>
    <font>
      <sz val="12"/>
      <name val="Calibri"/>
      <family val="2"/>
      <scheme val="minor"/>
    </font>
    <font>
      <sz val="12"/>
      <color indexed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12"/>
      <name val="Calibri"/>
      <family val="2"/>
      <scheme val="minor"/>
    </font>
    <font>
      <sz val="14"/>
      <name val="Calibri"/>
      <family val="2"/>
    </font>
    <font>
      <sz val="14"/>
      <name val="Calibri"/>
      <family val="1"/>
    </font>
    <font>
      <sz val="14"/>
      <color rgb="FF000000"/>
      <name val="Times New Roman"/>
      <family val="1"/>
    </font>
    <font>
      <sz val="14"/>
      <name val="Times New Roman"/>
      <family val="1"/>
    </font>
    <font>
      <b/>
      <sz val="8"/>
      <name val="Arial"/>
      <family val="2"/>
    </font>
    <font>
      <b/>
      <sz val="11"/>
      <color rgb="FFE40000"/>
      <name val="Calibri"/>
      <family val="2"/>
      <scheme val="minor"/>
    </font>
    <font>
      <b/>
      <sz val="12"/>
      <color theme="2" tint="-0.749992370372631"/>
      <name val="Calibri Light"/>
      <family val="1"/>
      <scheme val="maj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Tahoma"/>
      <family val="2"/>
    </font>
    <font>
      <b/>
      <sz val="11"/>
      <color rgb="FFFF0000"/>
      <name val="Calibri"/>
      <family val="2"/>
      <scheme val="minor"/>
    </font>
    <font>
      <sz val="9"/>
      <color indexed="8"/>
      <name val="Arial"/>
      <family val="2"/>
    </font>
    <font>
      <sz val="9"/>
      <color theme="2" tint="-0.749992370372631"/>
      <name val="Calibri Light"/>
      <family val="1"/>
      <scheme val="major"/>
    </font>
    <font>
      <b/>
      <sz val="22"/>
      <color rgb="FFE4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4"/>
      <color rgb="FFE40000"/>
      <name val="Calibri"/>
      <family val="2"/>
      <scheme val="minor"/>
    </font>
    <font>
      <sz val="16"/>
      <color rgb="FFE4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0"/>
      <color rgb="FFE40000"/>
      <name val="Calibri"/>
      <family val="2"/>
      <scheme val="minor"/>
    </font>
    <font>
      <b/>
      <u/>
      <sz val="16"/>
      <color rgb="FFFF0000"/>
      <name val="Calibri Light"/>
      <family val="2"/>
      <scheme val="major"/>
    </font>
    <font>
      <b/>
      <sz val="14"/>
      <color theme="1"/>
      <name val="Calibri Light"/>
      <family val="1"/>
      <scheme val="major"/>
    </font>
    <font>
      <b/>
      <sz val="14"/>
      <color theme="1"/>
      <name val="Calibri Light"/>
      <family val="2"/>
      <scheme val="major"/>
    </font>
    <font>
      <b/>
      <sz val="12"/>
      <color rgb="FFE40000"/>
      <name val="Calibri"/>
      <family val="2"/>
      <scheme val="minor"/>
    </font>
    <font>
      <sz val="8"/>
      <color indexed="12"/>
      <name val="Calibri"/>
      <family val="2"/>
      <scheme val="minor"/>
    </font>
    <font>
      <b/>
      <sz val="10"/>
      <color rgb="FF00CC00"/>
      <name val="Calibri"/>
      <family val="2"/>
      <scheme val="minor"/>
    </font>
    <font>
      <sz val="14"/>
      <color theme="2" tint="-0.749992370372631"/>
      <name val="Calibri Light"/>
      <family val="1"/>
      <scheme val="maj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CC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2"/>
      <color theme="2" tint="-0.749992370372631"/>
      <name val="Arial Black"/>
      <family val="2"/>
    </font>
    <font>
      <b/>
      <u/>
      <sz val="16"/>
      <color rgb="FFFF0000"/>
      <name val="Arial Black"/>
      <family val="2"/>
    </font>
    <font>
      <sz val="16"/>
      <color theme="2" tint="-0.749992370372631"/>
      <name val="Calibri Light"/>
      <family val="1"/>
      <scheme val="major"/>
    </font>
    <font>
      <b/>
      <sz val="16"/>
      <color theme="1"/>
      <name val="Calibri Light"/>
      <family val="1"/>
      <scheme val="major"/>
    </font>
    <font>
      <b/>
      <sz val="14"/>
      <color theme="2" tint="-0.749992370372631"/>
      <name val="Calibri"/>
      <family val="2"/>
      <scheme val="minor"/>
    </font>
    <font>
      <b/>
      <sz val="14"/>
      <color theme="2" tint="-0.749992370372631"/>
      <name val="Calibri Light"/>
      <family val="2"/>
      <scheme val="major"/>
    </font>
    <font>
      <sz val="12"/>
      <color theme="2" tint="-0.749992370372631"/>
      <name val="Calibri Light"/>
      <family val="2"/>
      <scheme val="major"/>
    </font>
    <font>
      <b/>
      <sz val="12"/>
      <color rgb="FFFF0000"/>
      <name val="Calibri Light"/>
      <family val="1"/>
      <scheme val="major"/>
    </font>
    <font>
      <b/>
      <u/>
      <sz val="16"/>
      <color rgb="FFFF0000"/>
      <name val="Calibri Light"/>
      <family val="1"/>
      <scheme val="major"/>
    </font>
    <font>
      <b/>
      <sz val="11"/>
      <color rgb="FFFF0000"/>
      <name val="Calibri Light"/>
      <family val="2"/>
      <scheme val="major"/>
    </font>
    <font>
      <sz val="14"/>
      <color theme="2" tint="-0.749992370372631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8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</patternFill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43"/>
      </patternFill>
    </fill>
    <fill>
      <patternFill patternType="solid">
        <fgColor indexed="12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2B2B00"/>
        <bgColor indexed="64"/>
      </patternFill>
    </fill>
    <fill>
      <patternFill patternType="solid">
        <fgColor rgb="FFAE85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B7ECF5"/>
        <bgColor indexed="64"/>
      </patternFill>
    </fill>
  </fills>
  <borders count="1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hair">
        <color rgb="FFFF9900"/>
      </top>
      <bottom style="hair">
        <color rgb="FFFF99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/>
      <top/>
      <bottom style="medium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medium">
        <color indexed="64"/>
      </left>
      <right style="dotted">
        <color rgb="FFFFC000"/>
      </right>
      <top/>
      <bottom/>
      <diagonal/>
    </border>
    <border>
      <left style="dotted">
        <color rgb="FFFFC000"/>
      </left>
      <right style="dotted">
        <color rgb="FFFFC000"/>
      </right>
      <top style="dotted">
        <color rgb="FFFFC000"/>
      </top>
      <bottom style="dotted">
        <color rgb="FFFFC000"/>
      </bottom>
      <diagonal/>
    </border>
    <border>
      <left style="dotted">
        <color rgb="FFFFC000"/>
      </left>
      <right style="dotted">
        <color rgb="FFFFC000"/>
      </right>
      <top/>
      <bottom style="dotted">
        <color rgb="FFFFC000"/>
      </bottom>
      <diagonal/>
    </border>
    <border>
      <left/>
      <right/>
      <top style="thin">
        <color rgb="FF00B050"/>
      </top>
      <bottom/>
      <diagonal/>
    </border>
    <border>
      <left/>
      <right/>
      <top style="thin">
        <color indexed="64"/>
      </top>
      <bottom style="medium">
        <color theme="8" tint="0.39997558519241921"/>
      </bottom>
      <diagonal/>
    </border>
    <border>
      <left/>
      <right/>
      <top/>
      <bottom style="medium">
        <color theme="8" tint="0.39997558519241921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 style="thin">
        <color indexed="64"/>
      </top>
      <bottom style="medium">
        <color theme="8" tint="0.39997558519241921"/>
      </bottom>
      <diagonal/>
    </border>
    <border>
      <left/>
      <right style="medium">
        <color theme="8" tint="0.39997558519241921"/>
      </right>
      <top style="thin">
        <color indexed="64"/>
      </top>
      <bottom style="medium">
        <color theme="8" tint="0.39997558519241921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theme="8" tint="0.39997558519241921"/>
      </top>
      <bottom style="thin">
        <color indexed="64"/>
      </bottom>
      <diagonal/>
    </border>
    <border>
      <left/>
      <right/>
      <top style="medium">
        <color theme="8" tint="0.39997558519241921"/>
      </top>
      <bottom style="thin">
        <color indexed="64"/>
      </bottom>
      <diagonal/>
    </border>
    <border>
      <left/>
      <right style="thin">
        <color indexed="64"/>
      </right>
      <top style="medium">
        <color theme="8" tint="0.39997558519241921"/>
      </top>
      <bottom style="thin">
        <color indexed="64"/>
      </bottom>
      <diagonal/>
    </border>
    <border>
      <left style="thick">
        <color theme="2" tint="-0.499984740745262"/>
      </left>
      <right/>
      <top style="thick">
        <color theme="2" tint="-0.499984740745262"/>
      </top>
      <bottom style="thick">
        <color theme="2" tint="-0.499984740745262"/>
      </bottom>
      <diagonal/>
    </border>
    <border>
      <left/>
      <right/>
      <top style="thick">
        <color theme="2" tint="-0.499984740745262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theme="2" tint="-0.499984740745262"/>
      </left>
      <right/>
      <top/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thick">
        <color theme="2" tint="-0.499984740745262"/>
      </bottom>
      <diagonal/>
    </border>
    <border>
      <left style="dotted">
        <color rgb="FFFFC000"/>
      </left>
      <right/>
      <top style="dotted">
        <color rgb="FFFFC000"/>
      </top>
      <bottom style="dotted">
        <color rgb="FFFFC000"/>
      </bottom>
      <diagonal/>
    </border>
    <border>
      <left/>
      <right style="dotted">
        <color rgb="FFFFC000"/>
      </right>
      <top style="dotted">
        <color rgb="FFFFC000"/>
      </top>
      <bottom style="dotted">
        <color rgb="FFFFC000"/>
      </bottom>
      <diagonal/>
    </border>
    <border>
      <left/>
      <right/>
      <top style="dotted">
        <color rgb="FFFFC000"/>
      </top>
      <bottom style="dotted">
        <color rgb="FFFFC000"/>
      </bottom>
      <diagonal/>
    </border>
    <border>
      <left style="dotted">
        <color rgb="FFFFC000"/>
      </left>
      <right/>
      <top/>
      <bottom/>
      <diagonal/>
    </border>
    <border>
      <left style="thick">
        <color theme="2" tint="-0.499984740745262"/>
      </left>
      <right style="thick">
        <color theme="2" tint="-0.499984740745262"/>
      </right>
      <top/>
      <bottom/>
      <diagonal/>
    </border>
    <border>
      <left/>
      <right style="thick">
        <color theme="2" tint="-0.499984740745262"/>
      </right>
      <top/>
      <bottom style="thick">
        <color theme="2" tint="-0.499984740745262"/>
      </bottom>
      <diagonal/>
    </border>
    <border>
      <left style="medium">
        <color indexed="64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theme="2" tint="-0.499984740745262"/>
      </right>
      <top style="medium">
        <color indexed="64"/>
      </top>
      <bottom/>
      <diagonal/>
    </border>
    <border>
      <left style="thick">
        <color theme="2" tint="-0.499984740745262"/>
      </left>
      <right style="thick">
        <color theme="2" tint="-0.499984740745262"/>
      </right>
      <top style="medium">
        <color indexed="64"/>
      </top>
      <bottom/>
      <diagonal/>
    </border>
    <border>
      <left style="thick">
        <color theme="2" tint="-0.499984740745262"/>
      </left>
      <right/>
      <top style="medium">
        <color indexed="64"/>
      </top>
      <bottom/>
      <diagonal/>
    </border>
    <border>
      <left/>
      <right style="thick">
        <color theme="2" tint="-0.499984740745262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8" tint="0.39997558519241921"/>
      </left>
      <right/>
      <top/>
      <bottom/>
      <diagonal/>
    </border>
    <border>
      <left/>
      <right style="medium">
        <color theme="8" tint="0.3999755851924192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423">
    <xf numFmtId="0" fontId="0" fillId="0" borderId="0"/>
    <xf numFmtId="0" fontId="1" fillId="0" borderId="0"/>
    <xf numFmtId="0" fontId="3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9" fontId="1" fillId="0" borderId="0" applyFont="0" applyFill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9" fontId="19" fillId="0" borderId="0"/>
    <xf numFmtId="9" fontId="19" fillId="0" borderId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18" fillId="34" borderId="0" applyNumberFormat="0" applyBorder="0" applyAlignment="0" applyProtection="0"/>
    <xf numFmtId="171" fontId="18" fillId="34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0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0" fontId="18" fillId="38" borderId="0" applyNumberFormat="0" applyBorder="0" applyAlignment="0" applyProtection="0"/>
    <xf numFmtId="171" fontId="18" fillId="38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0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0" fontId="18" fillId="37" borderId="0" applyNumberFormat="0" applyBorder="0" applyAlignment="0" applyProtection="0"/>
    <xf numFmtId="171" fontId="18" fillId="37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0" fontId="18" fillId="37" borderId="0" applyNumberFormat="0" applyBorder="0" applyAlignment="0" applyProtection="0"/>
    <xf numFmtId="171" fontId="18" fillId="37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18" fillId="34" borderId="0" applyNumberFormat="0" applyBorder="0" applyAlignment="0" applyProtection="0"/>
    <xf numFmtId="171" fontId="18" fillId="34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0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0" fontId="18" fillId="43" borderId="0" applyNumberFormat="0" applyBorder="0" applyAlignment="0" applyProtection="0"/>
    <xf numFmtId="171" fontId="18" fillId="43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164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20" fillId="0" borderId="0"/>
    <xf numFmtId="171" fontId="21" fillId="0" borderId="0"/>
    <xf numFmtId="0" fontId="20" fillId="0" borderId="0"/>
    <xf numFmtId="0" fontId="20" fillId="0" borderId="0"/>
    <xf numFmtId="171" fontId="21" fillId="0" borderId="0"/>
    <xf numFmtId="0" fontId="20" fillId="0" borderId="0"/>
    <xf numFmtId="0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175" fontId="23" fillId="0" borderId="3">
      <protection locked="0"/>
    </xf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38" fontId="25" fillId="0" borderId="0" applyFill="0" applyBorder="0" applyAlignment="0" applyProtection="0"/>
    <xf numFmtId="0" fontId="26" fillId="0" borderId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8" fillId="0" borderId="27" applyNumberFormat="0" applyFill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176" fontId="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68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7" fontId="1" fillId="0" borderId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9" fontId="1" fillId="0" borderId="0">
      <protection locked="0"/>
    </xf>
    <xf numFmtId="0" fontId="1" fillId="47" borderId="29" applyNumberFormat="0" applyFont="0" applyAlignment="0" applyProtection="0"/>
    <xf numFmtId="0" fontId="32" fillId="0" borderId="0"/>
    <xf numFmtId="175" fontId="33" fillId="0" borderId="14" applyNumberFormat="0" applyBorder="0" applyAlignment="0" applyProtection="0">
      <protection locked="0"/>
    </xf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1" fontId="1" fillId="0" borderId="0">
      <protection locked="0"/>
    </xf>
    <xf numFmtId="0" fontId="34" fillId="0" borderId="0"/>
    <xf numFmtId="0" fontId="35" fillId="0" borderId="0"/>
    <xf numFmtId="0" fontId="34" fillId="0" borderId="0"/>
    <xf numFmtId="0" fontId="34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30"/>
    <xf numFmtId="0" fontId="35" fillId="0" borderId="30"/>
    <xf numFmtId="0" fontId="34" fillId="0" borderId="30"/>
    <xf numFmtId="0" fontId="34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4" fillId="0" borderId="30"/>
    <xf numFmtId="0" fontId="34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6" fillId="0" borderId="0">
      <protection locked="0"/>
    </xf>
    <xf numFmtId="182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37" fillId="48" borderId="0" applyNumberFormat="0" applyBorder="0" applyAlignment="0" applyProtection="0"/>
    <xf numFmtId="171" fontId="37" fillId="48" borderId="0" applyNumberFormat="0" applyBorder="0" applyAlignment="0" applyProtection="0"/>
    <xf numFmtId="0" fontId="37" fillId="49" borderId="0" applyNumberFormat="0" applyBorder="0" applyAlignment="0" applyProtection="0"/>
    <xf numFmtId="171" fontId="37" fillId="49" borderId="0" applyNumberFormat="0" applyBorder="0" applyAlignment="0" applyProtection="0"/>
    <xf numFmtId="0" fontId="37" fillId="50" borderId="0" applyNumberFormat="0" applyBorder="0" applyAlignment="0" applyProtection="0"/>
    <xf numFmtId="171" fontId="37" fillId="50" borderId="0" applyNumberFormat="0" applyBorder="0" applyAlignment="0" applyProtection="0"/>
    <xf numFmtId="0" fontId="38" fillId="24" borderId="26" applyNumberFormat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0" fontId="39" fillId="0" borderId="0"/>
    <xf numFmtId="0" fontId="40" fillId="0" borderId="0"/>
    <xf numFmtId="0" fontId="8" fillId="0" borderId="0"/>
    <xf numFmtId="185" fontId="41" fillId="0" borderId="0"/>
    <xf numFmtId="0" fontId="1" fillId="0" borderId="0"/>
    <xf numFmtId="0" fontId="39" fillId="0" borderId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>
      <protection locked="0"/>
    </xf>
    <xf numFmtId="171" fontId="43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4" fillId="0" borderId="0">
      <protection locked="0"/>
    </xf>
    <xf numFmtId="171" fontId="44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4" fillId="0" borderId="0">
      <protection locked="0"/>
    </xf>
    <xf numFmtId="171" fontId="44" fillId="0" borderId="0">
      <protection locked="0"/>
    </xf>
    <xf numFmtId="186" fontId="1" fillId="0" borderId="0">
      <protection locked="0"/>
    </xf>
    <xf numFmtId="0" fontId="23" fillId="0" borderId="15" applyNumberFormat="0" applyFill="0" applyBorder="0" applyAlignment="0" applyProtection="0">
      <protection locked="0"/>
    </xf>
    <xf numFmtId="171" fontId="23" fillId="0" borderId="15" applyNumberFormat="0" applyFill="0" applyBorder="0" applyAlignment="0" applyProtection="0">
      <protection locked="0"/>
    </xf>
    <xf numFmtId="187" fontId="45" fillId="0" borderId="24">
      <alignment horizontal="right"/>
    </xf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38" fontId="47" fillId="51" borderId="0" applyNumberFormat="0" applyBorder="0" applyAlignment="0" applyProtection="0"/>
    <xf numFmtId="0" fontId="48" fillId="0" borderId="0" applyNumberFormat="0" applyFont="0" applyBorder="0" applyAlignment="0"/>
    <xf numFmtId="0" fontId="48" fillId="0" borderId="0" applyNumberFormat="0" applyFont="0" applyBorder="0" applyAlignment="0"/>
    <xf numFmtId="0" fontId="10" fillId="0" borderId="22" applyNumberFormat="0" applyAlignment="0" applyProtection="0">
      <alignment horizontal="left" vertical="center"/>
    </xf>
    <xf numFmtId="171" fontId="10" fillId="0" borderId="22" applyNumberFormat="0" applyAlignment="0" applyProtection="0">
      <alignment horizontal="left" vertical="center"/>
    </xf>
    <xf numFmtId="0" fontId="10" fillId="0" borderId="31">
      <alignment horizontal="left" vertical="center"/>
    </xf>
    <xf numFmtId="171" fontId="10" fillId="0" borderId="31">
      <alignment horizontal="left" vertical="center"/>
    </xf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188" fontId="52" fillId="0" borderId="5" applyNumberFormat="0" applyFont="0" applyBorder="0" applyAlignment="0"/>
    <xf numFmtId="188" fontId="52" fillId="0" borderId="5" applyNumberFormat="0" applyFont="0" applyBorder="0" applyAlignment="0"/>
    <xf numFmtId="0" fontId="53" fillId="0" borderId="0" applyNumberFormat="0" applyFill="0" applyBorder="0" applyAlignment="0" applyProtection="0">
      <alignment vertical="top"/>
      <protection locked="0"/>
    </xf>
    <xf numFmtId="171" fontId="54" fillId="0" borderId="0" applyNumberFormat="0" applyFill="0" applyBorder="0" applyAlignment="0" applyProtection="0">
      <alignment vertical="top"/>
      <protection locked="0"/>
    </xf>
    <xf numFmtId="171" fontId="54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171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0" fontId="47" fillId="52" borderId="1" applyNumberFormat="0" applyBorder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24" fillId="20" borderId="0" applyNumberFormat="0" applyBorder="0" applyAlignment="0" applyProtection="0"/>
    <xf numFmtId="0" fontId="57" fillId="53" borderId="30"/>
    <xf numFmtId="0" fontId="58" fillId="53" borderId="30"/>
    <xf numFmtId="0" fontId="57" fillId="53" borderId="30"/>
    <xf numFmtId="0" fontId="57" fillId="53" borderId="30"/>
    <xf numFmtId="0" fontId="58" fillId="53" borderId="30"/>
    <xf numFmtId="0" fontId="57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57" fillId="53" borderId="30"/>
    <xf numFmtId="0" fontId="57" fillId="53" borderId="30"/>
    <xf numFmtId="0" fontId="57" fillId="53" borderId="30"/>
    <xf numFmtId="0" fontId="57" fillId="53" borderId="30"/>
    <xf numFmtId="0" fontId="58" fillId="53" borderId="30"/>
    <xf numFmtId="0" fontId="58" fillId="53" borderId="30"/>
    <xf numFmtId="0" fontId="58" fillId="53" borderId="30"/>
    <xf numFmtId="0" fontId="57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190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37" fontId="60" fillId="0" borderId="0"/>
    <xf numFmtId="188" fontId="61" fillId="0" borderId="0"/>
    <xf numFmtId="188" fontId="6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62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2" fillId="0" borderId="0"/>
    <xf numFmtId="171" fontId="1" fillId="0" borderId="0"/>
    <xf numFmtId="0" fontId="63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7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5" fillId="0" borderId="0"/>
    <xf numFmtId="171" fontId="1" fillId="0" borderId="0"/>
    <xf numFmtId="0" fontId="64" fillId="0" borderId="0"/>
    <xf numFmtId="0" fontId="65" fillId="0" borderId="0"/>
    <xf numFmtId="0" fontId="17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23" fillId="0" borderId="0"/>
    <xf numFmtId="0" fontId="23" fillId="0" borderId="0"/>
    <xf numFmtId="171" fontId="1" fillId="0" borderId="0"/>
    <xf numFmtId="0" fontId="23" fillId="0" borderId="0"/>
    <xf numFmtId="0" fontId="1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30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3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0" fontId="1" fillId="0" borderId="0"/>
    <xf numFmtId="0" fontId="30" fillId="0" borderId="0"/>
    <xf numFmtId="0" fontId="30" fillId="0" borderId="0"/>
    <xf numFmtId="0" fontId="1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0" fontId="1" fillId="0" borderId="0"/>
    <xf numFmtId="0" fontId="1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0" fontId="30" fillId="0" borderId="0"/>
    <xf numFmtId="0" fontId="30" fillId="0" borderId="0"/>
    <xf numFmtId="0" fontId="63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66" fillId="0" borderId="0">
      <alignment vertical="center"/>
    </xf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63" fillId="0" borderId="0"/>
    <xf numFmtId="0" fontId="63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30" fillId="0" borderId="0"/>
    <xf numFmtId="171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1" fillId="0" borderId="0"/>
    <xf numFmtId="0" fontId="5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63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4" fillId="0" borderId="0"/>
    <xf numFmtId="185" fontId="41" fillId="0" borderId="0" applyBorder="0" applyProtection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8" fillId="0" borderId="0"/>
    <xf numFmtId="0" fontId="5" fillId="0" borderId="0"/>
    <xf numFmtId="0" fontId="64" fillId="0" borderId="0"/>
    <xf numFmtId="171" fontId="5" fillId="0" borderId="0"/>
    <xf numFmtId="171" fontId="5" fillId="0" borderId="0"/>
    <xf numFmtId="0" fontId="64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8" fillId="0" borderId="0"/>
    <xf numFmtId="0" fontId="1" fillId="0" borderId="0"/>
    <xf numFmtId="0" fontId="63" fillId="0" borderId="0"/>
    <xf numFmtId="0" fontId="6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3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67" fillId="0" borderId="0"/>
    <xf numFmtId="0" fontId="67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2" fillId="0" borderId="0"/>
    <xf numFmtId="0" fontId="62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21" fillId="0" borderId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0" fillId="0" borderId="0" applyFont="0"/>
    <xf numFmtId="0" fontId="70" fillId="0" borderId="0" applyFont="0"/>
    <xf numFmtId="9" fontId="1" fillId="0" borderId="0" applyFont="0" applyFill="0" applyBorder="0" applyAlignment="0" applyProtection="0"/>
    <xf numFmtId="0" fontId="34" fillId="0" borderId="0"/>
    <xf numFmtId="0" fontId="35" fillId="0" borderId="0"/>
    <xf numFmtId="0" fontId="34" fillId="0" borderId="0"/>
    <xf numFmtId="0" fontId="34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6" fillId="21" borderId="0" applyNumberFormat="0" applyBorder="0" applyAlignment="0" applyProtection="0"/>
    <xf numFmtId="0" fontId="71" fillId="0" borderId="0" applyNumberFormat="0" applyFill="0" applyBorder="0" applyAlignment="0" applyProtection="0"/>
    <xf numFmtId="171" fontId="72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69" fillId="45" borderId="35" applyNumberFormat="0" applyAlignment="0" applyProtection="0"/>
    <xf numFmtId="0" fontId="25" fillId="0" borderId="0"/>
    <xf numFmtId="0" fontId="1" fillId="0" borderId="0"/>
    <xf numFmtId="171" fontId="21" fillId="0" borderId="0"/>
    <xf numFmtId="0" fontId="1" fillId="0" borderId="0"/>
    <xf numFmtId="0" fontId="23" fillId="0" borderId="0">
      <alignment horizontal="right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34" fillId="0" borderId="30"/>
    <xf numFmtId="0" fontId="35" fillId="0" borderId="30"/>
    <xf numFmtId="0" fontId="34" fillId="0" borderId="30"/>
    <xf numFmtId="0" fontId="34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4" fillId="0" borderId="30"/>
    <xf numFmtId="0" fontId="34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42" fillId="0" borderId="0" applyNumberFormat="0" applyFill="0" applyBorder="0" applyAlignment="0" applyProtection="0"/>
    <xf numFmtId="40" fontId="75" fillId="0" borderId="0"/>
    <xf numFmtId="0" fontId="76" fillId="55" borderId="0"/>
    <xf numFmtId="0" fontId="77" fillId="55" borderId="0"/>
    <xf numFmtId="0" fontId="76" fillId="55" borderId="0"/>
    <xf numFmtId="0" fontId="76" fillId="55" borderId="0"/>
    <xf numFmtId="0" fontId="77" fillId="55" borderId="0"/>
    <xf numFmtId="0" fontId="76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6" fillId="55" borderId="0"/>
    <xf numFmtId="0" fontId="76" fillId="55" borderId="0"/>
    <xf numFmtId="0" fontId="76" fillId="55" borderId="0"/>
    <xf numFmtId="0" fontId="76" fillId="55" borderId="0"/>
    <xf numFmtId="0" fontId="77" fillId="55" borderId="0"/>
    <xf numFmtId="0" fontId="77" fillId="55" borderId="0"/>
    <xf numFmtId="0" fontId="77" fillId="55" borderId="0"/>
    <xf numFmtId="0" fontId="76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49" fillId="0" borderId="32" applyNumberFormat="0" applyFill="0" applyAlignment="0" applyProtection="0"/>
    <xf numFmtId="0" fontId="50" fillId="0" borderId="33" applyNumberFormat="0" applyFill="0" applyAlignment="0" applyProtection="0"/>
    <xf numFmtId="0" fontId="51" fillId="0" borderId="34" applyNumberFormat="0" applyFill="0" applyAlignment="0" applyProtection="0"/>
    <xf numFmtId="0" fontId="51" fillId="0" borderId="0" applyNumberFormat="0" applyFill="0" applyBorder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57" fillId="0" borderId="37"/>
    <xf numFmtId="0" fontId="58" fillId="0" borderId="37"/>
    <xf numFmtId="0" fontId="57" fillId="0" borderId="37"/>
    <xf numFmtId="0" fontId="57" fillId="0" borderId="37"/>
    <xf numFmtId="0" fontId="58" fillId="0" borderId="37"/>
    <xf numFmtId="0" fontId="57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7" fillId="0" borderId="37"/>
    <xf numFmtId="0" fontId="57" fillId="0" borderId="37"/>
    <xf numFmtId="0" fontId="57" fillId="0" borderId="37"/>
    <xf numFmtId="0" fontId="57" fillId="0" borderId="37"/>
    <xf numFmtId="0" fontId="58" fillId="0" borderId="37"/>
    <xf numFmtId="0" fontId="58" fillId="0" borderId="37"/>
    <xf numFmtId="0" fontId="58" fillId="0" borderId="37"/>
    <xf numFmtId="0" fontId="57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7" fillId="0" borderId="30"/>
    <xf numFmtId="0" fontId="58" fillId="0" borderId="30"/>
    <xf numFmtId="0" fontId="57" fillId="0" borderId="30"/>
    <xf numFmtId="0" fontId="57" fillId="0" borderId="30"/>
    <xf numFmtId="0" fontId="58" fillId="0" borderId="30"/>
    <xf numFmtId="0" fontId="57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0" fontId="57" fillId="0" borderId="30"/>
    <xf numFmtId="0" fontId="57" fillId="0" borderId="30"/>
    <xf numFmtId="0" fontId="57" fillId="0" borderId="30"/>
    <xf numFmtId="0" fontId="57" fillId="0" borderId="30"/>
    <xf numFmtId="0" fontId="58" fillId="0" borderId="30"/>
    <xf numFmtId="0" fontId="58" fillId="0" borderId="30"/>
    <xf numFmtId="0" fontId="58" fillId="0" borderId="30"/>
    <xf numFmtId="0" fontId="57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98" fontId="12" fillId="0" borderId="0" applyFont="0" applyFill="0" applyBorder="0" applyAlignment="0" applyProtection="0"/>
    <xf numFmtId="199" fontId="1" fillId="0" borderId="0" applyFont="0" applyFill="0" applyBorder="0" applyAlignment="0" applyProtection="0"/>
    <xf numFmtId="200" fontId="12" fillId="0" borderId="0" applyFont="0" applyFill="0" applyBorder="0" applyAlignment="0" applyProtection="0"/>
    <xf numFmtId="0" fontId="29" fillId="46" borderId="28" applyNumberFormat="0" applyAlignment="0" applyProtection="0"/>
    <xf numFmtId="201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9" fontId="79" fillId="0" borderId="0" applyFont="0" applyFill="0" applyBorder="0" applyAlignment="0" applyProtection="0"/>
    <xf numFmtId="41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203" fontId="79" fillId="0" borderId="0" applyFont="0" applyFill="0" applyBorder="0" applyAlignment="0" applyProtection="0"/>
    <xf numFmtId="204" fontId="79" fillId="0" borderId="0" applyFont="0" applyFill="0" applyBorder="0" applyAlignment="0" applyProtection="0"/>
    <xf numFmtId="0" fontId="80" fillId="0" borderId="0"/>
    <xf numFmtId="0" fontId="81" fillId="56" borderId="0" applyNumberFormat="0" applyBorder="0" applyAlignment="0" applyProtection="0"/>
    <xf numFmtId="43" fontId="6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7" fillId="0" borderId="0" applyFont="0" applyFill="0" applyBorder="0" applyAlignment="0" applyProtection="0"/>
  </cellStyleXfs>
  <cellXfs count="996"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9" fillId="0" borderId="15" xfId="0" applyNumberFormat="1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60" borderId="38" xfId="0" applyFont="1" applyFill="1" applyBorder="1" applyAlignment="1">
      <alignment horizontal="center" vertical="center"/>
    </xf>
    <xf numFmtId="0" fontId="9" fillId="57" borderId="38" xfId="0" applyFont="1" applyFill="1" applyBorder="1" applyAlignment="1">
      <alignment horizontal="center" vertical="center"/>
    </xf>
    <xf numFmtId="0" fontId="9" fillId="57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59" borderId="38" xfId="0" applyFont="1" applyFill="1" applyBorder="1" applyAlignment="1">
      <alignment horizontal="center" vertical="center"/>
    </xf>
    <xf numFmtId="0" fontId="84" fillId="61" borderId="38" xfId="0" applyFont="1" applyFill="1" applyBorder="1" applyAlignment="1">
      <alignment horizontal="center" vertical="center"/>
    </xf>
    <xf numFmtId="0" fontId="31" fillId="0" borderId="19" xfId="0" applyFont="1" applyBorder="1"/>
    <xf numFmtId="0" fontId="31" fillId="0" borderId="19" xfId="0" applyFont="1" applyBorder="1" applyAlignment="1">
      <alignment horizontal="left"/>
    </xf>
    <xf numFmtId="0" fontId="31" fillId="0" borderId="19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/>
    </xf>
    <xf numFmtId="0" fontId="9" fillId="0" borderId="17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2" fontId="86" fillId="0" borderId="1" xfId="0" applyNumberFormat="1" applyFont="1" applyBorder="1" applyAlignment="1">
      <alignment horizontal="center" vertical="center" wrapText="1"/>
    </xf>
    <xf numFmtId="0" fontId="14" fillId="58" borderId="12" xfId="0" applyFont="1" applyFill="1" applyBorder="1"/>
    <xf numFmtId="0" fontId="14" fillId="58" borderId="18" xfId="0" applyFont="1" applyFill="1" applyBorder="1"/>
    <xf numFmtId="0" fontId="16" fillId="0" borderId="15" xfId="0" applyFont="1" applyBorder="1" applyAlignment="1">
      <alignment vertical="center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9" fontId="14" fillId="0" borderId="15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6" fillId="0" borderId="1" xfId="0" applyFont="1" applyBorder="1" applyAlignment="1">
      <alignment vertical="center"/>
    </xf>
    <xf numFmtId="0" fontId="91" fillId="0" borderId="0" xfId="0" applyFont="1" applyAlignment="1">
      <alignment horizontal="center" vertical="center"/>
    </xf>
    <xf numFmtId="169" fontId="9" fillId="0" borderId="0" xfId="0" applyNumberFormat="1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9" fillId="57" borderId="49" xfId="0" applyFont="1" applyFill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14" fillId="58" borderId="13" xfId="0" applyFont="1" applyFill="1" applyBorder="1"/>
    <xf numFmtId="0" fontId="92" fillId="0" borderId="11" xfId="0" applyFont="1" applyBorder="1" applyAlignment="1">
      <alignment vertical="center"/>
    </xf>
    <xf numFmtId="0" fontId="99" fillId="0" borderId="0" xfId="0" applyFont="1" applyAlignment="1">
      <alignment horizontal="center" vertical="center"/>
    </xf>
    <xf numFmtId="2" fontId="99" fillId="0" borderId="15" xfId="0" applyNumberFormat="1" applyFont="1" applyBorder="1" applyAlignment="1">
      <alignment horizontal="center" vertical="center"/>
    </xf>
    <xf numFmtId="2" fontId="2" fillId="57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62" borderId="1" xfId="0" applyNumberFormat="1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/>
    </xf>
    <xf numFmtId="2" fontId="9" fillId="3" borderId="15" xfId="0" applyNumberFormat="1" applyFont="1" applyFill="1" applyBorder="1" applyAlignment="1">
      <alignment horizontal="center" vertical="center"/>
    </xf>
    <xf numFmtId="0" fontId="9" fillId="3" borderId="40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0" fontId="83" fillId="3" borderId="0" xfId="2340" applyFont="1" applyFill="1" applyBorder="1"/>
    <xf numFmtId="0" fontId="99" fillId="3" borderId="14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104" fillId="0" borderId="0" xfId="0" applyFont="1"/>
    <xf numFmtId="0" fontId="9" fillId="3" borderId="62" xfId="0" applyFont="1" applyFill="1" applyBorder="1" applyAlignment="1">
      <alignment horizontal="center" vertical="center"/>
    </xf>
    <xf numFmtId="0" fontId="9" fillId="3" borderId="61" xfId="0" applyFont="1" applyFill="1" applyBorder="1" applyAlignment="1">
      <alignment horizontal="center" vertical="center"/>
    </xf>
    <xf numFmtId="0" fontId="16" fillId="3" borderId="19" xfId="0" applyFont="1" applyFill="1" applyBorder="1" applyAlignment="1">
      <alignment vertical="center"/>
    </xf>
    <xf numFmtId="0" fontId="9" fillId="63" borderId="49" xfId="0" applyFont="1" applyFill="1" applyBorder="1" applyAlignment="1">
      <alignment horizontal="center" vertical="center"/>
    </xf>
    <xf numFmtId="0" fontId="9" fillId="63" borderId="1" xfId="0" applyFont="1" applyFill="1" applyBorder="1" applyAlignment="1">
      <alignment horizontal="center" vertical="center"/>
    </xf>
    <xf numFmtId="0" fontId="105" fillId="4" borderId="10" xfId="2" quotePrefix="1" applyFont="1" applyBorder="1" applyAlignment="1">
      <alignment horizontal="center" vertical="center"/>
    </xf>
    <xf numFmtId="0" fontId="106" fillId="2" borderId="64" xfId="2" applyFont="1" applyFill="1" applyBorder="1" applyAlignment="1">
      <alignment horizontal="center" vertical="center"/>
    </xf>
    <xf numFmtId="0" fontId="107" fillId="0" borderId="59" xfId="0" applyFont="1" applyBorder="1" applyAlignment="1">
      <alignment horizontal="center" vertical="center"/>
    </xf>
    <xf numFmtId="0" fontId="107" fillId="5" borderId="61" xfId="0" applyFont="1" applyFill="1" applyBorder="1" applyAlignment="1">
      <alignment horizontal="center" vertical="center"/>
    </xf>
    <xf numFmtId="0" fontId="107" fillId="0" borderId="65" xfId="0" applyFont="1" applyBorder="1" applyAlignment="1">
      <alignment horizontal="center" vertical="center"/>
    </xf>
    <xf numFmtId="0" fontId="107" fillId="0" borderId="66" xfId="0" applyFont="1" applyBorder="1" applyAlignment="1">
      <alignment horizontal="center" vertical="center"/>
    </xf>
    <xf numFmtId="0" fontId="9" fillId="0" borderId="68" xfId="0" applyFont="1" applyBorder="1" applyAlignment="1">
      <alignment horizontal="center" vertical="center"/>
    </xf>
    <xf numFmtId="0" fontId="31" fillId="0" borderId="68" xfId="0" applyFont="1" applyBorder="1"/>
    <xf numFmtId="0" fontId="31" fillId="0" borderId="67" xfId="0" applyFont="1" applyBorder="1"/>
    <xf numFmtId="0" fontId="31" fillId="0" borderId="68" xfId="0" applyFont="1" applyBorder="1" applyAlignment="1">
      <alignment horizontal="center"/>
    </xf>
    <xf numFmtId="0" fontId="31" fillId="0" borderId="67" xfId="0" applyFont="1" applyBorder="1" applyAlignment="1">
      <alignment horizontal="center"/>
    </xf>
    <xf numFmtId="0" fontId="31" fillId="0" borderId="68" xfId="0" applyFont="1" applyBorder="1" applyAlignment="1">
      <alignment horizontal="right"/>
    </xf>
    <xf numFmtId="0" fontId="1" fillId="0" borderId="68" xfId="210" applyBorder="1"/>
    <xf numFmtId="2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9" fillId="0" borderId="0" xfId="0" applyFont="1" applyAlignment="1">
      <alignment horizontal="center" vertical="center"/>
    </xf>
    <xf numFmtId="0" fontId="109" fillId="3" borderId="14" xfId="0" applyFont="1" applyFill="1" applyBorder="1" applyAlignment="1">
      <alignment horizontal="center" vertical="center"/>
    </xf>
    <xf numFmtId="2" fontId="109" fillId="0" borderId="15" xfId="0" applyNumberFormat="1" applyFont="1" applyBorder="1" applyAlignment="1">
      <alignment horizontal="center" vertical="center"/>
    </xf>
    <xf numFmtId="0" fontId="15" fillId="63" borderId="49" xfId="0" applyFont="1" applyFill="1" applyBorder="1" applyAlignment="1">
      <alignment horizontal="center" vertical="center"/>
    </xf>
    <xf numFmtId="0" fontId="15" fillId="63" borderId="1" xfId="0" applyFont="1" applyFill="1" applyBorder="1" applyAlignment="1">
      <alignment horizontal="center" vertical="center"/>
    </xf>
    <xf numFmtId="0" fontId="111" fillId="63" borderId="49" xfId="0" applyFont="1" applyFill="1" applyBorder="1" applyAlignment="1">
      <alignment horizontal="center" vertical="center"/>
    </xf>
    <xf numFmtId="0" fontId="111" fillId="63" borderId="1" xfId="0" applyFont="1" applyFill="1" applyBorder="1" applyAlignment="1">
      <alignment horizontal="center" vertical="center"/>
    </xf>
    <xf numFmtId="0" fontId="109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11" fillId="0" borderId="0" xfId="0" applyFont="1" applyAlignment="1">
      <alignment horizontal="center" vertical="center"/>
    </xf>
    <xf numFmtId="0" fontId="111" fillId="3" borderId="14" xfId="0" applyFont="1" applyFill="1" applyBorder="1" applyAlignment="1">
      <alignment horizontal="center" vertical="center"/>
    </xf>
    <xf numFmtId="0" fontId="111" fillId="3" borderId="0" xfId="0" applyFont="1" applyFill="1" applyAlignment="1">
      <alignment horizontal="center" vertical="center"/>
    </xf>
    <xf numFmtId="0" fontId="111" fillId="0" borderId="15" xfId="0" applyFont="1" applyBorder="1" applyAlignment="1">
      <alignment horizontal="center" vertical="center"/>
    </xf>
    <xf numFmtId="0" fontId="111" fillId="0" borderId="14" xfId="0" applyFont="1" applyBorder="1" applyAlignment="1">
      <alignment horizontal="center" vertical="center"/>
    </xf>
    <xf numFmtId="0" fontId="111" fillId="3" borderId="70" xfId="0" applyFont="1" applyFill="1" applyBorder="1" applyAlignment="1">
      <alignment horizontal="center" vertical="center"/>
    </xf>
    <xf numFmtId="207" fontId="109" fillId="3" borderId="57" xfId="0" applyNumberFormat="1" applyFont="1" applyFill="1" applyBorder="1" applyAlignment="1">
      <alignment vertical="center"/>
    </xf>
    <xf numFmtId="0" fontId="111" fillId="3" borderId="15" xfId="0" applyFont="1" applyFill="1" applyBorder="1" applyAlignment="1">
      <alignment horizontal="center" vertical="center"/>
    </xf>
    <xf numFmtId="2" fontId="15" fillId="0" borderId="15" xfId="0" applyNumberFormat="1" applyFont="1" applyBorder="1" applyAlignment="1">
      <alignment horizontal="center" vertical="center"/>
    </xf>
    <xf numFmtId="0" fontId="88" fillId="0" borderId="1" xfId="0" applyFont="1" applyBorder="1" applyAlignment="1">
      <alignment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13" fillId="3" borderId="19" xfId="0" applyFont="1" applyFill="1" applyBorder="1" applyAlignment="1">
      <alignment vertical="center"/>
    </xf>
    <xf numFmtId="2" fontId="15" fillId="0" borderId="17" xfId="0" applyNumberFormat="1" applyFont="1" applyBorder="1" applyAlignment="1">
      <alignment horizontal="center" vertical="center"/>
    </xf>
    <xf numFmtId="0" fontId="113" fillId="3" borderId="19" xfId="0" applyFont="1" applyFill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85" fillId="3" borderId="61" xfId="0" applyFont="1" applyFill="1" applyBorder="1" applyAlignment="1">
      <alignment horizontal="center" vertical="center"/>
    </xf>
    <xf numFmtId="0" fontId="84" fillId="3" borderId="61" xfId="0" applyFont="1" applyFill="1" applyBorder="1" applyAlignment="1">
      <alignment horizontal="center" vertical="center"/>
    </xf>
    <xf numFmtId="0" fontId="9" fillId="3" borderId="73" xfId="0" applyFont="1" applyFill="1" applyBorder="1" applyAlignment="1">
      <alignment horizontal="center" vertical="center"/>
    </xf>
    <xf numFmtId="208" fontId="0" fillId="0" borderId="1" xfId="0" applyNumberFormat="1" applyBorder="1" applyAlignment="1">
      <alignment horizontal="center" vertical="center"/>
    </xf>
    <xf numFmtId="208" fontId="0" fillId="0" borderId="43" xfId="0" applyNumberFormat="1" applyBorder="1" applyAlignment="1">
      <alignment horizontal="center" vertical="center"/>
    </xf>
    <xf numFmtId="208" fontId="107" fillId="0" borderId="59" xfId="0" applyNumberFormat="1" applyFont="1" applyBorder="1" applyAlignment="1">
      <alignment horizontal="center" vertical="center"/>
    </xf>
    <xf numFmtId="0" fontId="95" fillId="0" borderId="1" xfId="0" applyFont="1" applyBorder="1" applyAlignment="1">
      <alignment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207" fontId="109" fillId="3" borderId="15" xfId="0" applyNumberFormat="1" applyFont="1" applyFill="1" applyBorder="1" applyAlignment="1">
      <alignment vertical="center"/>
    </xf>
    <xf numFmtId="0" fontId="109" fillId="0" borderId="14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left" vertical="center"/>
    </xf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1" fillId="0" borderId="0" xfId="0" applyFont="1" applyAlignment="1">
      <alignment horizontal="center" vertical="center"/>
    </xf>
    <xf numFmtId="0" fontId="1" fillId="0" borderId="0" xfId="248" applyAlignment="1">
      <alignment horizontal="left"/>
    </xf>
    <xf numFmtId="0" fontId="1" fillId="0" borderId="0" xfId="261" applyAlignment="1">
      <alignment horizontal="left"/>
    </xf>
    <xf numFmtId="0" fontId="31" fillId="0" borderId="0" xfId="0" applyFont="1" applyAlignment="1">
      <alignment horizontal="left" vertical="top"/>
    </xf>
    <xf numFmtId="0" fontId="1" fillId="0" borderId="0" xfId="253" applyAlignment="1">
      <alignment horizontal="left"/>
    </xf>
    <xf numFmtId="49" fontId="31" fillId="0" borderId="0" xfId="0" applyNumberFormat="1" applyFont="1" applyAlignment="1">
      <alignment horizontal="center" vertical="center"/>
    </xf>
    <xf numFmtId="0" fontId="1" fillId="0" borderId="0" xfId="255" applyAlignment="1">
      <alignment horizontal="center"/>
    </xf>
    <xf numFmtId="0" fontId="1" fillId="0" borderId="0" xfId="238" applyAlignment="1">
      <alignment horizontal="center"/>
    </xf>
    <xf numFmtId="0" fontId="1" fillId="0" borderId="0" xfId="255"/>
    <xf numFmtId="0" fontId="1" fillId="0" borderId="0" xfId="259" applyAlignment="1">
      <alignment horizontal="center" vertical="center"/>
    </xf>
    <xf numFmtId="0" fontId="1" fillId="0" borderId="19" xfId="206" applyBorder="1" applyAlignment="1">
      <alignment horizontal="left" vertical="center"/>
    </xf>
    <xf numFmtId="0" fontId="87" fillId="0" borderId="4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quotePrefix="1" applyAlignment="1">
      <alignment horizontal="center"/>
    </xf>
    <xf numFmtId="1" fontId="0" fillId="0" borderId="0" xfId="0" applyNumberFormat="1" applyAlignment="1">
      <alignment horizont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4" xfId="0" quotePrefix="1" applyBorder="1" applyAlignment="1">
      <alignment horizontal="center" vertical="center"/>
    </xf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3" borderId="4" xfId="0" applyFill="1" applyBorder="1" applyAlignment="1">
      <alignment vertical="center"/>
    </xf>
    <xf numFmtId="0" fontId="87" fillId="67" borderId="58" xfId="0" applyFont="1" applyFill="1" applyBorder="1" applyAlignment="1">
      <alignment horizontal="center" vertical="center"/>
    </xf>
    <xf numFmtId="0" fontId="87" fillId="0" borderId="47" xfId="0" applyFont="1" applyBorder="1" applyAlignment="1">
      <alignment horizontal="center" vertical="center"/>
    </xf>
    <xf numFmtId="0" fontId="87" fillId="0" borderId="6" xfId="0" applyFont="1" applyBorder="1" applyAlignment="1">
      <alignment horizontal="center" vertical="center"/>
    </xf>
    <xf numFmtId="0" fontId="117" fillId="64" borderId="76" xfId="0" applyFont="1" applyFill="1" applyBorder="1" applyAlignment="1">
      <alignment horizontal="center" vertical="center" wrapText="1"/>
    </xf>
    <xf numFmtId="0" fontId="121" fillId="59" borderId="61" xfId="0" applyFont="1" applyFill="1" applyBorder="1" applyAlignment="1">
      <alignment horizontal="center" vertical="center"/>
    </xf>
    <xf numFmtId="0" fontId="125" fillId="0" borderId="0" xfId="0" applyFont="1"/>
    <xf numFmtId="0" fontId="126" fillId="0" borderId="0" xfId="0" applyFont="1" applyAlignment="1">
      <alignment wrapText="1"/>
    </xf>
    <xf numFmtId="169" fontId="125" fillId="0" borderId="0" xfId="0" applyNumberFormat="1" applyFont="1"/>
    <xf numFmtId="0" fontId="125" fillId="0" borderId="0" xfId="0" applyFont="1" applyAlignment="1">
      <alignment vertical="center" wrapText="1"/>
    </xf>
    <xf numFmtId="16" fontId="127" fillId="3" borderId="0" xfId="0" quotePrefix="1" applyNumberFormat="1" applyFont="1" applyFill="1" applyAlignment="1">
      <alignment horizontal="center" vertical="center"/>
    </xf>
    <xf numFmtId="0" fontId="127" fillId="0" borderId="0" xfId="0" applyFont="1"/>
    <xf numFmtId="0" fontId="128" fillId="0" borderId="0" xfId="0" applyFont="1"/>
    <xf numFmtId="0" fontId="124" fillId="0" borderId="81" xfId="0" applyFont="1" applyBorder="1" applyAlignment="1">
      <alignment horizontal="center" vertical="center" wrapText="1"/>
    </xf>
    <xf numFmtId="0" fontId="122" fillId="64" borderId="81" xfId="0" applyFont="1" applyFill="1" applyBorder="1" applyAlignment="1">
      <alignment horizontal="center" vertical="center" wrapText="1"/>
    </xf>
    <xf numFmtId="0" fontId="131" fillId="64" borderId="81" xfId="0" applyFont="1" applyFill="1" applyBorder="1" applyAlignment="1">
      <alignment horizontal="center" vertical="center" wrapText="1"/>
    </xf>
    <xf numFmtId="14" fontId="131" fillId="0" borderId="81" xfId="0" applyNumberFormat="1" applyFont="1" applyBorder="1" applyAlignment="1">
      <alignment horizontal="center" vertical="center" wrapText="1"/>
    </xf>
    <xf numFmtId="0" fontId="132" fillId="0" borderId="81" xfId="0" applyFont="1" applyBorder="1" applyAlignment="1">
      <alignment horizontal="center" vertical="center" wrapText="1"/>
    </xf>
    <xf numFmtId="2" fontId="125" fillId="0" borderId="0" xfId="0" applyNumberFormat="1" applyFont="1"/>
    <xf numFmtId="0" fontId="133" fillId="0" borderId="1" xfId="0" applyFont="1" applyBorder="1" applyAlignment="1">
      <alignment horizontal="center" vertical="center"/>
    </xf>
    <xf numFmtId="16" fontId="133" fillId="0" borderId="1" xfId="0" quotePrefix="1" applyNumberFormat="1" applyFont="1" applyBorder="1" applyAlignment="1">
      <alignment horizontal="center" vertical="center"/>
    </xf>
    <xf numFmtId="14" fontId="133" fillId="0" borderId="1" xfId="0" applyNumberFormat="1" applyFont="1" applyBorder="1" applyAlignment="1">
      <alignment horizontal="center" vertical="center"/>
    </xf>
    <xf numFmtId="169" fontId="133" fillId="0" borderId="1" xfId="0" applyNumberFormat="1" applyFont="1" applyBorder="1" applyAlignment="1">
      <alignment horizontal="center" vertical="center"/>
    </xf>
    <xf numFmtId="0" fontId="133" fillId="3" borderId="1" xfId="0" applyFont="1" applyFill="1" applyBorder="1" applyAlignment="1">
      <alignment horizontal="center" vertical="center"/>
    </xf>
    <xf numFmtId="16" fontId="133" fillId="3" borderId="1" xfId="0" quotePrefix="1" applyNumberFormat="1" applyFont="1" applyFill="1" applyBorder="1" applyAlignment="1">
      <alignment horizontal="center" vertical="center"/>
    </xf>
    <xf numFmtId="14" fontId="133" fillId="3" borderId="1" xfId="0" applyNumberFormat="1" applyFont="1" applyFill="1" applyBorder="1" applyAlignment="1">
      <alignment horizontal="center" vertical="center"/>
    </xf>
    <xf numFmtId="169" fontId="133" fillId="3" borderId="1" xfId="0" applyNumberFormat="1" applyFont="1" applyFill="1" applyBorder="1" applyAlignment="1">
      <alignment horizontal="center" vertical="center"/>
    </xf>
    <xf numFmtId="0" fontId="9" fillId="60" borderId="61" xfId="0" applyFont="1" applyFill="1" applyBorder="1" applyAlignment="1">
      <alignment horizontal="center" vertical="center"/>
    </xf>
    <xf numFmtId="0" fontId="6" fillId="0" borderId="1" xfId="206" applyFont="1" applyBorder="1" applyAlignment="1">
      <alignment horizontal="center" vertical="center"/>
    </xf>
    <xf numFmtId="0" fontId="135" fillId="57" borderId="1" xfId="206" applyFont="1" applyFill="1" applyBorder="1" applyAlignment="1">
      <alignment horizontal="center" vertical="center"/>
    </xf>
    <xf numFmtId="0" fontId="6" fillId="0" borderId="43" xfId="206" applyFont="1" applyBorder="1" applyAlignment="1">
      <alignment horizontal="center" vertical="center"/>
    </xf>
    <xf numFmtId="0" fontId="30" fillId="0" borderId="1" xfId="206" applyFont="1" applyBorder="1" applyAlignment="1">
      <alignment horizontal="center" vertical="center"/>
    </xf>
    <xf numFmtId="0" fontId="136" fillId="0" borderId="1" xfId="206" applyFont="1" applyBorder="1" applyAlignment="1">
      <alignment horizontal="center" vertical="center"/>
    </xf>
    <xf numFmtId="0" fontId="30" fillId="0" borderId="83" xfId="206" applyFont="1" applyBorder="1" applyAlignment="1">
      <alignment horizontal="center" vertical="center"/>
    </xf>
    <xf numFmtId="0" fontId="9" fillId="70" borderId="61" xfId="0" applyFont="1" applyFill="1" applyBorder="1" applyAlignment="1">
      <alignment horizontal="center" vertical="center"/>
    </xf>
    <xf numFmtId="0" fontId="1" fillId="70" borderId="61" xfId="0" applyFont="1" applyFill="1" applyBorder="1" applyAlignment="1">
      <alignment horizontal="center" vertical="center"/>
    </xf>
    <xf numFmtId="168" fontId="0" fillId="0" borderId="0" xfId="0" applyNumberFormat="1" applyAlignment="1">
      <alignment horizontal="center"/>
    </xf>
    <xf numFmtId="168" fontId="4" fillId="0" borderId="9" xfId="0" applyNumberFormat="1" applyFont="1" applyBorder="1" applyAlignment="1">
      <alignment horizontal="center" vertical="center"/>
    </xf>
    <xf numFmtId="168" fontId="4" fillId="69" borderId="1" xfId="206" applyNumberFormat="1" applyFont="1" applyFill="1" applyBorder="1" applyAlignment="1">
      <alignment horizontal="center" vertical="center" wrapText="1"/>
    </xf>
    <xf numFmtId="168" fontId="30" fillId="69" borderId="1" xfId="206" applyNumberFormat="1" applyFont="1" applyFill="1" applyBorder="1" applyAlignment="1">
      <alignment horizontal="center" vertical="center" wrapText="1"/>
    </xf>
    <xf numFmtId="168" fontId="0" fillId="0" borderId="9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/>
    </xf>
    <xf numFmtId="14" fontId="82" fillId="0" borderId="0" xfId="0" applyNumberFormat="1" applyFont="1" applyAlignment="1">
      <alignment horizontal="left" vertical="center"/>
    </xf>
    <xf numFmtId="14" fontId="82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15" fillId="3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4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0" fontId="9" fillId="0" borderId="0" xfId="0" applyFont="1" applyAlignment="1">
      <alignment horizontal="center" vertical="top"/>
    </xf>
    <xf numFmtId="0" fontId="94" fillId="0" borderId="0" xfId="0" applyFont="1" applyAlignment="1">
      <alignment horizontal="left" vertical="top"/>
    </xf>
    <xf numFmtId="0" fontId="47" fillId="3" borderId="0" xfId="0" applyFont="1" applyFill="1" applyAlignment="1">
      <alignment horizontal="center" vertical="center" wrapText="1"/>
    </xf>
    <xf numFmtId="0" fontId="94" fillId="0" borderId="0" xfId="0" applyFont="1" applyAlignment="1">
      <alignment horizontal="right" vertical="top"/>
    </xf>
    <xf numFmtId="0" fontId="94" fillId="0" borderId="0" xfId="0" applyFont="1" applyAlignment="1">
      <alignment vertical="top"/>
    </xf>
    <xf numFmtId="2" fontId="9" fillId="3" borderId="0" xfId="0" applyNumberFormat="1" applyFont="1" applyFill="1" applyAlignment="1">
      <alignment horizontal="center" vertical="center"/>
    </xf>
    <xf numFmtId="0" fontId="84" fillId="3" borderId="0" xfId="0" applyFont="1" applyFill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113" fillId="3" borderId="0" xfId="0" applyFont="1" applyFill="1" applyAlignment="1">
      <alignment horizontal="center" vertical="center"/>
    </xf>
    <xf numFmtId="0" fontId="89" fillId="3" borderId="0" xfId="0" applyFont="1" applyFill="1" applyAlignment="1">
      <alignment vertical="center"/>
    </xf>
    <xf numFmtId="207" fontId="109" fillId="3" borderId="0" xfId="0" applyNumberFormat="1" applyFont="1" applyFill="1" applyAlignment="1">
      <alignment vertical="center"/>
    </xf>
    <xf numFmtId="0" fontId="89" fillId="3" borderId="0" xfId="0" applyFont="1" applyFill="1" applyAlignment="1">
      <alignment horizontal="right" vertical="center"/>
    </xf>
    <xf numFmtId="0" fontId="89" fillId="3" borderId="0" xfId="0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5" fillId="0" borderId="19" xfId="0" applyFont="1" applyBorder="1" applyAlignment="1">
      <alignment vertical="center"/>
    </xf>
    <xf numFmtId="0" fontId="15" fillId="0" borderId="17" xfId="0" applyFont="1" applyBorder="1" applyAlignment="1">
      <alignment horizontal="center" vertical="center"/>
    </xf>
    <xf numFmtId="0" fontId="94" fillId="0" borderId="18" xfId="0" applyFont="1" applyBorder="1" applyAlignment="1">
      <alignment horizontal="center"/>
    </xf>
    <xf numFmtId="0" fontId="9" fillId="0" borderId="18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115" fillId="3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center" vertical="center"/>
    </xf>
    <xf numFmtId="0" fontId="93" fillId="3" borderId="0" xfId="0" applyFont="1" applyFill="1" applyAlignment="1">
      <alignment horizontal="center" vertical="center"/>
    </xf>
    <xf numFmtId="2" fontId="12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13" fillId="3" borderId="0" xfId="0" applyFont="1" applyFill="1" applyAlignment="1">
      <alignment horizontal="left" vertical="center"/>
    </xf>
    <xf numFmtId="0" fontId="116" fillId="0" borderId="0" xfId="0" applyFont="1" applyAlignment="1">
      <alignment horizontal="center" vertical="center"/>
    </xf>
    <xf numFmtId="0" fontId="90" fillId="3" borderId="0" xfId="0" applyFont="1" applyFill="1" applyAlignment="1">
      <alignment horizontal="center" vertical="center"/>
    </xf>
    <xf numFmtId="0" fontId="113" fillId="3" borderId="0" xfId="0" applyFont="1" applyFill="1" applyAlignment="1">
      <alignment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2" fontId="9" fillId="0" borderId="13" xfId="0" applyNumberFormat="1" applyFont="1" applyBorder="1" applyAlignment="1">
      <alignment horizontal="center" vertical="center"/>
    </xf>
    <xf numFmtId="0" fontId="116" fillId="3" borderId="0" xfId="0" applyFont="1" applyFill="1" applyAlignment="1">
      <alignment horizontal="center"/>
    </xf>
    <xf numFmtId="0" fontId="90" fillId="3" borderId="0" xfId="0" applyFont="1" applyFill="1" applyAlignment="1">
      <alignment vertical="center" wrapText="1"/>
    </xf>
    <xf numFmtId="0" fontId="111" fillId="3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vertical="center" wrapText="1"/>
    </xf>
    <xf numFmtId="0" fontId="16" fillId="3" borderId="0" xfId="0" applyFont="1" applyFill="1" applyAlignment="1">
      <alignment horizontal="center" vertical="center" wrapText="1"/>
    </xf>
    <xf numFmtId="0" fontId="88" fillId="3" borderId="0" xfId="0" applyFont="1" applyFill="1" applyAlignment="1">
      <alignment horizontal="center" vertical="center"/>
    </xf>
    <xf numFmtId="0" fontId="103" fillId="3" borderId="0" xfId="0" applyFont="1" applyFill="1" applyAlignment="1">
      <alignment horizontal="center" vertical="center" wrapText="1"/>
    </xf>
    <xf numFmtId="0" fontId="125" fillId="0" borderId="0" xfId="0" applyFont="1" applyAlignment="1">
      <alignment vertical="center"/>
    </xf>
    <xf numFmtId="0" fontId="95" fillId="0" borderId="1" xfId="0" applyFont="1" applyBorder="1" applyAlignment="1">
      <alignment horizontal="right" vertical="center" wrapText="1"/>
    </xf>
    <xf numFmtId="0" fontId="16" fillId="0" borderId="1" xfId="0" applyFont="1" applyBorder="1" applyAlignment="1">
      <alignment horizontal="right" vertical="center"/>
    </xf>
    <xf numFmtId="0" fontId="16" fillId="0" borderId="4" xfId="0" applyFont="1" applyBorder="1" applyAlignment="1">
      <alignment horizontal="right" vertical="center"/>
    </xf>
    <xf numFmtId="165" fontId="9" fillId="0" borderId="4" xfId="0" applyNumberFormat="1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165" fontId="9" fillId="0" borderId="1" xfId="0" applyNumberFormat="1" applyFont="1" applyBorder="1" applyAlignment="1">
      <alignment horizontal="right" vertical="center"/>
    </xf>
    <xf numFmtId="170" fontId="16" fillId="0" borderId="1" xfId="0" applyNumberFormat="1" applyFont="1" applyBorder="1" applyAlignment="1">
      <alignment horizontal="right" vertical="center"/>
    </xf>
    <xf numFmtId="0" fontId="92" fillId="0" borderId="43" xfId="0" applyFont="1" applyBorder="1" applyAlignment="1">
      <alignment horizontal="right" vertical="center"/>
    </xf>
    <xf numFmtId="165" fontId="92" fillId="0" borderId="43" xfId="0" applyNumberFormat="1" applyFont="1" applyBorder="1" applyAlignment="1">
      <alignment horizontal="right" vertical="center"/>
    </xf>
    <xf numFmtId="0" fontId="91" fillId="0" borderId="0" xfId="0" applyFont="1" applyAlignment="1">
      <alignment horizontal="right" vertical="center"/>
    </xf>
    <xf numFmtId="0" fontId="96" fillId="0" borderId="11" xfId="0" applyFont="1" applyBorder="1" applyAlignment="1">
      <alignment horizontal="right" vertical="center"/>
    </xf>
    <xf numFmtId="165" fontId="96" fillId="0" borderId="11" xfId="0" applyNumberFormat="1" applyFont="1" applyBorder="1" applyAlignment="1">
      <alignment horizontal="right" vertical="center"/>
    </xf>
    <xf numFmtId="0" fontId="97" fillId="0" borderId="0" xfId="0" applyFont="1" applyAlignment="1">
      <alignment horizontal="right" vertical="center"/>
    </xf>
    <xf numFmtId="0" fontId="16" fillId="59" borderId="61" xfId="0" applyFont="1" applyFill="1" applyBorder="1" applyAlignment="1">
      <alignment horizontal="center" vertical="center"/>
    </xf>
    <xf numFmtId="0" fontId="85" fillId="70" borderId="61" xfId="0" applyFont="1" applyFill="1" applyBorder="1" applyAlignment="1">
      <alignment horizontal="center" vertical="center"/>
    </xf>
    <xf numFmtId="0" fontId="138" fillId="72" borderId="61" xfId="0" applyFont="1" applyFill="1" applyBorder="1" applyAlignment="1">
      <alignment horizontal="center" vertical="center"/>
    </xf>
    <xf numFmtId="0" fontId="9" fillId="73" borderId="6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65" fontId="16" fillId="0" borderId="4" xfId="0" applyNumberFormat="1" applyFont="1" applyBorder="1" applyAlignment="1">
      <alignment horizontal="right" vertical="center"/>
    </xf>
    <xf numFmtId="165" fontId="92" fillId="0" borderId="11" xfId="0" applyNumberFormat="1" applyFont="1" applyBorder="1" applyAlignment="1">
      <alignment horizontal="right" vertical="center"/>
    </xf>
    <xf numFmtId="165" fontId="16" fillId="0" borderId="1" xfId="0" applyNumberFormat="1" applyFont="1" applyBorder="1" applyAlignment="1">
      <alignment horizontal="right" vertical="center"/>
    </xf>
    <xf numFmtId="0" fontId="16" fillId="0" borderId="50" xfId="0" applyFont="1" applyBorder="1" applyAlignment="1">
      <alignment horizontal="right" vertical="center"/>
    </xf>
    <xf numFmtId="0" fontId="92" fillId="0" borderId="11" xfId="0" applyFont="1" applyBorder="1" applyAlignment="1">
      <alignment horizontal="right" vertical="center"/>
    </xf>
    <xf numFmtId="168" fontId="4" fillId="72" borderId="9" xfId="0" applyNumberFormat="1" applyFont="1" applyFill="1" applyBorder="1" applyAlignment="1">
      <alignment horizontal="center" vertical="center"/>
    </xf>
    <xf numFmtId="168" fontId="4" fillId="72" borderId="1" xfId="206" applyNumberFormat="1" applyFont="1" applyFill="1" applyBorder="1" applyAlignment="1">
      <alignment horizontal="center" vertical="center" wrapText="1"/>
    </xf>
    <xf numFmtId="168" fontId="0" fillId="72" borderId="9" xfId="0" applyNumberForma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2" fontId="139" fillId="0" borderId="1" xfId="0" applyNumberFormat="1" applyFont="1" applyBorder="1" applyAlignment="1">
      <alignment horizontal="center" vertical="center" wrapText="1"/>
    </xf>
    <xf numFmtId="2" fontId="139" fillId="72" borderId="1" xfId="206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208" fontId="0" fillId="0" borderId="0" xfId="0" applyNumberFormat="1"/>
    <xf numFmtId="0" fontId="144" fillId="0" borderId="53" xfId="1777" applyFont="1" applyBorder="1" applyAlignment="1">
      <alignment horizontal="center" vertical="center"/>
    </xf>
    <xf numFmtId="0" fontId="144" fillId="0" borderId="53" xfId="1777" applyFont="1" applyBorder="1" applyAlignment="1">
      <alignment vertical="center"/>
    </xf>
    <xf numFmtId="0" fontId="142" fillId="0" borderId="90" xfId="1777" applyFont="1" applyBorder="1" applyAlignment="1">
      <alignment horizontal="center" vertical="center"/>
    </xf>
    <xf numFmtId="0" fontId="144" fillId="3" borderId="90" xfId="1777" applyFont="1" applyFill="1" applyBorder="1" applyAlignment="1">
      <alignment horizontal="center" vertical="center"/>
    </xf>
    <xf numFmtId="0" fontId="144" fillId="0" borderId="8" xfId="1777" applyFont="1" applyBorder="1" applyAlignment="1">
      <alignment horizontal="right" vertical="center"/>
    </xf>
    <xf numFmtId="0" fontId="133" fillId="0" borderId="0" xfId="1777" applyFont="1" applyAlignment="1">
      <alignment vertical="center"/>
    </xf>
    <xf numFmtId="0" fontId="144" fillId="0" borderId="31" xfId="1777" applyFont="1" applyBorder="1" applyAlignment="1">
      <alignment horizontal="center" vertical="center"/>
    </xf>
    <xf numFmtId="0" fontId="144" fillId="3" borderId="31" xfId="1777" applyFont="1" applyFill="1" applyBorder="1" applyAlignment="1">
      <alignment horizontal="center" vertical="center"/>
    </xf>
    <xf numFmtId="0" fontId="144" fillId="0" borderId="92" xfId="1777" applyFont="1" applyBorder="1" applyAlignment="1">
      <alignment horizontal="center" vertical="center"/>
    </xf>
    <xf numFmtId="0" fontId="145" fillId="0" borderId="14" xfId="1777" applyFont="1" applyBorder="1" applyAlignment="1">
      <alignment horizontal="center" vertical="center"/>
    </xf>
    <xf numFmtId="0" fontId="146" fillId="0" borderId="0" xfId="1777" applyFont="1" applyAlignment="1">
      <alignment horizontal="center" vertical="center"/>
    </xf>
    <xf numFmtId="0" fontId="7" fillId="0" borderId="0" xfId="1777" applyFont="1" applyAlignment="1">
      <alignment horizontal="center" vertical="center"/>
    </xf>
    <xf numFmtId="0" fontId="146" fillId="3" borderId="0" xfId="1777" applyFont="1" applyFill="1" applyAlignment="1">
      <alignment horizontal="center" vertical="center"/>
    </xf>
    <xf numFmtId="0" fontId="146" fillId="0" borderId="15" xfId="1777" applyFont="1" applyBorder="1" applyAlignment="1">
      <alignment horizontal="center" vertical="center"/>
    </xf>
    <xf numFmtId="0" fontId="147" fillId="0" borderId="0" xfId="1777" applyFont="1"/>
    <xf numFmtId="0" fontId="148" fillId="0" borderId="0" xfId="1777" applyFont="1" applyAlignment="1">
      <alignment vertical="center"/>
    </xf>
    <xf numFmtId="0" fontId="149" fillId="0" borderId="6" xfId="0" applyFont="1" applyBorder="1" applyAlignment="1">
      <alignment horizontal="center" vertical="center" wrapText="1"/>
    </xf>
    <xf numFmtId="0" fontId="150" fillId="0" borderId="1" xfId="0" applyFont="1" applyBorder="1" applyAlignment="1">
      <alignment horizontal="center" vertical="center"/>
    </xf>
    <xf numFmtId="0" fontId="151" fillId="0" borderId="1" xfId="0" applyFont="1" applyBorder="1" applyAlignment="1">
      <alignment horizontal="center" vertical="center"/>
    </xf>
    <xf numFmtId="0" fontId="150" fillId="3" borderId="1" xfId="0" applyFont="1" applyFill="1" applyBorder="1" applyAlignment="1">
      <alignment horizontal="center" vertical="center"/>
    </xf>
    <xf numFmtId="0" fontId="148" fillId="0" borderId="0" xfId="1777" applyFont="1"/>
    <xf numFmtId="0" fontId="153" fillId="0" borderId="1" xfId="1777" applyFont="1" applyBorder="1" applyAlignment="1">
      <alignment horizontal="left" vertical="center"/>
    </xf>
    <xf numFmtId="0" fontId="153" fillId="0" borderId="0" xfId="1777" applyFont="1" applyAlignment="1">
      <alignment vertical="center"/>
    </xf>
    <xf numFmtId="0" fontId="153" fillId="0" borderId="0" xfId="1777" applyFont="1"/>
    <xf numFmtId="0" fontId="148" fillId="0" borderId="0" xfId="1777" applyFont="1" applyAlignment="1">
      <alignment horizontal="center" vertical="center"/>
    </xf>
    <xf numFmtId="0" fontId="147" fillId="0" borderId="0" xfId="1777" applyFont="1" applyAlignment="1">
      <alignment horizontal="center" vertical="center"/>
    </xf>
    <xf numFmtId="0" fontId="147" fillId="0" borderId="0" xfId="1777" applyFont="1" applyAlignment="1">
      <alignment horizontal="center"/>
    </xf>
    <xf numFmtId="0" fontId="5" fillId="0" borderId="0" xfId="1777" applyFont="1" applyAlignment="1">
      <alignment horizontal="center"/>
    </xf>
    <xf numFmtId="0" fontId="156" fillId="0" borderId="0" xfId="1777" applyFont="1" applyAlignment="1">
      <alignment horizontal="center" vertical="center"/>
    </xf>
    <xf numFmtId="0" fontId="147" fillId="3" borderId="0" xfId="1777" applyFont="1" applyFill="1" applyAlignment="1">
      <alignment horizontal="center"/>
    </xf>
    <xf numFmtId="0" fontId="152" fillId="0" borderId="0" xfId="219" applyFont="1" applyAlignment="1" applyProtection="1">
      <alignment vertical="center" wrapText="1"/>
      <protection locked="0"/>
    </xf>
    <xf numFmtId="0" fontId="142" fillId="0" borderId="0" xfId="219" applyFont="1" applyAlignment="1">
      <alignment horizontal="center" vertical="center" wrapText="1"/>
    </xf>
    <xf numFmtId="0" fontId="153" fillId="0" borderId="0" xfId="1777" applyFont="1" applyAlignment="1">
      <alignment vertical="center" wrapText="1"/>
    </xf>
    <xf numFmtId="0" fontId="150" fillId="0" borderId="0" xfId="0" applyFont="1" applyAlignment="1">
      <alignment horizontal="center" vertical="center"/>
    </xf>
    <xf numFmtId="0" fontId="150" fillId="3" borderId="0" xfId="0" applyFont="1" applyFill="1" applyAlignment="1">
      <alignment horizontal="center" vertical="center"/>
    </xf>
    <xf numFmtId="0" fontId="148" fillId="0" borderId="0" xfId="0" applyFont="1" applyAlignment="1">
      <alignment vertical="center"/>
    </xf>
    <xf numFmtId="0" fontId="149" fillId="0" borderId="93" xfId="0" applyFont="1" applyBorder="1" applyAlignment="1">
      <alignment horizontal="center" vertical="center" wrapText="1"/>
    </xf>
    <xf numFmtId="0" fontId="150" fillId="0" borderId="93" xfId="0" applyFont="1" applyBorder="1" applyAlignment="1">
      <alignment horizontal="center" vertical="center"/>
    </xf>
    <xf numFmtId="0" fontId="144" fillId="74" borderId="7" xfId="0" applyFont="1" applyFill="1" applyBorder="1" applyAlignment="1">
      <alignment horizontal="center" vertical="center" wrapText="1"/>
    </xf>
    <xf numFmtId="0" fontId="144" fillId="74" borderId="10" xfId="0" applyFont="1" applyFill="1" applyBorder="1" applyAlignment="1">
      <alignment horizontal="center" vertical="center"/>
    </xf>
    <xf numFmtId="0" fontId="142" fillId="74" borderId="10" xfId="0" applyFont="1" applyFill="1" applyBorder="1" applyAlignment="1">
      <alignment horizontal="center" vertical="center"/>
    </xf>
    <xf numFmtId="0" fontId="144" fillId="74" borderId="10" xfId="0" applyFont="1" applyFill="1" applyBorder="1" applyAlignment="1">
      <alignment horizontal="center" vertical="center" wrapText="1"/>
    </xf>
    <xf numFmtId="0" fontId="144" fillId="74" borderId="8" xfId="0" applyFont="1" applyFill="1" applyBorder="1" applyAlignment="1">
      <alignment horizontal="center" vertical="center"/>
    </xf>
    <xf numFmtId="0" fontId="148" fillId="0" borderId="9" xfId="0" applyFont="1" applyBorder="1" applyAlignment="1">
      <alignment vertical="center" wrapText="1"/>
    </xf>
    <xf numFmtId="0" fontId="148" fillId="0" borderId="9" xfId="0" applyFont="1" applyBorder="1" applyAlignment="1">
      <alignment vertical="center"/>
    </xf>
    <xf numFmtId="0" fontId="149" fillId="0" borderId="41" xfId="0" applyFont="1" applyBorder="1" applyAlignment="1">
      <alignment horizontal="center" vertical="center" wrapText="1"/>
    </xf>
    <xf numFmtId="0" fontId="150" fillId="0" borderId="11" xfId="0" applyFont="1" applyBorder="1" applyAlignment="1">
      <alignment horizontal="center" vertical="center"/>
    </xf>
    <xf numFmtId="0" fontId="150" fillId="3" borderId="11" xfId="0" applyFont="1" applyFill="1" applyBorder="1" applyAlignment="1">
      <alignment horizontal="center" vertical="center"/>
    </xf>
    <xf numFmtId="0" fontId="148" fillId="0" borderId="42" xfId="0" applyFont="1" applyBorder="1" applyAlignment="1">
      <alignment vertical="center"/>
    </xf>
    <xf numFmtId="0" fontId="153" fillId="0" borderId="6" xfId="1777" applyFont="1" applyBorder="1" applyAlignment="1">
      <alignment horizontal="center" vertical="center"/>
    </xf>
    <xf numFmtId="2" fontId="153" fillId="3" borderId="1" xfId="0" quotePrefix="1" applyNumberFormat="1" applyFont="1" applyFill="1" applyBorder="1" applyAlignment="1">
      <alignment horizontal="center" vertical="center" wrapText="1"/>
    </xf>
    <xf numFmtId="2" fontId="153" fillId="3" borderId="1" xfId="0" applyNumberFormat="1" applyFont="1" applyFill="1" applyBorder="1" applyAlignment="1">
      <alignment horizontal="center" vertical="center" wrapText="1"/>
    </xf>
    <xf numFmtId="0" fontId="153" fillId="0" borderId="1" xfId="0" applyFont="1" applyBorder="1" applyAlignment="1">
      <alignment horizontal="center" vertical="center"/>
    </xf>
    <xf numFmtId="0" fontId="153" fillId="0" borderId="1" xfId="0" applyFont="1" applyBorder="1" applyAlignment="1">
      <alignment horizontal="left" vertical="center"/>
    </xf>
    <xf numFmtId="0" fontId="153" fillId="0" borderId="1" xfId="0" applyFont="1" applyBorder="1" applyAlignment="1">
      <alignment horizontal="left" vertical="center" wrapText="1"/>
    </xf>
    <xf numFmtId="2" fontId="153" fillId="0" borderId="1" xfId="0" applyNumberFormat="1" applyFont="1" applyBorder="1" applyAlignment="1">
      <alignment horizontal="center" vertical="center" wrapText="1"/>
    </xf>
    <xf numFmtId="0" fontId="153" fillId="3" borderId="1" xfId="0" applyFont="1" applyFill="1" applyBorder="1" applyAlignment="1">
      <alignment horizontal="left" vertical="center" wrapText="1"/>
    </xf>
    <xf numFmtId="0" fontId="153" fillId="3" borderId="1" xfId="0" applyFont="1" applyFill="1" applyBorder="1" applyAlignment="1">
      <alignment horizontal="center" vertical="center"/>
    </xf>
    <xf numFmtId="2" fontId="153" fillId="0" borderId="11" xfId="0" applyNumberFormat="1" applyFont="1" applyBorder="1" applyAlignment="1">
      <alignment horizontal="center" vertical="center" wrapText="1"/>
    </xf>
    <xf numFmtId="0" fontId="153" fillId="0" borderId="11" xfId="0" applyFont="1" applyBorder="1" applyAlignment="1">
      <alignment horizontal="left" vertical="center"/>
    </xf>
    <xf numFmtId="0" fontId="153" fillId="0" borderId="1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157" fillId="0" borderId="94" xfId="0" applyFont="1" applyBorder="1" applyAlignment="1">
      <alignment horizontal="center" vertical="center" wrapText="1"/>
    </xf>
    <xf numFmtId="0" fontId="158" fillId="0" borderId="94" xfId="0" applyFont="1" applyBorder="1" applyAlignment="1">
      <alignment horizontal="center" vertical="center" wrapText="1"/>
    </xf>
    <xf numFmtId="0" fontId="159" fillId="0" borderId="94" xfId="0" applyFont="1" applyBorder="1" applyAlignment="1">
      <alignment horizontal="center" vertical="center" wrapText="1"/>
    </xf>
    <xf numFmtId="0" fontId="160" fillId="0" borderId="94" xfId="0" applyFont="1" applyBorder="1" applyAlignment="1">
      <alignment horizontal="center" vertical="center" wrapText="1"/>
    </xf>
    <xf numFmtId="0" fontId="122" fillId="64" borderId="96" xfId="0" applyFont="1" applyFill="1" applyBorder="1" applyAlignment="1">
      <alignment horizontal="center" vertical="center" wrapText="1"/>
    </xf>
    <xf numFmtId="0" fontId="122" fillId="64" borderId="95" xfId="0" applyFont="1" applyFill="1" applyBorder="1" applyAlignment="1">
      <alignment horizontal="center" vertical="center" wrapText="1"/>
    </xf>
    <xf numFmtId="2" fontId="2" fillId="0" borderId="1" xfId="0" quotePrefix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58" fillId="0" borderId="1" xfId="0" applyFont="1" applyBorder="1" applyAlignment="1">
      <alignment horizontal="center" vertical="center" wrapText="1"/>
    </xf>
    <xf numFmtId="0" fontId="159" fillId="0" borderId="1" xfId="0" applyFont="1" applyBorder="1" applyAlignment="1">
      <alignment horizontal="center" vertical="center" wrapText="1"/>
    </xf>
    <xf numFmtId="0" fontId="160" fillId="0" borderId="1" xfId="0" applyFont="1" applyBorder="1" applyAlignment="1">
      <alignment horizontal="center" vertical="center" wrapText="1"/>
    </xf>
    <xf numFmtId="2" fontId="1" fillId="3" borderId="0" xfId="0" quotePrefix="1" applyNumberFormat="1" applyFont="1" applyFill="1" applyAlignment="1">
      <alignment horizontal="center" vertical="center" wrapText="1"/>
    </xf>
    <xf numFmtId="0" fontId="161" fillId="3" borderId="0" xfId="0" applyFont="1" applyFill="1" applyAlignment="1">
      <alignment horizontal="center" vertical="center" wrapText="1"/>
    </xf>
    <xf numFmtId="0" fontId="106" fillId="0" borderId="0" xfId="0" applyFont="1" applyAlignment="1">
      <alignment horizontal="right"/>
    </xf>
    <xf numFmtId="0" fontId="105" fillId="4" borderId="7" xfId="2" quotePrefix="1" applyFont="1" applyBorder="1" applyAlignment="1">
      <alignment horizontal="center" vertical="center"/>
    </xf>
    <xf numFmtId="208" fontId="0" fillId="0" borderId="6" xfId="0" applyNumberFormat="1" applyBorder="1" applyAlignment="1">
      <alignment horizontal="center" vertical="center"/>
    </xf>
    <xf numFmtId="208" fontId="0" fillId="0" borderId="46" xfId="0" applyNumberFormat="1" applyBorder="1" applyAlignment="1">
      <alignment horizontal="center" vertical="center"/>
    </xf>
    <xf numFmtId="208" fontId="107" fillId="0" borderId="58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128" fillId="0" borderId="0" xfId="0" applyFont="1" applyAlignment="1">
      <alignment horizontal="center" vertical="center"/>
    </xf>
    <xf numFmtId="0" fontId="131" fillId="0" borderId="81" xfId="0" applyFont="1" applyBorder="1" applyAlignment="1">
      <alignment horizontal="center" vertical="center" wrapText="1"/>
    </xf>
    <xf numFmtId="2" fontId="131" fillId="0" borderId="81" xfId="0" applyNumberFormat="1" applyFont="1" applyBorder="1" applyAlignment="1">
      <alignment horizontal="center" vertical="center" wrapText="1"/>
    </xf>
    <xf numFmtId="2" fontId="131" fillId="3" borderId="81" xfId="0" applyNumberFormat="1" applyFont="1" applyFill="1" applyBorder="1" applyAlignment="1">
      <alignment horizontal="center" vertical="center" wrapText="1"/>
    </xf>
    <xf numFmtId="2" fontId="131" fillId="65" borderId="81" xfId="0" applyNumberFormat="1" applyFont="1" applyFill="1" applyBorder="1" applyAlignment="1">
      <alignment horizontal="center" vertical="center" wrapText="1"/>
    </xf>
    <xf numFmtId="0" fontId="141" fillId="0" borderId="81" xfId="0" applyFont="1" applyBorder="1" applyAlignment="1">
      <alignment horizontal="center" vertical="center" wrapText="1"/>
    </xf>
    <xf numFmtId="2" fontId="141" fillId="3" borderId="81" xfId="0" applyNumberFormat="1" applyFont="1" applyFill="1" applyBorder="1" applyAlignment="1">
      <alignment horizontal="center" vertical="center" wrapText="1"/>
    </xf>
    <xf numFmtId="0" fontId="121" fillId="72" borderId="61" xfId="0" applyFont="1" applyFill="1" applyBorder="1" applyAlignment="1">
      <alignment horizontal="center" vertical="center"/>
    </xf>
    <xf numFmtId="2" fontId="125" fillId="0" borderId="0" xfId="0" applyNumberFormat="1" applyFont="1" applyAlignment="1">
      <alignment vertical="center" wrapText="1"/>
    </xf>
    <xf numFmtId="0" fontId="155" fillId="0" borderId="0" xfId="0" applyFont="1"/>
    <xf numFmtId="0" fontId="106" fillId="0" borderId="0" xfId="0" applyFont="1"/>
    <xf numFmtId="0" fontId="142" fillId="0" borderId="0" xfId="0" applyFont="1" applyAlignment="1">
      <alignment horizontal="center" vertical="center"/>
    </xf>
    <xf numFmtId="0" fontId="164" fillId="74" borderId="1" xfId="0" applyFont="1" applyFill="1" applyBorder="1" applyAlignment="1">
      <alignment horizontal="center" vertical="center" wrapText="1"/>
    </xf>
    <xf numFmtId="0" fontId="147" fillId="0" borderId="6" xfId="0" applyFont="1" applyBorder="1" applyAlignment="1">
      <alignment horizontal="center" vertical="center" wrapText="1"/>
    </xf>
    <xf numFmtId="0" fontId="165" fillId="3" borderId="1" xfId="0" applyFont="1" applyFill="1" applyBorder="1" applyAlignment="1">
      <alignment horizontal="center" vertical="center" wrapText="1"/>
    </xf>
    <xf numFmtId="168" fontId="147" fillId="3" borderId="1" xfId="0" applyNumberFormat="1" applyFont="1" applyFill="1" applyBorder="1" applyAlignment="1">
      <alignment horizontal="center" vertical="center" wrapText="1"/>
    </xf>
    <xf numFmtId="208" fontId="148" fillId="3" borderId="1" xfId="0" applyNumberFormat="1" applyFont="1" applyFill="1" applyBorder="1" applyAlignment="1">
      <alignment horizontal="right" vertical="center" wrapText="1"/>
    </xf>
    <xf numFmtId="0" fontId="148" fillId="3" borderId="1" xfId="0" applyFont="1" applyFill="1" applyBorder="1" applyAlignment="1">
      <alignment horizontal="right" vertical="center" wrapText="1"/>
    </xf>
    <xf numFmtId="168" fontId="148" fillId="3" borderId="1" xfId="0" applyNumberFormat="1" applyFont="1" applyFill="1" applyBorder="1" applyAlignment="1">
      <alignment horizontal="right" vertical="center" wrapText="1"/>
    </xf>
    <xf numFmtId="0" fontId="165" fillId="3" borderId="1" xfId="0" quotePrefix="1" applyFont="1" applyFill="1" applyBorder="1" applyAlignment="1">
      <alignment horizontal="center" vertical="center" wrapText="1"/>
    </xf>
    <xf numFmtId="0" fontId="87" fillId="3" borderId="1" xfId="0" applyFont="1" applyFill="1" applyBorder="1" applyAlignment="1">
      <alignment horizontal="center" vertical="center"/>
    </xf>
    <xf numFmtId="168" fontId="0" fillId="3" borderId="1" xfId="0" applyNumberFormat="1" applyFill="1" applyBorder="1" applyAlignment="1">
      <alignment horizontal="center" vertical="center"/>
    </xf>
    <xf numFmtId="0" fontId="87" fillId="3" borderId="1" xfId="0" quotePrefix="1" applyFont="1" applyFill="1" applyBorder="1" applyAlignment="1">
      <alignment horizontal="center" vertical="center"/>
    </xf>
    <xf numFmtId="168" fontId="0" fillId="3" borderId="1" xfId="0" quotePrefix="1" applyNumberFormat="1" applyFill="1" applyBorder="1" applyAlignment="1">
      <alignment horizontal="center" vertical="center"/>
    </xf>
    <xf numFmtId="168" fontId="166" fillId="0" borderId="11" xfId="0" applyNumberFormat="1" applyFont="1" applyBorder="1" applyAlignment="1">
      <alignment horizontal="center" vertical="center" wrapText="1"/>
    </xf>
    <xf numFmtId="1" fontId="166" fillId="0" borderId="11" xfId="0" applyNumberFormat="1" applyFont="1" applyBorder="1" applyAlignment="1">
      <alignment horizontal="right" vertical="center" wrapText="1"/>
    </xf>
    <xf numFmtId="168" fontId="166" fillId="0" borderId="11" xfId="0" applyNumberFormat="1" applyFont="1" applyBorder="1" applyAlignment="1">
      <alignment horizontal="right" vertical="center" wrapText="1"/>
    </xf>
    <xf numFmtId="0" fontId="167" fillId="0" borderId="0" xfId="0" applyFont="1"/>
    <xf numFmtId="14" fontId="153" fillId="0" borderId="1" xfId="1777" applyNumberFormat="1" applyFont="1" applyBorder="1" applyAlignment="1">
      <alignment horizontal="center" vertical="center"/>
    </xf>
    <xf numFmtId="0" fontId="143" fillId="0" borderId="1" xfId="1777" applyFont="1" applyBorder="1" applyAlignment="1">
      <alignment horizontal="center" vertical="center" wrapText="1"/>
    </xf>
    <xf numFmtId="14" fontId="155" fillId="0" borderId="1" xfId="1777" applyNumberFormat="1" applyFont="1" applyBorder="1" applyAlignment="1">
      <alignment horizontal="center" vertical="center"/>
    </xf>
    <xf numFmtId="14" fontId="153" fillId="0" borderId="11" xfId="1777" applyNumberFormat="1" applyFont="1" applyBorder="1" applyAlignment="1">
      <alignment horizontal="center" vertical="center"/>
    </xf>
    <xf numFmtId="0" fontId="154" fillId="0" borderId="9" xfId="1777" applyFont="1" applyBorder="1" applyAlignment="1">
      <alignment horizontal="center" vertical="center"/>
    </xf>
    <xf numFmtId="0" fontId="153" fillId="0" borderId="41" xfId="1777" applyFont="1" applyBorder="1" applyAlignment="1">
      <alignment horizontal="center" vertical="center"/>
    </xf>
    <xf numFmtId="0" fontId="154" fillId="0" borderId="42" xfId="1777" applyFont="1" applyBorder="1" applyAlignment="1">
      <alignment horizontal="center" vertical="center"/>
    </xf>
    <xf numFmtId="14" fontId="143" fillId="0" borderId="11" xfId="1777" applyNumberFormat="1" applyFont="1" applyBorder="1" applyAlignment="1">
      <alignment horizontal="center" vertical="center" wrapText="1"/>
    </xf>
    <xf numFmtId="0" fontId="4" fillId="57" borderId="6" xfId="0" applyFont="1" applyFill="1" applyBorder="1" applyAlignment="1">
      <alignment horizontal="center" vertical="center"/>
    </xf>
    <xf numFmtId="0" fontId="0" fillId="57" borderId="6" xfId="0" applyFill="1" applyBorder="1" applyAlignment="1">
      <alignment horizontal="center"/>
    </xf>
    <xf numFmtId="168" fontId="136" fillId="75" borderId="1" xfId="206" applyNumberFormat="1" applyFont="1" applyFill="1" applyBorder="1" applyAlignment="1">
      <alignment horizontal="center" vertical="center" wrapText="1"/>
    </xf>
    <xf numFmtId="168" fontId="136" fillId="75" borderId="9" xfId="0" applyNumberFormat="1" applyFont="1" applyFill="1" applyBorder="1" applyAlignment="1">
      <alignment horizontal="center" vertical="center"/>
    </xf>
    <xf numFmtId="2" fontId="136" fillId="75" borderId="1" xfId="206" applyNumberFormat="1" applyFont="1" applyFill="1" applyBorder="1" applyAlignment="1">
      <alignment horizontal="center" vertical="center" wrapText="1"/>
    </xf>
    <xf numFmtId="168" fontId="137" fillId="75" borderId="9" xfId="0" applyNumberFormat="1" applyFont="1" applyFill="1" applyBorder="1" applyAlignment="1">
      <alignment horizontal="center" vertical="center"/>
    </xf>
    <xf numFmtId="2" fontId="136" fillId="75" borderId="1" xfId="0" applyNumberFormat="1" applyFont="1" applyFill="1" applyBorder="1" applyAlignment="1">
      <alignment horizontal="center" vertical="center" wrapText="1"/>
    </xf>
    <xf numFmtId="2" fontId="136" fillId="75" borderId="1" xfId="0" applyNumberFormat="1" applyFont="1" applyFill="1" applyBorder="1" applyAlignment="1">
      <alignment horizontal="center" vertical="center"/>
    </xf>
    <xf numFmtId="0" fontId="137" fillId="75" borderId="1" xfId="0" applyFont="1" applyFill="1" applyBorder="1"/>
    <xf numFmtId="0" fontId="95" fillId="3" borderId="0" xfId="0" applyFont="1" applyFill="1" applyAlignment="1">
      <alignment vertical="top" wrapText="1"/>
    </xf>
    <xf numFmtId="2" fontId="14" fillId="0" borderId="0" xfId="0" applyNumberFormat="1" applyFont="1" applyAlignment="1">
      <alignment horizontal="center" vertical="center"/>
    </xf>
    <xf numFmtId="0" fontId="168" fillId="0" borderId="0" xfId="0" applyFont="1"/>
    <xf numFmtId="0" fontId="84" fillId="70" borderId="61" xfId="0" applyFont="1" applyFill="1" applyBorder="1" applyAlignment="1">
      <alignment horizontal="center" vertical="center"/>
    </xf>
    <xf numFmtId="1" fontId="0" fillId="57" borderId="1" xfId="0" applyNumberFormat="1" applyFill="1" applyBorder="1" applyAlignment="1">
      <alignment horizontal="center" vertical="center"/>
    </xf>
    <xf numFmtId="14" fontId="0" fillId="57" borderId="1" xfId="0" applyNumberFormat="1" applyFill="1" applyBorder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87" fillId="2" borderId="1" xfId="0" applyFont="1" applyFill="1" applyBorder="1" applyAlignment="1">
      <alignment horizontal="center" vertical="center" wrapText="1"/>
    </xf>
    <xf numFmtId="0" fontId="106" fillId="2" borderId="1" xfId="0" applyFont="1" applyFill="1" applyBorder="1" applyAlignment="1">
      <alignment horizontal="center" vertical="center" wrapText="1"/>
    </xf>
    <xf numFmtId="0" fontId="87" fillId="76" borderId="1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 vertical="center" wrapText="1"/>
    </xf>
    <xf numFmtId="0" fontId="0" fillId="77" borderId="1" xfId="0" applyFill="1" applyBorder="1" applyAlignment="1">
      <alignment horizontal="center" vertical="center"/>
    </xf>
    <xf numFmtId="0" fontId="155" fillId="71" borderId="1" xfId="0" applyFont="1" applyFill="1" applyBorder="1" applyAlignment="1">
      <alignment horizontal="center" vertical="center"/>
    </xf>
    <xf numFmtId="0" fontId="155" fillId="3" borderId="1" xfId="0" applyFont="1" applyFill="1" applyBorder="1" applyAlignment="1">
      <alignment horizontal="center" vertical="center"/>
    </xf>
    <xf numFmtId="0" fontId="0" fillId="71" borderId="1" xfId="0" applyFill="1" applyBorder="1" applyAlignment="1">
      <alignment horizontal="center" vertical="center"/>
    </xf>
    <xf numFmtId="0" fontId="94" fillId="71" borderId="1" xfId="0" applyFont="1" applyFill="1" applyBorder="1" applyAlignment="1">
      <alignment horizontal="center" vertical="center" wrapText="1"/>
    </xf>
    <xf numFmtId="0" fontId="155" fillId="0" borderId="0" xfId="0" applyFont="1" applyAlignment="1">
      <alignment horizontal="center" vertical="center"/>
    </xf>
    <xf numFmtId="0" fontId="167" fillId="78" borderId="1" xfId="0" applyFont="1" applyFill="1" applyBorder="1" applyAlignment="1">
      <alignment horizontal="center" vertical="center"/>
    </xf>
    <xf numFmtId="0" fontId="94" fillId="3" borderId="1" xfId="0" applyFont="1" applyFill="1" applyBorder="1" applyAlignment="1">
      <alignment horizontal="center" vertical="center"/>
    </xf>
    <xf numFmtId="2" fontId="169" fillId="3" borderId="81" xfId="0" applyNumberFormat="1" applyFont="1" applyFill="1" applyBorder="1" applyAlignment="1">
      <alignment horizontal="left" vertical="center" wrapText="1"/>
    </xf>
    <xf numFmtId="0" fontId="84" fillId="60" borderId="61" xfId="0" applyFont="1" applyFill="1" applyBorder="1" applyAlignment="1">
      <alignment horizontal="center" vertical="center"/>
    </xf>
    <xf numFmtId="0" fontId="85" fillId="79" borderId="61" xfId="0" applyFont="1" applyFill="1" applyBorder="1" applyAlignment="1">
      <alignment horizontal="center" vertical="center"/>
    </xf>
    <xf numFmtId="0" fontId="84" fillId="79" borderId="61" xfId="0" applyFont="1" applyFill="1" applyBorder="1" applyAlignment="1">
      <alignment horizontal="center" vertical="center"/>
    </xf>
    <xf numFmtId="0" fontId="85" fillId="80" borderId="61" xfId="0" applyFont="1" applyFill="1" applyBorder="1" applyAlignment="1">
      <alignment horizontal="center" vertical="center"/>
    </xf>
    <xf numFmtId="2" fontId="16" fillId="0" borderId="1" xfId="0" applyNumberFormat="1" applyFont="1" applyBorder="1" applyAlignment="1">
      <alignment horizontal="right" vertical="center"/>
    </xf>
    <xf numFmtId="2" fontId="16" fillId="0" borderId="4" xfId="0" applyNumberFormat="1" applyFont="1" applyBorder="1" applyAlignment="1">
      <alignment horizontal="right" vertical="center"/>
    </xf>
    <xf numFmtId="0" fontId="84" fillId="73" borderId="61" xfId="0" applyFont="1" applyFill="1" applyBorder="1" applyAlignment="1">
      <alignment horizontal="center" vertical="center"/>
    </xf>
    <xf numFmtId="0" fontId="106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0" fillId="3" borderId="1" xfId="0" applyFont="1" applyFill="1" applyBorder="1" applyAlignment="1">
      <alignment horizontal="center" vertical="center" wrapText="1"/>
    </xf>
    <xf numFmtId="0" fontId="120" fillId="3" borderId="1" xfId="0" applyFont="1" applyFill="1" applyBorder="1" applyAlignment="1">
      <alignment horizontal="center" vertical="center"/>
    </xf>
    <xf numFmtId="0" fontId="84" fillId="81" borderId="61" xfId="0" applyFont="1" applyFill="1" applyBorder="1" applyAlignment="1">
      <alignment horizontal="center" vertical="center"/>
    </xf>
    <xf numFmtId="0" fontId="148" fillId="3" borderId="1" xfId="0" applyFont="1" applyFill="1" applyBorder="1" applyAlignment="1">
      <alignment horizontal="center" vertical="center"/>
    </xf>
    <xf numFmtId="0" fontId="85" fillId="60" borderId="61" xfId="0" applyFont="1" applyFill="1" applyBorder="1" applyAlignment="1">
      <alignment horizontal="center" vertical="center"/>
    </xf>
    <xf numFmtId="0" fontId="122" fillId="64" borderId="103" xfId="0" applyFont="1" applyFill="1" applyBorder="1" applyAlignment="1">
      <alignment horizontal="center" vertical="center" wrapText="1"/>
    </xf>
    <xf numFmtId="0" fontId="122" fillId="64" borderId="104" xfId="0" applyFont="1" applyFill="1" applyBorder="1" applyAlignment="1">
      <alignment horizontal="center" vertical="center" wrapText="1"/>
    </xf>
    <xf numFmtId="0" fontId="122" fillId="64" borderId="105" xfId="0" applyFont="1" applyFill="1" applyBorder="1" applyAlignment="1">
      <alignment horizontal="center" vertical="center" wrapText="1"/>
    </xf>
    <xf numFmtId="14" fontId="133" fillId="3" borderId="1" xfId="0" applyNumberFormat="1" applyFont="1" applyFill="1" applyBorder="1" applyAlignment="1">
      <alignment horizontal="center" vertical="center" wrapText="1"/>
    </xf>
    <xf numFmtId="16" fontId="0" fillId="57" borderId="1" xfId="0" quotePrefix="1" applyNumberFormat="1" applyFill="1" applyBorder="1" applyAlignment="1">
      <alignment horizontal="center" vertical="center"/>
    </xf>
    <xf numFmtId="16" fontId="0" fillId="3" borderId="1" xfId="0" quotePrefix="1" applyNumberFormat="1" applyFill="1" applyBorder="1" applyAlignment="1">
      <alignment horizontal="center" vertical="center"/>
    </xf>
    <xf numFmtId="0" fontId="141" fillId="0" borderId="0" xfId="0" applyFont="1" applyAlignment="1">
      <alignment horizontal="left" vertical="center"/>
    </xf>
    <xf numFmtId="0" fontId="142" fillId="0" borderId="0" xfId="0" applyFont="1" applyAlignment="1">
      <alignment vertical="center" wrapText="1"/>
    </xf>
    <xf numFmtId="0" fontId="177" fillId="0" borderId="0" xfId="0" applyFont="1" applyAlignment="1">
      <alignment vertical="center"/>
    </xf>
    <xf numFmtId="0" fontId="177" fillId="0" borderId="0" xfId="0" applyFont="1" applyAlignment="1">
      <alignment horizontal="right" vertical="center"/>
    </xf>
    <xf numFmtId="0" fontId="125" fillId="0" borderId="0" xfId="0" applyFont="1" applyAlignment="1">
      <alignment vertical="top"/>
    </xf>
    <xf numFmtId="208" fontId="148" fillId="3" borderId="0" xfId="0" applyNumberFormat="1" applyFont="1" applyFill="1" applyAlignment="1">
      <alignment horizontal="righ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78" fillId="0" borderId="0" xfId="0" applyFont="1" applyAlignment="1">
      <alignment horizontal="left" vertical="center"/>
    </xf>
    <xf numFmtId="0" fontId="0" fillId="57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75" fillId="3" borderId="50" xfId="0" applyFont="1" applyFill="1" applyBorder="1" applyAlignment="1">
      <alignment horizontal="center" vertical="center" wrapText="1"/>
    </xf>
    <xf numFmtId="0" fontId="87" fillId="8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08" fontId="148" fillId="3" borderId="1" xfId="0" applyNumberFormat="1" applyFont="1" applyFill="1" applyBorder="1" applyAlignment="1">
      <alignment horizontal="center" vertical="center" wrapText="1"/>
    </xf>
    <xf numFmtId="208" fontId="148" fillId="3" borderId="9" xfId="0" applyNumberFormat="1" applyFont="1" applyFill="1" applyBorder="1" applyAlignment="1">
      <alignment horizontal="center" vertical="center" wrapText="1"/>
    </xf>
    <xf numFmtId="208" fontId="133" fillId="3" borderId="1" xfId="0" applyNumberFormat="1" applyFont="1" applyFill="1" applyBorder="1" applyAlignment="1">
      <alignment horizontal="center" vertical="center"/>
    </xf>
    <xf numFmtId="208" fontId="133" fillId="3" borderId="9" xfId="0" applyNumberFormat="1" applyFont="1" applyFill="1" applyBorder="1" applyAlignment="1">
      <alignment horizontal="center" vertical="center"/>
    </xf>
    <xf numFmtId="208" fontId="167" fillId="3" borderId="11" xfId="0" applyNumberFormat="1" applyFont="1" applyFill="1" applyBorder="1" applyAlignment="1">
      <alignment horizontal="center" vertical="center"/>
    </xf>
    <xf numFmtId="208" fontId="167" fillId="3" borderId="42" xfId="0" applyNumberFormat="1" applyFont="1" applyFill="1" applyBorder="1" applyAlignment="1">
      <alignment horizontal="center" vertical="center"/>
    </xf>
    <xf numFmtId="0" fontId="178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80" fillId="0" borderId="9" xfId="1777" applyFont="1" applyBorder="1" applyAlignment="1">
      <alignment horizontal="center" vertical="center" wrapText="1"/>
    </xf>
    <xf numFmtId="0" fontId="142" fillId="2" borderId="47" xfId="219" applyFont="1" applyFill="1" applyBorder="1" applyAlignment="1">
      <alignment horizontal="center" vertical="center" wrapText="1"/>
    </xf>
    <xf numFmtId="0" fontId="142" fillId="2" borderId="4" xfId="219" applyFont="1" applyFill="1" applyBorder="1" applyAlignment="1">
      <alignment horizontal="center" vertical="center" wrapText="1"/>
    </xf>
    <xf numFmtId="0" fontId="142" fillId="2" borderId="51" xfId="219" applyFont="1" applyFill="1" applyBorder="1" applyAlignment="1">
      <alignment horizontal="center" vertical="center" wrapText="1"/>
    </xf>
    <xf numFmtId="0" fontId="180" fillId="0" borderId="42" xfId="1777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5" fillId="3" borderId="0" xfId="0" applyFont="1" applyFill="1" applyAlignment="1">
      <alignment horizontal="center"/>
    </xf>
    <xf numFmtId="2" fontId="15" fillId="3" borderId="0" xfId="0" applyNumberFormat="1" applyFont="1" applyFill="1" applyAlignment="1">
      <alignment horizontal="center"/>
    </xf>
    <xf numFmtId="2" fontId="15" fillId="3" borderId="0" xfId="0" applyNumberFormat="1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09" fontId="102" fillId="0" borderId="11" xfId="0" applyNumberFormat="1" applyFont="1" applyBorder="1" applyAlignment="1">
      <alignment horizontal="right" vertical="center"/>
    </xf>
    <xf numFmtId="209" fontId="88" fillId="0" borderId="4" xfId="0" applyNumberFormat="1" applyFont="1" applyBorder="1" applyAlignment="1">
      <alignment horizontal="right" vertical="center"/>
    </xf>
    <xf numFmtId="209" fontId="88" fillId="0" borderId="1" xfId="0" applyNumberFormat="1" applyFont="1" applyBorder="1" applyAlignment="1">
      <alignment horizontal="right" vertical="center"/>
    </xf>
    <xf numFmtId="209" fontId="102" fillId="0" borderId="43" xfId="0" applyNumberFormat="1" applyFont="1" applyBorder="1" applyAlignment="1">
      <alignment horizontal="right" vertical="center"/>
    </xf>
    <xf numFmtId="205" fontId="9" fillId="0" borderId="1" xfId="0" applyNumberFormat="1" applyFont="1" applyBorder="1" applyAlignment="1">
      <alignment horizontal="right" vertical="center"/>
    </xf>
    <xf numFmtId="205" fontId="16" fillId="0" borderId="9" xfId="0" applyNumberFormat="1" applyFont="1" applyBorder="1" applyAlignment="1">
      <alignment horizontal="right" vertical="center"/>
    </xf>
    <xf numFmtId="205" fontId="92" fillId="0" borderId="11" xfId="0" applyNumberFormat="1" applyFont="1" applyBorder="1" applyAlignment="1">
      <alignment horizontal="right" vertical="center"/>
    </xf>
    <xf numFmtId="205" fontId="92" fillId="0" borderId="42" xfId="0" applyNumberFormat="1" applyFont="1" applyBorder="1" applyAlignment="1">
      <alignment horizontal="right" vertical="center"/>
    </xf>
    <xf numFmtId="205" fontId="9" fillId="0" borderId="4" xfId="0" applyNumberFormat="1" applyFont="1" applyBorder="1" applyAlignment="1">
      <alignment horizontal="right" vertical="center"/>
    </xf>
    <xf numFmtId="205" fontId="16" fillId="0" borderId="51" xfId="0" applyNumberFormat="1" applyFont="1" applyBorder="1" applyAlignment="1">
      <alignment horizontal="right" vertical="center"/>
    </xf>
    <xf numFmtId="205" fontId="92" fillId="0" borderId="43" xfId="0" applyNumberFormat="1" applyFont="1" applyBorder="1" applyAlignment="1">
      <alignment horizontal="right" vertical="center"/>
    </xf>
    <xf numFmtId="205" fontId="92" fillId="0" borderId="44" xfId="0" applyNumberFormat="1" applyFont="1" applyBorder="1" applyAlignment="1">
      <alignment horizontal="right" vertical="center"/>
    </xf>
    <xf numFmtId="205" fontId="96" fillId="0" borderId="11" xfId="0" applyNumberFormat="1" applyFont="1" applyBorder="1" applyAlignment="1">
      <alignment horizontal="right" vertical="center"/>
    </xf>
    <xf numFmtId="205" fontId="96" fillId="0" borderId="42" xfId="0" applyNumberFormat="1" applyFont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32" fillId="3" borderId="1" xfId="0" applyFont="1" applyFill="1" applyBorder="1" applyAlignment="1">
      <alignment horizontal="center" vertical="center" wrapText="1"/>
    </xf>
    <xf numFmtId="0" fontId="0" fillId="3" borderId="1" xfId="0" quotePrefix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45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7" fillId="3" borderId="1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87" fillId="3" borderId="11" xfId="0" applyFont="1" applyFill="1" applyBorder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3" borderId="47" xfId="0" applyFont="1" applyFill="1" applyBorder="1" applyAlignment="1">
      <alignment horizontal="center" vertical="center" wrapText="1"/>
    </xf>
    <xf numFmtId="0" fontId="87" fillId="3" borderId="9" xfId="0" applyFont="1" applyFill="1" applyBorder="1" applyAlignment="1">
      <alignment horizontal="center" vertical="center" wrapText="1"/>
    </xf>
    <xf numFmtId="0" fontId="104" fillId="3" borderId="0" xfId="0" applyFont="1" applyFill="1" applyAlignment="1">
      <alignment horizontal="center" vertical="center"/>
    </xf>
    <xf numFmtId="2" fontId="87" fillId="3" borderId="9" xfId="0" applyNumberFormat="1" applyFont="1" applyFill="1" applyBorder="1" applyAlignment="1">
      <alignment horizontal="center" vertical="center" wrapText="1"/>
    </xf>
    <xf numFmtId="0" fontId="104" fillId="3" borderId="55" xfId="0" applyFont="1" applyFill="1" applyBorder="1" applyAlignment="1">
      <alignment horizontal="center" vertical="center"/>
    </xf>
    <xf numFmtId="0" fontId="87" fillId="3" borderId="42" xfId="0" applyFont="1" applyFill="1" applyBorder="1" applyAlignment="1">
      <alignment horizontal="center" vertical="center" wrapText="1"/>
    </xf>
    <xf numFmtId="0" fontId="104" fillId="3" borderId="0" xfId="0" applyFont="1" applyFill="1" applyAlignment="1">
      <alignment horizontal="center" vertical="center" wrapText="1"/>
    </xf>
    <xf numFmtId="0" fontId="0" fillId="3" borderId="0" xfId="0" applyFont="1" applyFill="1" applyAlignment="1">
      <alignment horizontal="center" vertical="center" wrapText="1"/>
    </xf>
    <xf numFmtId="0" fontId="87" fillId="3" borderId="0" xfId="0" applyFont="1" applyFill="1" applyAlignment="1">
      <alignment horizontal="center" vertical="center"/>
    </xf>
    <xf numFmtId="0" fontId="94" fillId="3" borderId="9" xfId="0" applyFont="1" applyFill="1" applyBorder="1" applyAlignment="1">
      <alignment horizontal="left" vertical="center" wrapText="1"/>
    </xf>
    <xf numFmtId="0" fontId="142" fillId="3" borderId="4" xfId="0" applyFont="1" applyFill="1" applyBorder="1" applyAlignment="1">
      <alignment horizontal="center" vertical="center" wrapText="1"/>
    </xf>
    <xf numFmtId="0" fontId="142" fillId="3" borderId="1" xfId="0" applyNumberFormat="1" applyFont="1" applyFill="1" applyBorder="1" applyAlignment="1">
      <alignment horizontal="center" vertical="center" wrapText="1"/>
    </xf>
    <xf numFmtId="0" fontId="142" fillId="3" borderId="4" xfId="0" applyFont="1" applyFill="1" applyBorder="1" applyAlignment="1" applyProtection="1">
      <alignment horizontal="center" vertical="center"/>
      <protection locked="0"/>
    </xf>
    <xf numFmtId="2" fontId="142" fillId="3" borderId="1" xfId="0" applyNumberFormat="1" applyFont="1" applyFill="1" applyBorder="1" applyAlignment="1">
      <alignment horizontal="center" vertical="center"/>
    </xf>
    <xf numFmtId="0" fontId="142" fillId="3" borderId="1" xfId="0" applyFont="1" applyFill="1" applyBorder="1" applyAlignment="1">
      <alignment horizontal="center" vertical="center"/>
    </xf>
    <xf numFmtId="0" fontId="142" fillId="3" borderId="83" xfId="0" applyFont="1" applyFill="1" applyBorder="1" applyAlignment="1" applyProtection="1">
      <alignment horizontal="center" vertical="center"/>
      <protection locked="0"/>
    </xf>
    <xf numFmtId="0" fontId="142" fillId="3" borderId="11" xfId="0" applyFont="1" applyFill="1" applyBorder="1" applyAlignment="1">
      <alignment horizontal="center" vertical="center"/>
    </xf>
    <xf numFmtId="0" fontId="142" fillId="57" borderId="9" xfId="0" applyFont="1" applyFill="1" applyBorder="1" applyAlignment="1">
      <alignment horizontal="center" vertical="center" wrapText="1"/>
    </xf>
    <xf numFmtId="168" fontId="142" fillId="57" borderId="9" xfId="0" applyNumberFormat="1" applyFont="1" applyFill="1" applyBorder="1" applyAlignment="1">
      <alignment horizontal="center" vertical="center" wrapText="1"/>
    </xf>
    <xf numFmtId="2" fontId="142" fillId="57" borderId="9" xfId="0" applyNumberFormat="1" applyFont="1" applyFill="1" applyBorder="1" applyAlignment="1">
      <alignment horizontal="center" vertical="center" wrapText="1"/>
    </xf>
    <xf numFmtId="0" fontId="142" fillId="57" borderId="42" xfId="0" applyFont="1" applyFill="1" applyBorder="1" applyAlignment="1">
      <alignment horizontal="center" vertical="center" wrapText="1"/>
    </xf>
    <xf numFmtId="0" fontId="143" fillId="3" borderId="1" xfId="0" applyFont="1" applyFill="1" applyBorder="1" applyAlignment="1">
      <alignment horizontal="center" vertical="center"/>
    </xf>
    <xf numFmtId="16" fontId="143" fillId="3" borderId="1" xfId="0" quotePrefix="1" applyNumberFormat="1" applyFont="1" applyFill="1" applyBorder="1" applyAlignment="1">
      <alignment horizontal="center" vertical="center"/>
    </xf>
    <xf numFmtId="14" fontId="143" fillId="3" borderId="1" xfId="0" applyNumberFormat="1" applyFont="1" applyFill="1" applyBorder="1" applyAlignment="1">
      <alignment horizontal="center" vertical="center"/>
    </xf>
    <xf numFmtId="1" fontId="143" fillId="3" borderId="1" xfId="0" applyNumberFormat="1" applyFont="1" applyFill="1" applyBorder="1" applyAlignment="1">
      <alignment horizontal="center" vertical="center"/>
    </xf>
    <xf numFmtId="0" fontId="143" fillId="3" borderId="1" xfId="0" quotePrefix="1" applyFont="1" applyFill="1" applyBorder="1" applyAlignment="1">
      <alignment horizontal="center" vertical="center"/>
    </xf>
    <xf numFmtId="14" fontId="143" fillId="3" borderId="1" xfId="0" applyNumberFormat="1" applyFont="1" applyFill="1" applyBorder="1" applyAlignment="1">
      <alignment horizontal="center" vertical="center" wrapText="1"/>
    </xf>
    <xf numFmtId="0" fontId="137" fillId="3" borderId="45" xfId="0" applyFont="1" applyFill="1" applyBorder="1" applyAlignment="1">
      <alignment horizontal="left" vertical="center" wrapText="1"/>
    </xf>
    <xf numFmtId="0" fontId="137" fillId="3" borderId="111" xfId="0" applyFont="1" applyFill="1" applyBorder="1" applyAlignment="1">
      <alignment horizontal="left" vertical="center" wrapText="1"/>
    </xf>
    <xf numFmtId="0" fontId="0" fillId="3" borderId="7" xfId="0" applyFont="1" applyFill="1" applyBorder="1" applyAlignment="1">
      <alignment horizontal="center" vertical="center" wrapText="1"/>
    </xf>
    <xf numFmtId="0" fontId="137" fillId="3" borderId="110" xfId="0" applyFont="1" applyFill="1" applyBorder="1" applyAlignment="1">
      <alignment horizontal="left" vertical="center" wrapText="1"/>
    </xf>
    <xf numFmtId="0" fontId="87" fillId="3" borderId="10" xfId="0" applyFont="1" applyFill="1" applyBorder="1" applyAlignment="1">
      <alignment horizontal="center" vertical="center"/>
    </xf>
    <xf numFmtId="0" fontId="142" fillId="3" borderId="10" xfId="0" applyFont="1" applyFill="1" applyBorder="1" applyAlignment="1">
      <alignment horizontal="center" vertical="center" wrapText="1"/>
    </xf>
    <xf numFmtId="0" fontId="142" fillId="3" borderId="10" xfId="0" applyNumberFormat="1" applyFont="1" applyFill="1" applyBorder="1" applyAlignment="1">
      <alignment horizontal="center" vertical="center" wrapText="1"/>
    </xf>
    <xf numFmtId="0" fontId="142" fillId="57" borderId="8" xfId="0" applyFont="1" applyFill="1" applyBorder="1" applyAlignment="1">
      <alignment horizontal="center" vertical="center" wrapText="1"/>
    </xf>
    <xf numFmtId="0" fontId="87" fillId="3" borderId="8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94" fillId="3" borderId="0" xfId="0" applyFont="1" applyFill="1" applyBorder="1" applyAlignment="1">
      <alignment horizontal="center" vertical="center" wrapText="1"/>
    </xf>
    <xf numFmtId="14" fontId="133" fillId="57" borderId="1" xfId="0" applyNumberFormat="1" applyFont="1" applyFill="1" applyBorder="1" applyAlignment="1">
      <alignment horizontal="center" vertical="center"/>
    </xf>
    <xf numFmtId="168" fontId="147" fillId="75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75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7" fillId="64" borderId="12" xfId="0" applyFont="1" applyFill="1" applyBorder="1" applyAlignment="1">
      <alignment horizontal="center" vertical="center" wrapText="1"/>
    </xf>
    <xf numFmtId="210" fontId="101" fillId="0" borderId="11" xfId="0" applyNumberFormat="1" applyFont="1" applyBorder="1" applyAlignment="1">
      <alignment horizontal="right" vertical="center"/>
    </xf>
    <xf numFmtId="43" fontId="96" fillId="0" borderId="11" xfId="0" applyNumberFormat="1" applyFont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174" fillId="3" borderId="1" xfId="0" applyFont="1" applyFill="1" applyBorder="1" applyAlignment="1">
      <alignment horizontal="center" vertical="center"/>
    </xf>
    <xf numFmtId="0" fontId="174" fillId="3" borderId="1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8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7" fillId="0" borderId="0" xfId="0" applyFont="1"/>
    <xf numFmtId="0" fontId="104" fillId="0" borderId="11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143" fillId="0" borderId="116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63" fillId="0" borderId="0" xfId="0" applyFont="1" applyBorder="1" applyAlignment="1">
      <alignment horizontal="center" vertical="center" wrapText="1"/>
    </xf>
    <xf numFmtId="169" fontId="163" fillId="0" borderId="0" xfId="0" applyNumberFormat="1" applyFont="1" applyBorder="1" applyAlignment="1">
      <alignment horizontal="center" vertical="center" wrapText="1"/>
    </xf>
    <xf numFmtId="0" fontId="122" fillId="84" borderId="106" xfId="0" applyFont="1" applyFill="1" applyBorder="1" applyAlignment="1">
      <alignment horizontal="center" vertical="center" wrapText="1"/>
    </xf>
    <xf numFmtId="0" fontId="122" fillId="84" borderId="107" xfId="0" applyFont="1" applyFill="1" applyBorder="1" applyAlignment="1">
      <alignment horizontal="center" vertical="center" wrapText="1"/>
    </xf>
    <xf numFmtId="0" fontId="94" fillId="0" borderId="11" xfId="0" applyFont="1" applyBorder="1" applyAlignment="1">
      <alignment horizontal="center" vertical="center"/>
    </xf>
    <xf numFmtId="0" fontId="104" fillId="0" borderId="11" xfId="0" applyFont="1" applyBorder="1" applyAlignment="1">
      <alignment horizontal="center" vertical="center" wrapText="1"/>
    </xf>
    <xf numFmtId="0" fontId="94" fillId="0" borderId="1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7" fillId="0" borderId="11" xfId="0" applyFont="1" applyBorder="1" applyAlignment="1">
      <alignment horizontal="center" vertical="center"/>
    </xf>
    <xf numFmtId="0" fontId="87" fillId="0" borderId="1" xfId="0" applyFont="1" applyBorder="1" applyAlignment="1">
      <alignment horizontal="center" vertical="center"/>
    </xf>
    <xf numFmtId="0" fontId="87" fillId="0" borderId="9" xfId="0" applyFont="1" applyBorder="1" applyAlignment="1">
      <alignment horizontal="center" vertical="center"/>
    </xf>
    <xf numFmtId="0" fontId="87" fillId="0" borderId="42" xfId="0" applyFont="1" applyBorder="1" applyAlignment="1">
      <alignment horizontal="center" vertical="center"/>
    </xf>
    <xf numFmtId="0" fontId="167" fillId="0" borderId="11" xfId="0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0" fontId="94" fillId="0" borderId="1" xfId="0" applyFont="1" applyBorder="1" applyAlignment="1">
      <alignment horizontal="center" vertical="center" wrapText="1"/>
    </xf>
    <xf numFmtId="0" fontId="87" fillId="85" borderId="52" xfId="0" applyFont="1" applyFill="1" applyBorder="1" applyAlignment="1">
      <alignment horizontal="center" vertical="center"/>
    </xf>
    <xf numFmtId="0" fontId="87" fillId="85" borderId="25" xfId="0" applyFont="1" applyFill="1" applyBorder="1" applyAlignment="1">
      <alignment horizontal="center" vertical="center" wrapText="1"/>
    </xf>
    <xf numFmtId="0" fontId="87" fillId="85" borderId="56" xfId="0" applyFont="1" applyFill="1" applyBorder="1" applyAlignment="1">
      <alignment horizontal="center" vertical="center"/>
    </xf>
    <xf numFmtId="0" fontId="87" fillId="85" borderId="41" xfId="0" applyFont="1" applyFill="1" applyBorder="1" applyAlignment="1">
      <alignment horizontal="center" vertical="center"/>
    </xf>
    <xf numFmtId="0" fontId="87" fillId="85" borderId="11" xfId="0" applyFont="1" applyFill="1" applyBorder="1" applyAlignment="1">
      <alignment horizontal="center" vertical="center"/>
    </xf>
    <xf numFmtId="0" fontId="87" fillId="85" borderId="42" xfId="0" applyFont="1" applyFill="1" applyBorder="1" applyAlignment="1">
      <alignment horizontal="center" vertical="center"/>
    </xf>
    <xf numFmtId="14" fontId="137" fillId="85" borderId="2" xfId="0" applyNumberFormat="1" applyFont="1" applyFill="1" applyBorder="1" applyAlignment="1">
      <alignment horizontal="center" vertical="center"/>
    </xf>
    <xf numFmtId="14" fontId="137" fillId="85" borderId="93" xfId="0" applyNumberFormat="1" applyFont="1" applyFill="1" applyBorder="1" applyAlignment="1">
      <alignment horizontal="center" vertical="center"/>
    </xf>
    <xf numFmtId="14" fontId="137" fillId="85" borderId="117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42" fillId="86" borderId="58" xfId="0" applyFont="1" applyFill="1" applyBorder="1" applyAlignment="1">
      <alignment horizontal="center" vertical="center"/>
    </xf>
    <xf numFmtId="0" fontId="142" fillId="86" borderId="59" xfId="0" applyFont="1" applyFill="1" applyBorder="1" applyAlignment="1">
      <alignment horizontal="center" vertical="center"/>
    </xf>
    <xf numFmtId="0" fontId="142" fillId="86" borderId="112" xfId="0" applyFont="1" applyFill="1" applyBorder="1" applyAlignment="1">
      <alignment horizontal="center" vertical="center"/>
    </xf>
    <xf numFmtId="0" fontId="142" fillId="86" borderId="113" xfId="0" applyFont="1" applyFill="1" applyBorder="1" applyAlignment="1">
      <alignment horizontal="center" vertical="center"/>
    </xf>
    <xf numFmtId="0" fontId="142" fillId="86" borderId="60" xfId="0" applyFont="1" applyFill="1" applyBorder="1" applyAlignment="1">
      <alignment horizontal="center" vertical="center"/>
    </xf>
    <xf numFmtId="0" fontId="167" fillId="57" borderId="1" xfId="0" applyFont="1" applyFill="1" applyBorder="1" applyAlignment="1">
      <alignment horizontal="center" vertical="center"/>
    </xf>
    <xf numFmtId="0" fontId="186" fillId="57" borderId="1" xfId="0" applyFont="1" applyFill="1" applyBorder="1" applyAlignment="1">
      <alignment horizontal="center" vertical="center" wrapText="1"/>
    </xf>
    <xf numFmtId="0" fontId="87" fillId="0" borderId="7" xfId="0" applyFont="1" applyBorder="1" applyAlignment="1">
      <alignment horizontal="center" vertical="center"/>
    </xf>
    <xf numFmtId="0" fontId="87" fillId="0" borderId="10" xfId="0" applyFont="1" applyBorder="1" applyAlignment="1">
      <alignment horizontal="center" vertical="center" wrapText="1"/>
    </xf>
    <xf numFmtId="0" fontId="87" fillId="0" borderId="8" xfId="0" applyFont="1" applyBorder="1" applyAlignment="1">
      <alignment horizontal="center" vertical="center"/>
    </xf>
    <xf numFmtId="14" fontId="137" fillId="0" borderId="90" xfId="0" applyNumberFormat="1" applyFont="1" applyBorder="1" applyAlignment="1">
      <alignment horizontal="center" vertical="center"/>
    </xf>
    <xf numFmtId="0" fontId="186" fillId="87" borderId="1" xfId="0" applyFont="1" applyFill="1" applyBorder="1" applyAlignment="1">
      <alignment horizontal="center" vertical="center"/>
    </xf>
    <xf numFmtId="0" fontId="143" fillId="3" borderId="116" xfId="0" applyFont="1" applyFill="1" applyBorder="1" applyAlignment="1">
      <alignment horizontal="center" vertical="center"/>
    </xf>
    <xf numFmtId="0" fontId="94" fillId="3" borderId="11" xfId="0" applyFont="1" applyFill="1" applyBorder="1" applyAlignment="1">
      <alignment horizontal="center" vertical="center" wrapText="1"/>
    </xf>
    <xf numFmtId="0" fontId="0" fillId="3" borderId="42" xfId="0" applyFill="1" applyBorder="1" applyAlignment="1">
      <alignment horizontal="center" vertical="center"/>
    </xf>
    <xf numFmtId="14" fontId="137" fillId="0" borderId="118" xfId="0" applyNumberFormat="1" applyFont="1" applyBorder="1" applyAlignment="1">
      <alignment horizontal="center" vertical="center"/>
    </xf>
    <xf numFmtId="0" fontId="167" fillId="87" borderId="1" xfId="0" applyFont="1" applyFill="1" applyBorder="1" applyAlignment="1">
      <alignment horizontal="center" vertical="center"/>
    </xf>
    <xf numFmtId="0" fontId="167" fillId="87" borderId="9" xfId="0" applyFont="1" applyFill="1" applyBorder="1" applyAlignment="1">
      <alignment horizontal="center" vertical="center"/>
    </xf>
    <xf numFmtId="0" fontId="167" fillId="57" borderId="11" xfId="0" applyFont="1" applyFill="1" applyBorder="1" applyAlignment="1">
      <alignment horizontal="center" vertical="center"/>
    </xf>
    <xf numFmtId="0" fontId="167" fillId="57" borderId="42" xfId="0" applyFont="1" applyFill="1" applyBorder="1" applyAlignment="1">
      <alignment horizontal="center" vertical="center"/>
    </xf>
    <xf numFmtId="0" fontId="143" fillId="3" borderId="1" xfId="0" applyFont="1" applyFill="1" applyBorder="1" applyAlignment="1">
      <alignment horizontal="center" vertical="center" wrapText="1"/>
    </xf>
    <xf numFmtId="0" fontId="143" fillId="0" borderId="1" xfId="0" applyFont="1" applyBorder="1" applyAlignment="1">
      <alignment horizontal="center" vertical="center" wrapText="1"/>
    </xf>
    <xf numFmtId="0" fontId="143" fillId="0" borderId="1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33" fillId="57" borderId="1" xfId="0" applyFont="1" applyFill="1" applyBorder="1" applyAlignment="1">
      <alignment horizontal="center" vertical="center"/>
    </xf>
    <xf numFmtId="0" fontId="142" fillId="71" borderId="58" xfId="0" applyFont="1" applyFill="1" applyBorder="1" applyAlignment="1">
      <alignment horizontal="center" vertical="center" wrapText="1"/>
    </xf>
    <xf numFmtId="0" fontId="142" fillId="71" borderId="59" xfId="0" applyFont="1" applyFill="1" applyBorder="1" applyAlignment="1">
      <alignment horizontal="center" vertical="center" wrapText="1"/>
    </xf>
    <xf numFmtId="14" fontId="142" fillId="71" borderId="59" xfId="0" applyNumberFormat="1" applyFont="1" applyFill="1" applyBorder="1" applyAlignment="1">
      <alignment horizontal="center" vertical="center" wrapText="1"/>
    </xf>
    <xf numFmtId="0" fontId="142" fillId="71" borderId="60" xfId="0" applyFont="1" applyFill="1" applyBorder="1" applyAlignment="1">
      <alignment horizontal="center" vertical="center" wrapText="1"/>
    </xf>
    <xf numFmtId="0" fontId="182" fillId="0" borderId="0" xfId="0" applyFont="1"/>
    <xf numFmtId="0" fontId="133" fillId="3" borderId="0" xfId="0" applyFont="1" applyFill="1" applyAlignment="1">
      <alignment horizontal="center" vertical="center" wrapText="1"/>
    </xf>
    <xf numFmtId="0" fontId="129" fillId="71" borderId="1" xfId="0" applyFont="1" applyFill="1" applyBorder="1" applyAlignment="1">
      <alignment horizontal="center" vertical="center"/>
    </xf>
    <xf numFmtId="0" fontId="129" fillId="71" borderId="1" xfId="0" applyFont="1" applyFill="1" applyBorder="1" applyAlignment="1">
      <alignment horizontal="center" vertical="center" wrapText="1"/>
    </xf>
    <xf numFmtId="0" fontId="189" fillId="71" borderId="1" xfId="0" applyFont="1" applyFill="1" applyBorder="1" applyAlignment="1">
      <alignment horizontal="center" vertical="center"/>
    </xf>
    <xf numFmtId="0" fontId="126" fillId="84" borderId="1" xfId="0" applyFont="1" applyFill="1" applyBorder="1" applyAlignment="1">
      <alignment horizontal="center" vertical="center" wrapText="1"/>
    </xf>
    <xf numFmtId="0" fontId="163" fillId="0" borderId="0" xfId="0" applyFont="1" applyAlignment="1">
      <alignment horizontal="center" vertical="center"/>
    </xf>
    <xf numFmtId="0" fontId="126" fillId="0" borderId="81" xfId="0" applyFont="1" applyBorder="1" applyAlignment="1">
      <alignment horizontal="center" vertical="center" wrapText="1"/>
    </xf>
    <xf numFmtId="1" fontId="126" fillId="0" borderId="81" xfId="0" applyNumberFormat="1" applyFont="1" applyBorder="1" applyAlignment="1">
      <alignment horizontal="center" vertical="center" wrapText="1"/>
    </xf>
    <xf numFmtId="0" fontId="126" fillId="66" borderId="81" xfId="0" applyFont="1" applyFill="1" applyBorder="1" applyAlignment="1">
      <alignment horizontal="center" vertical="center" wrapText="1"/>
    </xf>
    <xf numFmtId="0" fontId="126" fillId="0" borderId="81" xfId="0" applyFont="1" applyBorder="1" applyAlignment="1">
      <alignment horizontal="left" vertical="center" wrapText="1"/>
    </xf>
    <xf numFmtId="0" fontId="126" fillId="0" borderId="0" xfId="0" applyFont="1" applyAlignment="1">
      <alignment horizontal="center" vertical="center"/>
    </xf>
    <xf numFmtId="0" fontId="191" fillId="0" borderId="0" xfId="0" applyFont="1" applyAlignment="1">
      <alignment horizontal="center" vertical="center"/>
    </xf>
    <xf numFmtId="169" fontId="126" fillId="0" borderId="81" xfId="0" applyNumberFormat="1" applyFont="1" applyBorder="1" applyAlignment="1">
      <alignment horizontal="center" vertical="center" wrapText="1"/>
    </xf>
    <xf numFmtId="0" fontId="141" fillId="0" borderId="96" xfId="0" applyFont="1" applyBorder="1" applyAlignment="1">
      <alignment horizontal="center" vertical="center" wrapText="1"/>
    </xf>
    <xf numFmtId="2" fontId="141" fillId="0" borderId="96" xfId="0" applyNumberFormat="1" applyFont="1" applyBorder="1" applyAlignment="1">
      <alignment horizontal="center" vertical="center" wrapText="1"/>
    </xf>
    <xf numFmtId="2" fontId="141" fillId="3" borderId="96" xfId="0" applyNumberFormat="1" applyFont="1" applyFill="1" applyBorder="1" applyAlignment="1">
      <alignment horizontal="center" vertical="center" wrapText="1"/>
    </xf>
    <xf numFmtId="2" fontId="141" fillId="65" borderId="96" xfId="0" applyNumberFormat="1" applyFont="1" applyFill="1" applyBorder="1" applyAlignment="1">
      <alignment horizontal="center" vertical="center" wrapText="1"/>
    </xf>
    <xf numFmtId="169" fontId="193" fillId="0" borderId="0" xfId="0" applyNumberFormat="1" applyFont="1"/>
    <xf numFmtId="0" fontId="193" fillId="0" borderId="0" xfId="0" applyFont="1"/>
    <xf numFmtId="2" fontId="141" fillId="0" borderId="81" xfId="0" applyNumberFormat="1" applyFont="1" applyBorder="1" applyAlignment="1">
      <alignment horizontal="center" vertical="center" wrapText="1"/>
    </xf>
    <xf numFmtId="2" fontId="141" fillId="65" borderId="81" xfId="0" applyNumberFormat="1" applyFont="1" applyFill="1" applyBorder="1" applyAlignment="1">
      <alignment horizontal="center" vertical="center" wrapText="1"/>
    </xf>
    <xf numFmtId="0" fontId="117" fillId="64" borderId="52" xfId="0" applyFont="1" applyFill="1" applyBorder="1" applyAlignment="1">
      <alignment horizontal="center" vertical="center" wrapText="1"/>
    </xf>
    <xf numFmtId="0" fontId="117" fillId="64" borderId="25" xfId="0" applyFont="1" applyFill="1" applyBorder="1" applyAlignment="1">
      <alignment horizontal="center" vertical="center" wrapText="1"/>
    </xf>
    <xf numFmtId="0" fontId="117" fillId="64" borderId="56" xfId="0" applyFont="1" applyFill="1" applyBorder="1" applyAlignment="1">
      <alignment vertical="center" wrapText="1"/>
    </xf>
    <xf numFmtId="0" fontId="94" fillId="3" borderId="1" xfId="0" applyFont="1" applyFill="1" applyBorder="1" applyAlignment="1">
      <alignment vertical="center" wrapText="1"/>
    </xf>
    <xf numFmtId="14" fontId="94" fillId="3" borderId="1" xfId="0" applyNumberFormat="1" applyFont="1" applyFill="1" applyBorder="1" applyAlignment="1">
      <alignment vertical="center" wrapText="1"/>
    </xf>
    <xf numFmtId="0" fontId="163" fillId="84" borderId="46" xfId="0" applyFont="1" applyFill="1" applyBorder="1" applyAlignment="1">
      <alignment horizontal="center" vertical="center" wrapText="1"/>
    </xf>
    <xf numFmtId="0" fontId="163" fillId="84" borderId="43" xfId="0" applyFont="1" applyFill="1" applyBorder="1" applyAlignment="1">
      <alignment horizontal="center" vertical="center" wrapText="1"/>
    </xf>
    <xf numFmtId="0" fontId="129" fillId="83" borderId="7" xfId="0" applyFont="1" applyFill="1" applyBorder="1" applyAlignment="1">
      <alignment horizontal="center" vertical="center"/>
    </xf>
    <xf numFmtId="0" fontId="129" fillId="83" borderId="10" xfId="0" applyFont="1" applyFill="1" applyBorder="1" applyAlignment="1">
      <alignment horizontal="center" vertical="center" wrapText="1"/>
    </xf>
    <xf numFmtId="0" fontId="189" fillId="83" borderId="10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82" fillId="71" borderId="1" xfId="0" applyFont="1" applyFill="1" applyBorder="1" applyAlignment="1">
      <alignment horizontal="center" vertical="center"/>
    </xf>
    <xf numFmtId="0" fontId="177" fillId="0" borderId="0" xfId="0" applyFont="1" applyAlignment="1">
      <alignment horizontal="left" vertical="center"/>
    </xf>
    <xf numFmtId="0" fontId="137" fillId="82" borderId="1" xfId="0" applyFont="1" applyFill="1" applyBorder="1" applyAlignment="1">
      <alignment horizontal="center" vertical="center"/>
    </xf>
    <xf numFmtId="2" fontId="126" fillId="0" borderId="81" xfId="0" applyNumberFormat="1" applyFont="1" applyBorder="1" applyAlignment="1">
      <alignment horizontal="center" vertical="center" wrapText="1"/>
    </xf>
    <xf numFmtId="0" fontId="177" fillId="0" borderId="1" xfId="0" applyFont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176" fillId="0" borderId="0" xfId="0" applyFont="1" applyAlignment="1">
      <alignment vertical="top"/>
    </xf>
    <xf numFmtId="0" fontId="0" fillId="0" borderId="49" xfId="0" applyBorder="1" applyAlignment="1">
      <alignment horizontal="center" vertical="center" wrapText="1"/>
    </xf>
    <xf numFmtId="0" fontId="142" fillId="86" borderId="58" xfId="0" applyFont="1" applyFill="1" applyBorder="1" applyAlignment="1">
      <alignment horizontal="center" vertical="center"/>
    </xf>
    <xf numFmtId="0" fontId="142" fillId="86" borderId="59" xfId="0" applyFont="1" applyFill="1" applyBorder="1" applyAlignment="1">
      <alignment horizontal="center" vertical="center"/>
    </xf>
    <xf numFmtId="0" fontId="142" fillId="86" borderId="60" xfId="0" applyFont="1" applyFill="1" applyBorder="1" applyAlignment="1">
      <alignment horizontal="center" vertical="center"/>
    </xf>
    <xf numFmtId="0" fontId="167" fillId="57" borderId="1" xfId="0" applyFont="1" applyFill="1" applyBorder="1" applyAlignment="1">
      <alignment horizontal="center" vertical="center" wrapText="1"/>
    </xf>
    <xf numFmtId="0" fontId="87" fillId="85" borderId="7" xfId="0" applyFont="1" applyFill="1" applyBorder="1" applyAlignment="1">
      <alignment horizontal="center" vertical="center" wrapText="1"/>
    </xf>
    <xf numFmtId="0" fontId="87" fillId="85" borderId="10" xfId="0" applyFont="1" applyFill="1" applyBorder="1" applyAlignment="1">
      <alignment horizontal="center" vertical="center" wrapText="1"/>
    </xf>
    <xf numFmtId="0" fontId="87" fillId="85" borderId="8" xfId="0" applyFont="1" applyFill="1" applyBorder="1" applyAlignment="1">
      <alignment horizontal="center" vertical="center" wrapText="1"/>
    </xf>
    <xf numFmtId="0" fontId="167" fillId="57" borderId="90" xfId="0" applyFont="1" applyFill="1" applyBorder="1" applyAlignment="1">
      <alignment horizontal="center" vertical="center" wrapText="1"/>
    </xf>
    <xf numFmtId="0" fontId="167" fillId="57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87" fillId="85" borderId="6" xfId="0" applyFont="1" applyFill="1" applyBorder="1" applyAlignment="1">
      <alignment horizontal="center" vertical="center" wrapText="1"/>
    </xf>
    <xf numFmtId="0" fontId="87" fillId="85" borderId="1" xfId="0" applyFont="1" applyFill="1" applyBorder="1" applyAlignment="1">
      <alignment horizontal="center" vertical="center" wrapText="1"/>
    </xf>
    <xf numFmtId="0" fontId="87" fillId="85" borderId="9" xfId="0" applyFont="1" applyFill="1" applyBorder="1" applyAlignment="1">
      <alignment horizontal="center" vertical="center" wrapText="1"/>
    </xf>
    <xf numFmtId="0" fontId="167" fillId="57" borderId="49" xfId="0" applyFont="1" applyFill="1" applyBorder="1" applyAlignment="1">
      <alignment horizontal="center" vertical="center" wrapText="1"/>
    </xf>
    <xf numFmtId="0" fontId="143" fillId="0" borderId="49" xfId="0" applyFont="1" applyBorder="1" applyAlignment="1">
      <alignment horizontal="center" vertical="center" wrapText="1"/>
    </xf>
    <xf numFmtId="0" fontId="186" fillId="87" borderId="1" xfId="0" applyFont="1" applyFill="1" applyBorder="1" applyAlignment="1">
      <alignment horizontal="center" vertical="center" wrapText="1"/>
    </xf>
    <xf numFmtId="0" fontId="167" fillId="57" borderId="8" xfId="0" applyFont="1" applyFill="1" applyBorder="1" applyAlignment="1">
      <alignment horizontal="center" vertical="center" wrapText="1"/>
    </xf>
    <xf numFmtId="0" fontId="167" fillId="57" borderId="9" xfId="0" applyFont="1" applyFill="1" applyBorder="1" applyAlignment="1">
      <alignment horizontal="center" vertical="center" wrapText="1"/>
    </xf>
    <xf numFmtId="0" fontId="186" fillId="87" borderId="9" xfId="0" applyFont="1" applyFill="1" applyBorder="1" applyAlignment="1">
      <alignment horizontal="center" vertical="center" wrapText="1"/>
    </xf>
    <xf numFmtId="0" fontId="143" fillId="0" borderId="9" xfId="0" applyFont="1" applyBorder="1" applyAlignment="1">
      <alignment horizontal="center" vertical="center" wrapText="1"/>
    </xf>
    <xf numFmtId="0" fontId="183" fillId="0" borderId="0" xfId="0" applyFont="1"/>
    <xf numFmtId="0" fontId="167" fillId="3" borderId="1" xfId="0" applyFont="1" applyFill="1" applyBorder="1" applyAlignment="1">
      <alignment horizontal="center" vertical="center" wrapText="1"/>
    </xf>
    <xf numFmtId="0" fontId="94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37" fillId="88" borderId="2" xfId="0" applyNumberFormat="1" applyFont="1" applyFill="1" applyBorder="1" applyAlignment="1">
      <alignment horizontal="center" vertical="center"/>
    </xf>
    <xf numFmtId="0" fontId="87" fillId="88" borderId="12" xfId="0" applyFont="1" applyFill="1" applyBorder="1" applyAlignment="1">
      <alignment horizontal="center" vertical="center"/>
    </xf>
    <xf numFmtId="0" fontId="87" fillId="85" borderId="54" xfId="0" applyFont="1" applyFill="1" applyBorder="1" applyAlignment="1">
      <alignment horizontal="center" vertical="center" wrapText="1"/>
    </xf>
    <xf numFmtId="0" fontId="87" fillId="85" borderId="91" xfId="0" applyFont="1" applyFill="1" applyBorder="1" applyAlignment="1">
      <alignment horizontal="center" vertical="center" wrapText="1"/>
    </xf>
    <xf numFmtId="0" fontId="87" fillId="84" borderId="91" xfId="0" applyFont="1" applyFill="1" applyBorder="1" applyAlignment="1">
      <alignment horizontal="center" vertical="center" wrapText="1"/>
    </xf>
    <xf numFmtId="0" fontId="87" fillId="77" borderId="91" xfId="0" applyFont="1" applyFill="1" applyBorder="1" applyAlignment="1">
      <alignment horizontal="center" vertical="center" wrapText="1"/>
    </xf>
    <xf numFmtId="0" fontId="87" fillId="77" borderId="119" xfId="0" applyFont="1" applyFill="1" applyBorder="1" applyAlignment="1">
      <alignment horizontal="center" vertical="center"/>
    </xf>
    <xf numFmtId="0" fontId="87" fillId="88" borderId="13" xfId="0" applyFont="1" applyFill="1" applyBorder="1" applyAlignment="1">
      <alignment horizontal="center" vertical="center"/>
    </xf>
    <xf numFmtId="0" fontId="87" fillId="88" borderId="120" xfId="0" applyFont="1" applyFill="1" applyBorder="1" applyAlignment="1">
      <alignment horizontal="center" vertical="center" wrapText="1"/>
    </xf>
    <xf numFmtId="0" fontId="87" fillId="85" borderId="64" xfId="0" applyFont="1" applyFill="1" applyBorder="1" applyAlignment="1">
      <alignment horizontal="center" vertical="center" wrapText="1"/>
    </xf>
    <xf numFmtId="0" fontId="87" fillId="85" borderId="65" xfId="0" applyFont="1" applyFill="1" applyBorder="1" applyAlignment="1">
      <alignment horizontal="center" vertical="center" wrapText="1"/>
    </xf>
    <xf numFmtId="0" fontId="87" fillId="84" borderId="65" xfId="0" applyFont="1" applyFill="1" applyBorder="1" applyAlignment="1">
      <alignment horizontal="center" vertical="center" wrapText="1"/>
    </xf>
    <xf numFmtId="0" fontId="87" fillId="77" borderId="65" xfId="0" applyFont="1" applyFill="1" applyBorder="1" applyAlignment="1">
      <alignment horizontal="center" vertical="center" wrapText="1"/>
    </xf>
    <xf numFmtId="0" fontId="137" fillId="77" borderId="121" xfId="0" applyFont="1" applyFill="1" applyBorder="1" applyAlignment="1">
      <alignment horizontal="center" vertical="center"/>
    </xf>
    <xf numFmtId="0" fontId="197" fillId="0" borderId="81" xfId="0" applyFont="1" applyBorder="1" applyAlignment="1">
      <alignment horizontal="center" vertical="center" wrapText="1"/>
    </xf>
    <xf numFmtId="0" fontId="129" fillId="68" borderId="6" xfId="0" applyFont="1" applyFill="1" applyBorder="1" applyAlignment="1">
      <alignment horizontal="center" vertical="center"/>
    </xf>
    <xf numFmtId="0" fontId="129" fillId="68" borderId="41" xfId="0" applyFont="1" applyFill="1" applyBorder="1" applyAlignment="1">
      <alignment horizontal="center" vertical="center"/>
    </xf>
    <xf numFmtId="0" fontId="87" fillId="85" borderId="53" xfId="0" applyFont="1" applyFill="1" applyBorder="1" applyAlignment="1">
      <alignment horizontal="center" vertical="center" wrapText="1"/>
    </xf>
    <xf numFmtId="0" fontId="87" fillId="85" borderId="31" xfId="0" applyFont="1" applyFill="1" applyBorder="1" applyAlignment="1">
      <alignment horizontal="center" vertical="center" wrapText="1"/>
    </xf>
    <xf numFmtId="0" fontId="87" fillId="84" borderId="31" xfId="0" applyFont="1" applyFill="1" applyBorder="1" applyAlignment="1">
      <alignment horizontal="center" vertical="center" wrapText="1"/>
    </xf>
    <xf numFmtId="0" fontId="87" fillId="77" borderId="31" xfId="0" applyFont="1" applyFill="1" applyBorder="1" applyAlignment="1">
      <alignment horizontal="center" vertical="center" wrapText="1"/>
    </xf>
    <xf numFmtId="0" fontId="87" fillId="77" borderId="122" xfId="0" applyFont="1" applyFill="1" applyBorder="1" applyAlignment="1">
      <alignment horizontal="center" vertical="center"/>
    </xf>
    <xf numFmtId="0" fontId="186" fillId="3" borderId="1" xfId="0" applyFont="1" applyFill="1" applyBorder="1" applyAlignment="1">
      <alignment horizontal="center" vertical="center" wrapText="1"/>
    </xf>
    <xf numFmtId="0" fontId="114" fillId="57" borderId="1" xfId="0" applyFont="1" applyFill="1" applyBorder="1" applyAlignment="1">
      <alignment horizontal="center" vertical="center"/>
    </xf>
    <xf numFmtId="0" fontId="167" fillId="3" borderId="1" xfId="0" applyFont="1" applyFill="1" applyBorder="1" applyAlignment="1">
      <alignment horizontal="center" vertical="center"/>
    </xf>
    <xf numFmtId="0" fontId="189" fillId="68" borderId="1" xfId="0" applyFont="1" applyFill="1" applyBorder="1" applyAlignment="1">
      <alignment horizontal="center" vertical="center"/>
    </xf>
    <xf numFmtId="0" fontId="189" fillId="68" borderId="11" xfId="0" applyFont="1" applyFill="1" applyBorder="1" applyAlignment="1">
      <alignment horizontal="center" vertical="center"/>
    </xf>
    <xf numFmtId="0" fontId="129" fillId="68" borderId="1" xfId="0" applyFont="1" applyFill="1" applyBorder="1" applyAlignment="1">
      <alignment horizontal="center" vertical="center" wrapText="1"/>
    </xf>
    <xf numFmtId="0" fontId="129" fillId="68" borderId="1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68" fontId="164" fillId="3" borderId="1" xfId="0" applyNumberFormat="1" applyFont="1" applyFill="1" applyBorder="1" applyAlignment="1">
      <alignment horizontal="center" vertical="center" wrapText="1"/>
    </xf>
    <xf numFmtId="168" fontId="164" fillId="3" borderId="1" xfId="0" quotePrefix="1" applyNumberFormat="1" applyFont="1" applyFill="1" applyBorder="1" applyAlignment="1">
      <alignment horizontal="center" vertical="center" wrapText="1"/>
    </xf>
    <xf numFmtId="0" fontId="123" fillId="0" borderId="82" xfId="0" applyFont="1" applyBorder="1" applyAlignment="1">
      <alignment vertical="center" wrapText="1"/>
    </xf>
    <xf numFmtId="0" fontId="123" fillId="0" borderId="101" xfId="0" applyFont="1" applyBorder="1" applyAlignment="1">
      <alignment vertical="center" wrapText="1"/>
    </xf>
    <xf numFmtId="0" fontId="123" fillId="0" borderId="96" xfId="0" applyFont="1" applyBorder="1" applyAlignment="1">
      <alignment vertical="center" wrapText="1"/>
    </xf>
    <xf numFmtId="0" fontId="130" fillId="0" borderId="87" xfId="0" quotePrefix="1" applyFont="1" applyBorder="1" applyAlignment="1">
      <alignment horizontal="left" vertical="center" wrapText="1"/>
    </xf>
    <xf numFmtId="0" fontId="130" fillId="0" borderId="88" xfId="0" quotePrefix="1" applyFont="1" applyBorder="1" applyAlignment="1">
      <alignment horizontal="left" vertical="center" wrapText="1"/>
    </xf>
    <xf numFmtId="0" fontId="130" fillId="0" borderId="89" xfId="0" quotePrefix="1" applyFont="1" applyBorder="1" applyAlignment="1">
      <alignment horizontal="left" vertical="center" wrapText="1"/>
    </xf>
    <xf numFmtId="0" fontId="131" fillId="0" borderId="87" xfId="0" quotePrefix="1" applyFont="1" applyBorder="1" applyAlignment="1">
      <alignment horizontal="left" vertical="center" wrapText="1"/>
    </xf>
    <xf numFmtId="0" fontId="131" fillId="0" borderId="88" xfId="0" quotePrefix="1" applyFont="1" applyBorder="1" applyAlignment="1">
      <alignment horizontal="left" vertical="center" wrapText="1"/>
    </xf>
    <xf numFmtId="0" fontId="131" fillId="0" borderId="89" xfId="0" quotePrefix="1" applyFont="1" applyBorder="1" applyAlignment="1">
      <alignment horizontal="left" vertical="center" wrapText="1"/>
    </xf>
    <xf numFmtId="0" fontId="129" fillId="64" borderId="87" xfId="0" applyFont="1" applyFill="1" applyBorder="1" applyAlignment="1">
      <alignment horizontal="center" vertical="center" wrapText="1"/>
    </xf>
    <xf numFmtId="0" fontId="129" fillId="64" borderId="88" xfId="0" applyFont="1" applyFill="1" applyBorder="1" applyAlignment="1">
      <alignment horizontal="center" vertical="center" wrapText="1"/>
    </xf>
    <xf numFmtId="0" fontId="129" fillId="64" borderId="89" xfId="0" applyFont="1" applyFill="1" applyBorder="1" applyAlignment="1">
      <alignment horizontal="center" vertical="center" wrapText="1"/>
    </xf>
    <xf numFmtId="0" fontId="126" fillId="64" borderId="87" xfId="0" applyFont="1" applyFill="1" applyBorder="1" applyAlignment="1">
      <alignment horizontal="center" vertical="center"/>
    </xf>
    <xf numFmtId="0" fontId="126" fillId="64" borderId="88" xfId="0" applyFont="1" applyFill="1" applyBorder="1" applyAlignment="1">
      <alignment horizontal="center" vertical="center"/>
    </xf>
    <xf numFmtId="0" fontId="126" fillId="64" borderId="89" xfId="0" applyFont="1" applyFill="1" applyBorder="1" applyAlignment="1">
      <alignment horizontal="center" vertical="center"/>
    </xf>
    <xf numFmtId="0" fontId="122" fillId="64" borderId="105" xfId="0" applyFont="1" applyFill="1" applyBorder="1" applyAlignment="1">
      <alignment horizontal="center" vertical="center" wrapText="1"/>
    </xf>
    <xf numFmtId="0" fontId="122" fillId="64" borderId="17" xfId="0" applyFont="1" applyFill="1" applyBorder="1" applyAlignment="1">
      <alignment horizontal="center" vertical="center" wrapText="1"/>
    </xf>
    <xf numFmtId="0" fontId="129" fillId="64" borderId="21" xfId="0" applyFont="1" applyFill="1" applyBorder="1" applyAlignment="1">
      <alignment horizontal="center" vertical="center" wrapText="1"/>
    </xf>
    <xf numFmtId="0" fontId="129" fillId="64" borderId="22" xfId="0" applyFont="1" applyFill="1" applyBorder="1" applyAlignment="1">
      <alignment horizontal="center" vertical="center" wrapText="1"/>
    </xf>
    <xf numFmtId="0" fontId="129" fillId="64" borderId="23" xfId="0" applyFont="1" applyFill="1" applyBorder="1" applyAlignment="1">
      <alignment horizontal="center" vertical="center" wrapText="1"/>
    </xf>
    <xf numFmtId="0" fontId="193" fillId="0" borderId="95" xfId="0" applyFont="1" applyBorder="1" applyAlignment="1">
      <alignment horizontal="left" vertical="center" wrapText="1"/>
    </xf>
    <xf numFmtId="0" fontId="193" fillId="0" borderId="102" xfId="0" applyFont="1" applyBorder="1" applyAlignment="1">
      <alignment horizontal="left" vertical="center" wrapText="1"/>
    </xf>
    <xf numFmtId="0" fontId="193" fillId="0" borderId="87" xfId="0" applyFont="1" applyBorder="1" applyAlignment="1">
      <alignment horizontal="left" vertical="center" wrapText="1"/>
    </xf>
    <xf numFmtId="0" fontId="193" fillId="0" borderId="89" xfId="0" applyFont="1" applyBorder="1" applyAlignment="1">
      <alignment horizontal="left" vertical="center" wrapText="1"/>
    </xf>
    <xf numFmtId="0" fontId="0" fillId="3" borderId="1" xfId="0" applyFont="1" applyFill="1" applyBorder="1" applyAlignment="1">
      <alignment horizontal="left" vertical="center" wrapText="1"/>
    </xf>
    <xf numFmtId="0" fontId="0" fillId="3" borderId="11" xfId="0" applyFont="1" applyFill="1" applyBorder="1" applyAlignment="1">
      <alignment horizontal="left" vertical="center" wrapText="1"/>
    </xf>
    <xf numFmtId="0" fontId="187" fillId="84" borderId="7" xfId="0" applyFont="1" applyFill="1" applyBorder="1" applyAlignment="1">
      <alignment horizontal="center" vertical="center" wrapText="1"/>
    </xf>
    <xf numFmtId="0" fontId="187" fillId="84" borderId="10" xfId="0" applyFont="1" applyFill="1" applyBorder="1" applyAlignment="1">
      <alignment horizontal="center" vertical="center" wrapText="1"/>
    </xf>
    <xf numFmtId="0" fontId="187" fillId="84" borderId="8" xfId="0" applyFont="1" applyFill="1" applyBorder="1" applyAlignment="1">
      <alignment horizontal="center" vertical="center" wrapText="1"/>
    </xf>
    <xf numFmtId="0" fontId="163" fillId="84" borderId="43" xfId="0" applyFont="1" applyFill="1" applyBorder="1" applyAlignment="1">
      <alignment horizontal="center" vertical="center" wrapText="1"/>
    </xf>
    <xf numFmtId="0" fontId="163" fillId="84" borderId="44" xfId="0" applyFont="1" applyFill="1" applyBorder="1" applyAlignment="1">
      <alignment horizontal="center" vertical="center" wrapText="1"/>
    </xf>
    <xf numFmtId="0" fontId="119" fillId="83" borderId="10" xfId="0" applyFont="1" applyFill="1" applyBorder="1" applyAlignment="1">
      <alignment horizontal="center" vertical="center"/>
    </xf>
    <xf numFmtId="0" fontId="190" fillId="83" borderId="10" xfId="0" applyFont="1" applyFill="1" applyBorder="1" applyAlignment="1">
      <alignment horizontal="center" vertical="center" wrapText="1"/>
    </xf>
    <xf numFmtId="0" fontId="190" fillId="83" borderId="8" xfId="0" applyFont="1" applyFill="1" applyBorder="1" applyAlignment="1">
      <alignment horizontal="center" vertical="center" wrapText="1"/>
    </xf>
    <xf numFmtId="0" fontId="0" fillId="3" borderId="10" xfId="0" applyFont="1" applyFill="1" applyBorder="1" applyAlignment="1">
      <alignment horizontal="left" vertical="center" wrapText="1"/>
    </xf>
    <xf numFmtId="0" fontId="177" fillId="0" borderId="1" xfId="0" applyFont="1" applyBorder="1" applyAlignment="1">
      <alignment horizontal="left" vertical="center"/>
    </xf>
    <xf numFmtId="0" fontId="190" fillId="68" borderId="1" xfId="0" applyFont="1" applyFill="1" applyBorder="1" applyAlignment="1">
      <alignment horizontal="center" vertical="center"/>
    </xf>
    <xf numFmtId="2" fontId="190" fillId="68" borderId="1" xfId="0" applyNumberFormat="1" applyFont="1" applyFill="1" applyBorder="1" applyAlignment="1">
      <alignment horizontal="center" vertical="center"/>
    </xf>
    <xf numFmtId="2" fontId="190" fillId="68" borderId="11" xfId="0" applyNumberFormat="1" applyFont="1" applyFill="1" applyBorder="1" applyAlignment="1">
      <alignment horizontal="center" vertical="center"/>
    </xf>
    <xf numFmtId="0" fontId="194" fillId="68" borderId="11" xfId="0" applyFont="1" applyFill="1" applyBorder="1" applyAlignment="1">
      <alignment horizontal="center" vertical="center" wrapText="1"/>
    </xf>
    <xf numFmtId="0" fontId="196" fillId="68" borderId="11" xfId="0" applyFont="1" applyFill="1" applyBorder="1" applyAlignment="1">
      <alignment horizontal="center" vertical="center" wrapText="1"/>
    </xf>
    <xf numFmtId="0" fontId="196" fillId="68" borderId="42" xfId="0" applyFont="1" applyFill="1" applyBorder="1" applyAlignment="1">
      <alignment horizontal="center" vertical="center" wrapText="1"/>
    </xf>
    <xf numFmtId="0" fontId="194" fillId="68" borderId="1" xfId="0" applyFont="1" applyFill="1" applyBorder="1" applyAlignment="1">
      <alignment horizontal="center" vertical="center" wrapText="1"/>
    </xf>
    <xf numFmtId="0" fontId="196" fillId="68" borderId="1" xfId="0" applyFont="1" applyFill="1" applyBorder="1" applyAlignment="1">
      <alignment horizontal="center" vertical="center" wrapText="1"/>
    </xf>
    <xf numFmtId="0" fontId="196" fillId="68" borderId="9" xfId="0" applyFont="1" applyFill="1" applyBorder="1" applyAlignment="1">
      <alignment horizontal="center" vertical="center" wrapText="1"/>
    </xf>
    <xf numFmtId="0" fontId="177" fillId="0" borderId="0" xfId="0" applyFont="1" applyAlignment="1">
      <alignment horizontal="left" vertical="center"/>
    </xf>
    <xf numFmtId="0" fontId="190" fillId="68" borderId="11" xfId="0" applyFont="1" applyFill="1" applyBorder="1" applyAlignment="1">
      <alignment horizontal="center" vertical="center"/>
    </xf>
    <xf numFmtId="0" fontId="188" fillId="0" borderId="21" xfId="1777" applyFont="1" applyBorder="1" applyAlignment="1" applyProtection="1">
      <alignment horizontal="center"/>
      <protection hidden="1"/>
    </xf>
    <xf numFmtId="0" fontId="188" fillId="0" borderId="22" xfId="1777" applyFont="1" applyBorder="1" applyAlignment="1" applyProtection="1">
      <alignment horizontal="center"/>
      <protection hidden="1"/>
    </xf>
    <xf numFmtId="0" fontId="188" fillId="0" borderId="23" xfId="1777" applyFont="1" applyBorder="1" applyAlignment="1" applyProtection="1">
      <alignment horizontal="center"/>
      <protection hidden="1"/>
    </xf>
    <xf numFmtId="0" fontId="190" fillId="71" borderId="1" xfId="0" applyFont="1" applyFill="1" applyBorder="1" applyAlignment="1">
      <alignment horizontal="center" vertical="center"/>
    </xf>
    <xf numFmtId="0" fontId="122" fillId="84" borderId="108" xfId="0" applyFont="1" applyFill="1" applyBorder="1" applyAlignment="1">
      <alignment horizontal="center" vertical="center" wrapText="1"/>
    </xf>
    <xf numFmtId="0" fontId="122" fillId="84" borderId="109" xfId="0" applyFont="1" applyFill="1" applyBorder="1" applyAlignment="1">
      <alignment horizontal="center" vertical="center" wrapText="1"/>
    </xf>
    <xf numFmtId="0" fontId="122" fillId="84" borderId="18" xfId="0" applyFont="1" applyFill="1" applyBorder="1" applyAlignment="1">
      <alignment horizontal="center" vertical="center" wrapText="1"/>
    </xf>
    <xf numFmtId="0" fontId="119" fillId="71" borderId="1" xfId="0" applyFont="1" applyFill="1" applyBorder="1" applyAlignment="1">
      <alignment horizontal="center" vertical="center"/>
    </xf>
    <xf numFmtId="0" fontId="187" fillId="84" borderId="21" xfId="0" applyFont="1" applyFill="1" applyBorder="1" applyAlignment="1">
      <alignment horizontal="center" vertical="center" wrapText="1"/>
    </xf>
    <xf numFmtId="0" fontId="187" fillId="84" borderId="22" xfId="0" applyFont="1" applyFill="1" applyBorder="1" applyAlignment="1">
      <alignment horizontal="center" vertical="center" wrapText="1"/>
    </xf>
    <xf numFmtId="0" fontId="187" fillId="84" borderId="23" xfId="0" applyFont="1" applyFill="1" applyBorder="1" applyAlignment="1">
      <alignment horizontal="center" vertical="center" wrapText="1"/>
    </xf>
    <xf numFmtId="0" fontId="142" fillId="71" borderId="112" xfId="0" applyFont="1" applyFill="1" applyBorder="1" applyAlignment="1">
      <alignment horizontal="center" vertical="center" wrapText="1"/>
    </xf>
    <xf numFmtId="0" fontId="142" fillId="71" borderId="22" xfId="0" applyFont="1" applyFill="1" applyBorder="1" applyAlignment="1">
      <alignment horizontal="center" vertical="center" wrapText="1"/>
    </xf>
    <xf numFmtId="0" fontId="142" fillId="71" borderId="113" xfId="0" applyFont="1" applyFill="1" applyBorder="1" applyAlignment="1">
      <alignment horizontal="center" vertical="center" wrapText="1"/>
    </xf>
    <xf numFmtId="0" fontId="195" fillId="0" borderId="0" xfId="0" applyFont="1" applyAlignment="1">
      <alignment horizontal="left" vertical="center"/>
    </xf>
    <xf numFmtId="0" fontId="177" fillId="0" borderId="7" xfId="0" applyFont="1" applyBorder="1" applyAlignment="1">
      <alignment horizontal="left" vertical="top" wrapText="1"/>
    </xf>
    <xf numFmtId="0" fontId="177" fillId="0" borderId="10" xfId="0" applyFont="1" applyBorder="1" applyAlignment="1">
      <alignment horizontal="left" vertical="top" wrapText="1"/>
    </xf>
    <xf numFmtId="0" fontId="177" fillId="0" borderId="8" xfId="0" applyFont="1" applyBorder="1" applyAlignment="1">
      <alignment horizontal="left" vertical="top" wrapText="1"/>
    </xf>
    <xf numFmtId="0" fontId="177" fillId="0" borderId="6" xfId="0" applyFont="1" applyBorder="1" applyAlignment="1">
      <alignment horizontal="left" vertical="top" wrapText="1"/>
    </xf>
    <xf numFmtId="0" fontId="177" fillId="0" borderId="1" xfId="0" applyFont="1" applyBorder="1" applyAlignment="1">
      <alignment horizontal="left" vertical="top" wrapText="1"/>
    </xf>
    <xf numFmtId="0" fontId="177" fillId="0" borderId="9" xfId="0" applyFont="1" applyBorder="1" applyAlignment="1">
      <alignment horizontal="left" vertical="top" wrapText="1"/>
    </xf>
    <xf numFmtId="0" fontId="177" fillId="0" borderId="41" xfId="0" applyFont="1" applyBorder="1" applyAlignment="1">
      <alignment horizontal="left" vertical="top" wrapText="1"/>
    </xf>
    <xf numFmtId="0" fontId="177" fillId="0" borderId="11" xfId="0" applyFont="1" applyBorder="1" applyAlignment="1">
      <alignment horizontal="left" vertical="top" wrapText="1"/>
    </xf>
    <xf numFmtId="0" fontId="177" fillId="0" borderId="42" xfId="0" applyFont="1" applyBorder="1" applyAlignment="1">
      <alignment horizontal="left" vertical="top" wrapText="1"/>
    </xf>
    <xf numFmtId="0" fontId="122" fillId="84" borderId="12" xfId="0" applyFont="1" applyFill="1" applyBorder="1" applyAlignment="1">
      <alignment horizontal="center" vertical="center" wrapText="1"/>
    </xf>
    <xf numFmtId="0" fontId="122" fillId="84" borderId="13" xfId="0" applyFont="1" applyFill="1" applyBorder="1" applyAlignment="1">
      <alignment horizontal="center" vertical="center" wrapText="1"/>
    </xf>
    <xf numFmtId="0" fontId="187" fillId="84" borderId="1" xfId="0" applyFont="1" applyFill="1" applyBorder="1" applyAlignment="1">
      <alignment horizontal="center" vertical="center" wrapText="1"/>
    </xf>
    <xf numFmtId="0" fontId="126" fillId="84" borderId="1" xfId="0" applyFont="1" applyFill="1" applyBorder="1" applyAlignment="1">
      <alignment horizontal="center" vertical="center" wrapText="1"/>
    </xf>
    <xf numFmtId="0" fontId="120" fillId="3" borderId="1" xfId="0" applyFont="1" applyFill="1" applyBorder="1" applyAlignment="1">
      <alignment horizontal="center" vertical="center" wrapText="1"/>
    </xf>
    <xf numFmtId="0" fontId="120" fillId="3" borderId="1" xfId="0" applyFont="1" applyFill="1" applyBorder="1" applyAlignment="1">
      <alignment horizontal="center" vertical="center"/>
    </xf>
    <xf numFmtId="0" fontId="140" fillId="3" borderId="1" xfId="0" applyFont="1" applyFill="1" applyBorder="1" applyAlignment="1">
      <alignment horizontal="center" vertical="center" wrapText="1"/>
    </xf>
    <xf numFmtId="0" fontId="0" fillId="3" borderId="45" xfId="0" applyFont="1" applyFill="1" applyBorder="1" applyAlignment="1">
      <alignment horizontal="left" vertical="center" wrapText="1"/>
    </xf>
    <xf numFmtId="0" fontId="0" fillId="3" borderId="31" xfId="0" applyFont="1" applyFill="1" applyBorder="1" applyAlignment="1">
      <alignment horizontal="left" vertical="center" wrapText="1"/>
    </xf>
    <xf numFmtId="0" fontId="175" fillId="3" borderId="1" xfId="0" applyFont="1" applyFill="1" applyBorder="1" applyAlignment="1">
      <alignment horizontal="center" vertical="center" wrapText="1"/>
    </xf>
    <xf numFmtId="0" fontId="173" fillId="3" borderId="1" xfId="0" applyFont="1" applyFill="1" applyBorder="1" applyAlignment="1">
      <alignment horizontal="center" vertical="center" wrapText="1"/>
    </xf>
    <xf numFmtId="0" fontId="170" fillId="3" borderId="1" xfId="0" applyFont="1" applyFill="1" applyBorder="1" applyAlignment="1">
      <alignment horizontal="center" vertical="center" wrapText="1"/>
    </xf>
    <xf numFmtId="0" fontId="0" fillId="0" borderId="50" xfId="0" applyBorder="1" applyAlignment="1">
      <alignment horizontal="center"/>
    </xf>
    <xf numFmtId="0" fontId="148" fillId="57" borderId="45" xfId="0" applyFont="1" applyFill="1" applyBorder="1" applyAlignment="1">
      <alignment horizontal="center" vertical="center" wrapText="1"/>
    </xf>
    <xf numFmtId="0" fontId="148" fillId="57" borderId="31" xfId="0" applyFont="1" applyFill="1" applyBorder="1" applyAlignment="1">
      <alignment horizontal="center" vertical="center" wrapText="1"/>
    </xf>
    <xf numFmtId="0" fontId="148" fillId="57" borderId="49" xfId="0" applyFont="1" applyFill="1" applyBorder="1" applyAlignment="1">
      <alignment horizontal="center" vertical="center" wrapText="1"/>
    </xf>
    <xf numFmtId="0" fontId="0" fillId="57" borderId="45" xfId="0" applyFont="1" applyFill="1" applyBorder="1" applyAlignment="1">
      <alignment horizontal="left" vertical="center" wrapText="1"/>
    </xf>
    <xf numFmtId="0" fontId="0" fillId="57" borderId="31" xfId="0" applyFont="1" applyFill="1" applyBorder="1" applyAlignment="1">
      <alignment horizontal="left" vertical="center" wrapText="1"/>
    </xf>
    <xf numFmtId="0" fontId="16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6" fillId="3" borderId="1" xfId="0" applyFont="1" applyFill="1" applyBorder="1" applyAlignment="1">
      <alignment horizontal="center" vertical="center"/>
    </xf>
    <xf numFmtId="0" fontId="171" fillId="3" borderId="1" xfId="0" applyFont="1" applyFill="1" applyBorder="1" applyAlignment="1">
      <alignment horizontal="center" vertical="center"/>
    </xf>
    <xf numFmtId="0" fontId="106" fillId="3" borderId="5" xfId="0" applyFont="1" applyFill="1" applyBorder="1" applyAlignment="1">
      <alignment horizontal="center" vertical="center"/>
    </xf>
    <xf numFmtId="0" fontId="106" fillId="3" borderId="50" xfId="0" applyFont="1" applyFill="1" applyBorder="1" applyAlignment="1">
      <alignment horizontal="center" vertical="center"/>
    </xf>
    <xf numFmtId="0" fontId="174" fillId="3" borderId="1" xfId="0" applyFont="1" applyFill="1" applyBorder="1" applyAlignment="1">
      <alignment horizontal="center" vertical="center"/>
    </xf>
    <xf numFmtId="0" fontId="129" fillId="64" borderId="87" xfId="0" applyFont="1" applyFill="1" applyBorder="1" applyAlignment="1">
      <alignment horizontal="center" vertical="center"/>
    </xf>
    <xf numFmtId="0" fontId="129" fillId="64" borderId="88" xfId="0" applyFont="1" applyFill="1" applyBorder="1" applyAlignment="1">
      <alignment horizontal="center" vertical="center"/>
    </xf>
    <xf numFmtId="0" fontId="129" fillId="64" borderId="89" xfId="0" applyFont="1" applyFill="1" applyBorder="1" applyAlignment="1">
      <alignment horizontal="center" vertical="center"/>
    </xf>
    <xf numFmtId="0" fontId="120" fillId="0" borderId="1" xfId="0" applyFont="1" applyBorder="1" applyAlignment="1">
      <alignment horizontal="center" vertical="center" wrapText="1"/>
    </xf>
    <xf numFmtId="0" fontId="120" fillId="0" borderId="1" xfId="0" applyFont="1" applyBorder="1" applyAlignment="1">
      <alignment horizontal="center" vertical="center"/>
    </xf>
    <xf numFmtId="0" fontId="117" fillId="64" borderId="77" xfId="0" applyFont="1" applyFill="1" applyBorder="1" applyAlignment="1">
      <alignment horizontal="center" vertical="center" wrapText="1"/>
    </xf>
    <xf numFmtId="0" fontId="117" fillId="64" borderId="75" xfId="0" applyFont="1" applyFill="1" applyBorder="1" applyAlignment="1">
      <alignment horizontal="center" vertical="center" wrapText="1"/>
    </xf>
    <xf numFmtId="0" fontId="117" fillId="64" borderId="78" xfId="0" applyFont="1" applyFill="1" applyBorder="1" applyAlignment="1">
      <alignment horizontal="center" vertical="center" wrapText="1"/>
    </xf>
    <xf numFmtId="0" fontId="118" fillId="68" borderId="1" xfId="0" applyFont="1" applyFill="1" applyBorder="1" applyAlignment="1">
      <alignment horizontal="left" vertical="center" wrapText="1"/>
    </xf>
    <xf numFmtId="0" fontId="129" fillId="64" borderId="45" xfId="0" applyFont="1" applyFill="1" applyBorder="1" applyAlignment="1">
      <alignment horizontal="center" vertical="center" wrapText="1"/>
    </xf>
    <xf numFmtId="0" fontId="129" fillId="64" borderId="31" xfId="0" applyFont="1" applyFill="1" applyBorder="1" applyAlignment="1">
      <alignment horizontal="center" vertical="center" wrapText="1"/>
    </xf>
    <xf numFmtId="0" fontId="129" fillId="64" borderId="49" xfId="0" applyFont="1" applyFill="1" applyBorder="1" applyAlignment="1">
      <alignment horizontal="center" vertical="center" wrapText="1"/>
    </xf>
    <xf numFmtId="0" fontId="122" fillId="64" borderId="1" xfId="0" applyFont="1" applyFill="1" applyBorder="1" applyAlignment="1">
      <alignment horizontal="center" vertical="center" wrapText="1"/>
    </xf>
    <xf numFmtId="0" fontId="123" fillId="0" borderId="95" xfId="0" applyFont="1" applyBorder="1" applyAlignment="1">
      <alignment horizontal="left" vertical="center" wrapText="1"/>
    </xf>
    <xf numFmtId="0" fontId="123" fillId="0" borderId="102" xfId="0" applyFont="1" applyBorder="1" applyAlignment="1">
      <alignment horizontal="left" vertical="center" wrapText="1"/>
    </xf>
    <xf numFmtId="0" fontId="123" fillId="0" borderId="87" xfId="0" applyFont="1" applyBorder="1" applyAlignment="1">
      <alignment horizontal="left" vertical="center" wrapText="1"/>
    </xf>
    <xf numFmtId="0" fontId="123" fillId="0" borderId="89" xfId="0" applyFont="1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/>
    </xf>
    <xf numFmtId="0" fontId="172" fillId="3" borderId="1" xfId="0" applyFont="1" applyFill="1" applyBorder="1" applyAlignment="1">
      <alignment horizontal="center" vertical="center" wrapText="1"/>
    </xf>
    <xf numFmtId="0" fontId="162" fillId="3" borderId="1" xfId="0" applyFont="1" applyFill="1" applyBorder="1" applyAlignment="1">
      <alignment horizontal="center" vertical="center"/>
    </xf>
    <xf numFmtId="0" fontId="119" fillId="68" borderId="1" xfId="0" applyFont="1" applyFill="1" applyBorder="1" applyAlignment="1">
      <alignment horizontal="left" wrapText="1"/>
    </xf>
    <xf numFmtId="0" fontId="0" fillId="0" borderId="45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117" fillId="64" borderId="25" xfId="0" applyFont="1" applyFill="1" applyBorder="1" applyAlignment="1">
      <alignment horizontal="center" vertical="center" wrapText="1"/>
    </xf>
    <xf numFmtId="0" fontId="185" fillId="3" borderId="1" xfId="0" applyFont="1" applyFill="1" applyBorder="1" applyAlignment="1">
      <alignment horizontal="center" vertical="center" wrapText="1"/>
    </xf>
    <xf numFmtId="0" fontId="117" fillId="64" borderId="79" xfId="0" applyFont="1" applyFill="1" applyBorder="1" applyAlignment="1">
      <alignment horizontal="center" vertical="center" wrapText="1"/>
    </xf>
    <xf numFmtId="0" fontId="117" fillId="64" borderId="74" xfId="0" applyFont="1" applyFill="1" applyBorder="1" applyAlignment="1">
      <alignment horizontal="center" vertical="center" wrapText="1"/>
    </xf>
    <xf numFmtId="0" fontId="117" fillId="64" borderId="80" xfId="0" applyFont="1" applyFill="1" applyBorder="1" applyAlignment="1">
      <alignment horizontal="center" vertical="center" wrapText="1"/>
    </xf>
    <xf numFmtId="0" fontId="0" fillId="0" borderId="84" xfId="0" applyBorder="1" applyAlignment="1">
      <alignment horizontal="center" vertical="center" wrapText="1"/>
    </xf>
    <xf numFmtId="0" fontId="0" fillId="0" borderId="85" xfId="0" applyBorder="1" applyAlignment="1">
      <alignment horizontal="center" vertical="center" wrapText="1"/>
    </xf>
    <xf numFmtId="0" fontId="0" fillId="0" borderId="86" xfId="0" applyBorder="1" applyAlignment="1">
      <alignment horizontal="center" vertical="center" wrapText="1"/>
    </xf>
    <xf numFmtId="0" fontId="119" fillId="68" borderId="45" xfId="0" applyFont="1" applyFill="1" applyBorder="1" applyAlignment="1">
      <alignment horizontal="left" vertical="center" wrapText="1"/>
    </xf>
    <xf numFmtId="0" fontId="119" fillId="68" borderId="31" xfId="0" applyFont="1" applyFill="1" applyBorder="1" applyAlignment="1">
      <alignment horizontal="left" vertical="center" wrapText="1"/>
    </xf>
    <xf numFmtId="0" fontId="119" fillId="68" borderId="49" xfId="0" applyFont="1" applyFill="1" applyBorder="1" applyAlignment="1">
      <alignment horizontal="left" vertical="center" wrapText="1"/>
    </xf>
    <xf numFmtId="0" fontId="179" fillId="3" borderId="1" xfId="0" applyFont="1" applyFill="1" applyBorder="1" applyAlignment="1">
      <alignment horizontal="center" vertical="center" wrapText="1"/>
    </xf>
    <xf numFmtId="0" fontId="133" fillId="0" borderId="1" xfId="0" applyFont="1" applyBorder="1" applyAlignment="1">
      <alignment horizontal="center" vertical="center" wrapText="1"/>
    </xf>
    <xf numFmtId="0" fontId="119" fillId="68" borderId="21" xfId="0" applyFont="1" applyFill="1" applyBorder="1" applyAlignment="1">
      <alignment horizontal="center" vertical="center" wrapText="1"/>
    </xf>
    <xf numFmtId="0" fontId="119" fillId="68" borderId="22" xfId="0" applyFont="1" applyFill="1" applyBorder="1" applyAlignment="1">
      <alignment horizontal="center" vertical="center" wrapText="1"/>
    </xf>
    <xf numFmtId="0" fontId="119" fillId="68" borderId="23" xfId="0" applyFont="1" applyFill="1" applyBorder="1" applyAlignment="1">
      <alignment horizontal="center" vertical="center" wrapText="1"/>
    </xf>
    <xf numFmtId="0" fontId="181" fillId="3" borderId="1" xfId="0" applyFont="1" applyFill="1" applyBorder="1" applyAlignment="1">
      <alignment horizontal="center" vertical="center" wrapText="1"/>
    </xf>
    <xf numFmtId="0" fontId="117" fillId="64" borderId="114" xfId="0" applyFont="1" applyFill="1" applyBorder="1" applyAlignment="1">
      <alignment horizontal="center" vertical="center" wrapText="1"/>
    </xf>
    <xf numFmtId="0" fontId="117" fillId="64" borderId="0" xfId="0" applyFont="1" applyFill="1" applyBorder="1" applyAlignment="1">
      <alignment horizontal="center" vertical="center" wrapText="1"/>
    </xf>
    <xf numFmtId="0" fontId="117" fillId="64" borderId="115" xfId="0" applyFont="1" applyFill="1" applyBorder="1" applyAlignment="1">
      <alignment horizontal="center" vertical="center" wrapText="1"/>
    </xf>
    <xf numFmtId="0" fontId="98" fillId="0" borderId="16" xfId="0" applyFont="1" applyBorder="1" applyAlignment="1">
      <alignment horizontal="center" vertical="center"/>
    </xf>
    <xf numFmtId="0" fontId="98" fillId="0" borderId="19" xfId="0" applyFont="1" applyBorder="1" applyAlignment="1">
      <alignment horizontal="center" vertical="center"/>
    </xf>
    <xf numFmtId="0" fontId="98" fillId="0" borderId="17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 textRotation="90"/>
    </xf>
    <xf numFmtId="0" fontId="16" fillId="0" borderId="48" xfId="0" applyFont="1" applyBorder="1" applyAlignment="1">
      <alignment horizontal="center" vertical="center" textRotation="90"/>
    </xf>
    <xf numFmtId="0" fontId="16" fillId="0" borderId="47" xfId="0" applyFont="1" applyBorder="1" applyAlignment="1">
      <alignment horizontal="center" vertical="center" textRotation="90"/>
    </xf>
    <xf numFmtId="0" fontId="96" fillId="0" borderId="41" xfId="0" applyFont="1" applyBorder="1" applyAlignment="1">
      <alignment horizontal="right" vertical="center"/>
    </xf>
    <xf numFmtId="0" fontId="96" fillId="0" borderId="11" xfId="0" applyFont="1" applyBorder="1" applyAlignment="1">
      <alignment horizontal="right" vertical="center"/>
    </xf>
    <xf numFmtId="0" fontId="16" fillId="0" borderId="46" xfId="0" applyFont="1" applyBorder="1" applyAlignment="1">
      <alignment horizontal="center" vertical="center" textRotation="90" wrapText="1"/>
    </xf>
    <xf numFmtId="0" fontId="16" fillId="0" borderId="55" xfId="0" applyFont="1" applyBorder="1" applyAlignment="1">
      <alignment horizontal="center" vertical="center" textRotation="90" wrapText="1"/>
    </xf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" fillId="0" borderId="0" xfId="261" applyAlignment="1">
      <alignment horizontal="left"/>
    </xf>
    <xf numFmtId="0" fontId="1" fillId="0" borderId="69" xfId="261" applyBorder="1" applyAlignment="1">
      <alignment horizontal="left"/>
    </xf>
    <xf numFmtId="0" fontId="114" fillId="3" borderId="0" xfId="0" applyFont="1" applyFill="1" applyAlignment="1">
      <alignment horizontal="left" vertical="center"/>
    </xf>
    <xf numFmtId="0" fontId="100" fillId="58" borderId="12" xfId="0" applyFont="1" applyFill="1" applyBorder="1" applyAlignment="1">
      <alignment horizontal="center"/>
    </xf>
    <xf numFmtId="0" fontId="100" fillId="58" borderId="18" xfId="0" applyFont="1" applyFill="1" applyBorder="1" applyAlignment="1">
      <alignment horizontal="center"/>
    </xf>
    <xf numFmtId="0" fontId="100" fillId="58" borderId="13" xfId="0" applyFont="1" applyFill="1" applyBorder="1" applyAlignment="1">
      <alignment horizontal="center"/>
    </xf>
    <xf numFmtId="0" fontId="113" fillId="3" borderId="0" xfId="0" applyFont="1" applyFill="1" applyAlignment="1">
      <alignment horizontal="center" vertical="center"/>
    </xf>
    <xf numFmtId="207" fontId="110" fillId="3" borderId="71" xfId="0" applyNumberFormat="1" applyFont="1" applyFill="1" applyBorder="1" applyAlignment="1">
      <alignment horizontal="center" vertical="center"/>
    </xf>
    <xf numFmtId="207" fontId="109" fillId="3" borderId="71" xfId="0" applyNumberFormat="1" applyFont="1" applyFill="1" applyBorder="1" applyAlignment="1">
      <alignment horizontal="center" vertical="center"/>
    </xf>
    <xf numFmtId="0" fontId="108" fillId="0" borderId="0" xfId="0" applyFont="1" applyAlignment="1">
      <alignment horizontal="left" vertical="center" wrapText="1"/>
    </xf>
    <xf numFmtId="0" fontId="113" fillId="3" borderId="19" xfId="0" applyFont="1" applyFill="1" applyBorder="1" applyAlignment="1">
      <alignment horizontal="right" vertical="top"/>
    </xf>
    <xf numFmtId="0" fontId="113" fillId="0" borderId="19" xfId="0" applyFont="1" applyBorder="1" applyAlignment="1">
      <alignment horizontal="center" vertical="center"/>
    </xf>
    <xf numFmtId="0" fontId="114" fillId="3" borderId="0" xfId="0" applyFont="1" applyFill="1" applyAlignment="1">
      <alignment horizontal="center" vertical="center"/>
    </xf>
    <xf numFmtId="207" fontId="110" fillId="3" borderId="100" xfId="0" applyNumberFormat="1" applyFont="1" applyFill="1" applyBorder="1" applyAlignment="1">
      <alignment horizontal="center" vertical="center"/>
    </xf>
    <xf numFmtId="207" fontId="110" fillId="3" borderId="0" xfId="0" applyNumberFormat="1" applyFont="1" applyFill="1" applyAlignment="1">
      <alignment horizontal="center" vertical="center"/>
    </xf>
    <xf numFmtId="0" fontId="87" fillId="0" borderId="11" xfId="0" applyFont="1" applyBorder="1" applyAlignment="1">
      <alignment horizontal="center" vertical="center"/>
    </xf>
    <xf numFmtId="0" fontId="11" fillId="0" borderId="18" xfId="217" applyFont="1" applyBorder="1" applyAlignment="1">
      <alignment horizontal="center" vertical="center"/>
    </xf>
    <xf numFmtId="15" fontId="82" fillId="0" borderId="0" xfId="0" applyNumberFormat="1" applyFont="1" applyAlignment="1">
      <alignment horizontal="center" vertical="center" wrapText="1"/>
    </xf>
    <xf numFmtId="0" fontId="113" fillId="3" borderId="19" xfId="0" applyFont="1" applyFill="1" applyBorder="1" applyAlignment="1">
      <alignment horizontal="center" vertical="center"/>
    </xf>
    <xf numFmtId="0" fontId="113" fillId="3" borderId="0" xfId="0" applyFont="1" applyFill="1" applyAlignment="1">
      <alignment horizontal="right" vertical="center"/>
    </xf>
    <xf numFmtId="207" fontId="109" fillId="0" borderId="71" xfId="0" applyNumberFormat="1" applyFont="1" applyBorder="1" applyAlignment="1">
      <alignment horizontal="center" vertical="center"/>
    </xf>
    <xf numFmtId="207" fontId="109" fillId="0" borderId="72" xfId="0" applyNumberFormat="1" applyFont="1" applyBorder="1" applyAlignment="1">
      <alignment horizontal="center" vertical="center"/>
    </xf>
    <xf numFmtId="0" fontId="89" fillId="3" borderId="0" xfId="0" applyFont="1" applyFill="1" applyAlignment="1">
      <alignment horizontal="right" vertical="center"/>
    </xf>
    <xf numFmtId="207" fontId="109" fillId="3" borderId="0" xfId="0" applyNumberFormat="1" applyFont="1" applyFill="1" applyAlignment="1">
      <alignment horizontal="center" vertical="center"/>
    </xf>
    <xf numFmtId="206" fontId="109" fillId="3" borderId="71" xfId="0" applyNumberFormat="1" applyFont="1" applyFill="1" applyBorder="1" applyAlignment="1">
      <alignment horizontal="center" vertical="center"/>
    </xf>
    <xf numFmtId="0" fontId="113" fillId="0" borderId="0" xfId="0" applyFont="1" applyAlignment="1">
      <alignment horizontal="center" vertical="center"/>
    </xf>
    <xf numFmtId="0" fontId="87" fillId="0" borderId="1" xfId="0" applyFont="1" applyBorder="1" applyAlignment="1">
      <alignment horizontal="center" vertical="center"/>
    </xf>
    <xf numFmtId="0" fontId="87" fillId="0" borderId="9" xfId="0" applyFont="1" applyBorder="1" applyAlignment="1">
      <alignment horizontal="center" vertical="center"/>
    </xf>
    <xf numFmtId="0" fontId="87" fillId="3" borderId="21" xfId="0" applyFont="1" applyFill="1" applyBorder="1" applyAlignment="1">
      <alignment horizontal="left" vertical="center"/>
    </xf>
    <xf numFmtId="0" fontId="87" fillId="3" borderId="22" xfId="0" applyFont="1" applyFill="1" applyBorder="1" applyAlignment="1">
      <alignment horizontal="left" vertical="center"/>
    </xf>
    <xf numFmtId="0" fontId="87" fillId="3" borderId="23" xfId="0" applyFont="1" applyFill="1" applyBorder="1" applyAlignment="1">
      <alignment horizontal="left" vertical="center"/>
    </xf>
    <xf numFmtId="0" fontId="87" fillId="0" borderId="58" xfId="0" applyFont="1" applyBorder="1" applyAlignment="1">
      <alignment horizontal="left" vertical="center"/>
    </xf>
    <xf numFmtId="0" fontId="87" fillId="0" borderId="59" xfId="0" applyFont="1" applyBorder="1" applyAlignment="1">
      <alignment horizontal="left" vertical="center"/>
    </xf>
    <xf numFmtId="0" fontId="87" fillId="0" borderId="60" xfId="0" applyFont="1" applyBorder="1" applyAlignment="1">
      <alignment horizontal="left" vertical="center"/>
    </xf>
    <xf numFmtId="0" fontId="87" fillId="67" borderId="59" xfId="0" applyFont="1" applyFill="1" applyBorder="1" applyAlignment="1">
      <alignment horizontal="center" vertical="center"/>
    </xf>
    <xf numFmtId="0" fontId="87" fillId="67" borderId="60" xfId="0" applyFont="1" applyFill="1" applyBorder="1" applyAlignment="1">
      <alignment horizontal="center" vertical="center"/>
    </xf>
    <xf numFmtId="0" fontId="87" fillId="0" borderId="4" xfId="0" applyFont="1" applyBorder="1" applyAlignment="1">
      <alignment horizontal="center" vertical="center"/>
    </xf>
    <xf numFmtId="0" fontId="87" fillId="0" borderId="51" xfId="0" applyFont="1" applyBorder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207" fontId="110" fillId="3" borderId="97" xfId="0" applyNumberFormat="1" applyFont="1" applyFill="1" applyBorder="1" applyAlignment="1">
      <alignment horizontal="center" vertical="center"/>
    </xf>
    <xf numFmtId="207" fontId="110" fillId="3" borderId="98" xfId="0" applyNumberFormat="1" applyFont="1" applyFill="1" applyBorder="1" applyAlignment="1">
      <alignment horizontal="center" vertical="center"/>
    </xf>
    <xf numFmtId="207" fontId="110" fillId="3" borderId="99" xfId="0" applyNumberFormat="1" applyFont="1" applyFill="1" applyBorder="1" applyAlignment="1">
      <alignment horizontal="center" vertical="center"/>
    </xf>
    <xf numFmtId="0" fontId="87" fillId="0" borderId="42" xfId="0" applyFont="1" applyBorder="1" applyAlignment="1">
      <alignment horizontal="center" vertical="center"/>
    </xf>
    <xf numFmtId="0" fontId="134" fillId="0" borderId="12" xfId="0" applyFont="1" applyBorder="1" applyAlignment="1">
      <alignment horizontal="center"/>
    </xf>
    <xf numFmtId="0" fontId="134" fillId="0" borderId="18" xfId="0" applyFont="1" applyBorder="1" applyAlignment="1">
      <alignment horizontal="center"/>
    </xf>
    <xf numFmtId="2" fontId="87" fillId="0" borderId="1" xfId="0" applyNumberFormat="1" applyFont="1" applyBorder="1" applyAlignment="1">
      <alignment horizontal="center" vertical="center"/>
    </xf>
    <xf numFmtId="2" fontId="87" fillId="0" borderId="9" xfId="0" applyNumberFormat="1" applyFont="1" applyBorder="1" applyAlignment="1">
      <alignment horizontal="center" vertical="center"/>
    </xf>
    <xf numFmtId="0" fontId="184" fillId="86" borderId="52" xfId="0" quotePrefix="1" applyFont="1" applyFill="1" applyBorder="1" applyAlignment="1">
      <alignment horizontal="center"/>
    </xf>
    <xf numFmtId="0" fontId="184" fillId="86" borderId="25" xfId="0" quotePrefix="1" applyFont="1" applyFill="1" applyBorder="1" applyAlignment="1">
      <alignment horizontal="center"/>
    </xf>
    <xf numFmtId="0" fontId="184" fillId="86" borderId="56" xfId="0" quotePrefix="1" applyFont="1" applyFill="1" applyBorder="1" applyAlignment="1">
      <alignment horizontal="center"/>
    </xf>
    <xf numFmtId="0" fontId="184" fillId="86" borderId="58" xfId="0" applyFont="1" applyFill="1" applyBorder="1" applyAlignment="1">
      <alignment horizontal="center" vertical="center"/>
    </xf>
    <xf numFmtId="0" fontId="184" fillId="86" borderId="59" xfId="0" applyFont="1" applyFill="1" applyBorder="1" applyAlignment="1">
      <alignment horizontal="center" vertical="center"/>
    </xf>
    <xf numFmtId="0" fontId="184" fillId="86" borderId="60" xfId="0" applyFont="1" applyFill="1" applyBorder="1" applyAlignment="1">
      <alignment horizontal="center" vertical="center"/>
    </xf>
    <xf numFmtId="0" fontId="142" fillId="86" borderId="58" xfId="0" applyFont="1" applyFill="1" applyBorder="1" applyAlignment="1">
      <alignment horizontal="center" vertical="center"/>
    </xf>
    <xf numFmtId="0" fontId="142" fillId="86" borderId="59" xfId="0" applyFont="1" applyFill="1" applyBorder="1" applyAlignment="1">
      <alignment horizontal="center" vertical="center"/>
    </xf>
    <xf numFmtId="0" fontId="142" fillId="86" borderId="60" xfId="0" applyFont="1" applyFill="1" applyBorder="1" applyAlignment="1">
      <alignment horizontal="center" vertical="center"/>
    </xf>
    <xf numFmtId="0" fontId="87" fillId="57" borderId="1" xfId="0" quotePrefix="1" applyFont="1" applyFill="1" applyBorder="1" applyAlignment="1">
      <alignment horizontal="center" vertical="center"/>
    </xf>
    <xf numFmtId="0" fontId="87" fillId="57" borderId="1" xfId="0" applyFont="1" applyFill="1" applyBorder="1" applyAlignment="1">
      <alignment horizontal="center" vertical="center"/>
    </xf>
    <xf numFmtId="0" fontId="165" fillId="74" borderId="43" xfId="0" applyFont="1" applyFill="1" applyBorder="1" applyAlignment="1">
      <alignment horizontal="center" vertical="center" wrapText="1"/>
    </xf>
    <xf numFmtId="0" fontId="165" fillId="74" borderId="4" xfId="0" applyFont="1" applyFill="1" applyBorder="1" applyAlignment="1">
      <alignment horizontal="center" vertical="center" wrapText="1"/>
    </xf>
    <xf numFmtId="0" fontId="106" fillId="74" borderId="7" xfId="0" applyFont="1" applyFill="1" applyBorder="1" applyAlignment="1">
      <alignment horizontal="center" vertical="center"/>
    </xf>
    <xf numFmtId="0" fontId="106" fillId="74" borderId="10" xfId="0" applyFont="1" applyFill="1" applyBorder="1" applyAlignment="1">
      <alignment horizontal="center" vertical="center"/>
    </xf>
    <xf numFmtId="0" fontId="106" fillId="74" borderId="8" xfId="0" applyFont="1" applyFill="1" applyBorder="1" applyAlignment="1">
      <alignment horizontal="center" vertical="center"/>
    </xf>
    <xf numFmtId="0" fontId="164" fillId="74" borderId="1" xfId="0" applyFont="1" applyFill="1" applyBorder="1" applyAlignment="1">
      <alignment horizontal="center" vertical="center" wrapText="1"/>
    </xf>
    <xf numFmtId="0" fontId="164" fillId="74" borderId="9" xfId="0" applyFont="1" applyFill="1" applyBorder="1" applyAlignment="1">
      <alignment horizontal="center" vertical="center" wrapText="1"/>
    </xf>
    <xf numFmtId="0" fontId="166" fillId="0" borderId="41" xfId="0" applyFont="1" applyBorder="1" applyAlignment="1">
      <alignment horizontal="center" vertical="center" wrapText="1"/>
    </xf>
    <xf numFmtId="0" fontId="166" fillId="0" borderId="11" xfId="0" applyFont="1" applyBorder="1" applyAlignment="1">
      <alignment horizontal="center" vertical="center" wrapText="1"/>
    </xf>
    <xf numFmtId="0" fontId="164" fillId="74" borderId="6" xfId="0" applyFont="1" applyFill="1" applyBorder="1" applyAlignment="1">
      <alignment horizontal="center" vertical="center" wrapText="1"/>
    </xf>
    <xf numFmtId="0" fontId="144" fillId="0" borderId="54" xfId="1777" applyFont="1" applyBorder="1" applyAlignment="1">
      <alignment horizontal="center" vertical="center"/>
    </xf>
    <xf numFmtId="0" fontId="144" fillId="0" borderId="53" xfId="1777" applyFont="1" applyBorder="1" applyAlignment="1">
      <alignment horizontal="center" vertical="center"/>
    </xf>
    <xf numFmtId="0" fontId="144" fillId="0" borderId="91" xfId="1777" applyFont="1" applyBorder="1" applyAlignment="1">
      <alignment horizontal="left" vertical="center" wrapText="1"/>
    </xf>
    <xf numFmtId="0" fontId="144" fillId="0" borderId="31" xfId="1777" applyFont="1" applyBorder="1" applyAlignment="1">
      <alignment horizontal="left" vertical="center" wrapText="1"/>
    </xf>
    <xf numFmtId="0" fontId="144" fillId="0" borderId="49" xfId="1777" applyFont="1" applyBorder="1" applyAlignment="1">
      <alignment horizontal="left" vertical="center" wrapText="1"/>
    </xf>
    <xf numFmtId="0" fontId="152" fillId="74" borderId="21" xfId="219" applyFont="1" applyFill="1" applyBorder="1" applyAlignment="1" applyProtection="1">
      <alignment horizontal="center" vertical="center" wrapText="1"/>
      <protection locked="0"/>
    </xf>
    <xf numFmtId="0" fontId="152" fillId="74" borderId="22" xfId="219" applyFont="1" applyFill="1" applyBorder="1" applyAlignment="1" applyProtection="1">
      <alignment horizontal="center" vertical="center" wrapText="1"/>
      <protection locked="0"/>
    </xf>
    <xf numFmtId="0" fontId="152" fillId="74" borderId="23" xfId="219" applyFont="1" applyFill="1" applyBorder="1" applyAlignment="1" applyProtection="1">
      <alignment horizontal="center" vertical="center" wrapText="1"/>
      <protection locked="0"/>
    </xf>
    <xf numFmtId="0" fontId="106" fillId="0" borderId="63" xfId="0" applyFont="1" applyBorder="1" applyAlignment="1">
      <alignment horizontal="center" vertical="center"/>
    </xf>
    <xf numFmtId="0" fontId="106" fillId="0" borderId="25" xfId="0" applyFont="1" applyBorder="1" applyAlignment="1">
      <alignment horizontal="center" vertical="center"/>
    </xf>
    <xf numFmtId="0" fontId="106" fillId="0" borderId="56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8" fontId="4" fillId="0" borderId="56" xfId="0" applyNumberFormat="1" applyFont="1" applyBorder="1" applyAlignment="1">
      <alignment horizontal="center" vertical="center" wrapText="1"/>
    </xf>
    <xf numFmtId="168" fontId="4" fillId="0" borderId="51" xfId="0" applyNumberFormat="1" applyFont="1" applyBorder="1" applyAlignment="1">
      <alignment horizontal="center" vertical="center" wrapText="1"/>
    </xf>
    <xf numFmtId="0" fontId="106" fillId="0" borderId="52" xfId="0" applyFont="1" applyBorder="1" applyAlignment="1">
      <alignment horizontal="center" vertical="center"/>
    </xf>
    <xf numFmtId="0" fontId="198" fillId="71" borderId="1" xfId="0" applyFont="1" applyFill="1" applyBorder="1" applyAlignment="1">
      <alignment horizontal="center" vertical="center" wrapText="1"/>
    </xf>
  </cellXfs>
  <cellStyles count="2423">
    <cellStyle name="20 % - Accent1" xfId="281"/>
    <cellStyle name="20 % - Accent2" xfId="282"/>
    <cellStyle name="20 % - Accent3" xfId="283"/>
    <cellStyle name="20 % - Accent4" xfId="284"/>
    <cellStyle name="20 % - Accent5" xfId="285"/>
    <cellStyle name="20 % - Accent6" xfId="286"/>
    <cellStyle name="20% - Accent1 10" xfId="3"/>
    <cellStyle name="20% - Accent1 11" xfId="4"/>
    <cellStyle name="20% - Accent1 12" xfId="5"/>
    <cellStyle name="20% - Accent1 13" xfId="6"/>
    <cellStyle name="20% - Accent1 14" xfId="7"/>
    <cellStyle name="20% - Accent1 15" xfId="8"/>
    <cellStyle name="20% - Accent1 16" xfId="9"/>
    <cellStyle name="20% - Accent1 17" xfId="10"/>
    <cellStyle name="20% - Accent1 2" xfId="11"/>
    <cellStyle name="20% - Accent1 2 10" xfId="287"/>
    <cellStyle name="20% - Accent1 2 2" xfId="288"/>
    <cellStyle name="20% - Accent1 2 2 2" xfId="289"/>
    <cellStyle name="20% - Accent1 2 3" xfId="290"/>
    <cellStyle name="20% - Accent1 2 3 2" xfId="291"/>
    <cellStyle name="20% - Accent1 2 4" xfId="292"/>
    <cellStyle name="20% - Accent1 2 5" xfId="293"/>
    <cellStyle name="20% - Accent1 2 6" xfId="294"/>
    <cellStyle name="20% - Accent1 2 7" xfId="295"/>
    <cellStyle name="20% - Accent1 2 8" xfId="296"/>
    <cellStyle name="20% - Accent1 2 9" xfId="297"/>
    <cellStyle name="20% - Accent1 3" xfId="12"/>
    <cellStyle name="20% - Accent1 3 2" xfId="298"/>
    <cellStyle name="20% - Accent1 4" xfId="13"/>
    <cellStyle name="20% - Accent1 4 2" xfId="299"/>
    <cellStyle name="20% - Accent1 5" xfId="14"/>
    <cellStyle name="20% - Accent1 5 2" xfId="300"/>
    <cellStyle name="20% - Accent1 6" xfId="15"/>
    <cellStyle name="20% - Accent1 7" xfId="16"/>
    <cellStyle name="20% - Accent1 8" xfId="17"/>
    <cellStyle name="20% - Accent1 9" xfId="18"/>
    <cellStyle name="20% - Accent2 10" xfId="19"/>
    <cellStyle name="20% - Accent2 11" xfId="20"/>
    <cellStyle name="20% - Accent2 12" xfId="21"/>
    <cellStyle name="20% - Accent2 13" xfId="22"/>
    <cellStyle name="20% - Accent2 14" xfId="23"/>
    <cellStyle name="20% - Accent2 15" xfId="24"/>
    <cellStyle name="20% - Accent2 16" xfId="25"/>
    <cellStyle name="20% - Accent2 17" xfId="26"/>
    <cellStyle name="20% - Accent2 2" xfId="27"/>
    <cellStyle name="20% - Accent2 2 10" xfId="301"/>
    <cellStyle name="20% - Accent2 2 2" xfId="302"/>
    <cellStyle name="20% - Accent2 2 3" xfId="303"/>
    <cellStyle name="20% - Accent2 2 4" xfId="304"/>
    <cellStyle name="20% - Accent2 2 5" xfId="305"/>
    <cellStyle name="20% - Accent2 2 6" xfId="306"/>
    <cellStyle name="20% - Accent2 2 7" xfId="307"/>
    <cellStyle name="20% - Accent2 2 8" xfId="308"/>
    <cellStyle name="20% - Accent2 2 9" xfId="309"/>
    <cellStyle name="20% - Accent2 3" xfId="28"/>
    <cellStyle name="20% - Accent2 3 2" xfId="310"/>
    <cellStyle name="20% - Accent2 4" xfId="29"/>
    <cellStyle name="20% - Accent2 4 2" xfId="311"/>
    <cellStyle name="20% - Accent2 5" xfId="30"/>
    <cellStyle name="20% - Accent2 5 2" xfId="312"/>
    <cellStyle name="20% - Accent2 6" xfId="31"/>
    <cellStyle name="20% - Accent2 7" xfId="32"/>
    <cellStyle name="20% - Accent2 8" xfId="33"/>
    <cellStyle name="20% - Accent2 9" xfId="34"/>
    <cellStyle name="20% - Accent3 10" xfId="35"/>
    <cellStyle name="20% - Accent3 11" xfId="36"/>
    <cellStyle name="20% - Accent3 12" xfId="37"/>
    <cellStyle name="20% - Accent3 13" xfId="38"/>
    <cellStyle name="20% - Accent3 14" xfId="39"/>
    <cellStyle name="20% - Accent3 15" xfId="40"/>
    <cellStyle name="20% - Accent3 16" xfId="41"/>
    <cellStyle name="20% - Accent3 17" xfId="42"/>
    <cellStyle name="20% - Accent3 2" xfId="43"/>
    <cellStyle name="20% - Accent3 2 10" xfId="313"/>
    <cellStyle name="20% - Accent3 2 2" xfId="314"/>
    <cellStyle name="20% - Accent3 2 3" xfId="315"/>
    <cellStyle name="20% - Accent3 2 4" xfId="316"/>
    <cellStyle name="20% - Accent3 2 5" xfId="317"/>
    <cellStyle name="20% - Accent3 2 6" xfId="318"/>
    <cellStyle name="20% - Accent3 2 7" xfId="319"/>
    <cellStyle name="20% - Accent3 2 8" xfId="320"/>
    <cellStyle name="20% - Accent3 2 9" xfId="321"/>
    <cellStyle name="20% - Accent3 3" xfId="44"/>
    <cellStyle name="20% - Accent3 3 2" xfId="322"/>
    <cellStyle name="20% - Accent3 4" xfId="45"/>
    <cellStyle name="20% - Accent3 4 2" xfId="323"/>
    <cellStyle name="20% - Accent3 5" xfId="46"/>
    <cellStyle name="20% - Accent3 5 2" xfId="324"/>
    <cellStyle name="20% - Accent3 6" xfId="47"/>
    <cellStyle name="20% - Accent3 7" xfId="48"/>
    <cellStyle name="20% - Accent3 8" xfId="49"/>
    <cellStyle name="20% - Accent3 9" xfId="50"/>
    <cellStyle name="20% - Accent4 10" xfId="51"/>
    <cellStyle name="20% - Accent4 11" xfId="52"/>
    <cellStyle name="20% - Accent4 12" xfId="53"/>
    <cellStyle name="20% - Accent4 13" xfId="54"/>
    <cellStyle name="20% - Accent4 14" xfId="55"/>
    <cellStyle name="20% - Accent4 15" xfId="56"/>
    <cellStyle name="20% - Accent4 16" xfId="57"/>
    <cellStyle name="20% - Accent4 17" xfId="58"/>
    <cellStyle name="20% - Accent4 2" xfId="59"/>
    <cellStyle name="20% - Accent4 2 10" xfId="325"/>
    <cellStyle name="20% - Accent4 2 2" xfId="326"/>
    <cellStyle name="20% - Accent4 2 3" xfId="327"/>
    <cellStyle name="20% - Accent4 2 4" xfId="328"/>
    <cellStyle name="20% - Accent4 2 5" xfId="329"/>
    <cellStyle name="20% - Accent4 2 6" xfId="330"/>
    <cellStyle name="20% - Accent4 2 7" xfId="331"/>
    <cellStyle name="20% - Accent4 2 8" xfId="332"/>
    <cellStyle name="20% - Accent4 2 9" xfId="333"/>
    <cellStyle name="20% - Accent4 3" xfId="60"/>
    <cellStyle name="20% - Accent4 3 2" xfId="334"/>
    <cellStyle name="20% - Accent4 4" xfId="61"/>
    <cellStyle name="20% - Accent4 4 2" xfId="335"/>
    <cellStyle name="20% - Accent4 5" xfId="62"/>
    <cellStyle name="20% - Accent4 5 2" xfId="336"/>
    <cellStyle name="20% - Accent4 6" xfId="63"/>
    <cellStyle name="20% - Accent4 7" xfId="64"/>
    <cellStyle name="20% - Accent4 8" xfId="65"/>
    <cellStyle name="20% - Accent4 9" xfId="66"/>
    <cellStyle name="20% - Accent5 10" xfId="67"/>
    <cellStyle name="20% - Accent5 11" xfId="68"/>
    <cellStyle name="20% - Accent5 12" xfId="69"/>
    <cellStyle name="20% - Accent5 13" xfId="70"/>
    <cellStyle name="20% - Accent5 14" xfId="71"/>
    <cellStyle name="20% - Accent5 15" xfId="72"/>
    <cellStyle name="20% - Accent5 16" xfId="73"/>
    <cellStyle name="20% - Accent5 17" xfId="74"/>
    <cellStyle name="20% - Accent5 2" xfId="75"/>
    <cellStyle name="20% - Accent5 2 10" xfId="337"/>
    <cellStyle name="20% - Accent5 2 2" xfId="338"/>
    <cellStyle name="20% - Accent5 2 3" xfId="339"/>
    <cellStyle name="20% - Accent5 2 4" xfId="340"/>
    <cellStyle name="20% - Accent5 2 5" xfId="341"/>
    <cellStyle name="20% - Accent5 2 6" xfId="342"/>
    <cellStyle name="20% - Accent5 2 7" xfId="343"/>
    <cellStyle name="20% - Accent5 2 8" xfId="344"/>
    <cellStyle name="20% - Accent5 2 9" xfId="345"/>
    <cellStyle name="20% - Accent5 3" xfId="76"/>
    <cellStyle name="20% - Accent5 3 2" xfId="346"/>
    <cellStyle name="20% - Accent5 4" xfId="77"/>
    <cellStyle name="20% - Accent5 4 2" xfId="347"/>
    <cellStyle name="20% - Accent5 5" xfId="78"/>
    <cellStyle name="20% - Accent5 5 2" xfId="348"/>
    <cellStyle name="20% - Accent5 6" xfId="79"/>
    <cellStyle name="20% - Accent5 7" xfId="80"/>
    <cellStyle name="20% - Accent5 8" xfId="81"/>
    <cellStyle name="20% - Accent5 9" xfId="82"/>
    <cellStyle name="20% - Accent6 10" xfId="83"/>
    <cellStyle name="20% - Accent6 11" xfId="84"/>
    <cellStyle name="20% - Accent6 12" xfId="85"/>
    <cellStyle name="20% - Accent6 13" xfId="86"/>
    <cellStyle name="20% - Accent6 14" xfId="87"/>
    <cellStyle name="20% - Accent6 15" xfId="88"/>
    <cellStyle name="20% - Accent6 16" xfId="89"/>
    <cellStyle name="20% - Accent6 17" xfId="90"/>
    <cellStyle name="20% - Accent6 2" xfId="91"/>
    <cellStyle name="20% - Accent6 2 10" xfId="349"/>
    <cellStyle name="20% - Accent6 2 2" xfId="350"/>
    <cellStyle name="20% - Accent6 2 3" xfId="351"/>
    <cellStyle name="20% - Accent6 2 4" xfId="352"/>
    <cellStyle name="20% - Accent6 2 5" xfId="353"/>
    <cellStyle name="20% - Accent6 2 6" xfId="354"/>
    <cellStyle name="20% - Accent6 2 7" xfId="355"/>
    <cellStyle name="20% - Accent6 2 8" xfId="356"/>
    <cellStyle name="20% - Accent6 2 9" xfId="357"/>
    <cellStyle name="20% - Accent6 3" xfId="92"/>
    <cellStyle name="20% - Accent6 3 2" xfId="358"/>
    <cellStyle name="20% - Accent6 4" xfId="93"/>
    <cellStyle name="20% - Accent6 4 2" xfId="359"/>
    <cellStyle name="20% - Accent6 5" xfId="94"/>
    <cellStyle name="20% - Accent6 5 2" xfId="360"/>
    <cellStyle name="20% - Accent6 6" xfId="95"/>
    <cellStyle name="20% - Accent6 7" xfId="96"/>
    <cellStyle name="20% - Accent6 8" xfId="97"/>
    <cellStyle name="20% - Accent6 9" xfId="98"/>
    <cellStyle name="40 % - Accent1" xfId="361"/>
    <cellStyle name="40 % - Accent2" xfId="362"/>
    <cellStyle name="40 % - Accent3" xfId="363"/>
    <cellStyle name="40 % - Accent4" xfId="364"/>
    <cellStyle name="40 % - Accent5" xfId="365"/>
    <cellStyle name="40 % - Accent6" xfId="366"/>
    <cellStyle name="40% - Accent1 10" xfId="99"/>
    <cellStyle name="40% - Accent1 11" xfId="100"/>
    <cellStyle name="40% - Accent1 12" xfId="101"/>
    <cellStyle name="40% - Accent1 13" xfId="102"/>
    <cellStyle name="40% - Accent1 14" xfId="103"/>
    <cellStyle name="40% - Accent1 15" xfId="104"/>
    <cellStyle name="40% - Accent1 16" xfId="105"/>
    <cellStyle name="40% - Accent1 17" xfId="106"/>
    <cellStyle name="40% - Accent1 2" xfId="107"/>
    <cellStyle name="40% - Accent1 2 10" xfId="367"/>
    <cellStyle name="40% - Accent1 2 2" xfId="368"/>
    <cellStyle name="40% - Accent1 2 3" xfId="369"/>
    <cellStyle name="40% - Accent1 2 4" xfId="370"/>
    <cellStyle name="40% - Accent1 2 5" xfId="371"/>
    <cellStyle name="40% - Accent1 2 6" xfId="372"/>
    <cellStyle name="40% - Accent1 2 7" xfId="373"/>
    <cellStyle name="40% - Accent1 2 8" xfId="374"/>
    <cellStyle name="40% - Accent1 2 9" xfId="375"/>
    <cellStyle name="40% - Accent1 3" xfId="108"/>
    <cellStyle name="40% - Accent1 3 2" xfId="376"/>
    <cellStyle name="40% - Accent1 4" xfId="109"/>
    <cellStyle name="40% - Accent1 4 2" xfId="377"/>
    <cellStyle name="40% - Accent1 5" xfId="110"/>
    <cellStyle name="40% - Accent1 5 2" xfId="378"/>
    <cellStyle name="40% - Accent1 6" xfId="111"/>
    <cellStyle name="40% - Accent1 7" xfId="112"/>
    <cellStyle name="40% - Accent1 8" xfId="113"/>
    <cellStyle name="40% - Accent1 9" xfId="114"/>
    <cellStyle name="40% - Accent2 10" xfId="115"/>
    <cellStyle name="40% - Accent2 11" xfId="116"/>
    <cellStyle name="40% - Accent2 12" xfId="117"/>
    <cellStyle name="40% - Accent2 13" xfId="118"/>
    <cellStyle name="40% - Accent2 14" xfId="119"/>
    <cellStyle name="40% - Accent2 15" xfId="120"/>
    <cellStyle name="40% - Accent2 16" xfId="121"/>
    <cellStyle name="40% - Accent2 17" xfId="122"/>
    <cellStyle name="40% - Accent2 2" xfId="123"/>
    <cellStyle name="40% - Accent2 2 10" xfId="379"/>
    <cellStyle name="40% - Accent2 2 2" xfId="380"/>
    <cellStyle name="40% - Accent2 2 3" xfId="381"/>
    <cellStyle name="40% - Accent2 2 4" xfId="382"/>
    <cellStyle name="40% - Accent2 2 5" xfId="383"/>
    <cellStyle name="40% - Accent2 2 6" xfId="384"/>
    <cellStyle name="40% - Accent2 2 7" xfId="385"/>
    <cellStyle name="40% - Accent2 2 8" xfId="386"/>
    <cellStyle name="40% - Accent2 2 9" xfId="387"/>
    <cellStyle name="40% - Accent2 3" xfId="124"/>
    <cellStyle name="40% - Accent2 3 2" xfId="388"/>
    <cellStyle name="40% - Accent2 4" xfId="125"/>
    <cellStyle name="40% - Accent2 4 2" xfId="389"/>
    <cellStyle name="40% - Accent2 5" xfId="126"/>
    <cellStyle name="40% - Accent2 5 2" xfId="390"/>
    <cellStyle name="40% - Accent2 6" xfId="127"/>
    <cellStyle name="40% - Accent2 7" xfId="128"/>
    <cellStyle name="40% - Accent2 8" xfId="129"/>
    <cellStyle name="40% - Accent2 9" xfId="130"/>
    <cellStyle name="40% - Accent3 10" xfId="131"/>
    <cellStyle name="40% - Accent3 11" xfId="132"/>
    <cellStyle name="40% - Accent3 12" xfId="133"/>
    <cellStyle name="40% - Accent3 13" xfId="134"/>
    <cellStyle name="40% - Accent3 14" xfId="135"/>
    <cellStyle name="40% - Accent3 15" xfId="136"/>
    <cellStyle name="40% - Accent3 16" xfId="137"/>
    <cellStyle name="40% - Accent3 17" xfId="138"/>
    <cellStyle name="40% - Accent3 2" xfId="139"/>
    <cellStyle name="40% - Accent3 2 10" xfId="391"/>
    <cellStyle name="40% - Accent3 2 2" xfId="392"/>
    <cellStyle name="40% - Accent3 2 2 2" xfId="393"/>
    <cellStyle name="40% - Accent3 2 3" xfId="394"/>
    <cellStyle name="40% - Accent3 2 3 2" xfId="395"/>
    <cellStyle name="40% - Accent3 2 4" xfId="396"/>
    <cellStyle name="40% - Accent3 2 5" xfId="397"/>
    <cellStyle name="40% - Accent3 2 6" xfId="398"/>
    <cellStyle name="40% - Accent3 2 7" xfId="399"/>
    <cellStyle name="40% - Accent3 2 8" xfId="400"/>
    <cellStyle name="40% - Accent3 2 9" xfId="401"/>
    <cellStyle name="40% - Accent3 3" xfId="140"/>
    <cellStyle name="40% - Accent3 3 2" xfId="402"/>
    <cellStyle name="40% - Accent3 4" xfId="141"/>
    <cellStyle name="40% - Accent3 4 2" xfId="403"/>
    <cellStyle name="40% - Accent3 5" xfId="142"/>
    <cellStyle name="40% - Accent3 5 2" xfId="404"/>
    <cellStyle name="40% - Accent3 6" xfId="143"/>
    <cellStyle name="40% - Accent3 7" xfId="144"/>
    <cellStyle name="40% - Accent3 8" xfId="145"/>
    <cellStyle name="40% - Accent3 9" xfId="146"/>
    <cellStyle name="40% - Accent4 10" xfId="147"/>
    <cellStyle name="40% - Accent4 11" xfId="148"/>
    <cellStyle name="40% - Accent4 12" xfId="149"/>
    <cellStyle name="40% - Accent4 13" xfId="150"/>
    <cellStyle name="40% - Accent4 14" xfId="151"/>
    <cellStyle name="40% - Accent4 15" xfId="152"/>
    <cellStyle name="40% - Accent4 16" xfId="153"/>
    <cellStyle name="40% - Accent4 17" xfId="154"/>
    <cellStyle name="40% - Accent4 2" xfId="155"/>
    <cellStyle name="40% - Accent4 2 10" xfId="405"/>
    <cellStyle name="40% - Accent4 2 2" xfId="406"/>
    <cellStyle name="40% - Accent4 2 3" xfId="407"/>
    <cellStyle name="40% - Accent4 2 4" xfId="408"/>
    <cellStyle name="40% - Accent4 2 5" xfId="409"/>
    <cellStyle name="40% - Accent4 2 6" xfId="410"/>
    <cellStyle name="40% - Accent4 2 7" xfId="411"/>
    <cellStyle name="40% - Accent4 2 8" xfId="412"/>
    <cellStyle name="40% - Accent4 2 9" xfId="413"/>
    <cellStyle name="40% - Accent4 3" xfId="156"/>
    <cellStyle name="40% - Accent4 3 2" xfId="414"/>
    <cellStyle name="40% - Accent4 4" xfId="157"/>
    <cellStyle name="40% - Accent4 4 2" xfId="415"/>
    <cellStyle name="40% - Accent4 5" xfId="158"/>
    <cellStyle name="40% - Accent4 5 2" xfId="416"/>
    <cellStyle name="40% - Accent4 6" xfId="159"/>
    <cellStyle name="40% - Accent4 7" xfId="160"/>
    <cellStyle name="40% - Accent4 8" xfId="161"/>
    <cellStyle name="40% - Accent4 9" xfId="162"/>
    <cellStyle name="40% - Accent5 10" xfId="163"/>
    <cellStyle name="40% - Accent5 11" xfId="164"/>
    <cellStyle name="40% - Accent5 12" xfId="165"/>
    <cellStyle name="40% - Accent5 13" xfId="166"/>
    <cellStyle name="40% - Accent5 14" xfId="167"/>
    <cellStyle name="40% - Accent5 15" xfId="168"/>
    <cellStyle name="40% - Accent5 16" xfId="169"/>
    <cellStyle name="40% - Accent5 17" xfId="170"/>
    <cellStyle name="40% - Accent5 2" xfId="171"/>
    <cellStyle name="40% - Accent5 2 10" xfId="417"/>
    <cellStyle name="40% - Accent5 2 2" xfId="418"/>
    <cellStyle name="40% - Accent5 2 3" xfId="419"/>
    <cellStyle name="40% - Accent5 2 4" xfId="420"/>
    <cellStyle name="40% - Accent5 2 5" xfId="421"/>
    <cellStyle name="40% - Accent5 2 6" xfId="422"/>
    <cellStyle name="40% - Accent5 2 7" xfId="423"/>
    <cellStyle name="40% - Accent5 2 8" xfId="424"/>
    <cellStyle name="40% - Accent5 2 9" xfId="425"/>
    <cellStyle name="40% - Accent5 3" xfId="172"/>
    <cellStyle name="40% - Accent5 3 2" xfId="426"/>
    <cellStyle name="40% - Accent5 4" xfId="173"/>
    <cellStyle name="40% - Accent5 4 2" xfId="427"/>
    <cellStyle name="40% - Accent5 5" xfId="174"/>
    <cellStyle name="40% - Accent5 5 2" xfId="428"/>
    <cellStyle name="40% - Accent5 6" xfId="175"/>
    <cellStyle name="40% - Accent5 7" xfId="176"/>
    <cellStyle name="40% - Accent5 8" xfId="177"/>
    <cellStyle name="40% - Accent5 9" xfId="178"/>
    <cellStyle name="40% - Accent6 10" xfId="179"/>
    <cellStyle name="40% - Accent6 11" xfId="180"/>
    <cellStyle name="40% - Accent6 12" xfId="181"/>
    <cellStyle name="40% - Accent6 13" xfId="182"/>
    <cellStyle name="40% - Accent6 14" xfId="183"/>
    <cellStyle name="40% - Accent6 15" xfId="184"/>
    <cellStyle name="40% - Accent6 16" xfId="185"/>
    <cellStyle name="40% - Accent6 17" xfId="186"/>
    <cellStyle name="40% - Accent6 2" xfId="187"/>
    <cellStyle name="40% - Accent6 2 10" xfId="429"/>
    <cellStyle name="40% - Accent6 2 2" xfId="430"/>
    <cellStyle name="40% - Accent6 2 3" xfId="431"/>
    <cellStyle name="40% - Accent6 2 4" xfId="432"/>
    <cellStyle name="40% - Accent6 2 5" xfId="433"/>
    <cellStyle name="40% - Accent6 2 6" xfId="434"/>
    <cellStyle name="40% - Accent6 2 7" xfId="435"/>
    <cellStyle name="40% - Accent6 2 8" xfId="436"/>
    <cellStyle name="40% - Accent6 2 9" xfId="437"/>
    <cellStyle name="40% - Accent6 3" xfId="188"/>
    <cellStyle name="40% - Accent6 3 2" xfId="438"/>
    <cellStyle name="40% - Accent6 4" xfId="189"/>
    <cellStyle name="40% - Accent6 4 2" xfId="439"/>
    <cellStyle name="40% - Accent6 5" xfId="190"/>
    <cellStyle name="40% - Accent6 5 2" xfId="440"/>
    <cellStyle name="40% - Accent6 6" xfId="191"/>
    <cellStyle name="40% - Accent6 7" xfId="192"/>
    <cellStyle name="40% - Accent6 8" xfId="193"/>
    <cellStyle name="40% - Accent6 9" xfId="194"/>
    <cellStyle name="60 % - Accent1" xfId="441"/>
    <cellStyle name="60 % - Accent2" xfId="442"/>
    <cellStyle name="60 % - Accent3" xfId="443"/>
    <cellStyle name="60 % - Accent4" xfId="444"/>
    <cellStyle name="60 % - Accent5" xfId="445"/>
    <cellStyle name="60 % - Accent6" xfId="446"/>
    <cellStyle name="60% - Accent1 2" xfId="447"/>
    <cellStyle name="60% - Accent1 2 10" xfId="448"/>
    <cellStyle name="60% - Accent1 2 2" xfId="449"/>
    <cellStyle name="60% - Accent1 2 3" xfId="450"/>
    <cellStyle name="60% - Accent1 2 4" xfId="451"/>
    <cellStyle name="60% - Accent1 2 5" xfId="452"/>
    <cellStyle name="60% - Accent1 2 6" xfId="453"/>
    <cellStyle name="60% - Accent1 2 7" xfId="454"/>
    <cellStyle name="60% - Accent1 2 8" xfId="455"/>
    <cellStyle name="60% - Accent1 2 9" xfId="456"/>
    <cellStyle name="60% - Accent1 3" xfId="457"/>
    <cellStyle name="60% - Accent1 3 2" xfId="458"/>
    <cellStyle name="60% - Accent1 4" xfId="459"/>
    <cellStyle name="60% - Accent1 4 2" xfId="460"/>
    <cellStyle name="60% - Accent1 5" xfId="461"/>
    <cellStyle name="60% - Accent1 5 2" xfId="462"/>
    <cellStyle name="60% - Accent1 6" xfId="463"/>
    <cellStyle name="60% - Accent2 2" xfId="464"/>
    <cellStyle name="60% - Accent2 2 10" xfId="465"/>
    <cellStyle name="60% - Accent2 2 2" xfId="466"/>
    <cellStyle name="60% - Accent2 2 3" xfId="467"/>
    <cellStyle name="60% - Accent2 2 4" xfId="468"/>
    <cellStyle name="60% - Accent2 2 5" xfId="469"/>
    <cellStyle name="60% - Accent2 2 6" xfId="470"/>
    <cellStyle name="60% - Accent2 2 7" xfId="471"/>
    <cellStyle name="60% - Accent2 2 8" xfId="472"/>
    <cellStyle name="60% - Accent2 2 9" xfId="473"/>
    <cellStyle name="60% - Accent2 3" xfId="474"/>
    <cellStyle name="60% - Accent2 3 2" xfId="475"/>
    <cellStyle name="60% - Accent2 4" xfId="476"/>
    <cellStyle name="60% - Accent2 4 2" xfId="477"/>
    <cellStyle name="60% - Accent2 5" xfId="478"/>
    <cellStyle name="60% - Accent2 5 2" xfId="479"/>
    <cellStyle name="60% - Accent2 6" xfId="480"/>
    <cellStyle name="60% - Accent3 2" xfId="481"/>
    <cellStyle name="60% - Accent3 2 10" xfId="482"/>
    <cellStyle name="60% - Accent3 2 2" xfId="483"/>
    <cellStyle name="60% - Accent3 2 3" xfId="484"/>
    <cellStyle name="60% - Accent3 2 4" xfId="485"/>
    <cellStyle name="60% - Accent3 2 5" xfId="486"/>
    <cellStyle name="60% - Accent3 2 6" xfId="487"/>
    <cellStyle name="60% - Accent3 2 7" xfId="488"/>
    <cellStyle name="60% - Accent3 2 8" xfId="489"/>
    <cellStyle name="60% - Accent3 2 9" xfId="490"/>
    <cellStyle name="60% - Accent3 3" xfId="491"/>
    <cellStyle name="60% - Accent3 3 2" xfId="492"/>
    <cellStyle name="60% - Accent3 4" xfId="493"/>
    <cellStyle name="60% - Accent3 4 2" xfId="494"/>
    <cellStyle name="60% - Accent3 5" xfId="495"/>
    <cellStyle name="60% - Accent3 5 2" xfId="496"/>
    <cellStyle name="60% - Accent3 6" xfId="497"/>
    <cellStyle name="60% - Accent4 2" xfId="498"/>
    <cellStyle name="60% - Accent4 2 10" xfId="499"/>
    <cellStyle name="60% - Accent4 2 2" xfId="500"/>
    <cellStyle name="60% - Accent4 2 3" xfId="501"/>
    <cellStyle name="60% - Accent4 2 4" xfId="502"/>
    <cellStyle name="60% - Accent4 2 5" xfId="503"/>
    <cellStyle name="60% - Accent4 2 6" xfId="504"/>
    <cellStyle name="60% - Accent4 2 7" xfId="505"/>
    <cellStyle name="60% - Accent4 2 8" xfId="506"/>
    <cellStyle name="60% - Accent4 2 9" xfId="507"/>
    <cellStyle name="60% - Accent4 3" xfId="508"/>
    <cellStyle name="60% - Accent4 3 2" xfId="509"/>
    <cellStyle name="60% - Accent4 4" xfId="510"/>
    <cellStyle name="60% - Accent4 4 2" xfId="511"/>
    <cellStyle name="60% - Accent4 5" xfId="512"/>
    <cellStyle name="60% - Accent4 5 2" xfId="513"/>
    <cellStyle name="60% - Accent4 6" xfId="514"/>
    <cellStyle name="60% - Accent5 2" xfId="515"/>
    <cellStyle name="60% - Accent5 2 10" xfId="516"/>
    <cellStyle name="60% - Accent5 2 2" xfId="517"/>
    <cellStyle name="60% - Accent5 2 3" xfId="518"/>
    <cellStyle name="60% - Accent5 2 4" xfId="519"/>
    <cellStyle name="60% - Accent5 2 5" xfId="520"/>
    <cellStyle name="60% - Accent5 2 6" xfId="521"/>
    <cellStyle name="60% - Accent5 2 7" xfId="522"/>
    <cellStyle name="60% - Accent5 2 8" xfId="523"/>
    <cellStyle name="60% - Accent5 2 9" xfId="524"/>
    <cellStyle name="60% - Accent5 3" xfId="525"/>
    <cellStyle name="60% - Accent5 3 2" xfId="526"/>
    <cellStyle name="60% - Accent5 4" xfId="527"/>
    <cellStyle name="60% - Accent5 4 2" xfId="528"/>
    <cellStyle name="60% - Accent5 5" xfId="529"/>
    <cellStyle name="60% - Accent5 5 2" xfId="530"/>
    <cellStyle name="60% - Accent5 6" xfId="531"/>
    <cellStyle name="60% - Accent6 2" xfId="532"/>
    <cellStyle name="60% - Accent6 2 10" xfId="533"/>
    <cellStyle name="60% - Accent6 2 2" xfId="534"/>
    <cellStyle name="60% - Accent6 2 3" xfId="535"/>
    <cellStyle name="60% - Accent6 2 4" xfId="536"/>
    <cellStyle name="60% - Accent6 2 5" xfId="537"/>
    <cellStyle name="60% - Accent6 2 6" xfId="538"/>
    <cellStyle name="60% - Accent6 2 7" xfId="539"/>
    <cellStyle name="60% - Accent6 2 8" xfId="540"/>
    <cellStyle name="60% - Accent6 2 9" xfId="541"/>
    <cellStyle name="60% - Accent6 3" xfId="542"/>
    <cellStyle name="60% - Accent6 3 2" xfId="543"/>
    <cellStyle name="60% - Accent6 4" xfId="544"/>
    <cellStyle name="60% - Accent6 4 2" xfId="545"/>
    <cellStyle name="60% - Accent6 5" xfId="546"/>
    <cellStyle name="60% - Accent6 5 2" xfId="547"/>
    <cellStyle name="60% - Accent6 6" xfId="548"/>
    <cellStyle name="75" xfId="549"/>
    <cellStyle name="75 2" xfId="550"/>
    <cellStyle name="Accent1 - 20%" xfId="551"/>
    <cellStyle name="Accent1 - 20% 10" xfId="552"/>
    <cellStyle name="Accent1 - 20% 11" xfId="553"/>
    <cellStyle name="Accent1 - 20% 12" xfId="554"/>
    <cellStyle name="Accent1 - 20% 13" xfId="555"/>
    <cellStyle name="Accent1 - 20% 14" xfId="556"/>
    <cellStyle name="Accent1 - 20% 15" xfId="557"/>
    <cellStyle name="Accent1 - 20% 16" xfId="558"/>
    <cellStyle name="Accent1 - 20% 17" xfId="559"/>
    <cellStyle name="Accent1 - 20% 18" xfId="560"/>
    <cellStyle name="Accent1 - 20% 19" xfId="561"/>
    <cellStyle name="Accent1 - 20% 2" xfId="562"/>
    <cellStyle name="Accent1 - 20% 20" xfId="563"/>
    <cellStyle name="Accent1 - 20% 21" xfId="564"/>
    <cellStyle name="Accent1 - 20% 22" xfId="565"/>
    <cellStyle name="Accent1 - 20% 3" xfId="566"/>
    <cellStyle name="Accent1 - 20% 4" xfId="567"/>
    <cellStyle name="Accent1 - 20% 5" xfId="568"/>
    <cellStyle name="Accent1 - 20% 6" xfId="569"/>
    <cellStyle name="Accent1 - 20% 7" xfId="570"/>
    <cellStyle name="Accent1 - 20% 8" xfId="571"/>
    <cellStyle name="Accent1 - 20% 9" xfId="572"/>
    <cellStyle name="Accent1 - 40%" xfId="573"/>
    <cellStyle name="Accent1 - 40% 10" xfId="574"/>
    <cellStyle name="Accent1 - 40% 11" xfId="575"/>
    <cellStyle name="Accent1 - 40% 12" xfId="576"/>
    <cellStyle name="Accent1 - 40% 13" xfId="577"/>
    <cellStyle name="Accent1 - 40% 14" xfId="578"/>
    <cellStyle name="Accent1 - 40% 15" xfId="579"/>
    <cellStyle name="Accent1 - 40% 16" xfId="580"/>
    <cellStyle name="Accent1 - 40% 17" xfId="581"/>
    <cellStyle name="Accent1 - 40% 18" xfId="582"/>
    <cellStyle name="Accent1 - 40% 19" xfId="583"/>
    <cellStyle name="Accent1 - 40% 2" xfId="584"/>
    <cellStyle name="Accent1 - 40% 20" xfId="585"/>
    <cellStyle name="Accent1 - 40% 21" xfId="586"/>
    <cellStyle name="Accent1 - 40% 22" xfId="587"/>
    <cellStyle name="Accent1 - 40% 3" xfId="588"/>
    <cellStyle name="Accent1 - 40% 4" xfId="589"/>
    <cellStyle name="Accent1 - 40% 5" xfId="590"/>
    <cellStyle name="Accent1 - 40% 6" xfId="591"/>
    <cellStyle name="Accent1 - 40% 7" xfId="592"/>
    <cellStyle name="Accent1 - 40% 8" xfId="593"/>
    <cellStyle name="Accent1 - 40% 9" xfId="594"/>
    <cellStyle name="Accent1 - 60%" xfId="595"/>
    <cellStyle name="Accent1 - 60% 2" xfId="596"/>
    <cellStyle name="Accent1 2" xfId="597"/>
    <cellStyle name="Accent1 2 10" xfId="598"/>
    <cellStyle name="Accent1 2 2" xfId="599"/>
    <cellStyle name="Accent1 2 3" xfId="600"/>
    <cellStyle name="Accent1 2 4" xfId="601"/>
    <cellStyle name="Accent1 2 5" xfId="602"/>
    <cellStyle name="Accent1 2 6" xfId="603"/>
    <cellStyle name="Accent1 2 7" xfId="604"/>
    <cellStyle name="Accent1 2 8" xfId="605"/>
    <cellStyle name="Accent1 2 9" xfId="606"/>
    <cellStyle name="Accent1 3" xfId="607"/>
    <cellStyle name="Accent1 3 2" xfId="608"/>
    <cellStyle name="Accent1 4" xfId="609"/>
    <cellStyle name="Accent1 4 2" xfId="610"/>
    <cellStyle name="Accent1 5" xfId="611"/>
    <cellStyle name="Accent1 5 2" xfId="612"/>
    <cellStyle name="Accent1 6" xfId="613"/>
    <cellStyle name="Accent2 - 20%" xfId="614"/>
    <cellStyle name="Accent2 - 20% 10" xfId="615"/>
    <cellStyle name="Accent2 - 20% 11" xfId="616"/>
    <cellStyle name="Accent2 - 20% 12" xfId="617"/>
    <cellStyle name="Accent2 - 20% 13" xfId="618"/>
    <cellStyle name="Accent2 - 20% 14" xfId="619"/>
    <cellStyle name="Accent2 - 20% 15" xfId="620"/>
    <cellStyle name="Accent2 - 20% 16" xfId="621"/>
    <cellStyle name="Accent2 - 20% 17" xfId="622"/>
    <cellStyle name="Accent2 - 20% 18" xfId="623"/>
    <cellStyle name="Accent2 - 20% 19" xfId="624"/>
    <cellStyle name="Accent2 - 20% 2" xfId="625"/>
    <cellStyle name="Accent2 - 20% 20" xfId="626"/>
    <cellStyle name="Accent2 - 20% 21" xfId="627"/>
    <cellStyle name="Accent2 - 20% 22" xfId="628"/>
    <cellStyle name="Accent2 - 20% 3" xfId="629"/>
    <cellStyle name="Accent2 - 20% 4" xfId="630"/>
    <cellStyle name="Accent2 - 20% 5" xfId="631"/>
    <cellStyle name="Accent2 - 20% 6" xfId="632"/>
    <cellStyle name="Accent2 - 20% 7" xfId="633"/>
    <cellStyle name="Accent2 - 20% 8" xfId="634"/>
    <cellStyle name="Accent2 - 20% 9" xfId="635"/>
    <cellStyle name="Accent2 - 40%" xfId="636"/>
    <cellStyle name="Accent2 - 40% 10" xfId="637"/>
    <cellStyle name="Accent2 - 40% 11" xfId="638"/>
    <cellStyle name="Accent2 - 40% 12" xfId="639"/>
    <cellStyle name="Accent2 - 40% 13" xfId="640"/>
    <cellStyle name="Accent2 - 40% 14" xfId="641"/>
    <cellStyle name="Accent2 - 40% 15" xfId="642"/>
    <cellStyle name="Accent2 - 40% 16" xfId="643"/>
    <cellStyle name="Accent2 - 40% 17" xfId="644"/>
    <cellStyle name="Accent2 - 40% 18" xfId="645"/>
    <cellStyle name="Accent2 - 40% 19" xfId="646"/>
    <cellStyle name="Accent2 - 40% 2" xfId="647"/>
    <cellStyle name="Accent2 - 40% 20" xfId="648"/>
    <cellStyle name="Accent2 - 40% 21" xfId="649"/>
    <cellStyle name="Accent2 - 40% 22" xfId="650"/>
    <cellStyle name="Accent2 - 40% 3" xfId="651"/>
    <cellStyle name="Accent2 - 40% 4" xfId="652"/>
    <cellStyle name="Accent2 - 40% 5" xfId="653"/>
    <cellStyle name="Accent2 - 40% 6" xfId="654"/>
    <cellStyle name="Accent2 - 40% 7" xfId="655"/>
    <cellStyle name="Accent2 - 40% 8" xfId="656"/>
    <cellStyle name="Accent2 - 40% 9" xfId="657"/>
    <cellStyle name="Accent2 - 60%" xfId="658"/>
    <cellStyle name="Accent2 - 60% 2" xfId="659"/>
    <cellStyle name="Accent2 2" xfId="660"/>
    <cellStyle name="Accent2 2 10" xfId="661"/>
    <cellStyle name="Accent2 2 2" xfId="662"/>
    <cellStyle name="Accent2 2 3" xfId="663"/>
    <cellStyle name="Accent2 2 4" xfId="664"/>
    <cellStyle name="Accent2 2 5" xfId="665"/>
    <cellStyle name="Accent2 2 6" xfId="666"/>
    <cellStyle name="Accent2 2 7" xfId="667"/>
    <cellStyle name="Accent2 2 8" xfId="668"/>
    <cellStyle name="Accent2 2 9" xfId="669"/>
    <cellStyle name="Accent2 3" xfId="670"/>
    <cellStyle name="Accent2 3 2" xfId="671"/>
    <cellStyle name="Accent2 4" xfId="672"/>
    <cellStyle name="Accent2 4 2" xfId="673"/>
    <cellStyle name="Accent2 5" xfId="674"/>
    <cellStyle name="Accent2 5 2" xfId="675"/>
    <cellStyle name="Accent2 6" xfId="676"/>
    <cellStyle name="Accent3 - 20%" xfId="677"/>
    <cellStyle name="Accent3 - 20% 10" xfId="678"/>
    <cellStyle name="Accent3 - 20% 11" xfId="679"/>
    <cellStyle name="Accent3 - 20% 12" xfId="680"/>
    <cellStyle name="Accent3 - 20% 13" xfId="681"/>
    <cellStyle name="Accent3 - 20% 14" xfId="682"/>
    <cellStyle name="Accent3 - 20% 15" xfId="683"/>
    <cellStyle name="Accent3 - 20% 16" xfId="684"/>
    <cellStyle name="Accent3 - 20% 17" xfId="685"/>
    <cellStyle name="Accent3 - 20% 18" xfId="686"/>
    <cellStyle name="Accent3 - 20% 19" xfId="687"/>
    <cellStyle name="Accent3 - 20% 2" xfId="688"/>
    <cellStyle name="Accent3 - 20% 20" xfId="689"/>
    <cellStyle name="Accent3 - 20% 21" xfId="690"/>
    <cellStyle name="Accent3 - 20% 22" xfId="691"/>
    <cellStyle name="Accent3 - 20% 3" xfId="692"/>
    <cellStyle name="Accent3 - 20% 4" xfId="693"/>
    <cellStyle name="Accent3 - 20% 5" xfId="694"/>
    <cellStyle name="Accent3 - 20% 6" xfId="695"/>
    <cellStyle name="Accent3 - 20% 7" xfId="696"/>
    <cellStyle name="Accent3 - 20% 8" xfId="697"/>
    <cellStyle name="Accent3 - 20% 9" xfId="698"/>
    <cellStyle name="Accent3 - 40%" xfId="699"/>
    <cellStyle name="Accent3 - 40% 10" xfId="700"/>
    <cellStyle name="Accent3 - 40% 11" xfId="701"/>
    <cellStyle name="Accent3 - 40% 12" xfId="702"/>
    <cellStyle name="Accent3 - 40% 13" xfId="703"/>
    <cellStyle name="Accent3 - 40% 14" xfId="704"/>
    <cellStyle name="Accent3 - 40% 15" xfId="705"/>
    <cellStyle name="Accent3 - 40% 16" xfId="706"/>
    <cellStyle name="Accent3 - 40% 17" xfId="707"/>
    <cellStyle name="Accent3 - 40% 18" xfId="708"/>
    <cellStyle name="Accent3 - 40% 19" xfId="709"/>
    <cellStyle name="Accent3 - 40% 2" xfId="710"/>
    <cellStyle name="Accent3 - 40% 20" xfId="711"/>
    <cellStyle name="Accent3 - 40% 21" xfId="712"/>
    <cellStyle name="Accent3 - 40% 22" xfId="713"/>
    <cellStyle name="Accent3 - 40% 3" xfId="714"/>
    <cellStyle name="Accent3 - 40% 4" xfId="715"/>
    <cellStyle name="Accent3 - 40% 5" xfId="716"/>
    <cellStyle name="Accent3 - 40% 6" xfId="717"/>
    <cellStyle name="Accent3 - 40% 7" xfId="718"/>
    <cellStyle name="Accent3 - 40% 8" xfId="719"/>
    <cellStyle name="Accent3 - 40% 9" xfId="720"/>
    <cellStyle name="Accent3 - 60%" xfId="721"/>
    <cellStyle name="Accent3 - 60% 2" xfId="722"/>
    <cellStyle name="Accent3 2" xfId="723"/>
    <cellStyle name="Accent3 2 10" xfId="724"/>
    <cellStyle name="Accent3 2 2" xfId="725"/>
    <cellStyle name="Accent3 2 3" xfId="726"/>
    <cellStyle name="Accent3 2 4" xfId="727"/>
    <cellStyle name="Accent3 2 5" xfId="728"/>
    <cellStyle name="Accent3 2 6" xfId="729"/>
    <cellStyle name="Accent3 2 7" xfId="730"/>
    <cellStyle name="Accent3 2 8" xfId="731"/>
    <cellStyle name="Accent3 2 9" xfId="732"/>
    <cellStyle name="Accent3 3" xfId="733"/>
    <cellStyle name="Accent3 3 2" xfId="734"/>
    <cellStyle name="Accent3 4" xfId="735"/>
    <cellStyle name="Accent3 4 2" xfId="736"/>
    <cellStyle name="Accent3 5" xfId="737"/>
    <cellStyle name="Accent3 5 2" xfId="738"/>
    <cellStyle name="Accent3 6" xfId="739"/>
    <cellStyle name="Accent4 - 20%" xfId="740"/>
    <cellStyle name="Accent4 - 20% 10" xfId="741"/>
    <cellStyle name="Accent4 - 20% 11" xfId="742"/>
    <cellStyle name="Accent4 - 20% 12" xfId="743"/>
    <cellStyle name="Accent4 - 20% 13" xfId="744"/>
    <cellStyle name="Accent4 - 20% 14" xfId="745"/>
    <cellStyle name="Accent4 - 20% 15" xfId="746"/>
    <cellStyle name="Accent4 - 20% 16" xfId="747"/>
    <cellStyle name="Accent4 - 20% 17" xfId="748"/>
    <cellStyle name="Accent4 - 20% 18" xfId="749"/>
    <cellStyle name="Accent4 - 20% 19" xfId="750"/>
    <cellStyle name="Accent4 - 20% 2" xfId="751"/>
    <cellStyle name="Accent4 - 20% 20" xfId="752"/>
    <cellStyle name="Accent4 - 20% 21" xfId="753"/>
    <cellStyle name="Accent4 - 20% 22" xfId="754"/>
    <cellStyle name="Accent4 - 20% 3" xfId="755"/>
    <cellStyle name="Accent4 - 20% 4" xfId="756"/>
    <cellStyle name="Accent4 - 20% 5" xfId="757"/>
    <cellStyle name="Accent4 - 20% 6" xfId="758"/>
    <cellStyle name="Accent4 - 20% 7" xfId="759"/>
    <cellStyle name="Accent4 - 20% 8" xfId="760"/>
    <cellStyle name="Accent4 - 20% 9" xfId="761"/>
    <cellStyle name="Accent4 - 40%" xfId="762"/>
    <cellStyle name="Accent4 - 40% 10" xfId="763"/>
    <cellStyle name="Accent4 - 40% 11" xfId="764"/>
    <cellStyle name="Accent4 - 40% 12" xfId="765"/>
    <cellStyle name="Accent4 - 40% 13" xfId="766"/>
    <cellStyle name="Accent4 - 40% 14" xfId="767"/>
    <cellStyle name="Accent4 - 40% 15" xfId="768"/>
    <cellStyle name="Accent4 - 40% 16" xfId="769"/>
    <cellStyle name="Accent4 - 40% 17" xfId="770"/>
    <cellStyle name="Accent4 - 40% 18" xfId="771"/>
    <cellStyle name="Accent4 - 40% 19" xfId="772"/>
    <cellStyle name="Accent4 - 40% 2" xfId="773"/>
    <cellStyle name="Accent4 - 40% 20" xfId="774"/>
    <cellStyle name="Accent4 - 40% 21" xfId="775"/>
    <cellStyle name="Accent4 - 40% 22" xfId="776"/>
    <cellStyle name="Accent4 - 40% 3" xfId="777"/>
    <cellStyle name="Accent4 - 40% 4" xfId="778"/>
    <cellStyle name="Accent4 - 40% 5" xfId="779"/>
    <cellStyle name="Accent4 - 40% 6" xfId="780"/>
    <cellStyle name="Accent4 - 40% 7" xfId="781"/>
    <cellStyle name="Accent4 - 40% 8" xfId="782"/>
    <cellStyle name="Accent4 - 40% 9" xfId="783"/>
    <cellStyle name="Accent4 - 60%" xfId="784"/>
    <cellStyle name="Accent4 - 60% 2" xfId="785"/>
    <cellStyle name="Accent4 2" xfId="786"/>
    <cellStyle name="Accent4 2 10" xfId="787"/>
    <cellStyle name="Accent4 2 2" xfId="788"/>
    <cellStyle name="Accent4 2 3" xfId="789"/>
    <cellStyle name="Accent4 2 4" xfId="790"/>
    <cellStyle name="Accent4 2 5" xfId="791"/>
    <cellStyle name="Accent4 2 6" xfId="792"/>
    <cellStyle name="Accent4 2 7" xfId="793"/>
    <cellStyle name="Accent4 2 8" xfId="794"/>
    <cellStyle name="Accent4 2 9" xfId="795"/>
    <cellStyle name="Accent4 3" xfId="796"/>
    <cellStyle name="Accent4 3 2" xfId="797"/>
    <cellStyle name="Accent4 4" xfId="798"/>
    <cellStyle name="Accent4 4 2" xfId="799"/>
    <cellStyle name="Accent4 5" xfId="800"/>
    <cellStyle name="Accent4 5 2" xfId="801"/>
    <cellStyle name="Accent4 6" xfId="802"/>
    <cellStyle name="Accent5" xfId="2" builtinId="45"/>
    <cellStyle name="Accent5 - 20%" xfId="803"/>
    <cellStyle name="Accent5 - 20% 10" xfId="804"/>
    <cellStyle name="Accent5 - 20% 11" xfId="805"/>
    <cellStyle name="Accent5 - 20% 12" xfId="806"/>
    <cellStyle name="Accent5 - 20% 13" xfId="807"/>
    <cellStyle name="Accent5 - 20% 14" xfId="808"/>
    <cellStyle name="Accent5 - 20% 15" xfId="809"/>
    <cellStyle name="Accent5 - 20% 16" xfId="810"/>
    <cellStyle name="Accent5 - 20% 17" xfId="811"/>
    <cellStyle name="Accent5 - 20% 18" xfId="812"/>
    <cellStyle name="Accent5 - 20% 19" xfId="813"/>
    <cellStyle name="Accent5 - 20% 2" xfId="814"/>
    <cellStyle name="Accent5 - 20% 20" xfId="815"/>
    <cellStyle name="Accent5 - 20% 21" xfId="816"/>
    <cellStyle name="Accent5 - 20% 22" xfId="817"/>
    <cellStyle name="Accent5 - 20% 3" xfId="818"/>
    <cellStyle name="Accent5 - 20% 4" xfId="819"/>
    <cellStyle name="Accent5 - 20% 5" xfId="820"/>
    <cellStyle name="Accent5 - 20% 6" xfId="821"/>
    <cellStyle name="Accent5 - 20% 7" xfId="822"/>
    <cellStyle name="Accent5 - 20% 8" xfId="823"/>
    <cellStyle name="Accent5 - 20% 9" xfId="824"/>
    <cellStyle name="Accent5 - 40%" xfId="825"/>
    <cellStyle name="Accent5 - 40% 10" xfId="826"/>
    <cellStyle name="Accent5 - 40% 11" xfId="827"/>
    <cellStyle name="Accent5 - 40% 12" xfId="828"/>
    <cellStyle name="Accent5 - 40% 13" xfId="829"/>
    <cellStyle name="Accent5 - 40% 14" xfId="830"/>
    <cellStyle name="Accent5 - 40% 15" xfId="831"/>
    <cellStyle name="Accent5 - 40% 16" xfId="832"/>
    <cellStyle name="Accent5 - 40% 17" xfId="833"/>
    <cellStyle name="Accent5 - 40% 18" xfId="834"/>
    <cellStyle name="Accent5 - 40% 19" xfId="835"/>
    <cellStyle name="Accent5 - 40% 2" xfId="836"/>
    <cellStyle name="Accent5 - 40% 20" xfId="837"/>
    <cellStyle name="Accent5 - 40% 21" xfId="838"/>
    <cellStyle name="Accent5 - 40% 22" xfId="839"/>
    <cellStyle name="Accent5 - 40% 3" xfId="840"/>
    <cellStyle name="Accent5 - 40% 4" xfId="841"/>
    <cellStyle name="Accent5 - 40% 5" xfId="842"/>
    <cellStyle name="Accent5 - 40% 6" xfId="843"/>
    <cellStyle name="Accent5 - 40% 7" xfId="844"/>
    <cellStyle name="Accent5 - 40% 8" xfId="845"/>
    <cellStyle name="Accent5 - 40% 9" xfId="846"/>
    <cellStyle name="Accent5 - 60%" xfId="847"/>
    <cellStyle name="Accent5 - 60% 2" xfId="848"/>
    <cellStyle name="Accent5 2" xfId="849"/>
    <cellStyle name="Accent5 2 10" xfId="850"/>
    <cellStyle name="Accent5 2 2" xfId="851"/>
    <cellStyle name="Accent5 2 3" xfId="852"/>
    <cellStyle name="Accent5 2 4" xfId="853"/>
    <cellStyle name="Accent5 2 5" xfId="854"/>
    <cellStyle name="Accent5 2 6" xfId="855"/>
    <cellStyle name="Accent5 2 7" xfId="856"/>
    <cellStyle name="Accent5 2 8" xfId="857"/>
    <cellStyle name="Accent5 2 9" xfId="858"/>
    <cellStyle name="Accent5 3" xfId="859"/>
    <cellStyle name="Accent5 3 2" xfId="860"/>
    <cellStyle name="Accent5 4" xfId="861"/>
    <cellStyle name="Accent5 4 2" xfId="862"/>
    <cellStyle name="Accent5 5" xfId="863"/>
    <cellStyle name="Accent5 5 2" xfId="864"/>
    <cellStyle name="Accent5 6" xfId="865"/>
    <cellStyle name="Accent6 - 20%" xfId="866"/>
    <cellStyle name="Accent6 - 20% 10" xfId="867"/>
    <cellStyle name="Accent6 - 20% 11" xfId="868"/>
    <cellStyle name="Accent6 - 20% 12" xfId="869"/>
    <cellStyle name="Accent6 - 20% 13" xfId="870"/>
    <cellStyle name="Accent6 - 20% 14" xfId="871"/>
    <cellStyle name="Accent6 - 20% 15" xfId="872"/>
    <cellStyle name="Accent6 - 20% 16" xfId="873"/>
    <cellStyle name="Accent6 - 20% 17" xfId="874"/>
    <cellStyle name="Accent6 - 20% 18" xfId="875"/>
    <cellStyle name="Accent6 - 20% 19" xfId="876"/>
    <cellStyle name="Accent6 - 20% 2" xfId="877"/>
    <cellStyle name="Accent6 - 20% 20" xfId="878"/>
    <cellStyle name="Accent6 - 20% 21" xfId="879"/>
    <cellStyle name="Accent6 - 20% 22" xfId="880"/>
    <cellStyle name="Accent6 - 20% 3" xfId="881"/>
    <cellStyle name="Accent6 - 20% 4" xfId="882"/>
    <cellStyle name="Accent6 - 20% 5" xfId="883"/>
    <cellStyle name="Accent6 - 20% 6" xfId="884"/>
    <cellStyle name="Accent6 - 20% 7" xfId="885"/>
    <cellStyle name="Accent6 - 20% 8" xfId="886"/>
    <cellStyle name="Accent6 - 20% 9" xfId="887"/>
    <cellStyle name="Accent6 - 40%" xfId="888"/>
    <cellStyle name="Accent6 - 40% 10" xfId="889"/>
    <cellStyle name="Accent6 - 40% 11" xfId="890"/>
    <cellStyle name="Accent6 - 40% 12" xfId="891"/>
    <cellStyle name="Accent6 - 40% 13" xfId="892"/>
    <cellStyle name="Accent6 - 40% 14" xfId="893"/>
    <cellStyle name="Accent6 - 40% 15" xfId="894"/>
    <cellStyle name="Accent6 - 40% 16" xfId="895"/>
    <cellStyle name="Accent6 - 40% 17" xfId="896"/>
    <cellStyle name="Accent6 - 40% 18" xfId="897"/>
    <cellStyle name="Accent6 - 40% 19" xfId="898"/>
    <cellStyle name="Accent6 - 40% 2" xfId="899"/>
    <cellStyle name="Accent6 - 40% 20" xfId="900"/>
    <cellStyle name="Accent6 - 40% 21" xfId="901"/>
    <cellStyle name="Accent6 - 40% 22" xfId="902"/>
    <cellStyle name="Accent6 - 40% 3" xfId="903"/>
    <cellStyle name="Accent6 - 40% 4" xfId="904"/>
    <cellStyle name="Accent6 - 40% 5" xfId="905"/>
    <cellStyle name="Accent6 - 40% 6" xfId="906"/>
    <cellStyle name="Accent6 - 40% 7" xfId="907"/>
    <cellStyle name="Accent6 - 40% 8" xfId="908"/>
    <cellStyle name="Accent6 - 40% 9" xfId="909"/>
    <cellStyle name="Accent6 - 60%" xfId="910"/>
    <cellStyle name="Accent6 - 60% 2" xfId="911"/>
    <cellStyle name="Accent6 2" xfId="912"/>
    <cellStyle name="Accent6 2 10" xfId="913"/>
    <cellStyle name="Accent6 2 2" xfId="914"/>
    <cellStyle name="Accent6 2 3" xfId="915"/>
    <cellStyle name="Accent6 2 4" xfId="916"/>
    <cellStyle name="Accent6 2 5" xfId="917"/>
    <cellStyle name="Accent6 2 6" xfId="918"/>
    <cellStyle name="Accent6 2 7" xfId="919"/>
    <cellStyle name="Accent6 2 8" xfId="920"/>
    <cellStyle name="Accent6 2 9" xfId="921"/>
    <cellStyle name="Accent6 3" xfId="922"/>
    <cellStyle name="Accent6 3 2" xfId="923"/>
    <cellStyle name="Accent6 4" xfId="924"/>
    <cellStyle name="Accent6 4 2" xfId="925"/>
    <cellStyle name="Accent6 5" xfId="926"/>
    <cellStyle name="Accent6 5 2" xfId="927"/>
    <cellStyle name="Accent6 6" xfId="928"/>
    <cellStyle name="ÅëÈ­ [0]_±âÅ¸" xfId="929"/>
    <cellStyle name="ÅëÈ­_±âÅ¸" xfId="930"/>
    <cellStyle name="Arial1 - Style1" xfId="931"/>
    <cellStyle name="Arial1 - Style1 2" xfId="932"/>
    <cellStyle name="Arial1 - Style1 3" xfId="933"/>
    <cellStyle name="Arial1 - Style2" xfId="934"/>
    <cellStyle name="Arial1 - Style2 2" xfId="935"/>
    <cellStyle name="Arial1 - Style2 3" xfId="936"/>
    <cellStyle name="Arial10" xfId="937"/>
    <cellStyle name="Arial10 10" xfId="938"/>
    <cellStyle name="Arial10 11" xfId="939"/>
    <cellStyle name="Arial10 12" xfId="940"/>
    <cellStyle name="Arial10 13" xfId="941"/>
    <cellStyle name="Arial10 14" xfId="942"/>
    <cellStyle name="Arial10 15" xfId="943"/>
    <cellStyle name="Arial10 16" xfId="944"/>
    <cellStyle name="Arial10 17" xfId="945"/>
    <cellStyle name="Arial10 18" xfId="946"/>
    <cellStyle name="Arial10 19" xfId="947"/>
    <cellStyle name="Arial10 2" xfId="948"/>
    <cellStyle name="Arial10 20" xfId="949"/>
    <cellStyle name="Arial10 21" xfId="950"/>
    <cellStyle name="Arial10 22" xfId="951"/>
    <cellStyle name="Arial10 3" xfId="952"/>
    <cellStyle name="Arial10 4" xfId="953"/>
    <cellStyle name="Arial10 5" xfId="954"/>
    <cellStyle name="Arial10 6" xfId="955"/>
    <cellStyle name="Arial10 7" xfId="956"/>
    <cellStyle name="Arial10 8" xfId="957"/>
    <cellStyle name="Arial10 9" xfId="958"/>
    <cellStyle name="ÄÞ¸¶ [0]_±âÅ¸" xfId="959"/>
    <cellStyle name="ÄÞ¸¶_±âÅ¸" xfId="960"/>
    <cellStyle name="Avertissement" xfId="961"/>
    <cellStyle name="b1x" xfId="962"/>
    <cellStyle name="Bad 2" xfId="963"/>
    <cellStyle name="Bad 2 10" xfId="964"/>
    <cellStyle name="Bad 2 2" xfId="965"/>
    <cellStyle name="Bad 2 3" xfId="966"/>
    <cellStyle name="Bad 2 4" xfId="967"/>
    <cellStyle name="Bad 2 5" xfId="968"/>
    <cellStyle name="Bad 2 6" xfId="969"/>
    <cellStyle name="Bad 2 7" xfId="970"/>
    <cellStyle name="Bad 2 8" xfId="971"/>
    <cellStyle name="Bad 2 9" xfId="972"/>
    <cellStyle name="Bad 3" xfId="973"/>
    <cellStyle name="Bad 3 2" xfId="974"/>
    <cellStyle name="Bad 4" xfId="975"/>
    <cellStyle name="Bad 4 2" xfId="976"/>
    <cellStyle name="Bad 5" xfId="977"/>
    <cellStyle name="Bad 5 2" xfId="978"/>
    <cellStyle name="Bad 6" xfId="979"/>
    <cellStyle name="C                      " xfId="980"/>
    <cellStyle name="Ç¥ÁØ_¿¬°£´©°è¿¹»ó" xfId="981"/>
    <cellStyle name="Calcul" xfId="982"/>
    <cellStyle name="Calculation 2" xfId="983"/>
    <cellStyle name="Calculation 2 10" xfId="984"/>
    <cellStyle name="Calculation 2 2" xfId="985"/>
    <cellStyle name="Calculation 2 3" xfId="986"/>
    <cellStyle name="Calculation 2 4" xfId="987"/>
    <cellStyle name="Calculation 2 5" xfId="988"/>
    <cellStyle name="Calculation 2 6" xfId="989"/>
    <cellStyle name="Calculation 2 7" xfId="990"/>
    <cellStyle name="Calculation 2 8" xfId="991"/>
    <cellStyle name="Calculation 2 9" xfId="992"/>
    <cellStyle name="Calculation 3" xfId="993"/>
    <cellStyle name="Calculation 3 2" xfId="994"/>
    <cellStyle name="Calculation 4" xfId="995"/>
    <cellStyle name="Calculation 4 2" xfId="996"/>
    <cellStyle name="Calculation 5" xfId="997"/>
    <cellStyle name="Calculation 5 2" xfId="998"/>
    <cellStyle name="Calculation 6" xfId="999"/>
    <cellStyle name="Cellule liée" xfId="1000"/>
    <cellStyle name="Check Cell 2" xfId="1001"/>
    <cellStyle name="Check Cell 2 10" xfId="1002"/>
    <cellStyle name="Check Cell 2 2" xfId="1003"/>
    <cellStyle name="Check Cell 2 3" xfId="1004"/>
    <cellStyle name="Check Cell 2 4" xfId="1005"/>
    <cellStyle name="Check Cell 2 5" xfId="1006"/>
    <cellStyle name="Check Cell 2 6" xfId="1007"/>
    <cellStyle name="Check Cell 2 7" xfId="1008"/>
    <cellStyle name="Check Cell 2 8" xfId="1009"/>
    <cellStyle name="Check Cell 2 9" xfId="1010"/>
    <cellStyle name="Check Cell 3" xfId="1011"/>
    <cellStyle name="Check Cell 3 2" xfId="1012"/>
    <cellStyle name="Check Cell 4" xfId="1013"/>
    <cellStyle name="Check Cell 4 2" xfId="1014"/>
    <cellStyle name="Check Cell 5" xfId="1015"/>
    <cellStyle name="Check Cell 5 2" xfId="1016"/>
    <cellStyle name="Check Cell 6" xfId="1017"/>
    <cellStyle name="Comma  - Style1" xfId="1018"/>
    <cellStyle name="Comma  - Style2" xfId="1019"/>
    <cellStyle name="Comma  - Style3" xfId="1020"/>
    <cellStyle name="Comma  - Style3 2" xfId="1021"/>
    <cellStyle name="Comma  - Style3 3" xfId="1022"/>
    <cellStyle name="Comma  - Style4" xfId="1023"/>
    <cellStyle name="Comma  - Style4 2" xfId="1024"/>
    <cellStyle name="Comma  - Style4 3" xfId="1025"/>
    <cellStyle name="Comma  - Style5" xfId="1026"/>
    <cellStyle name="Comma  - Style5 2" xfId="1027"/>
    <cellStyle name="Comma  - Style5 3" xfId="1028"/>
    <cellStyle name="Comma  - Style6" xfId="1029"/>
    <cellStyle name="Comma  - Style6 2" xfId="1030"/>
    <cellStyle name="Comma  - Style6 3" xfId="1031"/>
    <cellStyle name="Comma  - Style7" xfId="1032"/>
    <cellStyle name="Comma  - Style7 2" xfId="1033"/>
    <cellStyle name="Comma  - Style7 3" xfId="1034"/>
    <cellStyle name="Comma  - Style8" xfId="1035"/>
    <cellStyle name="Comma  - Style8 2" xfId="1036"/>
    <cellStyle name="Comma  - Style8 3" xfId="1037"/>
    <cellStyle name="Comma 10" xfId="1038"/>
    <cellStyle name="Comma 11" xfId="1039"/>
    <cellStyle name="Comma 11 2" xfId="1040"/>
    <cellStyle name="Comma 11 2 2" xfId="2350"/>
    <cellStyle name="Comma 11 3" xfId="2349"/>
    <cellStyle name="Comma 12" xfId="1041"/>
    <cellStyle name="Comma 12 2" xfId="1042"/>
    <cellStyle name="Comma 12 2 2" xfId="2351"/>
    <cellStyle name="Comma 13" xfId="1043"/>
    <cellStyle name="Comma 13 2" xfId="1044"/>
    <cellStyle name="Comma 13 2 2" xfId="2352"/>
    <cellStyle name="Comma 14" xfId="1045"/>
    <cellStyle name="Comma 14 2" xfId="1046"/>
    <cellStyle name="Comma 14 2 2" xfId="2353"/>
    <cellStyle name="Comma 15" xfId="1047"/>
    <cellStyle name="Comma 15 2" xfId="1048"/>
    <cellStyle name="Comma 15 2 2" xfId="2354"/>
    <cellStyle name="Comma 16" xfId="1049"/>
    <cellStyle name="Comma 16 2" xfId="1050"/>
    <cellStyle name="Comma 16 2 2" xfId="1051"/>
    <cellStyle name="Comma 16 2 2 2" xfId="2355"/>
    <cellStyle name="Comma 16 3" xfId="1052"/>
    <cellStyle name="Comma 16 3 2" xfId="2356"/>
    <cellStyle name="Comma 17" xfId="1053"/>
    <cellStyle name="Comma 17 2" xfId="1054"/>
    <cellStyle name="Comma 17 2 2" xfId="2357"/>
    <cellStyle name="Comma 18" xfId="1055"/>
    <cellStyle name="Comma 18 2" xfId="1056"/>
    <cellStyle name="Comma 18 2 2" xfId="2358"/>
    <cellStyle name="Comma 19" xfId="1057"/>
    <cellStyle name="Comma 19 2" xfId="1058"/>
    <cellStyle name="Comma 19 2 2" xfId="2359"/>
    <cellStyle name="Comma 2" xfId="195"/>
    <cellStyle name="Comma 2 10" xfId="1059"/>
    <cellStyle name="Comma 2 10 2" xfId="2360"/>
    <cellStyle name="Comma 2 11" xfId="1060"/>
    <cellStyle name="Comma 2 11 2" xfId="2361"/>
    <cellStyle name="Comma 2 12" xfId="1061"/>
    <cellStyle name="Comma 2 12 2" xfId="2362"/>
    <cellStyle name="Comma 2 13" xfId="1062"/>
    <cellStyle name="Comma 2 13 2" xfId="2363"/>
    <cellStyle name="Comma 2 14" xfId="1063"/>
    <cellStyle name="Comma 2 14 2" xfId="2364"/>
    <cellStyle name="Comma 2 15" xfId="1064"/>
    <cellStyle name="Comma 2 15 2" xfId="2365"/>
    <cellStyle name="Comma 2 16" xfId="1065"/>
    <cellStyle name="Comma 2 16 2" xfId="2366"/>
    <cellStyle name="Comma 2 17" xfId="1066"/>
    <cellStyle name="Comma 2 17 2" xfId="2367"/>
    <cellStyle name="Comma 2 18" xfId="1067"/>
    <cellStyle name="Comma 2 18 2" xfId="2368"/>
    <cellStyle name="Comma 2 19" xfId="1068"/>
    <cellStyle name="Comma 2 19 2" xfId="2369"/>
    <cellStyle name="Comma 2 2" xfId="196"/>
    <cellStyle name="Comma 2 2 2" xfId="197"/>
    <cellStyle name="Comma 2 2 2 2" xfId="1069"/>
    <cellStyle name="Comma 2 2 2 2 2" xfId="2370"/>
    <cellStyle name="Comma 2 2 2 3" xfId="2343"/>
    <cellStyle name="Comma 2 2 3" xfId="1070"/>
    <cellStyle name="Comma 2 2 3 2" xfId="2371"/>
    <cellStyle name="Comma 2 2 4" xfId="2342"/>
    <cellStyle name="Comma 2 20" xfId="1071"/>
    <cellStyle name="Comma 2 20 2" xfId="2372"/>
    <cellStyle name="Comma 2 21" xfId="1072"/>
    <cellStyle name="Comma 2 21 2" xfId="2373"/>
    <cellStyle name="Comma 2 22" xfId="1073"/>
    <cellStyle name="Comma 2 22 2" xfId="2374"/>
    <cellStyle name="Comma 2 23" xfId="1074"/>
    <cellStyle name="Comma 2 23 2" xfId="2375"/>
    <cellStyle name="Comma 2 24" xfId="1075"/>
    <cellStyle name="Comma 2 24 2" xfId="2376"/>
    <cellStyle name="Comma 2 25" xfId="1076"/>
    <cellStyle name="Comma 2 25 2" xfId="2377"/>
    <cellStyle name="Comma 2 3" xfId="1077"/>
    <cellStyle name="Comma 2 3 2" xfId="1078"/>
    <cellStyle name="Comma 2 3 2 2" xfId="2378"/>
    <cellStyle name="Comma 2 4" xfId="1079"/>
    <cellStyle name="Comma 2 4 2" xfId="1080"/>
    <cellStyle name="Comma 2 5" xfId="1081"/>
    <cellStyle name="Comma 2 5 2" xfId="1082"/>
    <cellStyle name="Comma 2 5 2 2" xfId="2379"/>
    <cellStyle name="Comma 2 5 3" xfId="1083"/>
    <cellStyle name="Comma 2 5 3 2" xfId="2380"/>
    <cellStyle name="Comma 2 6" xfId="1084"/>
    <cellStyle name="Comma 2 6 2" xfId="1085"/>
    <cellStyle name="Comma 2 6 2 2" xfId="2381"/>
    <cellStyle name="Comma 2 6 3" xfId="1086"/>
    <cellStyle name="Comma 2 6 3 2" xfId="2382"/>
    <cellStyle name="Comma 2 7" xfId="1087"/>
    <cellStyle name="Comma 2 7 2" xfId="2383"/>
    <cellStyle name="Comma 2 8" xfId="1088"/>
    <cellStyle name="Comma 2 8 2" xfId="2384"/>
    <cellStyle name="Comma 2 9" xfId="1089"/>
    <cellStyle name="Comma 2 9 2" xfId="2385"/>
    <cellStyle name="Comma 2_765KV Final Tower Schedule 27.05.2013" xfId="1090"/>
    <cellStyle name="Comma 20" xfId="2341"/>
    <cellStyle name="Comma 20 2" xfId="2422"/>
    <cellStyle name="Comma 3" xfId="198"/>
    <cellStyle name="Comma 3 10" xfId="1091"/>
    <cellStyle name="Comma 3 10 2" xfId="1092"/>
    <cellStyle name="Comma 3 10 2 2" xfId="2386"/>
    <cellStyle name="Comma 3 11" xfId="1093"/>
    <cellStyle name="Comma 3 11 2" xfId="2387"/>
    <cellStyle name="Comma 3 12" xfId="1094"/>
    <cellStyle name="Comma 3 12 2" xfId="2388"/>
    <cellStyle name="Comma 3 13" xfId="2344"/>
    <cellStyle name="Comma 3 2" xfId="199"/>
    <cellStyle name="Comma 3 2 2" xfId="200"/>
    <cellStyle name="Comma 3 2 2 2" xfId="1095"/>
    <cellStyle name="Comma 3 2 2 2 2" xfId="2389"/>
    <cellStyle name="Comma 3 2 2 3" xfId="2346"/>
    <cellStyle name="Comma 3 2 3" xfId="1096"/>
    <cellStyle name="Comma 3 2 3 2" xfId="2390"/>
    <cellStyle name="Comma 3 2 4" xfId="1097"/>
    <cellStyle name="Comma 3 2 4 2" xfId="2391"/>
    <cellStyle name="Comma 3 2 5" xfId="2345"/>
    <cellStyle name="Comma 3 3" xfId="201"/>
    <cellStyle name="Comma 3 3 2" xfId="1098"/>
    <cellStyle name="Comma 3 3 2 2" xfId="2392"/>
    <cellStyle name="Comma 3 3 3" xfId="1099"/>
    <cellStyle name="Comma 3 3 3 2" xfId="2393"/>
    <cellStyle name="Comma 3 3 4" xfId="2347"/>
    <cellStyle name="Comma 3 4" xfId="1100"/>
    <cellStyle name="Comma 3 4 2" xfId="1101"/>
    <cellStyle name="Comma 3 4 2 2" xfId="2394"/>
    <cellStyle name="Comma 3 4 3" xfId="1102"/>
    <cellStyle name="Comma 3 4 3 2" xfId="2395"/>
    <cellStyle name="Comma 3 5" xfId="1103"/>
    <cellStyle name="Comma 3 5 2" xfId="1104"/>
    <cellStyle name="Comma 3 5 2 2" xfId="2396"/>
    <cellStyle name="Comma 3 5 3" xfId="1105"/>
    <cellStyle name="Comma 3 5 3 2" xfId="2397"/>
    <cellStyle name="Comma 3 6" xfId="1106"/>
    <cellStyle name="Comma 3 6 2" xfId="1107"/>
    <cellStyle name="Comma 3 6 2 2" xfId="2398"/>
    <cellStyle name="Comma 3 6 3" xfId="1108"/>
    <cellStyle name="Comma 3 6 3 2" xfId="2399"/>
    <cellStyle name="Comma 3 7" xfId="1109"/>
    <cellStyle name="Comma 3 7 2" xfId="1110"/>
    <cellStyle name="Comma 3 7 2 2" xfId="2400"/>
    <cellStyle name="Comma 3 7 3" xfId="1111"/>
    <cellStyle name="Comma 3 7 3 2" xfId="2401"/>
    <cellStyle name="Comma 3 8" xfId="1112"/>
    <cellStyle name="Comma 3 8 2" xfId="1113"/>
    <cellStyle name="Comma 3 8 2 2" xfId="2402"/>
    <cellStyle name="Comma 3 8 3" xfId="1114"/>
    <cellStyle name="Comma 3 8 3 2" xfId="2403"/>
    <cellStyle name="Comma 3 9" xfId="1115"/>
    <cellStyle name="Comma 3 9 2" xfId="1116"/>
    <cellStyle name="Comma 3 9 2 2" xfId="2404"/>
    <cellStyle name="Comma 3_765KV Final Tower Schedule 27.05.2013" xfId="1117"/>
    <cellStyle name="Comma 4" xfId="1118"/>
    <cellStyle name="Comma 4 2" xfId="1119"/>
    <cellStyle name="Comma 4 2 2" xfId="1120"/>
    <cellStyle name="Comma 4 2 2 2" xfId="2406"/>
    <cellStyle name="Comma 4 3" xfId="1121"/>
    <cellStyle name="Comma 4 4" xfId="2405"/>
    <cellStyle name="Comma 5" xfId="202"/>
    <cellStyle name="Comma 5 2" xfId="1122"/>
    <cellStyle name="Comma 5 2 2" xfId="1123"/>
    <cellStyle name="Comma 5 2 2 2" xfId="2407"/>
    <cellStyle name="Comma 5 3" xfId="1124"/>
    <cellStyle name="Comma 5 3 2" xfId="2408"/>
    <cellStyle name="Comma 5 4" xfId="2348"/>
    <cellStyle name="Comma 6" xfId="1125"/>
    <cellStyle name="Comma 6 2" xfId="1126"/>
    <cellStyle name="Comma 6 2 2" xfId="1127"/>
    <cellStyle name="Comma 6 2 2 2" xfId="2409"/>
    <cellStyle name="Comma 6 3" xfId="1128"/>
    <cellStyle name="Comma 6 3 2" xfId="1129"/>
    <cellStyle name="Comma 6 3 2 2" xfId="2410"/>
    <cellStyle name="Comma 6 4" xfId="1130"/>
    <cellStyle name="Comma 6 4 2" xfId="1131"/>
    <cellStyle name="Comma 6 4 2 2" xfId="2411"/>
    <cellStyle name="Comma 6 5" xfId="1132"/>
    <cellStyle name="Comma 6 5 2" xfId="1133"/>
    <cellStyle name="Comma 6 5 2 2" xfId="2412"/>
    <cellStyle name="Comma 6 6" xfId="1134"/>
    <cellStyle name="Comma 6 6 2" xfId="1135"/>
    <cellStyle name="Comma 6 6 2 2" xfId="2413"/>
    <cellStyle name="Comma 6 7" xfId="1136"/>
    <cellStyle name="Comma 6 7 2" xfId="2414"/>
    <cellStyle name="Comma 7" xfId="1137"/>
    <cellStyle name="Comma 7 2" xfId="1138"/>
    <cellStyle name="Comma 7 2 2" xfId="1139"/>
    <cellStyle name="Comma 7 2 2 2" xfId="2415"/>
    <cellStyle name="Comma 7 3" xfId="1140"/>
    <cellStyle name="Comma 7 3 2" xfId="1141"/>
    <cellStyle name="Comma 7 3 2 2" xfId="2416"/>
    <cellStyle name="Comma 7 4" xfId="1142"/>
    <cellStyle name="Comma 7 4 2" xfId="1143"/>
    <cellStyle name="Comma 7 4 2 2" xfId="2417"/>
    <cellStyle name="Comma 7 5" xfId="1144"/>
    <cellStyle name="Comma 7 5 2" xfId="1145"/>
    <cellStyle name="Comma 7 5 2 2" xfId="2418"/>
    <cellStyle name="Comma 7 6" xfId="1146"/>
    <cellStyle name="Comma 7 6 2" xfId="2419"/>
    <cellStyle name="Comma 8" xfId="1147"/>
    <cellStyle name="Comma 8 2" xfId="1148"/>
    <cellStyle name="Comma 8 2 2" xfId="2420"/>
    <cellStyle name="Comma 9" xfId="1149"/>
    <cellStyle name="Comma 9 2" xfId="1150"/>
    <cellStyle name="Comma 9 2 2" xfId="2421"/>
    <cellStyle name="Comma0" xfId="1151"/>
    <cellStyle name="Commentaire" xfId="1152"/>
    <cellStyle name="country" xfId="1153"/>
    <cellStyle name="COURIER" xfId="1154"/>
    <cellStyle name="Currency 2" xfId="1155"/>
    <cellStyle name="Currency 2 2" xfId="1156"/>
    <cellStyle name="Currency 2 2 2" xfId="1157"/>
    <cellStyle name="Currency 2 3" xfId="1158"/>
    <cellStyle name="Currency 3" xfId="1159"/>
    <cellStyle name="Currency 3 2" xfId="1160"/>
    <cellStyle name="Currency 4" xfId="1161"/>
    <cellStyle name="Currency 4 2" xfId="1162"/>
    <cellStyle name="Currency0" xfId="1163"/>
    <cellStyle name="Custom - Style8" xfId="1164"/>
    <cellStyle name="Custom - Style8 10" xfId="1165"/>
    <cellStyle name="Custom - Style8 11" xfId="1166"/>
    <cellStyle name="Custom - Style8 2" xfId="1167"/>
    <cellStyle name="Custom - Style8 2 2" xfId="1168"/>
    <cellStyle name="Custom - Style8 2 2 2" xfId="1169"/>
    <cellStyle name="Custom - Style8 2 2 2 2" xfId="1170"/>
    <cellStyle name="Custom - Style8 2 2 3" xfId="1171"/>
    <cellStyle name="Custom - Style8 2 2 4" xfId="1172"/>
    <cellStyle name="Custom - Style8 2 2 5" xfId="1173"/>
    <cellStyle name="Custom - Style8 2 2 6" xfId="1174"/>
    <cellStyle name="Custom - Style8 2 3" xfId="1175"/>
    <cellStyle name="Custom - Style8 2 3 2" xfId="1176"/>
    <cellStyle name="Custom - Style8 2 4" xfId="1177"/>
    <cellStyle name="Custom - Style8 2 5" xfId="1178"/>
    <cellStyle name="Custom - Style8 2 6" xfId="1179"/>
    <cellStyle name="Custom - Style8 3" xfId="1180"/>
    <cellStyle name="Custom - Style8 4" xfId="1181"/>
    <cellStyle name="Custom - Style8 5" xfId="1182"/>
    <cellStyle name="Custom - Style8 6" xfId="1183"/>
    <cellStyle name="Custom - Style8 6 2" xfId="1184"/>
    <cellStyle name="Custom - Style8 7" xfId="1185"/>
    <cellStyle name="Custom - Style8 8" xfId="1186"/>
    <cellStyle name="Custom - Style8 9" xfId="1187"/>
    <cellStyle name="Data   - Style2" xfId="1188"/>
    <cellStyle name="Data   - Style2 10" xfId="1189"/>
    <cellStyle name="Data   - Style2 11" xfId="1190"/>
    <cellStyle name="Data   - Style2 2" xfId="1191"/>
    <cellStyle name="Data   - Style2 2 2" xfId="1192"/>
    <cellStyle name="Data   - Style2 2 2 2" xfId="1193"/>
    <cellStyle name="Data   - Style2 2 2 2 2" xfId="1194"/>
    <cellStyle name="Data   - Style2 2 2 3" xfId="1195"/>
    <cellStyle name="Data   - Style2 2 2 4" xfId="1196"/>
    <cellStyle name="Data   - Style2 2 2 5" xfId="1197"/>
    <cellStyle name="Data   - Style2 2 2 6" xfId="1198"/>
    <cellStyle name="Data   - Style2 2 3" xfId="1199"/>
    <cellStyle name="Data   - Style2 2 3 2" xfId="1200"/>
    <cellStyle name="Data   - Style2 2 4" xfId="1201"/>
    <cellStyle name="Data   - Style2 2 5" xfId="1202"/>
    <cellStyle name="Data   - Style2 2 6" xfId="1203"/>
    <cellStyle name="Data   - Style2 3" xfId="1204"/>
    <cellStyle name="Data   - Style2 4" xfId="1205"/>
    <cellStyle name="Data   - Style2 5" xfId="1206"/>
    <cellStyle name="Data   - Style2 6" xfId="1207"/>
    <cellStyle name="Data   - Style2 6 2" xfId="1208"/>
    <cellStyle name="Data   - Style2 7" xfId="1209"/>
    <cellStyle name="Data   - Style2 8" xfId="1210"/>
    <cellStyle name="Data   - Style2 9" xfId="1211"/>
    <cellStyle name="Date" xfId="1212"/>
    <cellStyle name="Dezimal [0]_Sheet1" xfId="1213"/>
    <cellStyle name="Dezimal_Sheet1" xfId="1214"/>
    <cellStyle name="Emphasis 1" xfId="1215"/>
    <cellStyle name="Emphasis 1 2" xfId="1216"/>
    <cellStyle name="Emphasis 2" xfId="1217"/>
    <cellStyle name="Emphasis 2 2" xfId="1218"/>
    <cellStyle name="Emphasis 3" xfId="1219"/>
    <cellStyle name="Emphasis 3 2" xfId="1220"/>
    <cellStyle name="Entrée" xfId="1221"/>
    <cellStyle name="Euro" xfId="1222"/>
    <cellStyle name="Euro 2" xfId="1223"/>
    <cellStyle name="Euro 3" xfId="1224"/>
    <cellStyle name="Excel Built-in Normal" xfId="1225"/>
    <cellStyle name="Excel Built-in Normal 1" xfId="1226"/>
    <cellStyle name="Excel Built-in Normal 2" xfId="1227"/>
    <cellStyle name="Excel Built-in Normal 3" xfId="1228"/>
    <cellStyle name="Excel Built-in Normal 4" xfId="1229"/>
    <cellStyle name="Excel Built-in Normal 5" xfId="1230"/>
    <cellStyle name="Explanatory Text 2" xfId="1231"/>
    <cellStyle name="Explanatory Text 2 2" xfId="1232"/>
    <cellStyle name="Explanatory Text 2 3" xfId="1233"/>
    <cellStyle name="Explanatory Text 2 4" xfId="1234"/>
    <cellStyle name="Explanatory Text 2 5" xfId="1235"/>
    <cellStyle name="Explanatory Text 2 6" xfId="1236"/>
    <cellStyle name="Explanatory Text 2 7" xfId="1237"/>
    <cellStyle name="Explanatory Text 2 8" xfId="1238"/>
    <cellStyle name="Explanatory Text 2 9" xfId="1239"/>
    <cellStyle name="Explanatory Text 3" xfId="1240"/>
    <cellStyle name="Explanatory Text 3 2" xfId="1241"/>
    <cellStyle name="Explanatory Text 4" xfId="1242"/>
    <cellStyle name="Explanatory Text 4 2" xfId="1243"/>
    <cellStyle name="Explanatory Text 5" xfId="1244"/>
    <cellStyle name="Explanatory Text 5 2" xfId="1245"/>
    <cellStyle name="Explanatory Text 6" xfId="1246"/>
    <cellStyle name="F2" xfId="1247"/>
    <cellStyle name="F2 2" xfId="1248"/>
    <cellStyle name="F3" xfId="1249"/>
    <cellStyle name="F3 2" xfId="1250"/>
    <cellStyle name="F4" xfId="1251"/>
    <cellStyle name="F4 2" xfId="1252"/>
    <cellStyle name="F5" xfId="1253"/>
    <cellStyle name="F5 2" xfId="1254"/>
    <cellStyle name="F6" xfId="1255"/>
    <cellStyle name="F6 2" xfId="1256"/>
    <cellStyle name="F7" xfId="1257"/>
    <cellStyle name="F7 2" xfId="1258"/>
    <cellStyle name="F8" xfId="1259"/>
    <cellStyle name="F8 2" xfId="1260"/>
    <cellStyle name="Fixed" xfId="1261"/>
    <cellStyle name="FORM" xfId="1262"/>
    <cellStyle name="FORM 2" xfId="1263"/>
    <cellStyle name="Formula" xfId="1264"/>
    <cellStyle name="Good" xfId="2340" builtinId="26"/>
    <cellStyle name="Good 2" xfId="1265"/>
    <cellStyle name="Good 2 10" xfId="1266"/>
    <cellStyle name="Good 2 2" xfId="1267"/>
    <cellStyle name="Good 2 3" xfId="1268"/>
    <cellStyle name="Good 2 4" xfId="1269"/>
    <cellStyle name="Good 2 5" xfId="1270"/>
    <cellStyle name="Good 2 6" xfId="1271"/>
    <cellStyle name="Good 2 7" xfId="1272"/>
    <cellStyle name="Good 2 8" xfId="1273"/>
    <cellStyle name="Good 2 9" xfId="1274"/>
    <cellStyle name="Good 3" xfId="1275"/>
    <cellStyle name="Good 3 2" xfId="1276"/>
    <cellStyle name="Good 4" xfId="1277"/>
    <cellStyle name="Good 4 2" xfId="1278"/>
    <cellStyle name="Good 5" xfId="1279"/>
    <cellStyle name="Good 5 2" xfId="1280"/>
    <cellStyle name="Good 6" xfId="1281"/>
    <cellStyle name="Grey" xfId="1282"/>
    <cellStyle name="Happy New Year - 2007" xfId="1283"/>
    <cellStyle name="Happy New Year - 2007 2" xfId="1284"/>
    <cellStyle name="Header1" xfId="1285"/>
    <cellStyle name="Header1 2" xfId="1286"/>
    <cellStyle name="Header2" xfId="1287"/>
    <cellStyle name="Header2 2" xfId="1288"/>
    <cellStyle name="Heading 1 2" xfId="1289"/>
    <cellStyle name="Heading 1 2 2" xfId="1290"/>
    <cellStyle name="Heading 1 2 3" xfId="1291"/>
    <cellStyle name="Heading 1 2 4" xfId="1292"/>
    <cellStyle name="Heading 1 2 5" xfId="1293"/>
    <cellStyle name="Heading 1 2 6" xfId="1294"/>
    <cellStyle name="Heading 1 2 7" xfId="1295"/>
    <cellStyle name="Heading 1 2 8" xfId="1296"/>
    <cellStyle name="Heading 1 2 9" xfId="1297"/>
    <cellStyle name="Heading 1 3" xfId="1298"/>
    <cellStyle name="Heading 1 3 2" xfId="1299"/>
    <cellStyle name="Heading 1 4" xfId="1300"/>
    <cellStyle name="Heading 1 4 2" xfId="1301"/>
    <cellStyle name="Heading 1 5" xfId="1302"/>
    <cellStyle name="Heading 1 5 2" xfId="1303"/>
    <cellStyle name="Heading 1 6" xfId="1304"/>
    <cellStyle name="Heading 2 2" xfId="1305"/>
    <cellStyle name="Heading 2 2 2" xfId="1306"/>
    <cellStyle name="Heading 2 2 3" xfId="1307"/>
    <cellStyle name="Heading 2 2 4" xfId="1308"/>
    <cellStyle name="Heading 2 2 5" xfId="1309"/>
    <cellStyle name="Heading 2 2 6" xfId="1310"/>
    <cellStyle name="Heading 2 2 7" xfId="1311"/>
    <cellStyle name="Heading 2 2 8" xfId="1312"/>
    <cellStyle name="Heading 2 2 9" xfId="1313"/>
    <cellStyle name="Heading 2 3" xfId="1314"/>
    <cellStyle name="Heading 2 3 2" xfId="1315"/>
    <cellStyle name="Heading 2 4" xfId="1316"/>
    <cellStyle name="Heading 2 4 2" xfId="1317"/>
    <cellStyle name="Heading 2 5" xfId="1318"/>
    <cellStyle name="Heading 2 5 2" xfId="1319"/>
    <cellStyle name="Heading 2 6" xfId="1320"/>
    <cellStyle name="Heading 3 2" xfId="1321"/>
    <cellStyle name="Heading 3 2 2" xfId="1322"/>
    <cellStyle name="Heading 3 2 3" xfId="1323"/>
    <cellStyle name="Heading 3 2 4" xfId="1324"/>
    <cellStyle name="Heading 3 2 5" xfId="1325"/>
    <cellStyle name="Heading 3 2 6" xfId="1326"/>
    <cellStyle name="Heading 3 2 7" xfId="1327"/>
    <cellStyle name="Heading 3 2 8" xfId="1328"/>
    <cellStyle name="Heading 3 2 9" xfId="1329"/>
    <cellStyle name="Heading 3 3" xfId="1330"/>
    <cellStyle name="Heading 3 3 2" xfId="1331"/>
    <cellStyle name="Heading 3 4" xfId="1332"/>
    <cellStyle name="Heading 3 4 2" xfId="1333"/>
    <cellStyle name="Heading 3 5" xfId="1334"/>
    <cellStyle name="Heading 3 5 2" xfId="1335"/>
    <cellStyle name="Heading 3 6" xfId="1336"/>
    <cellStyle name="Heading 4 2" xfId="1337"/>
    <cellStyle name="Heading 4 2 2" xfId="1338"/>
    <cellStyle name="Heading 4 2 3" xfId="1339"/>
    <cellStyle name="Heading 4 2 4" xfId="1340"/>
    <cellStyle name="Heading 4 2 5" xfId="1341"/>
    <cellStyle name="Heading 4 2 6" xfId="1342"/>
    <cellStyle name="Heading 4 2 7" xfId="1343"/>
    <cellStyle name="Heading 4 2 8" xfId="1344"/>
    <cellStyle name="Heading 4 2 9" xfId="1345"/>
    <cellStyle name="Heading 4 3" xfId="1346"/>
    <cellStyle name="Heading 4 3 2" xfId="1347"/>
    <cellStyle name="Heading 4 4" xfId="1348"/>
    <cellStyle name="Heading 4 4 2" xfId="1349"/>
    <cellStyle name="Heading 4 5" xfId="1350"/>
    <cellStyle name="Heading 4 5 2" xfId="1351"/>
    <cellStyle name="Heading 4 6" xfId="1352"/>
    <cellStyle name="helv" xfId="1353"/>
    <cellStyle name="helv 2" xfId="1354"/>
    <cellStyle name="Hyperlink 2" xfId="1355"/>
    <cellStyle name="Hyperlink 2 2" xfId="1356"/>
    <cellStyle name="Hyperlink 2 3" xfId="1357"/>
    <cellStyle name="Hyperlink 2 4" xfId="1358"/>
    <cellStyle name="Hyperlink 3" xfId="1359"/>
    <cellStyle name="Hypertextový odkaz" xfId="1360"/>
    <cellStyle name="INCHES" xfId="1361"/>
    <cellStyle name="INCHES 10" xfId="1362"/>
    <cellStyle name="INCHES 11" xfId="1363"/>
    <cellStyle name="INCHES 12" xfId="1364"/>
    <cellStyle name="INCHES 13" xfId="1365"/>
    <cellStyle name="INCHES 14" xfId="1366"/>
    <cellStyle name="INCHES 15" xfId="1367"/>
    <cellStyle name="INCHES 16" xfId="1368"/>
    <cellStyle name="INCHES 17" xfId="1369"/>
    <cellStyle name="INCHES 18" xfId="1370"/>
    <cellStyle name="INCHES 19" xfId="1371"/>
    <cellStyle name="INCHES 2" xfId="1372"/>
    <cellStyle name="INCHES 20" xfId="1373"/>
    <cellStyle name="INCHES 21" xfId="1374"/>
    <cellStyle name="INCHES 22" xfId="1375"/>
    <cellStyle name="INCHES 3" xfId="1376"/>
    <cellStyle name="INCHES 4" xfId="1377"/>
    <cellStyle name="INCHES 5" xfId="1378"/>
    <cellStyle name="INCHES 6" xfId="1379"/>
    <cellStyle name="INCHES 7" xfId="1380"/>
    <cellStyle name="INCHES 8" xfId="1381"/>
    <cellStyle name="INCHES 9" xfId="1382"/>
    <cellStyle name="Input [yellow]" xfId="1383"/>
    <cellStyle name="Input 2" xfId="1384"/>
    <cellStyle name="Input 2 10" xfId="1385"/>
    <cellStyle name="Input 2 2" xfId="1386"/>
    <cellStyle name="Input 2 3" xfId="1387"/>
    <cellStyle name="Input 2 4" xfId="1388"/>
    <cellStyle name="Input 2 5" xfId="1389"/>
    <cellStyle name="Input 2 6" xfId="1390"/>
    <cellStyle name="Input 2 7" xfId="1391"/>
    <cellStyle name="Input 2 8" xfId="1392"/>
    <cellStyle name="Input 2 9" xfId="1393"/>
    <cellStyle name="Input 3" xfId="1394"/>
    <cellStyle name="Input 3 2" xfId="1395"/>
    <cellStyle name="Input 4" xfId="1396"/>
    <cellStyle name="Input 4 2" xfId="1397"/>
    <cellStyle name="Input 5" xfId="1398"/>
    <cellStyle name="Input 5 2" xfId="1399"/>
    <cellStyle name="Input 6" xfId="1400"/>
    <cellStyle name="Insatisfaisant" xfId="1401"/>
    <cellStyle name="Labels - Style3" xfId="1402"/>
    <cellStyle name="Labels - Style3 10" xfId="1403"/>
    <cellStyle name="Labels - Style3 11" xfId="1404"/>
    <cellStyle name="Labels - Style3 2" xfId="1405"/>
    <cellStyle name="Labels - Style3 2 2" xfId="1406"/>
    <cellStyle name="Labels - Style3 2 2 2" xfId="1407"/>
    <cellStyle name="Labels - Style3 2 2 2 2" xfId="1408"/>
    <cellStyle name="Labels - Style3 2 2 3" xfId="1409"/>
    <cellStyle name="Labels - Style3 2 2 4" xfId="1410"/>
    <cellStyle name="Labels - Style3 2 2 5" xfId="1411"/>
    <cellStyle name="Labels - Style3 2 2 6" xfId="1412"/>
    <cellStyle name="Labels - Style3 2 3" xfId="1413"/>
    <cellStyle name="Labels - Style3 2 3 2" xfId="1414"/>
    <cellStyle name="Labels - Style3 2 4" xfId="1415"/>
    <cellStyle name="Labels - Style3 2 5" xfId="1416"/>
    <cellStyle name="Labels - Style3 2 6" xfId="1417"/>
    <cellStyle name="Labels - Style3 3" xfId="1418"/>
    <cellStyle name="Labels - Style3 4" xfId="1419"/>
    <cellStyle name="Labels - Style3 5" xfId="1420"/>
    <cellStyle name="Labels - Style3 6" xfId="1421"/>
    <cellStyle name="Labels - Style3 6 2" xfId="1422"/>
    <cellStyle name="Labels - Style3 7" xfId="1423"/>
    <cellStyle name="Labels - Style3 8" xfId="1424"/>
    <cellStyle name="Labels - Style3 9" xfId="1425"/>
    <cellStyle name="Linked Cell 2" xfId="1426"/>
    <cellStyle name="Linked Cell 2 2" xfId="1427"/>
    <cellStyle name="Linked Cell 2 3" xfId="1428"/>
    <cellStyle name="Linked Cell 2 4" xfId="1429"/>
    <cellStyle name="Linked Cell 2 5" xfId="1430"/>
    <cellStyle name="Linked Cell 2 6" xfId="1431"/>
    <cellStyle name="Linked Cell 2 7" xfId="1432"/>
    <cellStyle name="Linked Cell 2 8" xfId="1433"/>
    <cellStyle name="Linked Cell 2 9" xfId="1434"/>
    <cellStyle name="Linked Cell 3" xfId="1435"/>
    <cellStyle name="Linked Cell 3 2" xfId="1436"/>
    <cellStyle name="Linked Cell 4" xfId="1437"/>
    <cellStyle name="Linked Cell 4 2" xfId="1438"/>
    <cellStyle name="Linked Cell 5" xfId="1439"/>
    <cellStyle name="Linked Cell 5 2" xfId="1440"/>
    <cellStyle name="Linked Cell 6" xfId="1441"/>
    <cellStyle name="Millares [0]_pldt" xfId="1442"/>
    <cellStyle name="Millares_pldt" xfId="1443"/>
    <cellStyle name="Milliers [0]_EDYAN" xfId="1444"/>
    <cellStyle name="Milliers_EDYAN" xfId="1445"/>
    <cellStyle name="Moneda [0]_pldt" xfId="1446"/>
    <cellStyle name="Moneda_pldt" xfId="1447"/>
    <cellStyle name="Monétaire [0]_EDYAN" xfId="1448"/>
    <cellStyle name="Monétaire_EDYAN" xfId="1449"/>
    <cellStyle name="Neutral 2" xfId="1450"/>
    <cellStyle name="Neutral 2 10" xfId="1451"/>
    <cellStyle name="Neutral 2 2" xfId="1452"/>
    <cellStyle name="Neutral 2 3" xfId="1453"/>
    <cellStyle name="Neutral 2 4" xfId="1454"/>
    <cellStyle name="Neutral 2 5" xfId="1455"/>
    <cellStyle name="Neutral 2 6" xfId="1456"/>
    <cellStyle name="Neutral 2 7" xfId="1457"/>
    <cellStyle name="Neutral 2 8" xfId="1458"/>
    <cellStyle name="Neutral 2 9" xfId="1459"/>
    <cellStyle name="Neutral 3" xfId="1460"/>
    <cellStyle name="Neutral 3 2" xfId="1461"/>
    <cellStyle name="Neutral 4" xfId="1462"/>
    <cellStyle name="Neutral 4 2" xfId="1463"/>
    <cellStyle name="Neutral 5" xfId="1464"/>
    <cellStyle name="Neutral 5 2" xfId="1465"/>
    <cellStyle name="Neutral 6" xfId="1466"/>
    <cellStyle name="Neutre" xfId="1467"/>
    <cellStyle name="no dec" xfId="1468"/>
    <cellStyle name="Normal" xfId="0" builtinId="0"/>
    <cellStyle name="Normal - Style1" xfId="1469"/>
    <cellStyle name="Normal - Style1 2" xfId="1470"/>
    <cellStyle name="Normal - Style2" xfId="1471"/>
    <cellStyle name="Normal - Style3" xfId="1472"/>
    <cellStyle name="Normal - Style4" xfId="1473"/>
    <cellStyle name="Normal - Style5" xfId="1474"/>
    <cellStyle name="Normal - Style6" xfId="1475"/>
    <cellStyle name="Normal - Style7" xfId="1476"/>
    <cellStyle name="Normal - Style8" xfId="1477"/>
    <cellStyle name="Normal 10" xfId="203"/>
    <cellStyle name="Normal 10 2" xfId="204"/>
    <cellStyle name="Normal 10 2 2" xfId="1478"/>
    <cellStyle name="Normal 10 2 3" xfId="1479"/>
    <cellStyle name="Normal 10 2 4" xfId="1480"/>
    <cellStyle name="Normal 10 3" xfId="1481"/>
    <cellStyle name="Normal 10 3 2" xfId="1482"/>
    <cellStyle name="Normal 10 4" xfId="1483"/>
    <cellStyle name="Normal 10 4 2" xfId="1484"/>
    <cellStyle name="Normal 10 5" xfId="1485"/>
    <cellStyle name="Normal 109" xfId="1486"/>
    <cellStyle name="Normal 11" xfId="205"/>
    <cellStyle name="Normal 11 2" xfId="206"/>
    <cellStyle name="Normal 11 2 2" xfId="1487"/>
    <cellStyle name="Normal 11 2 3" xfId="1488"/>
    <cellStyle name="Normal 11 3" xfId="1489"/>
    <cellStyle name="Normal 11 3 2" xfId="1490"/>
    <cellStyle name="Normal 11 3 3" xfId="1491"/>
    <cellStyle name="Normal 11 4" xfId="1492"/>
    <cellStyle name="Normal 11 4 2" xfId="1493"/>
    <cellStyle name="Normal 11 4 3" xfId="1494"/>
    <cellStyle name="Normal 11 5" xfId="1495"/>
    <cellStyle name="Normal 11 5 2" xfId="1496"/>
    <cellStyle name="Normal 11 5 3" xfId="1497"/>
    <cellStyle name="Normal 11 6" xfId="1498"/>
    <cellStyle name="Normal 11 7" xfId="1499"/>
    <cellStyle name="Normal 11 8" xfId="1500"/>
    <cellStyle name="Normal 11 9" xfId="1501"/>
    <cellStyle name="Normal 112" xfId="207"/>
    <cellStyle name="Normal 12" xfId="208"/>
    <cellStyle name="Normal 12 2" xfId="1502"/>
    <cellStyle name="Normal 12 3" xfId="1503"/>
    <cellStyle name="Normal 13" xfId="209"/>
    <cellStyle name="Normal 13 2" xfId="210"/>
    <cellStyle name="Normal 13 3" xfId="1504"/>
    <cellStyle name="Normal 14" xfId="211"/>
    <cellStyle name="Normal 14 2" xfId="1505"/>
    <cellStyle name="Normal 14 2 2" xfId="1506"/>
    <cellStyle name="Normal 14 2 3" xfId="1507"/>
    <cellStyle name="Normal 14 3" xfId="1508"/>
    <cellStyle name="Normal 14 3 2" xfId="1509"/>
    <cellStyle name="Normal 14 3 3" xfId="1510"/>
    <cellStyle name="Normal 14 4" xfId="1511"/>
    <cellStyle name="Normal 14 4 2" xfId="1512"/>
    <cellStyle name="Normal 14 4 3" xfId="1513"/>
    <cellStyle name="Normal 14 5" xfId="1514"/>
    <cellStyle name="Normal 14 5 2" xfId="1515"/>
    <cellStyle name="Normal 14 5 3" xfId="1516"/>
    <cellStyle name="Normal 14 6" xfId="1517"/>
    <cellStyle name="Normal 14 7" xfId="1518"/>
    <cellStyle name="Normal 14 8" xfId="1519"/>
    <cellStyle name="Normal 15" xfId="212"/>
    <cellStyle name="Normal 15 2" xfId="1520"/>
    <cellStyle name="Normal 15 3" xfId="1521"/>
    <cellStyle name="Normal 16" xfId="213"/>
    <cellStyle name="Normal 16 2" xfId="1522"/>
    <cellStyle name="Normal 16 2 2" xfId="1523"/>
    <cellStyle name="Normal 16 2 3" xfId="1524"/>
    <cellStyle name="Normal 16 2 4" xfId="1525"/>
    <cellStyle name="Normal 16 3" xfId="1526"/>
    <cellStyle name="Normal 16 3 2" xfId="1527"/>
    <cellStyle name="Normal 16 3 3" xfId="1528"/>
    <cellStyle name="Normal 16 3 4" xfId="1529"/>
    <cellStyle name="Normal 16 4" xfId="1530"/>
    <cellStyle name="Normal 16 4 2" xfId="1531"/>
    <cellStyle name="Normal 16 4 3" xfId="1532"/>
    <cellStyle name="Normal 16 4 4" xfId="1533"/>
    <cellStyle name="Normal 16 5" xfId="1534"/>
    <cellStyle name="Normal 16 5 2" xfId="1535"/>
    <cellStyle name="Normal 16 6" xfId="1536"/>
    <cellStyle name="Normal 16 7" xfId="1537"/>
    <cellStyle name="Normal 17" xfId="214"/>
    <cellStyle name="Normal 17 2" xfId="1538"/>
    <cellStyle name="Normal 17 2 2" xfId="1539"/>
    <cellStyle name="Normal 17 2 3" xfId="1540"/>
    <cellStyle name="Normal 17 3" xfId="1541"/>
    <cellStyle name="Normal 17 3 2" xfId="1542"/>
    <cellStyle name="Normal 17 3 3" xfId="1543"/>
    <cellStyle name="Normal 17 4" xfId="1544"/>
    <cellStyle name="Normal 17 5" xfId="1545"/>
    <cellStyle name="Normal 18" xfId="215"/>
    <cellStyle name="Normal 18 2" xfId="1546"/>
    <cellStyle name="Normal 18 2 2" xfId="1547"/>
    <cellStyle name="Normal 18 2 3" xfId="1548"/>
    <cellStyle name="Normal 18 3" xfId="1549"/>
    <cellStyle name="Normal 18 4" xfId="1550"/>
    <cellStyle name="Normal 18 5" xfId="1551"/>
    <cellStyle name="Normal 19" xfId="216"/>
    <cellStyle name="Normal 19 2" xfId="1552"/>
    <cellStyle name="Normal 19 3" xfId="1553"/>
    <cellStyle name="Normal 19 4" xfId="1554"/>
    <cellStyle name="Normal 2" xfId="217"/>
    <cellStyle name="Normal 2 10" xfId="1555"/>
    <cellStyle name="Normal 2 10 2" xfId="1556"/>
    <cellStyle name="Normal 2 10 3" xfId="1557"/>
    <cellStyle name="Normal 2 11" xfId="1558"/>
    <cellStyle name="Normal 2 11 2" xfId="1559"/>
    <cellStyle name="Normal 2 12" xfId="1560"/>
    <cellStyle name="Normal 2 12 2" xfId="1561"/>
    <cellStyle name="Normal 2 13" xfId="1562"/>
    <cellStyle name="Normal 2 13 2" xfId="1563"/>
    <cellStyle name="Normal 2 14" xfId="1564"/>
    <cellStyle name="Normal 2 14 2" xfId="1565"/>
    <cellStyle name="Normal 2 15" xfId="1566"/>
    <cellStyle name="Normal 2 15 2" xfId="1567"/>
    <cellStyle name="Normal 2 16" xfId="1568"/>
    <cellStyle name="Normal 2 16 2" xfId="1569"/>
    <cellStyle name="Normal 2 17" xfId="1570"/>
    <cellStyle name="Normal 2 17 2" xfId="1571"/>
    <cellStyle name="Normal 2 17 4" xfId="1572"/>
    <cellStyle name="Normal 2 17 4 2" xfId="1573"/>
    <cellStyle name="Normal 2 18" xfId="1574"/>
    <cellStyle name="Normal 2 19" xfId="1575"/>
    <cellStyle name="Normal 2 2" xfId="218"/>
    <cellStyle name="Normal 2 2 10" xfId="1576"/>
    <cellStyle name="Normal 2 2 11" xfId="1577"/>
    <cellStyle name="Normal 2 2 12" xfId="1578"/>
    <cellStyle name="Normal 2 2 13" xfId="1579"/>
    <cellStyle name="Normal 2 2 14" xfId="1580"/>
    <cellStyle name="Normal 2 2 15" xfId="1581"/>
    <cellStyle name="Normal 2 2 16" xfId="1582"/>
    <cellStyle name="Normal 2 2 17" xfId="1583"/>
    <cellStyle name="Normal 2 2 18" xfId="1584"/>
    <cellStyle name="Normal 2 2 19" xfId="1585"/>
    <cellStyle name="Normal 2 2 2" xfId="1586"/>
    <cellStyle name="Normal 2 2 2 2" xfId="1587"/>
    <cellStyle name="Normal 2 2 2 2 2" xfId="1588"/>
    <cellStyle name="Normal 2 2 2 2 2 2" xfId="1589"/>
    <cellStyle name="Normal 2 2 2 2 3" xfId="1590"/>
    <cellStyle name="Normal 2 2 2 2 4" xfId="1591"/>
    <cellStyle name="Normal 2 2 2 2 5" xfId="1592"/>
    <cellStyle name="Normal 2 2 2 2 6" xfId="1593"/>
    <cellStyle name="Normal 2 2 2 3" xfId="1594"/>
    <cellStyle name="Normal 2 2 2 3 2" xfId="1595"/>
    <cellStyle name="Normal 2 2 2 4" xfId="1596"/>
    <cellStyle name="Normal 2 2 2 4 2" xfId="1597"/>
    <cellStyle name="Normal 2 2 2 5" xfId="1598"/>
    <cellStyle name="Normal 2 2 2 6" xfId="1599"/>
    <cellStyle name="Normal 2 2 20" xfId="1600"/>
    <cellStyle name="Normal 2 2 21" xfId="1601"/>
    <cellStyle name="Normal 2 2 22" xfId="1602"/>
    <cellStyle name="Normal 2 2 23" xfId="1603"/>
    <cellStyle name="Normal 2 2 24" xfId="1604"/>
    <cellStyle name="Normal 2 2 25" xfId="1605"/>
    <cellStyle name="Normal 2 2 26" xfId="1606"/>
    <cellStyle name="Normal 2 2 3" xfId="1607"/>
    <cellStyle name="Normal 2 2 3 2" xfId="1608"/>
    <cellStyle name="Normal 2 2 3 3" xfId="1609"/>
    <cellStyle name="Normal 2 2 4" xfId="1610"/>
    <cellStyle name="Normal 2 2 4 2" xfId="1611"/>
    <cellStyle name="Normal 2 2 4 3" xfId="1612"/>
    <cellStyle name="Normal 2 2 5" xfId="1613"/>
    <cellStyle name="Normal 2 2 5 2" xfId="1614"/>
    <cellStyle name="Normal 2 2 6" xfId="1615"/>
    <cellStyle name="Normal 2 2 6 2" xfId="1616"/>
    <cellStyle name="Normal 2 2 7" xfId="1617"/>
    <cellStyle name="Normal 2 2 8" xfId="1618"/>
    <cellStyle name="Normal 2 2 9" xfId="1619"/>
    <cellStyle name="Normal 2 2_765KV PROGRESS REGISTER" xfId="1620"/>
    <cellStyle name="Normal 2 20" xfId="1621"/>
    <cellStyle name="Normal 2 21" xfId="1622"/>
    <cellStyle name="Normal 2 22" xfId="1623"/>
    <cellStyle name="Normal 2 23" xfId="1624"/>
    <cellStyle name="Normal 2 24" xfId="1625"/>
    <cellStyle name="Normal 2 25" xfId="1626"/>
    <cellStyle name="Normal 2 26" xfId="1627"/>
    <cellStyle name="Normal 2 27" xfId="1628"/>
    <cellStyle name="Normal 2 28" xfId="1629"/>
    <cellStyle name="Normal 2 29" xfId="1630"/>
    <cellStyle name="Normal 2 3" xfId="219"/>
    <cellStyle name="Normal 2 3 10" xfId="1631"/>
    <cellStyle name="Normal 2 3 11" xfId="1632"/>
    <cellStyle name="Normal 2 3 12" xfId="1633"/>
    <cellStyle name="Normal 2 3 13" xfId="1634"/>
    <cellStyle name="Normal 2 3 14" xfId="1635"/>
    <cellStyle name="Normal 2 3 15" xfId="1636"/>
    <cellStyle name="Normal 2 3 16" xfId="1637"/>
    <cellStyle name="Normal 2 3 17" xfId="1638"/>
    <cellStyle name="Normal 2 3 18" xfId="1639"/>
    <cellStyle name="Normal 2 3 19" xfId="1640"/>
    <cellStyle name="Normal 2 3 2" xfId="1641"/>
    <cellStyle name="Normal 2 3 2 2" xfId="1642"/>
    <cellStyle name="Normal 2 3 2 2 2" xfId="1643"/>
    <cellStyle name="Normal 2 3 2 2 3" xfId="1644"/>
    <cellStyle name="Normal 2 3 2 3" xfId="1645"/>
    <cellStyle name="Normal 2 3 2 4" xfId="1646"/>
    <cellStyle name="Normal 2 3 20" xfId="1647"/>
    <cellStyle name="Normal 2 3 21" xfId="1648"/>
    <cellStyle name="Normal 2 3 22" xfId="1649"/>
    <cellStyle name="Normal 2 3 23" xfId="1650"/>
    <cellStyle name="Normal 2 3 3" xfId="1651"/>
    <cellStyle name="Normal 2 3 3 2" xfId="1652"/>
    <cellStyle name="Normal 2 3 4" xfId="1653"/>
    <cellStyle name="Normal 2 3 4 2" xfId="1654"/>
    <cellStyle name="Normal 2 3 5" xfId="1655"/>
    <cellStyle name="Normal 2 3 5 2" xfId="1656"/>
    <cellStyle name="Normal 2 3 6" xfId="1657"/>
    <cellStyle name="Normal 2 3 6 2" xfId="1658"/>
    <cellStyle name="Normal 2 3 7" xfId="1659"/>
    <cellStyle name="Normal 2 3 7 2" xfId="1660"/>
    <cellStyle name="Normal 2 3 8" xfId="1661"/>
    <cellStyle name="Normal 2 3 8 2" xfId="1662"/>
    <cellStyle name="Normal 2 3 9" xfId="1663"/>
    <cellStyle name="Normal 2 3 9 2" xfId="1664"/>
    <cellStyle name="Normal 2 30" xfId="1665"/>
    <cellStyle name="Normal 2 31" xfId="1666"/>
    <cellStyle name="Normal 2 32" xfId="1667"/>
    <cellStyle name="Normal 2 33" xfId="1668"/>
    <cellStyle name="Normal 2 34" xfId="1669"/>
    <cellStyle name="Normal 2 35" xfId="1670"/>
    <cellStyle name="Normal 2 36" xfId="1671"/>
    <cellStyle name="Normal 2 37" xfId="1672"/>
    <cellStyle name="Normal 2 38" xfId="1673"/>
    <cellStyle name="Normal 2 39" xfId="1674"/>
    <cellStyle name="Normal 2 4" xfId="220"/>
    <cellStyle name="Normal 2 4 10" xfId="1675"/>
    <cellStyle name="Normal 2 4 11" xfId="1676"/>
    <cellStyle name="Normal 2 4 12" xfId="1677"/>
    <cellStyle name="Normal 2 4 13" xfId="1678"/>
    <cellStyle name="Normal 2 4 14" xfId="1679"/>
    <cellStyle name="Normal 2 4 15" xfId="1680"/>
    <cellStyle name="Normal 2 4 16" xfId="1681"/>
    <cellStyle name="Normal 2 4 17" xfId="1682"/>
    <cellStyle name="Normal 2 4 18" xfId="1683"/>
    <cellStyle name="Normal 2 4 19" xfId="1684"/>
    <cellStyle name="Normal 2 4 2" xfId="1685"/>
    <cellStyle name="Normal 2 4 20" xfId="1686"/>
    <cellStyle name="Normal 2 4 21" xfId="1687"/>
    <cellStyle name="Normal 2 4 22" xfId="1688"/>
    <cellStyle name="Normal 2 4 23" xfId="1689"/>
    <cellStyle name="Normal 2 4 24" xfId="1690"/>
    <cellStyle name="Normal 2 4 25" xfId="1691"/>
    <cellStyle name="Normal 2 4 3" xfId="1692"/>
    <cellStyle name="Normal 2 4 4" xfId="1693"/>
    <cellStyle name="Normal 2 4 5" xfId="1694"/>
    <cellStyle name="Normal 2 4 6" xfId="1695"/>
    <cellStyle name="Normal 2 4 7" xfId="1696"/>
    <cellStyle name="Normal 2 4 8" xfId="1697"/>
    <cellStyle name="Normal 2 4 9" xfId="1698"/>
    <cellStyle name="Normal 2 40" xfId="1699"/>
    <cellStyle name="Normal 2 41" xfId="1700"/>
    <cellStyle name="Normal 2 42" xfId="1701"/>
    <cellStyle name="Normal 2 43" xfId="1702"/>
    <cellStyle name="Normal 2 44" xfId="1703"/>
    <cellStyle name="Normal 2 45" xfId="1704"/>
    <cellStyle name="Normal 2 46" xfId="1705"/>
    <cellStyle name="Normal 2 47" xfId="1706"/>
    <cellStyle name="Normal 2 48" xfId="1707"/>
    <cellStyle name="Normal 2 49" xfId="1708"/>
    <cellStyle name="Normal 2 5" xfId="221"/>
    <cellStyle name="Normal 2 5 10" xfId="1709"/>
    <cellStyle name="Normal 2 5 11" xfId="1710"/>
    <cellStyle name="Normal 2 5 12" xfId="1711"/>
    <cellStyle name="Normal 2 5 13" xfId="1712"/>
    <cellStyle name="Normal 2 5 14" xfId="1713"/>
    <cellStyle name="Normal 2 5 15" xfId="1714"/>
    <cellStyle name="Normal 2 5 16" xfId="1715"/>
    <cellStyle name="Normal 2 5 17" xfId="1716"/>
    <cellStyle name="Normal 2 5 18" xfId="1717"/>
    <cellStyle name="Normal 2 5 19" xfId="1718"/>
    <cellStyle name="Normal 2 5 2" xfId="1719"/>
    <cellStyle name="Normal 2 5 20" xfId="1720"/>
    <cellStyle name="Normal 2 5 21" xfId="1721"/>
    <cellStyle name="Normal 2 5 22" xfId="1722"/>
    <cellStyle name="Normal 2 5 23" xfId="1723"/>
    <cellStyle name="Normal 2 5 3" xfId="1724"/>
    <cellStyle name="Normal 2 5 4" xfId="1725"/>
    <cellStyle name="Normal 2 5 5" xfId="1726"/>
    <cellStyle name="Normal 2 5 6" xfId="1727"/>
    <cellStyle name="Normal 2 5 7" xfId="1728"/>
    <cellStyle name="Normal 2 5 8" xfId="1729"/>
    <cellStyle name="Normal 2 5 9" xfId="1730"/>
    <cellStyle name="Normal 2 50" xfId="1731"/>
    <cellStyle name="Normal 2 51" xfId="1732"/>
    <cellStyle name="Normal 2 52" xfId="1733"/>
    <cellStyle name="Normal 2 6" xfId="222"/>
    <cellStyle name="Normal 2 6 10" xfId="1734"/>
    <cellStyle name="Normal 2 6 11" xfId="1735"/>
    <cellStyle name="Normal 2 6 12" xfId="1736"/>
    <cellStyle name="Normal 2 6 13" xfId="1737"/>
    <cellStyle name="Normal 2 6 14" xfId="1738"/>
    <cellStyle name="Normal 2 6 15" xfId="1739"/>
    <cellStyle name="Normal 2 6 16" xfId="1740"/>
    <cellStyle name="Normal 2 6 17" xfId="1741"/>
    <cellStyle name="Normal 2 6 18" xfId="1742"/>
    <cellStyle name="Normal 2 6 19" xfId="1743"/>
    <cellStyle name="Normal 2 6 2" xfId="1744"/>
    <cellStyle name="Normal 2 6 2 2" xfId="1745"/>
    <cellStyle name="Normal 2 6 2 3" xfId="1746"/>
    <cellStyle name="Normal 2 6 2 4" xfId="1747"/>
    <cellStyle name="Normal 2 6 20" xfId="1748"/>
    <cellStyle name="Normal 2 6 21" xfId="1749"/>
    <cellStyle name="Normal 2 6 22" xfId="1750"/>
    <cellStyle name="Normal 2 6 23" xfId="1751"/>
    <cellStyle name="Normal 2 6 3" xfId="1752"/>
    <cellStyle name="Normal 2 6 3 2" xfId="1753"/>
    <cellStyle name="Normal 2 6 4" xfId="1754"/>
    <cellStyle name="Normal 2 6 5" xfId="1755"/>
    <cellStyle name="Normal 2 6 6" xfId="1756"/>
    <cellStyle name="Normal 2 6 7" xfId="1757"/>
    <cellStyle name="Normal 2 6 8" xfId="1758"/>
    <cellStyle name="Normal 2 6 9" xfId="1759"/>
    <cellStyle name="Normal 2 7" xfId="223"/>
    <cellStyle name="Normal 2 7 2" xfId="224"/>
    <cellStyle name="Normal 2 7 2 2" xfId="1760"/>
    <cellStyle name="Normal 2 7 3" xfId="1761"/>
    <cellStyle name="Normal 2 77" xfId="1762"/>
    <cellStyle name="Normal 2 8" xfId="1763"/>
    <cellStyle name="Normal 2 8 2" xfId="1764"/>
    <cellStyle name="Normal 2 8 2 2" xfId="1765"/>
    <cellStyle name="Normal 2 8 3" xfId="1766"/>
    <cellStyle name="Normal 2 9" xfId="1767"/>
    <cellStyle name="Normal 2 9 2" xfId="1768"/>
    <cellStyle name="Normal 2_765KV Final Tower Schedule 27.05.2013" xfId="1769"/>
    <cellStyle name="Normal 20" xfId="225"/>
    <cellStyle name="Normal 20 2" xfId="1770"/>
    <cellStyle name="Normal 20 2 2" xfId="1771"/>
    <cellStyle name="Normal 20 3" xfId="1772"/>
    <cellStyle name="Normal 21" xfId="226"/>
    <cellStyle name="Normal 22" xfId="227"/>
    <cellStyle name="Normal 22 2" xfId="228"/>
    <cellStyle name="Normal 23" xfId="229"/>
    <cellStyle name="Normal 23 2" xfId="230"/>
    <cellStyle name="Normal 24" xfId="231"/>
    <cellStyle name="Normal 25" xfId="232"/>
    <cellStyle name="Normal 25 2" xfId="1773"/>
    <cellStyle name="Normal 26" xfId="233"/>
    <cellStyle name="Normal 26 2" xfId="1774"/>
    <cellStyle name="Normal 27" xfId="234"/>
    <cellStyle name="Normal 28" xfId="235"/>
    <cellStyle name="Normal 29" xfId="236"/>
    <cellStyle name="Normal 3" xfId="237"/>
    <cellStyle name="Normal 3 10" xfId="1775"/>
    <cellStyle name="Normal 3 10 2" xfId="1776"/>
    <cellStyle name="Normal 3 10 3" xfId="1777"/>
    <cellStyle name="Normal 3 10 3 2" xfId="1778"/>
    <cellStyle name="Normal 3 11" xfId="1779"/>
    <cellStyle name="Normal 3 11 2" xfId="1780"/>
    <cellStyle name="Normal 3 12" xfId="1781"/>
    <cellStyle name="Normal 3 13" xfId="1782"/>
    <cellStyle name="Normal 3 14" xfId="1783"/>
    <cellStyle name="Normal 3 15" xfId="1784"/>
    <cellStyle name="Normal 3 16" xfId="1785"/>
    <cellStyle name="Normal 3 17" xfId="1786"/>
    <cellStyle name="Normal 3 2" xfId="238"/>
    <cellStyle name="Normal 3 2 2" xfId="1787"/>
    <cellStyle name="Normal 3 2 2 2" xfId="1788"/>
    <cellStyle name="Normal 3 2 2 3" xfId="1789"/>
    <cellStyle name="Normal 3 2 2 4" xfId="1790"/>
    <cellStyle name="Normal 3 2 2 4 2 2 2 2 2 2 3 2 2 7 2 4 2 2 2" xfId="1791"/>
    <cellStyle name="Normal 3 2 2 4 2 2 2 2 2 2 3 2 2 7 2 4 2 2 2 2" xfId="1792"/>
    <cellStyle name="Normal 3 2 2 4 2 2 2 2 2 2 3 2 2 7 2 4 2 2 2 2 2" xfId="1793"/>
    <cellStyle name="Normal 3 2 2 4 2 2 2 2 2 2 3 2 2 7 2 4 2 2 2 2 3" xfId="1794"/>
    <cellStyle name="Normal 3 2 2 4 2 2 2 2 2 2 3 2 2 7 2 4 2 2 2 2 3 2" xfId="1795"/>
    <cellStyle name="Normal 3 2 2 4 2 2 2 2 2 2 3 2 2 7 3 4 2 2 2" xfId="1796"/>
    <cellStyle name="Normal 3 2 2 4 2 2 2 2 2 2 3 2 2 7 3 4 2 2 2 2" xfId="1797"/>
    <cellStyle name="Normal 3 2 2 4 2 2 2 2 2 2 3 2 2 7 3 4 2 2 2 2 2" xfId="1798"/>
    <cellStyle name="Normal 3 2 2 4 2 2 2 2 2 2 3 2 2 7 3 4 2 2 2 2 3" xfId="1799"/>
    <cellStyle name="Normal 3 2 2 4 2 2 2 2 2 2 3 2 2 7 3 4 2 2 2 2 3 2" xfId="1800"/>
    <cellStyle name="Normal 3 2 2 5" xfId="1801"/>
    <cellStyle name="Normal 3 2 3" xfId="1802"/>
    <cellStyle name="Normal 3 2 3 2" xfId="1803"/>
    <cellStyle name="Normal 3 2 4" xfId="1804"/>
    <cellStyle name="Normal 3 2 5" xfId="1805"/>
    <cellStyle name="Normal 3 2 6" xfId="1806"/>
    <cellStyle name="Normal 3 2 7" xfId="1807"/>
    <cellStyle name="Normal 3 2_765KV Final Tower Schedule 27.05.2013" xfId="1808"/>
    <cellStyle name="Normal 3 3" xfId="1809"/>
    <cellStyle name="Normal 3 3 2" xfId="1810"/>
    <cellStyle name="Normal 3 4" xfId="1811"/>
    <cellStyle name="Normal 3 4 2" xfId="1812"/>
    <cellStyle name="Normal 3 4 3" xfId="1813"/>
    <cellStyle name="Normal 3 5" xfId="1814"/>
    <cellStyle name="Normal 3 5 2" xfId="1815"/>
    <cellStyle name="Normal 3 6" xfId="1816"/>
    <cellStyle name="Normal 3 6 2" xfId="1817"/>
    <cellStyle name="Normal 3 7" xfId="1818"/>
    <cellStyle name="Normal 3 7 2" xfId="1819"/>
    <cellStyle name="Normal 3 8" xfId="1820"/>
    <cellStyle name="Normal 3 8 2" xfId="1821"/>
    <cellStyle name="Normal 3 9" xfId="1822"/>
    <cellStyle name="Normal 3 9 2" xfId="1823"/>
    <cellStyle name="Normal 3_765KV Final Tower Schedule 27.05.2013" xfId="1824"/>
    <cellStyle name="Normal 30" xfId="239"/>
    <cellStyle name="Normal 30 2" xfId="240"/>
    <cellStyle name="Normal 31" xfId="241"/>
    <cellStyle name="Normal 32" xfId="242"/>
    <cellStyle name="Normal 33" xfId="243"/>
    <cellStyle name="Normal 34" xfId="244"/>
    <cellStyle name="Normal 35" xfId="245"/>
    <cellStyle name="Normal 36" xfId="246"/>
    <cellStyle name="Normal 37" xfId="1825"/>
    <cellStyle name="Normal 37 2" xfId="1826"/>
    <cellStyle name="Normal 38" xfId="1827"/>
    <cellStyle name="Normal 39" xfId="1828"/>
    <cellStyle name="Normal 4" xfId="247"/>
    <cellStyle name="Normal 4 10" xfId="1829"/>
    <cellStyle name="Normal 4 11" xfId="1830"/>
    <cellStyle name="Normal 4 12" xfId="1831"/>
    <cellStyle name="Normal 4 13" xfId="1832"/>
    <cellStyle name="Normal 4 14" xfId="1833"/>
    <cellStyle name="Normal 4 15" xfId="1834"/>
    <cellStyle name="Normal 4 16" xfId="1835"/>
    <cellStyle name="Normal 4 2" xfId="1836"/>
    <cellStyle name="Normal 4 2 10" xfId="1837"/>
    <cellStyle name="Normal 4 2 11" xfId="1838"/>
    <cellStyle name="Normal 4 2 12" xfId="1839"/>
    <cellStyle name="Normal 4 2 13" xfId="1840"/>
    <cellStyle name="Normal 4 2 14" xfId="1841"/>
    <cellStyle name="Normal 4 2 15" xfId="1842"/>
    <cellStyle name="Normal 4 2 16" xfId="1843"/>
    <cellStyle name="Normal 4 2 17" xfId="1844"/>
    <cellStyle name="Normal 4 2 18" xfId="1845"/>
    <cellStyle name="Normal 4 2 19" xfId="1846"/>
    <cellStyle name="Normal 4 2 2" xfId="248"/>
    <cellStyle name="Normal 4 2 20" xfId="1847"/>
    <cellStyle name="Normal 4 2 21" xfId="1848"/>
    <cellStyle name="Normal 4 2 22" xfId="1849"/>
    <cellStyle name="Normal 4 2 23" xfId="1850"/>
    <cellStyle name="Normal 4 2 3" xfId="1851"/>
    <cellStyle name="Normal 4 2 4" xfId="1852"/>
    <cellStyle name="Normal 4 2 5" xfId="1853"/>
    <cellStyle name="Normal 4 2 6" xfId="1854"/>
    <cellStyle name="Normal 4 2 7" xfId="1855"/>
    <cellStyle name="Normal 4 2 8" xfId="1856"/>
    <cellStyle name="Normal 4 2 9" xfId="1857"/>
    <cellStyle name="Normal 4 3" xfId="1858"/>
    <cellStyle name="Normal 4 3 2" xfId="1859"/>
    <cellStyle name="Normal 4 3 3" xfId="1860"/>
    <cellStyle name="Normal 4 4" xfId="1861"/>
    <cellStyle name="Normal 4 4 2" xfId="1862"/>
    <cellStyle name="Normal 4 4 3" xfId="1863"/>
    <cellStyle name="Normal 4 4 4" xfId="1864"/>
    <cellStyle name="Normal 4 5" xfId="1865"/>
    <cellStyle name="Normal 4 5 2" xfId="1866"/>
    <cellStyle name="Normal 4 5 3" xfId="1867"/>
    <cellStyle name="Normal 4 6" xfId="1868"/>
    <cellStyle name="Normal 4 6 2" xfId="1869"/>
    <cellStyle name="Normal 4 7" xfId="1870"/>
    <cellStyle name="Normal 4 7 2" xfId="1871"/>
    <cellStyle name="Normal 4 8" xfId="1872"/>
    <cellStyle name="Normal 4 8 2" xfId="1873"/>
    <cellStyle name="Normal 4 9" xfId="1874"/>
    <cellStyle name="Normal 4 9 2" xfId="1875"/>
    <cellStyle name="Normal 4_DATE WISE PROGRAMME" xfId="1876"/>
    <cellStyle name="Normal 40" xfId="1877"/>
    <cellStyle name="Normal 40 2" xfId="1878"/>
    <cellStyle name="Normal 41" xfId="249"/>
    <cellStyle name="Normal 41 3" xfId="250"/>
    <cellStyle name="Normal 42" xfId="1879"/>
    <cellStyle name="Normal 43" xfId="1880"/>
    <cellStyle name="Normal 44" xfId="1881"/>
    <cellStyle name="Normal 45" xfId="1882"/>
    <cellStyle name="Normal 46" xfId="1883"/>
    <cellStyle name="Normal 46 4 2 2 2 2 2 2" xfId="251"/>
    <cellStyle name="Normal 47" xfId="1884"/>
    <cellStyle name="Normal 48" xfId="1885"/>
    <cellStyle name="Normal 49" xfId="1886"/>
    <cellStyle name="Normal 5" xfId="1"/>
    <cellStyle name="Normal 5 10" xfId="1887"/>
    <cellStyle name="Normal 5 11" xfId="1888"/>
    <cellStyle name="Normal 5 12" xfId="1889"/>
    <cellStyle name="Normal 5 13" xfId="1890"/>
    <cellStyle name="Normal 5 14" xfId="1891"/>
    <cellStyle name="Normal 5 15" xfId="1892"/>
    <cellStyle name="Normal 5 16" xfId="1893"/>
    <cellStyle name="Normal 5 17" xfId="1894"/>
    <cellStyle name="Normal 5 18" xfId="1895"/>
    <cellStyle name="Normal 5 19" xfId="1896"/>
    <cellStyle name="Normal 5 2" xfId="252"/>
    <cellStyle name="Normal 5 2 2" xfId="1897"/>
    <cellStyle name="Normal 5 2 3" xfId="1898"/>
    <cellStyle name="Normal 5 20" xfId="1899"/>
    <cellStyle name="Normal 5 21" xfId="1900"/>
    <cellStyle name="Normal 5 22" xfId="1901"/>
    <cellStyle name="Normal 5 23" xfId="1902"/>
    <cellStyle name="Normal 5 24" xfId="1903"/>
    <cellStyle name="Normal 5 3" xfId="253"/>
    <cellStyle name="Normal 5 3 2" xfId="1904"/>
    <cellStyle name="Normal 5 4" xfId="1905"/>
    <cellStyle name="Normal 5 4 2" xfId="1906"/>
    <cellStyle name="Normal 5 5" xfId="1907"/>
    <cellStyle name="Normal 5 5 2" xfId="1908"/>
    <cellStyle name="Normal 5 6" xfId="1909"/>
    <cellStyle name="Normal 5 7" xfId="1910"/>
    <cellStyle name="Normal 5 8" xfId="1911"/>
    <cellStyle name="Normal 5 9" xfId="1912"/>
    <cellStyle name="Normal 5_MPR_Feb-11" xfId="1913"/>
    <cellStyle name="Normal 50" xfId="1914"/>
    <cellStyle name="Normal 6" xfId="254"/>
    <cellStyle name="Normal 6 10" xfId="1915"/>
    <cellStyle name="Normal 6 11" xfId="1916"/>
    <cellStyle name="Normal 6 12" xfId="1917"/>
    <cellStyle name="Normal 6 13" xfId="1918"/>
    <cellStyle name="Normal 6 14" xfId="1919"/>
    <cellStyle name="Normal 6 15" xfId="1920"/>
    <cellStyle name="Normal 6 16" xfId="1921"/>
    <cellStyle name="Normal 6 17" xfId="1922"/>
    <cellStyle name="Normal 6 18" xfId="1923"/>
    <cellStyle name="Normal 6 19" xfId="1924"/>
    <cellStyle name="Normal 6 2" xfId="255"/>
    <cellStyle name="Normal 6 2 2" xfId="1925"/>
    <cellStyle name="Normal 6 20" xfId="1926"/>
    <cellStyle name="Normal 6 21" xfId="1927"/>
    <cellStyle name="Normal 6 22" xfId="1928"/>
    <cellStyle name="Normal 6 22 2" xfId="1929"/>
    <cellStyle name="Normal 6 22 3" xfId="1930"/>
    <cellStyle name="Normal 6 23" xfId="1931"/>
    <cellStyle name="Normal 6 24" xfId="1932"/>
    <cellStyle name="Normal 6 25" xfId="1933"/>
    <cellStyle name="Normal 6 3" xfId="1934"/>
    <cellStyle name="Normal 6 4" xfId="1935"/>
    <cellStyle name="Normal 6 5" xfId="1936"/>
    <cellStyle name="Normal 6 6" xfId="1937"/>
    <cellStyle name="Normal 6 7" xfId="1938"/>
    <cellStyle name="Normal 6 8" xfId="1939"/>
    <cellStyle name="Normal 6 9" xfId="1940"/>
    <cellStyle name="Normal 7" xfId="256"/>
    <cellStyle name="Normal 7 10" xfId="1941"/>
    <cellStyle name="Normal 7 11" xfId="1942"/>
    <cellStyle name="Normal 7 12" xfId="1943"/>
    <cellStyle name="Normal 7 13" xfId="1944"/>
    <cellStyle name="Normal 7 14" xfId="1945"/>
    <cellStyle name="Normal 7 15" xfId="1946"/>
    <cellStyle name="Normal 7 16" xfId="1947"/>
    <cellStyle name="Normal 7 17" xfId="1948"/>
    <cellStyle name="Normal 7 18" xfId="1949"/>
    <cellStyle name="Normal 7 19" xfId="1950"/>
    <cellStyle name="Normal 7 2" xfId="257"/>
    <cellStyle name="Normal 7 2 2" xfId="1951"/>
    <cellStyle name="Normal 7 20" xfId="1952"/>
    <cellStyle name="Normal 7 21" xfId="1953"/>
    <cellStyle name="Normal 7 22" xfId="1954"/>
    <cellStyle name="Normal 7 23" xfId="1955"/>
    <cellStyle name="Normal 7 24" xfId="1956"/>
    <cellStyle name="Normal 7 25" xfId="1957"/>
    <cellStyle name="Normal 7 3" xfId="1958"/>
    <cellStyle name="Normal 7 3 2" xfId="1959"/>
    <cellStyle name="Normal 7 4" xfId="1960"/>
    <cellStyle name="Normal 7 4 2" xfId="1961"/>
    <cellStyle name="Normal 7 5" xfId="1962"/>
    <cellStyle name="Normal 7 5 2" xfId="1963"/>
    <cellStyle name="Normal 7 6" xfId="1964"/>
    <cellStyle name="Normal 7 6 2" xfId="1965"/>
    <cellStyle name="Normal 7 7" xfId="1966"/>
    <cellStyle name="Normal 7 8" xfId="1967"/>
    <cellStyle name="Normal 7 9" xfId="1968"/>
    <cellStyle name="Normal 8" xfId="258"/>
    <cellStyle name="Normal 8 10" xfId="1969"/>
    <cellStyle name="Normal 8 11" xfId="1970"/>
    <cellStyle name="Normal 8 12" xfId="1971"/>
    <cellStyle name="Normal 8 13" xfId="1972"/>
    <cellStyle name="Normal 8 14" xfId="1973"/>
    <cellStyle name="Normal 8 15" xfId="1974"/>
    <cellStyle name="Normal 8 16" xfId="1975"/>
    <cellStyle name="Normal 8 17" xfId="1976"/>
    <cellStyle name="Normal 8 18" xfId="1977"/>
    <cellStyle name="Normal 8 19" xfId="1978"/>
    <cellStyle name="Normal 8 2" xfId="259"/>
    <cellStyle name="Normal 8 2 2" xfId="1979"/>
    <cellStyle name="Normal 8 20" xfId="1980"/>
    <cellStyle name="Normal 8 21" xfId="1981"/>
    <cellStyle name="Normal 8 22" xfId="1982"/>
    <cellStyle name="Normal 8 3" xfId="1983"/>
    <cellStyle name="Normal 8 4" xfId="1984"/>
    <cellStyle name="Normal 8 5" xfId="1985"/>
    <cellStyle name="Normal 8 6" xfId="1986"/>
    <cellStyle name="Normal 8 7" xfId="1987"/>
    <cellStyle name="Normal 8 8" xfId="1988"/>
    <cellStyle name="Normal 8 9" xfId="1989"/>
    <cellStyle name="Normal 87" xfId="1990"/>
    <cellStyle name="Normal 87 2" xfId="1991"/>
    <cellStyle name="Normal 9" xfId="260"/>
    <cellStyle name="Normal 9 10" xfId="1992"/>
    <cellStyle name="Normal 9 11" xfId="1993"/>
    <cellStyle name="Normal 9 12" xfId="1994"/>
    <cellStyle name="Normal 9 13" xfId="1995"/>
    <cellStyle name="Normal 9 14" xfId="1996"/>
    <cellStyle name="Normal 9 15" xfId="1997"/>
    <cellStyle name="Normal 9 16" xfId="1998"/>
    <cellStyle name="Normal 9 17" xfId="1999"/>
    <cellStyle name="Normal 9 18" xfId="2000"/>
    <cellStyle name="Normal 9 19" xfId="2001"/>
    <cellStyle name="Normal 9 2" xfId="261"/>
    <cellStyle name="Normal 9 2 2" xfId="2002"/>
    <cellStyle name="Normal 9 20" xfId="2003"/>
    <cellStyle name="Normal 9 21" xfId="2004"/>
    <cellStyle name="Normal 9 22" xfId="2005"/>
    <cellStyle name="Normal 9 3" xfId="2006"/>
    <cellStyle name="Normal 9 4" xfId="2007"/>
    <cellStyle name="Normal 9 5" xfId="2008"/>
    <cellStyle name="Normal 9 6" xfId="2009"/>
    <cellStyle name="Normal 9 7" xfId="2010"/>
    <cellStyle name="Normal 9 8" xfId="2011"/>
    <cellStyle name="Normal 9 9" xfId="2012"/>
    <cellStyle name="Normal 90 2" xfId="2013"/>
    <cellStyle name="normální_laroux" xfId="2014"/>
    <cellStyle name="Note 10" xfId="262"/>
    <cellStyle name="Note 11" xfId="263"/>
    <cellStyle name="Note 12" xfId="264"/>
    <cellStyle name="Note 13" xfId="265"/>
    <cellStyle name="Note 14" xfId="266"/>
    <cellStyle name="Note 15" xfId="267"/>
    <cellStyle name="Note 16" xfId="268"/>
    <cellStyle name="Note 17" xfId="269"/>
    <cellStyle name="Note 18" xfId="270"/>
    <cellStyle name="Note 19" xfId="271"/>
    <cellStyle name="Note 2" xfId="272"/>
    <cellStyle name="Note 2 10" xfId="2015"/>
    <cellStyle name="Note 2 2" xfId="2016"/>
    <cellStyle name="Note 2 3" xfId="2017"/>
    <cellStyle name="Note 2 4" xfId="2018"/>
    <cellStyle name="Note 2 5" xfId="2019"/>
    <cellStyle name="Note 2 6" xfId="2020"/>
    <cellStyle name="Note 2 7" xfId="2021"/>
    <cellStyle name="Note 2 8" xfId="2022"/>
    <cellStyle name="Note 2 9" xfId="2023"/>
    <cellStyle name="Note 20" xfId="2024"/>
    <cellStyle name="Note 21" xfId="2025"/>
    <cellStyle name="Note 22" xfId="2026"/>
    <cellStyle name="Note 23" xfId="2027"/>
    <cellStyle name="Note 24" xfId="2028"/>
    <cellStyle name="Note 25" xfId="2029"/>
    <cellStyle name="Note 26" xfId="2030"/>
    <cellStyle name="Note 27" xfId="2031"/>
    <cellStyle name="Note 28" xfId="2032"/>
    <cellStyle name="Note 29" xfId="2033"/>
    <cellStyle name="Note 3" xfId="273"/>
    <cellStyle name="Note 3 2" xfId="2034"/>
    <cellStyle name="Note 3 3" xfId="2035"/>
    <cellStyle name="Note 30" xfId="2036"/>
    <cellStyle name="Note 31" xfId="2037"/>
    <cellStyle name="Note 32" xfId="2038"/>
    <cellStyle name="Note 33" xfId="2039"/>
    <cellStyle name="Note 34" xfId="2040"/>
    <cellStyle name="Note 35" xfId="2041"/>
    <cellStyle name="Note 36" xfId="2042"/>
    <cellStyle name="Note 37" xfId="2043"/>
    <cellStyle name="Note 38" xfId="2044"/>
    <cellStyle name="Note 39" xfId="2045"/>
    <cellStyle name="Note 4" xfId="274"/>
    <cellStyle name="Note 4 2" xfId="2046"/>
    <cellStyle name="Note 4 3" xfId="2047"/>
    <cellStyle name="Note 40" xfId="2048"/>
    <cellStyle name="Note 41" xfId="2049"/>
    <cellStyle name="Note 42" xfId="2050"/>
    <cellStyle name="Note 43" xfId="2051"/>
    <cellStyle name="Note 44" xfId="2052"/>
    <cellStyle name="Note 45" xfId="2053"/>
    <cellStyle name="Note 46" xfId="2054"/>
    <cellStyle name="Note 47" xfId="2055"/>
    <cellStyle name="Note 48" xfId="2056"/>
    <cellStyle name="Note 49" xfId="2057"/>
    <cellStyle name="Note 5" xfId="275"/>
    <cellStyle name="Note 5 2" xfId="2058"/>
    <cellStyle name="Note 5 3" xfId="2059"/>
    <cellStyle name="Note 50" xfId="2060"/>
    <cellStyle name="Note 51" xfId="2061"/>
    <cellStyle name="Note 52" xfId="2062"/>
    <cellStyle name="Note 53" xfId="2063"/>
    <cellStyle name="Note 54" xfId="2064"/>
    <cellStyle name="Note 55" xfId="2065"/>
    <cellStyle name="Note 56" xfId="2066"/>
    <cellStyle name="Note 57" xfId="2067"/>
    <cellStyle name="Note 58" xfId="2068"/>
    <cellStyle name="Note 6" xfId="276"/>
    <cellStyle name="Note 6 2" xfId="2069"/>
    <cellStyle name="Note 7" xfId="277"/>
    <cellStyle name="Note 8" xfId="278"/>
    <cellStyle name="Note 9" xfId="279"/>
    <cellStyle name="Output 2" xfId="2070"/>
    <cellStyle name="Output 2 10" xfId="2071"/>
    <cellStyle name="Output 2 2" xfId="2072"/>
    <cellStyle name="Output 2 3" xfId="2073"/>
    <cellStyle name="Output 2 4" xfId="2074"/>
    <cellStyle name="Output 2 5" xfId="2075"/>
    <cellStyle name="Output 2 6" xfId="2076"/>
    <cellStyle name="Output 2 7" xfId="2077"/>
    <cellStyle name="Output 2 8" xfId="2078"/>
    <cellStyle name="Output 2 9" xfId="2079"/>
    <cellStyle name="Output 3" xfId="2080"/>
    <cellStyle name="Output 3 2" xfId="2081"/>
    <cellStyle name="Output 4" xfId="2082"/>
    <cellStyle name="Output 4 2" xfId="2083"/>
    <cellStyle name="Output 5" xfId="2084"/>
    <cellStyle name="Output 5 2" xfId="2085"/>
    <cellStyle name="Output 6" xfId="2086"/>
    <cellStyle name="Percent [2]" xfId="2087"/>
    <cellStyle name="Percent [2] 10" xfId="2088"/>
    <cellStyle name="Percent [2] 11" xfId="2089"/>
    <cellStyle name="Percent [2] 12" xfId="2090"/>
    <cellStyle name="Percent [2] 13" xfId="2091"/>
    <cellStyle name="Percent [2] 14" xfId="2092"/>
    <cellStyle name="Percent [2] 15" xfId="2093"/>
    <cellStyle name="Percent [2] 16" xfId="2094"/>
    <cellStyle name="Percent [2] 17" xfId="2095"/>
    <cellStyle name="Percent [2] 18" xfId="2096"/>
    <cellStyle name="Percent [2] 19" xfId="2097"/>
    <cellStyle name="Percent [2] 2" xfId="2098"/>
    <cellStyle name="Percent [2] 20" xfId="2099"/>
    <cellStyle name="Percent [2] 21" xfId="2100"/>
    <cellStyle name="Percent [2] 22" xfId="2101"/>
    <cellStyle name="Percent [2] 3" xfId="2102"/>
    <cellStyle name="Percent [2] 4" xfId="2103"/>
    <cellStyle name="Percent [2] 5" xfId="2104"/>
    <cellStyle name="Percent [2] 6" xfId="2105"/>
    <cellStyle name="Percent [2] 7" xfId="2106"/>
    <cellStyle name="Percent [2] 8" xfId="2107"/>
    <cellStyle name="Percent [2] 9" xfId="2108"/>
    <cellStyle name="Percent 2" xfId="280"/>
    <cellStyle name="Percent 2 2" xfId="2109"/>
    <cellStyle name="Percent 2 2 2" xfId="2110"/>
    <cellStyle name="Percent 2 2 3" xfId="2111"/>
    <cellStyle name="Percent 3" xfId="2112"/>
    <cellStyle name="Percent 3 2" xfId="2113"/>
    <cellStyle name="Percent 3 2 2" xfId="2114"/>
    <cellStyle name="Percent 3 2 3" xfId="2115"/>
    <cellStyle name="Percent 3 2 4" xfId="2116"/>
    <cellStyle name="Percent 3 3" xfId="2117"/>
    <cellStyle name="Percent 4" xfId="2118"/>
    <cellStyle name="Percent 4 2" xfId="2119"/>
    <cellStyle name="Percent 5" xfId="2120"/>
    <cellStyle name="Percent 5 2" xfId="2121"/>
    <cellStyle name="Percent 6" xfId="2122"/>
    <cellStyle name="Percent 7" xfId="2123"/>
    <cellStyle name="Percent 8" xfId="2124"/>
    <cellStyle name="Percent 9" xfId="2125"/>
    <cellStyle name="Popis" xfId="2126"/>
    <cellStyle name="Popis 2" xfId="2127"/>
    <cellStyle name="Prosent_Ark1" xfId="2128"/>
    <cellStyle name="Reset  - Style7" xfId="2129"/>
    <cellStyle name="Reset  - Style7 10" xfId="2130"/>
    <cellStyle name="Reset  - Style7 11" xfId="2131"/>
    <cellStyle name="Reset  - Style7 2" xfId="2132"/>
    <cellStyle name="Reset  - Style7 2 2" xfId="2133"/>
    <cellStyle name="Reset  - Style7 2 2 2" xfId="2134"/>
    <cellStyle name="Reset  - Style7 2 2 2 2" xfId="2135"/>
    <cellStyle name="Reset  - Style7 2 2 3" xfId="2136"/>
    <cellStyle name="Reset  - Style7 2 2 4" xfId="2137"/>
    <cellStyle name="Reset  - Style7 2 2 5" xfId="2138"/>
    <cellStyle name="Reset  - Style7 2 2 6" xfId="2139"/>
    <cellStyle name="Reset  - Style7 2 3" xfId="2140"/>
    <cellStyle name="Reset  - Style7 2 3 2" xfId="2141"/>
    <cellStyle name="Reset  - Style7 2 4" xfId="2142"/>
    <cellStyle name="Reset  - Style7 2 5" xfId="2143"/>
    <cellStyle name="Reset  - Style7 2 6" xfId="2144"/>
    <cellStyle name="Reset  - Style7 3" xfId="2145"/>
    <cellStyle name="Reset  - Style7 4" xfId="2146"/>
    <cellStyle name="Reset  - Style7 5" xfId="2147"/>
    <cellStyle name="Reset  - Style7 6" xfId="2148"/>
    <cellStyle name="Reset  - Style7 6 2" xfId="2149"/>
    <cellStyle name="Reset  - Style7 7" xfId="2150"/>
    <cellStyle name="Reset  - Style7 8" xfId="2151"/>
    <cellStyle name="Reset  - Style7 9" xfId="2152"/>
    <cellStyle name="Satisfaisant" xfId="2153"/>
    <cellStyle name="Sheet Title" xfId="2154"/>
    <cellStyle name="Sheet Title 2" xfId="2155"/>
    <cellStyle name="Sheet Title 3" xfId="2156"/>
    <cellStyle name="Sledovaný hypertextový odkaz" xfId="2157"/>
    <cellStyle name="Sortie" xfId="2158"/>
    <cellStyle name="Standard_BS14" xfId="2159"/>
    <cellStyle name="Style 1" xfId="2160"/>
    <cellStyle name="Style 1 2" xfId="2161"/>
    <cellStyle name="Style 1 3" xfId="2162"/>
    <cellStyle name="sub-total" xfId="2163"/>
    <cellStyle name="T" xfId="2164"/>
    <cellStyle name="T_Copy of 5B-FR-SET-B1" xfId="2165"/>
    <cellStyle name="T_Copy of 5B-FR-SET-B1_Copy of RCE-WRSS-II-A-S-S-18.02.10" xfId="2166"/>
    <cellStyle name="T_Copy of 5B-FR-SET-B1_RCE-WRSS-II-B-21.11.09-1 - ak utwal on 09.01.10" xfId="2167"/>
    <cellStyle name="T_RCE(SET-A-TL)05.01.10" xfId="2168"/>
    <cellStyle name="T_RCE-WRSS-II-A" xfId="2169"/>
    <cellStyle name="T_RCE-WRSS-II-B-21.11.09-1" xfId="2170"/>
    <cellStyle name="T_RCE-WRSS-II-B-21.11.09-1 - ak utwal on 09.01.10" xfId="2171"/>
    <cellStyle name="Table  - Style6" xfId="2172"/>
    <cellStyle name="Table  - Style6 10" xfId="2173"/>
    <cellStyle name="Table  - Style6 11" xfId="2174"/>
    <cellStyle name="Table  - Style6 2" xfId="2175"/>
    <cellStyle name="Table  - Style6 2 2" xfId="2176"/>
    <cellStyle name="Table  - Style6 2 2 2" xfId="2177"/>
    <cellStyle name="Table  - Style6 2 2 2 2" xfId="2178"/>
    <cellStyle name="Table  - Style6 2 2 3" xfId="2179"/>
    <cellStyle name="Table  - Style6 2 2 4" xfId="2180"/>
    <cellStyle name="Table  - Style6 2 2 5" xfId="2181"/>
    <cellStyle name="Table  - Style6 2 2 6" xfId="2182"/>
    <cellStyle name="Table  - Style6 2 3" xfId="2183"/>
    <cellStyle name="Table  - Style6 2 3 2" xfId="2184"/>
    <cellStyle name="Table  - Style6 2 4" xfId="2185"/>
    <cellStyle name="Table  - Style6 2 5" xfId="2186"/>
    <cellStyle name="Table  - Style6 2 6" xfId="2187"/>
    <cellStyle name="Table  - Style6 3" xfId="2188"/>
    <cellStyle name="Table  - Style6 4" xfId="2189"/>
    <cellStyle name="Table  - Style6 5" xfId="2190"/>
    <cellStyle name="Table  - Style6 6" xfId="2191"/>
    <cellStyle name="Table  - Style6 6 2" xfId="2192"/>
    <cellStyle name="Table  - Style6 7" xfId="2193"/>
    <cellStyle name="Table  - Style6 8" xfId="2194"/>
    <cellStyle name="Table  - Style6 9" xfId="2195"/>
    <cellStyle name="Texte explicatif" xfId="2196"/>
    <cellStyle name="Times New Roman" xfId="2197"/>
    <cellStyle name="Title  - Style1" xfId="2198"/>
    <cellStyle name="Title  - Style1 10" xfId="2199"/>
    <cellStyle name="Title  - Style1 11" xfId="2200"/>
    <cellStyle name="Title  - Style1 2" xfId="2201"/>
    <cellStyle name="Title  - Style1 2 2" xfId="2202"/>
    <cellStyle name="Title  - Style1 2 2 2" xfId="2203"/>
    <cellStyle name="Title  - Style1 2 2 2 2" xfId="2204"/>
    <cellStyle name="Title  - Style1 2 2 3" xfId="2205"/>
    <cellStyle name="Title  - Style1 2 2 4" xfId="2206"/>
    <cellStyle name="Title  - Style1 2 2 5" xfId="2207"/>
    <cellStyle name="Title  - Style1 2 2 6" xfId="2208"/>
    <cellStyle name="Title  - Style1 2 3" xfId="2209"/>
    <cellStyle name="Title  - Style1 2 3 2" xfId="2210"/>
    <cellStyle name="Title  - Style1 2 4" xfId="2211"/>
    <cellStyle name="Title  - Style1 2 5" xfId="2212"/>
    <cellStyle name="Title  - Style1 2 6" xfId="2213"/>
    <cellStyle name="Title  - Style1 3" xfId="2214"/>
    <cellStyle name="Title  - Style1 4" xfId="2215"/>
    <cellStyle name="Title  - Style1 5" xfId="2216"/>
    <cellStyle name="Title  - Style1 6" xfId="2217"/>
    <cellStyle name="Title  - Style1 6 2" xfId="2218"/>
    <cellStyle name="Title  - Style1 7" xfId="2219"/>
    <cellStyle name="Title  - Style1 8" xfId="2220"/>
    <cellStyle name="Title  - Style1 9" xfId="2221"/>
    <cellStyle name="Title 2" xfId="2222"/>
    <cellStyle name="Title 2 10" xfId="2223"/>
    <cellStyle name="Title 2 2" xfId="2224"/>
    <cellStyle name="Title 2 3" xfId="2225"/>
    <cellStyle name="Title 2 4" xfId="2226"/>
    <cellStyle name="Title 2 5" xfId="2227"/>
    <cellStyle name="Title 2 6" xfId="2228"/>
    <cellStyle name="Title 2 7" xfId="2229"/>
    <cellStyle name="Title 2 8" xfId="2230"/>
    <cellStyle name="Title 2 9" xfId="2231"/>
    <cellStyle name="Title 3" xfId="2232"/>
    <cellStyle name="Title 3 2" xfId="2233"/>
    <cellStyle name="Title 4" xfId="2234"/>
    <cellStyle name="Title 4 2" xfId="2235"/>
    <cellStyle name="Title 5" xfId="2236"/>
    <cellStyle name="Title 5 2" xfId="2237"/>
    <cellStyle name="Title 6" xfId="2238"/>
    <cellStyle name="Titre" xfId="2239"/>
    <cellStyle name="Titre 1" xfId="2240"/>
    <cellStyle name="Titre 2" xfId="2241"/>
    <cellStyle name="Titre 3" xfId="2242"/>
    <cellStyle name="Titre 4" xfId="2243"/>
    <cellStyle name="Total 2" xfId="2244"/>
    <cellStyle name="Total 2 2" xfId="2245"/>
    <cellStyle name="Total 2 3" xfId="2246"/>
    <cellStyle name="Total 2 4" xfId="2247"/>
    <cellStyle name="Total 2 5" xfId="2248"/>
    <cellStyle name="Total 2 6" xfId="2249"/>
    <cellStyle name="Total 2 7" xfId="2250"/>
    <cellStyle name="Total 2 8" xfId="2251"/>
    <cellStyle name="Total 2 9" xfId="2252"/>
    <cellStyle name="Total 3" xfId="2253"/>
    <cellStyle name="Total 3 2" xfId="2254"/>
    <cellStyle name="Total 4" xfId="2255"/>
    <cellStyle name="Total 4 2" xfId="2256"/>
    <cellStyle name="Total 5" xfId="2257"/>
    <cellStyle name="Total 5 2" xfId="2258"/>
    <cellStyle name="Total 6" xfId="2259"/>
    <cellStyle name="TotCol - Style5" xfId="2260"/>
    <cellStyle name="TotCol - Style5 10" xfId="2261"/>
    <cellStyle name="TotCol - Style5 11" xfId="2262"/>
    <cellStyle name="TotCol - Style5 2" xfId="2263"/>
    <cellStyle name="TotCol - Style5 2 2" xfId="2264"/>
    <cellStyle name="TotCol - Style5 2 2 2" xfId="2265"/>
    <cellStyle name="TotCol - Style5 2 2 2 2" xfId="2266"/>
    <cellStyle name="TotCol - Style5 2 2 3" xfId="2267"/>
    <cellStyle name="TotCol - Style5 2 2 4" xfId="2268"/>
    <cellStyle name="TotCol - Style5 2 2 5" xfId="2269"/>
    <cellStyle name="TotCol - Style5 2 2 6" xfId="2270"/>
    <cellStyle name="TotCol - Style5 2 3" xfId="2271"/>
    <cellStyle name="TotCol - Style5 2 3 2" xfId="2272"/>
    <cellStyle name="TotCol - Style5 2 4" xfId="2273"/>
    <cellStyle name="TotCol - Style5 2 5" xfId="2274"/>
    <cellStyle name="TotCol - Style5 2 6" xfId="2275"/>
    <cellStyle name="TotCol - Style5 3" xfId="2276"/>
    <cellStyle name="TotCol - Style5 4" xfId="2277"/>
    <cellStyle name="TotCol - Style5 5" xfId="2278"/>
    <cellStyle name="TotCol - Style5 6" xfId="2279"/>
    <cellStyle name="TotCol - Style5 6 2" xfId="2280"/>
    <cellStyle name="TotCol - Style5 7" xfId="2281"/>
    <cellStyle name="TotCol - Style5 8" xfId="2282"/>
    <cellStyle name="TotCol - Style5 9" xfId="2283"/>
    <cellStyle name="TotRow - Style4" xfId="2284"/>
    <cellStyle name="TotRow - Style4 10" xfId="2285"/>
    <cellStyle name="TotRow - Style4 11" xfId="2286"/>
    <cellStyle name="TotRow - Style4 2" xfId="2287"/>
    <cellStyle name="TotRow - Style4 2 2" xfId="2288"/>
    <cellStyle name="TotRow - Style4 2 2 2" xfId="2289"/>
    <cellStyle name="TotRow - Style4 2 2 2 2" xfId="2290"/>
    <cellStyle name="TotRow - Style4 2 2 3" xfId="2291"/>
    <cellStyle name="TotRow - Style4 2 2 4" xfId="2292"/>
    <cellStyle name="TotRow - Style4 2 2 5" xfId="2293"/>
    <cellStyle name="TotRow - Style4 2 2 6" xfId="2294"/>
    <cellStyle name="TotRow - Style4 2 3" xfId="2295"/>
    <cellStyle name="TotRow - Style4 2 3 2" xfId="2296"/>
    <cellStyle name="TotRow - Style4 2 4" xfId="2297"/>
    <cellStyle name="TotRow - Style4 2 5" xfId="2298"/>
    <cellStyle name="TotRow - Style4 2 6" xfId="2299"/>
    <cellStyle name="TotRow - Style4 3" xfId="2300"/>
    <cellStyle name="TotRow - Style4 4" xfId="2301"/>
    <cellStyle name="TotRow - Style4 5" xfId="2302"/>
    <cellStyle name="TotRow - Style4 6" xfId="2303"/>
    <cellStyle name="TotRow - Style4 6 2" xfId="2304"/>
    <cellStyle name="TotRow - Style4 7" xfId="2305"/>
    <cellStyle name="TotRow - Style4 8" xfId="2306"/>
    <cellStyle name="TotRow - Style4 9" xfId="2307"/>
    <cellStyle name="Tusenskille [0]_Ark1" xfId="2308"/>
    <cellStyle name="Tusenskille_Ark1" xfId="2309"/>
    <cellStyle name="Tusental (0)_Appx 2 Action plan" xfId="2310"/>
    <cellStyle name="Tusental_Appx 2 Action plan" xfId="2311"/>
    <cellStyle name="Valuta (0)_Appx 2 Action plan" xfId="2312"/>
    <cellStyle name="Valuta [0]_Ark1" xfId="2313"/>
    <cellStyle name="Valuta_Appx 2 Action plan" xfId="2314"/>
    <cellStyle name="Vérification" xfId="2315"/>
    <cellStyle name="Währung [0]_Sheet1" xfId="2316"/>
    <cellStyle name="Währung_Sheet1" xfId="2317"/>
    <cellStyle name="Warning Text 2" xfId="2318"/>
    <cellStyle name="Warning Text 2 2" xfId="2319"/>
    <cellStyle name="Warning Text 2 3" xfId="2320"/>
    <cellStyle name="Warning Text 2 4" xfId="2321"/>
    <cellStyle name="Warning Text 2 5" xfId="2322"/>
    <cellStyle name="Warning Text 2 6" xfId="2323"/>
    <cellStyle name="Warning Text 2 7" xfId="2324"/>
    <cellStyle name="Warning Text 2 8" xfId="2325"/>
    <cellStyle name="Warning Text 2 9" xfId="2326"/>
    <cellStyle name="Warning Text 3" xfId="2327"/>
    <cellStyle name="Warning Text 3 2" xfId="2328"/>
    <cellStyle name="Warning Text 4" xfId="2329"/>
    <cellStyle name="Warning Text 4 2" xfId="2330"/>
    <cellStyle name="Warning Text 5" xfId="2331"/>
    <cellStyle name="Warning Text 5 2" xfId="2332"/>
    <cellStyle name="Warning Text 6" xfId="2333"/>
    <cellStyle name="백분율_95" xfId="2334"/>
    <cellStyle name="콤마 [0]_95" xfId="2335"/>
    <cellStyle name="콤마_95" xfId="2336"/>
    <cellStyle name="통화 [0]_95" xfId="2337"/>
    <cellStyle name="통화_95" xfId="2338"/>
    <cellStyle name="표준_2차(A4)-잔여물량정리" xfId="2339"/>
  </cellStyles>
  <dxfs count="59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00"/>
      <color rgb="FFB7ECF5"/>
      <color rgb="FF00FFFF"/>
      <color rgb="FFFF7A5B"/>
      <color rgb="FFFF0000"/>
      <color rgb="FFFF5399"/>
      <color rgb="FFFF0066"/>
      <color rgb="FFAE85FF"/>
      <color rgb="FF9966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31" Type="http://schemas.openxmlformats.org/officeDocument/2006/relationships/externalLink" Target="externalLinks/externalLink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</xdr:row>
      <xdr:rowOff>38100</xdr:rowOff>
    </xdr:from>
    <xdr:to>
      <xdr:col>0</xdr:col>
      <xdr:colOff>1097280</xdr:colOff>
      <xdr:row>2</xdr:row>
      <xdr:rowOff>297180</xdr:rowOff>
    </xdr:to>
    <xdr:pic>
      <xdr:nvPicPr>
        <xdr:cNvPr id="2" name="Picture 1" descr="companylogo">
          <a:extLst>
            <a:ext uri="{FF2B5EF4-FFF2-40B4-BE49-F238E27FC236}">
              <a16:creationId xmlns="" xmlns:a16="http://schemas.microsoft.com/office/drawing/2014/main" id="{DB41F620-9F1D-4250-9D5D-E3EAF1BBC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431800"/>
          <a:ext cx="1051560" cy="652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624805</xdr:colOff>
      <xdr:row>15</xdr:row>
      <xdr:rowOff>78147</xdr:rowOff>
    </xdr:from>
    <xdr:to>
      <xdr:col>8</xdr:col>
      <xdr:colOff>620233</xdr:colOff>
      <xdr:row>16</xdr:row>
      <xdr:rowOff>177207</xdr:rowOff>
    </xdr:to>
    <xdr:sp macro="" textlink="">
      <xdr:nvSpPr>
        <xdr:cNvPr id="2" name="Isosceles Triangl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/>
      </xdr:nvSpPr>
      <xdr:spPr>
        <a:xfrm>
          <a:off x="4372782" y="3489426"/>
          <a:ext cx="624521" cy="30285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15</xdr:row>
      <xdr:rowOff>78147</xdr:rowOff>
    </xdr:from>
    <xdr:to>
      <xdr:col>11</xdr:col>
      <xdr:colOff>0</xdr:colOff>
      <xdr:row>16</xdr:row>
      <xdr:rowOff>192447</xdr:rowOff>
    </xdr:to>
    <xdr:sp macro="" textlink="">
      <xdr:nvSpPr>
        <xdr:cNvPr id="3" name="Isosceles Triangle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SpPr/>
      </xdr:nvSpPr>
      <xdr:spPr>
        <a:xfrm>
          <a:off x="6100572" y="1725972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000" b="0" i="0" u="none" strike="noStrike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8</xdr:col>
      <xdr:colOff>4572</xdr:colOff>
      <xdr:row>24</xdr:row>
      <xdr:rowOff>78147</xdr:rowOff>
    </xdr:from>
    <xdr:to>
      <xdr:col>9</xdr:col>
      <xdr:colOff>0</xdr:colOff>
      <xdr:row>25</xdr:row>
      <xdr:rowOff>192447</xdr:rowOff>
    </xdr:to>
    <xdr:sp macro="" textlink="">
      <xdr:nvSpPr>
        <xdr:cNvPr id="12" name="Isosceles Triangle 11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SpPr/>
      </xdr:nvSpPr>
      <xdr:spPr>
        <a:xfrm>
          <a:off x="4881372" y="307852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13" name="Isosceles Triangle 12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SpPr/>
      </xdr:nvSpPr>
      <xdr:spPr>
        <a:xfrm>
          <a:off x="6100572" y="3078522"/>
          <a:ext cx="605028" cy="257175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20" name="Isosceles Triangle 19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SpPr/>
      </xdr:nvSpPr>
      <xdr:spPr>
        <a:xfrm>
          <a:off x="2442972" y="44310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22" name="Isosceles Triangle 21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SpPr/>
      </xdr:nvSpPr>
      <xdr:spPr>
        <a:xfrm>
          <a:off x="4881372" y="443107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23" name="Isosceles Triangle 22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SpPr/>
      </xdr:nvSpPr>
      <xdr:spPr>
        <a:xfrm>
          <a:off x="6100572" y="4431072"/>
          <a:ext cx="605028" cy="257175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24" name="Isosceles Triangle 23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SpPr/>
      </xdr:nvSpPr>
      <xdr:spPr>
        <a:xfrm>
          <a:off x="7319772" y="443107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78147</xdr:rowOff>
    </xdr:from>
    <xdr:to>
      <xdr:col>15</xdr:col>
      <xdr:colOff>0</xdr:colOff>
      <xdr:row>36</xdr:row>
      <xdr:rowOff>192447</xdr:rowOff>
    </xdr:to>
    <xdr:sp macro="" textlink="">
      <xdr:nvSpPr>
        <xdr:cNvPr id="25" name="Isosceles Triangle 24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SpPr/>
      </xdr:nvSpPr>
      <xdr:spPr>
        <a:xfrm>
          <a:off x="8538972" y="44310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26" name="Isosceles Triangle 25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SpPr/>
      </xdr:nvSpPr>
      <xdr:spPr>
        <a:xfrm>
          <a:off x="9758172" y="443107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27" name="Isosceles Triangle 26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SpPr/>
      </xdr:nvSpPr>
      <xdr:spPr>
        <a:xfrm>
          <a:off x="10977372" y="44310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53</xdr:row>
      <xdr:rowOff>78147</xdr:rowOff>
    </xdr:from>
    <xdr:to>
      <xdr:col>13</xdr:col>
      <xdr:colOff>0</xdr:colOff>
      <xdr:row>54</xdr:row>
      <xdr:rowOff>192447</xdr:rowOff>
    </xdr:to>
    <xdr:sp macro="" textlink="">
      <xdr:nvSpPr>
        <xdr:cNvPr id="43" name="Isosceles Triangle 42">
          <a:extLst>
            <a:ext uri="{FF2B5EF4-FFF2-40B4-BE49-F238E27FC236}">
              <a16:creationId xmlns="" xmlns:a16="http://schemas.microsoft.com/office/drawing/2014/main" id="{00000000-0008-0000-0100-00002B000000}"/>
            </a:ext>
          </a:extLst>
        </xdr:cNvPr>
        <xdr:cNvSpPr/>
      </xdr:nvSpPr>
      <xdr:spPr>
        <a:xfrm>
          <a:off x="7319772" y="7136172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4572</xdr:colOff>
      <xdr:row>44</xdr:row>
      <xdr:rowOff>66774</xdr:rowOff>
    </xdr:from>
    <xdr:to>
      <xdr:col>21</xdr:col>
      <xdr:colOff>0</xdr:colOff>
      <xdr:row>45</xdr:row>
      <xdr:rowOff>165834</xdr:rowOff>
    </xdr:to>
    <xdr:sp macro="" textlink="">
      <xdr:nvSpPr>
        <xdr:cNvPr id="165" name="Isosceles Triangle 164">
          <a:extLst>
            <a:ext uri="{FF2B5EF4-FFF2-40B4-BE49-F238E27FC236}">
              <a16:creationId xmlns="" xmlns:a16="http://schemas.microsoft.com/office/drawing/2014/main" id="{00000000-0008-0000-0100-0000A5000000}"/>
            </a:ext>
          </a:extLst>
        </xdr:cNvPr>
        <xdr:cNvSpPr/>
      </xdr:nvSpPr>
      <xdr:spPr>
        <a:xfrm>
          <a:off x="11878124" y="6822416"/>
          <a:ext cx="620951" cy="269657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53</xdr:row>
      <xdr:rowOff>78147</xdr:rowOff>
    </xdr:from>
    <xdr:to>
      <xdr:col>5</xdr:col>
      <xdr:colOff>0</xdr:colOff>
      <xdr:row>54</xdr:row>
      <xdr:rowOff>192447</xdr:rowOff>
    </xdr:to>
    <xdr:sp macro="" textlink="">
      <xdr:nvSpPr>
        <xdr:cNvPr id="167" name="Isosceles Triangle 166">
          <a:extLst>
            <a:ext uri="{FF2B5EF4-FFF2-40B4-BE49-F238E27FC236}">
              <a16:creationId xmlns="" xmlns:a16="http://schemas.microsoft.com/office/drawing/2014/main" id="{00000000-0008-0000-0100-0000A7000000}"/>
            </a:ext>
          </a:extLst>
        </xdr:cNvPr>
        <xdr:cNvSpPr/>
      </xdr:nvSpPr>
      <xdr:spPr>
        <a:xfrm>
          <a:off x="2442972" y="7136172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176784</xdr:colOff>
      <xdr:row>157</xdr:row>
      <xdr:rowOff>146304</xdr:rowOff>
    </xdr:from>
    <xdr:to>
      <xdr:col>12</xdr:col>
      <xdr:colOff>443484</xdr:colOff>
      <xdr:row>159</xdr:row>
      <xdr:rowOff>64770</xdr:rowOff>
    </xdr:to>
    <xdr:sp macro="" textlink="">
      <xdr:nvSpPr>
        <xdr:cNvPr id="259" name="Line 327">
          <a:extLst>
            <a:ext uri="{FF2B5EF4-FFF2-40B4-BE49-F238E27FC236}">
              <a16:creationId xmlns="" xmlns:a16="http://schemas.microsoft.com/office/drawing/2014/main" id="{00000000-0008-0000-0100-000003010000}"/>
            </a:ext>
          </a:extLst>
        </xdr:cNvPr>
        <xdr:cNvSpPr>
          <a:spLocks noChangeShapeType="1"/>
        </xdr:cNvSpPr>
      </xdr:nvSpPr>
      <xdr:spPr bwMode="auto">
        <a:xfrm flipH="1">
          <a:off x="7043928" y="26164032"/>
          <a:ext cx="266700" cy="35433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212217</xdr:colOff>
      <xdr:row>157</xdr:row>
      <xdr:rowOff>172974</xdr:rowOff>
    </xdr:from>
    <xdr:to>
      <xdr:col>12</xdr:col>
      <xdr:colOff>478917</xdr:colOff>
      <xdr:row>159</xdr:row>
      <xdr:rowOff>91440</xdr:rowOff>
    </xdr:to>
    <xdr:sp macro="" textlink="">
      <xdr:nvSpPr>
        <xdr:cNvPr id="261" name="Line 327">
          <a:extLst>
            <a:ext uri="{FF2B5EF4-FFF2-40B4-BE49-F238E27FC236}">
              <a16:creationId xmlns="" xmlns:a16="http://schemas.microsoft.com/office/drawing/2014/main" id="{00000000-0008-0000-0100-000005010000}"/>
            </a:ext>
          </a:extLst>
        </xdr:cNvPr>
        <xdr:cNvSpPr>
          <a:spLocks noChangeShapeType="1"/>
        </xdr:cNvSpPr>
      </xdr:nvSpPr>
      <xdr:spPr bwMode="auto">
        <a:xfrm flipH="1">
          <a:off x="7079361" y="26190702"/>
          <a:ext cx="266700" cy="35433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182044</xdr:colOff>
      <xdr:row>161</xdr:row>
      <xdr:rowOff>138432</xdr:rowOff>
    </xdr:from>
    <xdr:to>
      <xdr:col>5</xdr:col>
      <xdr:colOff>349761</xdr:colOff>
      <xdr:row>163</xdr:row>
      <xdr:rowOff>106839</xdr:rowOff>
    </xdr:to>
    <xdr:sp macro="" textlink="">
      <xdr:nvSpPr>
        <xdr:cNvPr id="263" name="AutoShape 301">
          <a:extLst>
            <a:ext uri="{FF2B5EF4-FFF2-40B4-BE49-F238E27FC236}">
              <a16:creationId xmlns="" xmlns:a16="http://schemas.microsoft.com/office/drawing/2014/main" id="{00000000-0008-0000-0100-000007010000}"/>
            </a:ext>
          </a:extLst>
        </xdr:cNvPr>
        <xdr:cNvSpPr>
          <a:spLocks noChangeArrowheads="1"/>
        </xdr:cNvSpPr>
      </xdr:nvSpPr>
      <xdr:spPr bwMode="auto">
        <a:xfrm rot="7084349">
          <a:off x="2591967" y="26859235"/>
          <a:ext cx="308152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267" name="Line 318">
          <a:extLst>
            <a:ext uri="{FF2B5EF4-FFF2-40B4-BE49-F238E27FC236}">
              <a16:creationId xmlns="" xmlns:a16="http://schemas.microsoft.com/office/drawing/2014/main" id="{00000000-0008-0000-0100-00000B010000}"/>
            </a:ext>
          </a:extLst>
        </xdr:cNvPr>
        <xdr:cNvSpPr>
          <a:spLocks noChangeShapeType="1"/>
        </xdr:cNvSpPr>
      </xdr:nvSpPr>
      <xdr:spPr bwMode="auto">
        <a:xfrm>
          <a:off x="10687050" y="233457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268" name="Line 318">
          <a:extLst>
            <a:ext uri="{FF2B5EF4-FFF2-40B4-BE49-F238E27FC236}">
              <a16:creationId xmlns="" xmlns:a16="http://schemas.microsoft.com/office/drawing/2014/main" id="{00000000-0008-0000-0100-00000C010000}"/>
            </a:ext>
          </a:extLst>
        </xdr:cNvPr>
        <xdr:cNvSpPr>
          <a:spLocks noChangeShapeType="1"/>
        </xdr:cNvSpPr>
      </xdr:nvSpPr>
      <xdr:spPr bwMode="auto">
        <a:xfrm>
          <a:off x="10696575" y="234886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269" name="Line 318">
          <a:extLst>
            <a:ext uri="{FF2B5EF4-FFF2-40B4-BE49-F238E27FC236}">
              <a16:creationId xmlns="" xmlns:a16="http://schemas.microsoft.com/office/drawing/2014/main" id="{00000000-0008-0000-0100-00000D010000}"/>
            </a:ext>
          </a:extLst>
        </xdr:cNvPr>
        <xdr:cNvSpPr>
          <a:spLocks noChangeShapeType="1"/>
        </xdr:cNvSpPr>
      </xdr:nvSpPr>
      <xdr:spPr bwMode="auto">
        <a:xfrm>
          <a:off x="10687050" y="234219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270" name="Line 305">
          <a:extLst>
            <a:ext uri="{FF2B5EF4-FFF2-40B4-BE49-F238E27FC236}">
              <a16:creationId xmlns="" xmlns:a16="http://schemas.microsoft.com/office/drawing/2014/main" id="{00000000-0008-0000-0100-00000E010000}"/>
            </a:ext>
          </a:extLst>
        </xdr:cNvPr>
        <xdr:cNvSpPr>
          <a:spLocks noChangeShapeType="1"/>
        </xdr:cNvSpPr>
      </xdr:nvSpPr>
      <xdr:spPr bwMode="auto">
        <a:xfrm flipH="1">
          <a:off x="10696575" y="23326725"/>
          <a:ext cx="0" cy="2000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271" name="Line 305">
          <a:extLst>
            <a:ext uri="{FF2B5EF4-FFF2-40B4-BE49-F238E27FC236}">
              <a16:creationId xmlns="" xmlns:a16="http://schemas.microsoft.com/office/drawing/2014/main" id="{00000000-0008-0000-0100-00000F010000}"/>
            </a:ext>
          </a:extLst>
        </xdr:cNvPr>
        <xdr:cNvSpPr>
          <a:spLocks noChangeShapeType="1"/>
        </xdr:cNvSpPr>
      </xdr:nvSpPr>
      <xdr:spPr bwMode="auto">
        <a:xfrm flipH="1">
          <a:off x="10877550" y="23326725"/>
          <a:ext cx="0" cy="2095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17</xdr:col>
      <xdr:colOff>126762</xdr:colOff>
      <xdr:row>157</xdr:row>
      <xdr:rowOff>31768</xdr:rowOff>
    </xdr:from>
    <xdr:to>
      <xdr:col>17</xdr:col>
      <xdr:colOff>446331</xdr:colOff>
      <xdr:row>159</xdr:row>
      <xdr:rowOff>78783</xdr:rowOff>
    </xdr:to>
    <xdr:pic>
      <xdr:nvPicPr>
        <xdr:cNvPr id="272" name="Picture 271">
          <a:extLst>
            <a:ext uri="{FF2B5EF4-FFF2-40B4-BE49-F238E27FC236}">
              <a16:creationId xmlns="" xmlns:a16="http://schemas.microsoft.com/office/drawing/2014/main" id="{00000000-0008-0000-01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4686" y="25905793"/>
          <a:ext cx="319569" cy="483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94519</xdr:colOff>
      <xdr:row>163</xdr:row>
      <xdr:rowOff>124544</xdr:rowOff>
    </xdr:from>
    <xdr:to>
      <xdr:col>17</xdr:col>
      <xdr:colOff>287713</xdr:colOff>
      <xdr:row>165</xdr:row>
      <xdr:rowOff>132319</xdr:rowOff>
    </xdr:to>
    <xdr:sp macro="" textlink="">
      <xdr:nvSpPr>
        <xdr:cNvPr id="273" name="Parallelogram 272">
          <a:extLst>
            <a:ext uri="{FF2B5EF4-FFF2-40B4-BE49-F238E27FC236}">
              <a16:creationId xmlns="" xmlns:a16="http://schemas.microsoft.com/office/drawing/2014/main" id="{00000000-0008-0000-0100-000011010000}"/>
            </a:ext>
          </a:extLst>
        </xdr:cNvPr>
        <xdr:cNvSpPr/>
      </xdr:nvSpPr>
      <xdr:spPr>
        <a:xfrm rot="1440000">
          <a:off x="10102443" y="27114875"/>
          <a:ext cx="193194" cy="352374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85701</xdr:colOff>
      <xdr:row>163</xdr:row>
      <xdr:rowOff>150580</xdr:rowOff>
    </xdr:from>
    <xdr:to>
      <xdr:col>17</xdr:col>
      <xdr:colOff>282394</xdr:colOff>
      <xdr:row>165</xdr:row>
      <xdr:rowOff>118335</xdr:rowOff>
    </xdr:to>
    <xdr:cxnSp macro="">
      <xdr:nvCxnSpPr>
        <xdr:cNvPr id="274" name="Straight Connector 273">
          <a:extLst>
            <a:ext uri="{FF2B5EF4-FFF2-40B4-BE49-F238E27FC236}">
              <a16:creationId xmlns="" xmlns:a16="http://schemas.microsoft.com/office/drawing/2014/main" id="{00000000-0008-0000-0100-000012010000}"/>
            </a:ext>
          </a:extLst>
        </xdr:cNvPr>
        <xdr:cNvCxnSpPr/>
      </xdr:nvCxnSpPr>
      <xdr:spPr>
        <a:xfrm flipH="1">
          <a:off x="10093625" y="27140911"/>
          <a:ext cx="196693" cy="31235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</xdr:colOff>
      <xdr:row>149</xdr:row>
      <xdr:rowOff>78147</xdr:rowOff>
    </xdr:from>
    <xdr:to>
      <xdr:col>7</xdr:col>
      <xdr:colOff>0</xdr:colOff>
      <xdr:row>151</xdr:row>
      <xdr:rowOff>0</xdr:rowOff>
    </xdr:to>
    <xdr:sp macro="" textlink="">
      <xdr:nvSpPr>
        <xdr:cNvPr id="275" name="Isosceles Triangle 274">
          <a:extLst>
            <a:ext uri="{FF2B5EF4-FFF2-40B4-BE49-F238E27FC236}">
              <a16:creationId xmlns="" xmlns:a16="http://schemas.microsoft.com/office/drawing/2014/main" id="{00000000-0008-0000-0100-000013010000}"/>
            </a:ext>
          </a:extLst>
        </xdr:cNvPr>
        <xdr:cNvSpPr/>
      </xdr:nvSpPr>
      <xdr:spPr>
        <a:xfrm>
          <a:off x="3662172" y="22376172"/>
          <a:ext cx="605028" cy="255228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276" name="Isosceles Triangle 275">
          <a:extLst>
            <a:ext uri="{FF2B5EF4-FFF2-40B4-BE49-F238E27FC236}">
              <a16:creationId xmlns="" xmlns:a16="http://schemas.microsoft.com/office/drawing/2014/main" id="{00000000-0008-0000-0100-000014010000}"/>
            </a:ext>
          </a:extLst>
        </xdr:cNvPr>
        <xdr:cNvSpPr/>
      </xdr:nvSpPr>
      <xdr:spPr>
        <a:xfrm>
          <a:off x="4881372" y="223761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277" name="Isosceles Triangle 276">
          <a:extLst>
            <a:ext uri="{FF2B5EF4-FFF2-40B4-BE49-F238E27FC236}">
              <a16:creationId xmlns="" xmlns:a16="http://schemas.microsoft.com/office/drawing/2014/main" id="{00000000-0008-0000-0100-000015010000}"/>
            </a:ext>
          </a:extLst>
        </xdr:cNvPr>
        <xdr:cNvSpPr/>
      </xdr:nvSpPr>
      <xdr:spPr>
        <a:xfrm>
          <a:off x="6100572" y="22376172"/>
          <a:ext cx="605028" cy="257175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19217</xdr:colOff>
      <xdr:row>15</xdr:row>
      <xdr:rowOff>58401</xdr:rowOff>
    </xdr:from>
    <xdr:to>
      <xdr:col>2</xdr:col>
      <xdr:colOff>654548</xdr:colOff>
      <xdr:row>16</xdr:row>
      <xdr:rowOff>159616</xdr:rowOff>
    </xdr:to>
    <xdr:sp macro="" textlink="">
      <xdr:nvSpPr>
        <xdr:cNvPr id="281" name="Isosceles Triangle 280">
          <a:extLst>
            <a:ext uri="{FF2B5EF4-FFF2-40B4-BE49-F238E27FC236}">
              <a16:creationId xmlns="" xmlns:a16="http://schemas.microsoft.com/office/drawing/2014/main" id="{00000000-0008-0000-0100-000019010000}"/>
            </a:ext>
          </a:extLst>
        </xdr:cNvPr>
        <xdr:cNvSpPr/>
      </xdr:nvSpPr>
      <xdr:spPr>
        <a:xfrm>
          <a:off x="617931" y="2573001"/>
          <a:ext cx="635331" cy="30804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7585</xdr:colOff>
      <xdr:row>15</xdr:row>
      <xdr:rowOff>78147</xdr:rowOff>
    </xdr:from>
    <xdr:to>
      <xdr:col>4</xdr:col>
      <xdr:colOff>626613</xdr:colOff>
      <xdr:row>17</xdr:row>
      <xdr:rowOff>1947</xdr:rowOff>
    </xdr:to>
    <xdr:sp macro="" textlink="">
      <xdr:nvSpPr>
        <xdr:cNvPr id="282" name="Isosceles Triangle 281">
          <a:extLst>
            <a:ext uri="{FF2B5EF4-FFF2-40B4-BE49-F238E27FC236}">
              <a16:creationId xmlns="" xmlns:a16="http://schemas.microsoft.com/office/drawing/2014/main" id="{00000000-0008-0000-0100-00001A010000}"/>
            </a:ext>
          </a:extLst>
        </xdr:cNvPr>
        <xdr:cNvSpPr/>
      </xdr:nvSpPr>
      <xdr:spPr>
        <a:xfrm>
          <a:off x="1912585" y="2607987"/>
          <a:ext cx="619028" cy="304800"/>
        </a:xfrm>
        <a:prstGeom prst="triangle">
          <a:avLst/>
        </a:prstGeom>
        <a:solidFill>
          <a:schemeClr val="accent2"/>
        </a:solidFill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624806</xdr:colOff>
      <xdr:row>15</xdr:row>
      <xdr:rowOff>78147</xdr:rowOff>
    </xdr:from>
    <xdr:to>
      <xdr:col>6</xdr:col>
      <xdr:colOff>611373</xdr:colOff>
      <xdr:row>16</xdr:row>
      <xdr:rowOff>173397</xdr:rowOff>
    </xdr:to>
    <xdr:sp macro="" textlink="">
      <xdr:nvSpPr>
        <xdr:cNvPr id="283" name="Isosceles Triangle 282">
          <a:extLst>
            <a:ext uri="{FF2B5EF4-FFF2-40B4-BE49-F238E27FC236}">
              <a16:creationId xmlns="" xmlns:a16="http://schemas.microsoft.com/office/drawing/2014/main" id="{00000000-0008-0000-0100-00001B010000}"/>
            </a:ext>
          </a:extLst>
        </xdr:cNvPr>
        <xdr:cNvSpPr/>
      </xdr:nvSpPr>
      <xdr:spPr>
        <a:xfrm>
          <a:off x="3105736" y="3489426"/>
          <a:ext cx="624521" cy="29904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123265</xdr:colOff>
      <xdr:row>151</xdr:row>
      <xdr:rowOff>11206</xdr:rowOff>
    </xdr:from>
    <xdr:to>
      <xdr:col>11</xdr:col>
      <xdr:colOff>212913</xdr:colOff>
      <xdr:row>151</xdr:row>
      <xdr:rowOff>156883</xdr:rowOff>
    </xdr:to>
    <xdr:sp macro="" textlink="">
      <xdr:nvSpPr>
        <xdr:cNvPr id="285" name="Curved Down Ribbon 284">
          <a:extLst>
            <a:ext uri="{FF2B5EF4-FFF2-40B4-BE49-F238E27FC236}">
              <a16:creationId xmlns="" xmlns:a16="http://schemas.microsoft.com/office/drawing/2014/main" id="{00000000-0008-0000-0100-00001D010000}"/>
            </a:ext>
          </a:extLst>
        </xdr:cNvPr>
        <xdr:cNvSpPr/>
      </xdr:nvSpPr>
      <xdr:spPr>
        <a:xfrm>
          <a:off x="6828865" y="2264260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286" name="Isosceles Triangle 285">
          <a:extLst>
            <a:ext uri="{FF2B5EF4-FFF2-40B4-BE49-F238E27FC236}">
              <a16:creationId xmlns="" xmlns:a16="http://schemas.microsoft.com/office/drawing/2014/main" id="{00000000-0008-0000-0100-00001E010000}"/>
            </a:ext>
          </a:extLst>
        </xdr:cNvPr>
        <xdr:cNvSpPr/>
      </xdr:nvSpPr>
      <xdr:spPr>
        <a:xfrm>
          <a:off x="10363200" y="22298025"/>
          <a:ext cx="609261" cy="257175"/>
        </a:xfrm>
        <a:prstGeom prst="triangle">
          <a:avLst/>
        </a:prstGeom>
        <a:solidFill>
          <a:srgbClr val="00B0F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287" name="Isosceles Triangle 286">
          <a:extLst>
            <a:ext uri="{FF2B5EF4-FFF2-40B4-BE49-F238E27FC236}">
              <a16:creationId xmlns="" xmlns:a16="http://schemas.microsoft.com/office/drawing/2014/main" id="{00000000-0008-0000-0100-00001F010000}"/>
            </a:ext>
          </a:extLst>
        </xdr:cNvPr>
        <xdr:cNvSpPr/>
      </xdr:nvSpPr>
      <xdr:spPr>
        <a:xfrm>
          <a:off x="10363200" y="22812375"/>
          <a:ext cx="609261" cy="262617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95250</xdr:rowOff>
    </xdr:from>
    <xdr:to>
      <xdr:col>17</xdr:col>
      <xdr:colOff>353787</xdr:colOff>
      <xdr:row>153</xdr:row>
      <xdr:rowOff>68035</xdr:rowOff>
    </xdr:to>
    <xdr:sp macro="" textlink="">
      <xdr:nvSpPr>
        <xdr:cNvPr id="288" name="Curved Right Arrow 287">
          <a:extLst>
            <a:ext uri="{FF2B5EF4-FFF2-40B4-BE49-F238E27FC236}">
              <a16:creationId xmlns="" xmlns:a16="http://schemas.microsoft.com/office/drawing/2014/main" id="{00000000-0008-0000-0100-000020010000}"/>
            </a:ext>
          </a:extLst>
        </xdr:cNvPr>
        <xdr:cNvSpPr/>
      </xdr:nvSpPr>
      <xdr:spPr>
        <a:xfrm>
          <a:off x="10567308" y="22907625"/>
          <a:ext cx="149679" cy="153760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150</xdr:row>
      <xdr:rowOff>13608</xdr:rowOff>
    </xdr:from>
    <xdr:to>
      <xdr:col>10</xdr:col>
      <xdr:colOff>381000</xdr:colOff>
      <xdr:row>150</xdr:row>
      <xdr:rowOff>149679</xdr:rowOff>
    </xdr:to>
    <xdr:sp macro="" textlink="">
      <xdr:nvSpPr>
        <xdr:cNvPr id="289" name="Flowchart: Connector 288">
          <a:extLst>
            <a:ext uri="{FF2B5EF4-FFF2-40B4-BE49-F238E27FC236}">
              <a16:creationId xmlns="" xmlns:a16="http://schemas.microsoft.com/office/drawing/2014/main" id="{00000000-0008-0000-0100-000021010000}"/>
            </a:ext>
          </a:extLst>
        </xdr:cNvPr>
        <xdr:cNvSpPr/>
      </xdr:nvSpPr>
      <xdr:spPr>
        <a:xfrm>
          <a:off x="6340928" y="22473558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290" name="Straight Arrow Connector 289">
          <a:extLst>
            <a:ext uri="{FF2B5EF4-FFF2-40B4-BE49-F238E27FC236}">
              <a16:creationId xmlns="" xmlns:a16="http://schemas.microsoft.com/office/drawing/2014/main" id="{00000000-0008-0000-0100-000022010000}"/>
            </a:ext>
          </a:extLst>
        </xdr:cNvPr>
        <xdr:cNvCxnSpPr>
          <a:endCxn id="277" idx="5"/>
        </xdr:cNvCxnSpPr>
      </xdr:nvCxnSpPr>
      <xdr:spPr>
        <a:xfrm flipH="1">
          <a:off x="6556385" y="22393275"/>
          <a:ext cx="366929" cy="1108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314" name="Curved Right Arrow 313">
          <a:extLst>
            <a:ext uri="{FF2B5EF4-FFF2-40B4-BE49-F238E27FC236}">
              <a16:creationId xmlns="" xmlns:a16="http://schemas.microsoft.com/office/drawing/2014/main" id="{00000000-0008-0000-0100-00003A010000}"/>
            </a:ext>
          </a:extLst>
        </xdr:cNvPr>
        <xdr:cNvSpPr/>
      </xdr:nvSpPr>
      <xdr:spPr>
        <a:xfrm>
          <a:off x="8503593" y="42215386"/>
          <a:ext cx="146958" cy="148318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315" name="Curved Right Arrow 314">
          <a:extLst>
            <a:ext uri="{FF2B5EF4-FFF2-40B4-BE49-F238E27FC236}">
              <a16:creationId xmlns="" xmlns:a16="http://schemas.microsoft.com/office/drawing/2014/main" id="{00000000-0008-0000-0100-00003B010000}"/>
            </a:ext>
          </a:extLst>
        </xdr:cNvPr>
        <xdr:cNvSpPr/>
      </xdr:nvSpPr>
      <xdr:spPr>
        <a:xfrm>
          <a:off x="8653272" y="42366426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316" name="Curved Right Arrow 315">
          <a:extLst>
            <a:ext uri="{FF2B5EF4-FFF2-40B4-BE49-F238E27FC236}">
              <a16:creationId xmlns="" xmlns:a16="http://schemas.microsoft.com/office/drawing/2014/main" id="{00000000-0008-0000-0100-00003C010000}"/>
            </a:ext>
          </a:extLst>
        </xdr:cNvPr>
        <xdr:cNvSpPr/>
      </xdr:nvSpPr>
      <xdr:spPr>
        <a:xfrm>
          <a:off x="8805672" y="42517465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4572</xdr:colOff>
      <xdr:row>24</xdr:row>
      <xdr:rowOff>78147</xdr:rowOff>
    </xdr:from>
    <xdr:to>
      <xdr:col>7</xdr:col>
      <xdr:colOff>0</xdr:colOff>
      <xdr:row>25</xdr:row>
      <xdr:rowOff>192447</xdr:rowOff>
    </xdr:to>
    <xdr:sp macro="" textlink="">
      <xdr:nvSpPr>
        <xdr:cNvPr id="11" name="Isosceles Triangle 10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SpPr/>
      </xdr:nvSpPr>
      <xdr:spPr>
        <a:xfrm>
          <a:off x="3662172" y="307852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72</xdr:row>
      <xdr:rowOff>65708</xdr:rowOff>
    </xdr:from>
    <xdr:to>
      <xdr:col>17</xdr:col>
      <xdr:colOff>0</xdr:colOff>
      <xdr:row>73</xdr:row>
      <xdr:rowOff>160958</xdr:rowOff>
    </xdr:to>
    <xdr:sp macro="" textlink="">
      <xdr:nvSpPr>
        <xdr:cNvPr id="411" name="Isosceles Triangle 410">
          <a:extLst>
            <a:ext uri="{FF2B5EF4-FFF2-40B4-BE49-F238E27FC236}">
              <a16:creationId xmlns="" xmlns:a16="http://schemas.microsoft.com/office/drawing/2014/main" id="{00000000-0008-0000-0100-00009B010000}"/>
            </a:ext>
          </a:extLst>
        </xdr:cNvPr>
        <xdr:cNvSpPr/>
      </xdr:nvSpPr>
      <xdr:spPr>
        <a:xfrm>
          <a:off x="9376035" y="11620812"/>
          <a:ext cx="620950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81</xdr:row>
      <xdr:rowOff>63195</xdr:rowOff>
    </xdr:from>
    <xdr:to>
      <xdr:col>21</xdr:col>
      <xdr:colOff>0</xdr:colOff>
      <xdr:row>82</xdr:row>
      <xdr:rowOff>158445</xdr:rowOff>
    </xdr:to>
    <xdr:sp macro="" textlink="">
      <xdr:nvSpPr>
        <xdr:cNvPr id="422" name="Isosceles Triangle 421">
          <a:extLst>
            <a:ext uri="{FF2B5EF4-FFF2-40B4-BE49-F238E27FC236}">
              <a16:creationId xmlns="" xmlns:a16="http://schemas.microsoft.com/office/drawing/2014/main" id="{00000000-0008-0000-0100-0000A6010000}"/>
            </a:ext>
          </a:extLst>
        </xdr:cNvPr>
        <xdr:cNvSpPr/>
      </xdr:nvSpPr>
      <xdr:spPr>
        <a:xfrm>
          <a:off x="11930758" y="15170288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72</xdr:row>
      <xdr:rowOff>61479</xdr:rowOff>
    </xdr:from>
    <xdr:to>
      <xdr:col>9</xdr:col>
      <xdr:colOff>0</xdr:colOff>
      <xdr:row>73</xdr:row>
      <xdr:rowOff>156729</xdr:rowOff>
    </xdr:to>
    <xdr:sp macro="" textlink="">
      <xdr:nvSpPr>
        <xdr:cNvPr id="515" name="Isosceles Triangle 514">
          <a:extLst>
            <a:ext uri="{FF2B5EF4-FFF2-40B4-BE49-F238E27FC236}">
              <a16:creationId xmlns="" xmlns:a16="http://schemas.microsoft.com/office/drawing/2014/main" id="{00000000-0008-0000-0100-000003020000}"/>
            </a:ext>
          </a:extLst>
        </xdr:cNvPr>
        <xdr:cNvSpPr/>
      </xdr:nvSpPr>
      <xdr:spPr>
        <a:xfrm>
          <a:off x="4890897" y="12386829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135062</xdr:colOff>
      <xdr:row>157</xdr:row>
      <xdr:rowOff>113825</xdr:rowOff>
    </xdr:from>
    <xdr:to>
      <xdr:col>12</xdr:col>
      <xdr:colOff>401762</xdr:colOff>
      <xdr:row>159</xdr:row>
      <xdr:rowOff>32291</xdr:rowOff>
    </xdr:to>
    <xdr:sp macro="" textlink="">
      <xdr:nvSpPr>
        <xdr:cNvPr id="586" name="Line 327">
          <a:extLst>
            <a:ext uri="{FF2B5EF4-FFF2-40B4-BE49-F238E27FC236}">
              <a16:creationId xmlns="" xmlns:a16="http://schemas.microsoft.com/office/drawing/2014/main" id="{00000000-0008-0000-0100-00004A020000}"/>
            </a:ext>
          </a:extLst>
        </xdr:cNvPr>
        <xdr:cNvSpPr>
          <a:spLocks noChangeShapeType="1"/>
        </xdr:cNvSpPr>
      </xdr:nvSpPr>
      <xdr:spPr bwMode="auto">
        <a:xfrm flipH="1">
          <a:off x="7013546" y="26030019"/>
          <a:ext cx="266700" cy="352724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251841</xdr:colOff>
      <xdr:row>157</xdr:row>
      <xdr:rowOff>206502</xdr:rowOff>
    </xdr:from>
    <xdr:to>
      <xdr:col>12</xdr:col>
      <xdr:colOff>518541</xdr:colOff>
      <xdr:row>159</xdr:row>
      <xdr:rowOff>124968</xdr:rowOff>
    </xdr:to>
    <xdr:sp macro="" textlink="">
      <xdr:nvSpPr>
        <xdr:cNvPr id="588" name="Line 327">
          <a:extLst>
            <a:ext uri="{FF2B5EF4-FFF2-40B4-BE49-F238E27FC236}">
              <a16:creationId xmlns="" xmlns:a16="http://schemas.microsoft.com/office/drawing/2014/main" id="{00000000-0008-0000-0100-00004C020000}"/>
            </a:ext>
          </a:extLst>
        </xdr:cNvPr>
        <xdr:cNvSpPr>
          <a:spLocks noChangeShapeType="1"/>
        </xdr:cNvSpPr>
      </xdr:nvSpPr>
      <xdr:spPr bwMode="auto">
        <a:xfrm flipH="1">
          <a:off x="7118985" y="26224230"/>
          <a:ext cx="266700" cy="35433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236195</xdr:colOff>
      <xdr:row>163</xdr:row>
      <xdr:rowOff>854</xdr:rowOff>
    </xdr:from>
    <xdr:to>
      <xdr:col>8</xdr:col>
      <xdr:colOff>412247</xdr:colOff>
      <xdr:row>165</xdr:row>
      <xdr:rowOff>44948</xdr:rowOff>
    </xdr:to>
    <xdr:sp macro="" textlink="">
      <xdr:nvSpPr>
        <xdr:cNvPr id="591" name="AutoShape 410">
          <a:extLst>
            <a:ext uri="{FF2B5EF4-FFF2-40B4-BE49-F238E27FC236}">
              <a16:creationId xmlns="" xmlns:a16="http://schemas.microsoft.com/office/drawing/2014/main" id="{00000000-0008-0000-0100-00004F020000}"/>
            </a:ext>
          </a:extLst>
        </xdr:cNvPr>
        <xdr:cNvSpPr>
          <a:spLocks noChangeArrowheads="1"/>
        </xdr:cNvSpPr>
      </xdr:nvSpPr>
      <xdr:spPr bwMode="auto">
        <a:xfrm rot="7297720">
          <a:off x="4498861" y="26832338"/>
          <a:ext cx="385288" cy="176052"/>
        </a:xfrm>
        <a:prstGeom prst="wave">
          <a:avLst>
            <a:gd name="adj1" fmla="val 13005"/>
            <a:gd name="adj2" fmla="val 0"/>
          </a:avLst>
        </a:prstGeom>
        <a:solidFill>
          <a:srgbClr val="000099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594" name="Line 318">
          <a:extLst>
            <a:ext uri="{FF2B5EF4-FFF2-40B4-BE49-F238E27FC236}">
              <a16:creationId xmlns="" xmlns:a16="http://schemas.microsoft.com/office/drawing/2014/main" id="{00000000-0008-0000-0100-000052020000}"/>
            </a:ext>
          </a:extLst>
        </xdr:cNvPr>
        <xdr:cNvSpPr>
          <a:spLocks noChangeShapeType="1"/>
        </xdr:cNvSpPr>
      </xdr:nvSpPr>
      <xdr:spPr bwMode="auto">
        <a:xfrm>
          <a:off x="10687050" y="232314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595" name="Line 318">
          <a:extLst>
            <a:ext uri="{FF2B5EF4-FFF2-40B4-BE49-F238E27FC236}">
              <a16:creationId xmlns="" xmlns:a16="http://schemas.microsoft.com/office/drawing/2014/main" id="{00000000-0008-0000-0100-000053020000}"/>
            </a:ext>
          </a:extLst>
        </xdr:cNvPr>
        <xdr:cNvSpPr>
          <a:spLocks noChangeShapeType="1"/>
        </xdr:cNvSpPr>
      </xdr:nvSpPr>
      <xdr:spPr bwMode="auto">
        <a:xfrm>
          <a:off x="10696575" y="233743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596" name="Line 318">
          <a:extLst>
            <a:ext uri="{FF2B5EF4-FFF2-40B4-BE49-F238E27FC236}">
              <a16:creationId xmlns="" xmlns:a16="http://schemas.microsoft.com/office/drawing/2014/main" id="{00000000-0008-0000-0100-000054020000}"/>
            </a:ext>
          </a:extLst>
        </xdr:cNvPr>
        <xdr:cNvSpPr>
          <a:spLocks noChangeShapeType="1"/>
        </xdr:cNvSpPr>
      </xdr:nvSpPr>
      <xdr:spPr bwMode="auto">
        <a:xfrm>
          <a:off x="10687050" y="233076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597" name="Line 305">
          <a:extLst>
            <a:ext uri="{FF2B5EF4-FFF2-40B4-BE49-F238E27FC236}">
              <a16:creationId xmlns="" xmlns:a16="http://schemas.microsoft.com/office/drawing/2014/main" id="{00000000-0008-0000-0100-000055020000}"/>
            </a:ext>
          </a:extLst>
        </xdr:cNvPr>
        <xdr:cNvSpPr>
          <a:spLocks noChangeShapeType="1"/>
        </xdr:cNvSpPr>
      </xdr:nvSpPr>
      <xdr:spPr bwMode="auto">
        <a:xfrm flipH="1">
          <a:off x="10696575" y="23212425"/>
          <a:ext cx="0" cy="2000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598" name="Line 305">
          <a:extLst>
            <a:ext uri="{FF2B5EF4-FFF2-40B4-BE49-F238E27FC236}">
              <a16:creationId xmlns="" xmlns:a16="http://schemas.microsoft.com/office/drawing/2014/main" id="{00000000-0008-0000-0100-000056020000}"/>
            </a:ext>
          </a:extLst>
        </xdr:cNvPr>
        <xdr:cNvSpPr>
          <a:spLocks noChangeShapeType="1"/>
        </xdr:cNvSpPr>
      </xdr:nvSpPr>
      <xdr:spPr bwMode="auto">
        <a:xfrm flipH="1">
          <a:off x="10877550" y="23212425"/>
          <a:ext cx="0" cy="2095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4572</xdr:colOff>
      <xdr:row>149</xdr:row>
      <xdr:rowOff>65447</xdr:rowOff>
    </xdr:from>
    <xdr:to>
      <xdr:col>7</xdr:col>
      <xdr:colOff>0</xdr:colOff>
      <xdr:row>150</xdr:row>
      <xdr:rowOff>165100</xdr:rowOff>
    </xdr:to>
    <xdr:sp macro="" textlink="">
      <xdr:nvSpPr>
        <xdr:cNvPr id="602" name="Isosceles Triangle 601">
          <a:extLst>
            <a:ext uri="{FF2B5EF4-FFF2-40B4-BE49-F238E27FC236}">
              <a16:creationId xmlns="" xmlns:a16="http://schemas.microsoft.com/office/drawing/2014/main" id="{00000000-0008-0000-0100-00005A020000}"/>
            </a:ext>
          </a:extLst>
        </xdr:cNvPr>
        <xdr:cNvSpPr/>
      </xdr:nvSpPr>
      <xdr:spPr>
        <a:xfrm>
          <a:off x="3801872" y="24843147"/>
          <a:ext cx="605028" cy="264753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603" name="Isosceles Triangle 602">
          <a:extLst>
            <a:ext uri="{FF2B5EF4-FFF2-40B4-BE49-F238E27FC236}">
              <a16:creationId xmlns="" xmlns:a16="http://schemas.microsoft.com/office/drawing/2014/main" id="{00000000-0008-0000-0100-00005B020000}"/>
            </a:ext>
          </a:extLst>
        </xdr:cNvPr>
        <xdr:cNvSpPr/>
      </xdr:nvSpPr>
      <xdr:spPr>
        <a:xfrm>
          <a:off x="4881372" y="222618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604" name="Isosceles Triangle 603">
          <a:extLst>
            <a:ext uri="{FF2B5EF4-FFF2-40B4-BE49-F238E27FC236}">
              <a16:creationId xmlns="" xmlns:a16="http://schemas.microsoft.com/office/drawing/2014/main" id="{00000000-0008-0000-0100-00005C020000}"/>
            </a:ext>
          </a:extLst>
        </xdr:cNvPr>
        <xdr:cNvSpPr/>
      </xdr:nvSpPr>
      <xdr:spPr>
        <a:xfrm>
          <a:off x="6100572" y="22261872"/>
          <a:ext cx="605028" cy="257175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110565</xdr:colOff>
      <xdr:row>151</xdr:row>
      <xdr:rowOff>11206</xdr:rowOff>
    </xdr:from>
    <xdr:to>
      <xdr:col>11</xdr:col>
      <xdr:colOff>200213</xdr:colOff>
      <xdr:row>151</xdr:row>
      <xdr:rowOff>156883</xdr:rowOff>
    </xdr:to>
    <xdr:sp macro="" textlink="">
      <xdr:nvSpPr>
        <xdr:cNvPr id="611" name="Curved Down Ribbon 610">
          <a:extLst>
            <a:ext uri="{FF2B5EF4-FFF2-40B4-BE49-F238E27FC236}">
              <a16:creationId xmlns="" xmlns:a16="http://schemas.microsoft.com/office/drawing/2014/main" id="{00000000-0008-0000-0100-000063020000}"/>
            </a:ext>
          </a:extLst>
        </xdr:cNvPr>
        <xdr:cNvSpPr/>
      </xdr:nvSpPr>
      <xdr:spPr>
        <a:xfrm>
          <a:off x="6955865" y="2513180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612" name="Isosceles Triangle 611">
          <a:extLst>
            <a:ext uri="{FF2B5EF4-FFF2-40B4-BE49-F238E27FC236}">
              <a16:creationId xmlns="" xmlns:a16="http://schemas.microsoft.com/office/drawing/2014/main" id="{00000000-0008-0000-0100-000064020000}"/>
            </a:ext>
          </a:extLst>
        </xdr:cNvPr>
        <xdr:cNvSpPr/>
      </xdr:nvSpPr>
      <xdr:spPr>
        <a:xfrm>
          <a:off x="10363200" y="22183725"/>
          <a:ext cx="609261" cy="257175"/>
        </a:xfrm>
        <a:prstGeom prst="triangle">
          <a:avLst/>
        </a:prstGeom>
        <a:solidFill>
          <a:srgbClr val="FF0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613" name="Isosceles Triangle 612">
          <a:extLst>
            <a:ext uri="{FF2B5EF4-FFF2-40B4-BE49-F238E27FC236}">
              <a16:creationId xmlns="" xmlns:a16="http://schemas.microsoft.com/office/drawing/2014/main" id="{00000000-0008-0000-0100-000065020000}"/>
            </a:ext>
          </a:extLst>
        </xdr:cNvPr>
        <xdr:cNvSpPr/>
      </xdr:nvSpPr>
      <xdr:spPr>
        <a:xfrm>
          <a:off x="10363200" y="22698075"/>
          <a:ext cx="609261" cy="262617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82550</xdr:rowOff>
    </xdr:from>
    <xdr:to>
      <xdr:col>17</xdr:col>
      <xdr:colOff>353787</xdr:colOff>
      <xdr:row>153</xdr:row>
      <xdr:rowOff>55335</xdr:rowOff>
    </xdr:to>
    <xdr:sp macro="" textlink="">
      <xdr:nvSpPr>
        <xdr:cNvPr id="614" name="Curved Right Arrow 613">
          <a:extLst>
            <a:ext uri="{FF2B5EF4-FFF2-40B4-BE49-F238E27FC236}">
              <a16:creationId xmlns="" xmlns:a16="http://schemas.microsoft.com/office/drawing/2014/main" id="{00000000-0008-0000-0100-000066020000}"/>
            </a:ext>
          </a:extLst>
        </xdr:cNvPr>
        <xdr:cNvSpPr/>
      </xdr:nvSpPr>
      <xdr:spPr>
        <a:xfrm>
          <a:off x="10707008" y="25380950"/>
          <a:ext cx="149679" cy="150585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149</xdr:row>
      <xdr:rowOff>153308</xdr:rowOff>
    </xdr:from>
    <xdr:to>
      <xdr:col>10</xdr:col>
      <xdr:colOff>381000</xdr:colOff>
      <xdr:row>150</xdr:row>
      <xdr:rowOff>124279</xdr:rowOff>
    </xdr:to>
    <xdr:sp macro="" textlink="">
      <xdr:nvSpPr>
        <xdr:cNvPr id="615" name="Flowchart: Connector 614">
          <a:extLst>
            <a:ext uri="{FF2B5EF4-FFF2-40B4-BE49-F238E27FC236}">
              <a16:creationId xmlns="" xmlns:a16="http://schemas.microsoft.com/office/drawing/2014/main" id="{00000000-0008-0000-0100-000067020000}"/>
            </a:ext>
          </a:extLst>
        </xdr:cNvPr>
        <xdr:cNvSpPr/>
      </xdr:nvSpPr>
      <xdr:spPr>
        <a:xfrm>
          <a:off x="6480628" y="24931008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616" name="Straight Arrow Connector 615">
          <a:extLst>
            <a:ext uri="{FF2B5EF4-FFF2-40B4-BE49-F238E27FC236}">
              <a16:creationId xmlns="" xmlns:a16="http://schemas.microsoft.com/office/drawing/2014/main" id="{00000000-0008-0000-0100-000068020000}"/>
            </a:ext>
          </a:extLst>
        </xdr:cNvPr>
        <xdr:cNvCxnSpPr>
          <a:endCxn id="604" idx="5"/>
        </xdr:cNvCxnSpPr>
      </xdr:nvCxnSpPr>
      <xdr:spPr>
        <a:xfrm flipH="1">
          <a:off x="6556385" y="22278975"/>
          <a:ext cx="366929" cy="1108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622" name="Curved Right Arrow 621">
          <a:extLst>
            <a:ext uri="{FF2B5EF4-FFF2-40B4-BE49-F238E27FC236}">
              <a16:creationId xmlns="" xmlns:a16="http://schemas.microsoft.com/office/drawing/2014/main" id="{00000000-0008-0000-0100-00006E020000}"/>
            </a:ext>
          </a:extLst>
        </xdr:cNvPr>
        <xdr:cNvSpPr/>
      </xdr:nvSpPr>
      <xdr:spPr>
        <a:xfrm>
          <a:off x="8503593" y="42101086"/>
          <a:ext cx="146958" cy="148318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623" name="Curved Right Arrow 622">
          <a:extLst>
            <a:ext uri="{FF2B5EF4-FFF2-40B4-BE49-F238E27FC236}">
              <a16:creationId xmlns="" xmlns:a16="http://schemas.microsoft.com/office/drawing/2014/main" id="{00000000-0008-0000-0100-00006F020000}"/>
            </a:ext>
          </a:extLst>
        </xdr:cNvPr>
        <xdr:cNvSpPr/>
      </xdr:nvSpPr>
      <xdr:spPr>
        <a:xfrm>
          <a:off x="8653272" y="42252126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624" name="Curved Right Arrow 623">
          <a:extLst>
            <a:ext uri="{FF2B5EF4-FFF2-40B4-BE49-F238E27FC236}">
              <a16:creationId xmlns="" xmlns:a16="http://schemas.microsoft.com/office/drawing/2014/main" id="{00000000-0008-0000-0100-000070020000}"/>
            </a:ext>
          </a:extLst>
        </xdr:cNvPr>
        <xdr:cNvSpPr/>
      </xdr:nvSpPr>
      <xdr:spPr>
        <a:xfrm>
          <a:off x="8805672" y="42403165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285749</xdr:colOff>
      <xdr:row>73</xdr:row>
      <xdr:rowOff>0</xdr:rowOff>
    </xdr:from>
    <xdr:to>
      <xdr:col>12</xdr:col>
      <xdr:colOff>421821</xdr:colOff>
      <xdr:row>73</xdr:row>
      <xdr:rowOff>136071</xdr:rowOff>
    </xdr:to>
    <xdr:sp macro="" textlink="">
      <xdr:nvSpPr>
        <xdr:cNvPr id="654" name="Flowchart: Connector 653">
          <a:extLst>
            <a:ext uri="{FF2B5EF4-FFF2-40B4-BE49-F238E27FC236}">
              <a16:creationId xmlns="" xmlns:a16="http://schemas.microsoft.com/office/drawing/2014/main" id="{00000000-0008-0000-0100-00008E020000}"/>
            </a:ext>
          </a:extLst>
        </xdr:cNvPr>
        <xdr:cNvSpPr/>
      </xdr:nvSpPr>
      <xdr:spPr>
        <a:xfrm>
          <a:off x="7584280" y="12382500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0</xdr:colOff>
      <xdr:row>22</xdr:row>
      <xdr:rowOff>59531</xdr:rowOff>
    </xdr:from>
    <xdr:to>
      <xdr:col>3</xdr:col>
      <xdr:colOff>161365</xdr:colOff>
      <xdr:row>22</xdr:row>
      <xdr:rowOff>62753</xdr:rowOff>
    </xdr:to>
    <xdr:cxnSp macro="">
      <xdr:nvCxnSpPr>
        <xdr:cNvPr id="661" name="Straight Arrow Connector 660">
          <a:extLst>
            <a:ext uri="{FF2B5EF4-FFF2-40B4-BE49-F238E27FC236}">
              <a16:creationId xmlns="" xmlns:a16="http://schemas.microsoft.com/office/drawing/2014/main" id="{00000000-0008-0000-0100-000095020000}"/>
            </a:ext>
          </a:extLst>
        </xdr:cNvPr>
        <xdr:cNvCxnSpPr/>
      </xdr:nvCxnSpPr>
      <xdr:spPr>
        <a:xfrm flipH="1" flipV="1">
          <a:off x="582706" y="2955131"/>
          <a:ext cx="788894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493059</xdr:colOff>
      <xdr:row>22</xdr:row>
      <xdr:rowOff>71298</xdr:rowOff>
    </xdr:from>
    <xdr:to>
      <xdr:col>6</xdr:col>
      <xdr:colOff>613225</xdr:colOff>
      <xdr:row>22</xdr:row>
      <xdr:rowOff>71718</xdr:rowOff>
    </xdr:to>
    <xdr:cxnSp macro="">
      <xdr:nvCxnSpPr>
        <xdr:cNvPr id="689" name="Straight Arrow Connector 688">
          <a:extLst>
            <a:ext uri="{FF2B5EF4-FFF2-40B4-BE49-F238E27FC236}">
              <a16:creationId xmlns="" xmlns:a16="http://schemas.microsoft.com/office/drawing/2014/main" id="{00000000-0008-0000-0100-0000B1020000}"/>
            </a:ext>
          </a:extLst>
        </xdr:cNvPr>
        <xdr:cNvCxnSpPr/>
      </xdr:nvCxnSpPr>
      <xdr:spPr>
        <a:xfrm flipV="1">
          <a:off x="2967318" y="2966898"/>
          <a:ext cx="756660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331695</xdr:colOff>
      <xdr:row>31</xdr:row>
      <xdr:rowOff>89647</xdr:rowOff>
    </xdr:from>
    <xdr:to>
      <xdr:col>10</xdr:col>
      <xdr:colOff>573246</xdr:colOff>
      <xdr:row>31</xdr:row>
      <xdr:rowOff>107154</xdr:rowOff>
    </xdr:to>
    <xdr:cxnSp macro="">
      <xdr:nvCxnSpPr>
        <xdr:cNvPr id="694" name="Straight Arrow Connector 693">
          <a:extLst>
            <a:ext uri="{FF2B5EF4-FFF2-40B4-BE49-F238E27FC236}">
              <a16:creationId xmlns="" xmlns:a16="http://schemas.microsoft.com/office/drawing/2014/main" id="{00000000-0008-0000-0100-0000B6020000}"/>
            </a:ext>
          </a:extLst>
        </xdr:cNvPr>
        <xdr:cNvCxnSpPr/>
      </xdr:nvCxnSpPr>
      <xdr:spPr>
        <a:xfrm>
          <a:off x="2178424" y="4643718"/>
          <a:ext cx="4015693" cy="1750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582705</xdr:colOff>
      <xdr:row>42</xdr:row>
      <xdr:rowOff>95248</xdr:rowOff>
    </xdr:from>
    <xdr:to>
      <xdr:col>6</xdr:col>
      <xdr:colOff>134471</xdr:colOff>
      <xdr:row>42</xdr:row>
      <xdr:rowOff>98612</xdr:rowOff>
    </xdr:to>
    <xdr:cxnSp macro="">
      <xdr:nvCxnSpPr>
        <xdr:cNvPr id="702" name="Straight Arrow Connector 701">
          <a:extLst>
            <a:ext uri="{FF2B5EF4-FFF2-40B4-BE49-F238E27FC236}">
              <a16:creationId xmlns="" xmlns:a16="http://schemas.microsoft.com/office/drawing/2014/main" id="{00000000-0008-0000-0100-0000BE020000}"/>
            </a:ext>
          </a:extLst>
        </xdr:cNvPr>
        <xdr:cNvCxnSpPr/>
      </xdr:nvCxnSpPr>
      <xdr:spPr>
        <a:xfrm flipH="1" flipV="1">
          <a:off x="582705" y="6621554"/>
          <a:ext cx="2662519" cy="336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451877</xdr:colOff>
      <xdr:row>42</xdr:row>
      <xdr:rowOff>89647</xdr:rowOff>
    </xdr:from>
    <xdr:to>
      <xdr:col>11</xdr:col>
      <xdr:colOff>564776</xdr:colOff>
      <xdr:row>42</xdr:row>
      <xdr:rowOff>101130</xdr:rowOff>
    </xdr:to>
    <xdr:cxnSp macro="">
      <xdr:nvCxnSpPr>
        <xdr:cNvPr id="703" name="Straight Arrow Connector 702">
          <a:extLst>
            <a:ext uri="{FF2B5EF4-FFF2-40B4-BE49-F238E27FC236}">
              <a16:creationId xmlns="" xmlns:a16="http://schemas.microsoft.com/office/drawing/2014/main" id="{00000000-0008-0000-0100-0000BF020000}"/>
            </a:ext>
          </a:extLst>
        </xdr:cNvPr>
        <xdr:cNvCxnSpPr/>
      </xdr:nvCxnSpPr>
      <xdr:spPr>
        <a:xfrm flipV="1">
          <a:off x="4190159" y="6615953"/>
          <a:ext cx="2623017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2940</xdr:colOff>
      <xdr:row>51</xdr:row>
      <xdr:rowOff>123636</xdr:rowOff>
    </xdr:from>
    <xdr:to>
      <xdr:col>3</xdr:col>
      <xdr:colOff>564777</xdr:colOff>
      <xdr:row>51</xdr:row>
      <xdr:rowOff>125506</xdr:rowOff>
    </xdr:to>
    <xdr:cxnSp macro="">
      <xdr:nvCxnSpPr>
        <xdr:cNvPr id="704" name="Straight Arrow Connector 703">
          <a:extLst>
            <a:ext uri="{FF2B5EF4-FFF2-40B4-BE49-F238E27FC236}">
              <a16:creationId xmlns="" xmlns:a16="http://schemas.microsoft.com/office/drawing/2014/main" id="{00000000-0008-0000-0100-0000C0020000}"/>
            </a:ext>
          </a:extLst>
        </xdr:cNvPr>
        <xdr:cNvCxnSpPr/>
      </xdr:nvCxnSpPr>
      <xdr:spPr>
        <a:xfrm>
          <a:off x="585646" y="8200836"/>
          <a:ext cx="1189366" cy="187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74660</xdr:colOff>
      <xdr:row>51</xdr:row>
      <xdr:rowOff>107576</xdr:rowOff>
    </xdr:from>
    <xdr:to>
      <xdr:col>8</xdr:col>
      <xdr:colOff>286870</xdr:colOff>
      <xdr:row>51</xdr:row>
      <xdr:rowOff>113177</xdr:rowOff>
    </xdr:to>
    <xdr:cxnSp macro="">
      <xdr:nvCxnSpPr>
        <xdr:cNvPr id="705" name="Straight Arrow Connector 704">
          <a:extLst>
            <a:ext uri="{FF2B5EF4-FFF2-40B4-BE49-F238E27FC236}">
              <a16:creationId xmlns="" xmlns:a16="http://schemas.microsoft.com/office/drawing/2014/main" id="{00000000-0008-0000-0100-0000C1020000}"/>
            </a:ext>
          </a:extLst>
        </xdr:cNvPr>
        <xdr:cNvCxnSpPr/>
      </xdr:nvCxnSpPr>
      <xdr:spPr>
        <a:xfrm flipH="1">
          <a:off x="1921389" y="8184776"/>
          <a:ext cx="2731293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403540</xdr:colOff>
      <xdr:row>60</xdr:row>
      <xdr:rowOff>89647</xdr:rowOff>
    </xdr:from>
    <xdr:to>
      <xdr:col>13</xdr:col>
      <xdr:colOff>493059</xdr:colOff>
      <xdr:row>60</xdr:row>
      <xdr:rowOff>95248</xdr:rowOff>
    </xdr:to>
    <xdr:cxnSp macro="">
      <xdr:nvCxnSpPr>
        <xdr:cNvPr id="706" name="Straight Arrow Connector 705">
          <a:extLst>
            <a:ext uri="{FF2B5EF4-FFF2-40B4-BE49-F238E27FC236}">
              <a16:creationId xmlns="" xmlns:a16="http://schemas.microsoft.com/office/drawing/2014/main" id="{00000000-0008-0000-0100-0000C2020000}"/>
            </a:ext>
          </a:extLst>
        </xdr:cNvPr>
        <xdr:cNvCxnSpPr/>
      </xdr:nvCxnSpPr>
      <xdr:spPr>
        <a:xfrm flipV="1">
          <a:off x="2250269" y="9843247"/>
          <a:ext cx="5746249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72</xdr:row>
      <xdr:rowOff>68525</xdr:rowOff>
    </xdr:from>
    <xdr:to>
      <xdr:col>14</xdr:col>
      <xdr:colOff>602647</xdr:colOff>
      <xdr:row>73</xdr:row>
      <xdr:rowOff>163775</xdr:rowOff>
    </xdr:to>
    <xdr:sp macro="" textlink="">
      <xdr:nvSpPr>
        <xdr:cNvPr id="747" name="Isosceles Triangle 746">
          <a:extLst>
            <a:ext uri="{FF2B5EF4-FFF2-40B4-BE49-F238E27FC236}">
              <a16:creationId xmlns="" xmlns:a16="http://schemas.microsoft.com/office/drawing/2014/main" id="{00000000-0008-0000-0100-0000EB020000}"/>
            </a:ext>
          </a:extLst>
        </xdr:cNvPr>
        <xdr:cNvSpPr/>
      </xdr:nvSpPr>
      <xdr:spPr>
        <a:xfrm>
          <a:off x="8120418" y="11623629"/>
          <a:ext cx="602647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90</xdr:row>
      <xdr:rowOff>66013</xdr:rowOff>
    </xdr:from>
    <xdr:to>
      <xdr:col>4</xdr:col>
      <xdr:colOff>602646</xdr:colOff>
      <xdr:row>91</xdr:row>
      <xdr:rowOff>161263</xdr:rowOff>
    </xdr:to>
    <xdr:sp macro="" textlink="">
      <xdr:nvSpPr>
        <xdr:cNvPr id="760" name="Isosceles Triangle 759">
          <a:extLst>
            <a:ext uri="{FF2B5EF4-FFF2-40B4-BE49-F238E27FC236}">
              <a16:creationId xmlns="" xmlns:a16="http://schemas.microsoft.com/office/drawing/2014/main" id="{00000000-0008-0000-0100-0000F8020000}"/>
            </a:ext>
          </a:extLst>
        </xdr:cNvPr>
        <xdr:cNvSpPr/>
      </xdr:nvSpPr>
      <xdr:spPr>
        <a:xfrm>
          <a:off x="1851837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90</xdr:row>
      <xdr:rowOff>66678</xdr:rowOff>
    </xdr:from>
    <xdr:to>
      <xdr:col>6</xdr:col>
      <xdr:colOff>602646</xdr:colOff>
      <xdr:row>91</xdr:row>
      <xdr:rowOff>161928</xdr:rowOff>
    </xdr:to>
    <xdr:sp macro="" textlink="">
      <xdr:nvSpPr>
        <xdr:cNvPr id="761" name="Isosceles Triangle 760">
          <a:extLst>
            <a:ext uri="{FF2B5EF4-FFF2-40B4-BE49-F238E27FC236}">
              <a16:creationId xmlns="" xmlns:a16="http://schemas.microsoft.com/office/drawing/2014/main" id="{00000000-0008-0000-0100-0000F9020000}"/>
            </a:ext>
          </a:extLst>
        </xdr:cNvPr>
        <xdr:cNvSpPr/>
      </xdr:nvSpPr>
      <xdr:spPr>
        <a:xfrm>
          <a:off x="3667125" y="15478128"/>
          <a:ext cx="602646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90</xdr:row>
      <xdr:rowOff>66013</xdr:rowOff>
    </xdr:from>
    <xdr:to>
      <xdr:col>8</xdr:col>
      <xdr:colOff>602646</xdr:colOff>
      <xdr:row>91</xdr:row>
      <xdr:rowOff>161263</xdr:rowOff>
    </xdr:to>
    <xdr:sp macro="" textlink="">
      <xdr:nvSpPr>
        <xdr:cNvPr id="762" name="Isosceles Triangle 761">
          <a:extLst>
            <a:ext uri="{FF2B5EF4-FFF2-40B4-BE49-F238E27FC236}">
              <a16:creationId xmlns="" xmlns:a16="http://schemas.microsoft.com/office/drawing/2014/main" id="{00000000-0008-0000-0100-0000FA020000}"/>
            </a:ext>
          </a:extLst>
        </xdr:cNvPr>
        <xdr:cNvSpPr/>
      </xdr:nvSpPr>
      <xdr:spPr>
        <a:xfrm>
          <a:off x="4377070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90</xdr:row>
      <xdr:rowOff>66013</xdr:rowOff>
    </xdr:from>
    <xdr:to>
      <xdr:col>10</xdr:col>
      <xdr:colOff>602646</xdr:colOff>
      <xdr:row>91</xdr:row>
      <xdr:rowOff>161263</xdr:rowOff>
    </xdr:to>
    <xdr:sp macro="" textlink="">
      <xdr:nvSpPr>
        <xdr:cNvPr id="763" name="Isosceles Triangle 762">
          <a:extLst>
            <a:ext uri="{FF2B5EF4-FFF2-40B4-BE49-F238E27FC236}">
              <a16:creationId xmlns="" xmlns:a16="http://schemas.microsoft.com/office/drawing/2014/main" id="{00000000-0008-0000-0100-0000FB020000}"/>
            </a:ext>
          </a:extLst>
        </xdr:cNvPr>
        <xdr:cNvSpPr/>
      </xdr:nvSpPr>
      <xdr:spPr>
        <a:xfrm>
          <a:off x="5635256" y="16856594"/>
          <a:ext cx="602646" cy="33448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90</xdr:row>
      <xdr:rowOff>66013</xdr:rowOff>
    </xdr:from>
    <xdr:to>
      <xdr:col>12</xdr:col>
      <xdr:colOff>602646</xdr:colOff>
      <xdr:row>91</xdr:row>
      <xdr:rowOff>161263</xdr:rowOff>
    </xdr:to>
    <xdr:sp macro="" textlink="">
      <xdr:nvSpPr>
        <xdr:cNvPr id="764" name="Isosceles Triangle 763">
          <a:extLst>
            <a:ext uri="{FF2B5EF4-FFF2-40B4-BE49-F238E27FC236}">
              <a16:creationId xmlns="" xmlns:a16="http://schemas.microsoft.com/office/drawing/2014/main" id="{00000000-0008-0000-0100-0000FC020000}"/>
            </a:ext>
          </a:extLst>
        </xdr:cNvPr>
        <xdr:cNvSpPr/>
      </xdr:nvSpPr>
      <xdr:spPr>
        <a:xfrm>
          <a:off x="6893442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8860</xdr:colOff>
      <xdr:row>90</xdr:row>
      <xdr:rowOff>66013</xdr:rowOff>
    </xdr:from>
    <xdr:to>
      <xdr:col>14</xdr:col>
      <xdr:colOff>611506</xdr:colOff>
      <xdr:row>91</xdr:row>
      <xdr:rowOff>161263</xdr:rowOff>
    </xdr:to>
    <xdr:sp macro="" textlink="">
      <xdr:nvSpPr>
        <xdr:cNvPr id="765" name="Isosceles Triangle 764">
          <a:extLst>
            <a:ext uri="{FF2B5EF4-FFF2-40B4-BE49-F238E27FC236}">
              <a16:creationId xmlns="" xmlns:a16="http://schemas.microsoft.com/office/drawing/2014/main" id="{00000000-0008-0000-0100-0000FD020000}"/>
            </a:ext>
          </a:extLst>
        </xdr:cNvPr>
        <xdr:cNvSpPr/>
      </xdr:nvSpPr>
      <xdr:spPr>
        <a:xfrm>
          <a:off x="8160488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90</xdr:row>
      <xdr:rowOff>68394</xdr:rowOff>
    </xdr:from>
    <xdr:to>
      <xdr:col>16</xdr:col>
      <xdr:colOff>602646</xdr:colOff>
      <xdr:row>91</xdr:row>
      <xdr:rowOff>163644</xdr:rowOff>
    </xdr:to>
    <xdr:sp macro="" textlink="">
      <xdr:nvSpPr>
        <xdr:cNvPr id="767" name="Isosceles Triangle 766">
          <a:extLst>
            <a:ext uri="{FF2B5EF4-FFF2-40B4-BE49-F238E27FC236}">
              <a16:creationId xmlns="" xmlns:a16="http://schemas.microsoft.com/office/drawing/2014/main" id="{00000000-0008-0000-0100-0000FF020000}"/>
            </a:ext>
          </a:extLst>
        </xdr:cNvPr>
        <xdr:cNvSpPr/>
      </xdr:nvSpPr>
      <xdr:spPr>
        <a:xfrm>
          <a:off x="9409814" y="16858975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90</xdr:row>
      <xdr:rowOff>66013</xdr:rowOff>
    </xdr:from>
    <xdr:to>
      <xdr:col>18</xdr:col>
      <xdr:colOff>602646</xdr:colOff>
      <xdr:row>91</xdr:row>
      <xdr:rowOff>161263</xdr:rowOff>
    </xdr:to>
    <xdr:sp macro="" textlink="">
      <xdr:nvSpPr>
        <xdr:cNvPr id="769" name="Isosceles Triangle 768">
          <a:extLst>
            <a:ext uri="{FF2B5EF4-FFF2-40B4-BE49-F238E27FC236}">
              <a16:creationId xmlns="" xmlns:a16="http://schemas.microsoft.com/office/drawing/2014/main" id="{00000000-0008-0000-0100-000001030000}"/>
            </a:ext>
          </a:extLst>
        </xdr:cNvPr>
        <xdr:cNvSpPr/>
      </xdr:nvSpPr>
      <xdr:spPr>
        <a:xfrm>
          <a:off x="10668000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99</xdr:row>
      <xdr:rowOff>66012</xdr:rowOff>
    </xdr:from>
    <xdr:to>
      <xdr:col>2</xdr:col>
      <xdr:colOff>602646</xdr:colOff>
      <xdr:row>100</xdr:row>
      <xdr:rowOff>161263</xdr:rowOff>
    </xdr:to>
    <xdr:sp macro="" textlink="">
      <xdr:nvSpPr>
        <xdr:cNvPr id="771" name="Isosceles Triangle 770">
          <a:extLst>
            <a:ext uri="{FF2B5EF4-FFF2-40B4-BE49-F238E27FC236}">
              <a16:creationId xmlns="" xmlns:a16="http://schemas.microsoft.com/office/drawing/2014/main" id="{00000000-0008-0000-0100-000003030000}"/>
            </a:ext>
          </a:extLst>
        </xdr:cNvPr>
        <xdr:cNvSpPr/>
      </xdr:nvSpPr>
      <xdr:spPr>
        <a:xfrm>
          <a:off x="584791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66012</xdr:rowOff>
    </xdr:from>
    <xdr:to>
      <xdr:col>4</xdr:col>
      <xdr:colOff>602646</xdr:colOff>
      <xdr:row>100</xdr:row>
      <xdr:rowOff>161263</xdr:rowOff>
    </xdr:to>
    <xdr:sp macro="" textlink="">
      <xdr:nvSpPr>
        <xdr:cNvPr id="772" name="Isosceles Triangle 771">
          <a:extLst>
            <a:ext uri="{FF2B5EF4-FFF2-40B4-BE49-F238E27FC236}">
              <a16:creationId xmlns="" xmlns:a16="http://schemas.microsoft.com/office/drawing/2014/main" id="{00000000-0008-0000-0100-000004030000}"/>
            </a:ext>
          </a:extLst>
        </xdr:cNvPr>
        <xdr:cNvSpPr/>
      </xdr:nvSpPr>
      <xdr:spPr>
        <a:xfrm>
          <a:off x="1851837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99</xdr:row>
      <xdr:rowOff>66012</xdr:rowOff>
    </xdr:from>
    <xdr:to>
      <xdr:col>8</xdr:col>
      <xdr:colOff>602646</xdr:colOff>
      <xdr:row>100</xdr:row>
      <xdr:rowOff>161263</xdr:rowOff>
    </xdr:to>
    <xdr:sp macro="" textlink="">
      <xdr:nvSpPr>
        <xdr:cNvPr id="774" name="Isosceles Triangle 773">
          <a:extLst>
            <a:ext uri="{FF2B5EF4-FFF2-40B4-BE49-F238E27FC236}">
              <a16:creationId xmlns="" xmlns:a16="http://schemas.microsoft.com/office/drawing/2014/main" id="{00000000-0008-0000-0100-000006030000}"/>
            </a:ext>
          </a:extLst>
        </xdr:cNvPr>
        <xdr:cNvSpPr/>
      </xdr:nvSpPr>
      <xdr:spPr>
        <a:xfrm>
          <a:off x="4377070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99</xdr:row>
      <xdr:rowOff>60327</xdr:rowOff>
    </xdr:from>
    <xdr:to>
      <xdr:col>10</xdr:col>
      <xdr:colOff>602646</xdr:colOff>
      <xdr:row>100</xdr:row>
      <xdr:rowOff>155578</xdr:rowOff>
    </xdr:to>
    <xdr:sp macro="" textlink="">
      <xdr:nvSpPr>
        <xdr:cNvPr id="775" name="Isosceles Triangle 774">
          <a:extLst>
            <a:ext uri="{FF2B5EF4-FFF2-40B4-BE49-F238E27FC236}">
              <a16:creationId xmlns="" xmlns:a16="http://schemas.microsoft.com/office/drawing/2014/main" id="{00000000-0008-0000-0100-000007030000}"/>
            </a:ext>
          </a:extLst>
        </xdr:cNvPr>
        <xdr:cNvSpPr/>
      </xdr:nvSpPr>
      <xdr:spPr>
        <a:xfrm>
          <a:off x="6108700" y="17065627"/>
          <a:ext cx="602646" cy="26035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99</xdr:row>
      <xdr:rowOff>66012</xdr:rowOff>
    </xdr:from>
    <xdr:to>
      <xdr:col>12</xdr:col>
      <xdr:colOff>602646</xdr:colOff>
      <xdr:row>100</xdr:row>
      <xdr:rowOff>161263</xdr:rowOff>
    </xdr:to>
    <xdr:sp macro="" textlink="">
      <xdr:nvSpPr>
        <xdr:cNvPr id="776" name="Isosceles Triangle 775">
          <a:extLst>
            <a:ext uri="{FF2B5EF4-FFF2-40B4-BE49-F238E27FC236}">
              <a16:creationId xmlns="" xmlns:a16="http://schemas.microsoft.com/office/drawing/2014/main" id="{00000000-0008-0000-0100-000008030000}"/>
            </a:ext>
          </a:extLst>
        </xdr:cNvPr>
        <xdr:cNvSpPr/>
      </xdr:nvSpPr>
      <xdr:spPr>
        <a:xfrm>
          <a:off x="6893442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99</xdr:row>
      <xdr:rowOff>66012</xdr:rowOff>
    </xdr:from>
    <xdr:to>
      <xdr:col>14</xdr:col>
      <xdr:colOff>602646</xdr:colOff>
      <xdr:row>100</xdr:row>
      <xdr:rowOff>161263</xdr:rowOff>
    </xdr:to>
    <xdr:sp macro="" textlink="">
      <xdr:nvSpPr>
        <xdr:cNvPr id="777" name="Isosceles Triangle 776">
          <a:extLst>
            <a:ext uri="{FF2B5EF4-FFF2-40B4-BE49-F238E27FC236}">
              <a16:creationId xmlns="" xmlns:a16="http://schemas.microsoft.com/office/drawing/2014/main" id="{00000000-0008-0000-0100-000009030000}"/>
            </a:ext>
          </a:extLst>
        </xdr:cNvPr>
        <xdr:cNvSpPr/>
      </xdr:nvSpPr>
      <xdr:spPr>
        <a:xfrm>
          <a:off x="8151628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99</xdr:row>
      <xdr:rowOff>66012</xdr:rowOff>
    </xdr:from>
    <xdr:to>
      <xdr:col>16</xdr:col>
      <xdr:colOff>602646</xdr:colOff>
      <xdr:row>100</xdr:row>
      <xdr:rowOff>161263</xdr:rowOff>
    </xdr:to>
    <xdr:sp macro="" textlink="">
      <xdr:nvSpPr>
        <xdr:cNvPr id="778" name="Isosceles Triangle 777">
          <a:extLst>
            <a:ext uri="{FF2B5EF4-FFF2-40B4-BE49-F238E27FC236}">
              <a16:creationId xmlns="" xmlns:a16="http://schemas.microsoft.com/office/drawing/2014/main" id="{00000000-0008-0000-0100-00000A030000}"/>
            </a:ext>
          </a:extLst>
        </xdr:cNvPr>
        <xdr:cNvSpPr/>
      </xdr:nvSpPr>
      <xdr:spPr>
        <a:xfrm>
          <a:off x="9409814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99</xdr:row>
      <xdr:rowOff>66012</xdr:rowOff>
    </xdr:from>
    <xdr:to>
      <xdr:col>18</xdr:col>
      <xdr:colOff>602646</xdr:colOff>
      <xdr:row>100</xdr:row>
      <xdr:rowOff>161263</xdr:rowOff>
    </xdr:to>
    <xdr:sp macro="" textlink="">
      <xdr:nvSpPr>
        <xdr:cNvPr id="779" name="Isosceles Triangle 778">
          <a:extLst>
            <a:ext uri="{FF2B5EF4-FFF2-40B4-BE49-F238E27FC236}">
              <a16:creationId xmlns="" xmlns:a16="http://schemas.microsoft.com/office/drawing/2014/main" id="{00000000-0008-0000-0100-00000B030000}"/>
            </a:ext>
          </a:extLst>
        </xdr:cNvPr>
        <xdr:cNvSpPr/>
      </xdr:nvSpPr>
      <xdr:spPr>
        <a:xfrm>
          <a:off x="10668000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99</xdr:row>
      <xdr:rowOff>66012</xdr:rowOff>
    </xdr:from>
    <xdr:to>
      <xdr:col>20</xdr:col>
      <xdr:colOff>602646</xdr:colOff>
      <xdr:row>100</xdr:row>
      <xdr:rowOff>161263</xdr:rowOff>
    </xdr:to>
    <xdr:sp macro="" textlink="">
      <xdr:nvSpPr>
        <xdr:cNvPr id="780" name="Isosceles Triangle 779">
          <a:extLst>
            <a:ext uri="{FF2B5EF4-FFF2-40B4-BE49-F238E27FC236}">
              <a16:creationId xmlns="" xmlns:a16="http://schemas.microsoft.com/office/drawing/2014/main" id="{00000000-0008-0000-0100-00000C030000}"/>
            </a:ext>
          </a:extLst>
        </xdr:cNvPr>
        <xdr:cNvSpPr/>
      </xdr:nvSpPr>
      <xdr:spPr>
        <a:xfrm>
          <a:off x="11926186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108</xdr:row>
      <xdr:rowOff>66013</xdr:rowOff>
    </xdr:from>
    <xdr:to>
      <xdr:col>2</xdr:col>
      <xdr:colOff>602646</xdr:colOff>
      <xdr:row>109</xdr:row>
      <xdr:rowOff>161263</xdr:rowOff>
    </xdr:to>
    <xdr:sp macro="" textlink="">
      <xdr:nvSpPr>
        <xdr:cNvPr id="781" name="Isosceles Triangle 780">
          <a:extLst>
            <a:ext uri="{FF2B5EF4-FFF2-40B4-BE49-F238E27FC236}">
              <a16:creationId xmlns="" xmlns:a16="http://schemas.microsoft.com/office/drawing/2014/main" id="{00000000-0008-0000-0100-00000D030000}"/>
            </a:ext>
          </a:extLst>
        </xdr:cNvPr>
        <xdr:cNvSpPr/>
      </xdr:nvSpPr>
      <xdr:spPr>
        <a:xfrm>
          <a:off x="584791" y="20542548"/>
          <a:ext cx="602646" cy="35220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73029</xdr:rowOff>
    </xdr:from>
    <xdr:to>
      <xdr:col>4</xdr:col>
      <xdr:colOff>602646</xdr:colOff>
      <xdr:row>109</xdr:row>
      <xdr:rowOff>168279</xdr:rowOff>
    </xdr:to>
    <xdr:sp macro="" textlink="">
      <xdr:nvSpPr>
        <xdr:cNvPr id="782" name="Isosceles Triangle 781">
          <a:extLst>
            <a:ext uri="{FF2B5EF4-FFF2-40B4-BE49-F238E27FC236}">
              <a16:creationId xmlns="" xmlns:a16="http://schemas.microsoft.com/office/drawing/2014/main" id="{00000000-0008-0000-0100-00000E030000}"/>
            </a:ext>
          </a:extLst>
        </xdr:cNvPr>
        <xdr:cNvSpPr/>
      </xdr:nvSpPr>
      <xdr:spPr>
        <a:xfrm>
          <a:off x="1857375" y="18789654"/>
          <a:ext cx="602646" cy="35718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108</xdr:row>
      <xdr:rowOff>66013</xdr:rowOff>
    </xdr:from>
    <xdr:to>
      <xdr:col>6</xdr:col>
      <xdr:colOff>602646</xdr:colOff>
      <xdr:row>109</xdr:row>
      <xdr:rowOff>161263</xdr:rowOff>
    </xdr:to>
    <xdr:sp macro="" textlink="">
      <xdr:nvSpPr>
        <xdr:cNvPr id="783" name="Isosceles Triangle 782">
          <a:extLst>
            <a:ext uri="{FF2B5EF4-FFF2-40B4-BE49-F238E27FC236}">
              <a16:creationId xmlns="" xmlns:a16="http://schemas.microsoft.com/office/drawing/2014/main" id="{00000000-0008-0000-0100-00000F030000}"/>
            </a:ext>
          </a:extLst>
        </xdr:cNvPr>
        <xdr:cNvSpPr/>
      </xdr:nvSpPr>
      <xdr:spPr>
        <a:xfrm>
          <a:off x="3118884" y="20542548"/>
          <a:ext cx="602646" cy="35220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108</xdr:row>
      <xdr:rowOff>66013</xdr:rowOff>
    </xdr:from>
    <xdr:to>
      <xdr:col>8</xdr:col>
      <xdr:colOff>602646</xdr:colOff>
      <xdr:row>109</xdr:row>
      <xdr:rowOff>161263</xdr:rowOff>
    </xdr:to>
    <xdr:sp macro="" textlink="">
      <xdr:nvSpPr>
        <xdr:cNvPr id="784" name="Isosceles Triangle 783">
          <a:extLst>
            <a:ext uri="{FF2B5EF4-FFF2-40B4-BE49-F238E27FC236}">
              <a16:creationId xmlns="" xmlns:a16="http://schemas.microsoft.com/office/drawing/2014/main" id="{00000000-0008-0000-0100-000010030000}"/>
            </a:ext>
          </a:extLst>
        </xdr:cNvPr>
        <xdr:cNvSpPr/>
      </xdr:nvSpPr>
      <xdr:spPr>
        <a:xfrm>
          <a:off x="4377070" y="20542548"/>
          <a:ext cx="602646" cy="35220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108</xdr:row>
      <xdr:rowOff>66013</xdr:rowOff>
    </xdr:from>
    <xdr:to>
      <xdr:col>10</xdr:col>
      <xdr:colOff>602646</xdr:colOff>
      <xdr:row>109</xdr:row>
      <xdr:rowOff>161263</xdr:rowOff>
    </xdr:to>
    <xdr:sp macro="" textlink="">
      <xdr:nvSpPr>
        <xdr:cNvPr id="785" name="Isosceles Triangle 784">
          <a:extLst>
            <a:ext uri="{FF2B5EF4-FFF2-40B4-BE49-F238E27FC236}">
              <a16:creationId xmlns="" xmlns:a16="http://schemas.microsoft.com/office/drawing/2014/main" id="{00000000-0008-0000-0100-000011030000}"/>
            </a:ext>
          </a:extLst>
        </xdr:cNvPr>
        <xdr:cNvSpPr/>
      </xdr:nvSpPr>
      <xdr:spPr>
        <a:xfrm>
          <a:off x="5635256" y="20542548"/>
          <a:ext cx="602646" cy="352203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47628</xdr:rowOff>
    </xdr:from>
    <xdr:to>
      <xdr:col>14</xdr:col>
      <xdr:colOff>602646</xdr:colOff>
      <xdr:row>109</xdr:row>
      <xdr:rowOff>142878</xdr:rowOff>
    </xdr:to>
    <xdr:sp macro="" textlink="">
      <xdr:nvSpPr>
        <xdr:cNvPr id="786" name="Isosceles Triangle 785">
          <a:extLst>
            <a:ext uri="{FF2B5EF4-FFF2-40B4-BE49-F238E27FC236}">
              <a16:creationId xmlns="" xmlns:a16="http://schemas.microsoft.com/office/drawing/2014/main" id="{00000000-0008-0000-0100-000012030000}"/>
            </a:ext>
          </a:extLst>
        </xdr:cNvPr>
        <xdr:cNvSpPr/>
      </xdr:nvSpPr>
      <xdr:spPr>
        <a:xfrm>
          <a:off x="7298531" y="17716503"/>
          <a:ext cx="602646" cy="261938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65091</xdr:rowOff>
    </xdr:from>
    <xdr:to>
      <xdr:col>14</xdr:col>
      <xdr:colOff>602646</xdr:colOff>
      <xdr:row>109</xdr:row>
      <xdr:rowOff>160341</xdr:rowOff>
    </xdr:to>
    <xdr:sp macro="" textlink="">
      <xdr:nvSpPr>
        <xdr:cNvPr id="787" name="Isosceles Triangle 786">
          <a:extLst>
            <a:ext uri="{FF2B5EF4-FFF2-40B4-BE49-F238E27FC236}">
              <a16:creationId xmlns="" xmlns:a16="http://schemas.microsoft.com/office/drawing/2014/main" id="{00000000-0008-0000-0100-000013030000}"/>
            </a:ext>
          </a:extLst>
        </xdr:cNvPr>
        <xdr:cNvSpPr/>
      </xdr:nvSpPr>
      <xdr:spPr>
        <a:xfrm>
          <a:off x="8143875" y="18599154"/>
          <a:ext cx="602646" cy="35718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108</xdr:row>
      <xdr:rowOff>66013</xdr:rowOff>
    </xdr:from>
    <xdr:to>
      <xdr:col>18</xdr:col>
      <xdr:colOff>602646</xdr:colOff>
      <xdr:row>109</xdr:row>
      <xdr:rowOff>161263</xdr:rowOff>
    </xdr:to>
    <xdr:sp macro="" textlink="">
      <xdr:nvSpPr>
        <xdr:cNvPr id="789" name="Isosceles Triangle 788">
          <a:extLst>
            <a:ext uri="{FF2B5EF4-FFF2-40B4-BE49-F238E27FC236}">
              <a16:creationId xmlns="" xmlns:a16="http://schemas.microsoft.com/office/drawing/2014/main" id="{00000000-0008-0000-0100-000015030000}"/>
            </a:ext>
          </a:extLst>
        </xdr:cNvPr>
        <xdr:cNvSpPr/>
      </xdr:nvSpPr>
      <xdr:spPr>
        <a:xfrm>
          <a:off x="10668000" y="20542548"/>
          <a:ext cx="602646" cy="35220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19</xdr:col>
      <xdr:colOff>615461</xdr:colOff>
      <xdr:row>108</xdr:row>
      <xdr:rowOff>66013</xdr:rowOff>
    </xdr:from>
    <xdr:to>
      <xdr:col>20</xdr:col>
      <xdr:colOff>609600</xdr:colOff>
      <xdr:row>109</xdr:row>
      <xdr:rowOff>152400</xdr:rowOff>
    </xdr:to>
    <xdr:sp macro="" textlink="">
      <xdr:nvSpPr>
        <xdr:cNvPr id="790" name="Isosceles Triangle 789">
          <a:extLst>
            <a:ext uri="{FF2B5EF4-FFF2-40B4-BE49-F238E27FC236}">
              <a16:creationId xmlns="" xmlns:a16="http://schemas.microsoft.com/office/drawing/2014/main" id="{00000000-0008-0000-0100-000016030000}"/>
            </a:ext>
          </a:extLst>
        </xdr:cNvPr>
        <xdr:cNvSpPr/>
      </xdr:nvSpPr>
      <xdr:spPr>
        <a:xfrm>
          <a:off x="11884096" y="20030413"/>
          <a:ext cx="621669" cy="346363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 b="1"/>
        </a:p>
      </xdr:txBody>
    </xdr:sp>
    <xdr:clientData/>
  </xdr:twoCellAnchor>
  <xdr:twoCellAnchor>
    <xdr:from>
      <xdr:col>12</xdr:col>
      <xdr:colOff>0</xdr:colOff>
      <xdr:row>108</xdr:row>
      <xdr:rowOff>66013</xdr:rowOff>
    </xdr:from>
    <xdr:to>
      <xdr:col>12</xdr:col>
      <xdr:colOff>602646</xdr:colOff>
      <xdr:row>109</xdr:row>
      <xdr:rowOff>161263</xdr:rowOff>
    </xdr:to>
    <xdr:sp macro="" textlink="">
      <xdr:nvSpPr>
        <xdr:cNvPr id="806" name="Isosceles Triangle 805">
          <a:extLst>
            <a:ext uri="{FF2B5EF4-FFF2-40B4-BE49-F238E27FC236}">
              <a16:creationId xmlns="" xmlns:a16="http://schemas.microsoft.com/office/drawing/2014/main" id="{00000000-0008-0000-0100-000026030000}"/>
            </a:ext>
          </a:extLst>
        </xdr:cNvPr>
        <xdr:cNvSpPr/>
      </xdr:nvSpPr>
      <xdr:spPr>
        <a:xfrm>
          <a:off x="6893442" y="20542548"/>
          <a:ext cx="602646" cy="35220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528918</xdr:colOff>
      <xdr:row>70</xdr:row>
      <xdr:rowOff>105664</xdr:rowOff>
    </xdr:from>
    <xdr:to>
      <xdr:col>3</xdr:col>
      <xdr:colOff>528918</xdr:colOff>
      <xdr:row>70</xdr:row>
      <xdr:rowOff>107576</xdr:rowOff>
    </xdr:to>
    <xdr:cxnSp macro="">
      <xdr:nvCxnSpPr>
        <xdr:cNvPr id="404" name="Straight Arrow Connector 403">
          <a:extLst>
            <a:ext uri="{FF2B5EF4-FFF2-40B4-BE49-F238E27FC236}">
              <a16:creationId xmlns="" xmlns:a16="http://schemas.microsoft.com/office/drawing/2014/main" id="{00000000-0008-0000-0100-000094010000}"/>
            </a:ext>
          </a:extLst>
        </xdr:cNvPr>
        <xdr:cNvCxnSpPr/>
      </xdr:nvCxnSpPr>
      <xdr:spPr>
        <a:xfrm flipH="1" flipV="1">
          <a:off x="528918" y="11786676"/>
          <a:ext cx="1210235" cy="191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170330</xdr:colOff>
      <xdr:row>79</xdr:row>
      <xdr:rowOff>89647</xdr:rowOff>
    </xdr:from>
    <xdr:to>
      <xdr:col>7</xdr:col>
      <xdr:colOff>528918</xdr:colOff>
      <xdr:row>79</xdr:row>
      <xdr:rowOff>89647</xdr:rowOff>
    </xdr:to>
    <xdr:cxnSp macro="">
      <xdr:nvCxnSpPr>
        <xdr:cNvPr id="408" name="Straight Arrow Connector 407">
          <a:extLst>
            <a:ext uri="{FF2B5EF4-FFF2-40B4-BE49-F238E27FC236}">
              <a16:creationId xmlns="" xmlns:a16="http://schemas.microsoft.com/office/drawing/2014/main" id="{00000000-0008-0000-0100-000098010000}"/>
            </a:ext>
          </a:extLst>
        </xdr:cNvPr>
        <xdr:cNvCxnSpPr/>
      </xdr:nvCxnSpPr>
      <xdr:spPr>
        <a:xfrm>
          <a:off x="2017059" y="13482918"/>
          <a:ext cx="225014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495363</xdr:colOff>
      <xdr:row>88</xdr:row>
      <xdr:rowOff>107576</xdr:rowOff>
    </xdr:from>
    <xdr:to>
      <xdr:col>13</xdr:col>
      <xdr:colOff>528917</xdr:colOff>
      <xdr:row>88</xdr:row>
      <xdr:rowOff>129613</xdr:rowOff>
    </xdr:to>
    <xdr:cxnSp macro="">
      <xdr:nvCxnSpPr>
        <xdr:cNvPr id="409" name="Straight Arrow Connector 408">
          <a:extLst>
            <a:ext uri="{FF2B5EF4-FFF2-40B4-BE49-F238E27FC236}">
              <a16:creationId xmlns="" xmlns:a16="http://schemas.microsoft.com/office/drawing/2014/main" id="{00000000-0008-0000-0100-000099010000}"/>
            </a:ext>
          </a:extLst>
        </xdr:cNvPr>
        <xdr:cNvCxnSpPr/>
      </xdr:nvCxnSpPr>
      <xdr:spPr>
        <a:xfrm flipV="1">
          <a:off x="2342092" y="15204141"/>
          <a:ext cx="5690284" cy="2203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101437</xdr:colOff>
      <xdr:row>88</xdr:row>
      <xdr:rowOff>89647</xdr:rowOff>
    </xdr:from>
    <xdr:to>
      <xdr:col>20</xdr:col>
      <xdr:colOff>35859</xdr:colOff>
      <xdr:row>88</xdr:row>
      <xdr:rowOff>120648</xdr:rowOff>
    </xdr:to>
    <xdr:cxnSp macro="">
      <xdr:nvCxnSpPr>
        <xdr:cNvPr id="412" name="Straight Arrow Connector 411">
          <a:extLst>
            <a:ext uri="{FF2B5EF4-FFF2-40B4-BE49-F238E27FC236}">
              <a16:creationId xmlns="" xmlns:a16="http://schemas.microsoft.com/office/drawing/2014/main" id="{00000000-0008-0000-0100-00009C010000}"/>
            </a:ext>
          </a:extLst>
        </xdr:cNvPr>
        <xdr:cNvCxnSpPr/>
      </xdr:nvCxnSpPr>
      <xdr:spPr>
        <a:xfrm flipV="1">
          <a:off x="8232425" y="15186212"/>
          <a:ext cx="3699599" cy="310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53788</xdr:colOff>
      <xdr:row>97</xdr:row>
      <xdr:rowOff>77178</xdr:rowOff>
    </xdr:from>
    <xdr:to>
      <xdr:col>13</xdr:col>
      <xdr:colOff>516277</xdr:colOff>
      <xdr:row>97</xdr:row>
      <xdr:rowOff>89647</xdr:rowOff>
    </xdr:to>
    <xdr:cxnSp macro="">
      <xdr:nvCxnSpPr>
        <xdr:cNvPr id="415" name="Straight Arrow Connector 414">
          <a:extLst>
            <a:ext uri="{FF2B5EF4-FFF2-40B4-BE49-F238E27FC236}">
              <a16:creationId xmlns="" xmlns:a16="http://schemas.microsoft.com/office/drawing/2014/main" id="{00000000-0008-0000-0100-00009F010000}"/>
            </a:ext>
          </a:extLst>
        </xdr:cNvPr>
        <xdr:cNvCxnSpPr/>
      </xdr:nvCxnSpPr>
      <xdr:spPr>
        <a:xfrm flipV="1">
          <a:off x="6302188" y="16975649"/>
          <a:ext cx="1717548" cy="1246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125507</xdr:colOff>
      <xdr:row>97</xdr:row>
      <xdr:rowOff>75031</xdr:rowOff>
    </xdr:from>
    <xdr:to>
      <xdr:col>19</xdr:col>
      <xdr:colOff>233083</xdr:colOff>
      <xdr:row>97</xdr:row>
      <xdr:rowOff>80682</xdr:rowOff>
    </xdr:to>
    <xdr:cxnSp macro="">
      <xdr:nvCxnSpPr>
        <xdr:cNvPr id="416" name="Straight Arrow Connector 415">
          <a:extLst>
            <a:ext uri="{FF2B5EF4-FFF2-40B4-BE49-F238E27FC236}">
              <a16:creationId xmlns="" xmlns:a16="http://schemas.microsoft.com/office/drawing/2014/main" id="{00000000-0008-0000-0100-0000A0010000}"/>
            </a:ext>
          </a:extLst>
        </xdr:cNvPr>
        <xdr:cNvCxnSpPr/>
      </xdr:nvCxnSpPr>
      <xdr:spPr>
        <a:xfrm flipH="1" flipV="1">
          <a:off x="8256495" y="16973502"/>
          <a:ext cx="3245223" cy="565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22340</xdr:colOff>
      <xdr:row>106</xdr:row>
      <xdr:rowOff>60837</xdr:rowOff>
    </xdr:from>
    <xdr:to>
      <xdr:col>7</xdr:col>
      <xdr:colOff>457200</xdr:colOff>
      <xdr:row>106</xdr:row>
      <xdr:rowOff>80682</xdr:rowOff>
    </xdr:to>
    <xdr:cxnSp macro="">
      <xdr:nvCxnSpPr>
        <xdr:cNvPr id="417" name="Straight Arrow Connector 416">
          <a:extLst>
            <a:ext uri="{FF2B5EF4-FFF2-40B4-BE49-F238E27FC236}">
              <a16:creationId xmlns="" xmlns:a16="http://schemas.microsoft.com/office/drawing/2014/main" id="{00000000-0008-0000-0100-0000A1010000}"/>
            </a:ext>
          </a:extLst>
        </xdr:cNvPr>
        <xdr:cNvCxnSpPr/>
      </xdr:nvCxnSpPr>
      <xdr:spPr>
        <a:xfrm>
          <a:off x="605046" y="18716390"/>
          <a:ext cx="3590436" cy="1984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129966</xdr:colOff>
      <xdr:row>106</xdr:row>
      <xdr:rowOff>62753</xdr:rowOff>
    </xdr:from>
    <xdr:to>
      <xdr:col>19</xdr:col>
      <xdr:colOff>322730</xdr:colOff>
      <xdr:row>106</xdr:row>
      <xdr:rowOff>72743</xdr:rowOff>
    </xdr:to>
    <xdr:cxnSp macro="">
      <xdr:nvCxnSpPr>
        <xdr:cNvPr id="418" name="Straight Arrow Connector 417">
          <a:extLst>
            <a:ext uri="{FF2B5EF4-FFF2-40B4-BE49-F238E27FC236}">
              <a16:creationId xmlns="" xmlns:a16="http://schemas.microsoft.com/office/drawing/2014/main" id="{00000000-0008-0000-0100-0000A2010000}"/>
            </a:ext>
          </a:extLst>
        </xdr:cNvPr>
        <xdr:cNvCxnSpPr/>
      </xdr:nvCxnSpPr>
      <xdr:spPr>
        <a:xfrm flipH="1">
          <a:off x="4495778" y="18718306"/>
          <a:ext cx="7095587" cy="999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116413</xdr:colOff>
      <xdr:row>115</xdr:row>
      <xdr:rowOff>71718</xdr:rowOff>
    </xdr:from>
    <xdr:to>
      <xdr:col>19</xdr:col>
      <xdr:colOff>170330</xdr:colOff>
      <xdr:row>115</xdr:row>
      <xdr:rowOff>81848</xdr:rowOff>
    </xdr:to>
    <xdr:cxnSp macro="">
      <xdr:nvCxnSpPr>
        <xdr:cNvPr id="421" name="Straight Arrow Connector 420">
          <a:extLst>
            <a:ext uri="{FF2B5EF4-FFF2-40B4-BE49-F238E27FC236}">
              <a16:creationId xmlns="" xmlns:a16="http://schemas.microsoft.com/office/drawing/2014/main" id="{00000000-0008-0000-0100-0000A5010000}"/>
            </a:ext>
          </a:extLst>
        </xdr:cNvPr>
        <xdr:cNvCxnSpPr/>
      </xdr:nvCxnSpPr>
      <xdr:spPr>
        <a:xfrm flipH="1">
          <a:off x="3227166" y="20735365"/>
          <a:ext cx="8211799" cy="101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580786</xdr:colOff>
      <xdr:row>124</xdr:row>
      <xdr:rowOff>89647</xdr:rowOff>
    </xdr:from>
    <xdr:to>
      <xdr:col>5</xdr:col>
      <xdr:colOff>385482</xdr:colOff>
      <xdr:row>124</xdr:row>
      <xdr:rowOff>105660</xdr:rowOff>
    </xdr:to>
    <xdr:cxnSp macro="">
      <xdr:nvCxnSpPr>
        <xdr:cNvPr id="423" name="Straight Arrow Connector 422">
          <a:extLst>
            <a:ext uri="{FF2B5EF4-FFF2-40B4-BE49-F238E27FC236}">
              <a16:creationId xmlns="" xmlns:a16="http://schemas.microsoft.com/office/drawing/2014/main" id="{00000000-0008-0000-0100-0000A7010000}"/>
            </a:ext>
          </a:extLst>
        </xdr:cNvPr>
        <xdr:cNvCxnSpPr/>
      </xdr:nvCxnSpPr>
      <xdr:spPr>
        <a:xfrm flipV="1">
          <a:off x="580786" y="22608988"/>
          <a:ext cx="2278955" cy="1601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95569</xdr:colOff>
      <xdr:row>124</xdr:row>
      <xdr:rowOff>98612</xdr:rowOff>
    </xdr:from>
    <xdr:to>
      <xdr:col>12</xdr:col>
      <xdr:colOff>609600</xdr:colOff>
      <xdr:row>124</xdr:row>
      <xdr:rowOff>104866</xdr:rowOff>
    </xdr:to>
    <xdr:cxnSp macro="">
      <xdr:nvCxnSpPr>
        <xdr:cNvPr id="424" name="Straight Arrow Connector 423">
          <a:extLst>
            <a:ext uri="{FF2B5EF4-FFF2-40B4-BE49-F238E27FC236}">
              <a16:creationId xmlns="" xmlns:a16="http://schemas.microsoft.com/office/drawing/2014/main" id="{00000000-0008-0000-0100-0000A8010000}"/>
            </a:ext>
          </a:extLst>
        </xdr:cNvPr>
        <xdr:cNvCxnSpPr/>
      </xdr:nvCxnSpPr>
      <xdr:spPr>
        <a:xfrm flipH="1">
          <a:off x="3206322" y="22617953"/>
          <a:ext cx="4279207" cy="625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259977</xdr:colOff>
      <xdr:row>134</xdr:row>
      <xdr:rowOff>53163</xdr:rowOff>
    </xdr:from>
    <xdr:to>
      <xdr:col>21</xdr:col>
      <xdr:colOff>531628</xdr:colOff>
      <xdr:row>134</xdr:row>
      <xdr:rowOff>98611</xdr:rowOff>
    </xdr:to>
    <xdr:cxnSp macro="">
      <xdr:nvCxnSpPr>
        <xdr:cNvPr id="429" name="Straight Arrow Connector 428">
          <a:extLst>
            <a:ext uri="{FF2B5EF4-FFF2-40B4-BE49-F238E27FC236}">
              <a16:creationId xmlns="" xmlns:a16="http://schemas.microsoft.com/office/drawing/2014/main" id="{00000000-0008-0000-0100-0000AD010000}"/>
            </a:ext>
          </a:extLst>
        </xdr:cNvPr>
        <xdr:cNvCxnSpPr/>
      </xdr:nvCxnSpPr>
      <xdr:spPr>
        <a:xfrm flipV="1">
          <a:off x="2111814" y="25580163"/>
          <a:ext cx="10975093" cy="4544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237461</xdr:colOff>
      <xdr:row>154</xdr:row>
      <xdr:rowOff>91262</xdr:rowOff>
    </xdr:from>
    <xdr:to>
      <xdr:col>12</xdr:col>
      <xdr:colOff>388938</xdr:colOff>
      <xdr:row>157</xdr:row>
      <xdr:rowOff>95250</xdr:rowOff>
    </xdr:to>
    <xdr:sp macro="" textlink="">
      <xdr:nvSpPr>
        <xdr:cNvPr id="434" name="Lightning Bolt 433">
          <a:extLst>
            <a:ext uri="{FF2B5EF4-FFF2-40B4-BE49-F238E27FC236}">
              <a16:creationId xmlns="" xmlns:a16="http://schemas.microsoft.com/office/drawing/2014/main" id="{00000000-0008-0000-0100-0000B2010000}"/>
            </a:ext>
          </a:extLst>
        </xdr:cNvPr>
        <xdr:cNvSpPr/>
      </xdr:nvSpPr>
      <xdr:spPr>
        <a:xfrm>
          <a:off x="7127211" y="25427762"/>
          <a:ext cx="151477" cy="527863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228599</xdr:colOff>
      <xdr:row>160</xdr:row>
      <xdr:rowOff>2</xdr:rowOff>
    </xdr:from>
    <xdr:to>
      <xdr:col>17</xdr:col>
      <xdr:colOff>274318</xdr:colOff>
      <xdr:row>163</xdr:row>
      <xdr:rowOff>19418</xdr:rowOff>
    </xdr:to>
    <xdr:sp macro="" textlink="">
      <xdr:nvSpPr>
        <xdr:cNvPr id="436" name="AutoShape 10733">
          <a:extLst>
            <a:ext uri="{FF2B5EF4-FFF2-40B4-BE49-F238E27FC236}">
              <a16:creationId xmlns="" xmlns:a16="http://schemas.microsoft.com/office/drawing/2014/main" id="{00000000-0008-0000-0100-0000B4010000}"/>
            </a:ext>
          </a:extLst>
        </xdr:cNvPr>
        <xdr:cNvSpPr>
          <a:spLocks noChangeArrowheads="1"/>
        </xdr:cNvSpPr>
      </xdr:nvSpPr>
      <xdr:spPr bwMode="auto">
        <a:xfrm rot="5400000">
          <a:off x="9994866" y="26722372"/>
          <a:ext cx="52903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266038</xdr:colOff>
      <xdr:row>161</xdr:row>
      <xdr:rowOff>149391</xdr:rowOff>
    </xdr:from>
    <xdr:to>
      <xdr:col>12</xdr:col>
      <xdr:colOff>391839</xdr:colOff>
      <xdr:row>165</xdr:row>
      <xdr:rowOff>43161</xdr:rowOff>
    </xdr:to>
    <xdr:sp macro="" textlink="">
      <xdr:nvSpPr>
        <xdr:cNvPr id="440" name="Lightning Bolt 439">
          <a:extLst>
            <a:ext uri="{FF2B5EF4-FFF2-40B4-BE49-F238E27FC236}">
              <a16:creationId xmlns="" xmlns:a16="http://schemas.microsoft.com/office/drawing/2014/main" id="{00000000-0008-0000-0100-0000B8010000}"/>
            </a:ext>
          </a:extLst>
        </xdr:cNvPr>
        <xdr:cNvSpPr/>
      </xdr:nvSpPr>
      <xdr:spPr>
        <a:xfrm>
          <a:off x="7143452" y="26799977"/>
          <a:ext cx="125801" cy="578114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twoCellAnchor>
    <xdr:from>
      <xdr:col>19</xdr:col>
      <xdr:colOff>448982</xdr:colOff>
      <xdr:row>91</xdr:row>
      <xdr:rowOff>165099</xdr:rowOff>
    </xdr:from>
    <xdr:to>
      <xdr:col>19</xdr:col>
      <xdr:colOff>487082</xdr:colOff>
      <xdr:row>94</xdr:row>
      <xdr:rowOff>87405</xdr:rowOff>
    </xdr:to>
    <xdr:sp macro="" textlink="">
      <xdr:nvSpPr>
        <xdr:cNvPr id="468" name="AutoShape 10733">
          <a:extLst>
            <a:ext uri="{FF2B5EF4-FFF2-40B4-BE49-F238E27FC236}">
              <a16:creationId xmlns="" xmlns:a16="http://schemas.microsoft.com/office/drawing/2014/main" id="{00000000-0008-0000-0100-0000D4010000}"/>
            </a:ext>
          </a:extLst>
        </xdr:cNvPr>
        <xdr:cNvSpPr>
          <a:spLocks noChangeArrowheads="1"/>
        </xdr:cNvSpPr>
      </xdr:nvSpPr>
      <xdr:spPr bwMode="auto">
        <a:xfrm rot="5400000">
          <a:off x="11506573" y="16960849"/>
          <a:ext cx="460188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106029</xdr:colOff>
      <xdr:row>100</xdr:row>
      <xdr:rowOff>173961</xdr:rowOff>
    </xdr:from>
    <xdr:to>
      <xdr:col>13</xdr:col>
      <xdr:colOff>299223</xdr:colOff>
      <xdr:row>102</xdr:row>
      <xdr:rowOff>158718</xdr:rowOff>
    </xdr:to>
    <xdr:sp macro="" textlink="">
      <xdr:nvSpPr>
        <xdr:cNvPr id="525" name="Parallelogram 524">
          <a:extLst>
            <a:ext uri="{FF2B5EF4-FFF2-40B4-BE49-F238E27FC236}">
              <a16:creationId xmlns="" xmlns:a16="http://schemas.microsoft.com/office/drawing/2014/main" id="{00000000-0008-0000-0100-00000D020000}"/>
            </a:ext>
          </a:extLst>
        </xdr:cNvPr>
        <xdr:cNvSpPr/>
      </xdr:nvSpPr>
      <xdr:spPr>
        <a:xfrm rot="1440000">
          <a:off x="7628564" y="17682240"/>
          <a:ext cx="193194" cy="348036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80624</xdr:colOff>
      <xdr:row>100</xdr:row>
      <xdr:rowOff>169169</xdr:rowOff>
    </xdr:from>
    <xdr:to>
      <xdr:col>13</xdr:col>
      <xdr:colOff>277317</xdr:colOff>
      <xdr:row>102</xdr:row>
      <xdr:rowOff>113906</xdr:rowOff>
    </xdr:to>
    <xdr:cxnSp macro="">
      <xdr:nvCxnSpPr>
        <xdr:cNvPr id="526" name="Straight Connector 525">
          <a:extLst>
            <a:ext uri="{FF2B5EF4-FFF2-40B4-BE49-F238E27FC236}">
              <a16:creationId xmlns="" xmlns:a16="http://schemas.microsoft.com/office/drawing/2014/main" id="{00000000-0008-0000-0100-00000E020000}"/>
            </a:ext>
          </a:extLst>
        </xdr:cNvPr>
        <xdr:cNvCxnSpPr/>
      </xdr:nvCxnSpPr>
      <xdr:spPr>
        <a:xfrm flipH="1">
          <a:off x="7576020" y="17194358"/>
          <a:ext cx="196693" cy="30177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65</xdr:row>
      <xdr:rowOff>12700</xdr:rowOff>
    </xdr:from>
    <xdr:to>
      <xdr:col>3</xdr:col>
      <xdr:colOff>358217</xdr:colOff>
      <xdr:row>66</xdr:row>
      <xdr:rowOff>133507</xdr:rowOff>
    </xdr:to>
    <xdr:sp macro="" textlink="">
      <xdr:nvSpPr>
        <xdr:cNvPr id="530" name="AutoShape 301">
          <a:extLst>
            <a:ext uri="{FF2B5EF4-FFF2-40B4-BE49-F238E27FC236}">
              <a16:creationId xmlns="" xmlns:a16="http://schemas.microsoft.com/office/drawing/2014/main" id="{00000000-0008-0000-0100-000012020000}"/>
            </a:ext>
          </a:extLst>
        </xdr:cNvPr>
        <xdr:cNvSpPr>
          <a:spLocks noChangeArrowheads="1"/>
        </xdr:cNvSpPr>
      </xdr:nvSpPr>
      <xdr:spPr bwMode="auto">
        <a:xfrm rot="7084349">
          <a:off x="1953855" y="11368445"/>
          <a:ext cx="298607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177800</xdr:colOff>
      <xdr:row>155</xdr:row>
      <xdr:rowOff>50800</xdr:rowOff>
    </xdr:from>
    <xdr:to>
      <xdr:col>8</xdr:col>
      <xdr:colOff>353852</xdr:colOff>
      <xdr:row>157</xdr:row>
      <xdr:rowOff>69494</xdr:rowOff>
    </xdr:to>
    <xdr:sp macro="" textlink="">
      <xdr:nvSpPr>
        <xdr:cNvPr id="532" name="AutoShape 410">
          <a:extLst>
            <a:ext uri="{FF2B5EF4-FFF2-40B4-BE49-F238E27FC236}">
              <a16:creationId xmlns="" xmlns:a16="http://schemas.microsoft.com/office/drawing/2014/main" id="{00000000-0008-0000-0100-000014020000}"/>
            </a:ext>
          </a:extLst>
        </xdr:cNvPr>
        <xdr:cNvSpPr>
          <a:spLocks noChangeArrowheads="1"/>
        </xdr:cNvSpPr>
      </xdr:nvSpPr>
      <xdr:spPr bwMode="auto">
        <a:xfrm rot="7297720">
          <a:off x="4968179" y="25791221"/>
          <a:ext cx="374294" cy="176052"/>
        </a:xfrm>
        <a:prstGeom prst="wave">
          <a:avLst>
            <a:gd name="adj1" fmla="val 13005"/>
            <a:gd name="adj2" fmla="val 0"/>
          </a:avLst>
        </a:prstGeom>
        <a:solidFill>
          <a:schemeClr val="accent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</xdr:col>
      <xdr:colOff>355600</xdr:colOff>
      <xdr:row>159</xdr:row>
      <xdr:rowOff>101600</xdr:rowOff>
    </xdr:from>
    <xdr:ext cx="78658" cy="358330"/>
    <xdr:pic>
      <xdr:nvPicPr>
        <xdr:cNvPr id="534" name="Picture 11597">
          <a:extLst>
            <a:ext uri="{FF2B5EF4-FFF2-40B4-BE49-F238E27FC236}">
              <a16:creationId xmlns="" xmlns:a16="http://schemas.microsoft.com/office/drawing/2014/main" id="{00000000-0008-0000-0100-00001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084" y="26452052"/>
          <a:ext cx="78658" cy="358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352425</xdr:colOff>
      <xdr:row>152</xdr:row>
      <xdr:rowOff>20637</xdr:rowOff>
    </xdr:from>
    <xdr:ext cx="115888" cy="445724"/>
    <xdr:pic>
      <xdr:nvPicPr>
        <xdr:cNvPr id="538" name="Picture 11597">
          <a:extLst>
            <a:ext uri="{FF2B5EF4-FFF2-40B4-BE49-F238E27FC236}">
              <a16:creationId xmlns="" xmlns:a16="http://schemas.microsoft.com/office/drawing/2014/main" id="{00000000-0008-0000-01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242175" y="24999950"/>
          <a:ext cx="115888" cy="445724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241300</xdr:colOff>
      <xdr:row>17</xdr:row>
      <xdr:rowOff>25400</xdr:rowOff>
    </xdr:from>
    <xdr:to>
      <xdr:col>15</xdr:col>
      <xdr:colOff>367101</xdr:colOff>
      <xdr:row>20</xdr:row>
      <xdr:rowOff>54515</xdr:rowOff>
    </xdr:to>
    <xdr:sp macro="" textlink="">
      <xdr:nvSpPr>
        <xdr:cNvPr id="541" name="Lightning Bolt 540">
          <a:extLst>
            <a:ext uri="{FF2B5EF4-FFF2-40B4-BE49-F238E27FC236}">
              <a16:creationId xmlns="" xmlns:a16="http://schemas.microsoft.com/office/drawing/2014/main" id="{00000000-0008-0000-0100-00001D020000}"/>
            </a:ext>
          </a:extLst>
        </xdr:cNvPr>
        <xdr:cNvSpPr/>
      </xdr:nvSpPr>
      <xdr:spPr>
        <a:xfrm>
          <a:off x="9398000" y="1828800"/>
          <a:ext cx="125801" cy="56251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+</a:t>
          </a:r>
        </a:p>
      </xdr:txBody>
    </xdr:sp>
    <xdr:clientData/>
  </xdr:twoCellAnchor>
  <xdr:oneCellAnchor>
    <xdr:from>
      <xdr:col>3</xdr:col>
      <xdr:colOff>88585</xdr:colOff>
      <xdr:row>25</xdr:row>
      <xdr:rowOff>163735</xdr:rowOff>
    </xdr:from>
    <xdr:ext cx="85725" cy="390524"/>
    <xdr:pic>
      <xdr:nvPicPr>
        <xdr:cNvPr id="549" name="Picture 11597">
          <a:extLst>
            <a:ext uri="{FF2B5EF4-FFF2-40B4-BE49-F238E27FC236}">
              <a16:creationId xmlns="" xmlns:a16="http://schemas.microsoft.com/office/drawing/2014/main" id="{00000000-0008-0000-0100-00002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7709" y="348882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241300</xdr:colOff>
      <xdr:row>26</xdr:row>
      <xdr:rowOff>12700</xdr:rowOff>
    </xdr:from>
    <xdr:ext cx="85725" cy="390524"/>
    <xdr:pic>
      <xdr:nvPicPr>
        <xdr:cNvPr id="557" name="Picture 11597">
          <a:extLst>
            <a:ext uri="{FF2B5EF4-FFF2-40B4-BE49-F238E27FC236}">
              <a16:creationId xmlns="" xmlns:a16="http://schemas.microsoft.com/office/drawing/2014/main" id="{00000000-0008-0000-0100-00002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9600" y="33528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368300</xdr:colOff>
      <xdr:row>36</xdr:row>
      <xdr:rowOff>152399</xdr:rowOff>
    </xdr:from>
    <xdr:ext cx="72644" cy="419101"/>
    <xdr:pic>
      <xdr:nvPicPr>
        <xdr:cNvPr id="568" name="Picture 11597">
          <a:extLst>
            <a:ext uri="{FF2B5EF4-FFF2-40B4-BE49-F238E27FC236}">
              <a16:creationId xmlns="" xmlns:a16="http://schemas.microsoft.com/office/drawing/2014/main" id="{00000000-0008-0000-01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97100" y="488949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127210</xdr:colOff>
      <xdr:row>25</xdr:row>
      <xdr:rowOff>165100</xdr:rowOff>
    </xdr:from>
    <xdr:ext cx="72644" cy="419101"/>
    <xdr:pic>
      <xdr:nvPicPr>
        <xdr:cNvPr id="574" name="Picture 11597">
          <a:extLst>
            <a:ext uri="{FF2B5EF4-FFF2-40B4-BE49-F238E27FC236}">
              <a16:creationId xmlns="" xmlns:a16="http://schemas.microsoft.com/office/drawing/2014/main" id="{00000000-0008-0000-01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02136" y="349019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108527</xdr:colOff>
      <xdr:row>36</xdr:row>
      <xdr:rowOff>152505</xdr:rowOff>
    </xdr:from>
    <xdr:ext cx="72644" cy="419101"/>
    <xdr:pic>
      <xdr:nvPicPr>
        <xdr:cNvPr id="579" name="Picture 11597">
          <a:extLst>
            <a:ext uri="{FF2B5EF4-FFF2-40B4-BE49-F238E27FC236}">
              <a16:creationId xmlns="" xmlns:a16="http://schemas.microsoft.com/office/drawing/2014/main" id="{00000000-0008-0000-0100-00004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583453" y="55998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456571</xdr:colOff>
      <xdr:row>36</xdr:row>
      <xdr:rowOff>158803</xdr:rowOff>
    </xdr:from>
    <xdr:ext cx="85725" cy="390524"/>
    <xdr:pic>
      <xdr:nvPicPr>
        <xdr:cNvPr id="581" name="Picture 11597">
          <a:extLst>
            <a:ext uri="{FF2B5EF4-FFF2-40B4-BE49-F238E27FC236}">
              <a16:creationId xmlns="" xmlns:a16="http://schemas.microsoft.com/office/drawing/2014/main" id="{00000000-0008-0000-0100-00004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1497" y="560615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203200</xdr:colOff>
      <xdr:row>36</xdr:row>
      <xdr:rowOff>152400</xdr:rowOff>
    </xdr:from>
    <xdr:ext cx="72644" cy="419101"/>
    <xdr:pic>
      <xdr:nvPicPr>
        <xdr:cNvPr id="625" name="Picture 11597">
          <a:extLst>
            <a:ext uri="{FF2B5EF4-FFF2-40B4-BE49-F238E27FC236}">
              <a16:creationId xmlns="" xmlns:a16="http://schemas.microsoft.com/office/drawing/2014/main" id="{00000000-0008-0000-01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98300" y="4889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241300</xdr:colOff>
      <xdr:row>36</xdr:row>
      <xdr:rowOff>152400</xdr:rowOff>
    </xdr:from>
    <xdr:ext cx="72644" cy="419101"/>
    <xdr:pic>
      <xdr:nvPicPr>
        <xdr:cNvPr id="626" name="Picture 11597">
          <a:extLst>
            <a:ext uri="{FF2B5EF4-FFF2-40B4-BE49-F238E27FC236}">
              <a16:creationId xmlns="" xmlns:a16="http://schemas.microsoft.com/office/drawing/2014/main" id="{00000000-0008-0000-01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617200" y="4889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304800</xdr:colOff>
      <xdr:row>74</xdr:row>
      <xdr:rowOff>0</xdr:rowOff>
    </xdr:from>
    <xdr:ext cx="72644" cy="419101"/>
    <xdr:pic>
      <xdr:nvPicPr>
        <xdr:cNvPr id="672" name="Picture 11597">
          <a:extLst>
            <a:ext uri="{FF2B5EF4-FFF2-40B4-BE49-F238E27FC236}">
              <a16:creationId xmlns="" xmlns:a16="http://schemas.microsoft.com/office/drawing/2014/main" id="{00000000-0008-0000-0100-0000A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803900" y="128270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168644</xdr:colOff>
      <xdr:row>73</xdr:row>
      <xdr:rowOff>165100</xdr:rowOff>
    </xdr:from>
    <xdr:ext cx="72644" cy="419101"/>
    <xdr:pic>
      <xdr:nvPicPr>
        <xdr:cNvPr id="673" name="Picture 11597">
          <a:extLst>
            <a:ext uri="{FF2B5EF4-FFF2-40B4-BE49-F238E27FC236}">
              <a16:creationId xmlns="" xmlns:a16="http://schemas.microsoft.com/office/drawing/2014/main" id="{00000000-0008-0000-01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91179" y="1233051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356486</xdr:colOff>
      <xdr:row>74</xdr:row>
      <xdr:rowOff>0</xdr:rowOff>
    </xdr:from>
    <xdr:ext cx="85725" cy="390524"/>
    <xdr:pic>
      <xdr:nvPicPr>
        <xdr:cNvPr id="674" name="Picture 11597">
          <a:extLst>
            <a:ext uri="{FF2B5EF4-FFF2-40B4-BE49-F238E27FC236}">
              <a16:creationId xmlns="" xmlns:a16="http://schemas.microsoft.com/office/drawing/2014/main" id="{00000000-0008-0000-01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9021" y="1234262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192741</xdr:colOff>
      <xdr:row>73</xdr:row>
      <xdr:rowOff>156136</xdr:rowOff>
    </xdr:from>
    <xdr:ext cx="72644" cy="419101"/>
    <xdr:pic>
      <xdr:nvPicPr>
        <xdr:cNvPr id="678" name="Picture 11597">
          <a:extLst>
            <a:ext uri="{FF2B5EF4-FFF2-40B4-BE49-F238E27FC236}">
              <a16:creationId xmlns="" xmlns:a16="http://schemas.microsoft.com/office/drawing/2014/main" id="{00000000-0008-0000-0100-0000A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06317" y="1317288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414618</xdr:colOff>
      <xdr:row>74</xdr:row>
      <xdr:rowOff>0</xdr:rowOff>
    </xdr:from>
    <xdr:ext cx="85725" cy="390524"/>
    <xdr:pic>
      <xdr:nvPicPr>
        <xdr:cNvPr id="679" name="Picture 11597">
          <a:extLst>
            <a:ext uri="{FF2B5EF4-FFF2-40B4-BE49-F238E27FC236}">
              <a16:creationId xmlns="" xmlns:a16="http://schemas.microsoft.com/office/drawing/2014/main" id="{00000000-0008-0000-0100-0000A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8194" y="1319604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165100</xdr:colOff>
      <xdr:row>73</xdr:row>
      <xdr:rowOff>152400</xdr:rowOff>
    </xdr:from>
    <xdr:ext cx="85725" cy="390524"/>
    <xdr:pic>
      <xdr:nvPicPr>
        <xdr:cNvPr id="686" name="Picture 11597">
          <a:extLst>
            <a:ext uri="{FF2B5EF4-FFF2-40B4-BE49-F238E27FC236}">
              <a16:creationId xmlns="" xmlns:a16="http://schemas.microsoft.com/office/drawing/2014/main" id="{00000000-0008-0000-0100-0000A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0200" y="128016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342900</xdr:colOff>
      <xdr:row>73</xdr:row>
      <xdr:rowOff>139700</xdr:rowOff>
    </xdr:from>
    <xdr:ext cx="72644" cy="419101"/>
    <xdr:pic>
      <xdr:nvPicPr>
        <xdr:cNvPr id="687" name="Picture 11597">
          <a:extLst>
            <a:ext uri="{FF2B5EF4-FFF2-40B4-BE49-F238E27FC236}">
              <a16:creationId xmlns="" xmlns:a16="http://schemas.microsoft.com/office/drawing/2014/main" id="{00000000-0008-0000-0100-0000A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938000" y="127889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165100</xdr:colOff>
      <xdr:row>82</xdr:row>
      <xdr:rowOff>165100</xdr:rowOff>
    </xdr:from>
    <xdr:ext cx="72644" cy="419101"/>
    <xdr:pic>
      <xdr:nvPicPr>
        <xdr:cNvPr id="692" name="Picture 11597">
          <a:extLst>
            <a:ext uri="{FF2B5EF4-FFF2-40B4-BE49-F238E27FC236}">
              <a16:creationId xmlns="" xmlns:a16="http://schemas.microsoft.com/office/drawing/2014/main" id="{00000000-0008-0000-01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993900" y="144018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228600</xdr:colOff>
      <xdr:row>83</xdr:row>
      <xdr:rowOff>38100</xdr:rowOff>
    </xdr:from>
    <xdr:ext cx="85725" cy="390524"/>
    <xdr:pic>
      <xdr:nvPicPr>
        <xdr:cNvPr id="714" name="Picture 11597">
          <a:extLst>
            <a:ext uri="{FF2B5EF4-FFF2-40B4-BE49-F238E27FC236}">
              <a16:creationId xmlns="" xmlns:a16="http://schemas.microsoft.com/office/drawing/2014/main" id="{00000000-0008-0000-0100-0000C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4500" y="144526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304800</xdr:colOff>
      <xdr:row>92</xdr:row>
      <xdr:rowOff>12700</xdr:rowOff>
    </xdr:from>
    <xdr:ext cx="72644" cy="419101"/>
    <xdr:pic>
      <xdr:nvPicPr>
        <xdr:cNvPr id="742" name="Picture 11597">
          <a:extLst>
            <a:ext uri="{FF2B5EF4-FFF2-40B4-BE49-F238E27FC236}">
              <a16:creationId xmlns="" xmlns:a16="http://schemas.microsoft.com/office/drawing/2014/main" id="{00000000-0008-0000-0100-0000E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33600" y="159639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189005</xdr:colOff>
      <xdr:row>92</xdr:row>
      <xdr:rowOff>8964</xdr:rowOff>
    </xdr:from>
    <xdr:ext cx="72644" cy="419101"/>
    <xdr:pic>
      <xdr:nvPicPr>
        <xdr:cNvPr id="811" name="Picture 11597">
          <a:extLst>
            <a:ext uri="{FF2B5EF4-FFF2-40B4-BE49-F238E27FC236}">
              <a16:creationId xmlns="" xmlns:a16="http://schemas.microsoft.com/office/drawing/2014/main" id="{00000000-0008-0000-0100-00002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82346" y="1677296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292691</xdr:colOff>
      <xdr:row>92</xdr:row>
      <xdr:rowOff>12700</xdr:rowOff>
    </xdr:from>
    <xdr:ext cx="72644" cy="419101"/>
    <xdr:pic>
      <xdr:nvPicPr>
        <xdr:cNvPr id="830" name="Picture 11597">
          <a:extLst>
            <a:ext uri="{FF2B5EF4-FFF2-40B4-BE49-F238E27FC236}">
              <a16:creationId xmlns="" xmlns:a16="http://schemas.microsoft.com/office/drawing/2014/main" id="{00000000-0008-0000-0100-00003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57040" y="1585521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101600</xdr:colOff>
      <xdr:row>92</xdr:row>
      <xdr:rowOff>12700</xdr:rowOff>
    </xdr:from>
    <xdr:ext cx="85725" cy="390524"/>
    <xdr:pic>
      <xdr:nvPicPr>
        <xdr:cNvPr id="832" name="Picture 11597">
          <a:extLst>
            <a:ext uri="{FF2B5EF4-FFF2-40B4-BE49-F238E27FC236}">
              <a16:creationId xmlns="" xmlns:a16="http://schemas.microsoft.com/office/drawing/2014/main" id="{00000000-0008-0000-0100-00004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159639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266700</xdr:colOff>
      <xdr:row>92</xdr:row>
      <xdr:rowOff>25400</xdr:rowOff>
    </xdr:from>
    <xdr:ext cx="72644" cy="419101"/>
    <xdr:pic>
      <xdr:nvPicPr>
        <xdr:cNvPr id="833" name="Picture 11597">
          <a:extLst>
            <a:ext uri="{FF2B5EF4-FFF2-40B4-BE49-F238E27FC236}">
              <a16:creationId xmlns="" xmlns:a16="http://schemas.microsoft.com/office/drawing/2014/main" id="{00000000-0008-0000-0100-00004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204200" y="159766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419100</xdr:colOff>
      <xdr:row>92</xdr:row>
      <xdr:rowOff>12700</xdr:rowOff>
    </xdr:from>
    <xdr:ext cx="72644" cy="419101"/>
    <xdr:pic>
      <xdr:nvPicPr>
        <xdr:cNvPr id="836" name="Picture 11597">
          <a:extLst>
            <a:ext uri="{FF2B5EF4-FFF2-40B4-BE49-F238E27FC236}">
              <a16:creationId xmlns="" xmlns:a16="http://schemas.microsoft.com/office/drawing/2014/main" id="{00000000-0008-0000-0100-00004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575800" y="159639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62753</xdr:colOff>
      <xdr:row>92</xdr:row>
      <xdr:rowOff>30629</xdr:rowOff>
    </xdr:from>
    <xdr:ext cx="85725" cy="390524"/>
    <xdr:pic>
      <xdr:nvPicPr>
        <xdr:cNvPr id="840" name="Picture 11597">
          <a:extLst>
            <a:ext uri="{FF2B5EF4-FFF2-40B4-BE49-F238E27FC236}">
              <a16:creationId xmlns="" xmlns:a16="http://schemas.microsoft.com/office/drawing/2014/main" id="{00000000-0008-0000-01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1388" y="1679462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262269</xdr:colOff>
      <xdr:row>101</xdr:row>
      <xdr:rowOff>5612</xdr:rowOff>
    </xdr:from>
    <xdr:ext cx="72644" cy="419101"/>
    <xdr:pic>
      <xdr:nvPicPr>
        <xdr:cNvPr id="841" name="Picture 11597">
          <a:extLst>
            <a:ext uri="{FF2B5EF4-FFF2-40B4-BE49-F238E27FC236}">
              <a16:creationId xmlns="" xmlns:a16="http://schemas.microsoft.com/office/drawing/2014/main" id="{00000000-0008-0000-01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76153" y="176911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410135</xdr:colOff>
      <xdr:row>100</xdr:row>
      <xdr:rowOff>152400</xdr:rowOff>
    </xdr:from>
    <xdr:ext cx="72644" cy="419101"/>
    <xdr:pic>
      <xdr:nvPicPr>
        <xdr:cNvPr id="845" name="Picture 11597">
          <a:extLst>
            <a:ext uri="{FF2B5EF4-FFF2-40B4-BE49-F238E27FC236}">
              <a16:creationId xmlns="" xmlns:a16="http://schemas.microsoft.com/office/drawing/2014/main" id="{00000000-0008-0000-0100-00004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48417" y="1840454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190500</xdr:colOff>
      <xdr:row>100</xdr:row>
      <xdr:rowOff>165100</xdr:rowOff>
    </xdr:from>
    <xdr:ext cx="72644" cy="419101"/>
    <xdr:pic>
      <xdr:nvPicPr>
        <xdr:cNvPr id="847" name="Picture 11597">
          <a:extLst>
            <a:ext uri="{FF2B5EF4-FFF2-40B4-BE49-F238E27FC236}">
              <a16:creationId xmlns="" xmlns:a16="http://schemas.microsoft.com/office/drawing/2014/main" id="{00000000-0008-0000-0100-00004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566400" y="17335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159784</xdr:colOff>
      <xdr:row>109</xdr:row>
      <xdr:rowOff>152400</xdr:rowOff>
    </xdr:from>
    <xdr:ext cx="72644" cy="419101"/>
    <xdr:pic>
      <xdr:nvPicPr>
        <xdr:cNvPr id="851" name="Picture 11597">
          <a:extLst>
            <a:ext uri="{FF2B5EF4-FFF2-40B4-BE49-F238E27FC236}">
              <a16:creationId xmlns="" xmlns:a16="http://schemas.microsoft.com/office/drawing/2014/main" id="{00000000-0008-0000-0100-00005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40714" y="195745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355600</xdr:colOff>
      <xdr:row>110</xdr:row>
      <xdr:rowOff>0</xdr:rowOff>
    </xdr:from>
    <xdr:ext cx="85725" cy="390524"/>
    <xdr:pic>
      <xdr:nvPicPr>
        <xdr:cNvPr id="852" name="Picture 11597">
          <a:extLst>
            <a:ext uri="{FF2B5EF4-FFF2-40B4-BE49-F238E27FC236}">
              <a16:creationId xmlns="" xmlns:a16="http://schemas.microsoft.com/office/drawing/2014/main" id="{00000000-0008-0000-0100-00005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187198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85912</xdr:colOff>
      <xdr:row>110</xdr:row>
      <xdr:rowOff>0</xdr:rowOff>
    </xdr:from>
    <xdr:ext cx="72644" cy="419101"/>
    <xdr:pic>
      <xdr:nvPicPr>
        <xdr:cNvPr id="862" name="Picture 11597">
          <a:extLst>
            <a:ext uri="{FF2B5EF4-FFF2-40B4-BE49-F238E27FC236}">
              <a16:creationId xmlns="" xmlns:a16="http://schemas.microsoft.com/office/drawing/2014/main" id="{00000000-0008-0000-0100-00005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99488" y="2049331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228600</xdr:colOff>
      <xdr:row>109</xdr:row>
      <xdr:rowOff>152400</xdr:rowOff>
    </xdr:from>
    <xdr:ext cx="72644" cy="419101"/>
    <xdr:pic>
      <xdr:nvPicPr>
        <xdr:cNvPr id="864" name="Picture 11597">
          <a:extLst>
            <a:ext uri="{FF2B5EF4-FFF2-40B4-BE49-F238E27FC236}">
              <a16:creationId xmlns="" xmlns:a16="http://schemas.microsoft.com/office/drawing/2014/main" id="{00000000-0008-0000-01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823700" y="18694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350875</xdr:colOff>
      <xdr:row>109</xdr:row>
      <xdr:rowOff>170121</xdr:rowOff>
    </xdr:from>
    <xdr:ext cx="72644" cy="419101"/>
    <xdr:pic>
      <xdr:nvPicPr>
        <xdr:cNvPr id="865" name="Picture 11597">
          <a:extLst>
            <a:ext uri="{FF2B5EF4-FFF2-40B4-BE49-F238E27FC236}">
              <a16:creationId xmlns="" xmlns:a16="http://schemas.microsoft.com/office/drawing/2014/main" id="{00000000-0008-0000-0100-00006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906154" y="1968086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479055</xdr:colOff>
      <xdr:row>110</xdr:row>
      <xdr:rowOff>3840</xdr:rowOff>
    </xdr:from>
    <xdr:ext cx="85725" cy="390524"/>
    <xdr:pic>
      <xdr:nvPicPr>
        <xdr:cNvPr id="866" name="Picture 11597">
          <a:extLst>
            <a:ext uri="{FF2B5EF4-FFF2-40B4-BE49-F238E27FC236}">
              <a16:creationId xmlns="" xmlns:a16="http://schemas.microsoft.com/office/drawing/2014/main" id="{00000000-0008-0000-0100-00006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4334" y="1969179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138223</xdr:colOff>
      <xdr:row>119</xdr:row>
      <xdr:rowOff>12700</xdr:rowOff>
    </xdr:from>
    <xdr:ext cx="72644" cy="419101"/>
    <xdr:pic>
      <xdr:nvPicPr>
        <xdr:cNvPr id="868" name="Picture 11597">
          <a:extLst>
            <a:ext uri="{FF2B5EF4-FFF2-40B4-BE49-F238E27FC236}">
              <a16:creationId xmlns="" xmlns:a16="http://schemas.microsoft.com/office/drawing/2014/main" id="{00000000-0008-0000-01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52107" y="2143730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324293</xdr:colOff>
      <xdr:row>118</xdr:row>
      <xdr:rowOff>173960</xdr:rowOff>
    </xdr:from>
    <xdr:ext cx="85725" cy="390524"/>
    <xdr:pic>
      <xdr:nvPicPr>
        <xdr:cNvPr id="874" name="Picture 11597">
          <a:extLst>
            <a:ext uri="{FF2B5EF4-FFF2-40B4-BE49-F238E27FC236}">
              <a16:creationId xmlns="" xmlns:a16="http://schemas.microsoft.com/office/drawing/2014/main" id="{00000000-0008-0000-0100-00006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2270" y="2142135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224170</xdr:colOff>
      <xdr:row>119</xdr:row>
      <xdr:rowOff>8861</xdr:rowOff>
    </xdr:from>
    <xdr:ext cx="72644" cy="419101"/>
    <xdr:pic>
      <xdr:nvPicPr>
        <xdr:cNvPr id="875" name="Picture 11597">
          <a:extLst>
            <a:ext uri="{FF2B5EF4-FFF2-40B4-BE49-F238E27FC236}">
              <a16:creationId xmlns="" xmlns:a16="http://schemas.microsoft.com/office/drawing/2014/main" id="{00000000-0008-0000-0100-00006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88519" y="2143346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391493</xdr:colOff>
      <xdr:row>119</xdr:row>
      <xdr:rowOff>1771</xdr:rowOff>
    </xdr:from>
    <xdr:ext cx="85725" cy="390524"/>
    <xdr:pic>
      <xdr:nvPicPr>
        <xdr:cNvPr id="878" name="Picture 11597">
          <a:extLst>
            <a:ext uri="{FF2B5EF4-FFF2-40B4-BE49-F238E27FC236}">
              <a16:creationId xmlns="" xmlns:a16="http://schemas.microsoft.com/office/drawing/2014/main" id="{00000000-0008-0000-0100-00006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1019" y="2131771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526607</xdr:colOff>
      <xdr:row>118</xdr:row>
      <xdr:rowOff>165100</xdr:rowOff>
    </xdr:from>
    <xdr:ext cx="72644" cy="419101"/>
    <xdr:pic>
      <xdr:nvPicPr>
        <xdr:cNvPr id="879" name="Picture 11597">
          <a:extLst>
            <a:ext uri="{FF2B5EF4-FFF2-40B4-BE49-F238E27FC236}">
              <a16:creationId xmlns="" xmlns:a16="http://schemas.microsoft.com/office/drawing/2014/main" id="{00000000-0008-0000-0100-00006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307328" y="2141249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287130</xdr:colOff>
      <xdr:row>118</xdr:row>
      <xdr:rowOff>165100</xdr:rowOff>
    </xdr:from>
    <xdr:ext cx="72644" cy="419101"/>
    <xdr:pic>
      <xdr:nvPicPr>
        <xdr:cNvPr id="880" name="Picture 11597">
          <a:extLst>
            <a:ext uri="{FF2B5EF4-FFF2-40B4-BE49-F238E27FC236}">
              <a16:creationId xmlns="" xmlns:a16="http://schemas.microsoft.com/office/drawing/2014/main" id="{00000000-0008-0000-0100-00007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68652" y="2131888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261908</xdr:colOff>
      <xdr:row>128</xdr:row>
      <xdr:rowOff>161266</xdr:rowOff>
    </xdr:from>
    <xdr:ext cx="72644" cy="419101"/>
    <xdr:pic>
      <xdr:nvPicPr>
        <xdr:cNvPr id="885" name="Picture 11597">
          <a:extLst>
            <a:ext uri="{FF2B5EF4-FFF2-40B4-BE49-F238E27FC236}">
              <a16:creationId xmlns="" xmlns:a16="http://schemas.microsoft.com/office/drawing/2014/main" id="{00000000-0008-0000-01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007210" y="2329443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76440</xdr:colOff>
      <xdr:row>128</xdr:row>
      <xdr:rowOff>169173</xdr:rowOff>
    </xdr:from>
    <xdr:ext cx="72644" cy="419101"/>
    <xdr:pic>
      <xdr:nvPicPr>
        <xdr:cNvPr id="889" name="Picture 11597">
          <a:extLst>
            <a:ext uri="{FF2B5EF4-FFF2-40B4-BE49-F238E27FC236}">
              <a16:creationId xmlns="" xmlns:a16="http://schemas.microsoft.com/office/drawing/2014/main" id="{00000000-0008-0000-01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23402" y="2338860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20</xdr:col>
      <xdr:colOff>0</xdr:colOff>
      <xdr:row>35</xdr:row>
      <xdr:rowOff>85060</xdr:rowOff>
    </xdr:from>
    <xdr:to>
      <xdr:col>20</xdr:col>
      <xdr:colOff>605028</xdr:colOff>
      <xdr:row>36</xdr:row>
      <xdr:rowOff>180310</xdr:rowOff>
    </xdr:to>
    <xdr:sp macro="" textlink="">
      <xdr:nvSpPr>
        <xdr:cNvPr id="1052" name="Isosceles Triangle 1051">
          <a:extLst>
            <a:ext uri="{FF2B5EF4-FFF2-40B4-BE49-F238E27FC236}">
              <a16:creationId xmlns="" xmlns:a16="http://schemas.microsoft.com/office/drawing/2014/main" id="{00000000-0008-0000-0100-00001C040000}"/>
            </a:ext>
          </a:extLst>
        </xdr:cNvPr>
        <xdr:cNvSpPr/>
      </xdr:nvSpPr>
      <xdr:spPr>
        <a:xfrm>
          <a:off x="11926186" y="7111409"/>
          <a:ext cx="605028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24</xdr:row>
      <xdr:rowOff>63500</xdr:rowOff>
    </xdr:from>
    <xdr:to>
      <xdr:col>2</xdr:col>
      <xdr:colOff>605028</xdr:colOff>
      <xdr:row>25</xdr:row>
      <xdr:rowOff>158750</xdr:rowOff>
    </xdr:to>
    <xdr:sp macro="" textlink="">
      <xdr:nvSpPr>
        <xdr:cNvPr id="1054" name="Isosceles Triangle 1053">
          <a:extLst>
            <a:ext uri="{FF2B5EF4-FFF2-40B4-BE49-F238E27FC236}">
              <a16:creationId xmlns="" xmlns:a16="http://schemas.microsoft.com/office/drawing/2014/main" id="{00000000-0008-0000-0100-00001E040000}"/>
            </a:ext>
          </a:extLst>
        </xdr:cNvPr>
        <xdr:cNvSpPr/>
      </xdr:nvSpPr>
      <xdr:spPr>
        <a:xfrm>
          <a:off x="1219200" y="3073400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506" name="Isosceles Triangle 505">
          <a:extLst>
            <a:ext uri="{FF2B5EF4-FFF2-40B4-BE49-F238E27FC236}">
              <a16:creationId xmlns="" xmlns:a16="http://schemas.microsoft.com/office/drawing/2014/main" id="{00000000-0008-0000-0100-0000FA010000}"/>
            </a:ext>
          </a:extLst>
        </xdr:cNvPr>
        <xdr:cNvSpPr/>
      </xdr:nvSpPr>
      <xdr:spPr>
        <a:xfrm>
          <a:off x="4411472" y="32277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24</xdr:row>
      <xdr:rowOff>74873</xdr:rowOff>
    </xdr:from>
    <xdr:to>
      <xdr:col>6</xdr:col>
      <xdr:colOff>605028</xdr:colOff>
      <xdr:row>25</xdr:row>
      <xdr:rowOff>170123</xdr:rowOff>
    </xdr:to>
    <xdr:sp macro="" textlink="">
      <xdr:nvSpPr>
        <xdr:cNvPr id="551" name="Isosceles Triangle 550">
          <a:extLst>
            <a:ext uri="{FF2B5EF4-FFF2-40B4-BE49-F238E27FC236}">
              <a16:creationId xmlns="" xmlns:a16="http://schemas.microsoft.com/office/drawing/2014/main" id="{00000000-0008-0000-0100-000027020000}"/>
            </a:ext>
          </a:extLst>
        </xdr:cNvPr>
        <xdr:cNvSpPr/>
      </xdr:nvSpPr>
      <xdr:spPr>
        <a:xfrm>
          <a:off x="3116239" y="3316216"/>
          <a:ext cx="605028" cy="31134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582" name="Isosceles Triangle 581">
          <a:extLst>
            <a:ext uri="{FF2B5EF4-FFF2-40B4-BE49-F238E27FC236}">
              <a16:creationId xmlns="" xmlns:a16="http://schemas.microsoft.com/office/drawing/2014/main" id="{00000000-0008-0000-0100-000046020000}"/>
            </a:ext>
          </a:extLst>
        </xdr:cNvPr>
        <xdr:cNvSpPr/>
      </xdr:nvSpPr>
      <xdr:spPr>
        <a:xfrm>
          <a:off x="3192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599" name="Isosceles Triangle 598">
          <a:extLst>
            <a:ext uri="{FF2B5EF4-FFF2-40B4-BE49-F238E27FC236}">
              <a16:creationId xmlns="" xmlns:a16="http://schemas.microsoft.com/office/drawing/2014/main" id="{00000000-0008-0000-0100-000057020000}"/>
            </a:ext>
          </a:extLst>
        </xdr:cNvPr>
        <xdr:cNvSpPr/>
      </xdr:nvSpPr>
      <xdr:spPr>
        <a:xfrm>
          <a:off x="4411472" y="32277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15876</xdr:colOff>
      <xdr:row>35</xdr:row>
      <xdr:rowOff>95252</xdr:rowOff>
    </xdr:from>
    <xdr:to>
      <xdr:col>8</xdr:col>
      <xdr:colOff>620904</xdr:colOff>
      <xdr:row>36</xdr:row>
      <xdr:rowOff>190502</xdr:rowOff>
    </xdr:to>
    <xdr:sp macro="" textlink="">
      <xdr:nvSpPr>
        <xdr:cNvPr id="607" name="Isosceles Triangle 606">
          <a:extLst>
            <a:ext uri="{FF2B5EF4-FFF2-40B4-BE49-F238E27FC236}">
              <a16:creationId xmlns="" xmlns:a16="http://schemas.microsoft.com/office/drawing/2014/main" id="{00000000-0008-0000-0100-00005F020000}"/>
            </a:ext>
          </a:extLst>
        </xdr:cNvPr>
        <xdr:cNvSpPr/>
      </xdr:nvSpPr>
      <xdr:spPr>
        <a:xfrm>
          <a:off x="4397376" y="5310190"/>
          <a:ext cx="605028" cy="26193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619" name="Isosceles Triangle 618">
          <a:extLst>
            <a:ext uri="{FF2B5EF4-FFF2-40B4-BE49-F238E27FC236}">
              <a16:creationId xmlns="" xmlns:a16="http://schemas.microsoft.com/office/drawing/2014/main" id="{00000000-0008-0000-0100-00006B020000}"/>
            </a:ext>
          </a:extLst>
        </xdr:cNvPr>
        <xdr:cNvSpPr/>
      </xdr:nvSpPr>
      <xdr:spPr>
        <a:xfrm>
          <a:off x="6849872" y="48025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87007</xdr:rowOff>
    </xdr:from>
    <xdr:to>
      <xdr:col>15</xdr:col>
      <xdr:colOff>0</xdr:colOff>
      <xdr:row>37</xdr:row>
      <xdr:rowOff>6377</xdr:rowOff>
    </xdr:to>
    <xdr:sp macro="" textlink="">
      <xdr:nvSpPr>
        <xdr:cNvPr id="620" name="Isosceles Triangle 619">
          <a:extLst>
            <a:ext uri="{FF2B5EF4-FFF2-40B4-BE49-F238E27FC236}">
              <a16:creationId xmlns="" xmlns:a16="http://schemas.microsoft.com/office/drawing/2014/main" id="{00000000-0008-0000-0100-00006C020000}"/>
            </a:ext>
          </a:extLst>
        </xdr:cNvPr>
        <xdr:cNvSpPr/>
      </xdr:nvSpPr>
      <xdr:spPr>
        <a:xfrm>
          <a:off x="8156200" y="7113356"/>
          <a:ext cx="624521" cy="28264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648" name="Isosceles Triangle 647">
          <a:extLst>
            <a:ext uri="{FF2B5EF4-FFF2-40B4-BE49-F238E27FC236}">
              <a16:creationId xmlns="" xmlns:a16="http://schemas.microsoft.com/office/drawing/2014/main" id="{00000000-0008-0000-0100-000088020000}"/>
            </a:ext>
          </a:extLst>
        </xdr:cNvPr>
        <xdr:cNvSpPr/>
      </xdr:nvSpPr>
      <xdr:spPr>
        <a:xfrm>
          <a:off x="68498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49" name="Isosceles Triangle 648">
          <a:extLst>
            <a:ext uri="{FF2B5EF4-FFF2-40B4-BE49-F238E27FC236}">
              <a16:creationId xmlns="" xmlns:a16="http://schemas.microsoft.com/office/drawing/2014/main" id="{00000000-0008-0000-0100-000089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60" name="Isosceles Triangle 659">
          <a:extLst>
            <a:ext uri="{FF2B5EF4-FFF2-40B4-BE49-F238E27FC236}">
              <a16:creationId xmlns="" xmlns:a16="http://schemas.microsoft.com/office/drawing/2014/main" id="{00000000-0008-0000-0100-000094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15876</xdr:colOff>
      <xdr:row>35</xdr:row>
      <xdr:rowOff>95252</xdr:rowOff>
    </xdr:from>
    <xdr:to>
      <xdr:col>6</xdr:col>
      <xdr:colOff>620904</xdr:colOff>
      <xdr:row>36</xdr:row>
      <xdr:rowOff>190502</xdr:rowOff>
    </xdr:to>
    <xdr:sp macro="" textlink="">
      <xdr:nvSpPr>
        <xdr:cNvPr id="664" name="Isosceles Triangle 663">
          <a:extLst>
            <a:ext uri="{FF2B5EF4-FFF2-40B4-BE49-F238E27FC236}">
              <a16:creationId xmlns="" xmlns:a16="http://schemas.microsoft.com/office/drawing/2014/main" id="{00000000-0008-0000-0100-000098020000}"/>
            </a:ext>
          </a:extLst>
        </xdr:cNvPr>
        <xdr:cNvSpPr/>
      </xdr:nvSpPr>
      <xdr:spPr>
        <a:xfrm>
          <a:off x="3143251" y="5310190"/>
          <a:ext cx="605028" cy="26193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70" name="Isosceles Triangle 669">
          <a:extLst>
            <a:ext uri="{FF2B5EF4-FFF2-40B4-BE49-F238E27FC236}">
              <a16:creationId xmlns="" xmlns:a16="http://schemas.microsoft.com/office/drawing/2014/main" id="{00000000-0008-0000-0100-00009E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81" name="Isosceles Triangle 680">
          <a:extLst>
            <a:ext uri="{FF2B5EF4-FFF2-40B4-BE49-F238E27FC236}">
              <a16:creationId xmlns="" xmlns:a16="http://schemas.microsoft.com/office/drawing/2014/main" id="{00000000-0008-0000-0100-0000A9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15876</xdr:colOff>
      <xdr:row>35</xdr:row>
      <xdr:rowOff>87314</xdr:rowOff>
    </xdr:from>
    <xdr:to>
      <xdr:col>12</xdr:col>
      <xdr:colOff>620904</xdr:colOff>
      <xdr:row>36</xdr:row>
      <xdr:rowOff>182564</xdr:rowOff>
    </xdr:to>
    <xdr:sp macro="" textlink="">
      <xdr:nvSpPr>
        <xdr:cNvPr id="682" name="Isosceles Triangle 681">
          <a:extLst>
            <a:ext uri="{FF2B5EF4-FFF2-40B4-BE49-F238E27FC236}">
              <a16:creationId xmlns="" xmlns:a16="http://schemas.microsoft.com/office/drawing/2014/main" id="{00000000-0008-0000-0100-0000AA020000}"/>
            </a:ext>
          </a:extLst>
        </xdr:cNvPr>
        <xdr:cNvSpPr/>
      </xdr:nvSpPr>
      <xdr:spPr>
        <a:xfrm>
          <a:off x="6905626" y="5302252"/>
          <a:ext cx="605028" cy="26193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684" name="Isosceles Triangle 683">
          <a:extLst>
            <a:ext uri="{FF2B5EF4-FFF2-40B4-BE49-F238E27FC236}">
              <a16:creationId xmlns="" xmlns:a16="http://schemas.microsoft.com/office/drawing/2014/main" id="{00000000-0008-0000-0100-0000AC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709" name="Isosceles Triangle 708">
          <a:extLst>
            <a:ext uri="{FF2B5EF4-FFF2-40B4-BE49-F238E27FC236}">
              <a16:creationId xmlns="" xmlns:a16="http://schemas.microsoft.com/office/drawing/2014/main" id="{00000000-0008-0000-0100-0000C5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15876</xdr:colOff>
      <xdr:row>35</xdr:row>
      <xdr:rowOff>95252</xdr:rowOff>
    </xdr:from>
    <xdr:to>
      <xdr:col>16</xdr:col>
      <xdr:colOff>620904</xdr:colOff>
      <xdr:row>36</xdr:row>
      <xdr:rowOff>190502</xdr:rowOff>
    </xdr:to>
    <xdr:sp macro="" textlink="">
      <xdr:nvSpPr>
        <xdr:cNvPr id="710" name="Isosceles Triangle 709">
          <a:extLst>
            <a:ext uri="{FF2B5EF4-FFF2-40B4-BE49-F238E27FC236}">
              <a16:creationId xmlns="" xmlns:a16="http://schemas.microsoft.com/office/drawing/2014/main" id="{00000000-0008-0000-0100-0000C6020000}"/>
            </a:ext>
          </a:extLst>
        </xdr:cNvPr>
        <xdr:cNvSpPr/>
      </xdr:nvSpPr>
      <xdr:spPr>
        <a:xfrm>
          <a:off x="9413876" y="5310190"/>
          <a:ext cx="605028" cy="26193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44</xdr:row>
      <xdr:rowOff>78147</xdr:rowOff>
    </xdr:from>
    <xdr:to>
      <xdr:col>3</xdr:col>
      <xdr:colOff>0</xdr:colOff>
      <xdr:row>45</xdr:row>
      <xdr:rowOff>192447</xdr:rowOff>
    </xdr:to>
    <xdr:sp macro="" textlink="">
      <xdr:nvSpPr>
        <xdr:cNvPr id="716" name="Isosceles Triangle 715">
          <a:extLst>
            <a:ext uri="{FF2B5EF4-FFF2-40B4-BE49-F238E27FC236}">
              <a16:creationId xmlns="" xmlns:a16="http://schemas.microsoft.com/office/drawing/2014/main" id="{00000000-0008-0000-0100-0000CC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44</xdr:row>
      <xdr:rowOff>78147</xdr:rowOff>
    </xdr:from>
    <xdr:to>
      <xdr:col>3</xdr:col>
      <xdr:colOff>0</xdr:colOff>
      <xdr:row>45</xdr:row>
      <xdr:rowOff>192447</xdr:rowOff>
    </xdr:to>
    <xdr:sp macro="" textlink="">
      <xdr:nvSpPr>
        <xdr:cNvPr id="717" name="Isosceles Triangle 716">
          <a:extLst>
            <a:ext uri="{FF2B5EF4-FFF2-40B4-BE49-F238E27FC236}">
              <a16:creationId xmlns="" xmlns:a16="http://schemas.microsoft.com/office/drawing/2014/main" id="{00000000-0008-0000-0100-0000CD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44</xdr:row>
      <xdr:rowOff>78147</xdr:rowOff>
    </xdr:from>
    <xdr:to>
      <xdr:col>3</xdr:col>
      <xdr:colOff>0</xdr:colOff>
      <xdr:row>45</xdr:row>
      <xdr:rowOff>192447</xdr:rowOff>
    </xdr:to>
    <xdr:sp macro="" textlink="">
      <xdr:nvSpPr>
        <xdr:cNvPr id="718" name="Isosceles Triangle 717">
          <a:extLst>
            <a:ext uri="{FF2B5EF4-FFF2-40B4-BE49-F238E27FC236}">
              <a16:creationId xmlns="" xmlns:a16="http://schemas.microsoft.com/office/drawing/2014/main" id="{00000000-0008-0000-0100-0000CE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44</xdr:row>
      <xdr:rowOff>78147</xdr:rowOff>
    </xdr:from>
    <xdr:to>
      <xdr:col>5</xdr:col>
      <xdr:colOff>0</xdr:colOff>
      <xdr:row>45</xdr:row>
      <xdr:rowOff>192447</xdr:rowOff>
    </xdr:to>
    <xdr:sp macro="" textlink="">
      <xdr:nvSpPr>
        <xdr:cNvPr id="721" name="Isosceles Triangle 720">
          <a:extLst>
            <a:ext uri="{FF2B5EF4-FFF2-40B4-BE49-F238E27FC236}">
              <a16:creationId xmlns="" xmlns:a16="http://schemas.microsoft.com/office/drawing/2014/main" id="{00000000-0008-0000-0100-0000D1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44</xdr:row>
      <xdr:rowOff>78147</xdr:rowOff>
    </xdr:from>
    <xdr:to>
      <xdr:col>5</xdr:col>
      <xdr:colOff>0</xdr:colOff>
      <xdr:row>45</xdr:row>
      <xdr:rowOff>192447</xdr:rowOff>
    </xdr:to>
    <xdr:sp macro="" textlink="">
      <xdr:nvSpPr>
        <xdr:cNvPr id="722" name="Isosceles Triangle 721">
          <a:extLst>
            <a:ext uri="{FF2B5EF4-FFF2-40B4-BE49-F238E27FC236}">
              <a16:creationId xmlns="" xmlns:a16="http://schemas.microsoft.com/office/drawing/2014/main" id="{00000000-0008-0000-0100-0000D2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44</xdr:row>
      <xdr:rowOff>78147</xdr:rowOff>
    </xdr:from>
    <xdr:to>
      <xdr:col>5</xdr:col>
      <xdr:colOff>0</xdr:colOff>
      <xdr:row>45</xdr:row>
      <xdr:rowOff>192447</xdr:rowOff>
    </xdr:to>
    <xdr:sp macro="" textlink="">
      <xdr:nvSpPr>
        <xdr:cNvPr id="723" name="Isosceles Triangle 722">
          <a:extLst>
            <a:ext uri="{FF2B5EF4-FFF2-40B4-BE49-F238E27FC236}">
              <a16:creationId xmlns="" xmlns:a16="http://schemas.microsoft.com/office/drawing/2014/main" id="{00000000-0008-0000-0100-0000D3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44</xdr:row>
      <xdr:rowOff>78147</xdr:rowOff>
    </xdr:from>
    <xdr:to>
      <xdr:col>7</xdr:col>
      <xdr:colOff>0</xdr:colOff>
      <xdr:row>45</xdr:row>
      <xdr:rowOff>192447</xdr:rowOff>
    </xdr:to>
    <xdr:sp macro="" textlink="">
      <xdr:nvSpPr>
        <xdr:cNvPr id="726" name="Isosceles Triangle 725">
          <a:extLst>
            <a:ext uri="{FF2B5EF4-FFF2-40B4-BE49-F238E27FC236}">
              <a16:creationId xmlns="" xmlns:a16="http://schemas.microsoft.com/office/drawing/2014/main" id="{00000000-0008-0000-0100-0000D6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44</xdr:row>
      <xdr:rowOff>78147</xdr:rowOff>
    </xdr:from>
    <xdr:to>
      <xdr:col>7</xdr:col>
      <xdr:colOff>0</xdr:colOff>
      <xdr:row>45</xdr:row>
      <xdr:rowOff>192447</xdr:rowOff>
    </xdr:to>
    <xdr:sp macro="" textlink="">
      <xdr:nvSpPr>
        <xdr:cNvPr id="727" name="Isosceles Triangle 726">
          <a:extLst>
            <a:ext uri="{FF2B5EF4-FFF2-40B4-BE49-F238E27FC236}">
              <a16:creationId xmlns="" xmlns:a16="http://schemas.microsoft.com/office/drawing/2014/main" id="{00000000-0008-0000-0100-0000D7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44</xdr:row>
      <xdr:rowOff>78147</xdr:rowOff>
    </xdr:from>
    <xdr:to>
      <xdr:col>7</xdr:col>
      <xdr:colOff>0</xdr:colOff>
      <xdr:row>45</xdr:row>
      <xdr:rowOff>192447</xdr:rowOff>
    </xdr:to>
    <xdr:sp macro="" textlink="">
      <xdr:nvSpPr>
        <xdr:cNvPr id="728" name="Isosceles Triangle 727">
          <a:extLst>
            <a:ext uri="{FF2B5EF4-FFF2-40B4-BE49-F238E27FC236}">
              <a16:creationId xmlns="" xmlns:a16="http://schemas.microsoft.com/office/drawing/2014/main" id="{00000000-0008-0000-0100-0000D8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828" name="Isosceles Triangle 827">
          <a:extLst>
            <a:ext uri="{FF2B5EF4-FFF2-40B4-BE49-F238E27FC236}">
              <a16:creationId xmlns="" xmlns:a16="http://schemas.microsoft.com/office/drawing/2014/main" id="{00000000-0008-0000-0100-00003C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829" name="Isosceles Triangle 828">
          <a:extLst>
            <a:ext uri="{FF2B5EF4-FFF2-40B4-BE49-F238E27FC236}">
              <a16:creationId xmlns="" xmlns:a16="http://schemas.microsoft.com/office/drawing/2014/main" id="{00000000-0008-0000-0100-00003D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843" name="Isosceles Triangle 842">
          <a:extLst>
            <a:ext uri="{FF2B5EF4-FFF2-40B4-BE49-F238E27FC236}">
              <a16:creationId xmlns="" xmlns:a16="http://schemas.microsoft.com/office/drawing/2014/main" id="{00000000-0008-0000-0100-00004B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44</xdr:row>
      <xdr:rowOff>74873</xdr:rowOff>
    </xdr:from>
    <xdr:to>
      <xdr:col>10</xdr:col>
      <xdr:colOff>605028</xdr:colOff>
      <xdr:row>45</xdr:row>
      <xdr:rowOff>170123</xdr:rowOff>
    </xdr:to>
    <xdr:sp macro="" textlink="">
      <xdr:nvSpPr>
        <xdr:cNvPr id="855" name="Isosceles Triangle 854">
          <a:extLst>
            <a:ext uri="{FF2B5EF4-FFF2-40B4-BE49-F238E27FC236}">
              <a16:creationId xmlns="" xmlns:a16="http://schemas.microsoft.com/office/drawing/2014/main" id="{00000000-0008-0000-0100-000057030000}"/>
            </a:ext>
          </a:extLst>
        </xdr:cNvPr>
        <xdr:cNvSpPr/>
      </xdr:nvSpPr>
      <xdr:spPr>
        <a:xfrm>
          <a:off x="5618328" y="6830515"/>
          <a:ext cx="605028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910" name="Isosceles Triangle 909">
          <a:extLst>
            <a:ext uri="{FF2B5EF4-FFF2-40B4-BE49-F238E27FC236}">
              <a16:creationId xmlns="" xmlns:a16="http://schemas.microsoft.com/office/drawing/2014/main" id="{00000000-0008-0000-0100-00008E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911" name="Isosceles Triangle 910">
          <a:extLst>
            <a:ext uri="{FF2B5EF4-FFF2-40B4-BE49-F238E27FC236}">
              <a16:creationId xmlns="" xmlns:a16="http://schemas.microsoft.com/office/drawing/2014/main" id="{00000000-0008-0000-0100-00008F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912" name="Isosceles Triangle 911">
          <a:extLst>
            <a:ext uri="{FF2B5EF4-FFF2-40B4-BE49-F238E27FC236}">
              <a16:creationId xmlns="" xmlns:a16="http://schemas.microsoft.com/office/drawing/2014/main" id="{00000000-0008-0000-0100-000090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44</xdr:row>
      <xdr:rowOff>74873</xdr:rowOff>
    </xdr:from>
    <xdr:to>
      <xdr:col>12</xdr:col>
      <xdr:colOff>605028</xdr:colOff>
      <xdr:row>45</xdr:row>
      <xdr:rowOff>170123</xdr:rowOff>
    </xdr:to>
    <xdr:sp macro="" textlink="">
      <xdr:nvSpPr>
        <xdr:cNvPr id="913" name="Isosceles Triangle 912">
          <a:extLst>
            <a:ext uri="{FF2B5EF4-FFF2-40B4-BE49-F238E27FC236}">
              <a16:creationId xmlns="" xmlns:a16="http://schemas.microsoft.com/office/drawing/2014/main" id="{00000000-0008-0000-0100-000091030000}"/>
            </a:ext>
          </a:extLst>
        </xdr:cNvPr>
        <xdr:cNvSpPr/>
      </xdr:nvSpPr>
      <xdr:spPr>
        <a:xfrm>
          <a:off x="6869373" y="6830515"/>
          <a:ext cx="605028" cy="26584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915" name="Isosceles Triangle 914">
          <a:extLst>
            <a:ext uri="{FF2B5EF4-FFF2-40B4-BE49-F238E27FC236}">
              <a16:creationId xmlns="" xmlns:a16="http://schemas.microsoft.com/office/drawing/2014/main" id="{00000000-0008-0000-0100-000093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916" name="Isosceles Triangle 915">
          <a:extLst>
            <a:ext uri="{FF2B5EF4-FFF2-40B4-BE49-F238E27FC236}">
              <a16:creationId xmlns="" xmlns:a16="http://schemas.microsoft.com/office/drawing/2014/main" id="{00000000-0008-0000-0100-000094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917" name="Isosceles Triangle 916">
          <a:extLst>
            <a:ext uri="{FF2B5EF4-FFF2-40B4-BE49-F238E27FC236}">
              <a16:creationId xmlns="" xmlns:a16="http://schemas.microsoft.com/office/drawing/2014/main" id="{00000000-0008-0000-0100-000095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44</xdr:row>
      <xdr:rowOff>74873</xdr:rowOff>
    </xdr:from>
    <xdr:to>
      <xdr:col>14</xdr:col>
      <xdr:colOff>605028</xdr:colOff>
      <xdr:row>45</xdr:row>
      <xdr:rowOff>170123</xdr:rowOff>
    </xdr:to>
    <xdr:sp macro="" textlink="">
      <xdr:nvSpPr>
        <xdr:cNvPr id="918" name="Isosceles Triangle 917">
          <a:extLst>
            <a:ext uri="{FF2B5EF4-FFF2-40B4-BE49-F238E27FC236}">
              <a16:creationId xmlns="" xmlns:a16="http://schemas.microsoft.com/office/drawing/2014/main" id="{00000000-0008-0000-0100-000096030000}"/>
            </a:ext>
          </a:extLst>
        </xdr:cNvPr>
        <xdr:cNvSpPr/>
      </xdr:nvSpPr>
      <xdr:spPr>
        <a:xfrm>
          <a:off x="8120418" y="6830515"/>
          <a:ext cx="605028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920" name="Isosceles Triangle 919">
          <a:extLst>
            <a:ext uri="{FF2B5EF4-FFF2-40B4-BE49-F238E27FC236}">
              <a16:creationId xmlns="" xmlns:a16="http://schemas.microsoft.com/office/drawing/2014/main" id="{00000000-0008-0000-0100-000098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921" name="Isosceles Triangle 920">
          <a:extLst>
            <a:ext uri="{FF2B5EF4-FFF2-40B4-BE49-F238E27FC236}">
              <a16:creationId xmlns="" xmlns:a16="http://schemas.microsoft.com/office/drawing/2014/main" id="{00000000-0008-0000-0100-000099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922" name="Isosceles Triangle 921">
          <a:extLst>
            <a:ext uri="{FF2B5EF4-FFF2-40B4-BE49-F238E27FC236}">
              <a16:creationId xmlns="" xmlns:a16="http://schemas.microsoft.com/office/drawing/2014/main" id="{00000000-0008-0000-0100-00009A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44</xdr:row>
      <xdr:rowOff>74873</xdr:rowOff>
    </xdr:from>
    <xdr:to>
      <xdr:col>16</xdr:col>
      <xdr:colOff>605028</xdr:colOff>
      <xdr:row>45</xdr:row>
      <xdr:rowOff>170123</xdr:rowOff>
    </xdr:to>
    <xdr:sp macro="" textlink="">
      <xdr:nvSpPr>
        <xdr:cNvPr id="923" name="Isosceles Triangle 922">
          <a:extLst>
            <a:ext uri="{FF2B5EF4-FFF2-40B4-BE49-F238E27FC236}">
              <a16:creationId xmlns="" xmlns:a16="http://schemas.microsoft.com/office/drawing/2014/main" id="{00000000-0008-0000-0100-00009B030000}"/>
            </a:ext>
          </a:extLst>
        </xdr:cNvPr>
        <xdr:cNvSpPr/>
      </xdr:nvSpPr>
      <xdr:spPr>
        <a:xfrm>
          <a:off x="9371463" y="6830515"/>
          <a:ext cx="605028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925" name="Isosceles Triangle 924">
          <a:extLst>
            <a:ext uri="{FF2B5EF4-FFF2-40B4-BE49-F238E27FC236}">
              <a16:creationId xmlns="" xmlns:a16="http://schemas.microsoft.com/office/drawing/2014/main" id="{00000000-0008-0000-0100-00009D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926" name="Isosceles Triangle 925">
          <a:extLst>
            <a:ext uri="{FF2B5EF4-FFF2-40B4-BE49-F238E27FC236}">
              <a16:creationId xmlns="" xmlns:a16="http://schemas.microsoft.com/office/drawing/2014/main" id="{00000000-0008-0000-0100-00009E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927" name="Isosceles Triangle 926">
          <a:extLst>
            <a:ext uri="{FF2B5EF4-FFF2-40B4-BE49-F238E27FC236}">
              <a16:creationId xmlns="" xmlns:a16="http://schemas.microsoft.com/office/drawing/2014/main" id="{00000000-0008-0000-0100-00009F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625521</xdr:colOff>
      <xdr:row>53</xdr:row>
      <xdr:rowOff>86246</xdr:rowOff>
    </xdr:from>
    <xdr:to>
      <xdr:col>14</xdr:col>
      <xdr:colOff>614148</xdr:colOff>
      <xdr:row>54</xdr:row>
      <xdr:rowOff>193343</xdr:rowOff>
    </xdr:to>
    <xdr:sp macro="" textlink="">
      <xdr:nvSpPr>
        <xdr:cNvPr id="928" name="Isosceles Triangle 927">
          <a:extLst>
            <a:ext uri="{FF2B5EF4-FFF2-40B4-BE49-F238E27FC236}">
              <a16:creationId xmlns="" xmlns:a16="http://schemas.microsoft.com/office/drawing/2014/main" id="{00000000-0008-0000-0100-0000A0030000}"/>
            </a:ext>
          </a:extLst>
        </xdr:cNvPr>
        <xdr:cNvSpPr/>
      </xdr:nvSpPr>
      <xdr:spPr>
        <a:xfrm>
          <a:off x="8120417" y="8400007"/>
          <a:ext cx="614149" cy="27769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930" name="Isosceles Triangle 929">
          <a:extLst>
            <a:ext uri="{FF2B5EF4-FFF2-40B4-BE49-F238E27FC236}">
              <a16:creationId xmlns="" xmlns:a16="http://schemas.microsoft.com/office/drawing/2014/main" id="{00000000-0008-0000-0100-0000A2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931" name="Isosceles Triangle 930">
          <a:extLst>
            <a:ext uri="{FF2B5EF4-FFF2-40B4-BE49-F238E27FC236}">
              <a16:creationId xmlns="" xmlns:a16="http://schemas.microsoft.com/office/drawing/2014/main" id="{00000000-0008-0000-0100-0000A3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932" name="Isosceles Triangle 931">
          <a:extLst>
            <a:ext uri="{FF2B5EF4-FFF2-40B4-BE49-F238E27FC236}">
              <a16:creationId xmlns="" xmlns:a16="http://schemas.microsoft.com/office/drawing/2014/main" id="{00000000-0008-0000-0100-0000A4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611373</xdr:colOff>
      <xdr:row>53</xdr:row>
      <xdr:rowOff>68526</xdr:rowOff>
    </xdr:from>
    <xdr:to>
      <xdr:col>17</xdr:col>
      <xdr:colOff>5026</xdr:colOff>
      <xdr:row>54</xdr:row>
      <xdr:rowOff>197444</xdr:rowOff>
    </xdr:to>
    <xdr:sp macro="" textlink="">
      <xdr:nvSpPr>
        <xdr:cNvPr id="933" name="Isosceles Triangle 932">
          <a:extLst>
            <a:ext uri="{FF2B5EF4-FFF2-40B4-BE49-F238E27FC236}">
              <a16:creationId xmlns="" xmlns:a16="http://schemas.microsoft.com/office/drawing/2014/main" id="{00000000-0008-0000-0100-0000A5030000}"/>
            </a:ext>
          </a:extLst>
        </xdr:cNvPr>
        <xdr:cNvSpPr/>
      </xdr:nvSpPr>
      <xdr:spPr>
        <a:xfrm>
          <a:off x="9392094" y="10213759"/>
          <a:ext cx="651839" cy="306127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935" name="Isosceles Triangle 934">
          <a:extLst>
            <a:ext uri="{FF2B5EF4-FFF2-40B4-BE49-F238E27FC236}">
              <a16:creationId xmlns="" xmlns:a16="http://schemas.microsoft.com/office/drawing/2014/main" id="{00000000-0008-0000-0100-0000A7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936" name="Isosceles Triangle 935">
          <a:extLst>
            <a:ext uri="{FF2B5EF4-FFF2-40B4-BE49-F238E27FC236}">
              <a16:creationId xmlns="" xmlns:a16="http://schemas.microsoft.com/office/drawing/2014/main" id="{00000000-0008-0000-0100-0000A8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937" name="Isosceles Triangle 936">
          <a:extLst>
            <a:ext uri="{FF2B5EF4-FFF2-40B4-BE49-F238E27FC236}">
              <a16:creationId xmlns="" xmlns:a16="http://schemas.microsoft.com/office/drawing/2014/main" id="{00000000-0008-0000-0100-0000A9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616661</xdr:colOff>
      <xdr:row>53</xdr:row>
      <xdr:rowOff>86246</xdr:rowOff>
    </xdr:from>
    <xdr:to>
      <xdr:col>19</xdr:col>
      <xdr:colOff>13885</xdr:colOff>
      <xdr:row>54</xdr:row>
      <xdr:rowOff>181970</xdr:rowOff>
    </xdr:to>
    <xdr:sp macro="" textlink="">
      <xdr:nvSpPr>
        <xdr:cNvPr id="938" name="Isosceles Triangle 937">
          <a:extLst>
            <a:ext uri="{FF2B5EF4-FFF2-40B4-BE49-F238E27FC236}">
              <a16:creationId xmlns="" xmlns:a16="http://schemas.microsoft.com/office/drawing/2014/main" id="{00000000-0008-0000-0100-0000AA030000}"/>
            </a:ext>
          </a:extLst>
        </xdr:cNvPr>
        <xdr:cNvSpPr/>
      </xdr:nvSpPr>
      <xdr:spPr>
        <a:xfrm>
          <a:off x="10655568" y="10231479"/>
          <a:ext cx="655410" cy="27293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940" name="Isosceles Triangle 939">
          <a:extLst>
            <a:ext uri="{FF2B5EF4-FFF2-40B4-BE49-F238E27FC236}">
              <a16:creationId xmlns="" xmlns:a16="http://schemas.microsoft.com/office/drawing/2014/main" id="{00000000-0008-0000-0100-0000AC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941" name="Isosceles Triangle 940">
          <a:extLst>
            <a:ext uri="{FF2B5EF4-FFF2-40B4-BE49-F238E27FC236}">
              <a16:creationId xmlns="" xmlns:a16="http://schemas.microsoft.com/office/drawing/2014/main" id="{00000000-0008-0000-0100-0000AD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942" name="Isosceles Triangle 941">
          <a:extLst>
            <a:ext uri="{FF2B5EF4-FFF2-40B4-BE49-F238E27FC236}">
              <a16:creationId xmlns="" xmlns:a16="http://schemas.microsoft.com/office/drawing/2014/main" id="{00000000-0008-0000-0100-0000AE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629092</xdr:colOff>
      <xdr:row>53</xdr:row>
      <xdr:rowOff>77385</xdr:rowOff>
    </xdr:from>
    <xdr:to>
      <xdr:col>7</xdr:col>
      <xdr:colOff>17720</xdr:colOff>
      <xdr:row>54</xdr:row>
      <xdr:rowOff>194930</xdr:rowOff>
    </xdr:to>
    <xdr:sp macro="" textlink="">
      <xdr:nvSpPr>
        <xdr:cNvPr id="943" name="Isosceles Triangle 942">
          <a:extLst>
            <a:ext uri="{FF2B5EF4-FFF2-40B4-BE49-F238E27FC236}">
              <a16:creationId xmlns="" xmlns:a16="http://schemas.microsoft.com/office/drawing/2014/main" id="{00000000-0008-0000-0100-0000AF030000}"/>
            </a:ext>
          </a:extLst>
        </xdr:cNvPr>
        <xdr:cNvSpPr/>
      </xdr:nvSpPr>
      <xdr:spPr>
        <a:xfrm>
          <a:off x="3110022" y="10222618"/>
          <a:ext cx="655675" cy="29475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63</xdr:row>
      <xdr:rowOff>70339</xdr:rowOff>
    </xdr:from>
    <xdr:to>
      <xdr:col>9</xdr:col>
      <xdr:colOff>0</xdr:colOff>
      <xdr:row>64</xdr:row>
      <xdr:rowOff>165589</xdr:rowOff>
    </xdr:to>
    <xdr:sp macro="" textlink="">
      <xdr:nvSpPr>
        <xdr:cNvPr id="947" name="Isosceles Triangle 946">
          <a:extLst>
            <a:ext uri="{FF2B5EF4-FFF2-40B4-BE49-F238E27FC236}">
              <a16:creationId xmlns="" xmlns:a16="http://schemas.microsoft.com/office/drawing/2014/main" id="{00000000-0008-0000-0100-0000B3030000}"/>
            </a:ext>
          </a:extLst>
        </xdr:cNvPr>
        <xdr:cNvSpPr/>
      </xdr:nvSpPr>
      <xdr:spPr>
        <a:xfrm>
          <a:off x="4381642" y="11801595"/>
          <a:ext cx="624521" cy="263599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63</xdr:row>
      <xdr:rowOff>70339</xdr:rowOff>
    </xdr:from>
    <xdr:to>
      <xdr:col>5</xdr:col>
      <xdr:colOff>0</xdr:colOff>
      <xdr:row>64</xdr:row>
      <xdr:rowOff>165589</xdr:rowOff>
    </xdr:to>
    <xdr:sp macro="" textlink="">
      <xdr:nvSpPr>
        <xdr:cNvPr id="949" name="Isosceles Triangle 948">
          <a:extLst>
            <a:ext uri="{FF2B5EF4-FFF2-40B4-BE49-F238E27FC236}">
              <a16:creationId xmlns="" xmlns:a16="http://schemas.microsoft.com/office/drawing/2014/main" id="{00000000-0008-0000-0100-0000B5030000}"/>
            </a:ext>
          </a:extLst>
        </xdr:cNvPr>
        <xdr:cNvSpPr/>
      </xdr:nvSpPr>
      <xdr:spPr>
        <a:xfrm>
          <a:off x="1856409" y="11801595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624805</xdr:colOff>
      <xdr:row>63</xdr:row>
      <xdr:rowOff>70339</xdr:rowOff>
    </xdr:from>
    <xdr:to>
      <xdr:col>10</xdr:col>
      <xdr:colOff>620233</xdr:colOff>
      <xdr:row>64</xdr:row>
      <xdr:rowOff>165589</xdr:rowOff>
    </xdr:to>
    <xdr:sp macro="" textlink="">
      <xdr:nvSpPr>
        <xdr:cNvPr id="951" name="Isosceles Triangle 950">
          <a:extLst>
            <a:ext uri="{FF2B5EF4-FFF2-40B4-BE49-F238E27FC236}">
              <a16:creationId xmlns="" xmlns:a16="http://schemas.microsoft.com/office/drawing/2014/main" id="{00000000-0008-0000-0100-0000B7030000}"/>
            </a:ext>
          </a:extLst>
        </xdr:cNvPr>
        <xdr:cNvSpPr/>
      </xdr:nvSpPr>
      <xdr:spPr>
        <a:xfrm>
          <a:off x="5630968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624805</xdr:colOff>
      <xdr:row>63</xdr:row>
      <xdr:rowOff>70339</xdr:rowOff>
    </xdr:from>
    <xdr:to>
      <xdr:col>12</xdr:col>
      <xdr:colOff>620233</xdr:colOff>
      <xdr:row>64</xdr:row>
      <xdr:rowOff>165589</xdr:rowOff>
    </xdr:to>
    <xdr:sp macro="" textlink="">
      <xdr:nvSpPr>
        <xdr:cNvPr id="953" name="Isosceles Triangle 952">
          <a:extLst>
            <a:ext uri="{FF2B5EF4-FFF2-40B4-BE49-F238E27FC236}">
              <a16:creationId xmlns="" xmlns:a16="http://schemas.microsoft.com/office/drawing/2014/main" id="{00000000-0008-0000-0100-0000B9030000}"/>
            </a:ext>
          </a:extLst>
        </xdr:cNvPr>
        <xdr:cNvSpPr/>
      </xdr:nvSpPr>
      <xdr:spPr>
        <a:xfrm>
          <a:off x="6889154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63</xdr:row>
      <xdr:rowOff>70339</xdr:rowOff>
    </xdr:from>
    <xdr:to>
      <xdr:col>15</xdr:col>
      <xdr:colOff>0</xdr:colOff>
      <xdr:row>64</xdr:row>
      <xdr:rowOff>165589</xdr:rowOff>
    </xdr:to>
    <xdr:sp macro="" textlink="">
      <xdr:nvSpPr>
        <xdr:cNvPr id="955" name="Isosceles Triangle 954">
          <a:extLst>
            <a:ext uri="{FF2B5EF4-FFF2-40B4-BE49-F238E27FC236}">
              <a16:creationId xmlns="" xmlns:a16="http://schemas.microsoft.com/office/drawing/2014/main" id="{00000000-0008-0000-0100-0000BB030000}"/>
            </a:ext>
          </a:extLst>
        </xdr:cNvPr>
        <xdr:cNvSpPr/>
      </xdr:nvSpPr>
      <xdr:spPr>
        <a:xfrm>
          <a:off x="8156200" y="11801595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63</xdr:row>
      <xdr:rowOff>70339</xdr:rowOff>
    </xdr:from>
    <xdr:to>
      <xdr:col>17</xdr:col>
      <xdr:colOff>0</xdr:colOff>
      <xdr:row>64</xdr:row>
      <xdr:rowOff>165589</xdr:rowOff>
    </xdr:to>
    <xdr:sp macro="" textlink="">
      <xdr:nvSpPr>
        <xdr:cNvPr id="957" name="Isosceles Triangle 956">
          <a:extLst>
            <a:ext uri="{FF2B5EF4-FFF2-40B4-BE49-F238E27FC236}">
              <a16:creationId xmlns="" xmlns:a16="http://schemas.microsoft.com/office/drawing/2014/main" id="{00000000-0008-0000-0100-0000BD030000}"/>
            </a:ext>
          </a:extLst>
        </xdr:cNvPr>
        <xdr:cNvSpPr/>
      </xdr:nvSpPr>
      <xdr:spPr>
        <a:xfrm>
          <a:off x="9414386" y="11801595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63</xdr:row>
      <xdr:rowOff>70339</xdr:rowOff>
    </xdr:from>
    <xdr:to>
      <xdr:col>19</xdr:col>
      <xdr:colOff>0</xdr:colOff>
      <xdr:row>64</xdr:row>
      <xdr:rowOff>165589</xdr:rowOff>
    </xdr:to>
    <xdr:sp macro="" textlink="">
      <xdr:nvSpPr>
        <xdr:cNvPr id="959" name="Isosceles Triangle 958">
          <a:extLst>
            <a:ext uri="{FF2B5EF4-FFF2-40B4-BE49-F238E27FC236}">
              <a16:creationId xmlns="" xmlns:a16="http://schemas.microsoft.com/office/drawing/2014/main" id="{00000000-0008-0000-0100-0000BF030000}"/>
            </a:ext>
          </a:extLst>
        </xdr:cNvPr>
        <xdr:cNvSpPr/>
      </xdr:nvSpPr>
      <xdr:spPr>
        <a:xfrm>
          <a:off x="10672572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63</xdr:row>
      <xdr:rowOff>70339</xdr:rowOff>
    </xdr:from>
    <xdr:to>
      <xdr:col>21</xdr:col>
      <xdr:colOff>0</xdr:colOff>
      <xdr:row>64</xdr:row>
      <xdr:rowOff>165589</xdr:rowOff>
    </xdr:to>
    <xdr:sp macro="" textlink="">
      <xdr:nvSpPr>
        <xdr:cNvPr id="961" name="Isosceles Triangle 960">
          <a:extLst>
            <a:ext uri="{FF2B5EF4-FFF2-40B4-BE49-F238E27FC236}">
              <a16:creationId xmlns="" xmlns:a16="http://schemas.microsoft.com/office/drawing/2014/main" id="{00000000-0008-0000-0100-0000C1030000}"/>
            </a:ext>
          </a:extLst>
        </xdr:cNvPr>
        <xdr:cNvSpPr/>
      </xdr:nvSpPr>
      <xdr:spPr>
        <a:xfrm>
          <a:off x="11930758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72</xdr:row>
      <xdr:rowOff>61479</xdr:rowOff>
    </xdr:from>
    <xdr:to>
      <xdr:col>3</xdr:col>
      <xdr:colOff>0</xdr:colOff>
      <xdr:row>73</xdr:row>
      <xdr:rowOff>156729</xdr:rowOff>
    </xdr:to>
    <xdr:sp macro="" textlink="">
      <xdr:nvSpPr>
        <xdr:cNvPr id="963" name="Isosceles Triangle 962">
          <a:extLst>
            <a:ext uri="{FF2B5EF4-FFF2-40B4-BE49-F238E27FC236}">
              <a16:creationId xmlns="" xmlns:a16="http://schemas.microsoft.com/office/drawing/2014/main" id="{00000000-0008-0000-0100-0000C3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72</xdr:row>
      <xdr:rowOff>61479</xdr:rowOff>
    </xdr:from>
    <xdr:to>
      <xdr:col>11</xdr:col>
      <xdr:colOff>0</xdr:colOff>
      <xdr:row>73</xdr:row>
      <xdr:rowOff>156729</xdr:rowOff>
    </xdr:to>
    <xdr:sp macro="" textlink="">
      <xdr:nvSpPr>
        <xdr:cNvPr id="965" name="Isosceles Triangle 964">
          <a:extLst>
            <a:ext uri="{FF2B5EF4-FFF2-40B4-BE49-F238E27FC236}">
              <a16:creationId xmlns="" xmlns:a16="http://schemas.microsoft.com/office/drawing/2014/main" id="{00000000-0008-0000-0100-0000C5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72</xdr:row>
      <xdr:rowOff>61479</xdr:rowOff>
    </xdr:from>
    <xdr:to>
      <xdr:col>13</xdr:col>
      <xdr:colOff>0</xdr:colOff>
      <xdr:row>73</xdr:row>
      <xdr:rowOff>156729</xdr:rowOff>
    </xdr:to>
    <xdr:sp macro="" textlink="">
      <xdr:nvSpPr>
        <xdr:cNvPr id="967" name="Isosceles Triangle 966">
          <a:extLst>
            <a:ext uri="{FF2B5EF4-FFF2-40B4-BE49-F238E27FC236}">
              <a16:creationId xmlns="" xmlns:a16="http://schemas.microsoft.com/office/drawing/2014/main" id="{00000000-0008-0000-0100-0000C7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72</xdr:row>
      <xdr:rowOff>61479</xdr:rowOff>
    </xdr:from>
    <xdr:to>
      <xdr:col>19</xdr:col>
      <xdr:colOff>0</xdr:colOff>
      <xdr:row>73</xdr:row>
      <xdr:rowOff>156729</xdr:rowOff>
    </xdr:to>
    <xdr:sp macro="" textlink="">
      <xdr:nvSpPr>
        <xdr:cNvPr id="969" name="Isosceles Triangle 968">
          <a:extLst>
            <a:ext uri="{FF2B5EF4-FFF2-40B4-BE49-F238E27FC236}">
              <a16:creationId xmlns="" xmlns:a16="http://schemas.microsoft.com/office/drawing/2014/main" id="{00000000-0008-0000-0100-0000C9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72</xdr:row>
      <xdr:rowOff>61479</xdr:rowOff>
    </xdr:from>
    <xdr:to>
      <xdr:col>21</xdr:col>
      <xdr:colOff>0</xdr:colOff>
      <xdr:row>73</xdr:row>
      <xdr:rowOff>156729</xdr:rowOff>
    </xdr:to>
    <xdr:sp macro="" textlink="">
      <xdr:nvSpPr>
        <xdr:cNvPr id="971" name="Isosceles Triangle 970">
          <a:extLst>
            <a:ext uri="{FF2B5EF4-FFF2-40B4-BE49-F238E27FC236}">
              <a16:creationId xmlns="" xmlns:a16="http://schemas.microsoft.com/office/drawing/2014/main" id="{00000000-0008-0000-0100-0000CB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15945</xdr:colOff>
      <xdr:row>81</xdr:row>
      <xdr:rowOff>61479</xdr:rowOff>
    </xdr:from>
    <xdr:to>
      <xdr:col>3</xdr:col>
      <xdr:colOff>11373</xdr:colOff>
      <xdr:row>82</xdr:row>
      <xdr:rowOff>156729</xdr:rowOff>
    </xdr:to>
    <xdr:sp macro="" textlink="">
      <xdr:nvSpPr>
        <xdr:cNvPr id="973" name="Isosceles Triangle 972">
          <a:extLst>
            <a:ext uri="{FF2B5EF4-FFF2-40B4-BE49-F238E27FC236}">
              <a16:creationId xmlns="" xmlns:a16="http://schemas.microsoft.com/office/drawing/2014/main" id="{00000000-0008-0000-0100-0000CD030000}"/>
            </a:ext>
          </a:extLst>
        </xdr:cNvPr>
        <xdr:cNvSpPr/>
      </xdr:nvSpPr>
      <xdr:spPr>
        <a:xfrm>
          <a:off x="607348" y="13299807"/>
          <a:ext cx="620950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81</xdr:row>
      <xdr:rowOff>63195</xdr:rowOff>
    </xdr:from>
    <xdr:to>
      <xdr:col>19</xdr:col>
      <xdr:colOff>0</xdr:colOff>
      <xdr:row>82</xdr:row>
      <xdr:rowOff>158445</xdr:rowOff>
    </xdr:to>
    <xdr:sp macro="" textlink="">
      <xdr:nvSpPr>
        <xdr:cNvPr id="975" name="Isosceles Triangle 974">
          <a:extLst>
            <a:ext uri="{FF2B5EF4-FFF2-40B4-BE49-F238E27FC236}">
              <a16:creationId xmlns="" xmlns:a16="http://schemas.microsoft.com/office/drawing/2014/main" id="{00000000-0008-0000-0100-0000CF030000}"/>
            </a:ext>
          </a:extLst>
        </xdr:cNvPr>
        <xdr:cNvSpPr/>
      </xdr:nvSpPr>
      <xdr:spPr>
        <a:xfrm>
          <a:off x="10672572" y="15170288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81</xdr:row>
      <xdr:rowOff>63195</xdr:rowOff>
    </xdr:from>
    <xdr:to>
      <xdr:col>15</xdr:col>
      <xdr:colOff>0</xdr:colOff>
      <xdr:row>82</xdr:row>
      <xdr:rowOff>158445</xdr:rowOff>
    </xdr:to>
    <xdr:sp macro="" textlink="">
      <xdr:nvSpPr>
        <xdr:cNvPr id="977" name="Isosceles Triangle 976">
          <a:extLst>
            <a:ext uri="{FF2B5EF4-FFF2-40B4-BE49-F238E27FC236}">
              <a16:creationId xmlns="" xmlns:a16="http://schemas.microsoft.com/office/drawing/2014/main" id="{00000000-0008-0000-0100-0000D1030000}"/>
            </a:ext>
          </a:extLst>
        </xdr:cNvPr>
        <xdr:cNvSpPr/>
      </xdr:nvSpPr>
      <xdr:spPr>
        <a:xfrm>
          <a:off x="8156200" y="15170288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81</xdr:row>
      <xdr:rowOff>63195</xdr:rowOff>
    </xdr:from>
    <xdr:to>
      <xdr:col>13</xdr:col>
      <xdr:colOff>0</xdr:colOff>
      <xdr:row>82</xdr:row>
      <xdr:rowOff>158445</xdr:rowOff>
    </xdr:to>
    <xdr:sp macro="" textlink="">
      <xdr:nvSpPr>
        <xdr:cNvPr id="979" name="Isosceles Triangle 978">
          <a:extLst>
            <a:ext uri="{FF2B5EF4-FFF2-40B4-BE49-F238E27FC236}">
              <a16:creationId xmlns="" xmlns:a16="http://schemas.microsoft.com/office/drawing/2014/main" id="{00000000-0008-0000-0100-0000D3030000}"/>
            </a:ext>
          </a:extLst>
        </xdr:cNvPr>
        <xdr:cNvSpPr/>
      </xdr:nvSpPr>
      <xdr:spPr>
        <a:xfrm>
          <a:off x="6898014" y="15170288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90</xdr:row>
      <xdr:rowOff>66013</xdr:rowOff>
    </xdr:from>
    <xdr:to>
      <xdr:col>20</xdr:col>
      <xdr:colOff>602646</xdr:colOff>
      <xdr:row>91</xdr:row>
      <xdr:rowOff>161263</xdr:rowOff>
    </xdr:to>
    <xdr:sp macro="" textlink="">
      <xdr:nvSpPr>
        <xdr:cNvPr id="981" name="Isosceles Triangle 980">
          <a:extLst>
            <a:ext uri="{FF2B5EF4-FFF2-40B4-BE49-F238E27FC236}">
              <a16:creationId xmlns="" xmlns:a16="http://schemas.microsoft.com/office/drawing/2014/main" id="{00000000-0008-0000-0100-0000D5030000}"/>
            </a:ext>
          </a:extLst>
        </xdr:cNvPr>
        <xdr:cNvSpPr/>
      </xdr:nvSpPr>
      <xdr:spPr>
        <a:xfrm>
          <a:off x="11926186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591093</xdr:colOff>
      <xdr:row>90</xdr:row>
      <xdr:rowOff>33354</xdr:rowOff>
    </xdr:from>
    <xdr:to>
      <xdr:col>2</xdr:col>
      <xdr:colOff>664028</xdr:colOff>
      <xdr:row>91</xdr:row>
      <xdr:rowOff>163283</xdr:rowOff>
    </xdr:to>
    <xdr:sp macro="" textlink="">
      <xdr:nvSpPr>
        <xdr:cNvPr id="983" name="Isosceles Triangle 982">
          <a:extLst>
            <a:ext uri="{FF2B5EF4-FFF2-40B4-BE49-F238E27FC236}">
              <a16:creationId xmlns="" xmlns:a16="http://schemas.microsoft.com/office/drawing/2014/main" id="{00000000-0008-0000-0100-0000D7030000}"/>
            </a:ext>
          </a:extLst>
        </xdr:cNvPr>
        <xdr:cNvSpPr/>
      </xdr:nvSpPr>
      <xdr:spPr>
        <a:xfrm>
          <a:off x="591093" y="15774097"/>
          <a:ext cx="671649" cy="36941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99</xdr:row>
      <xdr:rowOff>61479</xdr:rowOff>
    </xdr:from>
    <xdr:to>
      <xdr:col>7</xdr:col>
      <xdr:colOff>0</xdr:colOff>
      <xdr:row>100</xdr:row>
      <xdr:rowOff>156729</xdr:rowOff>
    </xdr:to>
    <xdr:sp macro="" textlink="">
      <xdr:nvSpPr>
        <xdr:cNvPr id="985" name="Isosceles Triangle 984">
          <a:extLst>
            <a:ext uri="{FF2B5EF4-FFF2-40B4-BE49-F238E27FC236}">
              <a16:creationId xmlns="" xmlns:a16="http://schemas.microsoft.com/office/drawing/2014/main" id="{00000000-0008-0000-0100-0000D9030000}"/>
            </a:ext>
          </a:extLst>
        </xdr:cNvPr>
        <xdr:cNvSpPr/>
      </xdr:nvSpPr>
      <xdr:spPr>
        <a:xfrm>
          <a:off x="741172" y="142854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117</xdr:row>
      <xdr:rowOff>66012</xdr:rowOff>
    </xdr:from>
    <xdr:to>
      <xdr:col>4</xdr:col>
      <xdr:colOff>602646</xdr:colOff>
      <xdr:row>118</xdr:row>
      <xdr:rowOff>161263</xdr:rowOff>
    </xdr:to>
    <xdr:sp macro="" textlink="">
      <xdr:nvSpPr>
        <xdr:cNvPr id="987" name="Isosceles Triangle 986">
          <a:extLst>
            <a:ext uri="{FF2B5EF4-FFF2-40B4-BE49-F238E27FC236}">
              <a16:creationId xmlns="" xmlns:a16="http://schemas.microsoft.com/office/drawing/2014/main" id="{00000000-0008-0000-0100-0000DB030000}"/>
            </a:ext>
          </a:extLst>
        </xdr:cNvPr>
        <xdr:cNvSpPr/>
      </xdr:nvSpPr>
      <xdr:spPr>
        <a:xfrm>
          <a:off x="1851837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117</xdr:row>
      <xdr:rowOff>66012</xdr:rowOff>
    </xdr:from>
    <xdr:to>
      <xdr:col>2</xdr:col>
      <xdr:colOff>602646</xdr:colOff>
      <xdr:row>118</xdr:row>
      <xdr:rowOff>161263</xdr:rowOff>
    </xdr:to>
    <xdr:sp macro="" textlink="">
      <xdr:nvSpPr>
        <xdr:cNvPr id="988" name="Isosceles Triangle 987">
          <a:extLst>
            <a:ext uri="{FF2B5EF4-FFF2-40B4-BE49-F238E27FC236}">
              <a16:creationId xmlns="" xmlns:a16="http://schemas.microsoft.com/office/drawing/2014/main" id="{00000000-0008-0000-0100-0000DC030000}"/>
            </a:ext>
          </a:extLst>
        </xdr:cNvPr>
        <xdr:cNvSpPr/>
      </xdr:nvSpPr>
      <xdr:spPr>
        <a:xfrm>
          <a:off x="584791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117</xdr:row>
      <xdr:rowOff>66012</xdr:rowOff>
    </xdr:from>
    <xdr:to>
      <xdr:col>10</xdr:col>
      <xdr:colOff>602646</xdr:colOff>
      <xdr:row>118</xdr:row>
      <xdr:rowOff>161263</xdr:rowOff>
    </xdr:to>
    <xdr:sp macro="" textlink="">
      <xdr:nvSpPr>
        <xdr:cNvPr id="989" name="Isosceles Triangle 988">
          <a:extLst>
            <a:ext uri="{FF2B5EF4-FFF2-40B4-BE49-F238E27FC236}">
              <a16:creationId xmlns="" xmlns:a16="http://schemas.microsoft.com/office/drawing/2014/main" id="{00000000-0008-0000-0100-0000DD030000}"/>
            </a:ext>
          </a:extLst>
        </xdr:cNvPr>
        <xdr:cNvSpPr/>
      </xdr:nvSpPr>
      <xdr:spPr>
        <a:xfrm>
          <a:off x="5635256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117</xdr:row>
      <xdr:rowOff>66012</xdr:rowOff>
    </xdr:from>
    <xdr:to>
      <xdr:col>12</xdr:col>
      <xdr:colOff>602646</xdr:colOff>
      <xdr:row>118</xdr:row>
      <xdr:rowOff>161263</xdr:rowOff>
    </xdr:to>
    <xdr:sp macro="" textlink="">
      <xdr:nvSpPr>
        <xdr:cNvPr id="990" name="Isosceles Triangle 989">
          <a:extLst>
            <a:ext uri="{FF2B5EF4-FFF2-40B4-BE49-F238E27FC236}">
              <a16:creationId xmlns="" xmlns:a16="http://schemas.microsoft.com/office/drawing/2014/main" id="{00000000-0008-0000-0100-0000DE030000}"/>
            </a:ext>
          </a:extLst>
        </xdr:cNvPr>
        <xdr:cNvSpPr/>
      </xdr:nvSpPr>
      <xdr:spPr>
        <a:xfrm>
          <a:off x="6893442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117</xdr:row>
      <xdr:rowOff>47628</xdr:rowOff>
    </xdr:from>
    <xdr:to>
      <xdr:col>8</xdr:col>
      <xdr:colOff>602646</xdr:colOff>
      <xdr:row>118</xdr:row>
      <xdr:rowOff>142878</xdr:rowOff>
    </xdr:to>
    <xdr:sp macro="" textlink="">
      <xdr:nvSpPr>
        <xdr:cNvPr id="991" name="Isosceles Triangle 990">
          <a:extLst>
            <a:ext uri="{FF2B5EF4-FFF2-40B4-BE49-F238E27FC236}">
              <a16:creationId xmlns="" xmlns:a16="http://schemas.microsoft.com/office/drawing/2014/main" id="{00000000-0008-0000-0100-0000DF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117</xdr:row>
      <xdr:rowOff>73951</xdr:rowOff>
    </xdr:from>
    <xdr:to>
      <xdr:col>8</xdr:col>
      <xdr:colOff>602646</xdr:colOff>
      <xdr:row>118</xdr:row>
      <xdr:rowOff>169201</xdr:rowOff>
    </xdr:to>
    <xdr:sp macro="" textlink="">
      <xdr:nvSpPr>
        <xdr:cNvPr id="992" name="Isosceles Triangle 991">
          <a:extLst>
            <a:ext uri="{FF2B5EF4-FFF2-40B4-BE49-F238E27FC236}">
              <a16:creationId xmlns="" xmlns:a16="http://schemas.microsoft.com/office/drawing/2014/main" id="{00000000-0008-0000-0100-0000E0030000}"/>
            </a:ext>
          </a:extLst>
        </xdr:cNvPr>
        <xdr:cNvSpPr/>
      </xdr:nvSpPr>
      <xdr:spPr>
        <a:xfrm>
          <a:off x="4377070" y="22384602"/>
          <a:ext cx="602646" cy="35220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117</xdr:row>
      <xdr:rowOff>58514</xdr:rowOff>
    </xdr:from>
    <xdr:to>
      <xdr:col>6</xdr:col>
      <xdr:colOff>602646</xdr:colOff>
      <xdr:row>118</xdr:row>
      <xdr:rowOff>153764</xdr:rowOff>
    </xdr:to>
    <xdr:sp macro="" textlink="">
      <xdr:nvSpPr>
        <xdr:cNvPr id="994" name="Isosceles Triangle 993">
          <a:extLst>
            <a:ext uri="{FF2B5EF4-FFF2-40B4-BE49-F238E27FC236}">
              <a16:creationId xmlns="" xmlns:a16="http://schemas.microsoft.com/office/drawing/2014/main" id="{00000000-0008-0000-0100-0000E2030000}"/>
            </a:ext>
          </a:extLst>
        </xdr:cNvPr>
        <xdr:cNvSpPr/>
      </xdr:nvSpPr>
      <xdr:spPr>
        <a:xfrm>
          <a:off x="3167743" y="21350971"/>
          <a:ext cx="602646" cy="258536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47628</xdr:rowOff>
    </xdr:from>
    <xdr:to>
      <xdr:col>6</xdr:col>
      <xdr:colOff>602646</xdr:colOff>
      <xdr:row>128</xdr:row>
      <xdr:rowOff>142878</xdr:rowOff>
    </xdr:to>
    <xdr:sp macro="" textlink="">
      <xdr:nvSpPr>
        <xdr:cNvPr id="997" name="Isosceles Triangle 996">
          <a:extLst>
            <a:ext uri="{FF2B5EF4-FFF2-40B4-BE49-F238E27FC236}">
              <a16:creationId xmlns="" xmlns:a16="http://schemas.microsoft.com/office/drawing/2014/main" id="{00000000-0008-0000-0100-0000E5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48291</xdr:rowOff>
    </xdr:from>
    <xdr:to>
      <xdr:col>6</xdr:col>
      <xdr:colOff>602646</xdr:colOff>
      <xdr:row>128</xdr:row>
      <xdr:rowOff>159487</xdr:rowOff>
    </xdr:to>
    <xdr:sp macro="" textlink="">
      <xdr:nvSpPr>
        <xdr:cNvPr id="998" name="Isosceles Triangle 997">
          <a:extLst>
            <a:ext uri="{FF2B5EF4-FFF2-40B4-BE49-F238E27FC236}">
              <a16:creationId xmlns="" xmlns:a16="http://schemas.microsoft.com/office/drawing/2014/main" id="{00000000-0008-0000-0100-0000E6030000}"/>
            </a:ext>
          </a:extLst>
        </xdr:cNvPr>
        <xdr:cNvSpPr/>
      </xdr:nvSpPr>
      <xdr:spPr>
        <a:xfrm>
          <a:off x="3118884" y="24175338"/>
          <a:ext cx="602646" cy="34156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127</xdr:row>
      <xdr:rowOff>47628</xdr:rowOff>
    </xdr:from>
    <xdr:to>
      <xdr:col>4</xdr:col>
      <xdr:colOff>602646</xdr:colOff>
      <xdr:row>128</xdr:row>
      <xdr:rowOff>142878</xdr:rowOff>
    </xdr:to>
    <xdr:sp macro="" textlink="">
      <xdr:nvSpPr>
        <xdr:cNvPr id="1000" name="Isosceles Triangle 999">
          <a:extLst>
            <a:ext uri="{FF2B5EF4-FFF2-40B4-BE49-F238E27FC236}">
              <a16:creationId xmlns="" xmlns:a16="http://schemas.microsoft.com/office/drawing/2014/main" id="{00000000-0008-0000-0100-0000E8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629092</xdr:colOff>
      <xdr:row>127</xdr:row>
      <xdr:rowOff>26581</xdr:rowOff>
    </xdr:from>
    <xdr:to>
      <xdr:col>5</xdr:col>
      <xdr:colOff>0</xdr:colOff>
      <xdr:row>128</xdr:row>
      <xdr:rowOff>168348</xdr:rowOff>
    </xdr:to>
    <xdr:sp macro="" textlink="">
      <xdr:nvSpPr>
        <xdr:cNvPr id="1001" name="Isosceles Triangle 1000">
          <a:extLst>
            <a:ext uri="{FF2B5EF4-FFF2-40B4-BE49-F238E27FC236}">
              <a16:creationId xmlns="" xmlns:a16="http://schemas.microsoft.com/office/drawing/2014/main" id="{00000000-0008-0000-0100-0000E9030000}"/>
            </a:ext>
          </a:extLst>
        </xdr:cNvPr>
        <xdr:cNvSpPr/>
      </xdr:nvSpPr>
      <xdr:spPr>
        <a:xfrm>
          <a:off x="1842976" y="24153628"/>
          <a:ext cx="637954" cy="37213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47628</xdr:rowOff>
    </xdr:from>
    <xdr:to>
      <xdr:col>2</xdr:col>
      <xdr:colOff>602646</xdr:colOff>
      <xdr:row>128</xdr:row>
      <xdr:rowOff>142878</xdr:rowOff>
    </xdr:to>
    <xdr:sp macro="" textlink="">
      <xdr:nvSpPr>
        <xdr:cNvPr id="1003" name="Isosceles Triangle 1002">
          <a:extLst>
            <a:ext uri="{FF2B5EF4-FFF2-40B4-BE49-F238E27FC236}">
              <a16:creationId xmlns="" xmlns:a16="http://schemas.microsoft.com/office/drawing/2014/main" id="{00000000-0008-0000-0100-0000EB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48291</xdr:rowOff>
    </xdr:from>
    <xdr:to>
      <xdr:col>2</xdr:col>
      <xdr:colOff>602646</xdr:colOff>
      <xdr:row>128</xdr:row>
      <xdr:rowOff>159487</xdr:rowOff>
    </xdr:to>
    <xdr:sp macro="" textlink="">
      <xdr:nvSpPr>
        <xdr:cNvPr id="1004" name="Isosceles Triangle 1003">
          <a:extLst>
            <a:ext uri="{FF2B5EF4-FFF2-40B4-BE49-F238E27FC236}">
              <a16:creationId xmlns="" xmlns:a16="http://schemas.microsoft.com/office/drawing/2014/main" id="{00000000-0008-0000-0100-0000EC030000}"/>
            </a:ext>
          </a:extLst>
        </xdr:cNvPr>
        <xdr:cNvSpPr/>
      </xdr:nvSpPr>
      <xdr:spPr>
        <a:xfrm>
          <a:off x="584791" y="24175338"/>
          <a:ext cx="602646" cy="34156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117</xdr:row>
      <xdr:rowOff>47628</xdr:rowOff>
    </xdr:from>
    <xdr:to>
      <xdr:col>16</xdr:col>
      <xdr:colOff>602646</xdr:colOff>
      <xdr:row>118</xdr:row>
      <xdr:rowOff>142878</xdr:rowOff>
    </xdr:to>
    <xdr:sp macro="" textlink="">
      <xdr:nvSpPr>
        <xdr:cNvPr id="1006" name="Isosceles Triangle 1005">
          <a:extLst>
            <a:ext uri="{FF2B5EF4-FFF2-40B4-BE49-F238E27FC236}">
              <a16:creationId xmlns="" xmlns:a16="http://schemas.microsoft.com/office/drawing/2014/main" id="{00000000-0008-0000-0100-0000EE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628171</xdr:colOff>
      <xdr:row>117</xdr:row>
      <xdr:rowOff>65091</xdr:rowOff>
    </xdr:from>
    <xdr:to>
      <xdr:col>16</xdr:col>
      <xdr:colOff>601724</xdr:colOff>
      <xdr:row>118</xdr:row>
      <xdr:rowOff>160341</xdr:rowOff>
    </xdr:to>
    <xdr:sp macro="" textlink="">
      <xdr:nvSpPr>
        <xdr:cNvPr id="1007" name="Isosceles Triangle 1006">
          <a:extLst>
            <a:ext uri="{FF2B5EF4-FFF2-40B4-BE49-F238E27FC236}">
              <a16:creationId xmlns="" xmlns:a16="http://schemas.microsoft.com/office/drawing/2014/main" id="{00000000-0008-0000-0100-0000EF030000}"/>
            </a:ext>
          </a:extLst>
        </xdr:cNvPr>
        <xdr:cNvSpPr/>
      </xdr:nvSpPr>
      <xdr:spPr>
        <a:xfrm>
          <a:off x="9408892" y="22375742"/>
          <a:ext cx="602646" cy="35220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47628</xdr:rowOff>
    </xdr:from>
    <xdr:to>
      <xdr:col>18</xdr:col>
      <xdr:colOff>602646</xdr:colOff>
      <xdr:row>118</xdr:row>
      <xdr:rowOff>142878</xdr:rowOff>
    </xdr:to>
    <xdr:sp macro="" textlink="">
      <xdr:nvSpPr>
        <xdr:cNvPr id="1009" name="Isosceles Triangle 1008">
          <a:extLst>
            <a:ext uri="{FF2B5EF4-FFF2-40B4-BE49-F238E27FC236}">
              <a16:creationId xmlns="" xmlns:a16="http://schemas.microsoft.com/office/drawing/2014/main" id="{00000000-0008-0000-0100-0000F1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66013</xdr:rowOff>
    </xdr:from>
    <xdr:to>
      <xdr:col>18</xdr:col>
      <xdr:colOff>602646</xdr:colOff>
      <xdr:row>118</xdr:row>
      <xdr:rowOff>161263</xdr:rowOff>
    </xdr:to>
    <xdr:sp macro="" textlink="">
      <xdr:nvSpPr>
        <xdr:cNvPr id="1010" name="Isosceles Triangle 1009">
          <a:extLst>
            <a:ext uri="{FF2B5EF4-FFF2-40B4-BE49-F238E27FC236}">
              <a16:creationId xmlns="" xmlns:a16="http://schemas.microsoft.com/office/drawing/2014/main" id="{00000000-0008-0000-0100-0000F2030000}"/>
            </a:ext>
          </a:extLst>
        </xdr:cNvPr>
        <xdr:cNvSpPr/>
      </xdr:nvSpPr>
      <xdr:spPr>
        <a:xfrm>
          <a:off x="10668000" y="22376664"/>
          <a:ext cx="602646" cy="35220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47628</xdr:rowOff>
    </xdr:from>
    <xdr:to>
      <xdr:col>20</xdr:col>
      <xdr:colOff>602646</xdr:colOff>
      <xdr:row>118</xdr:row>
      <xdr:rowOff>142878</xdr:rowOff>
    </xdr:to>
    <xdr:sp macro="" textlink="">
      <xdr:nvSpPr>
        <xdr:cNvPr id="1012" name="Isosceles Triangle 1011">
          <a:extLst>
            <a:ext uri="{FF2B5EF4-FFF2-40B4-BE49-F238E27FC236}">
              <a16:creationId xmlns="" xmlns:a16="http://schemas.microsoft.com/office/drawing/2014/main" id="{00000000-0008-0000-0100-0000F4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65091</xdr:rowOff>
    </xdr:from>
    <xdr:to>
      <xdr:col>20</xdr:col>
      <xdr:colOff>602646</xdr:colOff>
      <xdr:row>118</xdr:row>
      <xdr:rowOff>160341</xdr:rowOff>
    </xdr:to>
    <xdr:sp macro="" textlink="">
      <xdr:nvSpPr>
        <xdr:cNvPr id="1013" name="Isosceles Triangle 1012">
          <a:extLst>
            <a:ext uri="{FF2B5EF4-FFF2-40B4-BE49-F238E27FC236}">
              <a16:creationId xmlns="" xmlns:a16="http://schemas.microsoft.com/office/drawing/2014/main" id="{00000000-0008-0000-0100-0000F5030000}"/>
            </a:ext>
          </a:extLst>
        </xdr:cNvPr>
        <xdr:cNvSpPr/>
      </xdr:nvSpPr>
      <xdr:spPr>
        <a:xfrm>
          <a:off x="11906250" y="20440654"/>
          <a:ext cx="602646" cy="35718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617" name="Isosceles Triangle 616">
          <a:extLst>
            <a:ext uri="{FF2B5EF4-FFF2-40B4-BE49-F238E27FC236}">
              <a16:creationId xmlns="" xmlns:a16="http://schemas.microsoft.com/office/drawing/2014/main" id="{00000000-0008-0000-0100-000069020000}"/>
            </a:ext>
          </a:extLst>
        </xdr:cNvPr>
        <xdr:cNvSpPr/>
      </xdr:nvSpPr>
      <xdr:spPr>
        <a:xfrm>
          <a:off x="10507472" y="4802547"/>
          <a:ext cx="605028" cy="26035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737" name="Isosceles Triangle 736">
          <a:extLst>
            <a:ext uri="{FF2B5EF4-FFF2-40B4-BE49-F238E27FC236}">
              <a16:creationId xmlns="" xmlns:a16="http://schemas.microsoft.com/office/drawing/2014/main" id="{00000000-0008-0000-0100-0000E1020000}"/>
            </a:ext>
          </a:extLst>
        </xdr:cNvPr>
        <xdr:cNvSpPr/>
      </xdr:nvSpPr>
      <xdr:spPr>
        <a:xfrm>
          <a:off x="10507472" y="48025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66013</xdr:rowOff>
    </xdr:from>
    <xdr:to>
      <xdr:col>4</xdr:col>
      <xdr:colOff>602646</xdr:colOff>
      <xdr:row>82</xdr:row>
      <xdr:rowOff>161263</xdr:rowOff>
    </xdr:to>
    <xdr:sp macro="" textlink="">
      <xdr:nvSpPr>
        <xdr:cNvPr id="738" name="Isosceles Triangle 737">
          <a:extLst>
            <a:ext uri="{FF2B5EF4-FFF2-40B4-BE49-F238E27FC236}">
              <a16:creationId xmlns="" xmlns:a16="http://schemas.microsoft.com/office/drawing/2014/main" id="{00000000-0008-0000-0100-0000E2020000}"/>
            </a:ext>
          </a:extLst>
        </xdr:cNvPr>
        <xdr:cNvSpPr/>
      </xdr:nvSpPr>
      <xdr:spPr>
        <a:xfrm>
          <a:off x="1851837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117</xdr:row>
      <xdr:rowOff>66012</xdr:rowOff>
    </xdr:from>
    <xdr:to>
      <xdr:col>14</xdr:col>
      <xdr:colOff>602646</xdr:colOff>
      <xdr:row>118</xdr:row>
      <xdr:rowOff>161263</xdr:rowOff>
    </xdr:to>
    <xdr:sp macro="" textlink="">
      <xdr:nvSpPr>
        <xdr:cNvPr id="741" name="Isosceles Triangle 740">
          <a:extLst>
            <a:ext uri="{FF2B5EF4-FFF2-40B4-BE49-F238E27FC236}">
              <a16:creationId xmlns="" xmlns:a16="http://schemas.microsoft.com/office/drawing/2014/main" id="{00000000-0008-0000-0100-0000E5020000}"/>
            </a:ext>
          </a:extLst>
        </xdr:cNvPr>
        <xdr:cNvSpPr/>
      </xdr:nvSpPr>
      <xdr:spPr>
        <a:xfrm>
          <a:off x="8151628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127</xdr:row>
      <xdr:rowOff>74873</xdr:rowOff>
    </xdr:from>
    <xdr:to>
      <xdr:col>8</xdr:col>
      <xdr:colOff>602646</xdr:colOff>
      <xdr:row>128</xdr:row>
      <xdr:rowOff>170123</xdr:rowOff>
    </xdr:to>
    <xdr:sp macro="" textlink="">
      <xdr:nvSpPr>
        <xdr:cNvPr id="749" name="Isosceles Triangle 748">
          <a:extLst>
            <a:ext uri="{FF2B5EF4-FFF2-40B4-BE49-F238E27FC236}">
              <a16:creationId xmlns="" xmlns:a16="http://schemas.microsoft.com/office/drawing/2014/main" id="{00000000-0008-0000-0100-0000ED020000}"/>
            </a:ext>
          </a:extLst>
        </xdr:cNvPr>
        <xdr:cNvSpPr/>
      </xdr:nvSpPr>
      <xdr:spPr>
        <a:xfrm>
          <a:off x="4377070" y="24201920"/>
          <a:ext cx="602646" cy="32562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53</xdr:row>
      <xdr:rowOff>78147</xdr:rowOff>
    </xdr:from>
    <xdr:to>
      <xdr:col>9</xdr:col>
      <xdr:colOff>0</xdr:colOff>
      <xdr:row>54</xdr:row>
      <xdr:rowOff>192447</xdr:rowOff>
    </xdr:to>
    <xdr:sp macro="" textlink="">
      <xdr:nvSpPr>
        <xdr:cNvPr id="1032" name="Isosceles Triangle 1031">
          <a:extLst>
            <a:ext uri="{FF2B5EF4-FFF2-40B4-BE49-F238E27FC236}">
              <a16:creationId xmlns="" xmlns:a16="http://schemas.microsoft.com/office/drawing/2014/main" id="{00000000-0008-0000-0100-000008040000}"/>
            </a:ext>
          </a:extLst>
        </xdr:cNvPr>
        <xdr:cNvSpPr/>
      </xdr:nvSpPr>
      <xdr:spPr>
        <a:xfrm>
          <a:off x="5630672" y="79013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385482</xdr:colOff>
      <xdr:row>51</xdr:row>
      <xdr:rowOff>79935</xdr:rowOff>
    </xdr:from>
    <xdr:to>
      <xdr:col>15</xdr:col>
      <xdr:colOff>523837</xdr:colOff>
      <xdr:row>51</xdr:row>
      <xdr:rowOff>80682</xdr:rowOff>
    </xdr:to>
    <xdr:cxnSp macro="">
      <xdr:nvCxnSpPr>
        <xdr:cNvPr id="750" name="Straight Arrow Connector 749">
          <a:extLst>
            <a:ext uri="{FF2B5EF4-FFF2-40B4-BE49-F238E27FC236}">
              <a16:creationId xmlns="" xmlns:a16="http://schemas.microsoft.com/office/drawing/2014/main" id="{00000000-0008-0000-0100-0000EE020000}"/>
            </a:ext>
          </a:extLst>
        </xdr:cNvPr>
        <xdr:cNvCxnSpPr/>
      </xdr:nvCxnSpPr>
      <xdr:spPr>
        <a:xfrm flipV="1">
          <a:off x="6006353" y="8157135"/>
          <a:ext cx="3276002" cy="74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7470</xdr:colOff>
      <xdr:row>51</xdr:row>
      <xdr:rowOff>62753</xdr:rowOff>
    </xdr:from>
    <xdr:to>
      <xdr:col>21</xdr:col>
      <xdr:colOff>331694</xdr:colOff>
      <xdr:row>51</xdr:row>
      <xdr:rowOff>83671</xdr:rowOff>
    </xdr:to>
    <xdr:cxnSp macro="">
      <xdr:nvCxnSpPr>
        <xdr:cNvPr id="800" name="Straight Arrow Connector 799">
          <a:extLst>
            <a:ext uri="{FF2B5EF4-FFF2-40B4-BE49-F238E27FC236}">
              <a16:creationId xmlns="" xmlns:a16="http://schemas.microsoft.com/office/drawing/2014/main" id="{00000000-0008-0000-0100-000020030000}"/>
            </a:ext>
          </a:extLst>
        </xdr:cNvPr>
        <xdr:cNvCxnSpPr/>
      </xdr:nvCxnSpPr>
      <xdr:spPr>
        <a:xfrm flipH="1">
          <a:off x="9393517" y="8139953"/>
          <a:ext cx="3461871" cy="209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72</xdr:row>
      <xdr:rowOff>66013</xdr:rowOff>
    </xdr:from>
    <xdr:to>
      <xdr:col>6</xdr:col>
      <xdr:colOff>602646</xdr:colOff>
      <xdr:row>73</xdr:row>
      <xdr:rowOff>161263</xdr:rowOff>
    </xdr:to>
    <xdr:sp macro="" textlink="">
      <xdr:nvSpPr>
        <xdr:cNvPr id="813" name="Isosceles Triangle 812">
          <a:extLst>
            <a:ext uri="{FF2B5EF4-FFF2-40B4-BE49-F238E27FC236}">
              <a16:creationId xmlns="" xmlns:a16="http://schemas.microsoft.com/office/drawing/2014/main" id="{00000000-0008-0000-0100-00002D030000}"/>
            </a:ext>
          </a:extLst>
        </xdr:cNvPr>
        <xdr:cNvSpPr/>
      </xdr:nvSpPr>
      <xdr:spPr>
        <a:xfrm>
          <a:off x="3118884" y="13480757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81</xdr:row>
      <xdr:rowOff>66013</xdr:rowOff>
    </xdr:from>
    <xdr:to>
      <xdr:col>8</xdr:col>
      <xdr:colOff>602646</xdr:colOff>
      <xdr:row>82</xdr:row>
      <xdr:rowOff>161263</xdr:rowOff>
    </xdr:to>
    <xdr:sp macro="" textlink="">
      <xdr:nvSpPr>
        <xdr:cNvPr id="814" name="Isosceles Triangle 813">
          <a:extLst>
            <a:ext uri="{FF2B5EF4-FFF2-40B4-BE49-F238E27FC236}">
              <a16:creationId xmlns="" xmlns:a16="http://schemas.microsoft.com/office/drawing/2014/main" id="{00000000-0008-0000-0100-00002E030000}"/>
            </a:ext>
          </a:extLst>
        </xdr:cNvPr>
        <xdr:cNvSpPr/>
      </xdr:nvSpPr>
      <xdr:spPr>
        <a:xfrm>
          <a:off x="4377070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53</xdr:row>
      <xdr:rowOff>78147</xdr:rowOff>
    </xdr:from>
    <xdr:to>
      <xdr:col>3</xdr:col>
      <xdr:colOff>0</xdr:colOff>
      <xdr:row>54</xdr:row>
      <xdr:rowOff>192447</xdr:rowOff>
    </xdr:to>
    <xdr:sp macro="" textlink="">
      <xdr:nvSpPr>
        <xdr:cNvPr id="844" name="Isosceles Triangle 843">
          <a:extLst>
            <a:ext uri="{FF2B5EF4-FFF2-40B4-BE49-F238E27FC236}">
              <a16:creationId xmlns="" xmlns:a16="http://schemas.microsoft.com/office/drawing/2014/main" id="{00000000-0008-0000-0100-00004C030000}"/>
            </a:ext>
          </a:extLst>
        </xdr:cNvPr>
        <xdr:cNvSpPr/>
      </xdr:nvSpPr>
      <xdr:spPr>
        <a:xfrm>
          <a:off x="2049272" y="79521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81</xdr:row>
      <xdr:rowOff>66013</xdr:rowOff>
    </xdr:from>
    <xdr:to>
      <xdr:col>10</xdr:col>
      <xdr:colOff>602646</xdr:colOff>
      <xdr:row>82</xdr:row>
      <xdr:rowOff>161263</xdr:rowOff>
    </xdr:to>
    <xdr:sp macro="" textlink="">
      <xdr:nvSpPr>
        <xdr:cNvPr id="1045" name="Isosceles Triangle 1044">
          <a:extLst>
            <a:ext uri="{FF2B5EF4-FFF2-40B4-BE49-F238E27FC236}">
              <a16:creationId xmlns="" xmlns:a16="http://schemas.microsoft.com/office/drawing/2014/main" id="{00000000-0008-0000-0100-000015040000}"/>
            </a:ext>
          </a:extLst>
        </xdr:cNvPr>
        <xdr:cNvSpPr/>
      </xdr:nvSpPr>
      <xdr:spPr>
        <a:xfrm>
          <a:off x="5635256" y="15173106"/>
          <a:ext cx="602646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754" name="Isosceles Triangle 753">
          <a:extLst>
            <a:ext uri="{FF2B5EF4-FFF2-40B4-BE49-F238E27FC236}">
              <a16:creationId xmlns="" xmlns:a16="http://schemas.microsoft.com/office/drawing/2014/main" id="{00000000-0008-0000-0100-0000F202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1047" name="Isosceles Triangle 1046">
          <a:extLst>
            <a:ext uri="{FF2B5EF4-FFF2-40B4-BE49-F238E27FC236}">
              <a16:creationId xmlns="" xmlns:a16="http://schemas.microsoft.com/office/drawing/2014/main" id="{00000000-0008-0000-0100-00001704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1048" name="Isosceles Triangle 1047">
          <a:extLst>
            <a:ext uri="{FF2B5EF4-FFF2-40B4-BE49-F238E27FC236}">
              <a16:creationId xmlns="" xmlns:a16="http://schemas.microsoft.com/office/drawing/2014/main" id="{00000000-0008-0000-0100-00001804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1056" name="Isosceles Triangle 1055">
          <a:extLst>
            <a:ext uri="{FF2B5EF4-FFF2-40B4-BE49-F238E27FC236}">
              <a16:creationId xmlns="" xmlns:a16="http://schemas.microsoft.com/office/drawing/2014/main" id="{00000000-0008-0000-0100-00002004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72</xdr:row>
      <xdr:rowOff>66013</xdr:rowOff>
    </xdr:from>
    <xdr:to>
      <xdr:col>4</xdr:col>
      <xdr:colOff>602646</xdr:colOff>
      <xdr:row>73</xdr:row>
      <xdr:rowOff>161263</xdr:rowOff>
    </xdr:to>
    <xdr:sp macro="" textlink="">
      <xdr:nvSpPr>
        <xdr:cNvPr id="1059" name="Isosceles Triangle 1058">
          <a:extLst>
            <a:ext uri="{FF2B5EF4-FFF2-40B4-BE49-F238E27FC236}">
              <a16:creationId xmlns="" xmlns:a16="http://schemas.microsoft.com/office/drawing/2014/main" id="{00000000-0008-0000-0100-000023040000}"/>
            </a:ext>
          </a:extLst>
        </xdr:cNvPr>
        <xdr:cNvSpPr/>
      </xdr:nvSpPr>
      <xdr:spPr>
        <a:xfrm>
          <a:off x="1851837" y="13480757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81</xdr:row>
      <xdr:rowOff>66013</xdr:rowOff>
    </xdr:from>
    <xdr:to>
      <xdr:col>16</xdr:col>
      <xdr:colOff>602646</xdr:colOff>
      <xdr:row>82</xdr:row>
      <xdr:rowOff>161263</xdr:rowOff>
    </xdr:to>
    <xdr:sp macro="" textlink="">
      <xdr:nvSpPr>
        <xdr:cNvPr id="1060" name="Isosceles Triangle 1059">
          <a:extLst>
            <a:ext uri="{FF2B5EF4-FFF2-40B4-BE49-F238E27FC236}">
              <a16:creationId xmlns="" xmlns:a16="http://schemas.microsoft.com/office/drawing/2014/main" id="{00000000-0008-0000-0100-000024040000}"/>
            </a:ext>
          </a:extLst>
        </xdr:cNvPr>
        <xdr:cNvSpPr/>
      </xdr:nvSpPr>
      <xdr:spPr>
        <a:xfrm>
          <a:off x="9409814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127</xdr:row>
      <xdr:rowOff>74873</xdr:rowOff>
    </xdr:from>
    <xdr:to>
      <xdr:col>10</xdr:col>
      <xdr:colOff>602646</xdr:colOff>
      <xdr:row>128</xdr:row>
      <xdr:rowOff>170123</xdr:rowOff>
    </xdr:to>
    <xdr:sp macro="" textlink="">
      <xdr:nvSpPr>
        <xdr:cNvPr id="1061" name="Isosceles Triangle 1060">
          <a:extLst>
            <a:ext uri="{FF2B5EF4-FFF2-40B4-BE49-F238E27FC236}">
              <a16:creationId xmlns="" xmlns:a16="http://schemas.microsoft.com/office/drawing/2014/main" id="{00000000-0008-0000-0100-000025040000}"/>
            </a:ext>
          </a:extLst>
        </xdr:cNvPr>
        <xdr:cNvSpPr/>
      </xdr:nvSpPr>
      <xdr:spPr>
        <a:xfrm>
          <a:off x="5635256" y="24201920"/>
          <a:ext cx="602646" cy="32562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8860</xdr:colOff>
      <xdr:row>127</xdr:row>
      <xdr:rowOff>83732</xdr:rowOff>
    </xdr:from>
    <xdr:to>
      <xdr:col>12</xdr:col>
      <xdr:colOff>611506</xdr:colOff>
      <xdr:row>129</xdr:row>
      <xdr:rowOff>1774</xdr:rowOff>
    </xdr:to>
    <xdr:sp macro="" textlink="">
      <xdr:nvSpPr>
        <xdr:cNvPr id="801" name="Isosceles Triangle 800">
          <a:extLst>
            <a:ext uri="{FF2B5EF4-FFF2-40B4-BE49-F238E27FC236}">
              <a16:creationId xmlns="" xmlns:a16="http://schemas.microsoft.com/office/drawing/2014/main" id="{00000000-0008-0000-0100-000021030000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15</xdr:row>
      <xdr:rowOff>66012</xdr:rowOff>
    </xdr:from>
    <xdr:to>
      <xdr:col>20</xdr:col>
      <xdr:colOff>602646</xdr:colOff>
      <xdr:row>16</xdr:row>
      <xdr:rowOff>161263</xdr:rowOff>
    </xdr:to>
    <xdr:sp macro="" textlink="">
      <xdr:nvSpPr>
        <xdr:cNvPr id="1049" name="Isosceles Triangle 1048">
          <a:extLst>
            <a:ext uri="{FF2B5EF4-FFF2-40B4-BE49-F238E27FC236}">
              <a16:creationId xmlns="" xmlns:a16="http://schemas.microsoft.com/office/drawing/2014/main" id="{00000000-0008-0000-0100-000019040000}"/>
            </a:ext>
          </a:extLst>
        </xdr:cNvPr>
        <xdr:cNvSpPr/>
      </xdr:nvSpPr>
      <xdr:spPr>
        <a:xfrm>
          <a:off x="11926186" y="3477291"/>
          <a:ext cx="602646" cy="29904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822" name="Isosceles Triangle 821">
          <a:extLst>
            <a:ext uri="{FF2B5EF4-FFF2-40B4-BE49-F238E27FC236}">
              <a16:creationId xmlns="" xmlns:a16="http://schemas.microsoft.com/office/drawing/2014/main" id="{00000000-0008-0000-0100-000036030000}"/>
            </a:ext>
          </a:extLst>
        </xdr:cNvPr>
        <xdr:cNvSpPr/>
      </xdr:nvSpPr>
      <xdr:spPr>
        <a:xfrm>
          <a:off x="8145272" y="16910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1090" name="Isosceles Triangle 1089">
          <a:extLst>
            <a:ext uri="{FF2B5EF4-FFF2-40B4-BE49-F238E27FC236}">
              <a16:creationId xmlns="" xmlns:a16="http://schemas.microsoft.com/office/drawing/2014/main" id="{00000000-0008-0000-0100-000042040000}"/>
            </a:ext>
          </a:extLst>
        </xdr:cNvPr>
        <xdr:cNvSpPr/>
      </xdr:nvSpPr>
      <xdr:spPr>
        <a:xfrm>
          <a:off x="8145272" y="16910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108</xdr:row>
      <xdr:rowOff>66013</xdr:rowOff>
    </xdr:from>
    <xdr:to>
      <xdr:col>16</xdr:col>
      <xdr:colOff>602646</xdr:colOff>
      <xdr:row>109</xdr:row>
      <xdr:rowOff>161263</xdr:rowOff>
    </xdr:to>
    <xdr:sp macro="" textlink="">
      <xdr:nvSpPr>
        <xdr:cNvPr id="1091" name="Isosceles Triangle 1090">
          <a:extLst>
            <a:ext uri="{FF2B5EF4-FFF2-40B4-BE49-F238E27FC236}">
              <a16:creationId xmlns="" xmlns:a16="http://schemas.microsoft.com/office/drawing/2014/main" id="{00000000-0008-0000-0100-000043040000}"/>
            </a:ext>
          </a:extLst>
        </xdr:cNvPr>
        <xdr:cNvSpPr/>
      </xdr:nvSpPr>
      <xdr:spPr>
        <a:xfrm>
          <a:off x="9409814" y="20542548"/>
          <a:ext cx="602646" cy="35220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1129" name="Isosceles Triangle 1128">
          <a:extLst>
            <a:ext uri="{FF2B5EF4-FFF2-40B4-BE49-F238E27FC236}">
              <a16:creationId xmlns="" xmlns:a16="http://schemas.microsoft.com/office/drawing/2014/main" id="{00000000-0008-0000-0100-000069040000}"/>
            </a:ext>
          </a:extLst>
        </xdr:cNvPr>
        <xdr:cNvSpPr/>
      </xdr:nvSpPr>
      <xdr:spPr>
        <a:xfrm>
          <a:off x="5478272" y="32658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1130" name="Isosceles Triangle 1129">
          <a:extLst>
            <a:ext uri="{FF2B5EF4-FFF2-40B4-BE49-F238E27FC236}">
              <a16:creationId xmlns="" xmlns:a16="http://schemas.microsoft.com/office/drawing/2014/main" id="{00000000-0008-0000-0100-00006A040000}"/>
            </a:ext>
          </a:extLst>
        </xdr:cNvPr>
        <xdr:cNvSpPr/>
      </xdr:nvSpPr>
      <xdr:spPr>
        <a:xfrm>
          <a:off x="5478272" y="32658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63</xdr:row>
      <xdr:rowOff>77254</xdr:rowOff>
    </xdr:from>
    <xdr:to>
      <xdr:col>6</xdr:col>
      <xdr:colOff>602647</xdr:colOff>
      <xdr:row>64</xdr:row>
      <xdr:rowOff>172504</xdr:rowOff>
    </xdr:to>
    <xdr:sp macro="" textlink="">
      <xdr:nvSpPr>
        <xdr:cNvPr id="815" name="Isosceles Triangle 814">
          <a:extLst>
            <a:ext uri="{FF2B5EF4-FFF2-40B4-BE49-F238E27FC236}">
              <a16:creationId xmlns="" xmlns:a16="http://schemas.microsoft.com/office/drawing/2014/main" id="{00000000-0008-0000-0100-00002F030000}"/>
            </a:ext>
          </a:extLst>
        </xdr:cNvPr>
        <xdr:cNvSpPr/>
      </xdr:nvSpPr>
      <xdr:spPr>
        <a:xfrm>
          <a:off x="3118884" y="11808510"/>
          <a:ext cx="602647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81</xdr:row>
      <xdr:rowOff>66013</xdr:rowOff>
    </xdr:from>
    <xdr:to>
      <xdr:col>6</xdr:col>
      <xdr:colOff>602646</xdr:colOff>
      <xdr:row>82</xdr:row>
      <xdr:rowOff>161263</xdr:rowOff>
    </xdr:to>
    <xdr:sp macro="" textlink="">
      <xdr:nvSpPr>
        <xdr:cNvPr id="1051" name="Isosceles Triangle 1050">
          <a:extLst>
            <a:ext uri="{FF2B5EF4-FFF2-40B4-BE49-F238E27FC236}">
              <a16:creationId xmlns="" xmlns:a16="http://schemas.microsoft.com/office/drawing/2014/main" id="{00000000-0008-0000-0100-00001B040000}"/>
            </a:ext>
          </a:extLst>
        </xdr:cNvPr>
        <xdr:cNvSpPr/>
      </xdr:nvSpPr>
      <xdr:spPr>
        <a:xfrm>
          <a:off x="3118884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15</xdr:row>
      <xdr:rowOff>66012</xdr:rowOff>
    </xdr:from>
    <xdr:to>
      <xdr:col>18</xdr:col>
      <xdr:colOff>602646</xdr:colOff>
      <xdr:row>16</xdr:row>
      <xdr:rowOff>161263</xdr:rowOff>
    </xdr:to>
    <xdr:sp macro="" textlink="">
      <xdr:nvSpPr>
        <xdr:cNvPr id="1136" name="Isosceles Triangle 1135">
          <a:extLst>
            <a:ext uri="{FF2B5EF4-FFF2-40B4-BE49-F238E27FC236}">
              <a16:creationId xmlns="" xmlns:a16="http://schemas.microsoft.com/office/drawing/2014/main" id="{00000000-0008-0000-0100-000070040000}"/>
            </a:ext>
          </a:extLst>
        </xdr:cNvPr>
        <xdr:cNvSpPr/>
      </xdr:nvSpPr>
      <xdr:spPr>
        <a:xfrm>
          <a:off x="10668000" y="3477291"/>
          <a:ext cx="602646" cy="29904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53</xdr:row>
      <xdr:rowOff>78147</xdr:rowOff>
    </xdr:from>
    <xdr:to>
      <xdr:col>11</xdr:col>
      <xdr:colOff>0</xdr:colOff>
      <xdr:row>54</xdr:row>
      <xdr:rowOff>192447</xdr:rowOff>
    </xdr:to>
    <xdr:sp macro="" textlink="">
      <xdr:nvSpPr>
        <xdr:cNvPr id="1166" name="Isosceles Triangle 1165">
          <a:extLst>
            <a:ext uri="{FF2B5EF4-FFF2-40B4-BE49-F238E27FC236}">
              <a16:creationId xmlns="" xmlns:a16="http://schemas.microsoft.com/office/drawing/2014/main" id="{00000000-0008-0000-0100-00008E040000}"/>
            </a:ext>
          </a:extLst>
        </xdr:cNvPr>
        <xdr:cNvSpPr/>
      </xdr:nvSpPr>
      <xdr:spPr>
        <a:xfrm>
          <a:off x="1807972" y="79267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35</xdr:row>
      <xdr:rowOff>78147</xdr:rowOff>
    </xdr:from>
    <xdr:to>
      <xdr:col>3</xdr:col>
      <xdr:colOff>0</xdr:colOff>
      <xdr:row>36</xdr:row>
      <xdr:rowOff>192447</xdr:rowOff>
    </xdr:to>
    <xdr:sp macro="" textlink="">
      <xdr:nvSpPr>
        <xdr:cNvPr id="1212" name="Isosceles Triangle 1211">
          <a:extLst>
            <a:ext uri="{FF2B5EF4-FFF2-40B4-BE49-F238E27FC236}">
              <a16:creationId xmlns="" xmlns:a16="http://schemas.microsoft.com/office/drawing/2014/main" id="{00000000-0008-0000-0100-0000BC040000}"/>
            </a:ext>
          </a:extLst>
        </xdr:cNvPr>
        <xdr:cNvSpPr/>
      </xdr:nvSpPr>
      <xdr:spPr>
        <a:xfrm>
          <a:off x="6697472" y="32658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580503</xdr:colOff>
      <xdr:row>35</xdr:row>
      <xdr:rowOff>78147</xdr:rowOff>
    </xdr:from>
    <xdr:to>
      <xdr:col>2</xdr:col>
      <xdr:colOff>620233</xdr:colOff>
      <xdr:row>36</xdr:row>
      <xdr:rowOff>192447</xdr:rowOff>
    </xdr:to>
    <xdr:sp macro="" textlink="">
      <xdr:nvSpPr>
        <xdr:cNvPr id="1213" name="Isosceles Triangle 1212">
          <a:extLst>
            <a:ext uri="{FF2B5EF4-FFF2-40B4-BE49-F238E27FC236}">
              <a16:creationId xmlns="" xmlns:a16="http://schemas.microsoft.com/office/drawing/2014/main" id="{00000000-0008-0000-0100-0000BD040000}"/>
            </a:ext>
          </a:extLst>
        </xdr:cNvPr>
        <xdr:cNvSpPr/>
      </xdr:nvSpPr>
      <xdr:spPr>
        <a:xfrm>
          <a:off x="580503" y="7104496"/>
          <a:ext cx="624521" cy="28264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16</xdr:row>
      <xdr:rowOff>192447</xdr:rowOff>
    </xdr:to>
    <xdr:sp macro="" textlink="">
      <xdr:nvSpPr>
        <xdr:cNvPr id="1167" name="Isosceles Triangle 1166">
          <a:extLst>
            <a:ext uri="{FF2B5EF4-FFF2-40B4-BE49-F238E27FC236}">
              <a16:creationId xmlns="" xmlns:a16="http://schemas.microsoft.com/office/drawing/2014/main" id="{00000000-0008-0000-0100-00008F040000}"/>
            </a:ext>
          </a:extLst>
        </xdr:cNvPr>
        <xdr:cNvSpPr/>
      </xdr:nvSpPr>
      <xdr:spPr>
        <a:xfrm>
          <a:off x="7916672" y="16910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17</xdr:row>
      <xdr:rowOff>1947</xdr:rowOff>
    </xdr:to>
    <xdr:sp macro="" textlink="$M$17">
      <xdr:nvSpPr>
        <xdr:cNvPr id="1168" name="Isosceles Triangle 1167">
          <a:extLst>
            <a:ext uri="{FF2B5EF4-FFF2-40B4-BE49-F238E27FC236}">
              <a16:creationId xmlns="" xmlns:a16="http://schemas.microsoft.com/office/drawing/2014/main" id="{00000000-0008-0000-0100-000090040000}"/>
            </a:ext>
          </a:extLst>
        </xdr:cNvPr>
        <xdr:cNvSpPr/>
      </xdr:nvSpPr>
      <xdr:spPr>
        <a:xfrm>
          <a:off x="6870192" y="1640247"/>
          <a:ext cx="620268" cy="2667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fld id="{0E403535-E82E-45C5-BBA5-D8D38D2BFA8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 </a:t>
          </a:fld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4" name="Isosceles Triangle 3">
          <a:extLst>
            <a:ext uri="{FF2B5EF4-FFF2-40B4-BE49-F238E27FC236}">
              <a16:creationId xmlns="" xmlns:a16="http://schemas.microsoft.com/office/drawing/2014/main" id="{5FC5D646-D420-45A0-B4CF-B333423ACCCA}"/>
            </a:ext>
          </a:extLst>
        </xdr:cNvPr>
        <xdr:cNvSpPr/>
      </xdr:nvSpPr>
      <xdr:spPr>
        <a:xfrm>
          <a:off x="10627079" y="7845998"/>
          <a:ext cx="620951" cy="26965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5" name="Isosceles Triangle 4">
          <a:extLst>
            <a:ext uri="{FF2B5EF4-FFF2-40B4-BE49-F238E27FC236}">
              <a16:creationId xmlns="" xmlns:a16="http://schemas.microsoft.com/office/drawing/2014/main" id="{354A2B38-49B4-486D-97E7-2F6BBBDED058}"/>
            </a:ext>
          </a:extLst>
        </xdr:cNvPr>
        <xdr:cNvSpPr/>
      </xdr:nvSpPr>
      <xdr:spPr>
        <a:xfrm>
          <a:off x="10627079" y="7845998"/>
          <a:ext cx="620951" cy="26965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6" name="Isosceles Triangle 5">
          <a:extLst>
            <a:ext uri="{FF2B5EF4-FFF2-40B4-BE49-F238E27FC236}">
              <a16:creationId xmlns="" xmlns:a16="http://schemas.microsoft.com/office/drawing/2014/main" id="{EA7FB7A2-4CC5-4C9E-95D1-70E3705B9B0B}"/>
            </a:ext>
          </a:extLst>
        </xdr:cNvPr>
        <xdr:cNvSpPr/>
      </xdr:nvSpPr>
      <xdr:spPr>
        <a:xfrm>
          <a:off x="10627079" y="7845998"/>
          <a:ext cx="620951" cy="26965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5288</xdr:colOff>
      <xdr:row>53</xdr:row>
      <xdr:rowOff>86246</xdr:rowOff>
    </xdr:from>
    <xdr:to>
      <xdr:col>20</xdr:col>
      <xdr:colOff>623008</xdr:colOff>
      <xdr:row>54</xdr:row>
      <xdr:rowOff>181970</xdr:rowOff>
    </xdr:to>
    <xdr:sp macro="" textlink="">
      <xdr:nvSpPr>
        <xdr:cNvPr id="7" name="Isosceles Triangle 6">
          <a:extLst>
            <a:ext uri="{FF2B5EF4-FFF2-40B4-BE49-F238E27FC236}">
              <a16:creationId xmlns="" xmlns:a16="http://schemas.microsoft.com/office/drawing/2014/main" id="{336B2E27-87B3-4A91-A12F-4F2EDF07BF4E}"/>
            </a:ext>
          </a:extLst>
        </xdr:cNvPr>
        <xdr:cNvSpPr/>
      </xdr:nvSpPr>
      <xdr:spPr>
        <a:xfrm>
          <a:off x="11931474" y="10231479"/>
          <a:ext cx="617720" cy="27293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246845</xdr:colOff>
      <xdr:row>16</xdr:row>
      <xdr:rowOff>160985</xdr:rowOff>
    </xdr:from>
    <xdr:to>
      <xdr:col>3</xdr:col>
      <xdr:colOff>372646</xdr:colOff>
      <xdr:row>20</xdr:row>
      <xdr:rowOff>35017</xdr:rowOff>
    </xdr:to>
    <xdr:sp macro="" textlink="">
      <xdr:nvSpPr>
        <xdr:cNvPr id="8" name="Lightning Bolt 7">
          <a:extLst>
            <a:ext uri="{FF2B5EF4-FFF2-40B4-BE49-F238E27FC236}">
              <a16:creationId xmlns="" xmlns:a16="http://schemas.microsoft.com/office/drawing/2014/main" id="{6D791661-500F-469C-AACD-C3540B115E67}"/>
            </a:ext>
          </a:extLst>
        </xdr:cNvPr>
        <xdr:cNvSpPr/>
      </xdr:nvSpPr>
      <xdr:spPr>
        <a:xfrm>
          <a:off x="1459606" y="1878168"/>
          <a:ext cx="125801" cy="582370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oneCellAnchor>
    <xdr:from>
      <xdr:col>3</xdr:col>
      <xdr:colOff>50321</xdr:colOff>
      <xdr:row>17</xdr:row>
      <xdr:rowOff>35943</xdr:rowOff>
    </xdr:from>
    <xdr:ext cx="114300" cy="439616"/>
    <xdr:pic>
      <xdr:nvPicPr>
        <xdr:cNvPr id="9" name="Picture 11597">
          <a:extLst>
            <a:ext uri="{FF2B5EF4-FFF2-40B4-BE49-F238E27FC236}">
              <a16:creationId xmlns="" xmlns:a16="http://schemas.microsoft.com/office/drawing/2014/main" id="{D022ABB2-2109-4E43-860C-51D707B89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5208" y="1919377"/>
          <a:ext cx="114300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438509</xdr:colOff>
      <xdr:row>17</xdr:row>
      <xdr:rowOff>43132</xdr:rowOff>
    </xdr:from>
    <xdr:ext cx="100642" cy="458479"/>
    <xdr:pic>
      <xdr:nvPicPr>
        <xdr:cNvPr id="10" name="Picture 11597">
          <a:extLst>
            <a:ext uri="{FF2B5EF4-FFF2-40B4-BE49-F238E27FC236}">
              <a16:creationId xmlns="" xmlns:a16="http://schemas.microsoft.com/office/drawing/2014/main" id="{766EF3AB-1B38-452A-87D0-24CA9FA0B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3396" y="1926566"/>
          <a:ext cx="100642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198435</xdr:colOff>
      <xdr:row>16</xdr:row>
      <xdr:rowOff>171130</xdr:rowOff>
    </xdr:from>
    <xdr:ext cx="52188" cy="458479"/>
    <xdr:pic>
      <xdr:nvPicPr>
        <xdr:cNvPr id="16" name="Picture 11597">
          <a:extLst>
            <a:ext uri="{FF2B5EF4-FFF2-40B4-BE49-F238E27FC236}">
              <a16:creationId xmlns="" xmlns:a16="http://schemas.microsoft.com/office/drawing/2014/main" id="{1FCD848B-AC63-43E5-95D4-E77901079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2694" y="3129483"/>
          <a:ext cx="52188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399296</xdr:colOff>
      <xdr:row>16</xdr:row>
      <xdr:rowOff>162357</xdr:rowOff>
    </xdr:from>
    <xdr:ext cx="54428" cy="439616"/>
    <xdr:pic>
      <xdr:nvPicPr>
        <xdr:cNvPr id="18" name="Picture 11597">
          <a:extLst>
            <a:ext uri="{FF2B5EF4-FFF2-40B4-BE49-F238E27FC236}">
              <a16:creationId xmlns="" xmlns:a16="http://schemas.microsoft.com/office/drawing/2014/main" id="{C13E1F78-AFDE-4613-A9C2-2C51A27B9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73555" y="3120710"/>
          <a:ext cx="54428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66582</xdr:colOff>
      <xdr:row>16</xdr:row>
      <xdr:rowOff>162757</xdr:rowOff>
    </xdr:from>
    <xdr:ext cx="85725" cy="390524"/>
    <xdr:pic>
      <xdr:nvPicPr>
        <xdr:cNvPr id="19" name="Picture 11597">
          <a:extLst>
            <a:ext uri="{FF2B5EF4-FFF2-40B4-BE49-F238E27FC236}">
              <a16:creationId xmlns="" xmlns:a16="http://schemas.microsoft.com/office/drawing/2014/main" id="{5E71901B-5CEA-4EEE-B528-91D773106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6970" y="189390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502003</xdr:colOff>
      <xdr:row>16</xdr:row>
      <xdr:rowOff>159797</xdr:rowOff>
    </xdr:from>
    <xdr:ext cx="85725" cy="390524"/>
    <xdr:pic>
      <xdr:nvPicPr>
        <xdr:cNvPr id="21" name="Picture 11597">
          <a:extLst>
            <a:ext uri="{FF2B5EF4-FFF2-40B4-BE49-F238E27FC236}">
              <a16:creationId xmlns="" xmlns:a16="http://schemas.microsoft.com/office/drawing/2014/main" id="{BB2D530E-2756-4967-812B-CB3B42AE6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276" y="189791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0</xdr:colOff>
      <xdr:row>17</xdr:row>
      <xdr:rowOff>118369</xdr:rowOff>
    </xdr:from>
    <xdr:to>
      <xdr:col>17</xdr:col>
      <xdr:colOff>244136</xdr:colOff>
      <xdr:row>19</xdr:row>
      <xdr:rowOff>123113</xdr:rowOff>
    </xdr:to>
    <xdr:cxnSp macro="">
      <xdr:nvCxnSpPr>
        <xdr:cNvPr id="29" name="Straight Connector 28">
          <a:extLst>
            <a:ext uri="{FF2B5EF4-FFF2-40B4-BE49-F238E27FC236}">
              <a16:creationId xmlns="" xmlns:a16="http://schemas.microsoft.com/office/drawing/2014/main" id="{61C27C4B-6D9A-4DDA-8BF6-73F9CE97B6C4}"/>
            </a:ext>
          </a:extLst>
        </xdr:cNvPr>
        <xdr:cNvCxnSpPr/>
      </xdr:nvCxnSpPr>
      <xdr:spPr>
        <a:xfrm flipH="1">
          <a:off x="9950388" y="2027068"/>
          <a:ext cx="244136" cy="374647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246798</xdr:colOff>
      <xdr:row>17</xdr:row>
      <xdr:rowOff>11421</xdr:rowOff>
    </xdr:from>
    <xdr:to>
      <xdr:col>17</xdr:col>
      <xdr:colOff>403273</xdr:colOff>
      <xdr:row>18</xdr:row>
      <xdr:rowOff>139605</xdr:rowOff>
    </xdr:to>
    <xdr:sp macro="" textlink="">
      <xdr:nvSpPr>
        <xdr:cNvPr id="31" name="Parallelogram 30">
          <a:extLst>
            <a:ext uri="{FF2B5EF4-FFF2-40B4-BE49-F238E27FC236}">
              <a16:creationId xmlns="" xmlns:a16="http://schemas.microsoft.com/office/drawing/2014/main" id="{03C36B52-6A62-4756-A2F3-B0944E7A3974}"/>
            </a:ext>
          </a:extLst>
        </xdr:cNvPr>
        <xdr:cNvSpPr/>
      </xdr:nvSpPr>
      <xdr:spPr>
        <a:xfrm rot="1440000">
          <a:off x="10222071" y="1925867"/>
          <a:ext cx="156475" cy="310812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227906</xdr:colOff>
      <xdr:row>17</xdr:row>
      <xdr:rowOff>5123</xdr:rowOff>
    </xdr:from>
    <xdr:to>
      <xdr:col>17</xdr:col>
      <xdr:colOff>424599</xdr:colOff>
      <xdr:row>18</xdr:row>
      <xdr:rowOff>126191</xdr:rowOff>
    </xdr:to>
    <xdr:cxnSp macro="">
      <xdr:nvCxnSpPr>
        <xdr:cNvPr id="32" name="Straight Connector 31">
          <a:extLst>
            <a:ext uri="{FF2B5EF4-FFF2-40B4-BE49-F238E27FC236}">
              <a16:creationId xmlns="" xmlns:a16="http://schemas.microsoft.com/office/drawing/2014/main" id="{A69937D5-A1AF-43E1-8AC4-180AA6C92AFE}"/>
            </a:ext>
          </a:extLst>
        </xdr:cNvPr>
        <xdr:cNvCxnSpPr/>
      </xdr:nvCxnSpPr>
      <xdr:spPr>
        <a:xfrm flipH="1">
          <a:off x="10203179" y="1919569"/>
          <a:ext cx="196693" cy="303696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258198</xdr:colOff>
      <xdr:row>16</xdr:row>
      <xdr:rowOff>163735</xdr:rowOff>
    </xdr:from>
    <xdr:ext cx="85725" cy="390524"/>
    <xdr:pic>
      <xdr:nvPicPr>
        <xdr:cNvPr id="33" name="Picture 11597">
          <a:extLst>
            <a:ext uri="{FF2B5EF4-FFF2-40B4-BE49-F238E27FC236}">
              <a16:creationId xmlns="" xmlns:a16="http://schemas.microsoft.com/office/drawing/2014/main" id="{59533524-5A81-4086-A77B-F4C63860F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0380" y="190185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372541</xdr:colOff>
      <xdr:row>25</xdr:row>
      <xdr:rowOff>157437</xdr:rowOff>
    </xdr:from>
    <xdr:to>
      <xdr:col>3</xdr:col>
      <xdr:colOff>418260</xdr:colOff>
      <xdr:row>28</xdr:row>
      <xdr:rowOff>157437</xdr:rowOff>
    </xdr:to>
    <xdr:sp macro="" textlink="">
      <xdr:nvSpPr>
        <xdr:cNvPr id="35" name="AutoShape 10733">
          <a:extLst>
            <a:ext uri="{FF2B5EF4-FFF2-40B4-BE49-F238E27FC236}">
              <a16:creationId xmlns="" xmlns:a16="http://schemas.microsoft.com/office/drawing/2014/main" id="{5E106205-6944-4B1F-8784-9CF1E54B5C24}"/>
            </a:ext>
          </a:extLst>
        </xdr:cNvPr>
        <xdr:cNvSpPr>
          <a:spLocks noChangeArrowheads="1"/>
        </xdr:cNvSpPr>
      </xdr:nvSpPr>
      <xdr:spPr bwMode="auto">
        <a:xfrm rot="5400000" flipV="1">
          <a:off x="1333731" y="3730462"/>
          <a:ext cx="541587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434529</xdr:colOff>
      <xdr:row>26</xdr:row>
      <xdr:rowOff>94464</xdr:rowOff>
    </xdr:from>
    <xdr:to>
      <xdr:col>5</xdr:col>
      <xdr:colOff>563255</xdr:colOff>
      <xdr:row>27</xdr:row>
      <xdr:rowOff>153848</xdr:rowOff>
    </xdr:to>
    <xdr:sp macro="" textlink="">
      <xdr:nvSpPr>
        <xdr:cNvPr id="37" name="AutoShape 301">
          <a:extLst>
            <a:ext uri="{FF2B5EF4-FFF2-40B4-BE49-F238E27FC236}">
              <a16:creationId xmlns="" xmlns:a16="http://schemas.microsoft.com/office/drawing/2014/main" id="{E97DEE6F-6898-4C1C-8320-8D016F188F5F}"/>
            </a:ext>
          </a:extLst>
        </xdr:cNvPr>
        <xdr:cNvSpPr>
          <a:spLocks noChangeArrowheads="1"/>
        </xdr:cNvSpPr>
      </xdr:nvSpPr>
      <xdr:spPr bwMode="auto">
        <a:xfrm rot="7084349">
          <a:off x="2852811" y="3652529"/>
          <a:ext cx="24201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132248</xdr:colOff>
      <xdr:row>25</xdr:row>
      <xdr:rowOff>170032</xdr:rowOff>
    </xdr:from>
    <xdr:to>
      <xdr:col>11</xdr:col>
      <xdr:colOff>177967</xdr:colOff>
      <xdr:row>28</xdr:row>
      <xdr:rowOff>170032</xdr:rowOff>
    </xdr:to>
    <xdr:sp macro="" textlink="">
      <xdr:nvSpPr>
        <xdr:cNvPr id="40" name="AutoShape 10733">
          <a:extLst>
            <a:ext uri="{FF2B5EF4-FFF2-40B4-BE49-F238E27FC236}">
              <a16:creationId xmlns="" xmlns:a16="http://schemas.microsoft.com/office/drawing/2014/main" id="{A1164028-4E10-4E8D-B9A0-DA9DB1114EBF}"/>
            </a:ext>
          </a:extLst>
        </xdr:cNvPr>
        <xdr:cNvSpPr>
          <a:spLocks noChangeArrowheads="1"/>
        </xdr:cNvSpPr>
      </xdr:nvSpPr>
      <xdr:spPr bwMode="auto">
        <a:xfrm rot="5400000" flipV="1">
          <a:off x="6118859" y="3743057"/>
          <a:ext cx="541587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138545</xdr:colOff>
      <xdr:row>37</xdr:row>
      <xdr:rowOff>44083</xdr:rowOff>
    </xdr:from>
    <xdr:to>
      <xdr:col>3</xdr:col>
      <xdr:colOff>267271</xdr:colOff>
      <xdr:row>38</xdr:row>
      <xdr:rowOff>103467</xdr:rowOff>
    </xdr:to>
    <xdr:sp macro="" textlink="">
      <xdr:nvSpPr>
        <xdr:cNvPr id="41" name="AutoShape 301">
          <a:extLst>
            <a:ext uri="{FF2B5EF4-FFF2-40B4-BE49-F238E27FC236}">
              <a16:creationId xmlns="" xmlns:a16="http://schemas.microsoft.com/office/drawing/2014/main" id="{45499746-DDFB-4E37-9E7A-97FC40D9C33A}"/>
            </a:ext>
          </a:extLst>
        </xdr:cNvPr>
        <xdr:cNvSpPr>
          <a:spLocks noChangeArrowheads="1"/>
        </xdr:cNvSpPr>
      </xdr:nvSpPr>
      <xdr:spPr bwMode="auto">
        <a:xfrm rot="7084349">
          <a:off x="1291026" y="5724412"/>
          <a:ext cx="242012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248857</xdr:colOff>
      <xdr:row>37</xdr:row>
      <xdr:rowOff>65703</xdr:rowOff>
    </xdr:from>
    <xdr:to>
      <xdr:col>5</xdr:col>
      <xdr:colOff>377583</xdr:colOff>
      <xdr:row>38</xdr:row>
      <xdr:rowOff>125087</xdr:rowOff>
    </xdr:to>
    <xdr:sp macro="" textlink="">
      <xdr:nvSpPr>
        <xdr:cNvPr id="42" name="AutoShape 301">
          <a:extLst>
            <a:ext uri="{FF2B5EF4-FFF2-40B4-BE49-F238E27FC236}">
              <a16:creationId xmlns="" xmlns:a16="http://schemas.microsoft.com/office/drawing/2014/main" id="{50605345-D82C-4F9E-AD71-6AF5382BB81A}"/>
            </a:ext>
          </a:extLst>
        </xdr:cNvPr>
        <xdr:cNvSpPr>
          <a:spLocks noChangeArrowheads="1"/>
        </xdr:cNvSpPr>
      </xdr:nvSpPr>
      <xdr:spPr bwMode="auto">
        <a:xfrm rot="7084349">
          <a:off x="2667140" y="5746032"/>
          <a:ext cx="242012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7</xdr:col>
      <xdr:colOff>88165</xdr:colOff>
      <xdr:row>36</xdr:row>
      <xdr:rowOff>163736</xdr:rowOff>
    </xdr:from>
    <xdr:ext cx="72644" cy="419101"/>
    <xdr:pic>
      <xdr:nvPicPr>
        <xdr:cNvPr id="45" name="Picture 11597">
          <a:extLst>
            <a:ext uri="{FF2B5EF4-FFF2-40B4-BE49-F238E27FC236}">
              <a16:creationId xmlns="" xmlns:a16="http://schemas.microsoft.com/office/drawing/2014/main" id="{7E5BF54F-7183-4F93-B9CE-DA0EDEF09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8892" y="561109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368443</xdr:colOff>
      <xdr:row>37</xdr:row>
      <xdr:rowOff>8964</xdr:rowOff>
    </xdr:from>
    <xdr:ext cx="72644" cy="419101"/>
    <xdr:pic>
      <xdr:nvPicPr>
        <xdr:cNvPr id="46" name="Picture 11597">
          <a:extLst>
            <a:ext uri="{FF2B5EF4-FFF2-40B4-BE49-F238E27FC236}">
              <a16:creationId xmlns="" xmlns:a16="http://schemas.microsoft.com/office/drawing/2014/main" id="{35D6E91E-23D6-47C9-8F1E-085291AF8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61784" y="677731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107058</xdr:colOff>
      <xdr:row>36</xdr:row>
      <xdr:rowOff>163736</xdr:rowOff>
    </xdr:from>
    <xdr:ext cx="85725" cy="390524"/>
    <xdr:pic>
      <xdr:nvPicPr>
        <xdr:cNvPr id="47" name="Picture 11597">
          <a:extLst>
            <a:ext uri="{FF2B5EF4-FFF2-40B4-BE49-F238E27FC236}">
              <a16:creationId xmlns="" xmlns:a16="http://schemas.microsoft.com/office/drawing/2014/main" id="{20C618D0-BD42-407C-9435-875841420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2331" y="561109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403042</xdr:colOff>
      <xdr:row>36</xdr:row>
      <xdr:rowOff>157438</xdr:rowOff>
    </xdr:from>
    <xdr:to>
      <xdr:col>17</xdr:col>
      <xdr:colOff>448761</xdr:colOff>
      <xdr:row>39</xdr:row>
      <xdr:rowOff>157438</xdr:rowOff>
    </xdr:to>
    <xdr:sp macro="" textlink="">
      <xdr:nvSpPr>
        <xdr:cNvPr id="48" name="AutoShape 10733">
          <a:extLst>
            <a:ext uri="{FF2B5EF4-FFF2-40B4-BE49-F238E27FC236}">
              <a16:creationId xmlns="" xmlns:a16="http://schemas.microsoft.com/office/drawing/2014/main" id="{2276FC81-3CC3-4CCA-9467-4BE1861A4E6F}"/>
            </a:ext>
          </a:extLst>
        </xdr:cNvPr>
        <xdr:cNvSpPr>
          <a:spLocks noChangeArrowheads="1"/>
        </xdr:cNvSpPr>
      </xdr:nvSpPr>
      <xdr:spPr bwMode="auto">
        <a:xfrm rot="5400000" flipV="1">
          <a:off x="10130381" y="5852727"/>
          <a:ext cx="541587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359469</xdr:colOff>
      <xdr:row>37</xdr:row>
      <xdr:rowOff>23157</xdr:rowOff>
    </xdr:from>
    <xdr:to>
      <xdr:col>19</xdr:col>
      <xdr:colOff>545661</xdr:colOff>
      <xdr:row>38</xdr:row>
      <xdr:rowOff>118113</xdr:rowOff>
    </xdr:to>
    <xdr:sp macro="" textlink="">
      <xdr:nvSpPr>
        <xdr:cNvPr id="49" name="AutoShape 301">
          <a:extLst>
            <a:ext uri="{FF2B5EF4-FFF2-40B4-BE49-F238E27FC236}">
              <a16:creationId xmlns="" xmlns:a16="http://schemas.microsoft.com/office/drawing/2014/main" id="{56A61E34-6692-4C17-9229-36538DED2D6A}"/>
            </a:ext>
          </a:extLst>
        </xdr:cNvPr>
        <xdr:cNvSpPr>
          <a:spLocks noChangeArrowheads="1"/>
        </xdr:cNvSpPr>
      </xdr:nvSpPr>
      <xdr:spPr bwMode="auto">
        <a:xfrm rot="7084349">
          <a:off x="11535955" y="5692539"/>
          <a:ext cx="277584" cy="186192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</xdr:col>
      <xdr:colOff>94463</xdr:colOff>
      <xdr:row>45</xdr:row>
      <xdr:rowOff>163736</xdr:rowOff>
    </xdr:from>
    <xdr:ext cx="85725" cy="390524"/>
    <xdr:pic>
      <xdr:nvPicPr>
        <xdr:cNvPr id="50" name="Picture 11597">
          <a:extLst>
            <a:ext uri="{FF2B5EF4-FFF2-40B4-BE49-F238E27FC236}">
              <a16:creationId xmlns="" xmlns:a16="http://schemas.microsoft.com/office/drawing/2014/main" id="{1E39D37E-0967-47ED-86C0-9E152E5EC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9008" y="710990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251901</xdr:colOff>
      <xdr:row>45</xdr:row>
      <xdr:rowOff>170034</xdr:rowOff>
    </xdr:from>
    <xdr:ext cx="69273" cy="399653"/>
    <xdr:pic>
      <xdr:nvPicPr>
        <xdr:cNvPr id="52" name="Picture 11597">
          <a:extLst>
            <a:ext uri="{FF2B5EF4-FFF2-40B4-BE49-F238E27FC236}">
              <a16:creationId xmlns="" xmlns:a16="http://schemas.microsoft.com/office/drawing/2014/main" id="{E342853D-1003-4F76-9CA1-63CC0B969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86446" y="7116199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440826</xdr:colOff>
      <xdr:row>45</xdr:row>
      <xdr:rowOff>170035</xdr:rowOff>
    </xdr:from>
    <xdr:to>
      <xdr:col>11</xdr:col>
      <xdr:colOff>478926</xdr:colOff>
      <xdr:row>48</xdr:row>
      <xdr:rowOff>93835</xdr:rowOff>
    </xdr:to>
    <xdr:sp macro="" textlink="">
      <xdr:nvSpPr>
        <xdr:cNvPr id="53" name="AutoShape 10733">
          <a:extLst>
            <a:ext uri="{FF2B5EF4-FFF2-40B4-BE49-F238E27FC236}">
              <a16:creationId xmlns="" xmlns:a16="http://schemas.microsoft.com/office/drawing/2014/main" id="{FA8DBB7F-AE01-4604-AA5D-9439ABF7EAF1}"/>
            </a:ext>
          </a:extLst>
        </xdr:cNvPr>
        <xdr:cNvSpPr>
          <a:spLocks noChangeArrowheads="1"/>
        </xdr:cNvSpPr>
      </xdr:nvSpPr>
      <xdr:spPr bwMode="auto">
        <a:xfrm rot="5400000">
          <a:off x="6461727" y="7329844"/>
          <a:ext cx="465387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13</xdr:col>
      <xdr:colOff>88166</xdr:colOff>
      <xdr:row>46</xdr:row>
      <xdr:rowOff>0</xdr:rowOff>
    </xdr:from>
    <xdr:ext cx="85725" cy="390524"/>
    <xdr:pic>
      <xdr:nvPicPr>
        <xdr:cNvPr id="54" name="Picture 11597">
          <a:extLst>
            <a:ext uri="{FF2B5EF4-FFF2-40B4-BE49-F238E27FC236}">
              <a16:creationId xmlns="" xmlns:a16="http://schemas.microsoft.com/office/drawing/2014/main" id="{8168EAFE-A465-4278-A3E3-851014511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9621" y="712249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277091</xdr:colOff>
      <xdr:row>46</xdr:row>
      <xdr:rowOff>6297</xdr:rowOff>
    </xdr:from>
    <xdr:ext cx="69273" cy="399653"/>
    <xdr:pic>
      <xdr:nvPicPr>
        <xdr:cNvPr id="55" name="Picture 11597">
          <a:extLst>
            <a:ext uri="{FF2B5EF4-FFF2-40B4-BE49-F238E27FC236}">
              <a16:creationId xmlns="" xmlns:a16="http://schemas.microsoft.com/office/drawing/2014/main" id="{5A50536B-4A0A-4A12-8D1A-6BBA1CFC5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758546" y="7128793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17</xdr:col>
      <xdr:colOff>239306</xdr:colOff>
      <xdr:row>46</xdr:row>
      <xdr:rowOff>0</xdr:rowOff>
    </xdr:from>
    <xdr:to>
      <xdr:col>17</xdr:col>
      <xdr:colOff>365107</xdr:colOff>
      <xdr:row>49</xdr:row>
      <xdr:rowOff>29114</xdr:rowOff>
    </xdr:to>
    <xdr:sp macro="" textlink="">
      <xdr:nvSpPr>
        <xdr:cNvPr id="56" name="Lightning Bolt 55">
          <a:extLst>
            <a:ext uri="{FF2B5EF4-FFF2-40B4-BE49-F238E27FC236}">
              <a16:creationId xmlns="" xmlns:a16="http://schemas.microsoft.com/office/drawing/2014/main" id="{7CA35BB6-9632-40BE-AC56-56E58728E4EF}"/>
            </a:ext>
          </a:extLst>
        </xdr:cNvPr>
        <xdr:cNvSpPr/>
      </xdr:nvSpPr>
      <xdr:spPr>
        <a:xfrm>
          <a:off x="10214579" y="7122496"/>
          <a:ext cx="125801" cy="57070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125950</xdr:colOff>
      <xdr:row>46</xdr:row>
      <xdr:rowOff>0</xdr:rowOff>
    </xdr:from>
    <xdr:ext cx="85725" cy="390524"/>
    <xdr:pic>
      <xdr:nvPicPr>
        <xdr:cNvPr id="57" name="Picture 11597">
          <a:extLst>
            <a:ext uri="{FF2B5EF4-FFF2-40B4-BE49-F238E27FC236}">
              <a16:creationId xmlns="" xmlns:a16="http://schemas.microsoft.com/office/drawing/2014/main" id="{EBA5A651-D6C6-4804-BEB3-E2377F118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95041" y="712249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327471</xdr:colOff>
      <xdr:row>46</xdr:row>
      <xdr:rowOff>1</xdr:rowOff>
    </xdr:from>
    <xdr:to>
      <xdr:col>21</xdr:col>
      <xdr:colOff>365571</xdr:colOff>
      <xdr:row>48</xdr:row>
      <xdr:rowOff>100132</xdr:rowOff>
    </xdr:to>
    <xdr:sp macro="" textlink="">
      <xdr:nvSpPr>
        <xdr:cNvPr id="58" name="AutoShape 10733">
          <a:extLst>
            <a:ext uri="{FF2B5EF4-FFF2-40B4-BE49-F238E27FC236}">
              <a16:creationId xmlns="" xmlns:a16="http://schemas.microsoft.com/office/drawing/2014/main" id="{FD3BEA2D-20F4-4522-A310-5B73094ED918}"/>
            </a:ext>
          </a:extLst>
        </xdr:cNvPr>
        <xdr:cNvSpPr>
          <a:spLocks noChangeArrowheads="1"/>
        </xdr:cNvSpPr>
      </xdr:nvSpPr>
      <xdr:spPr bwMode="auto">
        <a:xfrm rot="5400000">
          <a:off x="12582918" y="7336141"/>
          <a:ext cx="465387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7</xdr:col>
      <xdr:colOff>214317</xdr:colOff>
      <xdr:row>54</xdr:row>
      <xdr:rowOff>195243</xdr:rowOff>
    </xdr:from>
    <xdr:ext cx="85725" cy="390524"/>
    <xdr:pic>
      <xdr:nvPicPr>
        <xdr:cNvPr id="51" name="Picture 11597">
          <a:extLst>
            <a:ext uri="{FF2B5EF4-FFF2-40B4-BE49-F238E27FC236}">
              <a16:creationId xmlns="" xmlns:a16="http://schemas.microsoft.com/office/drawing/2014/main" id="{63CFEBE6-F716-49BF-9E61-C84BBC182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2599" y="991298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11</xdr:col>
      <xdr:colOff>239233</xdr:colOff>
      <xdr:row>54</xdr:row>
      <xdr:rowOff>168350</xdr:rowOff>
    </xdr:from>
    <xdr:to>
      <xdr:col>11</xdr:col>
      <xdr:colOff>365034</xdr:colOff>
      <xdr:row>58</xdr:row>
      <xdr:rowOff>46246</xdr:rowOff>
    </xdr:to>
    <xdr:sp macro="" textlink="">
      <xdr:nvSpPr>
        <xdr:cNvPr id="62" name="Lightning Bolt 61">
          <a:extLst>
            <a:ext uri="{FF2B5EF4-FFF2-40B4-BE49-F238E27FC236}">
              <a16:creationId xmlns="" xmlns:a16="http://schemas.microsoft.com/office/drawing/2014/main" id="{C2075D26-5772-48B7-A8B3-BBE09702E93F}"/>
            </a:ext>
          </a:extLst>
        </xdr:cNvPr>
        <xdr:cNvSpPr/>
      </xdr:nvSpPr>
      <xdr:spPr>
        <a:xfrm>
          <a:off x="6503582" y="8807303"/>
          <a:ext cx="125801" cy="60445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372139</xdr:colOff>
      <xdr:row>54</xdr:row>
      <xdr:rowOff>150629</xdr:rowOff>
    </xdr:from>
    <xdr:to>
      <xdr:col>11</xdr:col>
      <xdr:colOff>497940</xdr:colOff>
      <xdr:row>58</xdr:row>
      <xdr:rowOff>28525</xdr:rowOff>
    </xdr:to>
    <xdr:sp macro="" textlink="">
      <xdr:nvSpPr>
        <xdr:cNvPr id="63" name="Lightning Bolt 62">
          <a:extLst>
            <a:ext uri="{FF2B5EF4-FFF2-40B4-BE49-F238E27FC236}">
              <a16:creationId xmlns="" xmlns:a16="http://schemas.microsoft.com/office/drawing/2014/main" id="{7EE26F09-4146-4D26-926F-49832CBE7A1C}"/>
            </a:ext>
          </a:extLst>
        </xdr:cNvPr>
        <xdr:cNvSpPr/>
      </xdr:nvSpPr>
      <xdr:spPr>
        <a:xfrm>
          <a:off x="6636488" y="8789582"/>
          <a:ext cx="125801" cy="60445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220886</xdr:colOff>
      <xdr:row>54</xdr:row>
      <xdr:rowOff>188259</xdr:rowOff>
    </xdr:from>
    <xdr:ext cx="85725" cy="390524"/>
    <xdr:pic>
      <xdr:nvPicPr>
        <xdr:cNvPr id="128" name="Picture 11597">
          <a:extLst>
            <a:ext uri="{FF2B5EF4-FFF2-40B4-BE49-F238E27FC236}">
              <a16:creationId xmlns="" xmlns:a16="http://schemas.microsoft.com/office/drawing/2014/main" id="{E5261845-2CCF-4060-A6A6-72B8174D8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9521" y="99060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168349</xdr:colOff>
      <xdr:row>64</xdr:row>
      <xdr:rowOff>168350</xdr:rowOff>
    </xdr:from>
    <xdr:ext cx="72644" cy="419101"/>
    <xdr:pic>
      <xdr:nvPicPr>
        <xdr:cNvPr id="129" name="Picture 11597">
          <a:extLst>
            <a:ext uri="{FF2B5EF4-FFF2-40B4-BE49-F238E27FC236}">
              <a16:creationId xmlns="" xmlns:a16="http://schemas.microsoft.com/office/drawing/2014/main" id="{2A925EFC-0149-4B3B-AC3D-ADF9894E4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32698" y="1063255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363279</xdr:colOff>
      <xdr:row>65</xdr:row>
      <xdr:rowOff>8859</xdr:rowOff>
    </xdr:from>
    <xdr:ext cx="85725" cy="390524"/>
    <xdr:pic>
      <xdr:nvPicPr>
        <xdr:cNvPr id="130" name="Picture 11597">
          <a:extLst>
            <a:ext uri="{FF2B5EF4-FFF2-40B4-BE49-F238E27FC236}">
              <a16:creationId xmlns="" xmlns:a16="http://schemas.microsoft.com/office/drawing/2014/main" id="{A22CFEB7-F027-43D7-B21F-344BF4984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7628" y="1065027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327837</xdr:colOff>
      <xdr:row>74</xdr:row>
      <xdr:rowOff>8860</xdr:rowOff>
    </xdr:from>
    <xdr:ext cx="72644" cy="419101"/>
    <xdr:pic>
      <xdr:nvPicPr>
        <xdr:cNvPr id="132" name="Picture 11597">
          <a:extLst>
            <a:ext uri="{FF2B5EF4-FFF2-40B4-BE49-F238E27FC236}">
              <a16:creationId xmlns="" xmlns:a16="http://schemas.microsoft.com/office/drawing/2014/main" id="{6FF640A7-94CA-429C-A215-20FE31350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41721" y="1235148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141768</xdr:colOff>
      <xdr:row>74</xdr:row>
      <xdr:rowOff>17721</xdr:rowOff>
    </xdr:from>
    <xdr:ext cx="85725" cy="390524"/>
    <xdr:pic>
      <xdr:nvPicPr>
        <xdr:cNvPr id="134" name="Picture 11597">
          <a:extLst>
            <a:ext uri="{FF2B5EF4-FFF2-40B4-BE49-F238E27FC236}">
              <a16:creationId xmlns="" xmlns:a16="http://schemas.microsoft.com/office/drawing/2014/main" id="{8ECE9D03-D847-4E9E-8CE1-24544C395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7931" y="1236034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106325</xdr:colOff>
      <xdr:row>73</xdr:row>
      <xdr:rowOff>141767</xdr:rowOff>
    </xdr:from>
    <xdr:ext cx="85725" cy="390524"/>
    <xdr:pic>
      <xdr:nvPicPr>
        <xdr:cNvPr id="135" name="Picture 11597">
          <a:extLst>
            <a:ext uri="{FF2B5EF4-FFF2-40B4-BE49-F238E27FC236}">
              <a16:creationId xmlns="" xmlns:a16="http://schemas.microsoft.com/office/drawing/2014/main" id="{4B7D0F7E-34B7-4AC8-A0D9-6CCCEF7FE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0674" y="1230718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15</xdr:col>
      <xdr:colOff>265815</xdr:colOff>
      <xdr:row>73</xdr:row>
      <xdr:rowOff>168349</xdr:rowOff>
    </xdr:from>
    <xdr:to>
      <xdr:col>15</xdr:col>
      <xdr:colOff>391616</xdr:colOff>
      <xdr:row>77</xdr:row>
      <xdr:rowOff>19664</xdr:rowOff>
    </xdr:to>
    <xdr:sp macro="" textlink="">
      <xdr:nvSpPr>
        <xdr:cNvPr id="137" name="Lightning Bolt 136">
          <a:extLst>
            <a:ext uri="{FF2B5EF4-FFF2-40B4-BE49-F238E27FC236}">
              <a16:creationId xmlns="" xmlns:a16="http://schemas.microsoft.com/office/drawing/2014/main" id="{CF3FCF99-AFCC-4562-AA73-C4F77A2A4B25}"/>
            </a:ext>
          </a:extLst>
        </xdr:cNvPr>
        <xdr:cNvSpPr/>
      </xdr:nvSpPr>
      <xdr:spPr>
        <a:xfrm>
          <a:off x="9046536" y="12386930"/>
          <a:ext cx="125801" cy="60445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106325</xdr:colOff>
      <xdr:row>74</xdr:row>
      <xdr:rowOff>1</xdr:rowOff>
    </xdr:from>
    <xdr:to>
      <xdr:col>15</xdr:col>
      <xdr:colOff>144425</xdr:colOff>
      <xdr:row>76</xdr:row>
      <xdr:rowOff>101601</xdr:rowOff>
    </xdr:to>
    <xdr:sp macro="" textlink="">
      <xdr:nvSpPr>
        <xdr:cNvPr id="138" name="AutoShape 10733">
          <a:extLst>
            <a:ext uri="{FF2B5EF4-FFF2-40B4-BE49-F238E27FC236}">
              <a16:creationId xmlns="" xmlns:a16="http://schemas.microsoft.com/office/drawing/2014/main" id="{8FB3AE68-7683-4FBF-92E5-5F3DA6A6655E}"/>
            </a:ext>
          </a:extLst>
        </xdr:cNvPr>
        <xdr:cNvSpPr>
          <a:spLocks noChangeArrowheads="1"/>
        </xdr:cNvSpPr>
      </xdr:nvSpPr>
      <xdr:spPr bwMode="auto">
        <a:xfrm rot="5400000">
          <a:off x="8669226" y="12613612"/>
          <a:ext cx="47373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292395</xdr:colOff>
      <xdr:row>83</xdr:row>
      <xdr:rowOff>0</xdr:rowOff>
    </xdr:from>
    <xdr:ext cx="85725" cy="390524"/>
    <xdr:pic>
      <xdr:nvPicPr>
        <xdr:cNvPr id="141" name="Picture 11597">
          <a:extLst>
            <a:ext uri="{FF2B5EF4-FFF2-40B4-BE49-F238E27FC236}">
              <a16:creationId xmlns="" xmlns:a16="http://schemas.microsoft.com/office/drawing/2014/main" id="{C327DC14-F422-4604-A63C-C7BFF0F81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6279" y="141058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469604</xdr:colOff>
      <xdr:row>82</xdr:row>
      <xdr:rowOff>159489</xdr:rowOff>
    </xdr:from>
    <xdr:to>
      <xdr:col>3</xdr:col>
      <xdr:colOff>507704</xdr:colOff>
      <xdr:row>85</xdr:row>
      <xdr:rowOff>83879</xdr:rowOff>
    </xdr:to>
    <xdr:sp macro="" textlink="">
      <xdr:nvSpPr>
        <xdr:cNvPr id="142" name="AutoShape 10733">
          <a:extLst>
            <a:ext uri="{FF2B5EF4-FFF2-40B4-BE49-F238E27FC236}">
              <a16:creationId xmlns="" xmlns:a16="http://schemas.microsoft.com/office/drawing/2014/main" id="{5E263D1B-731B-4790-A176-A241B09091FE}"/>
            </a:ext>
          </a:extLst>
        </xdr:cNvPr>
        <xdr:cNvSpPr>
          <a:spLocks noChangeArrowheads="1"/>
        </xdr:cNvSpPr>
      </xdr:nvSpPr>
      <xdr:spPr bwMode="auto">
        <a:xfrm rot="5400000">
          <a:off x="1465668" y="14305960"/>
          <a:ext cx="47373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5</xdr:col>
      <xdr:colOff>79744</xdr:colOff>
      <xdr:row>83</xdr:row>
      <xdr:rowOff>0</xdr:rowOff>
    </xdr:from>
    <xdr:ext cx="85725" cy="390524"/>
    <xdr:pic>
      <xdr:nvPicPr>
        <xdr:cNvPr id="143" name="Picture 11597">
          <a:extLst>
            <a:ext uri="{FF2B5EF4-FFF2-40B4-BE49-F238E27FC236}">
              <a16:creationId xmlns="" xmlns:a16="http://schemas.microsoft.com/office/drawing/2014/main" id="{D4D532E4-5E33-43EF-BBC6-BE614D1A1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674" y="141058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212651</xdr:colOff>
      <xdr:row>83</xdr:row>
      <xdr:rowOff>0</xdr:rowOff>
    </xdr:from>
    <xdr:ext cx="72644" cy="419101"/>
    <xdr:pic>
      <xdr:nvPicPr>
        <xdr:cNvPr id="144" name="Picture 11597">
          <a:extLst>
            <a:ext uri="{FF2B5EF4-FFF2-40B4-BE49-F238E27FC236}">
              <a16:creationId xmlns="" xmlns:a16="http://schemas.microsoft.com/office/drawing/2014/main" id="{73EE4D9F-8316-45B1-8AF8-545173EE8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93581" y="141058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79744</xdr:colOff>
      <xdr:row>82</xdr:row>
      <xdr:rowOff>168349</xdr:rowOff>
    </xdr:from>
    <xdr:ext cx="72644" cy="419101"/>
    <xdr:pic>
      <xdr:nvPicPr>
        <xdr:cNvPr id="149" name="Picture 11597">
          <a:extLst>
            <a:ext uri="{FF2B5EF4-FFF2-40B4-BE49-F238E27FC236}">
              <a16:creationId xmlns="" xmlns:a16="http://schemas.microsoft.com/office/drawing/2014/main" id="{2C266B13-968D-46E2-9184-D5EA84F42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7721" y="140970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283533</xdr:colOff>
      <xdr:row>83</xdr:row>
      <xdr:rowOff>26581</xdr:rowOff>
    </xdr:from>
    <xdr:to>
      <xdr:col>7</xdr:col>
      <xdr:colOff>451250</xdr:colOff>
      <xdr:row>84</xdr:row>
      <xdr:rowOff>147386</xdr:rowOff>
    </xdr:to>
    <xdr:sp macro="" textlink="">
      <xdr:nvSpPr>
        <xdr:cNvPr id="150" name="AutoShape 301">
          <a:extLst>
            <a:ext uri="{FF2B5EF4-FFF2-40B4-BE49-F238E27FC236}">
              <a16:creationId xmlns="" xmlns:a16="http://schemas.microsoft.com/office/drawing/2014/main" id="{6477FAF1-5A9A-476C-909B-8FAF04CD4484}"/>
            </a:ext>
          </a:extLst>
        </xdr:cNvPr>
        <xdr:cNvSpPr>
          <a:spLocks noChangeArrowheads="1"/>
        </xdr:cNvSpPr>
      </xdr:nvSpPr>
      <xdr:spPr bwMode="auto">
        <a:xfrm rot="7084349">
          <a:off x="3961931" y="14202020"/>
          <a:ext cx="30687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221512</xdr:colOff>
      <xdr:row>82</xdr:row>
      <xdr:rowOff>168348</xdr:rowOff>
    </xdr:from>
    <xdr:ext cx="72644" cy="419101"/>
    <xdr:pic>
      <xdr:nvPicPr>
        <xdr:cNvPr id="153" name="Picture 11597">
          <a:extLst>
            <a:ext uri="{FF2B5EF4-FFF2-40B4-BE49-F238E27FC236}">
              <a16:creationId xmlns="" xmlns:a16="http://schemas.microsoft.com/office/drawing/2014/main" id="{BB956984-64C5-4965-B43F-9989D93A0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18605" y="1409699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389861</xdr:colOff>
      <xdr:row>83</xdr:row>
      <xdr:rowOff>8861</xdr:rowOff>
    </xdr:from>
    <xdr:ext cx="85725" cy="390524"/>
    <xdr:pic>
      <xdr:nvPicPr>
        <xdr:cNvPr id="154" name="Picture 11597">
          <a:extLst>
            <a:ext uri="{FF2B5EF4-FFF2-40B4-BE49-F238E27FC236}">
              <a16:creationId xmlns="" xmlns:a16="http://schemas.microsoft.com/office/drawing/2014/main" id="{C2B0D232-B78F-452F-8692-E566E8EAE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86954" y="1411472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345559</xdr:colOff>
      <xdr:row>83</xdr:row>
      <xdr:rowOff>53163</xdr:rowOff>
    </xdr:from>
    <xdr:ext cx="85725" cy="390524"/>
    <xdr:pic>
      <xdr:nvPicPr>
        <xdr:cNvPr id="155" name="Picture 11597">
          <a:extLst>
            <a:ext uri="{FF2B5EF4-FFF2-40B4-BE49-F238E27FC236}">
              <a16:creationId xmlns="" xmlns:a16="http://schemas.microsoft.com/office/drawing/2014/main" id="{28F23012-87EB-4F22-BB87-655688AF2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00838" y="1415902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193690</xdr:colOff>
      <xdr:row>83</xdr:row>
      <xdr:rowOff>39342</xdr:rowOff>
    </xdr:from>
    <xdr:to>
      <xdr:col>21</xdr:col>
      <xdr:colOff>231790</xdr:colOff>
      <xdr:row>85</xdr:row>
      <xdr:rowOff>140941</xdr:rowOff>
    </xdr:to>
    <xdr:sp macro="" textlink="">
      <xdr:nvSpPr>
        <xdr:cNvPr id="156" name="AutoShape 10733">
          <a:extLst>
            <a:ext uri="{FF2B5EF4-FFF2-40B4-BE49-F238E27FC236}">
              <a16:creationId xmlns="" xmlns:a16="http://schemas.microsoft.com/office/drawing/2014/main" id="{A19F8969-87F1-4733-97B1-5C8D71EE1A4E}"/>
            </a:ext>
          </a:extLst>
        </xdr:cNvPr>
        <xdr:cNvSpPr>
          <a:spLocks noChangeArrowheads="1"/>
        </xdr:cNvSpPr>
      </xdr:nvSpPr>
      <xdr:spPr bwMode="auto">
        <a:xfrm rot="5400000">
          <a:off x="12468240" y="14297632"/>
          <a:ext cx="46735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308762</xdr:colOff>
      <xdr:row>92</xdr:row>
      <xdr:rowOff>4</xdr:rowOff>
    </xdr:from>
    <xdr:to>
      <xdr:col>17</xdr:col>
      <xdr:colOff>346862</xdr:colOff>
      <xdr:row>94</xdr:row>
      <xdr:rowOff>101604</xdr:rowOff>
    </xdr:to>
    <xdr:sp macro="" textlink="">
      <xdr:nvSpPr>
        <xdr:cNvPr id="160" name="AutoShape 10733">
          <a:extLst>
            <a:ext uri="{FF2B5EF4-FFF2-40B4-BE49-F238E27FC236}">
              <a16:creationId xmlns="" xmlns:a16="http://schemas.microsoft.com/office/drawing/2014/main" id="{CDD16678-5160-493B-A504-81E058F68BCC}"/>
            </a:ext>
          </a:extLst>
        </xdr:cNvPr>
        <xdr:cNvSpPr>
          <a:spLocks noChangeArrowheads="1"/>
        </xdr:cNvSpPr>
      </xdr:nvSpPr>
      <xdr:spPr bwMode="auto">
        <a:xfrm rot="5400000">
          <a:off x="10111294" y="16885401"/>
          <a:ext cx="460188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17</xdr:col>
      <xdr:colOff>505047</xdr:colOff>
      <xdr:row>92</xdr:row>
      <xdr:rowOff>0</xdr:rowOff>
    </xdr:from>
    <xdr:ext cx="72644" cy="419101"/>
    <xdr:pic>
      <xdr:nvPicPr>
        <xdr:cNvPr id="161" name="Picture 11597">
          <a:extLst>
            <a:ext uri="{FF2B5EF4-FFF2-40B4-BE49-F238E27FC236}">
              <a16:creationId xmlns="" xmlns:a16="http://schemas.microsoft.com/office/drawing/2014/main" id="{065AD839-E5D4-40A9-9B8B-C347B79AF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543954" y="1584251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68174</xdr:colOff>
      <xdr:row>92</xdr:row>
      <xdr:rowOff>33880</xdr:rowOff>
    </xdr:from>
    <xdr:ext cx="85725" cy="390524"/>
    <xdr:pic>
      <xdr:nvPicPr>
        <xdr:cNvPr id="162" name="Picture 11597">
          <a:extLst>
            <a:ext uri="{FF2B5EF4-FFF2-40B4-BE49-F238E27FC236}">
              <a16:creationId xmlns="" xmlns:a16="http://schemas.microsoft.com/office/drawing/2014/main" id="{84FFE26D-B650-497A-B3C3-2A1734F82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1750" y="1670823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194930</xdr:colOff>
      <xdr:row>92</xdr:row>
      <xdr:rowOff>8861</xdr:rowOff>
    </xdr:from>
    <xdr:ext cx="85725" cy="390524"/>
    <xdr:pic>
      <xdr:nvPicPr>
        <xdr:cNvPr id="163" name="Picture 11597">
          <a:extLst>
            <a:ext uri="{FF2B5EF4-FFF2-40B4-BE49-F238E27FC236}">
              <a16:creationId xmlns="" xmlns:a16="http://schemas.microsoft.com/office/drawing/2014/main" id="{32301321-4186-4E4F-A5FC-D16B24AAC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50209" y="1592225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265814</xdr:colOff>
      <xdr:row>101</xdr:row>
      <xdr:rowOff>17721</xdr:rowOff>
    </xdr:from>
    <xdr:ext cx="72644" cy="419101"/>
    <xdr:pic>
      <xdr:nvPicPr>
        <xdr:cNvPr id="164" name="Picture 11597">
          <a:extLst>
            <a:ext uri="{FF2B5EF4-FFF2-40B4-BE49-F238E27FC236}">
              <a16:creationId xmlns="" xmlns:a16="http://schemas.microsoft.com/office/drawing/2014/main" id="{9C969D0C-A737-4FF5-A8E9-1367A5A97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30163" y="1770320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398721</xdr:colOff>
      <xdr:row>101</xdr:row>
      <xdr:rowOff>29368</xdr:rowOff>
    </xdr:from>
    <xdr:ext cx="85725" cy="390524"/>
    <xdr:pic>
      <xdr:nvPicPr>
        <xdr:cNvPr id="166" name="Picture 11597">
          <a:extLst>
            <a:ext uri="{FF2B5EF4-FFF2-40B4-BE49-F238E27FC236}">
              <a16:creationId xmlns="" xmlns:a16="http://schemas.microsoft.com/office/drawing/2014/main" id="{4C3EA2CA-9BBF-40C2-BEE1-1DE18C0D0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4117" y="1722948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131969</xdr:colOff>
      <xdr:row>109</xdr:row>
      <xdr:rowOff>168349</xdr:rowOff>
    </xdr:from>
    <xdr:to>
      <xdr:col>3</xdr:col>
      <xdr:colOff>257770</xdr:colOff>
      <xdr:row>113</xdr:row>
      <xdr:rowOff>19664</xdr:rowOff>
    </xdr:to>
    <xdr:sp macro="" textlink="">
      <xdr:nvSpPr>
        <xdr:cNvPr id="169" name="Lightning Bolt 168">
          <a:extLst>
            <a:ext uri="{FF2B5EF4-FFF2-40B4-BE49-F238E27FC236}">
              <a16:creationId xmlns="" xmlns:a16="http://schemas.microsoft.com/office/drawing/2014/main" id="{D4961EA4-F5AC-4864-A884-29C2CFD2FF00}"/>
            </a:ext>
          </a:extLst>
        </xdr:cNvPr>
        <xdr:cNvSpPr/>
      </xdr:nvSpPr>
      <xdr:spPr>
        <a:xfrm>
          <a:off x="1342204" y="20482373"/>
          <a:ext cx="125801" cy="59538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9</xdr:col>
      <xdr:colOff>194930</xdr:colOff>
      <xdr:row>110</xdr:row>
      <xdr:rowOff>0</xdr:rowOff>
    </xdr:from>
    <xdr:ext cx="85725" cy="390524"/>
    <xdr:pic>
      <xdr:nvPicPr>
        <xdr:cNvPr id="170" name="Picture 11597">
          <a:extLst>
            <a:ext uri="{FF2B5EF4-FFF2-40B4-BE49-F238E27FC236}">
              <a16:creationId xmlns="" xmlns:a16="http://schemas.microsoft.com/office/drawing/2014/main" id="{BF9E1BF9-D9F6-427A-9AFA-C675A45D3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1093" y="1959934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345558</xdr:colOff>
      <xdr:row>109</xdr:row>
      <xdr:rowOff>177208</xdr:rowOff>
    </xdr:from>
    <xdr:ext cx="85725" cy="390524"/>
    <xdr:pic>
      <xdr:nvPicPr>
        <xdr:cNvPr id="171" name="Picture 11597">
          <a:extLst>
            <a:ext uri="{FF2B5EF4-FFF2-40B4-BE49-F238E27FC236}">
              <a16:creationId xmlns="" xmlns:a16="http://schemas.microsoft.com/office/drawing/2014/main" id="{85046CC7-453A-4A45-98D1-A25A96EA0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9907" y="1959934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186069</xdr:colOff>
      <xdr:row>110</xdr:row>
      <xdr:rowOff>0</xdr:rowOff>
    </xdr:from>
    <xdr:ext cx="72644" cy="419101"/>
    <xdr:pic>
      <xdr:nvPicPr>
        <xdr:cNvPr id="172" name="Picture 11597">
          <a:extLst>
            <a:ext uri="{FF2B5EF4-FFF2-40B4-BE49-F238E27FC236}">
              <a16:creationId xmlns="" xmlns:a16="http://schemas.microsoft.com/office/drawing/2014/main" id="{6CD4224A-599F-400B-9CAE-D890C8374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50418" y="1959934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53164</xdr:colOff>
      <xdr:row>110</xdr:row>
      <xdr:rowOff>0</xdr:rowOff>
    </xdr:from>
    <xdr:ext cx="85725" cy="390524"/>
    <xdr:pic>
      <xdr:nvPicPr>
        <xdr:cNvPr id="173" name="Picture 11597">
          <a:extLst>
            <a:ext uri="{FF2B5EF4-FFF2-40B4-BE49-F238E27FC236}">
              <a16:creationId xmlns="" xmlns:a16="http://schemas.microsoft.com/office/drawing/2014/main" id="{58D31D9A-5606-4EA7-B81D-FEEC6FF1E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5699" y="1968795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434162</xdr:colOff>
      <xdr:row>110</xdr:row>
      <xdr:rowOff>0</xdr:rowOff>
    </xdr:from>
    <xdr:ext cx="72644" cy="419101"/>
    <xdr:pic>
      <xdr:nvPicPr>
        <xdr:cNvPr id="175" name="Picture 11597">
          <a:extLst>
            <a:ext uri="{FF2B5EF4-FFF2-40B4-BE49-F238E27FC236}">
              <a16:creationId xmlns="" xmlns:a16="http://schemas.microsoft.com/office/drawing/2014/main" id="{5EDA5CD4-7076-4D89-83AE-CBB8D6CD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56697" y="1968795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218072</xdr:colOff>
      <xdr:row>110</xdr:row>
      <xdr:rowOff>32975</xdr:rowOff>
    </xdr:from>
    <xdr:ext cx="85725" cy="390524"/>
    <xdr:pic>
      <xdr:nvPicPr>
        <xdr:cNvPr id="177" name="Picture 11597">
          <a:extLst>
            <a:ext uri="{FF2B5EF4-FFF2-40B4-BE49-F238E27FC236}">
              <a16:creationId xmlns="" xmlns:a16="http://schemas.microsoft.com/office/drawing/2014/main" id="{62367A06-10C6-4377-B397-46F046227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1648" y="2052629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69633</xdr:colOff>
      <xdr:row>118</xdr:row>
      <xdr:rowOff>125299</xdr:rowOff>
    </xdr:from>
    <xdr:ext cx="85725" cy="390524"/>
    <xdr:pic>
      <xdr:nvPicPr>
        <xdr:cNvPr id="179" name="Picture 11597">
          <a:extLst>
            <a:ext uri="{FF2B5EF4-FFF2-40B4-BE49-F238E27FC236}">
              <a16:creationId xmlns="" xmlns:a16="http://schemas.microsoft.com/office/drawing/2014/main" id="{C239ADA6-2E99-4B9D-8662-34D993B6D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2974" y="2224122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219948</xdr:colOff>
      <xdr:row>118</xdr:row>
      <xdr:rowOff>161157</xdr:rowOff>
    </xdr:from>
    <xdr:ext cx="72644" cy="419101"/>
    <xdr:pic>
      <xdr:nvPicPr>
        <xdr:cNvPr id="180" name="Picture 11597">
          <a:extLst>
            <a:ext uri="{FF2B5EF4-FFF2-40B4-BE49-F238E27FC236}">
              <a16:creationId xmlns="" xmlns:a16="http://schemas.microsoft.com/office/drawing/2014/main" id="{D75FD147-1314-4ED5-AF2B-8DBC639C1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13289" y="2227708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71745</xdr:colOff>
      <xdr:row>119</xdr:row>
      <xdr:rowOff>4329</xdr:rowOff>
    </xdr:from>
    <xdr:to>
      <xdr:col>15</xdr:col>
      <xdr:colOff>208441</xdr:colOff>
      <xdr:row>120</xdr:row>
      <xdr:rowOff>166243</xdr:rowOff>
    </xdr:to>
    <xdr:sp macro="" textlink="">
      <xdr:nvSpPr>
        <xdr:cNvPr id="183" name="Parallelogram 182">
          <a:extLst>
            <a:ext uri="{FF2B5EF4-FFF2-40B4-BE49-F238E27FC236}">
              <a16:creationId xmlns="" xmlns:a16="http://schemas.microsoft.com/office/drawing/2014/main" id="{8B601812-0DC5-4A22-AA11-FFB7913CDF86}"/>
            </a:ext>
          </a:extLst>
        </xdr:cNvPr>
        <xdr:cNvSpPr/>
      </xdr:nvSpPr>
      <xdr:spPr>
        <a:xfrm rot="495798">
          <a:off x="8818646" y="21316181"/>
          <a:ext cx="136696" cy="344365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96592</xdr:colOff>
      <xdr:row>119</xdr:row>
      <xdr:rowOff>13165</xdr:rowOff>
    </xdr:from>
    <xdr:to>
      <xdr:col>15</xdr:col>
      <xdr:colOff>177973</xdr:colOff>
      <xdr:row>120</xdr:row>
      <xdr:rowOff>160986</xdr:rowOff>
    </xdr:to>
    <xdr:cxnSp macro="">
      <xdr:nvCxnSpPr>
        <xdr:cNvPr id="184" name="Straight Connector 183">
          <a:extLst>
            <a:ext uri="{FF2B5EF4-FFF2-40B4-BE49-F238E27FC236}">
              <a16:creationId xmlns="" xmlns:a16="http://schemas.microsoft.com/office/drawing/2014/main" id="{40E7641B-D651-4FE8-92FD-50D0872A643C}"/>
            </a:ext>
          </a:extLst>
        </xdr:cNvPr>
        <xdr:cNvCxnSpPr/>
      </xdr:nvCxnSpPr>
      <xdr:spPr>
        <a:xfrm flipH="1">
          <a:off x="8843493" y="21325017"/>
          <a:ext cx="81381" cy="330272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255477</xdr:colOff>
      <xdr:row>118</xdr:row>
      <xdr:rowOff>170587</xdr:rowOff>
    </xdr:from>
    <xdr:to>
      <xdr:col>15</xdr:col>
      <xdr:colOff>381278</xdr:colOff>
      <xdr:row>122</xdr:row>
      <xdr:rowOff>21903</xdr:rowOff>
    </xdr:to>
    <xdr:sp macro="" textlink="">
      <xdr:nvSpPr>
        <xdr:cNvPr id="186" name="Lightning Bolt 185">
          <a:extLst>
            <a:ext uri="{FF2B5EF4-FFF2-40B4-BE49-F238E27FC236}">
              <a16:creationId xmlns="" xmlns:a16="http://schemas.microsoft.com/office/drawing/2014/main" id="{07D1BB32-0D5C-445A-8B1F-6E355CABC08B}"/>
            </a:ext>
          </a:extLst>
        </xdr:cNvPr>
        <xdr:cNvSpPr/>
      </xdr:nvSpPr>
      <xdr:spPr>
        <a:xfrm>
          <a:off x="8965003" y="21312745"/>
          <a:ext cx="125801" cy="593263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17</xdr:col>
      <xdr:colOff>77770</xdr:colOff>
      <xdr:row>118</xdr:row>
      <xdr:rowOff>157755</xdr:rowOff>
    </xdr:from>
    <xdr:ext cx="85725" cy="390524"/>
    <xdr:pic>
      <xdr:nvPicPr>
        <xdr:cNvPr id="187" name="Picture 11597">
          <a:extLst>
            <a:ext uri="{FF2B5EF4-FFF2-40B4-BE49-F238E27FC236}">
              <a16:creationId xmlns="" xmlns:a16="http://schemas.microsoft.com/office/drawing/2014/main" id="{F48FE419-EBBB-4F2F-9814-5B2C329B7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1346" y="2227368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165340</xdr:colOff>
      <xdr:row>129</xdr:row>
      <xdr:rowOff>14377</xdr:rowOff>
    </xdr:from>
    <xdr:ext cx="72644" cy="419101"/>
    <xdr:pic>
      <xdr:nvPicPr>
        <xdr:cNvPr id="258" name="Picture 11597">
          <a:extLst>
            <a:ext uri="{FF2B5EF4-FFF2-40B4-BE49-F238E27FC236}">
              <a16:creationId xmlns="" xmlns:a16="http://schemas.microsoft.com/office/drawing/2014/main" id="{40F2BE5A-982D-43DA-BAE3-26D3CDDFB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61472" y="2332007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53789</xdr:colOff>
      <xdr:row>22</xdr:row>
      <xdr:rowOff>80683</xdr:rowOff>
    </xdr:from>
    <xdr:to>
      <xdr:col>8</xdr:col>
      <xdr:colOff>215153</xdr:colOff>
      <xdr:row>22</xdr:row>
      <xdr:rowOff>83905</xdr:rowOff>
    </xdr:to>
    <xdr:cxnSp macro="">
      <xdr:nvCxnSpPr>
        <xdr:cNvPr id="294" name="Straight Arrow Connector 293">
          <a:extLst>
            <a:ext uri="{FF2B5EF4-FFF2-40B4-BE49-F238E27FC236}">
              <a16:creationId xmlns="" xmlns:a16="http://schemas.microsoft.com/office/drawing/2014/main" id="{ECC0E635-A811-470C-AB6F-C7F6C20C884D}"/>
            </a:ext>
          </a:extLst>
        </xdr:cNvPr>
        <xdr:cNvCxnSpPr/>
      </xdr:nvCxnSpPr>
      <xdr:spPr>
        <a:xfrm flipH="1" flipV="1">
          <a:off x="3792071" y="2976283"/>
          <a:ext cx="788894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457200</xdr:colOff>
      <xdr:row>22</xdr:row>
      <xdr:rowOff>80683</xdr:rowOff>
    </xdr:from>
    <xdr:to>
      <xdr:col>11</xdr:col>
      <xdr:colOff>586331</xdr:colOff>
      <xdr:row>22</xdr:row>
      <xdr:rowOff>81103</xdr:rowOff>
    </xdr:to>
    <xdr:cxnSp macro="">
      <xdr:nvCxnSpPr>
        <xdr:cNvPr id="295" name="Straight Arrow Connector 294">
          <a:extLst>
            <a:ext uri="{FF2B5EF4-FFF2-40B4-BE49-F238E27FC236}">
              <a16:creationId xmlns="" xmlns:a16="http://schemas.microsoft.com/office/drawing/2014/main" id="{A7D68F05-9D64-40AE-8B3C-0834EB4E4524}"/>
            </a:ext>
          </a:extLst>
        </xdr:cNvPr>
        <xdr:cNvCxnSpPr/>
      </xdr:nvCxnSpPr>
      <xdr:spPr>
        <a:xfrm flipV="1">
          <a:off x="6078071" y="2976283"/>
          <a:ext cx="756660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80682</xdr:colOff>
      <xdr:row>22</xdr:row>
      <xdr:rowOff>71718</xdr:rowOff>
    </xdr:from>
    <xdr:to>
      <xdr:col>19</xdr:col>
      <xdr:colOff>134471</xdr:colOff>
      <xdr:row>22</xdr:row>
      <xdr:rowOff>80683</xdr:rowOff>
    </xdr:to>
    <xdr:cxnSp macro="">
      <xdr:nvCxnSpPr>
        <xdr:cNvPr id="296" name="Straight Arrow Connector 295">
          <a:extLst>
            <a:ext uri="{FF2B5EF4-FFF2-40B4-BE49-F238E27FC236}">
              <a16:creationId xmlns="" xmlns:a16="http://schemas.microsoft.com/office/drawing/2014/main" id="{BFD19AE8-3CF6-48A4-A12C-47820B813368}"/>
            </a:ext>
          </a:extLst>
        </xdr:cNvPr>
        <xdr:cNvCxnSpPr/>
      </xdr:nvCxnSpPr>
      <xdr:spPr>
        <a:xfrm flipH="1">
          <a:off x="6956611" y="2967318"/>
          <a:ext cx="4446495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134471</xdr:colOff>
      <xdr:row>42</xdr:row>
      <xdr:rowOff>89647</xdr:rowOff>
    </xdr:from>
    <xdr:to>
      <xdr:col>18</xdr:col>
      <xdr:colOff>600635</xdr:colOff>
      <xdr:row>42</xdr:row>
      <xdr:rowOff>89647</xdr:rowOff>
    </xdr:to>
    <xdr:cxnSp macro="">
      <xdr:nvCxnSpPr>
        <xdr:cNvPr id="304" name="Straight Arrow Connector 303">
          <a:extLst>
            <a:ext uri="{FF2B5EF4-FFF2-40B4-BE49-F238E27FC236}">
              <a16:creationId xmlns="" xmlns:a16="http://schemas.microsoft.com/office/drawing/2014/main" id="{57CEEF0B-6D17-4253-821F-D6CFE572D58C}"/>
            </a:ext>
          </a:extLst>
        </xdr:cNvPr>
        <xdr:cNvCxnSpPr/>
      </xdr:nvCxnSpPr>
      <xdr:spPr>
        <a:xfrm flipH="1">
          <a:off x="7010400" y="6615953"/>
          <a:ext cx="423134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116542</xdr:colOff>
      <xdr:row>60</xdr:row>
      <xdr:rowOff>80683</xdr:rowOff>
    </xdr:from>
    <xdr:to>
      <xdr:col>16</xdr:col>
      <xdr:colOff>484094</xdr:colOff>
      <xdr:row>60</xdr:row>
      <xdr:rowOff>80683</xdr:rowOff>
    </xdr:to>
    <xdr:cxnSp macro="">
      <xdr:nvCxnSpPr>
        <xdr:cNvPr id="312" name="Straight Arrow Connector 311">
          <a:extLst>
            <a:ext uri="{FF2B5EF4-FFF2-40B4-BE49-F238E27FC236}">
              <a16:creationId xmlns="" xmlns:a16="http://schemas.microsoft.com/office/drawing/2014/main" id="{3251D700-554B-46B5-A33E-A74DA987DB7C}"/>
            </a:ext>
          </a:extLst>
        </xdr:cNvPr>
        <xdr:cNvCxnSpPr/>
      </xdr:nvCxnSpPr>
      <xdr:spPr>
        <a:xfrm flipH="1">
          <a:off x="8247530" y="9834283"/>
          <a:ext cx="162261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44823</xdr:colOff>
      <xdr:row>60</xdr:row>
      <xdr:rowOff>80682</xdr:rowOff>
    </xdr:from>
    <xdr:to>
      <xdr:col>21</xdr:col>
      <xdr:colOff>466165</xdr:colOff>
      <xdr:row>60</xdr:row>
      <xdr:rowOff>92165</xdr:rowOff>
    </xdr:to>
    <xdr:cxnSp macro="">
      <xdr:nvCxnSpPr>
        <xdr:cNvPr id="318" name="Straight Arrow Connector 317">
          <a:extLst>
            <a:ext uri="{FF2B5EF4-FFF2-40B4-BE49-F238E27FC236}">
              <a16:creationId xmlns="" xmlns:a16="http://schemas.microsoft.com/office/drawing/2014/main" id="{A5587854-BEA0-4E47-89AC-0D4B8C8C62D6}"/>
            </a:ext>
          </a:extLst>
        </xdr:cNvPr>
        <xdr:cNvCxnSpPr/>
      </xdr:nvCxnSpPr>
      <xdr:spPr>
        <a:xfrm flipV="1">
          <a:off x="11313458" y="9834282"/>
          <a:ext cx="1676401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385482</xdr:colOff>
      <xdr:row>70</xdr:row>
      <xdr:rowOff>98612</xdr:rowOff>
    </xdr:from>
    <xdr:to>
      <xdr:col>7</xdr:col>
      <xdr:colOff>510989</xdr:colOff>
      <xdr:row>70</xdr:row>
      <xdr:rowOff>101130</xdr:rowOff>
    </xdr:to>
    <xdr:cxnSp macro="">
      <xdr:nvCxnSpPr>
        <xdr:cNvPr id="386" name="Straight Arrow Connector 385">
          <a:extLst>
            <a:ext uri="{FF2B5EF4-FFF2-40B4-BE49-F238E27FC236}">
              <a16:creationId xmlns="" xmlns:a16="http://schemas.microsoft.com/office/drawing/2014/main" id="{44FB7B82-0177-4754-9A80-1806BD3BE985}"/>
            </a:ext>
          </a:extLst>
        </xdr:cNvPr>
        <xdr:cNvCxnSpPr/>
      </xdr:nvCxnSpPr>
      <xdr:spPr>
        <a:xfrm flipV="1">
          <a:off x="2859741" y="11779624"/>
          <a:ext cx="1389530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89647</xdr:colOff>
      <xdr:row>70</xdr:row>
      <xdr:rowOff>98612</xdr:rowOff>
    </xdr:from>
    <xdr:to>
      <xdr:col>18</xdr:col>
      <xdr:colOff>385482</xdr:colOff>
      <xdr:row>70</xdr:row>
      <xdr:rowOff>116541</xdr:rowOff>
    </xdr:to>
    <xdr:cxnSp macro="">
      <xdr:nvCxnSpPr>
        <xdr:cNvPr id="388" name="Straight Arrow Connector 387">
          <a:extLst>
            <a:ext uri="{FF2B5EF4-FFF2-40B4-BE49-F238E27FC236}">
              <a16:creationId xmlns="" xmlns:a16="http://schemas.microsoft.com/office/drawing/2014/main" id="{26575F8E-0B57-4426-BB8E-009855564670}"/>
            </a:ext>
          </a:extLst>
        </xdr:cNvPr>
        <xdr:cNvCxnSpPr/>
      </xdr:nvCxnSpPr>
      <xdr:spPr>
        <a:xfrm flipH="1" flipV="1">
          <a:off x="4455459" y="11779624"/>
          <a:ext cx="6571129" cy="1792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80682</xdr:colOff>
      <xdr:row>79</xdr:row>
      <xdr:rowOff>71717</xdr:rowOff>
    </xdr:from>
    <xdr:to>
      <xdr:col>8</xdr:col>
      <xdr:colOff>537882</xdr:colOff>
      <xdr:row>79</xdr:row>
      <xdr:rowOff>80682</xdr:rowOff>
    </xdr:to>
    <xdr:cxnSp macro="">
      <xdr:nvCxnSpPr>
        <xdr:cNvPr id="392" name="Straight Arrow Connector 391">
          <a:extLst>
            <a:ext uri="{FF2B5EF4-FFF2-40B4-BE49-F238E27FC236}">
              <a16:creationId xmlns="" xmlns:a16="http://schemas.microsoft.com/office/drawing/2014/main" id="{E628AC83-175F-4408-8338-A05E79ED37D8}"/>
            </a:ext>
          </a:extLst>
        </xdr:cNvPr>
        <xdr:cNvCxnSpPr/>
      </xdr:nvCxnSpPr>
      <xdr:spPr>
        <a:xfrm flipH="1">
          <a:off x="4446494" y="13464988"/>
          <a:ext cx="457200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313765</xdr:colOff>
      <xdr:row>79</xdr:row>
      <xdr:rowOff>80682</xdr:rowOff>
    </xdr:from>
    <xdr:to>
      <xdr:col>11</xdr:col>
      <xdr:colOff>582706</xdr:colOff>
      <xdr:row>79</xdr:row>
      <xdr:rowOff>83200</xdr:rowOff>
    </xdr:to>
    <xdr:cxnSp macro="">
      <xdr:nvCxnSpPr>
        <xdr:cNvPr id="394" name="Straight Arrow Connector 393">
          <a:extLst>
            <a:ext uri="{FF2B5EF4-FFF2-40B4-BE49-F238E27FC236}">
              <a16:creationId xmlns="" xmlns:a16="http://schemas.microsoft.com/office/drawing/2014/main" id="{1DC3B5BB-B55D-46A2-BFF7-A66DEBF346A0}"/>
            </a:ext>
          </a:extLst>
        </xdr:cNvPr>
        <xdr:cNvCxnSpPr/>
      </xdr:nvCxnSpPr>
      <xdr:spPr>
        <a:xfrm flipV="1">
          <a:off x="5934636" y="13473953"/>
          <a:ext cx="896470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143436</xdr:colOff>
      <xdr:row>79</xdr:row>
      <xdr:rowOff>80682</xdr:rowOff>
    </xdr:from>
    <xdr:to>
      <xdr:col>18</xdr:col>
      <xdr:colOff>457200</xdr:colOff>
      <xdr:row>79</xdr:row>
      <xdr:rowOff>89647</xdr:rowOff>
    </xdr:to>
    <xdr:cxnSp macro="">
      <xdr:nvCxnSpPr>
        <xdr:cNvPr id="396" name="Straight Arrow Connector 395">
          <a:extLst>
            <a:ext uri="{FF2B5EF4-FFF2-40B4-BE49-F238E27FC236}">
              <a16:creationId xmlns="" xmlns:a16="http://schemas.microsoft.com/office/drawing/2014/main" id="{494D7275-A5F2-4ED7-9793-F784C199B0CB}"/>
            </a:ext>
          </a:extLst>
        </xdr:cNvPr>
        <xdr:cNvCxnSpPr/>
      </xdr:nvCxnSpPr>
      <xdr:spPr>
        <a:xfrm flipH="1">
          <a:off x="7019365" y="13473953"/>
          <a:ext cx="4078941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97</xdr:row>
      <xdr:rowOff>80682</xdr:rowOff>
    </xdr:from>
    <xdr:to>
      <xdr:col>5</xdr:col>
      <xdr:colOff>358588</xdr:colOff>
      <xdr:row>97</xdr:row>
      <xdr:rowOff>80682</xdr:rowOff>
    </xdr:to>
    <xdr:cxnSp macro="">
      <xdr:nvCxnSpPr>
        <xdr:cNvPr id="403" name="Straight Arrow Connector 402">
          <a:extLst>
            <a:ext uri="{FF2B5EF4-FFF2-40B4-BE49-F238E27FC236}">
              <a16:creationId xmlns="" xmlns:a16="http://schemas.microsoft.com/office/drawing/2014/main" id="{E4038088-CA82-46FD-A52F-191AC706107B}"/>
            </a:ext>
          </a:extLst>
        </xdr:cNvPr>
        <xdr:cNvCxnSpPr/>
      </xdr:nvCxnSpPr>
      <xdr:spPr>
        <a:xfrm>
          <a:off x="582706" y="16979153"/>
          <a:ext cx="225014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125506</xdr:colOff>
      <xdr:row>97</xdr:row>
      <xdr:rowOff>71717</xdr:rowOff>
    </xdr:from>
    <xdr:to>
      <xdr:col>8</xdr:col>
      <xdr:colOff>582706</xdr:colOff>
      <xdr:row>97</xdr:row>
      <xdr:rowOff>80682</xdr:rowOff>
    </xdr:to>
    <xdr:cxnSp macro="">
      <xdr:nvCxnSpPr>
        <xdr:cNvPr id="407" name="Straight Arrow Connector 406">
          <a:extLst>
            <a:ext uri="{FF2B5EF4-FFF2-40B4-BE49-F238E27FC236}">
              <a16:creationId xmlns="" xmlns:a16="http://schemas.microsoft.com/office/drawing/2014/main" id="{DFC598C9-CDB1-4B1F-BBF1-6867233B588D}"/>
            </a:ext>
          </a:extLst>
        </xdr:cNvPr>
        <xdr:cNvCxnSpPr/>
      </xdr:nvCxnSpPr>
      <xdr:spPr>
        <a:xfrm flipH="1">
          <a:off x="3236259" y="16970188"/>
          <a:ext cx="1712259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17929</xdr:colOff>
      <xdr:row>115</xdr:row>
      <xdr:rowOff>80682</xdr:rowOff>
    </xdr:from>
    <xdr:to>
      <xdr:col>5</xdr:col>
      <xdr:colOff>502023</xdr:colOff>
      <xdr:row>115</xdr:row>
      <xdr:rowOff>84187</xdr:rowOff>
    </xdr:to>
    <xdr:cxnSp macro="">
      <xdr:nvCxnSpPr>
        <xdr:cNvPr id="435" name="Straight Arrow Connector 434">
          <a:extLst>
            <a:ext uri="{FF2B5EF4-FFF2-40B4-BE49-F238E27FC236}">
              <a16:creationId xmlns="" xmlns:a16="http://schemas.microsoft.com/office/drawing/2014/main" id="{69465B76-A735-4730-A079-2D1FA1A5A8E0}"/>
            </a:ext>
          </a:extLst>
        </xdr:cNvPr>
        <xdr:cNvCxnSpPr/>
      </xdr:nvCxnSpPr>
      <xdr:spPr>
        <a:xfrm flipV="1">
          <a:off x="600635" y="20744329"/>
          <a:ext cx="2375647" cy="350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555812</xdr:colOff>
      <xdr:row>124</xdr:row>
      <xdr:rowOff>89647</xdr:rowOff>
    </xdr:from>
    <xdr:to>
      <xdr:col>19</xdr:col>
      <xdr:colOff>486014</xdr:colOff>
      <xdr:row>124</xdr:row>
      <xdr:rowOff>107577</xdr:rowOff>
    </xdr:to>
    <xdr:cxnSp macro="">
      <xdr:nvCxnSpPr>
        <xdr:cNvPr id="442" name="Straight Arrow Connector 441">
          <a:extLst>
            <a:ext uri="{FF2B5EF4-FFF2-40B4-BE49-F238E27FC236}">
              <a16:creationId xmlns="" xmlns:a16="http://schemas.microsoft.com/office/drawing/2014/main" id="{A7367319-43F4-416B-8C96-4294182A17B8}"/>
            </a:ext>
          </a:extLst>
        </xdr:cNvPr>
        <xdr:cNvCxnSpPr/>
      </xdr:nvCxnSpPr>
      <xdr:spPr>
        <a:xfrm flipV="1">
          <a:off x="8686800" y="22608988"/>
          <a:ext cx="3067849" cy="179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80683</xdr:colOff>
      <xdr:row>124</xdr:row>
      <xdr:rowOff>80683</xdr:rowOff>
    </xdr:from>
    <xdr:to>
      <xdr:col>22</xdr:col>
      <xdr:colOff>8964</xdr:colOff>
      <xdr:row>124</xdr:row>
      <xdr:rowOff>80683</xdr:rowOff>
    </xdr:to>
    <xdr:cxnSp macro="">
      <xdr:nvCxnSpPr>
        <xdr:cNvPr id="448" name="Straight Arrow Connector 447">
          <a:extLst>
            <a:ext uri="{FF2B5EF4-FFF2-40B4-BE49-F238E27FC236}">
              <a16:creationId xmlns="" xmlns:a16="http://schemas.microsoft.com/office/drawing/2014/main" id="{BCA15A98-31FE-4D1C-82BD-ADC70114120D}"/>
            </a:ext>
          </a:extLst>
        </xdr:cNvPr>
        <xdr:cNvCxnSpPr/>
      </xdr:nvCxnSpPr>
      <xdr:spPr>
        <a:xfrm flipH="1">
          <a:off x="11976848" y="22600024"/>
          <a:ext cx="1183340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130772</xdr:colOff>
      <xdr:row>101</xdr:row>
      <xdr:rowOff>24448</xdr:rowOff>
    </xdr:from>
    <xdr:to>
      <xdr:col>13</xdr:col>
      <xdr:colOff>327465</xdr:colOff>
      <xdr:row>102</xdr:row>
      <xdr:rowOff>144109</xdr:rowOff>
    </xdr:to>
    <xdr:cxnSp macro="">
      <xdr:nvCxnSpPr>
        <xdr:cNvPr id="181" name="Straight Connector 180">
          <a:extLst>
            <a:ext uri="{FF2B5EF4-FFF2-40B4-BE49-F238E27FC236}">
              <a16:creationId xmlns="" xmlns:a16="http://schemas.microsoft.com/office/drawing/2014/main" id="{713D6AF0-EE4F-44BD-BC21-76C7B9CD34CF}"/>
            </a:ext>
          </a:extLst>
        </xdr:cNvPr>
        <xdr:cNvCxnSpPr/>
      </xdr:nvCxnSpPr>
      <xdr:spPr>
        <a:xfrm flipH="1">
          <a:off x="7626168" y="17224561"/>
          <a:ext cx="196693" cy="30177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222250</xdr:colOff>
      <xdr:row>157</xdr:row>
      <xdr:rowOff>254000</xdr:rowOff>
    </xdr:from>
    <xdr:to>
      <xdr:col>8</xdr:col>
      <xdr:colOff>417180</xdr:colOff>
      <xdr:row>159</xdr:row>
      <xdr:rowOff>59438</xdr:rowOff>
    </xdr:to>
    <xdr:sp macro="" textlink="">
      <xdr:nvSpPr>
        <xdr:cNvPr id="185" name="Oval 184">
          <a:extLst>
            <a:ext uri="{FF2B5EF4-FFF2-40B4-BE49-F238E27FC236}">
              <a16:creationId xmlns="" xmlns:a16="http://schemas.microsoft.com/office/drawing/2014/main" id="{426CCE8A-248D-4DF4-8D4E-67B7B5AB81A6}"/>
            </a:ext>
          </a:extLst>
        </xdr:cNvPr>
        <xdr:cNvSpPr/>
      </xdr:nvSpPr>
      <xdr:spPr>
        <a:xfrm>
          <a:off x="4603750" y="26114375"/>
          <a:ext cx="194930" cy="242001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208935</xdr:colOff>
      <xdr:row>160</xdr:row>
      <xdr:rowOff>147484</xdr:rowOff>
    </xdr:from>
    <xdr:to>
      <xdr:col>8</xdr:col>
      <xdr:colOff>395005</xdr:colOff>
      <xdr:row>162</xdr:row>
      <xdr:rowOff>40872</xdr:rowOff>
    </xdr:to>
    <xdr:sp macro="" textlink="">
      <xdr:nvSpPr>
        <xdr:cNvPr id="280" name="Isosceles Triangle 279">
          <a:extLst>
            <a:ext uri="{FF2B5EF4-FFF2-40B4-BE49-F238E27FC236}">
              <a16:creationId xmlns="" xmlns:a16="http://schemas.microsoft.com/office/drawing/2014/main" id="{4EB22B5E-103A-42A0-997E-7114F58BDF45}"/>
            </a:ext>
          </a:extLst>
        </xdr:cNvPr>
        <xdr:cNvSpPr/>
      </xdr:nvSpPr>
      <xdr:spPr>
        <a:xfrm>
          <a:off x="4580193" y="26665903"/>
          <a:ext cx="186070" cy="229324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629345</xdr:colOff>
      <xdr:row>127</xdr:row>
      <xdr:rowOff>61960</xdr:rowOff>
    </xdr:from>
    <xdr:to>
      <xdr:col>14</xdr:col>
      <xdr:colOff>600620</xdr:colOff>
      <xdr:row>128</xdr:row>
      <xdr:rowOff>154173</xdr:rowOff>
    </xdr:to>
    <xdr:sp macro="" textlink="">
      <xdr:nvSpPr>
        <xdr:cNvPr id="147" name="Isosceles Triangle 146">
          <a:extLst>
            <a:ext uri="{FF2B5EF4-FFF2-40B4-BE49-F238E27FC236}">
              <a16:creationId xmlns="" xmlns:a16="http://schemas.microsoft.com/office/drawing/2014/main" id="{E08992AC-CDE2-4D3B-BF5E-CE1604AD460C}"/>
            </a:ext>
          </a:extLst>
        </xdr:cNvPr>
        <xdr:cNvSpPr/>
      </xdr:nvSpPr>
      <xdr:spPr>
        <a:xfrm>
          <a:off x="8216688" y="23052589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8860</xdr:colOff>
      <xdr:row>127</xdr:row>
      <xdr:rowOff>83732</xdr:rowOff>
    </xdr:from>
    <xdr:to>
      <xdr:col>16</xdr:col>
      <xdr:colOff>611506</xdr:colOff>
      <xdr:row>129</xdr:row>
      <xdr:rowOff>1774</xdr:rowOff>
    </xdr:to>
    <xdr:sp macro="" textlink="">
      <xdr:nvSpPr>
        <xdr:cNvPr id="260" name="Isosceles Triangle 259">
          <a:extLst>
            <a:ext uri="{FF2B5EF4-FFF2-40B4-BE49-F238E27FC236}">
              <a16:creationId xmlns="" xmlns:a16="http://schemas.microsoft.com/office/drawing/2014/main" id="{BA3E186E-FB2B-49B9-9AF3-060F2E6C1F08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8860</xdr:colOff>
      <xdr:row>127</xdr:row>
      <xdr:rowOff>83732</xdr:rowOff>
    </xdr:from>
    <xdr:to>
      <xdr:col>18</xdr:col>
      <xdr:colOff>611506</xdr:colOff>
      <xdr:row>129</xdr:row>
      <xdr:rowOff>1774</xdr:rowOff>
    </xdr:to>
    <xdr:sp macro="" textlink="">
      <xdr:nvSpPr>
        <xdr:cNvPr id="262" name="Isosceles Triangle 261">
          <a:extLst>
            <a:ext uri="{FF2B5EF4-FFF2-40B4-BE49-F238E27FC236}">
              <a16:creationId xmlns="" xmlns:a16="http://schemas.microsoft.com/office/drawing/2014/main" id="{5F4D8F7E-6D5D-46BD-85D4-FAAB3D5A4256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8860</xdr:colOff>
      <xdr:row>127</xdr:row>
      <xdr:rowOff>83732</xdr:rowOff>
    </xdr:from>
    <xdr:to>
      <xdr:col>20</xdr:col>
      <xdr:colOff>611506</xdr:colOff>
      <xdr:row>129</xdr:row>
      <xdr:rowOff>1774</xdr:rowOff>
    </xdr:to>
    <xdr:sp macro="" textlink="">
      <xdr:nvSpPr>
        <xdr:cNvPr id="264" name="Isosceles Triangle 263">
          <a:extLst>
            <a:ext uri="{FF2B5EF4-FFF2-40B4-BE49-F238E27FC236}">
              <a16:creationId xmlns="" xmlns:a16="http://schemas.microsoft.com/office/drawing/2014/main" id="{803263A2-EBF2-44D7-A9DC-799258A4B5C3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137</xdr:row>
      <xdr:rowOff>35440</xdr:rowOff>
    </xdr:from>
    <xdr:to>
      <xdr:col>5</xdr:col>
      <xdr:colOff>1</xdr:colOff>
      <xdr:row>138</xdr:row>
      <xdr:rowOff>203790</xdr:rowOff>
    </xdr:to>
    <xdr:sp macro="" textlink="">
      <xdr:nvSpPr>
        <xdr:cNvPr id="292" name="Isosceles Triangle 291">
          <a:extLst>
            <a:ext uri="{FF2B5EF4-FFF2-40B4-BE49-F238E27FC236}">
              <a16:creationId xmlns="" xmlns:a16="http://schemas.microsoft.com/office/drawing/2014/main" id="{D32355F3-5DDC-4AB6-9739-B786275A39F2}"/>
            </a:ext>
          </a:extLst>
        </xdr:cNvPr>
        <xdr:cNvSpPr/>
      </xdr:nvSpPr>
      <xdr:spPr>
        <a:xfrm>
          <a:off x="1851837" y="26120649"/>
          <a:ext cx="629094" cy="38100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575931</xdr:colOff>
      <xdr:row>137</xdr:row>
      <xdr:rowOff>53162</xdr:rowOff>
    </xdr:from>
    <xdr:to>
      <xdr:col>3</xdr:col>
      <xdr:colOff>1</xdr:colOff>
      <xdr:row>138</xdr:row>
      <xdr:rowOff>194929</xdr:rowOff>
    </xdr:to>
    <xdr:sp macro="" textlink="">
      <xdr:nvSpPr>
        <xdr:cNvPr id="298" name="Isosceles Triangle 297">
          <a:extLst>
            <a:ext uri="{FF2B5EF4-FFF2-40B4-BE49-F238E27FC236}">
              <a16:creationId xmlns="" xmlns:a16="http://schemas.microsoft.com/office/drawing/2014/main" id="{5C94918C-DC64-4342-A51C-DD85EA09F2EE}"/>
            </a:ext>
          </a:extLst>
        </xdr:cNvPr>
        <xdr:cNvSpPr/>
      </xdr:nvSpPr>
      <xdr:spPr>
        <a:xfrm>
          <a:off x="575931" y="26138371"/>
          <a:ext cx="637954" cy="35441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221512</xdr:colOff>
      <xdr:row>137</xdr:row>
      <xdr:rowOff>150628</xdr:rowOff>
    </xdr:from>
    <xdr:to>
      <xdr:col>6</xdr:col>
      <xdr:colOff>324700</xdr:colOff>
      <xdr:row>141</xdr:row>
      <xdr:rowOff>3875</xdr:rowOff>
    </xdr:to>
    <xdr:sp macro="" textlink="">
      <xdr:nvSpPr>
        <xdr:cNvPr id="299" name="Rectangle 298">
          <a:extLst>
            <a:ext uri="{FF2B5EF4-FFF2-40B4-BE49-F238E27FC236}">
              <a16:creationId xmlns="" xmlns:a16="http://schemas.microsoft.com/office/drawing/2014/main" id="{F173667F-FF1C-4D9A-B838-D5E6DCDBD00D}"/>
            </a:ext>
          </a:extLst>
        </xdr:cNvPr>
        <xdr:cNvSpPr/>
      </xdr:nvSpPr>
      <xdr:spPr>
        <a:xfrm>
          <a:off x="3340396" y="26235837"/>
          <a:ext cx="103188" cy="703852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186069</xdr:colOff>
      <xdr:row>119</xdr:row>
      <xdr:rowOff>0</xdr:rowOff>
    </xdr:from>
    <xdr:ext cx="72644" cy="419101"/>
    <xdr:pic>
      <xdr:nvPicPr>
        <xdr:cNvPr id="300" name="Picture 11597">
          <a:extLst>
            <a:ext uri="{FF2B5EF4-FFF2-40B4-BE49-F238E27FC236}">
              <a16:creationId xmlns="" xmlns:a16="http://schemas.microsoft.com/office/drawing/2014/main" id="{428CC140-A938-45AB-A190-32C0A9EB3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41348" y="2274481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106325</xdr:colOff>
      <xdr:row>129</xdr:row>
      <xdr:rowOff>17722</xdr:rowOff>
    </xdr:from>
    <xdr:ext cx="72644" cy="419101"/>
    <xdr:pic>
      <xdr:nvPicPr>
        <xdr:cNvPr id="301" name="Picture 11597">
          <a:extLst>
            <a:ext uri="{FF2B5EF4-FFF2-40B4-BE49-F238E27FC236}">
              <a16:creationId xmlns="" xmlns:a16="http://schemas.microsoft.com/office/drawing/2014/main" id="{4057DEB6-65CC-4170-BD5D-29AFDB189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20209" y="2446374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478465</xdr:colOff>
      <xdr:row>129</xdr:row>
      <xdr:rowOff>8860</xdr:rowOff>
    </xdr:from>
    <xdr:ext cx="85725" cy="390524"/>
    <xdr:pic>
      <xdr:nvPicPr>
        <xdr:cNvPr id="302" name="Picture 11597">
          <a:extLst>
            <a:ext uri="{FF2B5EF4-FFF2-40B4-BE49-F238E27FC236}">
              <a16:creationId xmlns="" xmlns:a16="http://schemas.microsoft.com/office/drawing/2014/main" id="{BCAADDAC-70AD-440C-A0A3-FE30E3FF1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2349" y="2451690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212652</xdr:colOff>
      <xdr:row>129</xdr:row>
      <xdr:rowOff>0</xdr:rowOff>
    </xdr:from>
    <xdr:to>
      <xdr:col>5</xdr:col>
      <xdr:colOff>338453</xdr:colOff>
      <xdr:row>132</xdr:row>
      <xdr:rowOff>19666</xdr:rowOff>
    </xdr:to>
    <xdr:sp macro="" textlink="">
      <xdr:nvSpPr>
        <xdr:cNvPr id="306" name="Lightning Bolt 305">
          <a:extLst>
            <a:ext uri="{FF2B5EF4-FFF2-40B4-BE49-F238E27FC236}">
              <a16:creationId xmlns="" xmlns:a16="http://schemas.microsoft.com/office/drawing/2014/main" id="{1B301A67-DE48-40A3-A83D-3BB36CF11F1F}"/>
            </a:ext>
          </a:extLst>
        </xdr:cNvPr>
        <xdr:cNvSpPr/>
      </xdr:nvSpPr>
      <xdr:spPr>
        <a:xfrm>
          <a:off x="2693582" y="24508047"/>
          <a:ext cx="125801" cy="5867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7</xdr:col>
      <xdr:colOff>106325</xdr:colOff>
      <xdr:row>128</xdr:row>
      <xdr:rowOff>168349</xdr:rowOff>
    </xdr:from>
    <xdr:ext cx="85725" cy="390524"/>
    <xdr:pic>
      <xdr:nvPicPr>
        <xdr:cNvPr id="307" name="Picture 11597">
          <a:extLst>
            <a:ext uri="{FF2B5EF4-FFF2-40B4-BE49-F238E27FC236}">
              <a16:creationId xmlns="" xmlns:a16="http://schemas.microsoft.com/office/drawing/2014/main" id="{EDCA58C6-06BC-456E-B958-0B298CCAE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4302" y="2449918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194930</xdr:colOff>
      <xdr:row>129</xdr:row>
      <xdr:rowOff>0</xdr:rowOff>
    </xdr:from>
    <xdr:ext cx="85725" cy="390524"/>
    <xdr:pic>
      <xdr:nvPicPr>
        <xdr:cNvPr id="310" name="Picture 11597">
          <a:extLst>
            <a:ext uri="{FF2B5EF4-FFF2-40B4-BE49-F238E27FC236}">
              <a16:creationId xmlns="" xmlns:a16="http://schemas.microsoft.com/office/drawing/2014/main" id="{43ADC129-8157-46A6-AEF3-9F72A970B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7465" y="2450804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443023</xdr:colOff>
      <xdr:row>129</xdr:row>
      <xdr:rowOff>8861</xdr:rowOff>
    </xdr:from>
    <xdr:ext cx="72644" cy="419101"/>
    <xdr:pic>
      <xdr:nvPicPr>
        <xdr:cNvPr id="311" name="Picture 11597">
          <a:extLst>
            <a:ext uri="{FF2B5EF4-FFF2-40B4-BE49-F238E27FC236}">
              <a16:creationId xmlns="" xmlns:a16="http://schemas.microsoft.com/office/drawing/2014/main" id="{0B921A60-3C28-480F-9937-E84898906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65558" y="2451690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274675</xdr:colOff>
      <xdr:row>129</xdr:row>
      <xdr:rowOff>0</xdr:rowOff>
    </xdr:from>
    <xdr:ext cx="72644" cy="419101"/>
    <xdr:pic>
      <xdr:nvPicPr>
        <xdr:cNvPr id="313" name="Picture 11597">
          <a:extLst>
            <a:ext uri="{FF2B5EF4-FFF2-40B4-BE49-F238E27FC236}">
              <a16:creationId xmlns="" xmlns:a16="http://schemas.microsoft.com/office/drawing/2014/main" id="{7E858DBA-D09D-4990-AE92-3F6D29FAD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313582" y="2450804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292395</xdr:colOff>
      <xdr:row>129</xdr:row>
      <xdr:rowOff>8861</xdr:rowOff>
    </xdr:from>
    <xdr:ext cx="72644" cy="419101"/>
    <xdr:pic>
      <xdr:nvPicPr>
        <xdr:cNvPr id="317" name="Picture 11597">
          <a:extLst>
            <a:ext uri="{FF2B5EF4-FFF2-40B4-BE49-F238E27FC236}">
              <a16:creationId xmlns="" xmlns:a16="http://schemas.microsoft.com/office/drawing/2014/main" id="{23063848-BB52-47EA-A010-59C4EBCC1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89488" y="2451690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5</xdr:col>
      <xdr:colOff>197225</xdr:colOff>
      <xdr:row>55</xdr:row>
      <xdr:rowOff>35859</xdr:rowOff>
    </xdr:from>
    <xdr:to>
      <xdr:col>5</xdr:col>
      <xdr:colOff>390419</xdr:colOff>
      <xdr:row>57</xdr:row>
      <xdr:rowOff>18531</xdr:rowOff>
    </xdr:to>
    <xdr:sp macro="" textlink="">
      <xdr:nvSpPr>
        <xdr:cNvPr id="145" name="Parallelogram 144">
          <a:extLst>
            <a:ext uri="{FF2B5EF4-FFF2-40B4-BE49-F238E27FC236}">
              <a16:creationId xmlns="" xmlns:a16="http://schemas.microsoft.com/office/drawing/2014/main" id="{992DFA44-0C48-454D-979E-9D9A1DEE0284}"/>
            </a:ext>
          </a:extLst>
        </xdr:cNvPr>
        <xdr:cNvSpPr/>
      </xdr:nvSpPr>
      <xdr:spPr>
        <a:xfrm rot="1440000">
          <a:off x="2671484" y="9959788"/>
          <a:ext cx="193194" cy="341261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197225</xdr:colOff>
      <xdr:row>55</xdr:row>
      <xdr:rowOff>35859</xdr:rowOff>
    </xdr:from>
    <xdr:to>
      <xdr:col>5</xdr:col>
      <xdr:colOff>393918</xdr:colOff>
      <xdr:row>56</xdr:row>
      <xdr:rowOff>157805</xdr:rowOff>
    </xdr:to>
    <xdr:cxnSp macro="">
      <xdr:nvCxnSpPr>
        <xdr:cNvPr id="182" name="Straight Connector 181">
          <a:extLst>
            <a:ext uri="{FF2B5EF4-FFF2-40B4-BE49-F238E27FC236}">
              <a16:creationId xmlns="" xmlns:a16="http://schemas.microsoft.com/office/drawing/2014/main" id="{FA21349F-79E8-4F45-8DBF-B7197A4CCEA5}"/>
            </a:ext>
          </a:extLst>
        </xdr:cNvPr>
        <xdr:cNvCxnSpPr/>
      </xdr:nvCxnSpPr>
      <xdr:spPr>
        <a:xfrm flipH="1">
          <a:off x="2671484" y="9959788"/>
          <a:ext cx="196693" cy="301241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5</xdr:col>
      <xdr:colOff>44824</xdr:colOff>
      <xdr:row>55</xdr:row>
      <xdr:rowOff>0</xdr:rowOff>
    </xdr:from>
    <xdr:ext cx="85725" cy="390524"/>
    <xdr:pic>
      <xdr:nvPicPr>
        <xdr:cNvPr id="188" name="Picture 11597">
          <a:extLst>
            <a:ext uri="{FF2B5EF4-FFF2-40B4-BE49-F238E27FC236}">
              <a16:creationId xmlns="" xmlns:a16="http://schemas.microsoft.com/office/drawing/2014/main" id="{1A6B8A71-FAC5-4EDB-967E-F4115637A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9083" y="992392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80683</xdr:colOff>
      <xdr:row>55</xdr:row>
      <xdr:rowOff>17930</xdr:rowOff>
    </xdr:from>
    <xdr:ext cx="72644" cy="419101"/>
    <xdr:pic>
      <xdr:nvPicPr>
        <xdr:cNvPr id="189" name="Picture 11597">
          <a:extLst>
            <a:ext uri="{FF2B5EF4-FFF2-40B4-BE49-F238E27FC236}">
              <a16:creationId xmlns="" xmlns:a16="http://schemas.microsoft.com/office/drawing/2014/main" id="{FB388798-4C49-4671-A8DE-41024B633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29083" y="994185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233082</xdr:colOff>
      <xdr:row>55</xdr:row>
      <xdr:rowOff>17930</xdr:rowOff>
    </xdr:from>
    <xdr:ext cx="85725" cy="390524"/>
    <xdr:pic>
      <xdr:nvPicPr>
        <xdr:cNvPr id="190" name="Picture 11597">
          <a:extLst>
            <a:ext uri="{FF2B5EF4-FFF2-40B4-BE49-F238E27FC236}">
              <a16:creationId xmlns="" xmlns:a16="http://schemas.microsoft.com/office/drawing/2014/main" id="{700090FB-D435-42EF-866C-8185B0A0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6541" y="994185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528918</xdr:colOff>
      <xdr:row>92</xdr:row>
      <xdr:rowOff>0</xdr:rowOff>
    </xdr:from>
    <xdr:ext cx="72644" cy="419101"/>
    <xdr:pic>
      <xdr:nvPicPr>
        <xdr:cNvPr id="191" name="Picture 11597">
          <a:extLst>
            <a:ext uri="{FF2B5EF4-FFF2-40B4-BE49-F238E27FC236}">
              <a16:creationId xmlns="" xmlns:a16="http://schemas.microsoft.com/office/drawing/2014/main" id="{2525528F-D8B7-4A00-8532-49C1C81A8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97553" y="167640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304800</xdr:colOff>
      <xdr:row>92</xdr:row>
      <xdr:rowOff>17929</xdr:rowOff>
    </xdr:from>
    <xdr:ext cx="72644" cy="419101"/>
    <xdr:pic>
      <xdr:nvPicPr>
        <xdr:cNvPr id="256" name="Picture 11597">
          <a:extLst>
            <a:ext uri="{FF2B5EF4-FFF2-40B4-BE49-F238E27FC236}">
              <a16:creationId xmlns="" xmlns:a16="http://schemas.microsoft.com/office/drawing/2014/main" id="{C84A5742-3EBA-4E26-AFEE-C5D0424BD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828494" y="1669228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224118</xdr:colOff>
      <xdr:row>101</xdr:row>
      <xdr:rowOff>8965</xdr:rowOff>
    </xdr:from>
    <xdr:ext cx="72644" cy="419101"/>
    <xdr:pic>
      <xdr:nvPicPr>
        <xdr:cNvPr id="257" name="Picture 11597">
          <a:extLst>
            <a:ext uri="{FF2B5EF4-FFF2-40B4-BE49-F238E27FC236}">
              <a16:creationId xmlns="" xmlns:a16="http://schemas.microsoft.com/office/drawing/2014/main" id="{DCABEC98-DF16-4B08-8F8F-F2C7E2C96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98377" y="18440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525129</xdr:colOff>
      <xdr:row>101</xdr:row>
      <xdr:rowOff>71035</xdr:rowOff>
    </xdr:from>
    <xdr:ext cx="72644" cy="419101"/>
    <xdr:pic>
      <xdr:nvPicPr>
        <xdr:cNvPr id="284" name="Picture 11597">
          <a:extLst>
            <a:ext uri="{FF2B5EF4-FFF2-40B4-BE49-F238E27FC236}">
              <a16:creationId xmlns="" xmlns:a16="http://schemas.microsoft.com/office/drawing/2014/main" id="{BAD44435-E867-4EE6-ACC7-CA9A1E93F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028588" y="1850247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242047</xdr:colOff>
      <xdr:row>110</xdr:row>
      <xdr:rowOff>0</xdr:rowOff>
    </xdr:from>
    <xdr:ext cx="72644" cy="419101"/>
    <xdr:pic>
      <xdr:nvPicPr>
        <xdr:cNvPr id="291" name="Picture 11597">
          <a:extLst>
            <a:ext uri="{FF2B5EF4-FFF2-40B4-BE49-F238E27FC236}">
              <a16:creationId xmlns="" xmlns:a16="http://schemas.microsoft.com/office/drawing/2014/main" id="{18D3A981-0998-461C-90DD-A5525571D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000565" y="2040367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367553</xdr:colOff>
      <xdr:row>110</xdr:row>
      <xdr:rowOff>44823</xdr:rowOff>
    </xdr:from>
    <xdr:ext cx="85725" cy="390524"/>
    <xdr:pic>
      <xdr:nvPicPr>
        <xdr:cNvPr id="293" name="Picture 11597">
          <a:extLst>
            <a:ext uri="{FF2B5EF4-FFF2-40B4-BE49-F238E27FC236}">
              <a16:creationId xmlns="" xmlns:a16="http://schemas.microsoft.com/office/drawing/2014/main" id="{DCDF61F9-F260-4740-BC52-209B0C9C6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6188" y="2044849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233083</xdr:colOff>
      <xdr:row>118</xdr:row>
      <xdr:rowOff>161365</xdr:rowOff>
    </xdr:from>
    <xdr:ext cx="72644" cy="419101"/>
    <xdr:pic>
      <xdr:nvPicPr>
        <xdr:cNvPr id="297" name="Picture 11597">
          <a:extLst>
            <a:ext uri="{FF2B5EF4-FFF2-40B4-BE49-F238E27FC236}">
              <a16:creationId xmlns="" xmlns:a16="http://schemas.microsoft.com/office/drawing/2014/main" id="{2CB4F819-0E6A-4438-86B2-F1D32299E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46659" y="2227729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331694</xdr:colOff>
      <xdr:row>129</xdr:row>
      <xdr:rowOff>17931</xdr:rowOff>
    </xdr:from>
    <xdr:to>
      <xdr:col>11</xdr:col>
      <xdr:colOff>377413</xdr:colOff>
      <xdr:row>131</xdr:row>
      <xdr:rowOff>189746</xdr:rowOff>
    </xdr:to>
    <xdr:sp macro="" textlink="">
      <xdr:nvSpPr>
        <xdr:cNvPr id="319" name="AutoShape 10733">
          <a:extLst>
            <a:ext uri="{FF2B5EF4-FFF2-40B4-BE49-F238E27FC236}">
              <a16:creationId xmlns="" xmlns:a16="http://schemas.microsoft.com/office/drawing/2014/main" id="{87EEF735-5F1A-4A64-B154-83EAEE5730E8}"/>
            </a:ext>
          </a:extLst>
        </xdr:cNvPr>
        <xdr:cNvSpPr>
          <a:spLocks noChangeArrowheads="1"/>
        </xdr:cNvSpPr>
      </xdr:nvSpPr>
      <xdr:spPr bwMode="auto">
        <a:xfrm rot="5400000">
          <a:off x="6337752" y="24330508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316162</xdr:colOff>
      <xdr:row>128</xdr:row>
      <xdr:rowOff>142499</xdr:rowOff>
    </xdr:from>
    <xdr:to>
      <xdr:col>3</xdr:col>
      <xdr:colOff>361881</xdr:colOff>
      <xdr:row>131</xdr:row>
      <xdr:rowOff>135020</xdr:rowOff>
    </xdr:to>
    <xdr:sp macro="" textlink="">
      <xdr:nvSpPr>
        <xdr:cNvPr id="384" name="AutoShape 10733">
          <a:extLst>
            <a:ext uri="{FF2B5EF4-FFF2-40B4-BE49-F238E27FC236}">
              <a16:creationId xmlns="" xmlns:a16="http://schemas.microsoft.com/office/drawing/2014/main" id="{7EDBE4EB-3B69-4F5B-BF84-10A6B3A63805}"/>
            </a:ext>
          </a:extLst>
        </xdr:cNvPr>
        <xdr:cNvSpPr>
          <a:spLocks noChangeArrowheads="1"/>
        </xdr:cNvSpPr>
      </xdr:nvSpPr>
      <xdr:spPr bwMode="auto">
        <a:xfrm rot="5400000">
          <a:off x="1284055" y="24275782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394447</xdr:colOff>
      <xdr:row>119</xdr:row>
      <xdr:rowOff>8967</xdr:rowOff>
    </xdr:from>
    <xdr:to>
      <xdr:col>3</xdr:col>
      <xdr:colOff>440166</xdr:colOff>
      <xdr:row>121</xdr:row>
      <xdr:rowOff>180782</xdr:rowOff>
    </xdr:to>
    <xdr:sp macro="" textlink="">
      <xdr:nvSpPr>
        <xdr:cNvPr id="385" name="AutoShape 10733">
          <a:extLst>
            <a:ext uri="{FF2B5EF4-FFF2-40B4-BE49-F238E27FC236}">
              <a16:creationId xmlns="" xmlns:a16="http://schemas.microsoft.com/office/drawing/2014/main" id="{B6EE5412-A129-4861-82A0-8A2519419D41}"/>
            </a:ext>
          </a:extLst>
        </xdr:cNvPr>
        <xdr:cNvSpPr>
          <a:spLocks noChangeArrowheads="1"/>
        </xdr:cNvSpPr>
      </xdr:nvSpPr>
      <xdr:spPr bwMode="auto">
        <a:xfrm rot="5400000">
          <a:off x="1362340" y="22456885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21</xdr:col>
      <xdr:colOff>233082</xdr:colOff>
      <xdr:row>129</xdr:row>
      <xdr:rowOff>8965</xdr:rowOff>
    </xdr:from>
    <xdr:ext cx="72644" cy="419101"/>
    <xdr:pic>
      <xdr:nvPicPr>
        <xdr:cNvPr id="387" name="Picture 11597">
          <a:extLst>
            <a:ext uri="{FF2B5EF4-FFF2-40B4-BE49-F238E27FC236}">
              <a16:creationId xmlns="" xmlns:a16="http://schemas.microsoft.com/office/drawing/2014/main" id="{7CFE9C55-412D-4FB3-BCDB-28049E994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56776" y="240792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242047</xdr:colOff>
      <xdr:row>138</xdr:row>
      <xdr:rowOff>206189</xdr:rowOff>
    </xdr:from>
    <xdr:ext cx="85725" cy="390524"/>
    <xdr:pic>
      <xdr:nvPicPr>
        <xdr:cNvPr id="389" name="Picture 11597">
          <a:extLst>
            <a:ext uri="{FF2B5EF4-FFF2-40B4-BE49-F238E27FC236}">
              <a16:creationId xmlns="" xmlns:a16="http://schemas.microsoft.com/office/drawing/2014/main" id="{F644918F-C28D-4E45-A7A3-03E370FB7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2282" y="2606040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197223</xdr:colOff>
      <xdr:row>139</xdr:row>
      <xdr:rowOff>8965</xdr:rowOff>
    </xdr:from>
    <xdr:ext cx="85725" cy="390524"/>
    <xdr:pic>
      <xdr:nvPicPr>
        <xdr:cNvPr id="390" name="Picture 11597">
          <a:extLst>
            <a:ext uri="{FF2B5EF4-FFF2-40B4-BE49-F238E27FC236}">
              <a16:creationId xmlns="" xmlns:a16="http://schemas.microsoft.com/office/drawing/2014/main" id="{A4B501D3-5884-4EC1-AD97-E13107E25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1482" y="2607833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403412</xdr:colOff>
      <xdr:row>138</xdr:row>
      <xdr:rowOff>206189</xdr:rowOff>
    </xdr:from>
    <xdr:to>
      <xdr:col>5</xdr:col>
      <xdr:colOff>449131</xdr:colOff>
      <xdr:row>141</xdr:row>
      <xdr:rowOff>91134</xdr:rowOff>
    </xdr:to>
    <xdr:sp macro="" textlink="">
      <xdr:nvSpPr>
        <xdr:cNvPr id="393" name="AutoShape 10733">
          <a:extLst>
            <a:ext uri="{FF2B5EF4-FFF2-40B4-BE49-F238E27FC236}">
              <a16:creationId xmlns="" xmlns:a16="http://schemas.microsoft.com/office/drawing/2014/main" id="{03C3C3A6-1FF1-41F8-A89B-261D6080FF1F}"/>
            </a:ext>
          </a:extLst>
        </xdr:cNvPr>
        <xdr:cNvSpPr>
          <a:spLocks noChangeArrowheads="1"/>
        </xdr:cNvSpPr>
      </xdr:nvSpPr>
      <xdr:spPr bwMode="auto">
        <a:xfrm rot="5400000">
          <a:off x="2635329" y="26302743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233082</xdr:colOff>
      <xdr:row>25</xdr:row>
      <xdr:rowOff>161364</xdr:rowOff>
    </xdr:from>
    <xdr:ext cx="72644" cy="419101"/>
    <xdr:pic>
      <xdr:nvPicPr>
        <xdr:cNvPr id="395" name="Picture 11597">
          <a:extLst>
            <a:ext uri="{FF2B5EF4-FFF2-40B4-BE49-F238E27FC236}">
              <a16:creationId xmlns="" xmlns:a16="http://schemas.microsoft.com/office/drawing/2014/main" id="{18AD9174-1000-4E35-8247-873AF35AA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43317" y="476922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242048</xdr:colOff>
      <xdr:row>26</xdr:row>
      <xdr:rowOff>26894</xdr:rowOff>
    </xdr:from>
    <xdr:ext cx="85725" cy="390524"/>
    <xdr:pic>
      <xdr:nvPicPr>
        <xdr:cNvPr id="397" name="Picture 11597">
          <a:extLst>
            <a:ext uri="{FF2B5EF4-FFF2-40B4-BE49-F238E27FC236}">
              <a16:creationId xmlns="" xmlns:a16="http://schemas.microsoft.com/office/drawing/2014/main" id="{E5BB5DF2-F663-4DA5-B596-94E8E178A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6307" y="481404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358589</xdr:colOff>
      <xdr:row>37</xdr:row>
      <xdr:rowOff>8965</xdr:rowOff>
    </xdr:from>
    <xdr:ext cx="85725" cy="390524"/>
    <xdr:pic>
      <xdr:nvPicPr>
        <xdr:cNvPr id="398" name="Picture 11597">
          <a:extLst>
            <a:ext uri="{FF2B5EF4-FFF2-40B4-BE49-F238E27FC236}">
              <a16:creationId xmlns="" xmlns:a16="http://schemas.microsoft.com/office/drawing/2014/main" id="{6FD01BA9-729C-4359-9794-1A12BA3E7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6871" y="677731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98612</xdr:colOff>
      <xdr:row>37</xdr:row>
      <xdr:rowOff>44824</xdr:rowOff>
    </xdr:from>
    <xdr:to>
      <xdr:col>9</xdr:col>
      <xdr:colOff>227338</xdr:colOff>
      <xdr:row>38</xdr:row>
      <xdr:rowOff>104208</xdr:rowOff>
    </xdr:to>
    <xdr:sp macro="" textlink="">
      <xdr:nvSpPr>
        <xdr:cNvPr id="399" name="AutoShape 301">
          <a:extLst>
            <a:ext uri="{FF2B5EF4-FFF2-40B4-BE49-F238E27FC236}">
              <a16:creationId xmlns="" xmlns:a16="http://schemas.microsoft.com/office/drawing/2014/main" id="{02C804C1-19A6-4376-9935-A187837A4FF7}"/>
            </a:ext>
          </a:extLst>
        </xdr:cNvPr>
        <xdr:cNvSpPr>
          <a:spLocks noChangeArrowheads="1"/>
        </xdr:cNvSpPr>
      </xdr:nvSpPr>
      <xdr:spPr bwMode="auto">
        <a:xfrm rot="7084349">
          <a:off x="5036977" y="6868153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206188</xdr:colOff>
      <xdr:row>46</xdr:row>
      <xdr:rowOff>35858</xdr:rowOff>
    </xdr:from>
    <xdr:to>
      <xdr:col>5</xdr:col>
      <xdr:colOff>457200</xdr:colOff>
      <xdr:row>47</xdr:row>
      <xdr:rowOff>71717</xdr:rowOff>
    </xdr:to>
    <xdr:sp macro="" textlink="">
      <xdr:nvSpPr>
        <xdr:cNvPr id="400" name="Isosceles Triangle 399">
          <a:extLst>
            <a:ext uri="{FF2B5EF4-FFF2-40B4-BE49-F238E27FC236}">
              <a16:creationId xmlns="" xmlns:a16="http://schemas.microsoft.com/office/drawing/2014/main" id="{54AA0098-7D5F-4ECF-9C31-22FB2D4D3019}"/>
            </a:ext>
          </a:extLst>
        </xdr:cNvPr>
        <xdr:cNvSpPr/>
      </xdr:nvSpPr>
      <xdr:spPr>
        <a:xfrm>
          <a:off x="2680447" y="8346140"/>
          <a:ext cx="251012" cy="215153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242047</xdr:colOff>
      <xdr:row>46</xdr:row>
      <xdr:rowOff>53788</xdr:rowOff>
    </xdr:from>
    <xdr:to>
      <xdr:col>7</xdr:col>
      <xdr:colOff>493059</xdr:colOff>
      <xdr:row>47</xdr:row>
      <xdr:rowOff>89647</xdr:rowOff>
    </xdr:to>
    <xdr:sp macro="" textlink="">
      <xdr:nvSpPr>
        <xdr:cNvPr id="401" name="Isosceles Triangle 400">
          <a:extLst>
            <a:ext uri="{FF2B5EF4-FFF2-40B4-BE49-F238E27FC236}">
              <a16:creationId xmlns="" xmlns:a16="http://schemas.microsoft.com/office/drawing/2014/main" id="{E468700B-CE2F-45BF-9F5E-0DF7F4D1BE18}"/>
            </a:ext>
          </a:extLst>
        </xdr:cNvPr>
        <xdr:cNvSpPr/>
      </xdr:nvSpPr>
      <xdr:spPr>
        <a:xfrm>
          <a:off x="3980329" y="8364070"/>
          <a:ext cx="251012" cy="215153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152400</xdr:colOff>
      <xdr:row>46</xdr:row>
      <xdr:rowOff>53788</xdr:rowOff>
    </xdr:from>
    <xdr:to>
      <xdr:col>9</xdr:col>
      <xdr:colOff>403412</xdr:colOff>
      <xdr:row>47</xdr:row>
      <xdr:rowOff>89647</xdr:rowOff>
    </xdr:to>
    <xdr:sp macro="" textlink="">
      <xdr:nvSpPr>
        <xdr:cNvPr id="402" name="Isosceles Triangle 401">
          <a:extLst>
            <a:ext uri="{FF2B5EF4-FFF2-40B4-BE49-F238E27FC236}">
              <a16:creationId xmlns="" xmlns:a16="http://schemas.microsoft.com/office/drawing/2014/main" id="{0814842F-EA56-47F6-AC5B-144D33151CD1}"/>
            </a:ext>
          </a:extLst>
        </xdr:cNvPr>
        <xdr:cNvSpPr/>
      </xdr:nvSpPr>
      <xdr:spPr>
        <a:xfrm>
          <a:off x="5145741" y="8364070"/>
          <a:ext cx="251012" cy="215153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268940</xdr:colOff>
      <xdr:row>46</xdr:row>
      <xdr:rowOff>71717</xdr:rowOff>
    </xdr:from>
    <xdr:to>
      <xdr:col>19</xdr:col>
      <xdr:colOff>397666</xdr:colOff>
      <xdr:row>47</xdr:row>
      <xdr:rowOff>131101</xdr:rowOff>
    </xdr:to>
    <xdr:sp macro="" textlink="">
      <xdr:nvSpPr>
        <xdr:cNvPr id="405" name="AutoShape 301">
          <a:extLst>
            <a:ext uri="{FF2B5EF4-FFF2-40B4-BE49-F238E27FC236}">
              <a16:creationId xmlns="" xmlns:a16="http://schemas.microsoft.com/office/drawing/2014/main" id="{F6A97225-8DB4-4310-B79C-46B5FCC70751}"/>
            </a:ext>
          </a:extLst>
        </xdr:cNvPr>
        <xdr:cNvSpPr>
          <a:spLocks noChangeArrowheads="1"/>
        </xdr:cNvSpPr>
      </xdr:nvSpPr>
      <xdr:spPr bwMode="auto">
        <a:xfrm rot="7084349">
          <a:off x="11482599" y="8436975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519953</xdr:colOff>
      <xdr:row>55</xdr:row>
      <xdr:rowOff>17929</xdr:rowOff>
    </xdr:from>
    <xdr:to>
      <xdr:col>5</xdr:col>
      <xdr:colOff>558053</xdr:colOff>
      <xdr:row>57</xdr:row>
      <xdr:rowOff>118060</xdr:rowOff>
    </xdr:to>
    <xdr:sp macro="" textlink="">
      <xdr:nvSpPr>
        <xdr:cNvPr id="406" name="AutoShape 10733">
          <a:extLst>
            <a:ext uri="{FF2B5EF4-FFF2-40B4-BE49-F238E27FC236}">
              <a16:creationId xmlns="" xmlns:a16="http://schemas.microsoft.com/office/drawing/2014/main" id="{40E7F341-6A07-4430-B202-2182BE37B99C}"/>
            </a:ext>
          </a:extLst>
        </xdr:cNvPr>
        <xdr:cNvSpPr>
          <a:spLocks noChangeArrowheads="1"/>
        </xdr:cNvSpPr>
      </xdr:nvSpPr>
      <xdr:spPr bwMode="auto">
        <a:xfrm rot="5400000">
          <a:off x="2783902" y="10152168"/>
          <a:ext cx="45872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411541</xdr:colOff>
      <xdr:row>55</xdr:row>
      <xdr:rowOff>51808</xdr:rowOff>
    </xdr:from>
    <xdr:to>
      <xdr:col>7</xdr:col>
      <xdr:colOff>540267</xdr:colOff>
      <xdr:row>56</xdr:row>
      <xdr:rowOff>111191</xdr:rowOff>
    </xdr:to>
    <xdr:sp macro="" textlink="">
      <xdr:nvSpPr>
        <xdr:cNvPr id="410" name="AutoShape 301">
          <a:extLst>
            <a:ext uri="{FF2B5EF4-FFF2-40B4-BE49-F238E27FC236}">
              <a16:creationId xmlns="" xmlns:a16="http://schemas.microsoft.com/office/drawing/2014/main" id="{35D411E7-EAC8-4C10-AD35-DB2F93C48E65}"/>
            </a:ext>
          </a:extLst>
        </xdr:cNvPr>
        <xdr:cNvSpPr>
          <a:spLocks noChangeArrowheads="1"/>
        </xdr:cNvSpPr>
      </xdr:nvSpPr>
      <xdr:spPr bwMode="auto">
        <a:xfrm rot="7084349">
          <a:off x="4094847" y="10030713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403411</xdr:colOff>
      <xdr:row>55</xdr:row>
      <xdr:rowOff>80683</xdr:rowOff>
    </xdr:from>
    <xdr:to>
      <xdr:col>13</xdr:col>
      <xdr:colOff>532137</xdr:colOff>
      <xdr:row>56</xdr:row>
      <xdr:rowOff>140066</xdr:rowOff>
    </xdr:to>
    <xdr:sp macro="" textlink="">
      <xdr:nvSpPr>
        <xdr:cNvPr id="413" name="AutoShape 301">
          <a:extLst>
            <a:ext uri="{FF2B5EF4-FFF2-40B4-BE49-F238E27FC236}">
              <a16:creationId xmlns="" xmlns:a16="http://schemas.microsoft.com/office/drawing/2014/main" id="{F6A9D393-C7C4-4840-82D7-44F43D1C414C}"/>
            </a:ext>
          </a:extLst>
        </xdr:cNvPr>
        <xdr:cNvSpPr>
          <a:spLocks noChangeArrowheads="1"/>
        </xdr:cNvSpPr>
      </xdr:nvSpPr>
      <xdr:spPr bwMode="auto">
        <a:xfrm rot="7084349">
          <a:off x="7851894" y="10059588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251013</xdr:colOff>
      <xdr:row>55</xdr:row>
      <xdr:rowOff>26894</xdr:rowOff>
    </xdr:from>
    <xdr:to>
      <xdr:col>17</xdr:col>
      <xdr:colOff>379739</xdr:colOff>
      <xdr:row>56</xdr:row>
      <xdr:rowOff>86277</xdr:rowOff>
    </xdr:to>
    <xdr:sp macro="" textlink="">
      <xdr:nvSpPr>
        <xdr:cNvPr id="414" name="AutoShape 301">
          <a:extLst>
            <a:ext uri="{FF2B5EF4-FFF2-40B4-BE49-F238E27FC236}">
              <a16:creationId xmlns="" xmlns:a16="http://schemas.microsoft.com/office/drawing/2014/main" id="{C2A51507-F52D-49EF-948F-33315A4A0480}"/>
            </a:ext>
          </a:extLst>
        </xdr:cNvPr>
        <xdr:cNvSpPr>
          <a:spLocks noChangeArrowheads="1"/>
        </xdr:cNvSpPr>
      </xdr:nvSpPr>
      <xdr:spPr bwMode="auto">
        <a:xfrm rot="7084349">
          <a:off x="10209613" y="10005799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80682</xdr:colOff>
      <xdr:row>54</xdr:row>
      <xdr:rowOff>179293</xdr:rowOff>
    </xdr:from>
    <xdr:ext cx="69273" cy="399653"/>
    <xdr:pic>
      <xdr:nvPicPr>
        <xdr:cNvPr id="419" name="Picture 11597">
          <a:extLst>
            <a:ext uri="{FF2B5EF4-FFF2-40B4-BE49-F238E27FC236}">
              <a16:creationId xmlns="" xmlns:a16="http://schemas.microsoft.com/office/drawing/2014/main" id="{3F2A7A75-150E-4B81-A03B-09A5C7380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349317" y="9897034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19</xdr:col>
      <xdr:colOff>367026</xdr:colOff>
      <xdr:row>55</xdr:row>
      <xdr:rowOff>64862</xdr:rowOff>
    </xdr:from>
    <xdr:to>
      <xdr:col>19</xdr:col>
      <xdr:colOff>570506</xdr:colOff>
      <xdr:row>56</xdr:row>
      <xdr:rowOff>102592</xdr:rowOff>
    </xdr:to>
    <xdr:sp macro="" textlink="">
      <xdr:nvSpPr>
        <xdr:cNvPr id="420" name="AutoShape 301">
          <a:extLst>
            <a:ext uri="{FF2B5EF4-FFF2-40B4-BE49-F238E27FC236}">
              <a16:creationId xmlns="" xmlns:a16="http://schemas.microsoft.com/office/drawing/2014/main" id="{63E9C031-90BD-47C5-B8F3-53497B38A9A9}"/>
            </a:ext>
          </a:extLst>
        </xdr:cNvPr>
        <xdr:cNvSpPr>
          <a:spLocks noChangeArrowheads="1"/>
        </xdr:cNvSpPr>
      </xdr:nvSpPr>
      <xdr:spPr bwMode="auto">
        <a:xfrm rot="7084349">
          <a:off x="11628888" y="9995564"/>
          <a:ext cx="217025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107577</xdr:colOff>
      <xdr:row>55</xdr:row>
      <xdr:rowOff>71718</xdr:rowOff>
    </xdr:from>
    <xdr:to>
      <xdr:col>21</xdr:col>
      <xdr:colOff>311057</xdr:colOff>
      <xdr:row>56</xdr:row>
      <xdr:rowOff>109448</xdr:rowOff>
    </xdr:to>
    <xdr:sp macro="" textlink="">
      <xdr:nvSpPr>
        <xdr:cNvPr id="425" name="AutoShape 301">
          <a:extLst>
            <a:ext uri="{FF2B5EF4-FFF2-40B4-BE49-F238E27FC236}">
              <a16:creationId xmlns="" xmlns:a16="http://schemas.microsoft.com/office/drawing/2014/main" id="{D345966D-092E-4AC4-AFCA-EB85D72BBADB}"/>
            </a:ext>
          </a:extLst>
        </xdr:cNvPr>
        <xdr:cNvSpPr>
          <a:spLocks noChangeArrowheads="1"/>
        </xdr:cNvSpPr>
      </xdr:nvSpPr>
      <xdr:spPr bwMode="auto">
        <a:xfrm rot="7084349">
          <a:off x="12624498" y="10002420"/>
          <a:ext cx="217025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</xdr:col>
      <xdr:colOff>304800</xdr:colOff>
      <xdr:row>74</xdr:row>
      <xdr:rowOff>26894</xdr:rowOff>
    </xdr:from>
    <xdr:ext cx="72644" cy="419101"/>
    <xdr:pic>
      <xdr:nvPicPr>
        <xdr:cNvPr id="427" name="Picture 11597">
          <a:extLst>
            <a:ext uri="{FF2B5EF4-FFF2-40B4-BE49-F238E27FC236}">
              <a16:creationId xmlns="" xmlns:a16="http://schemas.microsoft.com/office/drawing/2014/main" id="{EADBD136-66B2-42D2-9A22-0042CC012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79059" y="1322294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277906</xdr:colOff>
      <xdr:row>74</xdr:row>
      <xdr:rowOff>8964</xdr:rowOff>
    </xdr:from>
    <xdr:ext cx="72644" cy="419101"/>
    <xdr:pic>
      <xdr:nvPicPr>
        <xdr:cNvPr id="428" name="Picture 11597">
          <a:extLst>
            <a:ext uri="{FF2B5EF4-FFF2-40B4-BE49-F238E27FC236}">
              <a16:creationId xmlns="" xmlns:a16="http://schemas.microsoft.com/office/drawing/2014/main" id="{2A0281BF-55BF-44F8-A76F-5446812E6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26306" y="1320501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277905</xdr:colOff>
      <xdr:row>92</xdr:row>
      <xdr:rowOff>0</xdr:rowOff>
    </xdr:from>
    <xdr:ext cx="85725" cy="390524"/>
    <xdr:pic>
      <xdr:nvPicPr>
        <xdr:cNvPr id="430" name="Picture 11597">
          <a:extLst>
            <a:ext uri="{FF2B5EF4-FFF2-40B4-BE49-F238E27FC236}">
              <a16:creationId xmlns="" xmlns:a16="http://schemas.microsoft.com/office/drawing/2014/main" id="{D7365E90-F6FC-46E3-97F4-A666BDD8D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6187" y="167640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353464</xdr:colOff>
      <xdr:row>92</xdr:row>
      <xdr:rowOff>68365</xdr:rowOff>
    </xdr:from>
    <xdr:to>
      <xdr:col>9</xdr:col>
      <xdr:colOff>521181</xdr:colOff>
      <xdr:row>94</xdr:row>
      <xdr:rowOff>9876</xdr:rowOff>
    </xdr:to>
    <xdr:sp macro="" textlink="">
      <xdr:nvSpPr>
        <xdr:cNvPr id="431" name="AutoShape 301">
          <a:extLst>
            <a:ext uri="{FF2B5EF4-FFF2-40B4-BE49-F238E27FC236}">
              <a16:creationId xmlns="" xmlns:a16="http://schemas.microsoft.com/office/drawing/2014/main" id="{CB7ED99E-B6FA-4353-BFC7-045576BB3B1B}"/>
            </a:ext>
          </a:extLst>
        </xdr:cNvPr>
        <xdr:cNvSpPr>
          <a:spLocks noChangeArrowheads="1"/>
        </xdr:cNvSpPr>
      </xdr:nvSpPr>
      <xdr:spPr bwMode="auto">
        <a:xfrm rot="7084349">
          <a:off x="5280614" y="16898556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116542</xdr:colOff>
      <xdr:row>92</xdr:row>
      <xdr:rowOff>62753</xdr:rowOff>
    </xdr:from>
    <xdr:to>
      <xdr:col>15</xdr:col>
      <xdr:colOff>284259</xdr:colOff>
      <xdr:row>94</xdr:row>
      <xdr:rowOff>4264</xdr:rowOff>
    </xdr:to>
    <xdr:sp macro="" textlink="">
      <xdr:nvSpPr>
        <xdr:cNvPr id="432" name="AutoShape 301">
          <a:extLst>
            <a:ext uri="{FF2B5EF4-FFF2-40B4-BE49-F238E27FC236}">
              <a16:creationId xmlns="" xmlns:a16="http://schemas.microsoft.com/office/drawing/2014/main" id="{454F9B22-3FEC-4CD4-9FCC-C60F7311CC94}"/>
            </a:ext>
          </a:extLst>
        </xdr:cNvPr>
        <xdr:cNvSpPr>
          <a:spLocks noChangeArrowheads="1"/>
        </xdr:cNvSpPr>
      </xdr:nvSpPr>
      <xdr:spPr bwMode="auto">
        <a:xfrm rot="7084349">
          <a:off x="8808869" y="16892944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226175</xdr:colOff>
      <xdr:row>92</xdr:row>
      <xdr:rowOff>89734</xdr:rowOff>
    </xdr:from>
    <xdr:to>
      <xdr:col>19</xdr:col>
      <xdr:colOff>356325</xdr:colOff>
      <xdr:row>94</xdr:row>
      <xdr:rowOff>31890</xdr:rowOff>
    </xdr:to>
    <xdr:sp macro="" textlink="">
      <xdr:nvSpPr>
        <xdr:cNvPr id="433" name="AutoShape 301">
          <a:extLst>
            <a:ext uri="{FF2B5EF4-FFF2-40B4-BE49-F238E27FC236}">
              <a16:creationId xmlns="" xmlns:a16="http://schemas.microsoft.com/office/drawing/2014/main" id="{46D155EE-3860-4E0A-AE0F-97B1BD0622A9}"/>
            </a:ext>
          </a:extLst>
        </xdr:cNvPr>
        <xdr:cNvSpPr>
          <a:spLocks noChangeArrowheads="1"/>
        </xdr:cNvSpPr>
      </xdr:nvSpPr>
      <xdr:spPr bwMode="auto">
        <a:xfrm rot="7084349">
          <a:off x="11409513" y="16939031"/>
          <a:ext cx="300744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152401</xdr:colOff>
      <xdr:row>101</xdr:row>
      <xdr:rowOff>17931</xdr:rowOff>
    </xdr:from>
    <xdr:to>
      <xdr:col>7</xdr:col>
      <xdr:colOff>282551</xdr:colOff>
      <xdr:row>102</xdr:row>
      <xdr:rowOff>139381</xdr:rowOff>
    </xdr:to>
    <xdr:sp macro="" textlink="">
      <xdr:nvSpPr>
        <xdr:cNvPr id="437" name="AutoShape 301">
          <a:extLst>
            <a:ext uri="{FF2B5EF4-FFF2-40B4-BE49-F238E27FC236}">
              <a16:creationId xmlns="" xmlns:a16="http://schemas.microsoft.com/office/drawing/2014/main" id="{DB1ACC06-F123-4063-AC72-85C0A5A336E4}"/>
            </a:ext>
          </a:extLst>
        </xdr:cNvPr>
        <xdr:cNvSpPr>
          <a:spLocks noChangeArrowheads="1"/>
        </xdr:cNvSpPr>
      </xdr:nvSpPr>
      <xdr:spPr bwMode="auto">
        <a:xfrm rot="7084349">
          <a:off x="3805386" y="18624310"/>
          <a:ext cx="300744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215153</xdr:colOff>
      <xdr:row>101</xdr:row>
      <xdr:rowOff>8965</xdr:rowOff>
    </xdr:from>
    <xdr:to>
      <xdr:col>15</xdr:col>
      <xdr:colOff>382870</xdr:colOff>
      <xdr:row>102</xdr:row>
      <xdr:rowOff>129770</xdr:rowOff>
    </xdr:to>
    <xdr:sp macro="" textlink="">
      <xdr:nvSpPr>
        <xdr:cNvPr id="438" name="AutoShape 301">
          <a:extLst>
            <a:ext uri="{FF2B5EF4-FFF2-40B4-BE49-F238E27FC236}">
              <a16:creationId xmlns="" xmlns:a16="http://schemas.microsoft.com/office/drawing/2014/main" id="{890AEF21-BC5C-46D6-B243-1D5261AFBECD}"/>
            </a:ext>
          </a:extLst>
        </xdr:cNvPr>
        <xdr:cNvSpPr>
          <a:spLocks noChangeArrowheads="1"/>
        </xdr:cNvSpPr>
      </xdr:nvSpPr>
      <xdr:spPr bwMode="auto">
        <a:xfrm rot="7084349">
          <a:off x="8907480" y="18596238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206188</xdr:colOff>
      <xdr:row>101</xdr:row>
      <xdr:rowOff>8965</xdr:rowOff>
    </xdr:from>
    <xdr:to>
      <xdr:col>19</xdr:col>
      <xdr:colOff>373905</xdr:colOff>
      <xdr:row>102</xdr:row>
      <xdr:rowOff>129770</xdr:rowOff>
    </xdr:to>
    <xdr:sp macro="" textlink="">
      <xdr:nvSpPr>
        <xdr:cNvPr id="439" name="AutoShape 301">
          <a:extLst>
            <a:ext uri="{FF2B5EF4-FFF2-40B4-BE49-F238E27FC236}">
              <a16:creationId xmlns="" xmlns:a16="http://schemas.microsoft.com/office/drawing/2014/main" id="{D65BCABA-077B-46C3-9AD7-7AD8F308AC19}"/>
            </a:ext>
          </a:extLst>
        </xdr:cNvPr>
        <xdr:cNvSpPr>
          <a:spLocks noChangeArrowheads="1"/>
        </xdr:cNvSpPr>
      </xdr:nvSpPr>
      <xdr:spPr bwMode="auto">
        <a:xfrm rot="7084349">
          <a:off x="11408632" y="18596238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358589</xdr:colOff>
      <xdr:row>110</xdr:row>
      <xdr:rowOff>62753</xdr:rowOff>
    </xdr:from>
    <xdr:to>
      <xdr:col>3</xdr:col>
      <xdr:colOff>526306</xdr:colOff>
      <xdr:row>112</xdr:row>
      <xdr:rowOff>4264</xdr:rowOff>
    </xdr:to>
    <xdr:sp macro="" textlink="">
      <xdr:nvSpPr>
        <xdr:cNvPr id="441" name="AutoShape 301">
          <a:extLst>
            <a:ext uri="{FF2B5EF4-FFF2-40B4-BE49-F238E27FC236}">
              <a16:creationId xmlns="" xmlns:a16="http://schemas.microsoft.com/office/drawing/2014/main" id="{4951797C-8F36-4FB8-B97E-0705694F02BE}"/>
            </a:ext>
          </a:extLst>
        </xdr:cNvPr>
        <xdr:cNvSpPr>
          <a:spLocks noChangeArrowheads="1"/>
        </xdr:cNvSpPr>
      </xdr:nvSpPr>
      <xdr:spPr bwMode="auto">
        <a:xfrm rot="7084349">
          <a:off x="1502633" y="20622262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268941</xdr:colOff>
      <xdr:row>109</xdr:row>
      <xdr:rowOff>170330</xdr:rowOff>
    </xdr:from>
    <xdr:to>
      <xdr:col>13</xdr:col>
      <xdr:colOff>307041</xdr:colOff>
      <xdr:row>112</xdr:row>
      <xdr:rowOff>92636</xdr:rowOff>
    </xdr:to>
    <xdr:sp macro="" textlink="">
      <xdr:nvSpPr>
        <xdr:cNvPr id="443" name="AutoShape 10733">
          <a:extLst>
            <a:ext uri="{FF2B5EF4-FFF2-40B4-BE49-F238E27FC236}">
              <a16:creationId xmlns="" xmlns:a16="http://schemas.microsoft.com/office/drawing/2014/main" id="{AA434DB0-4F67-4E9B-81F5-83403FF3EE3B}"/>
            </a:ext>
          </a:extLst>
        </xdr:cNvPr>
        <xdr:cNvSpPr>
          <a:spLocks noChangeArrowheads="1"/>
        </xdr:cNvSpPr>
      </xdr:nvSpPr>
      <xdr:spPr bwMode="auto">
        <a:xfrm rot="5400000">
          <a:off x="7561356" y="20695398"/>
          <a:ext cx="460188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385959</xdr:colOff>
      <xdr:row>110</xdr:row>
      <xdr:rowOff>47547</xdr:rowOff>
    </xdr:from>
    <xdr:to>
      <xdr:col>17</xdr:col>
      <xdr:colOff>528237</xdr:colOff>
      <xdr:row>111</xdr:row>
      <xdr:rowOff>172690</xdr:rowOff>
    </xdr:to>
    <xdr:sp macro="" textlink="">
      <xdr:nvSpPr>
        <xdr:cNvPr id="444" name="AutoShape 301">
          <a:extLst>
            <a:ext uri="{FF2B5EF4-FFF2-40B4-BE49-F238E27FC236}">
              <a16:creationId xmlns="" xmlns:a16="http://schemas.microsoft.com/office/drawing/2014/main" id="{C1B59E3E-5459-42C0-95DC-197779D8083E}"/>
            </a:ext>
          </a:extLst>
        </xdr:cNvPr>
        <xdr:cNvSpPr>
          <a:spLocks noChangeArrowheads="1"/>
        </xdr:cNvSpPr>
      </xdr:nvSpPr>
      <xdr:spPr bwMode="auto">
        <a:xfrm rot="7084349">
          <a:off x="10318455" y="20621945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197223</xdr:colOff>
      <xdr:row>119</xdr:row>
      <xdr:rowOff>8965</xdr:rowOff>
    </xdr:from>
    <xdr:to>
      <xdr:col>5</xdr:col>
      <xdr:colOff>339501</xdr:colOff>
      <xdr:row>120</xdr:row>
      <xdr:rowOff>134108</xdr:rowOff>
    </xdr:to>
    <xdr:sp macro="" textlink="">
      <xdr:nvSpPr>
        <xdr:cNvPr id="445" name="AutoShape 301">
          <a:extLst>
            <a:ext uri="{FF2B5EF4-FFF2-40B4-BE49-F238E27FC236}">
              <a16:creationId xmlns="" xmlns:a16="http://schemas.microsoft.com/office/drawing/2014/main" id="{D265D639-C8A0-4956-A3F9-DB861728F90F}"/>
            </a:ext>
          </a:extLst>
        </xdr:cNvPr>
        <xdr:cNvSpPr>
          <a:spLocks noChangeArrowheads="1"/>
        </xdr:cNvSpPr>
      </xdr:nvSpPr>
      <xdr:spPr bwMode="auto">
        <a:xfrm rot="7084349">
          <a:off x="2590402" y="22385269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376517</xdr:colOff>
      <xdr:row>119</xdr:row>
      <xdr:rowOff>53788</xdr:rowOff>
    </xdr:from>
    <xdr:to>
      <xdr:col>9</xdr:col>
      <xdr:colOff>518795</xdr:colOff>
      <xdr:row>120</xdr:row>
      <xdr:rowOff>178931</xdr:rowOff>
    </xdr:to>
    <xdr:sp macro="" textlink="">
      <xdr:nvSpPr>
        <xdr:cNvPr id="446" name="AutoShape 301">
          <a:extLst>
            <a:ext uri="{FF2B5EF4-FFF2-40B4-BE49-F238E27FC236}">
              <a16:creationId xmlns="" xmlns:a16="http://schemas.microsoft.com/office/drawing/2014/main" id="{AEFDCC2F-19C3-47AE-8FE3-50F831CF35C7}"/>
            </a:ext>
          </a:extLst>
        </xdr:cNvPr>
        <xdr:cNvSpPr>
          <a:spLocks noChangeArrowheads="1"/>
        </xdr:cNvSpPr>
      </xdr:nvSpPr>
      <xdr:spPr bwMode="auto">
        <a:xfrm rot="7084349">
          <a:off x="5288778" y="22430092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376517</xdr:colOff>
      <xdr:row>119</xdr:row>
      <xdr:rowOff>26894</xdr:rowOff>
    </xdr:from>
    <xdr:to>
      <xdr:col>11</xdr:col>
      <xdr:colOff>518795</xdr:colOff>
      <xdr:row>120</xdr:row>
      <xdr:rowOff>152037</xdr:rowOff>
    </xdr:to>
    <xdr:sp macro="" textlink="">
      <xdr:nvSpPr>
        <xdr:cNvPr id="447" name="AutoShape 301">
          <a:extLst>
            <a:ext uri="{FF2B5EF4-FFF2-40B4-BE49-F238E27FC236}">
              <a16:creationId xmlns="" xmlns:a16="http://schemas.microsoft.com/office/drawing/2014/main" id="{23B61D51-7904-4696-982E-B90C77665239}"/>
            </a:ext>
          </a:extLst>
        </xdr:cNvPr>
        <xdr:cNvSpPr>
          <a:spLocks noChangeArrowheads="1"/>
        </xdr:cNvSpPr>
      </xdr:nvSpPr>
      <xdr:spPr bwMode="auto">
        <a:xfrm rot="7084349">
          <a:off x="6543837" y="22403198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376517</xdr:colOff>
      <xdr:row>119</xdr:row>
      <xdr:rowOff>53788</xdr:rowOff>
    </xdr:from>
    <xdr:to>
      <xdr:col>17</xdr:col>
      <xdr:colOff>518795</xdr:colOff>
      <xdr:row>120</xdr:row>
      <xdr:rowOff>178931</xdr:rowOff>
    </xdr:to>
    <xdr:sp macro="" textlink="">
      <xdr:nvSpPr>
        <xdr:cNvPr id="449" name="AutoShape 301">
          <a:extLst>
            <a:ext uri="{FF2B5EF4-FFF2-40B4-BE49-F238E27FC236}">
              <a16:creationId xmlns="" xmlns:a16="http://schemas.microsoft.com/office/drawing/2014/main" id="{4B2547E5-5002-4D68-BD39-E45A898061E1}"/>
            </a:ext>
          </a:extLst>
        </xdr:cNvPr>
        <xdr:cNvSpPr>
          <a:spLocks noChangeArrowheads="1"/>
        </xdr:cNvSpPr>
      </xdr:nvSpPr>
      <xdr:spPr bwMode="auto">
        <a:xfrm rot="7084349">
          <a:off x="10309013" y="22430092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197223</xdr:colOff>
      <xdr:row>129</xdr:row>
      <xdr:rowOff>26895</xdr:rowOff>
    </xdr:from>
    <xdr:to>
      <xdr:col>15</xdr:col>
      <xdr:colOff>339501</xdr:colOff>
      <xdr:row>130</xdr:row>
      <xdr:rowOff>152038</xdr:rowOff>
    </xdr:to>
    <xdr:sp macro="" textlink="">
      <xdr:nvSpPr>
        <xdr:cNvPr id="450" name="AutoShape 301">
          <a:extLst>
            <a:ext uri="{FF2B5EF4-FFF2-40B4-BE49-F238E27FC236}">
              <a16:creationId xmlns="" xmlns:a16="http://schemas.microsoft.com/office/drawing/2014/main" id="{F0E374D9-E7DF-47BE-8369-93B4B39F2CD8}"/>
            </a:ext>
          </a:extLst>
        </xdr:cNvPr>
        <xdr:cNvSpPr>
          <a:spLocks noChangeArrowheads="1"/>
        </xdr:cNvSpPr>
      </xdr:nvSpPr>
      <xdr:spPr bwMode="auto">
        <a:xfrm rot="7084349">
          <a:off x="8874661" y="24267857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419192</xdr:colOff>
      <xdr:row>129</xdr:row>
      <xdr:rowOff>89272</xdr:rowOff>
    </xdr:from>
    <xdr:to>
      <xdr:col>21</xdr:col>
      <xdr:colOff>597977</xdr:colOff>
      <xdr:row>131</xdr:row>
      <xdr:rowOff>35120</xdr:rowOff>
    </xdr:to>
    <xdr:sp macro="" textlink="">
      <xdr:nvSpPr>
        <xdr:cNvPr id="451" name="AutoShape 301">
          <a:extLst>
            <a:ext uri="{FF2B5EF4-FFF2-40B4-BE49-F238E27FC236}">
              <a16:creationId xmlns="" xmlns:a16="http://schemas.microsoft.com/office/drawing/2014/main" id="{3AD36D66-367E-4CBC-9DAD-7F176B67EF19}"/>
            </a:ext>
          </a:extLst>
        </xdr:cNvPr>
        <xdr:cNvSpPr>
          <a:spLocks noChangeArrowheads="1"/>
        </xdr:cNvSpPr>
      </xdr:nvSpPr>
      <xdr:spPr bwMode="auto">
        <a:xfrm rot="7084349">
          <a:off x="12880060" y="24311980"/>
          <a:ext cx="304437" cy="178785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624805</xdr:colOff>
      <xdr:row>15</xdr:row>
      <xdr:rowOff>78147</xdr:rowOff>
    </xdr:from>
    <xdr:to>
      <xdr:col>8</xdr:col>
      <xdr:colOff>620233</xdr:colOff>
      <xdr:row>16</xdr:row>
      <xdr:rowOff>177207</xdr:rowOff>
    </xdr:to>
    <xdr:sp macro="" textlink="">
      <xdr:nvSpPr>
        <xdr:cNvPr id="14" name="Isosceles Triangle 13">
          <a:extLst>
            <a:ext uri="{FF2B5EF4-FFF2-40B4-BE49-F238E27FC236}">
              <a16:creationId xmlns="" xmlns:a16="http://schemas.microsoft.com/office/drawing/2014/main" id="{7A99CE9A-E6E8-4187-96AE-A454B7A8967F}"/>
            </a:ext>
          </a:extLst>
        </xdr:cNvPr>
        <xdr:cNvSpPr/>
      </xdr:nvSpPr>
      <xdr:spPr>
        <a:xfrm>
          <a:off x="4366225" y="2783247"/>
          <a:ext cx="620268" cy="304800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7363</xdr:colOff>
      <xdr:row>15</xdr:row>
      <xdr:rowOff>79263</xdr:rowOff>
    </xdr:from>
    <xdr:to>
      <xdr:col>11</xdr:col>
      <xdr:colOff>2790</xdr:colOff>
      <xdr:row>16</xdr:row>
      <xdr:rowOff>165623</xdr:rowOff>
    </xdr:to>
    <xdr:sp macro="" textlink="">
      <xdr:nvSpPr>
        <xdr:cNvPr id="15" name="Isosceles Triangle 14">
          <a:extLst>
            <a:ext uri="{FF2B5EF4-FFF2-40B4-BE49-F238E27FC236}">
              <a16:creationId xmlns="" xmlns:a16="http://schemas.microsoft.com/office/drawing/2014/main" id="{B58D26A2-8B34-45FD-8217-FF13A88149BA}"/>
            </a:ext>
          </a:extLst>
        </xdr:cNvPr>
        <xdr:cNvSpPr/>
      </xdr:nvSpPr>
      <xdr:spPr>
        <a:xfrm>
          <a:off x="5700592" y="2593863"/>
          <a:ext cx="626798" cy="29318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000" b="0" i="0" u="none" strike="noStrike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8</xdr:col>
      <xdr:colOff>4572</xdr:colOff>
      <xdr:row>24</xdr:row>
      <xdr:rowOff>78147</xdr:rowOff>
    </xdr:from>
    <xdr:to>
      <xdr:col>9</xdr:col>
      <xdr:colOff>0</xdr:colOff>
      <xdr:row>25</xdr:row>
      <xdr:rowOff>192447</xdr:rowOff>
    </xdr:to>
    <xdr:sp macro="" textlink="">
      <xdr:nvSpPr>
        <xdr:cNvPr id="17" name="Isosceles Triangle 16">
          <a:extLst>
            <a:ext uri="{FF2B5EF4-FFF2-40B4-BE49-F238E27FC236}">
              <a16:creationId xmlns="" xmlns:a16="http://schemas.microsoft.com/office/drawing/2014/main" id="{77CD35C7-02A0-42F8-A68D-2464C23FFC08}"/>
            </a:ext>
          </a:extLst>
        </xdr:cNvPr>
        <xdr:cNvSpPr/>
      </xdr:nvSpPr>
      <xdr:spPr>
        <a:xfrm>
          <a:off x="437083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28" name="Isosceles Triangle 27">
          <a:extLst>
            <a:ext uri="{FF2B5EF4-FFF2-40B4-BE49-F238E27FC236}">
              <a16:creationId xmlns="" xmlns:a16="http://schemas.microsoft.com/office/drawing/2014/main" id="{704FF7B2-6F64-445A-8DD0-B55A92693671}"/>
            </a:ext>
          </a:extLst>
        </xdr:cNvPr>
        <xdr:cNvSpPr/>
      </xdr:nvSpPr>
      <xdr:spPr>
        <a:xfrm>
          <a:off x="5620512" y="4406307"/>
          <a:ext cx="620268" cy="31242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30" name="Isosceles Triangle 29">
          <a:extLst>
            <a:ext uri="{FF2B5EF4-FFF2-40B4-BE49-F238E27FC236}">
              <a16:creationId xmlns="" xmlns:a16="http://schemas.microsoft.com/office/drawing/2014/main" id="{CA1FD673-517F-4179-BDDB-6DDA8F5CB951}"/>
            </a:ext>
          </a:extLst>
        </xdr:cNvPr>
        <xdr:cNvSpPr/>
      </xdr:nvSpPr>
      <xdr:spPr>
        <a:xfrm>
          <a:off x="1856232" y="6387507"/>
          <a:ext cx="620268" cy="28194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34" name="Isosceles Triangle 33">
          <a:extLst>
            <a:ext uri="{FF2B5EF4-FFF2-40B4-BE49-F238E27FC236}">
              <a16:creationId xmlns="" xmlns:a16="http://schemas.microsoft.com/office/drawing/2014/main" id="{0D19B7A3-EBE5-4653-BE33-48B960AAE0CA}"/>
            </a:ext>
          </a:extLst>
        </xdr:cNvPr>
        <xdr:cNvSpPr/>
      </xdr:nvSpPr>
      <xdr:spPr>
        <a:xfrm>
          <a:off x="43708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36" name="Isosceles Triangle 35">
          <a:extLst>
            <a:ext uri="{FF2B5EF4-FFF2-40B4-BE49-F238E27FC236}">
              <a16:creationId xmlns="" xmlns:a16="http://schemas.microsoft.com/office/drawing/2014/main" id="{575139EE-44CA-4677-9453-34F7DC2AC2B5}"/>
            </a:ext>
          </a:extLst>
        </xdr:cNvPr>
        <xdr:cNvSpPr/>
      </xdr:nvSpPr>
      <xdr:spPr>
        <a:xfrm>
          <a:off x="5620512" y="6387507"/>
          <a:ext cx="620268" cy="28194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38" name="Isosceles Triangle 37">
          <a:extLst>
            <a:ext uri="{FF2B5EF4-FFF2-40B4-BE49-F238E27FC236}">
              <a16:creationId xmlns="" xmlns:a16="http://schemas.microsoft.com/office/drawing/2014/main" id="{BC52673D-AEE6-458C-A462-208C673639D2}"/>
            </a:ext>
          </a:extLst>
        </xdr:cNvPr>
        <xdr:cNvSpPr/>
      </xdr:nvSpPr>
      <xdr:spPr>
        <a:xfrm>
          <a:off x="687019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78147</xdr:rowOff>
    </xdr:from>
    <xdr:to>
      <xdr:col>15</xdr:col>
      <xdr:colOff>0</xdr:colOff>
      <xdr:row>36</xdr:row>
      <xdr:rowOff>192447</xdr:rowOff>
    </xdr:to>
    <xdr:sp macro="" textlink="">
      <xdr:nvSpPr>
        <xdr:cNvPr id="39" name="Isosceles Triangle 38">
          <a:extLst>
            <a:ext uri="{FF2B5EF4-FFF2-40B4-BE49-F238E27FC236}">
              <a16:creationId xmlns="" xmlns:a16="http://schemas.microsoft.com/office/drawing/2014/main" id="{EF61B5AE-FA34-4343-BC10-C92206AF2F59}"/>
            </a:ext>
          </a:extLst>
        </xdr:cNvPr>
        <xdr:cNvSpPr/>
      </xdr:nvSpPr>
      <xdr:spPr>
        <a:xfrm>
          <a:off x="8119872" y="6387507"/>
          <a:ext cx="620268" cy="28194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44" name="Isosceles Triangle 43">
          <a:extLst>
            <a:ext uri="{FF2B5EF4-FFF2-40B4-BE49-F238E27FC236}">
              <a16:creationId xmlns="" xmlns:a16="http://schemas.microsoft.com/office/drawing/2014/main" id="{6037B30C-BF5C-4F1C-BA19-E32C4FEB5084}"/>
            </a:ext>
          </a:extLst>
        </xdr:cNvPr>
        <xdr:cNvSpPr/>
      </xdr:nvSpPr>
      <xdr:spPr>
        <a:xfrm>
          <a:off x="93695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59" name="Isosceles Triangle 58">
          <a:extLst>
            <a:ext uri="{FF2B5EF4-FFF2-40B4-BE49-F238E27FC236}">
              <a16:creationId xmlns="" xmlns:a16="http://schemas.microsoft.com/office/drawing/2014/main" id="{A9D8C7B8-9CBC-4C7D-BD71-8592E2D329E7}"/>
            </a:ext>
          </a:extLst>
        </xdr:cNvPr>
        <xdr:cNvSpPr/>
      </xdr:nvSpPr>
      <xdr:spPr>
        <a:xfrm>
          <a:off x="10619232" y="6387507"/>
          <a:ext cx="620268" cy="28194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53</xdr:row>
      <xdr:rowOff>78147</xdr:rowOff>
    </xdr:from>
    <xdr:to>
      <xdr:col>13</xdr:col>
      <xdr:colOff>0</xdr:colOff>
      <xdr:row>54</xdr:row>
      <xdr:rowOff>192447</xdr:rowOff>
    </xdr:to>
    <xdr:sp macro="" textlink="">
      <xdr:nvSpPr>
        <xdr:cNvPr id="60" name="Isosceles Triangle 59">
          <a:extLst>
            <a:ext uri="{FF2B5EF4-FFF2-40B4-BE49-F238E27FC236}">
              <a16:creationId xmlns="" xmlns:a16="http://schemas.microsoft.com/office/drawing/2014/main" id="{D9720390-489A-41EE-A63A-19FB5C784347}"/>
            </a:ext>
          </a:extLst>
        </xdr:cNvPr>
        <xdr:cNvSpPr/>
      </xdr:nvSpPr>
      <xdr:spPr>
        <a:xfrm>
          <a:off x="687019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4572</xdr:colOff>
      <xdr:row>44</xdr:row>
      <xdr:rowOff>66774</xdr:rowOff>
    </xdr:from>
    <xdr:to>
      <xdr:col>21</xdr:col>
      <xdr:colOff>0</xdr:colOff>
      <xdr:row>45</xdr:row>
      <xdr:rowOff>165834</xdr:rowOff>
    </xdr:to>
    <xdr:sp macro="" textlink="">
      <xdr:nvSpPr>
        <xdr:cNvPr id="61" name="Isosceles Triangle 60">
          <a:extLst>
            <a:ext uri="{FF2B5EF4-FFF2-40B4-BE49-F238E27FC236}">
              <a16:creationId xmlns="" xmlns:a16="http://schemas.microsoft.com/office/drawing/2014/main" id="{1AC353F9-E80D-42A0-A46C-FC8BEA2D25A1}"/>
            </a:ext>
          </a:extLst>
        </xdr:cNvPr>
        <xdr:cNvSpPr/>
      </xdr:nvSpPr>
      <xdr:spPr>
        <a:xfrm>
          <a:off x="11868912" y="7922994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53</xdr:row>
      <xdr:rowOff>78147</xdr:rowOff>
    </xdr:from>
    <xdr:to>
      <xdr:col>5</xdr:col>
      <xdr:colOff>0</xdr:colOff>
      <xdr:row>54</xdr:row>
      <xdr:rowOff>192447</xdr:rowOff>
    </xdr:to>
    <xdr:sp macro="" textlink="">
      <xdr:nvSpPr>
        <xdr:cNvPr id="133" name="Isosceles Triangle 132">
          <a:extLst>
            <a:ext uri="{FF2B5EF4-FFF2-40B4-BE49-F238E27FC236}">
              <a16:creationId xmlns="" xmlns:a16="http://schemas.microsoft.com/office/drawing/2014/main" id="{65354069-CAB0-40F6-AB3E-A3AEB89E4A2D}"/>
            </a:ext>
          </a:extLst>
        </xdr:cNvPr>
        <xdr:cNvSpPr/>
      </xdr:nvSpPr>
      <xdr:spPr>
        <a:xfrm>
          <a:off x="1856232" y="9488847"/>
          <a:ext cx="620268" cy="28956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176784</xdr:colOff>
      <xdr:row>157</xdr:row>
      <xdr:rowOff>146304</xdr:rowOff>
    </xdr:from>
    <xdr:to>
      <xdr:col>12</xdr:col>
      <xdr:colOff>443484</xdr:colOff>
      <xdr:row>159</xdr:row>
      <xdr:rowOff>64770</xdr:rowOff>
    </xdr:to>
    <xdr:sp macro="" textlink="">
      <xdr:nvSpPr>
        <xdr:cNvPr id="136" name="Line 327">
          <a:extLst>
            <a:ext uri="{FF2B5EF4-FFF2-40B4-BE49-F238E27FC236}">
              <a16:creationId xmlns="" xmlns:a16="http://schemas.microsoft.com/office/drawing/2014/main" id="{0C2D478A-1D3C-4EAF-9551-16CD59201424}"/>
            </a:ext>
          </a:extLst>
        </xdr:cNvPr>
        <xdr:cNvSpPr>
          <a:spLocks noChangeShapeType="1"/>
        </xdr:cNvSpPr>
      </xdr:nvSpPr>
      <xdr:spPr bwMode="auto">
        <a:xfrm flipH="1">
          <a:off x="7042404" y="29155644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212217</xdr:colOff>
      <xdr:row>157</xdr:row>
      <xdr:rowOff>172974</xdr:rowOff>
    </xdr:from>
    <xdr:to>
      <xdr:col>12</xdr:col>
      <xdr:colOff>478917</xdr:colOff>
      <xdr:row>159</xdr:row>
      <xdr:rowOff>91440</xdr:rowOff>
    </xdr:to>
    <xdr:sp macro="" textlink="">
      <xdr:nvSpPr>
        <xdr:cNvPr id="139" name="Line 327">
          <a:extLst>
            <a:ext uri="{FF2B5EF4-FFF2-40B4-BE49-F238E27FC236}">
              <a16:creationId xmlns="" xmlns:a16="http://schemas.microsoft.com/office/drawing/2014/main" id="{1ED01202-F7BA-4709-B1F2-A9DB87E78743}"/>
            </a:ext>
          </a:extLst>
        </xdr:cNvPr>
        <xdr:cNvSpPr>
          <a:spLocks noChangeShapeType="1"/>
        </xdr:cNvSpPr>
      </xdr:nvSpPr>
      <xdr:spPr bwMode="auto">
        <a:xfrm flipH="1">
          <a:off x="7077837" y="29182314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182044</xdr:colOff>
      <xdr:row>161</xdr:row>
      <xdr:rowOff>138432</xdr:rowOff>
    </xdr:from>
    <xdr:to>
      <xdr:col>5</xdr:col>
      <xdr:colOff>349761</xdr:colOff>
      <xdr:row>163</xdr:row>
      <xdr:rowOff>106839</xdr:rowOff>
    </xdr:to>
    <xdr:sp macro="" textlink="">
      <xdr:nvSpPr>
        <xdr:cNvPr id="140" name="AutoShape 301">
          <a:extLst>
            <a:ext uri="{FF2B5EF4-FFF2-40B4-BE49-F238E27FC236}">
              <a16:creationId xmlns="" xmlns:a16="http://schemas.microsoft.com/office/drawing/2014/main" id="{9545E206-C953-49E8-AA25-FFD3DED71B5C}"/>
            </a:ext>
          </a:extLst>
        </xdr:cNvPr>
        <xdr:cNvSpPr>
          <a:spLocks noChangeArrowheads="1"/>
        </xdr:cNvSpPr>
      </xdr:nvSpPr>
      <xdr:spPr bwMode="auto">
        <a:xfrm rot="7084349">
          <a:off x="2590559" y="29985377"/>
          <a:ext cx="303687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146" name="Line 318">
          <a:extLst>
            <a:ext uri="{FF2B5EF4-FFF2-40B4-BE49-F238E27FC236}">
              <a16:creationId xmlns="" xmlns:a16="http://schemas.microsoft.com/office/drawing/2014/main" id="{50665E5B-9B92-4960-A1A4-7DDB69BACE30}"/>
            </a:ext>
          </a:extLst>
        </xdr:cNvPr>
        <xdr:cNvSpPr>
          <a:spLocks noChangeShapeType="1"/>
        </xdr:cNvSpPr>
      </xdr:nvSpPr>
      <xdr:spPr bwMode="auto">
        <a:xfrm>
          <a:off x="10313670" y="286702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148" name="Line 318">
          <a:extLst>
            <a:ext uri="{FF2B5EF4-FFF2-40B4-BE49-F238E27FC236}">
              <a16:creationId xmlns="" xmlns:a16="http://schemas.microsoft.com/office/drawing/2014/main" id="{EA4065B3-85D7-44CD-ADC4-4E0D0EFECC9B}"/>
            </a:ext>
          </a:extLst>
        </xdr:cNvPr>
        <xdr:cNvSpPr>
          <a:spLocks noChangeShapeType="1"/>
        </xdr:cNvSpPr>
      </xdr:nvSpPr>
      <xdr:spPr bwMode="auto">
        <a:xfrm>
          <a:off x="10323195" y="2881312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151" name="Line 318">
          <a:extLst>
            <a:ext uri="{FF2B5EF4-FFF2-40B4-BE49-F238E27FC236}">
              <a16:creationId xmlns="" xmlns:a16="http://schemas.microsoft.com/office/drawing/2014/main" id="{8B806F76-A3DC-425A-BAB7-FCAA9A4CBE2D}"/>
            </a:ext>
          </a:extLst>
        </xdr:cNvPr>
        <xdr:cNvSpPr>
          <a:spLocks noChangeShapeType="1"/>
        </xdr:cNvSpPr>
      </xdr:nvSpPr>
      <xdr:spPr bwMode="auto">
        <a:xfrm>
          <a:off x="10313670" y="287464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152" name="Line 305">
          <a:extLst>
            <a:ext uri="{FF2B5EF4-FFF2-40B4-BE49-F238E27FC236}">
              <a16:creationId xmlns="" xmlns:a16="http://schemas.microsoft.com/office/drawing/2014/main" id="{DBCB8894-F551-4708-B22B-86E4ADA0A51D}"/>
            </a:ext>
          </a:extLst>
        </xdr:cNvPr>
        <xdr:cNvSpPr>
          <a:spLocks noChangeShapeType="1"/>
        </xdr:cNvSpPr>
      </xdr:nvSpPr>
      <xdr:spPr bwMode="auto">
        <a:xfrm flipH="1">
          <a:off x="10323195" y="28651200"/>
          <a:ext cx="0" cy="20383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157" name="Line 305">
          <a:extLst>
            <a:ext uri="{FF2B5EF4-FFF2-40B4-BE49-F238E27FC236}">
              <a16:creationId xmlns="" xmlns:a16="http://schemas.microsoft.com/office/drawing/2014/main" id="{1A8D4E64-E63A-4DB4-B4B0-7BB04F860694}"/>
            </a:ext>
          </a:extLst>
        </xdr:cNvPr>
        <xdr:cNvSpPr>
          <a:spLocks noChangeShapeType="1"/>
        </xdr:cNvSpPr>
      </xdr:nvSpPr>
      <xdr:spPr bwMode="auto">
        <a:xfrm flipH="1">
          <a:off x="10504170" y="28651200"/>
          <a:ext cx="0" cy="21336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17</xdr:col>
      <xdr:colOff>126762</xdr:colOff>
      <xdr:row>157</xdr:row>
      <xdr:rowOff>31768</xdr:rowOff>
    </xdr:from>
    <xdr:to>
      <xdr:col>17</xdr:col>
      <xdr:colOff>446331</xdr:colOff>
      <xdr:row>159</xdr:row>
      <xdr:rowOff>78783</xdr:rowOff>
    </xdr:to>
    <xdr:pic>
      <xdr:nvPicPr>
        <xdr:cNvPr id="158" name="Picture 157">
          <a:extLst>
            <a:ext uri="{FF2B5EF4-FFF2-40B4-BE49-F238E27FC236}">
              <a16:creationId xmlns="" xmlns:a16="http://schemas.microsoft.com/office/drawing/2014/main" id="{EF859C52-E941-45EA-A84F-1BEDB9261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6582" y="29041108"/>
          <a:ext cx="319569" cy="481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94519</xdr:colOff>
      <xdr:row>163</xdr:row>
      <xdr:rowOff>124544</xdr:rowOff>
    </xdr:from>
    <xdr:to>
      <xdr:col>17</xdr:col>
      <xdr:colOff>287713</xdr:colOff>
      <xdr:row>165</xdr:row>
      <xdr:rowOff>132319</xdr:rowOff>
    </xdr:to>
    <xdr:sp macro="" textlink="">
      <xdr:nvSpPr>
        <xdr:cNvPr id="159" name="Parallelogram 158">
          <a:extLst>
            <a:ext uri="{FF2B5EF4-FFF2-40B4-BE49-F238E27FC236}">
              <a16:creationId xmlns="" xmlns:a16="http://schemas.microsoft.com/office/drawing/2014/main" id="{1C2BD3D7-FA81-4A72-BE8D-DEE00A23BEF7}"/>
            </a:ext>
          </a:extLst>
        </xdr:cNvPr>
        <xdr:cNvSpPr/>
      </xdr:nvSpPr>
      <xdr:spPr>
        <a:xfrm rot="1440000">
          <a:off x="10084339" y="30238784"/>
          <a:ext cx="193194" cy="282095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85701</xdr:colOff>
      <xdr:row>163</xdr:row>
      <xdr:rowOff>150580</xdr:rowOff>
    </xdr:from>
    <xdr:to>
      <xdr:col>17</xdr:col>
      <xdr:colOff>282394</xdr:colOff>
      <xdr:row>165</xdr:row>
      <xdr:rowOff>118335</xdr:rowOff>
    </xdr:to>
    <xdr:cxnSp macro="">
      <xdr:nvCxnSpPr>
        <xdr:cNvPr id="168" name="Straight Connector 167">
          <a:extLst>
            <a:ext uri="{FF2B5EF4-FFF2-40B4-BE49-F238E27FC236}">
              <a16:creationId xmlns="" xmlns:a16="http://schemas.microsoft.com/office/drawing/2014/main" id="{6E75D7CA-D6B3-4DD9-BA30-A3FE0D753313}"/>
            </a:ext>
          </a:extLst>
        </xdr:cNvPr>
        <xdr:cNvCxnSpPr/>
      </xdr:nvCxnSpPr>
      <xdr:spPr>
        <a:xfrm flipH="1">
          <a:off x="10075521" y="30264820"/>
          <a:ext cx="196693" cy="249695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</xdr:colOff>
      <xdr:row>149</xdr:row>
      <xdr:rowOff>78147</xdr:rowOff>
    </xdr:from>
    <xdr:to>
      <xdr:col>7</xdr:col>
      <xdr:colOff>0</xdr:colOff>
      <xdr:row>151</xdr:row>
      <xdr:rowOff>0</xdr:rowOff>
    </xdr:to>
    <xdr:sp macro="" textlink="">
      <xdr:nvSpPr>
        <xdr:cNvPr id="174" name="Isosceles Triangle 173">
          <a:extLst>
            <a:ext uri="{FF2B5EF4-FFF2-40B4-BE49-F238E27FC236}">
              <a16:creationId xmlns="" xmlns:a16="http://schemas.microsoft.com/office/drawing/2014/main" id="{4E135CCB-AFF6-4330-A63C-9C4B8E0309F1}"/>
            </a:ext>
          </a:extLst>
        </xdr:cNvPr>
        <xdr:cNvSpPr/>
      </xdr:nvSpPr>
      <xdr:spPr>
        <a:xfrm>
          <a:off x="3121152" y="27670167"/>
          <a:ext cx="620268" cy="264753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176" name="Isosceles Triangle 175">
          <a:extLst>
            <a:ext uri="{FF2B5EF4-FFF2-40B4-BE49-F238E27FC236}">
              <a16:creationId xmlns="" xmlns:a16="http://schemas.microsoft.com/office/drawing/2014/main" id="{C5084302-ADD4-4693-9D4F-6A38E79E1D76}"/>
            </a:ext>
          </a:extLst>
        </xdr:cNvPr>
        <xdr:cNvSpPr/>
      </xdr:nvSpPr>
      <xdr:spPr>
        <a:xfrm>
          <a:off x="4370832" y="27670167"/>
          <a:ext cx="620268" cy="2667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178" name="Isosceles Triangle 177">
          <a:extLst>
            <a:ext uri="{FF2B5EF4-FFF2-40B4-BE49-F238E27FC236}">
              <a16:creationId xmlns="" xmlns:a16="http://schemas.microsoft.com/office/drawing/2014/main" id="{FDABCF93-8B97-4958-AF61-9633C432472D}"/>
            </a:ext>
          </a:extLst>
        </xdr:cNvPr>
        <xdr:cNvSpPr/>
      </xdr:nvSpPr>
      <xdr:spPr>
        <a:xfrm>
          <a:off x="5620512" y="27670167"/>
          <a:ext cx="620268" cy="266700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624805</xdr:colOff>
      <xdr:row>15</xdr:row>
      <xdr:rowOff>78147</xdr:rowOff>
    </xdr:from>
    <xdr:to>
      <xdr:col>4</xdr:col>
      <xdr:colOff>611373</xdr:colOff>
      <xdr:row>16</xdr:row>
      <xdr:rowOff>177207</xdr:rowOff>
    </xdr:to>
    <xdr:sp macro="" textlink="">
      <xdr:nvSpPr>
        <xdr:cNvPr id="305" name="Isosceles Triangle 304">
          <a:extLst>
            <a:ext uri="{FF2B5EF4-FFF2-40B4-BE49-F238E27FC236}">
              <a16:creationId xmlns="" xmlns:a16="http://schemas.microsoft.com/office/drawing/2014/main" id="{9EE2B9E4-A4E4-49B9-941B-A459DC2A6CC7}"/>
            </a:ext>
          </a:extLst>
        </xdr:cNvPr>
        <xdr:cNvSpPr/>
      </xdr:nvSpPr>
      <xdr:spPr>
        <a:xfrm>
          <a:off x="1836385" y="2783247"/>
          <a:ext cx="626648" cy="304800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624806</xdr:colOff>
      <xdr:row>15</xdr:row>
      <xdr:rowOff>78147</xdr:rowOff>
    </xdr:from>
    <xdr:to>
      <xdr:col>6</xdr:col>
      <xdr:colOff>611373</xdr:colOff>
      <xdr:row>16</xdr:row>
      <xdr:rowOff>173397</xdr:rowOff>
    </xdr:to>
    <xdr:sp macro="" textlink="">
      <xdr:nvSpPr>
        <xdr:cNvPr id="308" name="Isosceles Triangle 307">
          <a:extLst>
            <a:ext uri="{FF2B5EF4-FFF2-40B4-BE49-F238E27FC236}">
              <a16:creationId xmlns="" xmlns:a16="http://schemas.microsoft.com/office/drawing/2014/main" id="{33F9BFDC-3C94-4093-A7E9-F7AB53F52894}"/>
            </a:ext>
          </a:extLst>
        </xdr:cNvPr>
        <xdr:cNvSpPr/>
      </xdr:nvSpPr>
      <xdr:spPr>
        <a:xfrm>
          <a:off x="3101306" y="2783247"/>
          <a:ext cx="626647" cy="300990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123265</xdr:colOff>
      <xdr:row>151</xdr:row>
      <xdr:rowOff>11206</xdr:rowOff>
    </xdr:from>
    <xdr:to>
      <xdr:col>11</xdr:col>
      <xdr:colOff>212913</xdr:colOff>
      <xdr:row>151</xdr:row>
      <xdr:rowOff>156883</xdr:rowOff>
    </xdr:to>
    <xdr:sp macro="" textlink="">
      <xdr:nvSpPr>
        <xdr:cNvPr id="309" name="Curved Down Ribbon 284">
          <a:extLst>
            <a:ext uri="{FF2B5EF4-FFF2-40B4-BE49-F238E27FC236}">
              <a16:creationId xmlns="" xmlns:a16="http://schemas.microsoft.com/office/drawing/2014/main" id="{E493348E-CDA2-485E-B25C-3174C7BFFAA3}"/>
            </a:ext>
          </a:extLst>
        </xdr:cNvPr>
        <xdr:cNvSpPr/>
      </xdr:nvSpPr>
      <xdr:spPr>
        <a:xfrm>
          <a:off x="6364045" y="2794612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391" name="Isosceles Triangle 390">
          <a:extLst>
            <a:ext uri="{FF2B5EF4-FFF2-40B4-BE49-F238E27FC236}">
              <a16:creationId xmlns="" xmlns:a16="http://schemas.microsoft.com/office/drawing/2014/main" id="{720ED1EB-E349-4967-BA76-69DF6F7DE68D}"/>
            </a:ext>
          </a:extLst>
        </xdr:cNvPr>
        <xdr:cNvSpPr/>
      </xdr:nvSpPr>
      <xdr:spPr>
        <a:xfrm>
          <a:off x="9989820" y="27592020"/>
          <a:ext cx="609261" cy="262890"/>
        </a:xfrm>
        <a:prstGeom prst="triangle">
          <a:avLst/>
        </a:prstGeom>
        <a:solidFill>
          <a:srgbClr val="00B0F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452" name="Isosceles Triangle 451">
          <a:extLst>
            <a:ext uri="{FF2B5EF4-FFF2-40B4-BE49-F238E27FC236}">
              <a16:creationId xmlns="" xmlns:a16="http://schemas.microsoft.com/office/drawing/2014/main" id="{CFC83E40-FE33-45FF-9631-0BB13F29C7AC}"/>
            </a:ext>
          </a:extLst>
        </xdr:cNvPr>
        <xdr:cNvSpPr/>
      </xdr:nvSpPr>
      <xdr:spPr>
        <a:xfrm>
          <a:off x="9989820" y="28125420"/>
          <a:ext cx="609261" cy="264522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95250</xdr:rowOff>
    </xdr:from>
    <xdr:to>
      <xdr:col>17</xdr:col>
      <xdr:colOff>353787</xdr:colOff>
      <xdr:row>153</xdr:row>
      <xdr:rowOff>68035</xdr:rowOff>
    </xdr:to>
    <xdr:sp macro="" textlink="">
      <xdr:nvSpPr>
        <xdr:cNvPr id="453" name="Curved Right Arrow 287">
          <a:extLst>
            <a:ext uri="{FF2B5EF4-FFF2-40B4-BE49-F238E27FC236}">
              <a16:creationId xmlns="" xmlns:a16="http://schemas.microsoft.com/office/drawing/2014/main" id="{A8A44CC8-1823-46D0-9786-D9CFAF50ECBE}"/>
            </a:ext>
          </a:extLst>
        </xdr:cNvPr>
        <xdr:cNvSpPr/>
      </xdr:nvSpPr>
      <xdr:spPr>
        <a:xfrm>
          <a:off x="10193928" y="28220670"/>
          <a:ext cx="149679" cy="155665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150</xdr:row>
      <xdr:rowOff>13608</xdr:rowOff>
    </xdr:from>
    <xdr:to>
      <xdr:col>10</xdr:col>
      <xdr:colOff>381000</xdr:colOff>
      <xdr:row>150</xdr:row>
      <xdr:rowOff>149679</xdr:rowOff>
    </xdr:to>
    <xdr:sp macro="" textlink="">
      <xdr:nvSpPr>
        <xdr:cNvPr id="454" name="Flowchart: Connector 453">
          <a:extLst>
            <a:ext uri="{FF2B5EF4-FFF2-40B4-BE49-F238E27FC236}">
              <a16:creationId xmlns="" xmlns:a16="http://schemas.microsoft.com/office/drawing/2014/main" id="{7EE45E4A-FD28-407E-BA3B-E4F3987B3889}"/>
            </a:ext>
          </a:extLst>
        </xdr:cNvPr>
        <xdr:cNvSpPr/>
      </xdr:nvSpPr>
      <xdr:spPr>
        <a:xfrm>
          <a:off x="5860868" y="27773268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457" name="Straight Arrow Connector 456">
          <a:extLst>
            <a:ext uri="{FF2B5EF4-FFF2-40B4-BE49-F238E27FC236}">
              <a16:creationId xmlns="" xmlns:a16="http://schemas.microsoft.com/office/drawing/2014/main" id="{39EF1C41-0BD3-4B56-A284-0DF969C16D7B}"/>
            </a:ext>
          </a:extLst>
        </xdr:cNvPr>
        <xdr:cNvCxnSpPr>
          <a:endCxn id="178" idx="5"/>
        </xdr:cNvCxnSpPr>
      </xdr:nvCxnSpPr>
      <xdr:spPr>
        <a:xfrm flipH="1">
          <a:off x="6076325" y="27687270"/>
          <a:ext cx="382169" cy="116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458" name="Curved Right Arrow 313">
          <a:extLst>
            <a:ext uri="{FF2B5EF4-FFF2-40B4-BE49-F238E27FC236}">
              <a16:creationId xmlns="" xmlns:a16="http://schemas.microsoft.com/office/drawing/2014/main" id="{EC38247C-6700-44FA-8432-298A26C0B6D1}"/>
            </a:ext>
          </a:extLst>
        </xdr:cNvPr>
        <xdr:cNvSpPr/>
      </xdr:nvSpPr>
      <xdr:spPr>
        <a:xfrm>
          <a:off x="8069253" y="49549636"/>
          <a:ext cx="162198" cy="154033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459" name="Curved Right Arrow 314">
          <a:extLst>
            <a:ext uri="{FF2B5EF4-FFF2-40B4-BE49-F238E27FC236}">
              <a16:creationId xmlns="" xmlns:a16="http://schemas.microsoft.com/office/drawing/2014/main" id="{58DA190F-9D4F-4B99-9A90-E14FF3CE1751}"/>
            </a:ext>
          </a:extLst>
        </xdr:cNvPr>
        <xdr:cNvSpPr/>
      </xdr:nvSpPr>
      <xdr:spPr>
        <a:xfrm>
          <a:off x="8234172" y="49706391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460" name="Curved Right Arrow 315">
          <a:extLst>
            <a:ext uri="{FF2B5EF4-FFF2-40B4-BE49-F238E27FC236}">
              <a16:creationId xmlns="" xmlns:a16="http://schemas.microsoft.com/office/drawing/2014/main" id="{110668E6-F254-4DBF-9676-FCD230C1EE1A}"/>
            </a:ext>
          </a:extLst>
        </xdr:cNvPr>
        <xdr:cNvSpPr/>
      </xdr:nvSpPr>
      <xdr:spPr>
        <a:xfrm>
          <a:off x="8386572" y="49863145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4572</xdr:colOff>
      <xdr:row>24</xdr:row>
      <xdr:rowOff>78147</xdr:rowOff>
    </xdr:from>
    <xdr:to>
      <xdr:col>7</xdr:col>
      <xdr:colOff>0</xdr:colOff>
      <xdr:row>25</xdr:row>
      <xdr:rowOff>192447</xdr:rowOff>
    </xdr:to>
    <xdr:sp macro="" textlink="">
      <xdr:nvSpPr>
        <xdr:cNvPr id="461" name="Isosceles Triangle 460">
          <a:extLst>
            <a:ext uri="{FF2B5EF4-FFF2-40B4-BE49-F238E27FC236}">
              <a16:creationId xmlns="" xmlns:a16="http://schemas.microsoft.com/office/drawing/2014/main" id="{CB04A39F-8F7C-4E39-96F4-C87F1C8BA8C7}"/>
            </a:ext>
          </a:extLst>
        </xdr:cNvPr>
        <xdr:cNvSpPr/>
      </xdr:nvSpPr>
      <xdr:spPr>
        <a:xfrm>
          <a:off x="312115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72</xdr:row>
      <xdr:rowOff>65708</xdr:rowOff>
    </xdr:from>
    <xdr:to>
      <xdr:col>17</xdr:col>
      <xdr:colOff>0</xdr:colOff>
      <xdr:row>73</xdr:row>
      <xdr:rowOff>160958</xdr:rowOff>
    </xdr:to>
    <xdr:sp macro="" textlink="">
      <xdr:nvSpPr>
        <xdr:cNvPr id="462" name="Isosceles Triangle 461">
          <a:extLst>
            <a:ext uri="{FF2B5EF4-FFF2-40B4-BE49-F238E27FC236}">
              <a16:creationId xmlns="" xmlns:a16="http://schemas.microsoft.com/office/drawing/2014/main" id="{7001FB3C-82AF-4611-905C-715BE2EDCD13}"/>
            </a:ext>
          </a:extLst>
        </xdr:cNvPr>
        <xdr:cNvSpPr/>
      </xdr:nvSpPr>
      <xdr:spPr>
        <a:xfrm>
          <a:off x="9369552" y="12745388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81</xdr:row>
      <xdr:rowOff>63195</xdr:rowOff>
    </xdr:from>
    <xdr:to>
      <xdr:col>21</xdr:col>
      <xdr:colOff>0</xdr:colOff>
      <xdr:row>82</xdr:row>
      <xdr:rowOff>158445</xdr:rowOff>
    </xdr:to>
    <xdr:sp macro="" textlink="">
      <xdr:nvSpPr>
        <xdr:cNvPr id="463" name="Isosceles Triangle 462">
          <a:extLst>
            <a:ext uri="{FF2B5EF4-FFF2-40B4-BE49-F238E27FC236}">
              <a16:creationId xmlns="" xmlns:a16="http://schemas.microsoft.com/office/drawing/2014/main" id="{FEF222CD-811F-4718-ADEA-31BDE6386379}"/>
            </a:ext>
          </a:extLst>
        </xdr:cNvPr>
        <xdr:cNvSpPr/>
      </xdr:nvSpPr>
      <xdr:spPr>
        <a:xfrm>
          <a:off x="11868912" y="14434515"/>
          <a:ext cx="620268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72</xdr:row>
      <xdr:rowOff>61479</xdr:rowOff>
    </xdr:from>
    <xdr:to>
      <xdr:col>9</xdr:col>
      <xdr:colOff>0</xdr:colOff>
      <xdr:row>73</xdr:row>
      <xdr:rowOff>156729</xdr:rowOff>
    </xdr:to>
    <xdr:sp macro="" textlink="">
      <xdr:nvSpPr>
        <xdr:cNvPr id="464" name="Isosceles Triangle 463">
          <a:extLst>
            <a:ext uri="{FF2B5EF4-FFF2-40B4-BE49-F238E27FC236}">
              <a16:creationId xmlns="" xmlns:a16="http://schemas.microsoft.com/office/drawing/2014/main" id="{CCD2A294-1DA3-449A-910E-82F72B9E5837}"/>
            </a:ext>
          </a:extLst>
        </xdr:cNvPr>
        <xdr:cNvSpPr/>
      </xdr:nvSpPr>
      <xdr:spPr>
        <a:xfrm>
          <a:off x="4370832" y="12741159"/>
          <a:ext cx="620268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135062</xdr:colOff>
      <xdr:row>157</xdr:row>
      <xdr:rowOff>113825</xdr:rowOff>
    </xdr:from>
    <xdr:to>
      <xdr:col>12</xdr:col>
      <xdr:colOff>401762</xdr:colOff>
      <xdr:row>159</xdr:row>
      <xdr:rowOff>32291</xdr:rowOff>
    </xdr:to>
    <xdr:sp macro="" textlink="">
      <xdr:nvSpPr>
        <xdr:cNvPr id="465" name="Line 327">
          <a:extLst>
            <a:ext uri="{FF2B5EF4-FFF2-40B4-BE49-F238E27FC236}">
              <a16:creationId xmlns="" xmlns:a16="http://schemas.microsoft.com/office/drawing/2014/main" id="{8D9668BC-502D-44E3-B49E-A3A343E59127}"/>
            </a:ext>
          </a:extLst>
        </xdr:cNvPr>
        <xdr:cNvSpPr>
          <a:spLocks noChangeShapeType="1"/>
        </xdr:cNvSpPr>
      </xdr:nvSpPr>
      <xdr:spPr bwMode="auto">
        <a:xfrm flipH="1">
          <a:off x="7000682" y="29123165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251841</xdr:colOff>
      <xdr:row>157</xdr:row>
      <xdr:rowOff>206502</xdr:rowOff>
    </xdr:from>
    <xdr:to>
      <xdr:col>12</xdr:col>
      <xdr:colOff>518541</xdr:colOff>
      <xdr:row>159</xdr:row>
      <xdr:rowOff>124968</xdr:rowOff>
    </xdr:to>
    <xdr:sp macro="" textlink="">
      <xdr:nvSpPr>
        <xdr:cNvPr id="466" name="Line 327">
          <a:extLst>
            <a:ext uri="{FF2B5EF4-FFF2-40B4-BE49-F238E27FC236}">
              <a16:creationId xmlns="" xmlns:a16="http://schemas.microsoft.com/office/drawing/2014/main" id="{F80EE868-AFB9-4CA8-B1D8-F9FE48953AC1}"/>
            </a:ext>
          </a:extLst>
        </xdr:cNvPr>
        <xdr:cNvSpPr>
          <a:spLocks noChangeShapeType="1"/>
        </xdr:cNvSpPr>
      </xdr:nvSpPr>
      <xdr:spPr bwMode="auto">
        <a:xfrm flipH="1">
          <a:off x="7117461" y="29215842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236195</xdr:colOff>
      <xdr:row>163</xdr:row>
      <xdr:rowOff>854</xdr:rowOff>
    </xdr:from>
    <xdr:to>
      <xdr:col>8</xdr:col>
      <xdr:colOff>412247</xdr:colOff>
      <xdr:row>165</xdr:row>
      <xdr:rowOff>44948</xdr:rowOff>
    </xdr:to>
    <xdr:sp macro="" textlink="">
      <xdr:nvSpPr>
        <xdr:cNvPr id="467" name="AutoShape 410">
          <a:extLst>
            <a:ext uri="{FF2B5EF4-FFF2-40B4-BE49-F238E27FC236}">
              <a16:creationId xmlns="" xmlns:a16="http://schemas.microsoft.com/office/drawing/2014/main" id="{AFC43AAA-3542-4AA5-BD4F-44F707E20D58}"/>
            </a:ext>
          </a:extLst>
        </xdr:cNvPr>
        <xdr:cNvSpPr>
          <a:spLocks noChangeArrowheads="1"/>
        </xdr:cNvSpPr>
      </xdr:nvSpPr>
      <xdr:spPr bwMode="auto">
        <a:xfrm rot="7297720">
          <a:off x="4500794" y="30216755"/>
          <a:ext cx="379374" cy="176052"/>
        </a:xfrm>
        <a:prstGeom prst="wave">
          <a:avLst>
            <a:gd name="adj1" fmla="val 13005"/>
            <a:gd name="adj2" fmla="val 0"/>
          </a:avLst>
        </a:prstGeom>
        <a:solidFill>
          <a:srgbClr val="000099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469" name="Line 318">
          <a:extLst>
            <a:ext uri="{FF2B5EF4-FFF2-40B4-BE49-F238E27FC236}">
              <a16:creationId xmlns="" xmlns:a16="http://schemas.microsoft.com/office/drawing/2014/main" id="{D14C8D1E-3D3D-4EAF-BCA6-533DB643C67D}"/>
            </a:ext>
          </a:extLst>
        </xdr:cNvPr>
        <xdr:cNvSpPr>
          <a:spLocks noChangeShapeType="1"/>
        </xdr:cNvSpPr>
      </xdr:nvSpPr>
      <xdr:spPr bwMode="auto">
        <a:xfrm>
          <a:off x="10313670" y="286702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470" name="Line 318">
          <a:extLst>
            <a:ext uri="{FF2B5EF4-FFF2-40B4-BE49-F238E27FC236}">
              <a16:creationId xmlns="" xmlns:a16="http://schemas.microsoft.com/office/drawing/2014/main" id="{321DD52F-5576-44F2-957C-0D3C3D3BA4D3}"/>
            </a:ext>
          </a:extLst>
        </xdr:cNvPr>
        <xdr:cNvSpPr>
          <a:spLocks noChangeShapeType="1"/>
        </xdr:cNvSpPr>
      </xdr:nvSpPr>
      <xdr:spPr bwMode="auto">
        <a:xfrm>
          <a:off x="10323195" y="2881312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471" name="Line 318">
          <a:extLst>
            <a:ext uri="{FF2B5EF4-FFF2-40B4-BE49-F238E27FC236}">
              <a16:creationId xmlns="" xmlns:a16="http://schemas.microsoft.com/office/drawing/2014/main" id="{737AAEE4-7BA4-452C-AF2C-A88CE784ED30}"/>
            </a:ext>
          </a:extLst>
        </xdr:cNvPr>
        <xdr:cNvSpPr>
          <a:spLocks noChangeShapeType="1"/>
        </xdr:cNvSpPr>
      </xdr:nvSpPr>
      <xdr:spPr bwMode="auto">
        <a:xfrm>
          <a:off x="10313670" y="287464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472" name="Line 305">
          <a:extLst>
            <a:ext uri="{FF2B5EF4-FFF2-40B4-BE49-F238E27FC236}">
              <a16:creationId xmlns="" xmlns:a16="http://schemas.microsoft.com/office/drawing/2014/main" id="{F6E0ACBD-F697-4AEF-BBD7-B6E9FA9DAFF1}"/>
            </a:ext>
          </a:extLst>
        </xdr:cNvPr>
        <xdr:cNvSpPr>
          <a:spLocks noChangeShapeType="1"/>
        </xdr:cNvSpPr>
      </xdr:nvSpPr>
      <xdr:spPr bwMode="auto">
        <a:xfrm flipH="1">
          <a:off x="10323195" y="28651200"/>
          <a:ext cx="0" cy="20383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473" name="Line 305">
          <a:extLst>
            <a:ext uri="{FF2B5EF4-FFF2-40B4-BE49-F238E27FC236}">
              <a16:creationId xmlns="" xmlns:a16="http://schemas.microsoft.com/office/drawing/2014/main" id="{042FAF63-314E-4CCE-B47F-1DED0E790C85}"/>
            </a:ext>
          </a:extLst>
        </xdr:cNvPr>
        <xdr:cNvSpPr>
          <a:spLocks noChangeShapeType="1"/>
        </xdr:cNvSpPr>
      </xdr:nvSpPr>
      <xdr:spPr bwMode="auto">
        <a:xfrm flipH="1">
          <a:off x="10504170" y="28651200"/>
          <a:ext cx="0" cy="21336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4572</xdr:colOff>
      <xdr:row>149</xdr:row>
      <xdr:rowOff>65447</xdr:rowOff>
    </xdr:from>
    <xdr:to>
      <xdr:col>7</xdr:col>
      <xdr:colOff>0</xdr:colOff>
      <xdr:row>150</xdr:row>
      <xdr:rowOff>165100</xdr:rowOff>
    </xdr:to>
    <xdr:sp macro="" textlink="">
      <xdr:nvSpPr>
        <xdr:cNvPr id="474" name="Isosceles Triangle 473">
          <a:extLst>
            <a:ext uri="{FF2B5EF4-FFF2-40B4-BE49-F238E27FC236}">
              <a16:creationId xmlns="" xmlns:a16="http://schemas.microsoft.com/office/drawing/2014/main" id="{467D8D0C-506A-4CF5-8264-1D45D0BE8620}"/>
            </a:ext>
          </a:extLst>
        </xdr:cNvPr>
        <xdr:cNvSpPr/>
      </xdr:nvSpPr>
      <xdr:spPr>
        <a:xfrm>
          <a:off x="3121152" y="27657467"/>
          <a:ext cx="620268" cy="267293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475" name="Isosceles Triangle 474">
          <a:extLst>
            <a:ext uri="{FF2B5EF4-FFF2-40B4-BE49-F238E27FC236}">
              <a16:creationId xmlns="" xmlns:a16="http://schemas.microsoft.com/office/drawing/2014/main" id="{403C13F8-43CA-46C5-B44D-E4F4D8B5E3B9}"/>
            </a:ext>
          </a:extLst>
        </xdr:cNvPr>
        <xdr:cNvSpPr/>
      </xdr:nvSpPr>
      <xdr:spPr>
        <a:xfrm>
          <a:off x="4370832" y="27670167"/>
          <a:ext cx="620268" cy="2667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476" name="Isosceles Triangle 475">
          <a:extLst>
            <a:ext uri="{FF2B5EF4-FFF2-40B4-BE49-F238E27FC236}">
              <a16:creationId xmlns="" xmlns:a16="http://schemas.microsoft.com/office/drawing/2014/main" id="{AB3C6AE2-8CF0-41CE-A3A3-BE7320EFF28A}"/>
            </a:ext>
          </a:extLst>
        </xdr:cNvPr>
        <xdr:cNvSpPr/>
      </xdr:nvSpPr>
      <xdr:spPr>
        <a:xfrm>
          <a:off x="5620512" y="27670167"/>
          <a:ext cx="620268" cy="266700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110565</xdr:colOff>
      <xdr:row>151</xdr:row>
      <xdr:rowOff>11206</xdr:rowOff>
    </xdr:from>
    <xdr:to>
      <xdr:col>11</xdr:col>
      <xdr:colOff>200213</xdr:colOff>
      <xdr:row>151</xdr:row>
      <xdr:rowOff>156883</xdr:rowOff>
    </xdr:to>
    <xdr:sp macro="" textlink="">
      <xdr:nvSpPr>
        <xdr:cNvPr id="478" name="Curved Down Ribbon 610">
          <a:extLst>
            <a:ext uri="{FF2B5EF4-FFF2-40B4-BE49-F238E27FC236}">
              <a16:creationId xmlns="" xmlns:a16="http://schemas.microsoft.com/office/drawing/2014/main" id="{47CA1E75-D230-479E-A3F9-BAE6C19F15DC}"/>
            </a:ext>
          </a:extLst>
        </xdr:cNvPr>
        <xdr:cNvSpPr/>
      </xdr:nvSpPr>
      <xdr:spPr>
        <a:xfrm>
          <a:off x="6351345" y="2794612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479" name="Isosceles Triangle 478">
          <a:extLst>
            <a:ext uri="{FF2B5EF4-FFF2-40B4-BE49-F238E27FC236}">
              <a16:creationId xmlns="" xmlns:a16="http://schemas.microsoft.com/office/drawing/2014/main" id="{566B9643-E4E6-4821-A120-78D2149316A9}"/>
            </a:ext>
          </a:extLst>
        </xdr:cNvPr>
        <xdr:cNvSpPr/>
      </xdr:nvSpPr>
      <xdr:spPr>
        <a:xfrm>
          <a:off x="9989820" y="27592020"/>
          <a:ext cx="609261" cy="262890"/>
        </a:xfrm>
        <a:prstGeom prst="triangle">
          <a:avLst/>
        </a:prstGeom>
        <a:solidFill>
          <a:srgbClr val="FF0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480" name="Isosceles Triangle 479">
          <a:extLst>
            <a:ext uri="{FF2B5EF4-FFF2-40B4-BE49-F238E27FC236}">
              <a16:creationId xmlns="" xmlns:a16="http://schemas.microsoft.com/office/drawing/2014/main" id="{B44CB7DF-DF77-462F-A232-22790BE448A2}"/>
            </a:ext>
          </a:extLst>
        </xdr:cNvPr>
        <xdr:cNvSpPr/>
      </xdr:nvSpPr>
      <xdr:spPr>
        <a:xfrm>
          <a:off x="9989820" y="28125420"/>
          <a:ext cx="609261" cy="264522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82550</xdr:rowOff>
    </xdr:from>
    <xdr:to>
      <xdr:col>17</xdr:col>
      <xdr:colOff>353787</xdr:colOff>
      <xdr:row>153</xdr:row>
      <xdr:rowOff>55335</xdr:rowOff>
    </xdr:to>
    <xdr:sp macro="" textlink="">
      <xdr:nvSpPr>
        <xdr:cNvPr id="481" name="Curved Right Arrow 613">
          <a:extLst>
            <a:ext uri="{FF2B5EF4-FFF2-40B4-BE49-F238E27FC236}">
              <a16:creationId xmlns="" xmlns:a16="http://schemas.microsoft.com/office/drawing/2014/main" id="{F8601B6C-E197-4045-98EC-3E4F634F7EF6}"/>
            </a:ext>
          </a:extLst>
        </xdr:cNvPr>
        <xdr:cNvSpPr/>
      </xdr:nvSpPr>
      <xdr:spPr>
        <a:xfrm>
          <a:off x="10193928" y="28207970"/>
          <a:ext cx="149679" cy="155665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149</xdr:row>
      <xdr:rowOff>153308</xdr:rowOff>
    </xdr:from>
    <xdr:to>
      <xdr:col>10</xdr:col>
      <xdr:colOff>381000</xdr:colOff>
      <xdr:row>150</xdr:row>
      <xdr:rowOff>124279</xdr:rowOff>
    </xdr:to>
    <xdr:sp macro="" textlink="">
      <xdr:nvSpPr>
        <xdr:cNvPr id="482" name="Flowchart: Connector 481">
          <a:extLst>
            <a:ext uri="{FF2B5EF4-FFF2-40B4-BE49-F238E27FC236}">
              <a16:creationId xmlns="" xmlns:a16="http://schemas.microsoft.com/office/drawing/2014/main" id="{0FB3A768-EEEF-4329-99D6-6975673B5254}"/>
            </a:ext>
          </a:extLst>
        </xdr:cNvPr>
        <xdr:cNvSpPr/>
      </xdr:nvSpPr>
      <xdr:spPr>
        <a:xfrm>
          <a:off x="5860868" y="27745328"/>
          <a:ext cx="136072" cy="13861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483" name="Straight Arrow Connector 482">
          <a:extLst>
            <a:ext uri="{FF2B5EF4-FFF2-40B4-BE49-F238E27FC236}">
              <a16:creationId xmlns="" xmlns:a16="http://schemas.microsoft.com/office/drawing/2014/main" id="{A7219166-90AD-4A9D-A5DA-73C038DC8853}"/>
            </a:ext>
          </a:extLst>
        </xdr:cNvPr>
        <xdr:cNvCxnSpPr>
          <a:endCxn id="476" idx="5"/>
        </xdr:cNvCxnSpPr>
      </xdr:nvCxnSpPr>
      <xdr:spPr>
        <a:xfrm flipH="1">
          <a:off x="6076325" y="27687270"/>
          <a:ext cx="382169" cy="116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484" name="Curved Right Arrow 621">
          <a:extLst>
            <a:ext uri="{FF2B5EF4-FFF2-40B4-BE49-F238E27FC236}">
              <a16:creationId xmlns="" xmlns:a16="http://schemas.microsoft.com/office/drawing/2014/main" id="{E7EE10AC-F6B2-47E1-B4A0-7E5DEA862857}"/>
            </a:ext>
          </a:extLst>
        </xdr:cNvPr>
        <xdr:cNvSpPr/>
      </xdr:nvSpPr>
      <xdr:spPr>
        <a:xfrm>
          <a:off x="8069253" y="49549636"/>
          <a:ext cx="162198" cy="154033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485" name="Curved Right Arrow 622">
          <a:extLst>
            <a:ext uri="{FF2B5EF4-FFF2-40B4-BE49-F238E27FC236}">
              <a16:creationId xmlns="" xmlns:a16="http://schemas.microsoft.com/office/drawing/2014/main" id="{83DC792D-8FBE-410F-A8D1-E5BEE7EF4101}"/>
            </a:ext>
          </a:extLst>
        </xdr:cNvPr>
        <xdr:cNvSpPr/>
      </xdr:nvSpPr>
      <xdr:spPr>
        <a:xfrm>
          <a:off x="8234172" y="49706391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486" name="Curved Right Arrow 623">
          <a:extLst>
            <a:ext uri="{FF2B5EF4-FFF2-40B4-BE49-F238E27FC236}">
              <a16:creationId xmlns="" xmlns:a16="http://schemas.microsoft.com/office/drawing/2014/main" id="{7C74947D-A845-4C74-B844-D8BECF757BFB}"/>
            </a:ext>
          </a:extLst>
        </xdr:cNvPr>
        <xdr:cNvSpPr/>
      </xdr:nvSpPr>
      <xdr:spPr>
        <a:xfrm>
          <a:off x="8386572" y="49863145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285749</xdr:colOff>
      <xdr:row>73</xdr:row>
      <xdr:rowOff>0</xdr:rowOff>
    </xdr:from>
    <xdr:to>
      <xdr:col>12</xdr:col>
      <xdr:colOff>421821</xdr:colOff>
      <xdr:row>73</xdr:row>
      <xdr:rowOff>136071</xdr:rowOff>
    </xdr:to>
    <xdr:sp macro="" textlink="">
      <xdr:nvSpPr>
        <xdr:cNvPr id="487" name="Flowchart: Connector 486">
          <a:extLst>
            <a:ext uri="{FF2B5EF4-FFF2-40B4-BE49-F238E27FC236}">
              <a16:creationId xmlns="" xmlns:a16="http://schemas.microsoft.com/office/drawing/2014/main" id="{DE0B1A8B-9A44-4A5F-B0CD-D0615BD71299}"/>
            </a:ext>
          </a:extLst>
        </xdr:cNvPr>
        <xdr:cNvSpPr/>
      </xdr:nvSpPr>
      <xdr:spPr>
        <a:xfrm>
          <a:off x="7151369" y="12847320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0</xdr:colOff>
      <xdr:row>22</xdr:row>
      <xdr:rowOff>59531</xdr:rowOff>
    </xdr:from>
    <xdr:to>
      <xdr:col>3</xdr:col>
      <xdr:colOff>161365</xdr:colOff>
      <xdr:row>22</xdr:row>
      <xdr:rowOff>62753</xdr:rowOff>
    </xdr:to>
    <xdr:cxnSp macro="">
      <xdr:nvCxnSpPr>
        <xdr:cNvPr id="488" name="Straight Arrow Connector 487">
          <a:extLst>
            <a:ext uri="{FF2B5EF4-FFF2-40B4-BE49-F238E27FC236}">
              <a16:creationId xmlns="" xmlns:a16="http://schemas.microsoft.com/office/drawing/2014/main" id="{FCCBD3D7-1EBE-4F16-A27F-2D9B63BA59DF}"/>
            </a:ext>
          </a:extLst>
        </xdr:cNvPr>
        <xdr:cNvCxnSpPr/>
      </xdr:nvCxnSpPr>
      <xdr:spPr>
        <a:xfrm flipH="1" flipV="1">
          <a:off x="586740" y="3999071"/>
          <a:ext cx="786205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493059</xdr:colOff>
      <xdr:row>22</xdr:row>
      <xdr:rowOff>71298</xdr:rowOff>
    </xdr:from>
    <xdr:to>
      <xdr:col>6</xdr:col>
      <xdr:colOff>613225</xdr:colOff>
      <xdr:row>22</xdr:row>
      <xdr:rowOff>71718</xdr:rowOff>
    </xdr:to>
    <xdr:cxnSp macro="">
      <xdr:nvCxnSpPr>
        <xdr:cNvPr id="489" name="Straight Arrow Connector 488">
          <a:extLst>
            <a:ext uri="{FF2B5EF4-FFF2-40B4-BE49-F238E27FC236}">
              <a16:creationId xmlns="" xmlns:a16="http://schemas.microsoft.com/office/drawing/2014/main" id="{B4809213-A2A3-4920-89DC-8F65D6E981F2}"/>
            </a:ext>
          </a:extLst>
        </xdr:cNvPr>
        <xdr:cNvCxnSpPr/>
      </xdr:nvCxnSpPr>
      <xdr:spPr>
        <a:xfrm flipV="1">
          <a:off x="2969559" y="4010838"/>
          <a:ext cx="760246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331695</xdr:colOff>
      <xdr:row>31</xdr:row>
      <xdr:rowOff>89647</xdr:rowOff>
    </xdr:from>
    <xdr:to>
      <xdr:col>10</xdr:col>
      <xdr:colOff>573246</xdr:colOff>
      <xdr:row>31</xdr:row>
      <xdr:rowOff>107154</xdr:rowOff>
    </xdr:to>
    <xdr:cxnSp macro="">
      <xdr:nvCxnSpPr>
        <xdr:cNvPr id="490" name="Straight Arrow Connector 489">
          <a:extLst>
            <a:ext uri="{FF2B5EF4-FFF2-40B4-BE49-F238E27FC236}">
              <a16:creationId xmlns="" xmlns:a16="http://schemas.microsoft.com/office/drawing/2014/main" id="{96F734F3-53CD-4B3F-8BBA-CCD57F43DD0B}"/>
            </a:ext>
          </a:extLst>
        </xdr:cNvPr>
        <xdr:cNvCxnSpPr/>
      </xdr:nvCxnSpPr>
      <xdr:spPr>
        <a:xfrm>
          <a:off x="2183355" y="5659867"/>
          <a:ext cx="4005831" cy="1750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582705</xdr:colOff>
      <xdr:row>42</xdr:row>
      <xdr:rowOff>95248</xdr:rowOff>
    </xdr:from>
    <xdr:to>
      <xdr:col>6</xdr:col>
      <xdr:colOff>134471</xdr:colOff>
      <xdr:row>42</xdr:row>
      <xdr:rowOff>98612</xdr:rowOff>
    </xdr:to>
    <xdr:cxnSp macro="">
      <xdr:nvCxnSpPr>
        <xdr:cNvPr id="491" name="Straight Arrow Connector 490">
          <a:extLst>
            <a:ext uri="{FF2B5EF4-FFF2-40B4-BE49-F238E27FC236}">
              <a16:creationId xmlns="" xmlns:a16="http://schemas.microsoft.com/office/drawing/2014/main" id="{46844A54-DC97-46CC-B2DB-C2DBC4E603ED}"/>
            </a:ext>
          </a:extLst>
        </xdr:cNvPr>
        <xdr:cNvCxnSpPr/>
      </xdr:nvCxnSpPr>
      <xdr:spPr>
        <a:xfrm flipH="1" flipV="1">
          <a:off x="582705" y="7623808"/>
          <a:ext cx="2668346" cy="336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451877</xdr:colOff>
      <xdr:row>42</xdr:row>
      <xdr:rowOff>89647</xdr:rowOff>
    </xdr:from>
    <xdr:to>
      <xdr:col>11</xdr:col>
      <xdr:colOff>564776</xdr:colOff>
      <xdr:row>42</xdr:row>
      <xdr:rowOff>101130</xdr:rowOff>
    </xdr:to>
    <xdr:cxnSp macro="">
      <xdr:nvCxnSpPr>
        <xdr:cNvPr id="492" name="Straight Arrow Connector 491">
          <a:extLst>
            <a:ext uri="{FF2B5EF4-FFF2-40B4-BE49-F238E27FC236}">
              <a16:creationId xmlns="" xmlns:a16="http://schemas.microsoft.com/office/drawing/2014/main" id="{61EF27C3-881E-42FE-934B-267080DF5AB8}"/>
            </a:ext>
          </a:extLst>
        </xdr:cNvPr>
        <xdr:cNvCxnSpPr/>
      </xdr:nvCxnSpPr>
      <xdr:spPr>
        <a:xfrm flipV="1">
          <a:off x="4193297" y="7618207"/>
          <a:ext cx="2612259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2940</xdr:colOff>
      <xdr:row>51</xdr:row>
      <xdr:rowOff>123636</xdr:rowOff>
    </xdr:from>
    <xdr:to>
      <xdr:col>3</xdr:col>
      <xdr:colOff>564777</xdr:colOff>
      <xdr:row>51</xdr:row>
      <xdr:rowOff>125506</xdr:rowOff>
    </xdr:to>
    <xdr:cxnSp macro="">
      <xdr:nvCxnSpPr>
        <xdr:cNvPr id="493" name="Straight Arrow Connector 492">
          <a:extLst>
            <a:ext uri="{FF2B5EF4-FFF2-40B4-BE49-F238E27FC236}">
              <a16:creationId xmlns="" xmlns:a16="http://schemas.microsoft.com/office/drawing/2014/main" id="{4E778783-FB90-4033-9B14-6877B464DE86}"/>
            </a:ext>
          </a:extLst>
        </xdr:cNvPr>
        <xdr:cNvCxnSpPr/>
      </xdr:nvCxnSpPr>
      <xdr:spPr>
        <a:xfrm>
          <a:off x="589680" y="9176196"/>
          <a:ext cx="1186677" cy="187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74660</xdr:colOff>
      <xdr:row>51</xdr:row>
      <xdr:rowOff>107576</xdr:rowOff>
    </xdr:from>
    <xdr:to>
      <xdr:col>8</xdr:col>
      <xdr:colOff>286870</xdr:colOff>
      <xdr:row>51</xdr:row>
      <xdr:rowOff>113177</xdr:rowOff>
    </xdr:to>
    <xdr:cxnSp macro="">
      <xdr:nvCxnSpPr>
        <xdr:cNvPr id="494" name="Straight Arrow Connector 493">
          <a:extLst>
            <a:ext uri="{FF2B5EF4-FFF2-40B4-BE49-F238E27FC236}">
              <a16:creationId xmlns="" xmlns:a16="http://schemas.microsoft.com/office/drawing/2014/main" id="{8C673FE7-9E67-4E2B-8B34-B000A9AD650E}"/>
            </a:ext>
          </a:extLst>
        </xdr:cNvPr>
        <xdr:cNvCxnSpPr/>
      </xdr:nvCxnSpPr>
      <xdr:spPr>
        <a:xfrm flipH="1">
          <a:off x="1926320" y="9160136"/>
          <a:ext cx="2726810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403540</xdr:colOff>
      <xdr:row>60</xdr:row>
      <xdr:rowOff>89647</xdr:rowOff>
    </xdr:from>
    <xdr:to>
      <xdr:col>13</xdr:col>
      <xdr:colOff>493059</xdr:colOff>
      <xdr:row>60</xdr:row>
      <xdr:rowOff>95248</xdr:rowOff>
    </xdr:to>
    <xdr:cxnSp macro="">
      <xdr:nvCxnSpPr>
        <xdr:cNvPr id="495" name="Straight Arrow Connector 494">
          <a:extLst>
            <a:ext uri="{FF2B5EF4-FFF2-40B4-BE49-F238E27FC236}">
              <a16:creationId xmlns="" xmlns:a16="http://schemas.microsoft.com/office/drawing/2014/main" id="{61A15C94-1C71-45D1-80A1-8BA81912066C}"/>
            </a:ext>
          </a:extLst>
        </xdr:cNvPr>
        <xdr:cNvCxnSpPr/>
      </xdr:nvCxnSpPr>
      <xdr:spPr>
        <a:xfrm flipV="1">
          <a:off x="2255200" y="10734787"/>
          <a:ext cx="5728319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72</xdr:row>
      <xdr:rowOff>68525</xdr:rowOff>
    </xdr:from>
    <xdr:to>
      <xdr:col>14</xdr:col>
      <xdr:colOff>602647</xdr:colOff>
      <xdr:row>73</xdr:row>
      <xdr:rowOff>163775</xdr:rowOff>
    </xdr:to>
    <xdr:sp macro="" textlink="">
      <xdr:nvSpPr>
        <xdr:cNvPr id="496" name="Isosceles Triangle 495">
          <a:extLst>
            <a:ext uri="{FF2B5EF4-FFF2-40B4-BE49-F238E27FC236}">
              <a16:creationId xmlns="" xmlns:a16="http://schemas.microsoft.com/office/drawing/2014/main" id="{5B8BDB4C-7F0E-429D-8871-97273B7E486A}"/>
            </a:ext>
          </a:extLst>
        </xdr:cNvPr>
        <xdr:cNvSpPr/>
      </xdr:nvSpPr>
      <xdr:spPr>
        <a:xfrm>
          <a:off x="8115300" y="12748205"/>
          <a:ext cx="602647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10886</xdr:colOff>
      <xdr:row>90</xdr:row>
      <xdr:rowOff>66013</xdr:rowOff>
    </xdr:from>
    <xdr:to>
      <xdr:col>4</xdr:col>
      <xdr:colOff>613532</xdr:colOff>
      <xdr:row>91</xdr:row>
      <xdr:rowOff>161263</xdr:rowOff>
    </xdr:to>
    <xdr:sp macro="" textlink="">
      <xdr:nvSpPr>
        <xdr:cNvPr id="497" name="Isosceles Triangle 496">
          <a:extLst>
            <a:ext uri="{FF2B5EF4-FFF2-40B4-BE49-F238E27FC236}">
              <a16:creationId xmlns="" xmlns:a16="http://schemas.microsoft.com/office/drawing/2014/main" id="{C1B12BA5-0F5C-4291-AB97-6ED36FB1E6F1}"/>
            </a:ext>
          </a:extLst>
        </xdr:cNvPr>
        <xdr:cNvSpPr/>
      </xdr:nvSpPr>
      <xdr:spPr>
        <a:xfrm>
          <a:off x="1915886" y="15806756"/>
          <a:ext cx="602646" cy="334736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90</xdr:row>
      <xdr:rowOff>66678</xdr:rowOff>
    </xdr:from>
    <xdr:to>
      <xdr:col>6</xdr:col>
      <xdr:colOff>602646</xdr:colOff>
      <xdr:row>91</xdr:row>
      <xdr:rowOff>161928</xdr:rowOff>
    </xdr:to>
    <xdr:sp macro="" textlink="">
      <xdr:nvSpPr>
        <xdr:cNvPr id="498" name="Isosceles Triangle 497">
          <a:extLst>
            <a:ext uri="{FF2B5EF4-FFF2-40B4-BE49-F238E27FC236}">
              <a16:creationId xmlns="" xmlns:a16="http://schemas.microsoft.com/office/drawing/2014/main" id="{766BE3F3-CB7F-4B9B-BE77-0A9E04C2971D}"/>
            </a:ext>
          </a:extLst>
        </xdr:cNvPr>
        <xdr:cNvSpPr/>
      </xdr:nvSpPr>
      <xdr:spPr>
        <a:xfrm>
          <a:off x="3116580" y="16213458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90</xdr:row>
      <xdr:rowOff>66013</xdr:rowOff>
    </xdr:from>
    <xdr:to>
      <xdr:col>8</xdr:col>
      <xdr:colOff>602646</xdr:colOff>
      <xdr:row>91</xdr:row>
      <xdr:rowOff>161263</xdr:rowOff>
    </xdr:to>
    <xdr:sp macro="" textlink="">
      <xdr:nvSpPr>
        <xdr:cNvPr id="499" name="Isosceles Triangle 498">
          <a:extLst>
            <a:ext uri="{FF2B5EF4-FFF2-40B4-BE49-F238E27FC236}">
              <a16:creationId xmlns="" xmlns:a16="http://schemas.microsoft.com/office/drawing/2014/main" id="{B9E6246A-9AA9-47C2-9E8F-961B6A6AD843}"/>
            </a:ext>
          </a:extLst>
        </xdr:cNvPr>
        <xdr:cNvSpPr/>
      </xdr:nvSpPr>
      <xdr:spPr>
        <a:xfrm>
          <a:off x="4366260" y="16212793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90</xdr:row>
      <xdr:rowOff>66013</xdr:rowOff>
    </xdr:from>
    <xdr:to>
      <xdr:col>10</xdr:col>
      <xdr:colOff>602646</xdr:colOff>
      <xdr:row>91</xdr:row>
      <xdr:rowOff>161263</xdr:rowOff>
    </xdr:to>
    <xdr:sp macro="" textlink="">
      <xdr:nvSpPr>
        <xdr:cNvPr id="500" name="Isosceles Triangle 499">
          <a:extLst>
            <a:ext uri="{FF2B5EF4-FFF2-40B4-BE49-F238E27FC236}">
              <a16:creationId xmlns="" xmlns:a16="http://schemas.microsoft.com/office/drawing/2014/main" id="{6E7A1954-6A7B-4C25-AD04-3BDC065AEC0F}"/>
            </a:ext>
          </a:extLst>
        </xdr:cNvPr>
        <xdr:cNvSpPr/>
      </xdr:nvSpPr>
      <xdr:spPr>
        <a:xfrm>
          <a:off x="5615940" y="16212793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90</xdr:row>
      <xdr:rowOff>66013</xdr:rowOff>
    </xdr:from>
    <xdr:to>
      <xdr:col>12</xdr:col>
      <xdr:colOff>602646</xdr:colOff>
      <xdr:row>91</xdr:row>
      <xdr:rowOff>161263</xdr:rowOff>
    </xdr:to>
    <xdr:sp macro="" textlink="">
      <xdr:nvSpPr>
        <xdr:cNvPr id="501" name="Isosceles Triangle 500">
          <a:extLst>
            <a:ext uri="{FF2B5EF4-FFF2-40B4-BE49-F238E27FC236}">
              <a16:creationId xmlns="" xmlns:a16="http://schemas.microsoft.com/office/drawing/2014/main" id="{319B48C4-3C27-484B-A084-1E546C03743D}"/>
            </a:ext>
          </a:extLst>
        </xdr:cNvPr>
        <xdr:cNvSpPr/>
      </xdr:nvSpPr>
      <xdr:spPr>
        <a:xfrm>
          <a:off x="6865620" y="16212793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8860</xdr:colOff>
      <xdr:row>90</xdr:row>
      <xdr:rowOff>66013</xdr:rowOff>
    </xdr:from>
    <xdr:to>
      <xdr:col>14</xdr:col>
      <xdr:colOff>611506</xdr:colOff>
      <xdr:row>91</xdr:row>
      <xdr:rowOff>161263</xdr:rowOff>
    </xdr:to>
    <xdr:sp macro="" textlink="">
      <xdr:nvSpPr>
        <xdr:cNvPr id="502" name="Isosceles Triangle 501">
          <a:extLst>
            <a:ext uri="{FF2B5EF4-FFF2-40B4-BE49-F238E27FC236}">
              <a16:creationId xmlns="" xmlns:a16="http://schemas.microsoft.com/office/drawing/2014/main" id="{426D400C-3A13-42E1-917F-FE8C3CAF7CE7}"/>
            </a:ext>
          </a:extLst>
        </xdr:cNvPr>
        <xdr:cNvSpPr/>
      </xdr:nvSpPr>
      <xdr:spPr>
        <a:xfrm>
          <a:off x="8124160" y="16212793"/>
          <a:ext cx="602646" cy="331470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90</xdr:row>
      <xdr:rowOff>68394</xdr:rowOff>
    </xdr:from>
    <xdr:to>
      <xdr:col>16</xdr:col>
      <xdr:colOff>602646</xdr:colOff>
      <xdr:row>91</xdr:row>
      <xdr:rowOff>163644</xdr:rowOff>
    </xdr:to>
    <xdr:sp macro="" textlink="">
      <xdr:nvSpPr>
        <xdr:cNvPr id="503" name="Isosceles Triangle 502">
          <a:extLst>
            <a:ext uri="{FF2B5EF4-FFF2-40B4-BE49-F238E27FC236}">
              <a16:creationId xmlns="" xmlns:a16="http://schemas.microsoft.com/office/drawing/2014/main" id="{98F8ECFF-DFCC-426B-8592-3E1005F8A56B}"/>
            </a:ext>
          </a:extLst>
        </xdr:cNvPr>
        <xdr:cNvSpPr/>
      </xdr:nvSpPr>
      <xdr:spPr>
        <a:xfrm>
          <a:off x="9364980" y="16215174"/>
          <a:ext cx="602646" cy="33147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90</xdr:row>
      <xdr:rowOff>66013</xdr:rowOff>
    </xdr:from>
    <xdr:to>
      <xdr:col>18</xdr:col>
      <xdr:colOff>602646</xdr:colOff>
      <xdr:row>91</xdr:row>
      <xdr:rowOff>161263</xdr:rowOff>
    </xdr:to>
    <xdr:sp macro="" textlink="">
      <xdr:nvSpPr>
        <xdr:cNvPr id="504" name="Isosceles Triangle 503">
          <a:extLst>
            <a:ext uri="{FF2B5EF4-FFF2-40B4-BE49-F238E27FC236}">
              <a16:creationId xmlns="" xmlns:a16="http://schemas.microsoft.com/office/drawing/2014/main" id="{6B9A1EF1-3645-4FCA-A20B-FA1798A3C5A5}"/>
            </a:ext>
          </a:extLst>
        </xdr:cNvPr>
        <xdr:cNvSpPr/>
      </xdr:nvSpPr>
      <xdr:spPr>
        <a:xfrm>
          <a:off x="10614660" y="16212793"/>
          <a:ext cx="602646" cy="33147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10886</xdr:colOff>
      <xdr:row>99</xdr:row>
      <xdr:rowOff>22468</xdr:rowOff>
    </xdr:from>
    <xdr:to>
      <xdr:col>2</xdr:col>
      <xdr:colOff>631372</xdr:colOff>
      <xdr:row>100</xdr:row>
      <xdr:rowOff>152399</xdr:rowOff>
    </xdr:to>
    <xdr:sp macro="" textlink="">
      <xdr:nvSpPr>
        <xdr:cNvPr id="505" name="Isosceles Triangle 504">
          <a:extLst>
            <a:ext uri="{FF2B5EF4-FFF2-40B4-BE49-F238E27FC236}">
              <a16:creationId xmlns="" xmlns:a16="http://schemas.microsoft.com/office/drawing/2014/main" id="{82F1EF96-7235-4D99-8784-3BEA1CC6DBC1}"/>
            </a:ext>
          </a:extLst>
        </xdr:cNvPr>
        <xdr:cNvSpPr/>
      </xdr:nvSpPr>
      <xdr:spPr>
        <a:xfrm>
          <a:off x="609600" y="17581125"/>
          <a:ext cx="620486" cy="293217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66012</xdr:rowOff>
    </xdr:from>
    <xdr:to>
      <xdr:col>4</xdr:col>
      <xdr:colOff>602646</xdr:colOff>
      <xdr:row>100</xdr:row>
      <xdr:rowOff>161263</xdr:rowOff>
    </xdr:to>
    <xdr:sp macro="" textlink="">
      <xdr:nvSpPr>
        <xdr:cNvPr id="507" name="Isosceles Triangle 506">
          <a:extLst>
            <a:ext uri="{FF2B5EF4-FFF2-40B4-BE49-F238E27FC236}">
              <a16:creationId xmlns="" xmlns:a16="http://schemas.microsoft.com/office/drawing/2014/main" id="{F660D5A6-0033-4771-86CD-AACC5F719C42}"/>
            </a:ext>
          </a:extLst>
        </xdr:cNvPr>
        <xdr:cNvSpPr/>
      </xdr:nvSpPr>
      <xdr:spPr>
        <a:xfrm>
          <a:off x="1851660" y="180263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99</xdr:row>
      <xdr:rowOff>66012</xdr:rowOff>
    </xdr:from>
    <xdr:to>
      <xdr:col>8</xdr:col>
      <xdr:colOff>602646</xdr:colOff>
      <xdr:row>100</xdr:row>
      <xdr:rowOff>161263</xdr:rowOff>
    </xdr:to>
    <xdr:sp macro="" textlink="">
      <xdr:nvSpPr>
        <xdr:cNvPr id="508" name="Isosceles Triangle 507">
          <a:extLst>
            <a:ext uri="{FF2B5EF4-FFF2-40B4-BE49-F238E27FC236}">
              <a16:creationId xmlns="" xmlns:a16="http://schemas.microsoft.com/office/drawing/2014/main" id="{3F596C90-C14B-49A0-9F73-78D980299582}"/>
            </a:ext>
          </a:extLst>
        </xdr:cNvPr>
        <xdr:cNvSpPr/>
      </xdr:nvSpPr>
      <xdr:spPr>
        <a:xfrm>
          <a:off x="4366260" y="180263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99</xdr:row>
      <xdr:rowOff>60327</xdr:rowOff>
    </xdr:from>
    <xdr:to>
      <xdr:col>10</xdr:col>
      <xdr:colOff>602646</xdr:colOff>
      <xdr:row>100</xdr:row>
      <xdr:rowOff>155578</xdr:rowOff>
    </xdr:to>
    <xdr:sp macro="" textlink="">
      <xdr:nvSpPr>
        <xdr:cNvPr id="509" name="Isosceles Triangle 508">
          <a:extLst>
            <a:ext uri="{FF2B5EF4-FFF2-40B4-BE49-F238E27FC236}">
              <a16:creationId xmlns="" xmlns:a16="http://schemas.microsoft.com/office/drawing/2014/main" id="{97899CDD-0F46-4A32-A198-3034E4C5EB2C}"/>
            </a:ext>
          </a:extLst>
        </xdr:cNvPr>
        <xdr:cNvSpPr/>
      </xdr:nvSpPr>
      <xdr:spPr>
        <a:xfrm>
          <a:off x="5615940" y="18020667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99</xdr:row>
      <xdr:rowOff>66012</xdr:rowOff>
    </xdr:from>
    <xdr:to>
      <xdr:col>12</xdr:col>
      <xdr:colOff>602646</xdr:colOff>
      <xdr:row>100</xdr:row>
      <xdr:rowOff>161263</xdr:rowOff>
    </xdr:to>
    <xdr:sp macro="" textlink="">
      <xdr:nvSpPr>
        <xdr:cNvPr id="510" name="Isosceles Triangle 509">
          <a:extLst>
            <a:ext uri="{FF2B5EF4-FFF2-40B4-BE49-F238E27FC236}">
              <a16:creationId xmlns="" xmlns:a16="http://schemas.microsoft.com/office/drawing/2014/main" id="{65DBF8FC-5E64-45CB-89C5-015634DFCC20}"/>
            </a:ext>
          </a:extLst>
        </xdr:cNvPr>
        <xdr:cNvSpPr/>
      </xdr:nvSpPr>
      <xdr:spPr>
        <a:xfrm>
          <a:off x="686562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99</xdr:row>
      <xdr:rowOff>66012</xdr:rowOff>
    </xdr:from>
    <xdr:to>
      <xdr:col>14</xdr:col>
      <xdr:colOff>602646</xdr:colOff>
      <xdr:row>100</xdr:row>
      <xdr:rowOff>161263</xdr:rowOff>
    </xdr:to>
    <xdr:sp macro="" textlink="">
      <xdr:nvSpPr>
        <xdr:cNvPr id="511" name="Isosceles Triangle 510">
          <a:extLst>
            <a:ext uri="{FF2B5EF4-FFF2-40B4-BE49-F238E27FC236}">
              <a16:creationId xmlns="" xmlns:a16="http://schemas.microsoft.com/office/drawing/2014/main" id="{FF76F9B9-CEAC-43BC-AB86-F2EF2393E756}"/>
            </a:ext>
          </a:extLst>
        </xdr:cNvPr>
        <xdr:cNvSpPr/>
      </xdr:nvSpPr>
      <xdr:spPr>
        <a:xfrm>
          <a:off x="811530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99</xdr:row>
      <xdr:rowOff>66012</xdr:rowOff>
    </xdr:from>
    <xdr:to>
      <xdr:col>16</xdr:col>
      <xdr:colOff>602646</xdr:colOff>
      <xdr:row>100</xdr:row>
      <xdr:rowOff>161263</xdr:rowOff>
    </xdr:to>
    <xdr:sp macro="" textlink="">
      <xdr:nvSpPr>
        <xdr:cNvPr id="512" name="Isosceles Triangle 511">
          <a:extLst>
            <a:ext uri="{FF2B5EF4-FFF2-40B4-BE49-F238E27FC236}">
              <a16:creationId xmlns="" xmlns:a16="http://schemas.microsoft.com/office/drawing/2014/main" id="{B39CF572-3960-42A0-9356-6574C5122B52}"/>
            </a:ext>
          </a:extLst>
        </xdr:cNvPr>
        <xdr:cNvSpPr/>
      </xdr:nvSpPr>
      <xdr:spPr>
        <a:xfrm>
          <a:off x="9364980" y="180263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99</xdr:row>
      <xdr:rowOff>66012</xdr:rowOff>
    </xdr:from>
    <xdr:to>
      <xdr:col>18</xdr:col>
      <xdr:colOff>602646</xdr:colOff>
      <xdr:row>100</xdr:row>
      <xdr:rowOff>161263</xdr:rowOff>
    </xdr:to>
    <xdr:sp macro="" textlink="">
      <xdr:nvSpPr>
        <xdr:cNvPr id="513" name="Isosceles Triangle 512">
          <a:extLst>
            <a:ext uri="{FF2B5EF4-FFF2-40B4-BE49-F238E27FC236}">
              <a16:creationId xmlns="" xmlns:a16="http://schemas.microsoft.com/office/drawing/2014/main" id="{7F6AF551-FCA3-4B60-8AAF-AA5C2EF87C1C}"/>
            </a:ext>
          </a:extLst>
        </xdr:cNvPr>
        <xdr:cNvSpPr/>
      </xdr:nvSpPr>
      <xdr:spPr>
        <a:xfrm>
          <a:off x="10614660" y="18026352"/>
          <a:ext cx="602646" cy="262891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99</xdr:row>
      <xdr:rowOff>66012</xdr:rowOff>
    </xdr:from>
    <xdr:to>
      <xdr:col>20</xdr:col>
      <xdr:colOff>602646</xdr:colOff>
      <xdr:row>100</xdr:row>
      <xdr:rowOff>161263</xdr:rowOff>
    </xdr:to>
    <xdr:sp macro="" textlink="">
      <xdr:nvSpPr>
        <xdr:cNvPr id="514" name="Isosceles Triangle 513">
          <a:extLst>
            <a:ext uri="{FF2B5EF4-FFF2-40B4-BE49-F238E27FC236}">
              <a16:creationId xmlns="" xmlns:a16="http://schemas.microsoft.com/office/drawing/2014/main" id="{ACED5E7C-EA3C-4E8D-9EF6-3DF4CFEED4F1}"/>
            </a:ext>
          </a:extLst>
        </xdr:cNvPr>
        <xdr:cNvSpPr/>
      </xdr:nvSpPr>
      <xdr:spPr>
        <a:xfrm>
          <a:off x="11864340" y="18026352"/>
          <a:ext cx="602646" cy="262891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108</xdr:row>
      <xdr:rowOff>66013</xdr:rowOff>
    </xdr:from>
    <xdr:to>
      <xdr:col>2</xdr:col>
      <xdr:colOff>647700</xdr:colOff>
      <xdr:row>109</xdr:row>
      <xdr:rowOff>161925</xdr:rowOff>
    </xdr:to>
    <xdr:sp macro="" textlink="">
      <xdr:nvSpPr>
        <xdr:cNvPr id="516" name="Isosceles Triangle 515">
          <a:extLst>
            <a:ext uri="{FF2B5EF4-FFF2-40B4-BE49-F238E27FC236}">
              <a16:creationId xmlns="" xmlns:a16="http://schemas.microsoft.com/office/drawing/2014/main" id="{7C410147-3B3E-4BDC-9B38-1AA8861A56F1}"/>
            </a:ext>
          </a:extLst>
        </xdr:cNvPr>
        <xdr:cNvSpPr/>
      </xdr:nvSpPr>
      <xdr:spPr>
        <a:xfrm>
          <a:off x="590550" y="19544638"/>
          <a:ext cx="647700" cy="35308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73029</xdr:rowOff>
    </xdr:from>
    <xdr:to>
      <xdr:col>4</xdr:col>
      <xdr:colOff>602646</xdr:colOff>
      <xdr:row>109</xdr:row>
      <xdr:rowOff>168279</xdr:rowOff>
    </xdr:to>
    <xdr:sp macro="" textlink="">
      <xdr:nvSpPr>
        <xdr:cNvPr id="517" name="Isosceles Triangle 516">
          <a:extLst>
            <a:ext uri="{FF2B5EF4-FFF2-40B4-BE49-F238E27FC236}">
              <a16:creationId xmlns="" xmlns:a16="http://schemas.microsoft.com/office/drawing/2014/main" id="{3CAF4B59-10BC-4EE1-87C3-6D91E782900C}"/>
            </a:ext>
          </a:extLst>
        </xdr:cNvPr>
        <xdr:cNvSpPr/>
      </xdr:nvSpPr>
      <xdr:spPr>
        <a:xfrm>
          <a:off x="1851660" y="19892649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108</xdr:row>
      <xdr:rowOff>66013</xdr:rowOff>
    </xdr:from>
    <xdr:to>
      <xdr:col>6</xdr:col>
      <xdr:colOff>602646</xdr:colOff>
      <xdr:row>109</xdr:row>
      <xdr:rowOff>161263</xdr:rowOff>
    </xdr:to>
    <xdr:sp macro="" textlink="">
      <xdr:nvSpPr>
        <xdr:cNvPr id="518" name="Isosceles Triangle 517">
          <a:extLst>
            <a:ext uri="{FF2B5EF4-FFF2-40B4-BE49-F238E27FC236}">
              <a16:creationId xmlns="" xmlns:a16="http://schemas.microsoft.com/office/drawing/2014/main" id="{26C20910-C5B2-4ADF-AAD3-56ABB2FF370C}"/>
            </a:ext>
          </a:extLst>
        </xdr:cNvPr>
        <xdr:cNvSpPr/>
      </xdr:nvSpPr>
      <xdr:spPr>
        <a:xfrm>
          <a:off x="311658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108</xdr:row>
      <xdr:rowOff>66013</xdr:rowOff>
    </xdr:from>
    <xdr:to>
      <xdr:col>8</xdr:col>
      <xdr:colOff>602646</xdr:colOff>
      <xdr:row>109</xdr:row>
      <xdr:rowOff>161263</xdr:rowOff>
    </xdr:to>
    <xdr:sp macro="" textlink="">
      <xdr:nvSpPr>
        <xdr:cNvPr id="519" name="Isosceles Triangle 518">
          <a:extLst>
            <a:ext uri="{FF2B5EF4-FFF2-40B4-BE49-F238E27FC236}">
              <a16:creationId xmlns="" xmlns:a16="http://schemas.microsoft.com/office/drawing/2014/main" id="{25EA86A3-D29D-43C3-9526-83014B3DE930}"/>
            </a:ext>
          </a:extLst>
        </xdr:cNvPr>
        <xdr:cNvSpPr/>
      </xdr:nvSpPr>
      <xdr:spPr>
        <a:xfrm>
          <a:off x="4366260" y="19885633"/>
          <a:ext cx="602646" cy="35433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108</xdr:row>
      <xdr:rowOff>66013</xdr:rowOff>
    </xdr:from>
    <xdr:to>
      <xdr:col>10</xdr:col>
      <xdr:colOff>602646</xdr:colOff>
      <xdr:row>109</xdr:row>
      <xdr:rowOff>161263</xdr:rowOff>
    </xdr:to>
    <xdr:sp macro="" textlink="">
      <xdr:nvSpPr>
        <xdr:cNvPr id="520" name="Isosceles Triangle 519">
          <a:extLst>
            <a:ext uri="{FF2B5EF4-FFF2-40B4-BE49-F238E27FC236}">
              <a16:creationId xmlns="" xmlns:a16="http://schemas.microsoft.com/office/drawing/2014/main" id="{5BBB1418-99F1-4F4B-9C5F-EE5C145706C2}"/>
            </a:ext>
          </a:extLst>
        </xdr:cNvPr>
        <xdr:cNvSpPr/>
      </xdr:nvSpPr>
      <xdr:spPr>
        <a:xfrm>
          <a:off x="561594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47628</xdr:rowOff>
    </xdr:from>
    <xdr:to>
      <xdr:col>14</xdr:col>
      <xdr:colOff>602646</xdr:colOff>
      <xdr:row>109</xdr:row>
      <xdr:rowOff>142878</xdr:rowOff>
    </xdr:to>
    <xdr:sp macro="" textlink="">
      <xdr:nvSpPr>
        <xdr:cNvPr id="521" name="Isosceles Triangle 520">
          <a:extLst>
            <a:ext uri="{FF2B5EF4-FFF2-40B4-BE49-F238E27FC236}">
              <a16:creationId xmlns="" xmlns:a16="http://schemas.microsoft.com/office/drawing/2014/main" id="{BB3DCA85-B409-4A54-8013-9C990DA81C19}"/>
            </a:ext>
          </a:extLst>
        </xdr:cNvPr>
        <xdr:cNvSpPr/>
      </xdr:nvSpPr>
      <xdr:spPr>
        <a:xfrm>
          <a:off x="8115300" y="19867248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65091</xdr:rowOff>
    </xdr:from>
    <xdr:to>
      <xdr:col>14</xdr:col>
      <xdr:colOff>602646</xdr:colOff>
      <xdr:row>109</xdr:row>
      <xdr:rowOff>160341</xdr:rowOff>
    </xdr:to>
    <xdr:sp macro="" textlink="">
      <xdr:nvSpPr>
        <xdr:cNvPr id="522" name="Isosceles Triangle 521">
          <a:extLst>
            <a:ext uri="{FF2B5EF4-FFF2-40B4-BE49-F238E27FC236}">
              <a16:creationId xmlns="" xmlns:a16="http://schemas.microsoft.com/office/drawing/2014/main" id="{D7732974-C1D6-4423-9600-05238C38E25C}"/>
            </a:ext>
          </a:extLst>
        </xdr:cNvPr>
        <xdr:cNvSpPr/>
      </xdr:nvSpPr>
      <xdr:spPr>
        <a:xfrm>
          <a:off x="8115300" y="19884711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108</xdr:row>
      <xdr:rowOff>66013</xdr:rowOff>
    </xdr:from>
    <xdr:to>
      <xdr:col>18</xdr:col>
      <xdr:colOff>602646</xdr:colOff>
      <xdr:row>109</xdr:row>
      <xdr:rowOff>161263</xdr:rowOff>
    </xdr:to>
    <xdr:sp macro="" textlink="">
      <xdr:nvSpPr>
        <xdr:cNvPr id="523" name="Isosceles Triangle 522">
          <a:extLst>
            <a:ext uri="{FF2B5EF4-FFF2-40B4-BE49-F238E27FC236}">
              <a16:creationId xmlns="" xmlns:a16="http://schemas.microsoft.com/office/drawing/2014/main" id="{02B78480-D28B-43D3-A663-87987EDAD490}"/>
            </a:ext>
          </a:extLst>
        </xdr:cNvPr>
        <xdr:cNvSpPr/>
      </xdr:nvSpPr>
      <xdr:spPr>
        <a:xfrm>
          <a:off x="1061466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19</xdr:col>
      <xdr:colOff>615461</xdr:colOff>
      <xdr:row>108</xdr:row>
      <xdr:rowOff>66013</xdr:rowOff>
    </xdr:from>
    <xdr:to>
      <xdr:col>20</xdr:col>
      <xdr:colOff>609600</xdr:colOff>
      <xdr:row>109</xdr:row>
      <xdr:rowOff>152400</xdr:rowOff>
    </xdr:to>
    <xdr:sp macro="" textlink="">
      <xdr:nvSpPr>
        <xdr:cNvPr id="524" name="Isosceles Triangle 523">
          <a:extLst>
            <a:ext uri="{FF2B5EF4-FFF2-40B4-BE49-F238E27FC236}">
              <a16:creationId xmlns="" xmlns:a16="http://schemas.microsoft.com/office/drawing/2014/main" id="{40473377-7E2D-4476-998F-BB1EC651F3E0}"/>
            </a:ext>
          </a:extLst>
        </xdr:cNvPr>
        <xdr:cNvSpPr/>
      </xdr:nvSpPr>
      <xdr:spPr>
        <a:xfrm>
          <a:off x="11854961" y="19885633"/>
          <a:ext cx="618979" cy="34546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 b="1"/>
        </a:p>
      </xdr:txBody>
    </xdr:sp>
    <xdr:clientData/>
  </xdr:twoCellAnchor>
  <xdr:twoCellAnchor>
    <xdr:from>
      <xdr:col>12</xdr:col>
      <xdr:colOff>0</xdr:colOff>
      <xdr:row>108</xdr:row>
      <xdr:rowOff>66013</xdr:rowOff>
    </xdr:from>
    <xdr:to>
      <xdr:col>12</xdr:col>
      <xdr:colOff>602646</xdr:colOff>
      <xdr:row>109</xdr:row>
      <xdr:rowOff>161263</xdr:rowOff>
    </xdr:to>
    <xdr:sp macro="" textlink="">
      <xdr:nvSpPr>
        <xdr:cNvPr id="527" name="Isosceles Triangle 526">
          <a:extLst>
            <a:ext uri="{FF2B5EF4-FFF2-40B4-BE49-F238E27FC236}">
              <a16:creationId xmlns="" xmlns:a16="http://schemas.microsoft.com/office/drawing/2014/main" id="{243B2E62-091E-4EE8-A146-EE1BD0894303}"/>
            </a:ext>
          </a:extLst>
        </xdr:cNvPr>
        <xdr:cNvSpPr/>
      </xdr:nvSpPr>
      <xdr:spPr>
        <a:xfrm>
          <a:off x="686562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528918</xdr:colOff>
      <xdr:row>70</xdr:row>
      <xdr:rowOff>105664</xdr:rowOff>
    </xdr:from>
    <xdr:to>
      <xdr:col>3</xdr:col>
      <xdr:colOff>528918</xdr:colOff>
      <xdr:row>70</xdr:row>
      <xdr:rowOff>107576</xdr:rowOff>
    </xdr:to>
    <xdr:cxnSp macro="">
      <xdr:nvCxnSpPr>
        <xdr:cNvPr id="528" name="Straight Arrow Connector 527">
          <a:extLst>
            <a:ext uri="{FF2B5EF4-FFF2-40B4-BE49-F238E27FC236}">
              <a16:creationId xmlns="" xmlns:a16="http://schemas.microsoft.com/office/drawing/2014/main" id="{4127697A-4AC0-49C4-A74A-DEAB807B7864}"/>
            </a:ext>
          </a:extLst>
        </xdr:cNvPr>
        <xdr:cNvCxnSpPr/>
      </xdr:nvCxnSpPr>
      <xdr:spPr>
        <a:xfrm flipH="1" flipV="1">
          <a:off x="528918" y="12411964"/>
          <a:ext cx="1211580" cy="191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170330</xdr:colOff>
      <xdr:row>79</xdr:row>
      <xdr:rowOff>89647</xdr:rowOff>
    </xdr:from>
    <xdr:to>
      <xdr:col>7</xdr:col>
      <xdr:colOff>528918</xdr:colOff>
      <xdr:row>79</xdr:row>
      <xdr:rowOff>89647</xdr:rowOff>
    </xdr:to>
    <xdr:cxnSp macro="">
      <xdr:nvCxnSpPr>
        <xdr:cNvPr id="529" name="Straight Arrow Connector 528">
          <a:extLst>
            <a:ext uri="{FF2B5EF4-FFF2-40B4-BE49-F238E27FC236}">
              <a16:creationId xmlns="" xmlns:a16="http://schemas.microsoft.com/office/drawing/2014/main" id="{92CE0516-FF41-4667-A71F-6A536293439D}"/>
            </a:ext>
          </a:extLst>
        </xdr:cNvPr>
        <xdr:cNvCxnSpPr/>
      </xdr:nvCxnSpPr>
      <xdr:spPr>
        <a:xfrm>
          <a:off x="2021990" y="14087587"/>
          <a:ext cx="2248348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495363</xdr:colOff>
      <xdr:row>88</xdr:row>
      <xdr:rowOff>107576</xdr:rowOff>
    </xdr:from>
    <xdr:to>
      <xdr:col>13</xdr:col>
      <xdr:colOff>528917</xdr:colOff>
      <xdr:row>88</xdr:row>
      <xdr:rowOff>129613</xdr:rowOff>
    </xdr:to>
    <xdr:cxnSp macro="">
      <xdr:nvCxnSpPr>
        <xdr:cNvPr id="531" name="Straight Arrow Connector 530">
          <a:extLst>
            <a:ext uri="{FF2B5EF4-FFF2-40B4-BE49-F238E27FC236}">
              <a16:creationId xmlns="" xmlns:a16="http://schemas.microsoft.com/office/drawing/2014/main" id="{E8487E9C-5ECA-442E-A83E-6E55747C91E1}"/>
            </a:ext>
          </a:extLst>
        </xdr:cNvPr>
        <xdr:cNvCxnSpPr/>
      </xdr:nvCxnSpPr>
      <xdr:spPr>
        <a:xfrm flipV="1">
          <a:off x="2347023" y="15880976"/>
          <a:ext cx="5672354" cy="2203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101437</xdr:colOff>
      <xdr:row>88</xdr:row>
      <xdr:rowOff>89647</xdr:rowOff>
    </xdr:from>
    <xdr:to>
      <xdr:col>20</xdr:col>
      <xdr:colOff>35859</xdr:colOff>
      <xdr:row>88</xdr:row>
      <xdr:rowOff>120648</xdr:rowOff>
    </xdr:to>
    <xdr:cxnSp macro="">
      <xdr:nvCxnSpPr>
        <xdr:cNvPr id="533" name="Straight Arrow Connector 532">
          <a:extLst>
            <a:ext uri="{FF2B5EF4-FFF2-40B4-BE49-F238E27FC236}">
              <a16:creationId xmlns="" xmlns:a16="http://schemas.microsoft.com/office/drawing/2014/main" id="{0828113E-5B5E-42B7-A1B0-795457C61543}"/>
            </a:ext>
          </a:extLst>
        </xdr:cNvPr>
        <xdr:cNvCxnSpPr/>
      </xdr:nvCxnSpPr>
      <xdr:spPr>
        <a:xfrm flipV="1">
          <a:off x="8216737" y="15863047"/>
          <a:ext cx="3683462" cy="310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53788</xdr:colOff>
      <xdr:row>97</xdr:row>
      <xdr:rowOff>77178</xdr:rowOff>
    </xdr:from>
    <xdr:to>
      <xdr:col>13</xdr:col>
      <xdr:colOff>516277</xdr:colOff>
      <xdr:row>97</xdr:row>
      <xdr:rowOff>89647</xdr:rowOff>
    </xdr:to>
    <xdr:cxnSp macro="">
      <xdr:nvCxnSpPr>
        <xdr:cNvPr id="535" name="Straight Arrow Connector 534">
          <a:extLst>
            <a:ext uri="{FF2B5EF4-FFF2-40B4-BE49-F238E27FC236}">
              <a16:creationId xmlns="" xmlns:a16="http://schemas.microsoft.com/office/drawing/2014/main" id="{C99C3921-627A-4880-89C1-0342E4A514BE}"/>
            </a:ext>
          </a:extLst>
        </xdr:cNvPr>
        <xdr:cNvCxnSpPr/>
      </xdr:nvCxnSpPr>
      <xdr:spPr>
        <a:xfrm flipV="1">
          <a:off x="6294568" y="17603178"/>
          <a:ext cx="1712169" cy="1246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125507</xdr:colOff>
      <xdr:row>97</xdr:row>
      <xdr:rowOff>75031</xdr:rowOff>
    </xdr:from>
    <xdr:to>
      <xdr:col>19</xdr:col>
      <xdr:colOff>233083</xdr:colOff>
      <xdr:row>97</xdr:row>
      <xdr:rowOff>80682</xdr:rowOff>
    </xdr:to>
    <xdr:cxnSp macro="">
      <xdr:nvCxnSpPr>
        <xdr:cNvPr id="536" name="Straight Arrow Connector 535">
          <a:extLst>
            <a:ext uri="{FF2B5EF4-FFF2-40B4-BE49-F238E27FC236}">
              <a16:creationId xmlns="" xmlns:a16="http://schemas.microsoft.com/office/drawing/2014/main" id="{647D5673-B4C2-4F1A-8DB9-6AFAE9C235E9}"/>
            </a:ext>
          </a:extLst>
        </xdr:cNvPr>
        <xdr:cNvCxnSpPr/>
      </xdr:nvCxnSpPr>
      <xdr:spPr>
        <a:xfrm flipH="1" flipV="1">
          <a:off x="8240807" y="17601031"/>
          <a:ext cx="3231776" cy="565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22340</xdr:colOff>
      <xdr:row>106</xdr:row>
      <xdr:rowOff>60837</xdr:rowOff>
    </xdr:from>
    <xdr:to>
      <xdr:col>7</xdr:col>
      <xdr:colOff>457200</xdr:colOff>
      <xdr:row>106</xdr:row>
      <xdr:rowOff>80682</xdr:rowOff>
    </xdr:to>
    <xdr:cxnSp macro="">
      <xdr:nvCxnSpPr>
        <xdr:cNvPr id="537" name="Straight Arrow Connector 536">
          <a:extLst>
            <a:ext uri="{FF2B5EF4-FFF2-40B4-BE49-F238E27FC236}">
              <a16:creationId xmlns="" xmlns:a16="http://schemas.microsoft.com/office/drawing/2014/main" id="{850527E8-A5A7-4DC3-AB58-B06A18F7DCD4}"/>
            </a:ext>
          </a:extLst>
        </xdr:cNvPr>
        <xdr:cNvCxnSpPr/>
      </xdr:nvCxnSpPr>
      <xdr:spPr>
        <a:xfrm>
          <a:off x="609080" y="19331817"/>
          <a:ext cx="3589540" cy="1984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129966</xdr:colOff>
      <xdr:row>106</xdr:row>
      <xdr:rowOff>62753</xdr:rowOff>
    </xdr:from>
    <xdr:to>
      <xdr:col>19</xdr:col>
      <xdr:colOff>322730</xdr:colOff>
      <xdr:row>106</xdr:row>
      <xdr:rowOff>72743</xdr:rowOff>
    </xdr:to>
    <xdr:cxnSp macro="">
      <xdr:nvCxnSpPr>
        <xdr:cNvPr id="539" name="Straight Arrow Connector 538">
          <a:extLst>
            <a:ext uri="{FF2B5EF4-FFF2-40B4-BE49-F238E27FC236}">
              <a16:creationId xmlns="" xmlns:a16="http://schemas.microsoft.com/office/drawing/2014/main" id="{C4C9C5C8-7827-4048-BACD-6C9E709CE107}"/>
            </a:ext>
          </a:extLst>
        </xdr:cNvPr>
        <xdr:cNvCxnSpPr/>
      </xdr:nvCxnSpPr>
      <xdr:spPr>
        <a:xfrm flipH="1">
          <a:off x="4496226" y="19333733"/>
          <a:ext cx="7066004" cy="999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116413</xdr:colOff>
      <xdr:row>115</xdr:row>
      <xdr:rowOff>71718</xdr:rowOff>
    </xdr:from>
    <xdr:to>
      <xdr:col>19</xdr:col>
      <xdr:colOff>170330</xdr:colOff>
      <xdr:row>115</xdr:row>
      <xdr:rowOff>81848</xdr:rowOff>
    </xdr:to>
    <xdr:cxnSp macro="">
      <xdr:nvCxnSpPr>
        <xdr:cNvPr id="540" name="Straight Arrow Connector 539">
          <a:extLst>
            <a:ext uri="{FF2B5EF4-FFF2-40B4-BE49-F238E27FC236}">
              <a16:creationId xmlns="" xmlns:a16="http://schemas.microsoft.com/office/drawing/2014/main" id="{AB1D5316-E210-48DD-BE6F-931BD194C96E}"/>
            </a:ext>
          </a:extLst>
        </xdr:cNvPr>
        <xdr:cNvCxnSpPr/>
      </xdr:nvCxnSpPr>
      <xdr:spPr>
        <a:xfrm flipH="1">
          <a:off x="3232993" y="21293418"/>
          <a:ext cx="8176837" cy="101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580786</xdr:colOff>
      <xdr:row>124</xdr:row>
      <xdr:rowOff>89647</xdr:rowOff>
    </xdr:from>
    <xdr:to>
      <xdr:col>5</xdr:col>
      <xdr:colOff>385482</xdr:colOff>
      <xdr:row>124</xdr:row>
      <xdr:rowOff>105660</xdr:rowOff>
    </xdr:to>
    <xdr:cxnSp macro="">
      <xdr:nvCxnSpPr>
        <xdr:cNvPr id="542" name="Straight Arrow Connector 541">
          <a:extLst>
            <a:ext uri="{FF2B5EF4-FFF2-40B4-BE49-F238E27FC236}">
              <a16:creationId xmlns="" xmlns:a16="http://schemas.microsoft.com/office/drawing/2014/main" id="{99ECF025-AA28-4B9B-AB88-E4775D973734}"/>
            </a:ext>
          </a:extLst>
        </xdr:cNvPr>
        <xdr:cNvCxnSpPr/>
      </xdr:nvCxnSpPr>
      <xdr:spPr>
        <a:xfrm flipV="1">
          <a:off x="580786" y="23094427"/>
          <a:ext cx="2281196" cy="1601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95569</xdr:colOff>
      <xdr:row>124</xdr:row>
      <xdr:rowOff>98612</xdr:rowOff>
    </xdr:from>
    <xdr:to>
      <xdr:col>12</xdr:col>
      <xdr:colOff>609600</xdr:colOff>
      <xdr:row>124</xdr:row>
      <xdr:rowOff>104866</xdr:rowOff>
    </xdr:to>
    <xdr:cxnSp macro="">
      <xdr:nvCxnSpPr>
        <xdr:cNvPr id="543" name="Straight Arrow Connector 542">
          <a:extLst>
            <a:ext uri="{FF2B5EF4-FFF2-40B4-BE49-F238E27FC236}">
              <a16:creationId xmlns="" xmlns:a16="http://schemas.microsoft.com/office/drawing/2014/main" id="{9DA33438-E84A-4688-A75C-433CE8B0EF46}"/>
            </a:ext>
          </a:extLst>
        </xdr:cNvPr>
        <xdr:cNvCxnSpPr/>
      </xdr:nvCxnSpPr>
      <xdr:spPr>
        <a:xfrm flipH="1">
          <a:off x="3212149" y="23103392"/>
          <a:ext cx="4263071" cy="625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259977</xdr:colOff>
      <xdr:row>134</xdr:row>
      <xdr:rowOff>53163</xdr:rowOff>
    </xdr:from>
    <xdr:to>
      <xdr:col>21</xdr:col>
      <xdr:colOff>531628</xdr:colOff>
      <xdr:row>134</xdr:row>
      <xdr:rowOff>98611</xdr:rowOff>
    </xdr:to>
    <xdr:cxnSp macro="">
      <xdr:nvCxnSpPr>
        <xdr:cNvPr id="544" name="Straight Arrow Connector 543">
          <a:extLst>
            <a:ext uri="{FF2B5EF4-FFF2-40B4-BE49-F238E27FC236}">
              <a16:creationId xmlns="" xmlns:a16="http://schemas.microsoft.com/office/drawing/2014/main" id="{8AADAA44-A599-4D38-A1FA-A78A9DFB3BCC}"/>
            </a:ext>
          </a:extLst>
        </xdr:cNvPr>
        <xdr:cNvCxnSpPr/>
      </xdr:nvCxnSpPr>
      <xdr:spPr>
        <a:xfrm flipV="1">
          <a:off x="2111637" y="24932463"/>
          <a:ext cx="10909171" cy="4544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237461</xdr:colOff>
      <xdr:row>154</xdr:row>
      <xdr:rowOff>91262</xdr:rowOff>
    </xdr:from>
    <xdr:to>
      <xdr:col>12</xdr:col>
      <xdr:colOff>388938</xdr:colOff>
      <xdr:row>157</xdr:row>
      <xdr:rowOff>95250</xdr:rowOff>
    </xdr:to>
    <xdr:sp macro="" textlink="">
      <xdr:nvSpPr>
        <xdr:cNvPr id="545" name="Lightning Bolt 544">
          <a:extLst>
            <a:ext uri="{FF2B5EF4-FFF2-40B4-BE49-F238E27FC236}">
              <a16:creationId xmlns="" xmlns:a16="http://schemas.microsoft.com/office/drawing/2014/main" id="{5252BEAA-7674-4696-B281-567F64A57B29}"/>
            </a:ext>
          </a:extLst>
        </xdr:cNvPr>
        <xdr:cNvSpPr/>
      </xdr:nvSpPr>
      <xdr:spPr>
        <a:xfrm>
          <a:off x="7103081" y="28574822"/>
          <a:ext cx="151477" cy="52976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228599</xdr:colOff>
      <xdr:row>160</xdr:row>
      <xdr:rowOff>2</xdr:rowOff>
    </xdr:from>
    <xdr:to>
      <xdr:col>17</xdr:col>
      <xdr:colOff>274318</xdr:colOff>
      <xdr:row>163</xdr:row>
      <xdr:rowOff>19418</xdr:rowOff>
    </xdr:to>
    <xdr:sp macro="" textlink="">
      <xdr:nvSpPr>
        <xdr:cNvPr id="546" name="AutoShape 10733">
          <a:extLst>
            <a:ext uri="{FF2B5EF4-FFF2-40B4-BE49-F238E27FC236}">
              <a16:creationId xmlns="" xmlns:a16="http://schemas.microsoft.com/office/drawing/2014/main" id="{7666F90F-92C8-4BF2-83B9-9F7D58047CB4}"/>
            </a:ext>
          </a:extLst>
        </xdr:cNvPr>
        <xdr:cNvSpPr>
          <a:spLocks noChangeArrowheads="1"/>
        </xdr:cNvSpPr>
      </xdr:nvSpPr>
      <xdr:spPr bwMode="auto">
        <a:xfrm rot="5400000">
          <a:off x="9980111" y="29849630"/>
          <a:ext cx="522336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266038</xdr:colOff>
      <xdr:row>161</xdr:row>
      <xdr:rowOff>149391</xdr:rowOff>
    </xdr:from>
    <xdr:to>
      <xdr:col>12</xdr:col>
      <xdr:colOff>391839</xdr:colOff>
      <xdr:row>165</xdr:row>
      <xdr:rowOff>43161</xdr:rowOff>
    </xdr:to>
    <xdr:sp macro="" textlink="">
      <xdr:nvSpPr>
        <xdr:cNvPr id="547" name="Lightning Bolt 546">
          <a:extLst>
            <a:ext uri="{FF2B5EF4-FFF2-40B4-BE49-F238E27FC236}">
              <a16:creationId xmlns="" xmlns:a16="http://schemas.microsoft.com/office/drawing/2014/main" id="{89F9DDE4-28BF-4DD8-8971-F4BEFC8CD06E}"/>
            </a:ext>
          </a:extLst>
        </xdr:cNvPr>
        <xdr:cNvSpPr/>
      </xdr:nvSpPr>
      <xdr:spPr>
        <a:xfrm>
          <a:off x="7131658" y="29928351"/>
          <a:ext cx="125801" cy="564330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twoCellAnchor>
    <xdr:from>
      <xdr:col>19</xdr:col>
      <xdr:colOff>448982</xdr:colOff>
      <xdr:row>91</xdr:row>
      <xdr:rowOff>165099</xdr:rowOff>
    </xdr:from>
    <xdr:to>
      <xdr:col>19</xdr:col>
      <xdr:colOff>487082</xdr:colOff>
      <xdr:row>94</xdr:row>
      <xdr:rowOff>87405</xdr:rowOff>
    </xdr:to>
    <xdr:sp macro="" textlink="">
      <xdr:nvSpPr>
        <xdr:cNvPr id="552" name="AutoShape 10733">
          <a:extLst>
            <a:ext uri="{FF2B5EF4-FFF2-40B4-BE49-F238E27FC236}">
              <a16:creationId xmlns="" xmlns:a16="http://schemas.microsoft.com/office/drawing/2014/main" id="{3B6F9FBA-41DF-4798-BBBE-1BE94260C3D5}"/>
            </a:ext>
          </a:extLst>
        </xdr:cNvPr>
        <xdr:cNvSpPr>
          <a:spLocks noChangeArrowheads="1"/>
        </xdr:cNvSpPr>
      </xdr:nvSpPr>
      <xdr:spPr bwMode="auto">
        <a:xfrm rot="5400000">
          <a:off x="11483489" y="16753092"/>
          <a:ext cx="448086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106029</xdr:colOff>
      <xdr:row>100</xdr:row>
      <xdr:rowOff>173961</xdr:rowOff>
    </xdr:from>
    <xdr:to>
      <xdr:col>13</xdr:col>
      <xdr:colOff>299223</xdr:colOff>
      <xdr:row>102</xdr:row>
      <xdr:rowOff>158718</xdr:rowOff>
    </xdr:to>
    <xdr:sp macro="" textlink="">
      <xdr:nvSpPr>
        <xdr:cNvPr id="553" name="Parallelogram 552">
          <a:extLst>
            <a:ext uri="{FF2B5EF4-FFF2-40B4-BE49-F238E27FC236}">
              <a16:creationId xmlns="" xmlns:a16="http://schemas.microsoft.com/office/drawing/2014/main" id="{F123F3F9-48B6-46BD-9602-89F2B4E8B3CF}"/>
            </a:ext>
          </a:extLst>
        </xdr:cNvPr>
        <xdr:cNvSpPr/>
      </xdr:nvSpPr>
      <xdr:spPr>
        <a:xfrm rot="1440000">
          <a:off x="7596489" y="18301941"/>
          <a:ext cx="193194" cy="335277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80624</xdr:colOff>
      <xdr:row>100</xdr:row>
      <xdr:rowOff>169169</xdr:rowOff>
    </xdr:from>
    <xdr:to>
      <xdr:col>13</xdr:col>
      <xdr:colOff>277317</xdr:colOff>
      <xdr:row>102</xdr:row>
      <xdr:rowOff>113906</xdr:rowOff>
    </xdr:to>
    <xdr:cxnSp macro="">
      <xdr:nvCxnSpPr>
        <xdr:cNvPr id="554" name="Straight Connector 553">
          <a:extLst>
            <a:ext uri="{FF2B5EF4-FFF2-40B4-BE49-F238E27FC236}">
              <a16:creationId xmlns="" xmlns:a16="http://schemas.microsoft.com/office/drawing/2014/main" id="{3B1A8392-4DC1-4F80-9ED1-75F540857A68}"/>
            </a:ext>
          </a:extLst>
        </xdr:cNvPr>
        <xdr:cNvCxnSpPr/>
      </xdr:nvCxnSpPr>
      <xdr:spPr>
        <a:xfrm flipH="1">
          <a:off x="7571084" y="18297149"/>
          <a:ext cx="196693" cy="295257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65</xdr:row>
      <xdr:rowOff>12700</xdr:rowOff>
    </xdr:from>
    <xdr:to>
      <xdr:col>3</xdr:col>
      <xdr:colOff>358217</xdr:colOff>
      <xdr:row>66</xdr:row>
      <xdr:rowOff>133507</xdr:rowOff>
    </xdr:to>
    <xdr:sp macro="" textlink="">
      <xdr:nvSpPr>
        <xdr:cNvPr id="555" name="AutoShape 301">
          <a:extLst>
            <a:ext uri="{FF2B5EF4-FFF2-40B4-BE49-F238E27FC236}">
              <a16:creationId xmlns="" xmlns:a16="http://schemas.microsoft.com/office/drawing/2014/main" id="{98DC85AE-F394-41AE-8B74-5B7D6931EFAF}"/>
            </a:ext>
          </a:extLst>
        </xdr:cNvPr>
        <xdr:cNvSpPr>
          <a:spLocks noChangeArrowheads="1"/>
        </xdr:cNvSpPr>
      </xdr:nvSpPr>
      <xdr:spPr bwMode="auto">
        <a:xfrm rot="7084349">
          <a:off x="1337905" y="11415435"/>
          <a:ext cx="296067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177800</xdr:colOff>
      <xdr:row>155</xdr:row>
      <xdr:rowOff>50800</xdr:rowOff>
    </xdr:from>
    <xdr:to>
      <xdr:col>8</xdr:col>
      <xdr:colOff>353852</xdr:colOff>
      <xdr:row>157</xdr:row>
      <xdr:rowOff>69494</xdr:rowOff>
    </xdr:to>
    <xdr:sp macro="" textlink="">
      <xdr:nvSpPr>
        <xdr:cNvPr id="556" name="AutoShape 410">
          <a:extLst>
            <a:ext uri="{FF2B5EF4-FFF2-40B4-BE49-F238E27FC236}">
              <a16:creationId xmlns="" xmlns:a16="http://schemas.microsoft.com/office/drawing/2014/main" id="{7CA57E44-9FDD-429D-A9B8-DB53CF065524}"/>
            </a:ext>
          </a:extLst>
        </xdr:cNvPr>
        <xdr:cNvSpPr>
          <a:spLocks noChangeArrowheads="1"/>
        </xdr:cNvSpPr>
      </xdr:nvSpPr>
      <xdr:spPr bwMode="auto">
        <a:xfrm rot="7297720">
          <a:off x="4443669" y="28802391"/>
          <a:ext cx="376834" cy="176052"/>
        </a:xfrm>
        <a:prstGeom prst="wave">
          <a:avLst>
            <a:gd name="adj1" fmla="val 13005"/>
            <a:gd name="adj2" fmla="val 0"/>
          </a:avLst>
        </a:prstGeom>
        <a:solidFill>
          <a:schemeClr val="accent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</xdr:col>
      <xdr:colOff>355600</xdr:colOff>
      <xdr:row>159</xdr:row>
      <xdr:rowOff>101600</xdr:rowOff>
    </xdr:from>
    <xdr:ext cx="78658" cy="358330"/>
    <xdr:pic>
      <xdr:nvPicPr>
        <xdr:cNvPr id="558" name="Picture 11597">
          <a:extLst>
            <a:ext uri="{FF2B5EF4-FFF2-40B4-BE49-F238E27FC236}">
              <a16:creationId xmlns="" xmlns:a16="http://schemas.microsoft.com/office/drawing/2014/main" id="{CA7C3E9B-FB1F-4B75-AF5B-4C34C4DCB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1220" y="29545280"/>
          <a:ext cx="78658" cy="358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352425</xdr:colOff>
      <xdr:row>152</xdr:row>
      <xdr:rowOff>20637</xdr:rowOff>
    </xdr:from>
    <xdr:ext cx="115888" cy="445724"/>
    <xdr:pic>
      <xdr:nvPicPr>
        <xdr:cNvPr id="559" name="Picture 11597">
          <a:extLst>
            <a:ext uri="{FF2B5EF4-FFF2-40B4-BE49-F238E27FC236}">
              <a16:creationId xmlns="" xmlns:a16="http://schemas.microsoft.com/office/drawing/2014/main" id="{0509218D-2DE0-4312-950A-E15A7C073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218045" y="28146057"/>
          <a:ext cx="115888" cy="445724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241300</xdr:colOff>
      <xdr:row>17</xdr:row>
      <xdr:rowOff>25400</xdr:rowOff>
    </xdr:from>
    <xdr:to>
      <xdr:col>15</xdr:col>
      <xdr:colOff>367101</xdr:colOff>
      <xdr:row>20</xdr:row>
      <xdr:rowOff>54515</xdr:rowOff>
    </xdr:to>
    <xdr:sp macro="" textlink="">
      <xdr:nvSpPr>
        <xdr:cNvPr id="560" name="Lightning Bolt 559">
          <a:extLst>
            <a:ext uri="{FF2B5EF4-FFF2-40B4-BE49-F238E27FC236}">
              <a16:creationId xmlns="" xmlns:a16="http://schemas.microsoft.com/office/drawing/2014/main" id="{C9DCD844-D2D7-4959-AC5D-6186C90E6CC5}"/>
            </a:ext>
          </a:extLst>
        </xdr:cNvPr>
        <xdr:cNvSpPr/>
      </xdr:nvSpPr>
      <xdr:spPr>
        <a:xfrm>
          <a:off x="8981440" y="3111500"/>
          <a:ext cx="125801" cy="54727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+</a:t>
          </a:r>
        </a:p>
      </xdr:txBody>
    </xdr:sp>
    <xdr:clientData/>
  </xdr:twoCellAnchor>
  <xdr:oneCellAnchor>
    <xdr:from>
      <xdr:col>3</xdr:col>
      <xdr:colOff>88585</xdr:colOff>
      <xdr:row>25</xdr:row>
      <xdr:rowOff>163735</xdr:rowOff>
    </xdr:from>
    <xdr:ext cx="85725" cy="390524"/>
    <xdr:pic>
      <xdr:nvPicPr>
        <xdr:cNvPr id="561" name="Picture 11597">
          <a:extLst>
            <a:ext uri="{FF2B5EF4-FFF2-40B4-BE49-F238E27FC236}">
              <a16:creationId xmlns="" xmlns:a16="http://schemas.microsoft.com/office/drawing/2014/main" id="{E41DFC09-B71E-4AAD-90D0-373C90072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0165" y="470525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241300</xdr:colOff>
      <xdr:row>26</xdr:row>
      <xdr:rowOff>12700</xdr:rowOff>
    </xdr:from>
    <xdr:ext cx="85725" cy="390524"/>
    <xdr:pic>
      <xdr:nvPicPr>
        <xdr:cNvPr id="562" name="Picture 11597">
          <a:extLst>
            <a:ext uri="{FF2B5EF4-FFF2-40B4-BE49-F238E27FC236}">
              <a16:creationId xmlns="" xmlns:a16="http://schemas.microsoft.com/office/drawing/2014/main" id="{8EFEBD75-22C5-4416-859C-9062F2C5F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2080" y="472948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368300</xdr:colOff>
      <xdr:row>36</xdr:row>
      <xdr:rowOff>152399</xdr:rowOff>
    </xdr:from>
    <xdr:ext cx="72644" cy="419101"/>
    <xdr:pic>
      <xdr:nvPicPr>
        <xdr:cNvPr id="563" name="Picture 11597">
          <a:extLst>
            <a:ext uri="{FF2B5EF4-FFF2-40B4-BE49-F238E27FC236}">
              <a16:creationId xmlns="" xmlns:a16="http://schemas.microsoft.com/office/drawing/2014/main" id="{15EE81D4-0568-4A84-A5EF-F60A4D861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79880" y="662939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127210</xdr:colOff>
      <xdr:row>25</xdr:row>
      <xdr:rowOff>165100</xdr:rowOff>
    </xdr:from>
    <xdr:ext cx="72644" cy="419101"/>
    <xdr:pic>
      <xdr:nvPicPr>
        <xdr:cNvPr id="564" name="Picture 11597">
          <a:extLst>
            <a:ext uri="{FF2B5EF4-FFF2-40B4-BE49-F238E27FC236}">
              <a16:creationId xmlns="" xmlns:a16="http://schemas.microsoft.com/office/drawing/2014/main" id="{70107CF4-7311-44F3-809F-53AAA146C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03710" y="470662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108527</xdr:colOff>
      <xdr:row>36</xdr:row>
      <xdr:rowOff>152505</xdr:rowOff>
    </xdr:from>
    <xdr:ext cx="72644" cy="419101"/>
    <xdr:pic>
      <xdr:nvPicPr>
        <xdr:cNvPr id="565" name="Picture 11597">
          <a:extLst>
            <a:ext uri="{FF2B5EF4-FFF2-40B4-BE49-F238E27FC236}">
              <a16:creationId xmlns="" xmlns:a16="http://schemas.microsoft.com/office/drawing/2014/main" id="{26B5D371-B8F1-4160-9143-87226D133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585027" y="662950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456571</xdr:colOff>
      <xdr:row>36</xdr:row>
      <xdr:rowOff>158803</xdr:rowOff>
    </xdr:from>
    <xdr:ext cx="85725" cy="390524"/>
    <xdr:pic>
      <xdr:nvPicPr>
        <xdr:cNvPr id="566" name="Picture 11597">
          <a:extLst>
            <a:ext uri="{FF2B5EF4-FFF2-40B4-BE49-F238E27FC236}">
              <a16:creationId xmlns="" xmlns:a16="http://schemas.microsoft.com/office/drawing/2014/main" id="{A7DC4D27-DE08-45DC-8131-25C8A128F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3071" y="663580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203200</xdr:colOff>
      <xdr:row>36</xdr:row>
      <xdr:rowOff>152400</xdr:rowOff>
    </xdr:from>
    <xdr:ext cx="72644" cy="419101"/>
    <xdr:pic>
      <xdr:nvPicPr>
        <xdr:cNvPr id="567" name="Picture 11597">
          <a:extLst>
            <a:ext uri="{FF2B5EF4-FFF2-40B4-BE49-F238E27FC236}">
              <a16:creationId xmlns="" xmlns:a16="http://schemas.microsoft.com/office/drawing/2014/main" id="{9C403E69-00DB-4598-86F7-F23878192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42700" y="6629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241300</xdr:colOff>
      <xdr:row>36</xdr:row>
      <xdr:rowOff>152400</xdr:rowOff>
    </xdr:from>
    <xdr:ext cx="72644" cy="419101"/>
    <xdr:pic>
      <xdr:nvPicPr>
        <xdr:cNvPr id="569" name="Picture 11597">
          <a:extLst>
            <a:ext uri="{FF2B5EF4-FFF2-40B4-BE49-F238E27FC236}">
              <a16:creationId xmlns="" xmlns:a16="http://schemas.microsoft.com/office/drawing/2014/main" id="{704B0300-7A11-4777-89AE-5E5215B61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31120" y="6629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304800</xdr:colOff>
      <xdr:row>74</xdr:row>
      <xdr:rowOff>0</xdr:rowOff>
    </xdr:from>
    <xdr:ext cx="72644" cy="419101"/>
    <xdr:pic>
      <xdr:nvPicPr>
        <xdr:cNvPr id="573" name="Picture 11597">
          <a:extLst>
            <a:ext uri="{FF2B5EF4-FFF2-40B4-BE49-F238E27FC236}">
              <a16:creationId xmlns="" xmlns:a16="http://schemas.microsoft.com/office/drawing/2014/main" id="{30B08982-1594-4F98-A2AC-90CD8F97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95900" y="130225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168644</xdr:colOff>
      <xdr:row>73</xdr:row>
      <xdr:rowOff>165100</xdr:rowOff>
    </xdr:from>
    <xdr:ext cx="72644" cy="419101"/>
    <xdr:pic>
      <xdr:nvPicPr>
        <xdr:cNvPr id="575" name="Picture 11597">
          <a:extLst>
            <a:ext uri="{FF2B5EF4-FFF2-40B4-BE49-F238E27FC236}">
              <a16:creationId xmlns="" xmlns:a16="http://schemas.microsoft.com/office/drawing/2014/main" id="{15EBDFF2-4114-499B-BA85-45EE63375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59104" y="1301242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356486</xdr:colOff>
      <xdr:row>74</xdr:row>
      <xdr:rowOff>0</xdr:rowOff>
    </xdr:from>
    <xdr:ext cx="85725" cy="390524"/>
    <xdr:pic>
      <xdr:nvPicPr>
        <xdr:cNvPr id="576" name="Picture 11597">
          <a:extLst>
            <a:ext uri="{FF2B5EF4-FFF2-40B4-BE49-F238E27FC236}">
              <a16:creationId xmlns="" xmlns:a16="http://schemas.microsoft.com/office/drawing/2014/main" id="{7A068A8E-CD94-4874-B334-7BCE35822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6946" y="1302258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192741</xdr:colOff>
      <xdr:row>73</xdr:row>
      <xdr:rowOff>156136</xdr:rowOff>
    </xdr:from>
    <xdr:ext cx="72644" cy="419101"/>
    <xdr:pic>
      <xdr:nvPicPr>
        <xdr:cNvPr id="577" name="Picture 11597">
          <a:extLst>
            <a:ext uri="{FF2B5EF4-FFF2-40B4-BE49-F238E27FC236}">
              <a16:creationId xmlns="" xmlns:a16="http://schemas.microsoft.com/office/drawing/2014/main" id="{523236B0-34E0-47C3-A4D3-08294D21C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82561" y="1300345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414618</xdr:colOff>
      <xdr:row>74</xdr:row>
      <xdr:rowOff>0</xdr:rowOff>
    </xdr:from>
    <xdr:ext cx="85725" cy="390524"/>
    <xdr:pic>
      <xdr:nvPicPr>
        <xdr:cNvPr id="578" name="Picture 11597">
          <a:extLst>
            <a:ext uri="{FF2B5EF4-FFF2-40B4-BE49-F238E27FC236}">
              <a16:creationId xmlns="" xmlns:a16="http://schemas.microsoft.com/office/drawing/2014/main" id="{A5C3F715-D2CA-4B31-A160-9420F672D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438" y="1302258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165100</xdr:colOff>
      <xdr:row>73</xdr:row>
      <xdr:rowOff>152400</xdr:rowOff>
    </xdr:from>
    <xdr:ext cx="85725" cy="390524"/>
    <xdr:pic>
      <xdr:nvPicPr>
        <xdr:cNvPr id="580" name="Picture 11597">
          <a:extLst>
            <a:ext uri="{FF2B5EF4-FFF2-40B4-BE49-F238E27FC236}">
              <a16:creationId xmlns="" xmlns:a16="http://schemas.microsoft.com/office/drawing/2014/main" id="{76AF1879-9CD4-44D7-8960-3B1709A34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1299972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342900</xdr:colOff>
      <xdr:row>73</xdr:row>
      <xdr:rowOff>139700</xdr:rowOff>
    </xdr:from>
    <xdr:ext cx="72644" cy="419101"/>
    <xdr:pic>
      <xdr:nvPicPr>
        <xdr:cNvPr id="583" name="Picture 11597">
          <a:extLst>
            <a:ext uri="{FF2B5EF4-FFF2-40B4-BE49-F238E27FC236}">
              <a16:creationId xmlns="" xmlns:a16="http://schemas.microsoft.com/office/drawing/2014/main" id="{6C5695E2-F959-468E-89AA-128DBCD31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82400" y="1298702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165100</xdr:colOff>
      <xdr:row>82</xdr:row>
      <xdr:rowOff>165100</xdr:rowOff>
    </xdr:from>
    <xdr:ext cx="72644" cy="419101"/>
    <xdr:pic>
      <xdr:nvPicPr>
        <xdr:cNvPr id="584" name="Picture 11597">
          <a:extLst>
            <a:ext uri="{FF2B5EF4-FFF2-40B4-BE49-F238E27FC236}">
              <a16:creationId xmlns="" xmlns:a16="http://schemas.microsoft.com/office/drawing/2014/main" id="{55FEF765-5560-47B9-BA2D-2911764C9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76680" y="14795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228600</xdr:colOff>
      <xdr:row>83</xdr:row>
      <xdr:rowOff>38100</xdr:rowOff>
    </xdr:from>
    <xdr:ext cx="85725" cy="390524"/>
    <xdr:pic>
      <xdr:nvPicPr>
        <xdr:cNvPr id="585" name="Picture 11597">
          <a:extLst>
            <a:ext uri="{FF2B5EF4-FFF2-40B4-BE49-F238E27FC236}">
              <a16:creationId xmlns="" xmlns:a16="http://schemas.microsoft.com/office/drawing/2014/main" id="{1315184A-B75F-4C23-8194-5D0187F48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18420" y="148437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304800</xdr:colOff>
      <xdr:row>92</xdr:row>
      <xdr:rowOff>12700</xdr:rowOff>
    </xdr:from>
    <xdr:ext cx="72644" cy="419101"/>
    <xdr:pic>
      <xdr:nvPicPr>
        <xdr:cNvPr id="587" name="Picture 11597">
          <a:extLst>
            <a:ext uri="{FF2B5EF4-FFF2-40B4-BE49-F238E27FC236}">
              <a16:creationId xmlns="" xmlns:a16="http://schemas.microsoft.com/office/drawing/2014/main" id="{0228729D-C793-4EDF-A4F8-725C196EC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16380" y="16570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189005</xdr:colOff>
      <xdr:row>92</xdr:row>
      <xdr:rowOff>8964</xdr:rowOff>
    </xdr:from>
    <xdr:ext cx="72644" cy="419101"/>
    <xdr:pic>
      <xdr:nvPicPr>
        <xdr:cNvPr id="589" name="Picture 11597">
          <a:extLst>
            <a:ext uri="{FF2B5EF4-FFF2-40B4-BE49-F238E27FC236}">
              <a16:creationId xmlns="" xmlns:a16="http://schemas.microsoft.com/office/drawing/2014/main" id="{52C3C625-554A-4B13-A732-A9A588568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80105" y="1656722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292691</xdr:colOff>
      <xdr:row>92</xdr:row>
      <xdr:rowOff>12700</xdr:rowOff>
    </xdr:from>
    <xdr:ext cx="72644" cy="419101"/>
    <xdr:pic>
      <xdr:nvPicPr>
        <xdr:cNvPr id="590" name="Picture 11597">
          <a:extLst>
            <a:ext uri="{FF2B5EF4-FFF2-40B4-BE49-F238E27FC236}">
              <a16:creationId xmlns="" xmlns:a16="http://schemas.microsoft.com/office/drawing/2014/main" id="{AA4AA1B8-1327-49A6-8751-EEF6C2A6F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33471" y="16570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101600</xdr:colOff>
      <xdr:row>92</xdr:row>
      <xdr:rowOff>12700</xdr:rowOff>
    </xdr:from>
    <xdr:ext cx="85725" cy="390524"/>
    <xdr:pic>
      <xdr:nvPicPr>
        <xdr:cNvPr id="592" name="Picture 11597">
          <a:extLst>
            <a:ext uri="{FF2B5EF4-FFF2-40B4-BE49-F238E27FC236}">
              <a16:creationId xmlns="" xmlns:a16="http://schemas.microsoft.com/office/drawing/2014/main" id="{CE0D6667-A298-4751-9DBB-41087E743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2060" y="16570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266700</xdr:colOff>
      <xdr:row>92</xdr:row>
      <xdr:rowOff>25400</xdr:rowOff>
    </xdr:from>
    <xdr:ext cx="72644" cy="419101"/>
    <xdr:pic>
      <xdr:nvPicPr>
        <xdr:cNvPr id="593" name="Picture 11597">
          <a:extLst>
            <a:ext uri="{FF2B5EF4-FFF2-40B4-BE49-F238E27FC236}">
              <a16:creationId xmlns="" xmlns:a16="http://schemas.microsoft.com/office/drawing/2014/main" id="{51C8C670-244F-44E0-A066-F419C66FC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757160" y="165836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419100</xdr:colOff>
      <xdr:row>92</xdr:row>
      <xdr:rowOff>12700</xdr:rowOff>
    </xdr:from>
    <xdr:ext cx="72644" cy="419101"/>
    <xdr:pic>
      <xdr:nvPicPr>
        <xdr:cNvPr id="600" name="Picture 11597">
          <a:extLst>
            <a:ext uri="{FF2B5EF4-FFF2-40B4-BE49-F238E27FC236}">
              <a16:creationId xmlns="" xmlns:a16="http://schemas.microsoft.com/office/drawing/2014/main" id="{4F773CE6-75F8-4432-A999-2CEADB17F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159240" y="16570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62753</xdr:colOff>
      <xdr:row>92</xdr:row>
      <xdr:rowOff>30629</xdr:rowOff>
    </xdr:from>
    <xdr:ext cx="85725" cy="390524"/>
    <xdr:pic>
      <xdr:nvPicPr>
        <xdr:cNvPr id="601" name="Picture 11597">
          <a:extLst>
            <a:ext uri="{FF2B5EF4-FFF2-40B4-BE49-F238E27FC236}">
              <a16:creationId xmlns="" xmlns:a16="http://schemas.microsoft.com/office/drawing/2014/main" id="{85208212-01DF-4AD7-99D6-0C5939683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2253" y="1658888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262269</xdr:colOff>
      <xdr:row>101</xdr:row>
      <xdr:rowOff>5612</xdr:rowOff>
    </xdr:from>
    <xdr:ext cx="72644" cy="419101"/>
    <xdr:pic>
      <xdr:nvPicPr>
        <xdr:cNvPr id="605" name="Picture 11597">
          <a:extLst>
            <a:ext uri="{FF2B5EF4-FFF2-40B4-BE49-F238E27FC236}">
              <a16:creationId xmlns="" xmlns:a16="http://schemas.microsoft.com/office/drawing/2014/main" id="{90785441-C2ED-45A3-94E9-74AF1D787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73849" y="1830885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410135</xdr:colOff>
      <xdr:row>100</xdr:row>
      <xdr:rowOff>152400</xdr:rowOff>
    </xdr:from>
    <xdr:ext cx="72644" cy="419101"/>
    <xdr:pic>
      <xdr:nvPicPr>
        <xdr:cNvPr id="608" name="Picture 11597">
          <a:extLst>
            <a:ext uri="{FF2B5EF4-FFF2-40B4-BE49-F238E27FC236}">
              <a16:creationId xmlns="" xmlns:a16="http://schemas.microsoft.com/office/drawing/2014/main" id="{19187142-AB01-4AB5-9534-91552AB15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1555" y="182803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190500</xdr:colOff>
      <xdr:row>100</xdr:row>
      <xdr:rowOff>165100</xdr:rowOff>
    </xdr:from>
    <xdr:ext cx="72644" cy="419101"/>
    <xdr:pic>
      <xdr:nvPicPr>
        <xdr:cNvPr id="609" name="Picture 11597">
          <a:extLst>
            <a:ext uri="{FF2B5EF4-FFF2-40B4-BE49-F238E27FC236}">
              <a16:creationId xmlns="" xmlns:a16="http://schemas.microsoft.com/office/drawing/2014/main" id="{22872B26-C699-45CF-B20D-D31F038C9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80320" y="182930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159784</xdr:colOff>
      <xdr:row>109</xdr:row>
      <xdr:rowOff>152400</xdr:rowOff>
    </xdr:from>
    <xdr:ext cx="72644" cy="419101"/>
    <xdr:pic>
      <xdr:nvPicPr>
        <xdr:cNvPr id="610" name="Picture 11597">
          <a:extLst>
            <a:ext uri="{FF2B5EF4-FFF2-40B4-BE49-F238E27FC236}">
              <a16:creationId xmlns="" xmlns:a16="http://schemas.microsoft.com/office/drawing/2014/main" id="{13E3AFD9-4F59-407F-91BC-90E80C1A7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36284" y="202311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355600</xdr:colOff>
      <xdr:row>110</xdr:row>
      <xdr:rowOff>0</xdr:rowOff>
    </xdr:from>
    <xdr:ext cx="85725" cy="390524"/>
    <xdr:pic>
      <xdr:nvPicPr>
        <xdr:cNvPr id="618" name="Picture 11597">
          <a:extLst>
            <a:ext uri="{FF2B5EF4-FFF2-40B4-BE49-F238E27FC236}">
              <a16:creationId xmlns="" xmlns:a16="http://schemas.microsoft.com/office/drawing/2014/main" id="{EFFEC60A-0334-4A0A-B709-895517CDA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2100" y="20253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85912</xdr:colOff>
      <xdr:row>110</xdr:row>
      <xdr:rowOff>0</xdr:rowOff>
    </xdr:from>
    <xdr:ext cx="72644" cy="419101"/>
    <xdr:pic>
      <xdr:nvPicPr>
        <xdr:cNvPr id="621" name="Picture 11597">
          <a:extLst>
            <a:ext uri="{FF2B5EF4-FFF2-40B4-BE49-F238E27FC236}">
              <a16:creationId xmlns="" xmlns:a16="http://schemas.microsoft.com/office/drawing/2014/main" id="{C60B08AA-4B69-4588-BA29-4A9054C28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75732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228600</xdr:colOff>
      <xdr:row>109</xdr:row>
      <xdr:rowOff>152400</xdr:rowOff>
    </xdr:from>
    <xdr:ext cx="72644" cy="419101"/>
    <xdr:pic>
      <xdr:nvPicPr>
        <xdr:cNvPr id="627" name="Picture 11597">
          <a:extLst>
            <a:ext uri="{FF2B5EF4-FFF2-40B4-BE49-F238E27FC236}">
              <a16:creationId xmlns="" xmlns:a16="http://schemas.microsoft.com/office/drawing/2014/main" id="{932A4307-96CC-4E4B-8F47-5DF78E31F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68100" y="202311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350875</xdr:colOff>
      <xdr:row>109</xdr:row>
      <xdr:rowOff>170121</xdr:rowOff>
    </xdr:from>
    <xdr:ext cx="72644" cy="419101"/>
    <xdr:pic>
      <xdr:nvPicPr>
        <xdr:cNvPr id="628" name="Picture 11597">
          <a:extLst>
            <a:ext uri="{FF2B5EF4-FFF2-40B4-BE49-F238E27FC236}">
              <a16:creationId xmlns="" xmlns:a16="http://schemas.microsoft.com/office/drawing/2014/main" id="{6F1040D2-7773-4D4B-BB35-DB4FEAAAA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840055" y="2024882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479055</xdr:colOff>
      <xdr:row>110</xdr:row>
      <xdr:rowOff>3840</xdr:rowOff>
    </xdr:from>
    <xdr:ext cx="85725" cy="390524"/>
    <xdr:pic>
      <xdr:nvPicPr>
        <xdr:cNvPr id="629" name="Picture 11597">
          <a:extLst>
            <a:ext uri="{FF2B5EF4-FFF2-40B4-BE49-F238E27FC236}">
              <a16:creationId xmlns="" xmlns:a16="http://schemas.microsoft.com/office/drawing/2014/main" id="{1C0D0152-AC7A-4CBD-AC9B-1EFD8FD27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68235" y="202578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138223</xdr:colOff>
      <xdr:row>119</xdr:row>
      <xdr:rowOff>12700</xdr:rowOff>
    </xdr:from>
    <xdr:ext cx="72644" cy="419101"/>
    <xdr:pic>
      <xdr:nvPicPr>
        <xdr:cNvPr id="630" name="Picture 11597">
          <a:extLst>
            <a:ext uri="{FF2B5EF4-FFF2-40B4-BE49-F238E27FC236}">
              <a16:creationId xmlns="" xmlns:a16="http://schemas.microsoft.com/office/drawing/2014/main" id="{B55D3C29-A7CE-43E1-BD00-65E236159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49803" y="220497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324293</xdr:colOff>
      <xdr:row>118</xdr:row>
      <xdr:rowOff>173960</xdr:rowOff>
    </xdr:from>
    <xdr:ext cx="85725" cy="390524"/>
    <xdr:pic>
      <xdr:nvPicPr>
        <xdr:cNvPr id="631" name="Picture 11597">
          <a:extLst>
            <a:ext uri="{FF2B5EF4-FFF2-40B4-BE49-F238E27FC236}">
              <a16:creationId xmlns="" xmlns:a16="http://schemas.microsoft.com/office/drawing/2014/main" id="{FE8CD09D-51A1-46A0-B0EA-0CF98C62A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5713" y="2203574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224170</xdr:colOff>
      <xdr:row>119</xdr:row>
      <xdr:rowOff>8861</xdr:rowOff>
    </xdr:from>
    <xdr:ext cx="72644" cy="419101"/>
    <xdr:pic>
      <xdr:nvPicPr>
        <xdr:cNvPr id="632" name="Picture 11597">
          <a:extLst>
            <a:ext uri="{FF2B5EF4-FFF2-40B4-BE49-F238E27FC236}">
              <a16:creationId xmlns="" xmlns:a16="http://schemas.microsoft.com/office/drawing/2014/main" id="{61BA5976-BEFB-4C4C-B9B1-FE39FF1DF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64950" y="2204590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391493</xdr:colOff>
      <xdr:row>119</xdr:row>
      <xdr:rowOff>1771</xdr:rowOff>
    </xdr:from>
    <xdr:ext cx="85725" cy="390524"/>
    <xdr:pic>
      <xdr:nvPicPr>
        <xdr:cNvPr id="633" name="Picture 11597">
          <a:extLst>
            <a:ext uri="{FF2B5EF4-FFF2-40B4-BE49-F238E27FC236}">
              <a16:creationId xmlns="" xmlns:a16="http://schemas.microsoft.com/office/drawing/2014/main" id="{4503CD07-7043-4EDC-88C8-CD474BFC0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1633" y="2203881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526607</xdr:colOff>
      <xdr:row>118</xdr:row>
      <xdr:rowOff>165100</xdr:rowOff>
    </xdr:from>
    <xdr:ext cx="72644" cy="419101"/>
    <xdr:pic>
      <xdr:nvPicPr>
        <xdr:cNvPr id="634" name="Picture 11597">
          <a:extLst>
            <a:ext uri="{FF2B5EF4-FFF2-40B4-BE49-F238E27FC236}">
              <a16:creationId xmlns="" xmlns:a16="http://schemas.microsoft.com/office/drawing/2014/main" id="{5745217E-D1D0-493F-A9B1-FA85B9927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266747" y="220268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287130</xdr:colOff>
      <xdr:row>118</xdr:row>
      <xdr:rowOff>165100</xdr:rowOff>
    </xdr:from>
    <xdr:ext cx="72644" cy="419101"/>
    <xdr:pic>
      <xdr:nvPicPr>
        <xdr:cNvPr id="635" name="Picture 11597">
          <a:extLst>
            <a:ext uri="{FF2B5EF4-FFF2-40B4-BE49-F238E27FC236}">
              <a16:creationId xmlns="" xmlns:a16="http://schemas.microsoft.com/office/drawing/2014/main" id="{5736DAA4-D135-446A-B2A2-DD9D7ACDE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26630" y="220268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261908</xdr:colOff>
      <xdr:row>128</xdr:row>
      <xdr:rowOff>161266</xdr:rowOff>
    </xdr:from>
    <xdr:ext cx="72644" cy="419101"/>
    <xdr:pic>
      <xdr:nvPicPr>
        <xdr:cNvPr id="636" name="Picture 11597">
          <a:extLst>
            <a:ext uri="{FF2B5EF4-FFF2-40B4-BE49-F238E27FC236}">
              <a16:creationId xmlns="" xmlns:a16="http://schemas.microsoft.com/office/drawing/2014/main" id="{719A52EC-BF02-4E28-827A-E79477FD4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003328" y="2387470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76440</xdr:colOff>
      <xdr:row>128</xdr:row>
      <xdr:rowOff>169173</xdr:rowOff>
    </xdr:from>
    <xdr:ext cx="72644" cy="419101"/>
    <xdr:pic>
      <xdr:nvPicPr>
        <xdr:cNvPr id="637" name="Picture 11597">
          <a:extLst>
            <a:ext uri="{FF2B5EF4-FFF2-40B4-BE49-F238E27FC236}">
              <a16:creationId xmlns="" xmlns:a16="http://schemas.microsoft.com/office/drawing/2014/main" id="{AF267B17-98E7-4CB6-AB42-058E535B1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17220" y="2388261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20</xdr:col>
      <xdr:colOff>0</xdr:colOff>
      <xdr:row>35</xdr:row>
      <xdr:rowOff>85060</xdr:rowOff>
    </xdr:from>
    <xdr:to>
      <xdr:col>20</xdr:col>
      <xdr:colOff>605028</xdr:colOff>
      <xdr:row>36</xdr:row>
      <xdr:rowOff>180310</xdr:rowOff>
    </xdr:to>
    <xdr:sp macro="" textlink="">
      <xdr:nvSpPr>
        <xdr:cNvPr id="638" name="Isosceles Triangle 637">
          <a:extLst>
            <a:ext uri="{FF2B5EF4-FFF2-40B4-BE49-F238E27FC236}">
              <a16:creationId xmlns="" xmlns:a16="http://schemas.microsoft.com/office/drawing/2014/main" id="{0FEA4F58-A83F-48BC-BF3C-45757C94F1B7}"/>
            </a:ext>
          </a:extLst>
        </xdr:cNvPr>
        <xdr:cNvSpPr/>
      </xdr:nvSpPr>
      <xdr:spPr>
        <a:xfrm>
          <a:off x="11864340" y="6394420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571500</xdr:colOff>
      <xdr:row>24</xdr:row>
      <xdr:rowOff>53974</xdr:rowOff>
    </xdr:from>
    <xdr:to>
      <xdr:col>2</xdr:col>
      <xdr:colOff>666750</xdr:colOff>
      <xdr:row>25</xdr:row>
      <xdr:rowOff>152399</xdr:rowOff>
    </xdr:to>
    <xdr:sp macro="" textlink="">
      <xdr:nvSpPr>
        <xdr:cNvPr id="639" name="Isosceles Triangle 638">
          <a:extLst>
            <a:ext uri="{FF2B5EF4-FFF2-40B4-BE49-F238E27FC236}">
              <a16:creationId xmlns="" xmlns:a16="http://schemas.microsoft.com/office/drawing/2014/main" id="{55309D7C-E849-49E5-8C86-B17FC36C1D9C}"/>
            </a:ext>
          </a:extLst>
        </xdr:cNvPr>
        <xdr:cNvSpPr/>
      </xdr:nvSpPr>
      <xdr:spPr>
        <a:xfrm>
          <a:off x="571500" y="4121149"/>
          <a:ext cx="685800" cy="3079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640" name="Isosceles Triangle 639">
          <a:extLst>
            <a:ext uri="{FF2B5EF4-FFF2-40B4-BE49-F238E27FC236}">
              <a16:creationId xmlns="" xmlns:a16="http://schemas.microsoft.com/office/drawing/2014/main" id="{50E45F90-8D2D-49D3-9395-C030D98BBD32}"/>
            </a:ext>
          </a:extLst>
        </xdr:cNvPr>
        <xdr:cNvSpPr/>
      </xdr:nvSpPr>
      <xdr:spPr>
        <a:xfrm>
          <a:off x="562051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24</xdr:row>
      <xdr:rowOff>74873</xdr:rowOff>
    </xdr:from>
    <xdr:to>
      <xdr:col>6</xdr:col>
      <xdr:colOff>605028</xdr:colOff>
      <xdr:row>25</xdr:row>
      <xdr:rowOff>170123</xdr:rowOff>
    </xdr:to>
    <xdr:sp macro="" textlink="">
      <xdr:nvSpPr>
        <xdr:cNvPr id="641" name="Isosceles Triangle 640">
          <a:extLst>
            <a:ext uri="{FF2B5EF4-FFF2-40B4-BE49-F238E27FC236}">
              <a16:creationId xmlns="" xmlns:a16="http://schemas.microsoft.com/office/drawing/2014/main" id="{E9A71B51-21D1-4A63-AD08-86B65FD480C0}"/>
            </a:ext>
          </a:extLst>
        </xdr:cNvPr>
        <xdr:cNvSpPr/>
      </xdr:nvSpPr>
      <xdr:spPr>
        <a:xfrm>
          <a:off x="3116580" y="4403033"/>
          <a:ext cx="605028" cy="3086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642" name="Isosceles Triangle 641">
          <a:extLst>
            <a:ext uri="{FF2B5EF4-FFF2-40B4-BE49-F238E27FC236}">
              <a16:creationId xmlns="" xmlns:a16="http://schemas.microsoft.com/office/drawing/2014/main" id="{2F06A7C3-8935-452E-A2DB-4774DDC44245}"/>
            </a:ext>
          </a:extLst>
        </xdr:cNvPr>
        <xdr:cNvSpPr/>
      </xdr:nvSpPr>
      <xdr:spPr>
        <a:xfrm>
          <a:off x="18562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643" name="Isosceles Triangle 642">
          <a:extLst>
            <a:ext uri="{FF2B5EF4-FFF2-40B4-BE49-F238E27FC236}">
              <a16:creationId xmlns="" xmlns:a16="http://schemas.microsoft.com/office/drawing/2014/main" id="{58ADA63E-2789-410C-832C-171305A381A0}"/>
            </a:ext>
          </a:extLst>
        </xdr:cNvPr>
        <xdr:cNvSpPr/>
      </xdr:nvSpPr>
      <xdr:spPr>
        <a:xfrm>
          <a:off x="43708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15876</xdr:colOff>
      <xdr:row>35</xdr:row>
      <xdr:rowOff>95252</xdr:rowOff>
    </xdr:from>
    <xdr:to>
      <xdr:col>8</xdr:col>
      <xdr:colOff>620904</xdr:colOff>
      <xdr:row>36</xdr:row>
      <xdr:rowOff>190502</xdr:rowOff>
    </xdr:to>
    <xdr:sp macro="" textlink="">
      <xdr:nvSpPr>
        <xdr:cNvPr id="644" name="Isosceles Triangle 643">
          <a:extLst>
            <a:ext uri="{FF2B5EF4-FFF2-40B4-BE49-F238E27FC236}">
              <a16:creationId xmlns="" xmlns:a16="http://schemas.microsoft.com/office/drawing/2014/main" id="{8F507844-8A4A-4F8C-8A21-2E9FEF781975}"/>
            </a:ext>
          </a:extLst>
        </xdr:cNvPr>
        <xdr:cNvSpPr/>
      </xdr:nvSpPr>
      <xdr:spPr>
        <a:xfrm>
          <a:off x="4382136" y="6404612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645" name="Isosceles Triangle 644">
          <a:extLst>
            <a:ext uri="{FF2B5EF4-FFF2-40B4-BE49-F238E27FC236}">
              <a16:creationId xmlns="" xmlns:a16="http://schemas.microsoft.com/office/drawing/2014/main" id="{7BC4E48F-E590-41A2-B5BE-36B1F732151C}"/>
            </a:ext>
          </a:extLst>
        </xdr:cNvPr>
        <xdr:cNvSpPr/>
      </xdr:nvSpPr>
      <xdr:spPr>
        <a:xfrm>
          <a:off x="562051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87007</xdr:rowOff>
    </xdr:from>
    <xdr:to>
      <xdr:col>15</xdr:col>
      <xdr:colOff>0</xdr:colOff>
      <xdr:row>37</xdr:row>
      <xdr:rowOff>6377</xdr:rowOff>
    </xdr:to>
    <xdr:sp macro="" textlink="">
      <xdr:nvSpPr>
        <xdr:cNvPr id="646" name="Isosceles Triangle 645">
          <a:extLst>
            <a:ext uri="{FF2B5EF4-FFF2-40B4-BE49-F238E27FC236}">
              <a16:creationId xmlns="" xmlns:a16="http://schemas.microsoft.com/office/drawing/2014/main" id="{E203F435-3442-4A3D-AB9E-6CAB50F8069E}"/>
            </a:ext>
          </a:extLst>
        </xdr:cNvPr>
        <xdr:cNvSpPr/>
      </xdr:nvSpPr>
      <xdr:spPr>
        <a:xfrm>
          <a:off x="8119872" y="6396367"/>
          <a:ext cx="620268" cy="2851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647" name="Isosceles Triangle 646">
          <a:extLst>
            <a:ext uri="{FF2B5EF4-FFF2-40B4-BE49-F238E27FC236}">
              <a16:creationId xmlns="" xmlns:a16="http://schemas.microsoft.com/office/drawing/2014/main" id="{01837541-4A20-42E7-903A-71AFFC506234}"/>
            </a:ext>
          </a:extLst>
        </xdr:cNvPr>
        <xdr:cNvSpPr/>
      </xdr:nvSpPr>
      <xdr:spPr>
        <a:xfrm>
          <a:off x="106192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50" name="Isosceles Triangle 649">
          <a:extLst>
            <a:ext uri="{FF2B5EF4-FFF2-40B4-BE49-F238E27FC236}">
              <a16:creationId xmlns="" xmlns:a16="http://schemas.microsoft.com/office/drawing/2014/main" id="{C0040C30-2F91-42C1-8266-7A4085274360}"/>
            </a:ext>
          </a:extLst>
        </xdr:cNvPr>
        <xdr:cNvSpPr/>
      </xdr:nvSpPr>
      <xdr:spPr>
        <a:xfrm>
          <a:off x="31211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51" name="Isosceles Triangle 650">
          <a:extLst>
            <a:ext uri="{FF2B5EF4-FFF2-40B4-BE49-F238E27FC236}">
              <a16:creationId xmlns="" xmlns:a16="http://schemas.microsoft.com/office/drawing/2014/main" id="{48FECD12-FF2D-4FC2-8CA7-BD103303ACAA}"/>
            </a:ext>
          </a:extLst>
        </xdr:cNvPr>
        <xdr:cNvSpPr/>
      </xdr:nvSpPr>
      <xdr:spPr>
        <a:xfrm>
          <a:off x="31211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15876</xdr:colOff>
      <xdr:row>35</xdr:row>
      <xdr:rowOff>95252</xdr:rowOff>
    </xdr:from>
    <xdr:to>
      <xdr:col>6</xdr:col>
      <xdr:colOff>620904</xdr:colOff>
      <xdr:row>36</xdr:row>
      <xdr:rowOff>190502</xdr:rowOff>
    </xdr:to>
    <xdr:sp macro="" textlink="">
      <xdr:nvSpPr>
        <xdr:cNvPr id="652" name="Isosceles Triangle 651">
          <a:extLst>
            <a:ext uri="{FF2B5EF4-FFF2-40B4-BE49-F238E27FC236}">
              <a16:creationId xmlns="" xmlns:a16="http://schemas.microsoft.com/office/drawing/2014/main" id="{D2D57A65-48F8-4338-BD41-BE9E8BC5952A}"/>
            </a:ext>
          </a:extLst>
        </xdr:cNvPr>
        <xdr:cNvSpPr/>
      </xdr:nvSpPr>
      <xdr:spPr>
        <a:xfrm>
          <a:off x="3132456" y="6404612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53" name="Isosceles Triangle 652">
          <a:extLst>
            <a:ext uri="{FF2B5EF4-FFF2-40B4-BE49-F238E27FC236}">
              <a16:creationId xmlns="" xmlns:a16="http://schemas.microsoft.com/office/drawing/2014/main" id="{8D17123F-783F-4FE4-BB12-D46BF04F9D77}"/>
            </a:ext>
          </a:extLst>
        </xdr:cNvPr>
        <xdr:cNvSpPr/>
      </xdr:nvSpPr>
      <xdr:spPr>
        <a:xfrm>
          <a:off x="687019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56" name="Isosceles Triangle 655">
          <a:extLst>
            <a:ext uri="{FF2B5EF4-FFF2-40B4-BE49-F238E27FC236}">
              <a16:creationId xmlns="" xmlns:a16="http://schemas.microsoft.com/office/drawing/2014/main" id="{89DCF8BE-18E6-402C-8AE6-074A93B42378}"/>
            </a:ext>
          </a:extLst>
        </xdr:cNvPr>
        <xdr:cNvSpPr/>
      </xdr:nvSpPr>
      <xdr:spPr>
        <a:xfrm>
          <a:off x="687019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15876</xdr:colOff>
      <xdr:row>35</xdr:row>
      <xdr:rowOff>87314</xdr:rowOff>
    </xdr:from>
    <xdr:to>
      <xdr:col>12</xdr:col>
      <xdr:colOff>620904</xdr:colOff>
      <xdr:row>36</xdr:row>
      <xdr:rowOff>182564</xdr:rowOff>
    </xdr:to>
    <xdr:sp macro="" textlink="">
      <xdr:nvSpPr>
        <xdr:cNvPr id="657" name="Isosceles Triangle 656">
          <a:extLst>
            <a:ext uri="{FF2B5EF4-FFF2-40B4-BE49-F238E27FC236}">
              <a16:creationId xmlns="" xmlns:a16="http://schemas.microsoft.com/office/drawing/2014/main" id="{EFEF656C-2658-4D77-B957-B16595B3C5E1}"/>
            </a:ext>
          </a:extLst>
        </xdr:cNvPr>
        <xdr:cNvSpPr/>
      </xdr:nvSpPr>
      <xdr:spPr>
        <a:xfrm>
          <a:off x="6881496" y="6396674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659" name="Isosceles Triangle 658">
          <a:extLst>
            <a:ext uri="{FF2B5EF4-FFF2-40B4-BE49-F238E27FC236}">
              <a16:creationId xmlns="" xmlns:a16="http://schemas.microsoft.com/office/drawing/2014/main" id="{3C80F3A5-C672-4B8B-8A8A-C0714A3BBA86}"/>
            </a:ext>
          </a:extLst>
        </xdr:cNvPr>
        <xdr:cNvSpPr/>
      </xdr:nvSpPr>
      <xdr:spPr>
        <a:xfrm>
          <a:off x="93695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663" name="Isosceles Triangle 662">
          <a:extLst>
            <a:ext uri="{FF2B5EF4-FFF2-40B4-BE49-F238E27FC236}">
              <a16:creationId xmlns="" xmlns:a16="http://schemas.microsoft.com/office/drawing/2014/main" id="{25B64205-AF20-49B0-8DD4-756011AA555E}"/>
            </a:ext>
          </a:extLst>
        </xdr:cNvPr>
        <xdr:cNvSpPr/>
      </xdr:nvSpPr>
      <xdr:spPr>
        <a:xfrm>
          <a:off x="93695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15876</xdr:colOff>
      <xdr:row>35</xdr:row>
      <xdr:rowOff>95252</xdr:rowOff>
    </xdr:from>
    <xdr:to>
      <xdr:col>16</xdr:col>
      <xdr:colOff>620904</xdr:colOff>
      <xdr:row>36</xdr:row>
      <xdr:rowOff>190502</xdr:rowOff>
    </xdr:to>
    <xdr:sp macro="" textlink="">
      <xdr:nvSpPr>
        <xdr:cNvPr id="665" name="Isosceles Triangle 664">
          <a:extLst>
            <a:ext uri="{FF2B5EF4-FFF2-40B4-BE49-F238E27FC236}">
              <a16:creationId xmlns="" xmlns:a16="http://schemas.microsoft.com/office/drawing/2014/main" id="{740AF6DB-1B32-4015-8E1B-1E89E495A4EA}"/>
            </a:ext>
          </a:extLst>
        </xdr:cNvPr>
        <xdr:cNvSpPr/>
      </xdr:nvSpPr>
      <xdr:spPr>
        <a:xfrm>
          <a:off x="9380856" y="6404612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690" name="Isosceles Triangle 689">
          <a:extLst>
            <a:ext uri="{FF2B5EF4-FFF2-40B4-BE49-F238E27FC236}">
              <a16:creationId xmlns="" xmlns:a16="http://schemas.microsoft.com/office/drawing/2014/main" id="{1778A024-539B-44D2-B264-09F7777C5D41}"/>
            </a:ext>
          </a:extLst>
        </xdr:cNvPr>
        <xdr:cNvSpPr/>
      </xdr:nvSpPr>
      <xdr:spPr>
        <a:xfrm>
          <a:off x="562051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691" name="Isosceles Triangle 690">
          <a:extLst>
            <a:ext uri="{FF2B5EF4-FFF2-40B4-BE49-F238E27FC236}">
              <a16:creationId xmlns="" xmlns:a16="http://schemas.microsoft.com/office/drawing/2014/main" id="{96B65E30-02E3-4326-A6CF-4E0B6F7E257A}"/>
            </a:ext>
          </a:extLst>
        </xdr:cNvPr>
        <xdr:cNvSpPr/>
      </xdr:nvSpPr>
      <xdr:spPr>
        <a:xfrm>
          <a:off x="562051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693" name="Isosceles Triangle 692">
          <a:extLst>
            <a:ext uri="{FF2B5EF4-FFF2-40B4-BE49-F238E27FC236}">
              <a16:creationId xmlns="" xmlns:a16="http://schemas.microsoft.com/office/drawing/2014/main" id="{AED61320-1BBE-48C4-A59D-2364701C776A}"/>
            </a:ext>
          </a:extLst>
        </xdr:cNvPr>
        <xdr:cNvSpPr/>
      </xdr:nvSpPr>
      <xdr:spPr>
        <a:xfrm>
          <a:off x="562051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44</xdr:row>
      <xdr:rowOff>74873</xdr:rowOff>
    </xdr:from>
    <xdr:to>
      <xdr:col>10</xdr:col>
      <xdr:colOff>605028</xdr:colOff>
      <xdr:row>45</xdr:row>
      <xdr:rowOff>170123</xdr:rowOff>
    </xdr:to>
    <xdr:sp macro="" textlink="">
      <xdr:nvSpPr>
        <xdr:cNvPr id="695" name="Isosceles Triangle 694">
          <a:extLst>
            <a:ext uri="{FF2B5EF4-FFF2-40B4-BE49-F238E27FC236}">
              <a16:creationId xmlns="" xmlns:a16="http://schemas.microsoft.com/office/drawing/2014/main" id="{DE47C0A9-E7A9-417C-A687-D71630991A99}"/>
            </a:ext>
          </a:extLst>
        </xdr:cNvPr>
        <xdr:cNvSpPr/>
      </xdr:nvSpPr>
      <xdr:spPr>
        <a:xfrm>
          <a:off x="561594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696" name="Isosceles Triangle 695">
          <a:extLst>
            <a:ext uri="{FF2B5EF4-FFF2-40B4-BE49-F238E27FC236}">
              <a16:creationId xmlns="" xmlns:a16="http://schemas.microsoft.com/office/drawing/2014/main" id="{11968505-8543-463E-AC11-D07EBA48DA6A}"/>
            </a:ext>
          </a:extLst>
        </xdr:cNvPr>
        <xdr:cNvSpPr/>
      </xdr:nvSpPr>
      <xdr:spPr>
        <a:xfrm>
          <a:off x="687019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697" name="Isosceles Triangle 696">
          <a:extLst>
            <a:ext uri="{FF2B5EF4-FFF2-40B4-BE49-F238E27FC236}">
              <a16:creationId xmlns="" xmlns:a16="http://schemas.microsoft.com/office/drawing/2014/main" id="{9A19365D-42FB-4817-ABB7-EBEC243D2F10}"/>
            </a:ext>
          </a:extLst>
        </xdr:cNvPr>
        <xdr:cNvSpPr/>
      </xdr:nvSpPr>
      <xdr:spPr>
        <a:xfrm>
          <a:off x="687019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698" name="Isosceles Triangle 697">
          <a:extLst>
            <a:ext uri="{FF2B5EF4-FFF2-40B4-BE49-F238E27FC236}">
              <a16:creationId xmlns="" xmlns:a16="http://schemas.microsoft.com/office/drawing/2014/main" id="{DB345FCE-2D15-4331-AB33-E030EFA8BCCF}"/>
            </a:ext>
          </a:extLst>
        </xdr:cNvPr>
        <xdr:cNvSpPr/>
      </xdr:nvSpPr>
      <xdr:spPr>
        <a:xfrm>
          <a:off x="687019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44</xdr:row>
      <xdr:rowOff>74873</xdr:rowOff>
    </xdr:from>
    <xdr:to>
      <xdr:col>12</xdr:col>
      <xdr:colOff>605028</xdr:colOff>
      <xdr:row>45</xdr:row>
      <xdr:rowOff>170123</xdr:rowOff>
    </xdr:to>
    <xdr:sp macro="" textlink="">
      <xdr:nvSpPr>
        <xdr:cNvPr id="699" name="Isosceles Triangle 698">
          <a:extLst>
            <a:ext uri="{FF2B5EF4-FFF2-40B4-BE49-F238E27FC236}">
              <a16:creationId xmlns="" xmlns:a16="http://schemas.microsoft.com/office/drawing/2014/main" id="{55970EFC-F53D-4419-A3C4-5D1DBBB05514}"/>
            </a:ext>
          </a:extLst>
        </xdr:cNvPr>
        <xdr:cNvSpPr/>
      </xdr:nvSpPr>
      <xdr:spPr>
        <a:xfrm>
          <a:off x="686562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700" name="Isosceles Triangle 699">
          <a:extLst>
            <a:ext uri="{FF2B5EF4-FFF2-40B4-BE49-F238E27FC236}">
              <a16:creationId xmlns="" xmlns:a16="http://schemas.microsoft.com/office/drawing/2014/main" id="{009FE9DE-D038-4E2D-9F18-DFA8CD5F1D6B}"/>
            </a:ext>
          </a:extLst>
        </xdr:cNvPr>
        <xdr:cNvSpPr/>
      </xdr:nvSpPr>
      <xdr:spPr>
        <a:xfrm>
          <a:off x="811987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701" name="Isosceles Triangle 700">
          <a:extLst>
            <a:ext uri="{FF2B5EF4-FFF2-40B4-BE49-F238E27FC236}">
              <a16:creationId xmlns="" xmlns:a16="http://schemas.microsoft.com/office/drawing/2014/main" id="{0659E072-542B-47C0-8310-66301A219457}"/>
            </a:ext>
          </a:extLst>
        </xdr:cNvPr>
        <xdr:cNvSpPr/>
      </xdr:nvSpPr>
      <xdr:spPr>
        <a:xfrm>
          <a:off x="811987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707" name="Isosceles Triangle 706">
          <a:extLst>
            <a:ext uri="{FF2B5EF4-FFF2-40B4-BE49-F238E27FC236}">
              <a16:creationId xmlns="" xmlns:a16="http://schemas.microsoft.com/office/drawing/2014/main" id="{C8FC0157-8ABD-46DE-A83B-594D66126045}"/>
            </a:ext>
          </a:extLst>
        </xdr:cNvPr>
        <xdr:cNvSpPr/>
      </xdr:nvSpPr>
      <xdr:spPr>
        <a:xfrm>
          <a:off x="811987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44</xdr:row>
      <xdr:rowOff>74873</xdr:rowOff>
    </xdr:from>
    <xdr:to>
      <xdr:col>14</xdr:col>
      <xdr:colOff>605028</xdr:colOff>
      <xdr:row>45</xdr:row>
      <xdr:rowOff>170123</xdr:rowOff>
    </xdr:to>
    <xdr:sp macro="" textlink="">
      <xdr:nvSpPr>
        <xdr:cNvPr id="708" name="Isosceles Triangle 707">
          <a:extLst>
            <a:ext uri="{FF2B5EF4-FFF2-40B4-BE49-F238E27FC236}">
              <a16:creationId xmlns="" xmlns:a16="http://schemas.microsoft.com/office/drawing/2014/main" id="{AB0AAC75-6F31-4FAE-BFA1-90CA6BC0D256}"/>
            </a:ext>
          </a:extLst>
        </xdr:cNvPr>
        <xdr:cNvSpPr/>
      </xdr:nvSpPr>
      <xdr:spPr>
        <a:xfrm>
          <a:off x="811530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711" name="Isosceles Triangle 710">
          <a:extLst>
            <a:ext uri="{FF2B5EF4-FFF2-40B4-BE49-F238E27FC236}">
              <a16:creationId xmlns="" xmlns:a16="http://schemas.microsoft.com/office/drawing/2014/main" id="{4C62319C-F8F8-408D-8E5C-DCE8D164CE87}"/>
            </a:ext>
          </a:extLst>
        </xdr:cNvPr>
        <xdr:cNvSpPr/>
      </xdr:nvSpPr>
      <xdr:spPr>
        <a:xfrm>
          <a:off x="936955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712" name="Isosceles Triangle 711">
          <a:extLst>
            <a:ext uri="{FF2B5EF4-FFF2-40B4-BE49-F238E27FC236}">
              <a16:creationId xmlns="" xmlns:a16="http://schemas.microsoft.com/office/drawing/2014/main" id="{DEAFC4B0-BC4D-4CA5-B689-9E3E02BD4A60}"/>
            </a:ext>
          </a:extLst>
        </xdr:cNvPr>
        <xdr:cNvSpPr/>
      </xdr:nvSpPr>
      <xdr:spPr>
        <a:xfrm>
          <a:off x="936955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713" name="Isosceles Triangle 712">
          <a:extLst>
            <a:ext uri="{FF2B5EF4-FFF2-40B4-BE49-F238E27FC236}">
              <a16:creationId xmlns="" xmlns:a16="http://schemas.microsoft.com/office/drawing/2014/main" id="{7B654589-5F8D-4917-BF73-01C81FEBDB0A}"/>
            </a:ext>
          </a:extLst>
        </xdr:cNvPr>
        <xdr:cNvSpPr/>
      </xdr:nvSpPr>
      <xdr:spPr>
        <a:xfrm>
          <a:off x="936955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44</xdr:row>
      <xdr:rowOff>74873</xdr:rowOff>
    </xdr:from>
    <xdr:to>
      <xdr:col>16</xdr:col>
      <xdr:colOff>605028</xdr:colOff>
      <xdr:row>45</xdr:row>
      <xdr:rowOff>170123</xdr:rowOff>
    </xdr:to>
    <xdr:sp macro="" textlink="">
      <xdr:nvSpPr>
        <xdr:cNvPr id="715" name="Isosceles Triangle 714">
          <a:extLst>
            <a:ext uri="{FF2B5EF4-FFF2-40B4-BE49-F238E27FC236}">
              <a16:creationId xmlns="" xmlns:a16="http://schemas.microsoft.com/office/drawing/2014/main" id="{DF9ECF26-8EA5-41EE-B205-34F2AD71CBE8}"/>
            </a:ext>
          </a:extLst>
        </xdr:cNvPr>
        <xdr:cNvSpPr/>
      </xdr:nvSpPr>
      <xdr:spPr>
        <a:xfrm>
          <a:off x="936498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720" name="Isosceles Triangle 719">
          <a:extLst>
            <a:ext uri="{FF2B5EF4-FFF2-40B4-BE49-F238E27FC236}">
              <a16:creationId xmlns="" xmlns:a16="http://schemas.microsoft.com/office/drawing/2014/main" id="{877C65C2-C034-4E1E-9309-9A2755FE9C17}"/>
            </a:ext>
          </a:extLst>
        </xdr:cNvPr>
        <xdr:cNvSpPr/>
      </xdr:nvSpPr>
      <xdr:spPr>
        <a:xfrm>
          <a:off x="811987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725" name="Isosceles Triangle 724">
          <a:extLst>
            <a:ext uri="{FF2B5EF4-FFF2-40B4-BE49-F238E27FC236}">
              <a16:creationId xmlns="" xmlns:a16="http://schemas.microsoft.com/office/drawing/2014/main" id="{DB232ED0-16AB-4DE3-AEC5-2BF3BEBA4A22}"/>
            </a:ext>
          </a:extLst>
        </xdr:cNvPr>
        <xdr:cNvSpPr/>
      </xdr:nvSpPr>
      <xdr:spPr>
        <a:xfrm>
          <a:off x="811987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729" name="Isosceles Triangle 728">
          <a:extLst>
            <a:ext uri="{FF2B5EF4-FFF2-40B4-BE49-F238E27FC236}">
              <a16:creationId xmlns="" xmlns:a16="http://schemas.microsoft.com/office/drawing/2014/main" id="{A14F2BFA-8998-4BAB-AB0B-45FE615AE3B1}"/>
            </a:ext>
          </a:extLst>
        </xdr:cNvPr>
        <xdr:cNvSpPr/>
      </xdr:nvSpPr>
      <xdr:spPr>
        <a:xfrm>
          <a:off x="811987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8664</xdr:colOff>
      <xdr:row>53</xdr:row>
      <xdr:rowOff>77174</xdr:rowOff>
    </xdr:from>
    <xdr:to>
      <xdr:col>14</xdr:col>
      <xdr:colOff>641363</xdr:colOff>
      <xdr:row>54</xdr:row>
      <xdr:rowOff>184271</xdr:rowOff>
    </xdr:to>
    <xdr:sp macro="" textlink="">
      <xdr:nvSpPr>
        <xdr:cNvPr id="730" name="Isosceles Triangle 729">
          <a:extLst>
            <a:ext uri="{FF2B5EF4-FFF2-40B4-BE49-F238E27FC236}">
              <a16:creationId xmlns="" xmlns:a16="http://schemas.microsoft.com/office/drawing/2014/main" id="{2F9F3BB0-5DC3-436B-B54B-A288F8A101C3}"/>
            </a:ext>
          </a:extLst>
        </xdr:cNvPr>
        <xdr:cNvSpPr/>
      </xdr:nvSpPr>
      <xdr:spPr>
        <a:xfrm>
          <a:off x="8345307" y="9184888"/>
          <a:ext cx="632699" cy="27945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732" name="Isosceles Triangle 731">
          <a:extLst>
            <a:ext uri="{FF2B5EF4-FFF2-40B4-BE49-F238E27FC236}">
              <a16:creationId xmlns="" xmlns:a16="http://schemas.microsoft.com/office/drawing/2014/main" id="{CAC357F9-56DE-4847-8C26-97CB0E7BBCA7}"/>
            </a:ext>
          </a:extLst>
        </xdr:cNvPr>
        <xdr:cNvSpPr/>
      </xdr:nvSpPr>
      <xdr:spPr>
        <a:xfrm>
          <a:off x="93695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733" name="Isosceles Triangle 732">
          <a:extLst>
            <a:ext uri="{FF2B5EF4-FFF2-40B4-BE49-F238E27FC236}">
              <a16:creationId xmlns="" xmlns:a16="http://schemas.microsoft.com/office/drawing/2014/main" id="{EE0FDA72-A338-42E4-A54C-8AC1AA5345DB}"/>
            </a:ext>
          </a:extLst>
        </xdr:cNvPr>
        <xdr:cNvSpPr/>
      </xdr:nvSpPr>
      <xdr:spPr>
        <a:xfrm>
          <a:off x="93695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734" name="Isosceles Triangle 733">
          <a:extLst>
            <a:ext uri="{FF2B5EF4-FFF2-40B4-BE49-F238E27FC236}">
              <a16:creationId xmlns="" xmlns:a16="http://schemas.microsoft.com/office/drawing/2014/main" id="{6C83BF5D-7F9D-4AB8-9239-3AF76D00ABF9}"/>
            </a:ext>
          </a:extLst>
        </xdr:cNvPr>
        <xdr:cNvSpPr/>
      </xdr:nvSpPr>
      <xdr:spPr>
        <a:xfrm>
          <a:off x="93695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611373</xdr:colOff>
      <xdr:row>53</xdr:row>
      <xdr:rowOff>68526</xdr:rowOff>
    </xdr:from>
    <xdr:to>
      <xdr:col>17</xdr:col>
      <xdr:colOff>5026</xdr:colOff>
      <xdr:row>54</xdr:row>
      <xdr:rowOff>197444</xdr:rowOff>
    </xdr:to>
    <xdr:sp macro="" textlink="">
      <xdr:nvSpPr>
        <xdr:cNvPr id="735" name="Isosceles Triangle 734">
          <a:extLst>
            <a:ext uri="{FF2B5EF4-FFF2-40B4-BE49-F238E27FC236}">
              <a16:creationId xmlns="" xmlns:a16="http://schemas.microsoft.com/office/drawing/2014/main" id="{17137054-07D6-43AA-9B95-225E6D5EB174}"/>
            </a:ext>
          </a:extLst>
        </xdr:cNvPr>
        <xdr:cNvSpPr/>
      </xdr:nvSpPr>
      <xdr:spPr>
        <a:xfrm>
          <a:off x="9351513" y="9479226"/>
          <a:ext cx="643333" cy="304178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736" name="Isosceles Triangle 735">
          <a:extLst>
            <a:ext uri="{FF2B5EF4-FFF2-40B4-BE49-F238E27FC236}">
              <a16:creationId xmlns="" xmlns:a16="http://schemas.microsoft.com/office/drawing/2014/main" id="{35B93942-3987-4BF6-9EAF-3A9A937E855A}"/>
            </a:ext>
          </a:extLst>
        </xdr:cNvPr>
        <xdr:cNvSpPr/>
      </xdr:nvSpPr>
      <xdr:spPr>
        <a:xfrm>
          <a:off x="106192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739" name="Isosceles Triangle 738">
          <a:extLst>
            <a:ext uri="{FF2B5EF4-FFF2-40B4-BE49-F238E27FC236}">
              <a16:creationId xmlns="" xmlns:a16="http://schemas.microsoft.com/office/drawing/2014/main" id="{741A76D3-681D-44D4-8D4B-4DE18B2DA1C0}"/>
            </a:ext>
          </a:extLst>
        </xdr:cNvPr>
        <xdr:cNvSpPr/>
      </xdr:nvSpPr>
      <xdr:spPr>
        <a:xfrm>
          <a:off x="106192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740" name="Isosceles Triangle 739">
          <a:extLst>
            <a:ext uri="{FF2B5EF4-FFF2-40B4-BE49-F238E27FC236}">
              <a16:creationId xmlns="" xmlns:a16="http://schemas.microsoft.com/office/drawing/2014/main" id="{B905A0B3-77AA-4C0E-B8F4-6392F608B433}"/>
            </a:ext>
          </a:extLst>
        </xdr:cNvPr>
        <xdr:cNvSpPr/>
      </xdr:nvSpPr>
      <xdr:spPr>
        <a:xfrm>
          <a:off x="106192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616661</xdr:colOff>
      <xdr:row>53</xdr:row>
      <xdr:rowOff>86246</xdr:rowOff>
    </xdr:from>
    <xdr:to>
      <xdr:col>19</xdr:col>
      <xdr:colOff>13885</xdr:colOff>
      <xdr:row>54</xdr:row>
      <xdr:rowOff>181970</xdr:rowOff>
    </xdr:to>
    <xdr:sp macro="" textlink="">
      <xdr:nvSpPr>
        <xdr:cNvPr id="743" name="Isosceles Triangle 742">
          <a:extLst>
            <a:ext uri="{FF2B5EF4-FFF2-40B4-BE49-F238E27FC236}">
              <a16:creationId xmlns="" xmlns:a16="http://schemas.microsoft.com/office/drawing/2014/main" id="{6D5E3E6B-32BA-4414-BAC1-13D50BAA540E}"/>
            </a:ext>
          </a:extLst>
        </xdr:cNvPr>
        <xdr:cNvSpPr/>
      </xdr:nvSpPr>
      <xdr:spPr>
        <a:xfrm>
          <a:off x="10606481" y="9496946"/>
          <a:ext cx="646904" cy="27098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744" name="Isosceles Triangle 743">
          <a:extLst>
            <a:ext uri="{FF2B5EF4-FFF2-40B4-BE49-F238E27FC236}">
              <a16:creationId xmlns="" xmlns:a16="http://schemas.microsoft.com/office/drawing/2014/main" id="{59662C59-291D-4D68-AFA6-589488FC47E3}"/>
            </a:ext>
          </a:extLst>
        </xdr:cNvPr>
        <xdr:cNvSpPr/>
      </xdr:nvSpPr>
      <xdr:spPr>
        <a:xfrm>
          <a:off x="31211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745" name="Isosceles Triangle 744">
          <a:extLst>
            <a:ext uri="{FF2B5EF4-FFF2-40B4-BE49-F238E27FC236}">
              <a16:creationId xmlns="" xmlns:a16="http://schemas.microsoft.com/office/drawing/2014/main" id="{0AA0D7E8-2F75-4EFA-BC4C-7C4BD50D3A11}"/>
            </a:ext>
          </a:extLst>
        </xdr:cNvPr>
        <xdr:cNvSpPr/>
      </xdr:nvSpPr>
      <xdr:spPr>
        <a:xfrm>
          <a:off x="31211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746" name="Isosceles Triangle 745">
          <a:extLst>
            <a:ext uri="{FF2B5EF4-FFF2-40B4-BE49-F238E27FC236}">
              <a16:creationId xmlns="" xmlns:a16="http://schemas.microsoft.com/office/drawing/2014/main" id="{1AD0E29A-E4E0-4041-9ACC-C30905259246}"/>
            </a:ext>
          </a:extLst>
        </xdr:cNvPr>
        <xdr:cNvSpPr/>
      </xdr:nvSpPr>
      <xdr:spPr>
        <a:xfrm>
          <a:off x="31211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629092</xdr:colOff>
      <xdr:row>53</xdr:row>
      <xdr:rowOff>77385</xdr:rowOff>
    </xdr:from>
    <xdr:to>
      <xdr:col>7</xdr:col>
      <xdr:colOff>17720</xdr:colOff>
      <xdr:row>54</xdr:row>
      <xdr:rowOff>194930</xdr:rowOff>
    </xdr:to>
    <xdr:sp macro="" textlink="">
      <xdr:nvSpPr>
        <xdr:cNvPr id="748" name="Isosceles Triangle 747">
          <a:extLst>
            <a:ext uri="{FF2B5EF4-FFF2-40B4-BE49-F238E27FC236}">
              <a16:creationId xmlns="" xmlns:a16="http://schemas.microsoft.com/office/drawing/2014/main" id="{61E447E5-27FD-4B7C-9C6B-6CD6745492CC}"/>
            </a:ext>
          </a:extLst>
        </xdr:cNvPr>
        <xdr:cNvSpPr/>
      </xdr:nvSpPr>
      <xdr:spPr>
        <a:xfrm>
          <a:off x="3105592" y="9488085"/>
          <a:ext cx="653548" cy="29280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63</xdr:row>
      <xdr:rowOff>70339</xdr:rowOff>
    </xdr:from>
    <xdr:to>
      <xdr:col>9</xdr:col>
      <xdr:colOff>0</xdr:colOff>
      <xdr:row>64</xdr:row>
      <xdr:rowOff>165589</xdr:rowOff>
    </xdr:to>
    <xdr:sp macro="" textlink="">
      <xdr:nvSpPr>
        <xdr:cNvPr id="751" name="Isosceles Triangle 750">
          <a:extLst>
            <a:ext uri="{FF2B5EF4-FFF2-40B4-BE49-F238E27FC236}">
              <a16:creationId xmlns="" xmlns:a16="http://schemas.microsoft.com/office/drawing/2014/main" id="{7E235352-0A02-49A1-A4BB-D8F796C72591}"/>
            </a:ext>
          </a:extLst>
        </xdr:cNvPr>
        <xdr:cNvSpPr/>
      </xdr:nvSpPr>
      <xdr:spPr>
        <a:xfrm>
          <a:off x="437083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63</xdr:row>
      <xdr:rowOff>70339</xdr:rowOff>
    </xdr:from>
    <xdr:to>
      <xdr:col>5</xdr:col>
      <xdr:colOff>0</xdr:colOff>
      <xdr:row>64</xdr:row>
      <xdr:rowOff>165589</xdr:rowOff>
    </xdr:to>
    <xdr:sp macro="" textlink="">
      <xdr:nvSpPr>
        <xdr:cNvPr id="752" name="Isosceles Triangle 751">
          <a:extLst>
            <a:ext uri="{FF2B5EF4-FFF2-40B4-BE49-F238E27FC236}">
              <a16:creationId xmlns="" xmlns:a16="http://schemas.microsoft.com/office/drawing/2014/main" id="{86C008C8-108A-420E-9A3E-8FCD6F9968C8}"/>
            </a:ext>
          </a:extLst>
        </xdr:cNvPr>
        <xdr:cNvSpPr/>
      </xdr:nvSpPr>
      <xdr:spPr>
        <a:xfrm>
          <a:off x="185623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624805</xdr:colOff>
      <xdr:row>63</xdr:row>
      <xdr:rowOff>70339</xdr:rowOff>
    </xdr:from>
    <xdr:to>
      <xdr:col>10</xdr:col>
      <xdr:colOff>620233</xdr:colOff>
      <xdr:row>64</xdr:row>
      <xdr:rowOff>165589</xdr:rowOff>
    </xdr:to>
    <xdr:sp macro="" textlink="">
      <xdr:nvSpPr>
        <xdr:cNvPr id="753" name="Isosceles Triangle 752">
          <a:extLst>
            <a:ext uri="{FF2B5EF4-FFF2-40B4-BE49-F238E27FC236}">
              <a16:creationId xmlns="" xmlns:a16="http://schemas.microsoft.com/office/drawing/2014/main" id="{99BDDC8B-DC3D-4476-8C18-E596DDA627C3}"/>
            </a:ext>
          </a:extLst>
        </xdr:cNvPr>
        <xdr:cNvSpPr/>
      </xdr:nvSpPr>
      <xdr:spPr>
        <a:xfrm>
          <a:off x="5615905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624805</xdr:colOff>
      <xdr:row>63</xdr:row>
      <xdr:rowOff>70339</xdr:rowOff>
    </xdr:from>
    <xdr:to>
      <xdr:col>12</xdr:col>
      <xdr:colOff>620233</xdr:colOff>
      <xdr:row>64</xdr:row>
      <xdr:rowOff>165589</xdr:rowOff>
    </xdr:to>
    <xdr:sp macro="" textlink="">
      <xdr:nvSpPr>
        <xdr:cNvPr id="755" name="Isosceles Triangle 754">
          <a:extLst>
            <a:ext uri="{FF2B5EF4-FFF2-40B4-BE49-F238E27FC236}">
              <a16:creationId xmlns="" xmlns:a16="http://schemas.microsoft.com/office/drawing/2014/main" id="{5A1E0C07-7C64-440D-9A74-036A238C0C40}"/>
            </a:ext>
          </a:extLst>
        </xdr:cNvPr>
        <xdr:cNvSpPr/>
      </xdr:nvSpPr>
      <xdr:spPr>
        <a:xfrm>
          <a:off x="6865585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63</xdr:row>
      <xdr:rowOff>70339</xdr:rowOff>
    </xdr:from>
    <xdr:to>
      <xdr:col>15</xdr:col>
      <xdr:colOff>0</xdr:colOff>
      <xdr:row>64</xdr:row>
      <xdr:rowOff>165589</xdr:rowOff>
    </xdr:to>
    <xdr:sp macro="" textlink="">
      <xdr:nvSpPr>
        <xdr:cNvPr id="756" name="Isosceles Triangle 755">
          <a:extLst>
            <a:ext uri="{FF2B5EF4-FFF2-40B4-BE49-F238E27FC236}">
              <a16:creationId xmlns="" xmlns:a16="http://schemas.microsoft.com/office/drawing/2014/main" id="{B5503F21-B914-4243-91DB-47F962B90D20}"/>
            </a:ext>
          </a:extLst>
        </xdr:cNvPr>
        <xdr:cNvSpPr/>
      </xdr:nvSpPr>
      <xdr:spPr>
        <a:xfrm>
          <a:off x="811987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16</xdr:col>
      <xdr:colOff>4572</xdr:colOff>
      <xdr:row>63</xdr:row>
      <xdr:rowOff>70339</xdr:rowOff>
    </xdr:from>
    <xdr:to>
      <xdr:col>17</xdr:col>
      <xdr:colOff>0</xdr:colOff>
      <xdr:row>64</xdr:row>
      <xdr:rowOff>165589</xdr:rowOff>
    </xdr:to>
    <xdr:sp macro="" textlink="">
      <xdr:nvSpPr>
        <xdr:cNvPr id="757" name="Isosceles Triangle 756">
          <a:extLst>
            <a:ext uri="{FF2B5EF4-FFF2-40B4-BE49-F238E27FC236}">
              <a16:creationId xmlns="" xmlns:a16="http://schemas.microsoft.com/office/drawing/2014/main" id="{DE44F71E-AF7E-4392-962C-A4971ECE5537}"/>
            </a:ext>
          </a:extLst>
        </xdr:cNvPr>
        <xdr:cNvSpPr/>
      </xdr:nvSpPr>
      <xdr:spPr>
        <a:xfrm>
          <a:off x="936955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63</xdr:row>
      <xdr:rowOff>70339</xdr:rowOff>
    </xdr:from>
    <xdr:to>
      <xdr:col>19</xdr:col>
      <xdr:colOff>0</xdr:colOff>
      <xdr:row>64</xdr:row>
      <xdr:rowOff>165589</xdr:rowOff>
    </xdr:to>
    <xdr:sp macro="" textlink="">
      <xdr:nvSpPr>
        <xdr:cNvPr id="758" name="Isosceles Triangle 757">
          <a:extLst>
            <a:ext uri="{FF2B5EF4-FFF2-40B4-BE49-F238E27FC236}">
              <a16:creationId xmlns="" xmlns:a16="http://schemas.microsoft.com/office/drawing/2014/main" id="{A0DA8DB4-ACC3-4BE6-AC44-E258A0931D7B}"/>
            </a:ext>
          </a:extLst>
        </xdr:cNvPr>
        <xdr:cNvSpPr/>
      </xdr:nvSpPr>
      <xdr:spPr>
        <a:xfrm>
          <a:off x="1061923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63</xdr:row>
      <xdr:rowOff>70339</xdr:rowOff>
    </xdr:from>
    <xdr:to>
      <xdr:col>21</xdr:col>
      <xdr:colOff>0</xdr:colOff>
      <xdr:row>64</xdr:row>
      <xdr:rowOff>165589</xdr:rowOff>
    </xdr:to>
    <xdr:sp macro="" textlink="">
      <xdr:nvSpPr>
        <xdr:cNvPr id="759" name="Isosceles Triangle 758">
          <a:extLst>
            <a:ext uri="{FF2B5EF4-FFF2-40B4-BE49-F238E27FC236}">
              <a16:creationId xmlns="" xmlns:a16="http://schemas.microsoft.com/office/drawing/2014/main" id="{8267E9D1-440E-4D32-9FC2-6691ADCDD517}"/>
            </a:ext>
          </a:extLst>
        </xdr:cNvPr>
        <xdr:cNvSpPr/>
      </xdr:nvSpPr>
      <xdr:spPr>
        <a:xfrm>
          <a:off x="1186891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72</xdr:row>
      <xdr:rowOff>70444</xdr:rowOff>
    </xdr:from>
    <xdr:to>
      <xdr:col>3</xdr:col>
      <xdr:colOff>0</xdr:colOff>
      <xdr:row>73</xdr:row>
      <xdr:rowOff>165694</xdr:rowOff>
    </xdr:to>
    <xdr:sp macro="" textlink="">
      <xdr:nvSpPr>
        <xdr:cNvPr id="766" name="Isosceles Triangle 765">
          <a:extLst>
            <a:ext uri="{FF2B5EF4-FFF2-40B4-BE49-F238E27FC236}">
              <a16:creationId xmlns="" xmlns:a16="http://schemas.microsoft.com/office/drawing/2014/main" id="{8A6FCAD3-3915-44F9-A6B9-2AD87C84F6D6}"/>
            </a:ext>
          </a:extLst>
        </xdr:cNvPr>
        <xdr:cNvSpPr/>
      </xdr:nvSpPr>
      <xdr:spPr>
        <a:xfrm>
          <a:off x="587278" y="12764468"/>
          <a:ext cx="622957" cy="26557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72</xdr:row>
      <xdr:rowOff>61479</xdr:rowOff>
    </xdr:from>
    <xdr:to>
      <xdr:col>11</xdr:col>
      <xdr:colOff>0</xdr:colOff>
      <xdr:row>73</xdr:row>
      <xdr:rowOff>156729</xdr:rowOff>
    </xdr:to>
    <xdr:sp macro="" textlink="">
      <xdr:nvSpPr>
        <xdr:cNvPr id="768" name="Isosceles Triangle 767">
          <a:extLst>
            <a:ext uri="{FF2B5EF4-FFF2-40B4-BE49-F238E27FC236}">
              <a16:creationId xmlns="" xmlns:a16="http://schemas.microsoft.com/office/drawing/2014/main" id="{C6C61CD5-2314-49C1-921D-1C9CA5388713}"/>
            </a:ext>
          </a:extLst>
        </xdr:cNvPr>
        <xdr:cNvSpPr/>
      </xdr:nvSpPr>
      <xdr:spPr>
        <a:xfrm>
          <a:off x="562051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72</xdr:row>
      <xdr:rowOff>61479</xdr:rowOff>
    </xdr:from>
    <xdr:to>
      <xdr:col>13</xdr:col>
      <xdr:colOff>0</xdr:colOff>
      <xdr:row>73</xdr:row>
      <xdr:rowOff>156729</xdr:rowOff>
    </xdr:to>
    <xdr:sp macro="" textlink="">
      <xdr:nvSpPr>
        <xdr:cNvPr id="770" name="Isosceles Triangle 769">
          <a:extLst>
            <a:ext uri="{FF2B5EF4-FFF2-40B4-BE49-F238E27FC236}">
              <a16:creationId xmlns="" xmlns:a16="http://schemas.microsoft.com/office/drawing/2014/main" id="{93C5E2C2-19C9-4C8F-A07B-E0B6F75036D3}"/>
            </a:ext>
          </a:extLst>
        </xdr:cNvPr>
        <xdr:cNvSpPr/>
      </xdr:nvSpPr>
      <xdr:spPr>
        <a:xfrm>
          <a:off x="687019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72</xdr:row>
      <xdr:rowOff>61479</xdr:rowOff>
    </xdr:from>
    <xdr:to>
      <xdr:col>19</xdr:col>
      <xdr:colOff>0</xdr:colOff>
      <xdr:row>73</xdr:row>
      <xdr:rowOff>156729</xdr:rowOff>
    </xdr:to>
    <xdr:sp macro="" textlink="">
      <xdr:nvSpPr>
        <xdr:cNvPr id="773" name="Isosceles Triangle 772">
          <a:extLst>
            <a:ext uri="{FF2B5EF4-FFF2-40B4-BE49-F238E27FC236}">
              <a16:creationId xmlns="" xmlns:a16="http://schemas.microsoft.com/office/drawing/2014/main" id="{40E02188-4E30-4066-A1E3-619A4AA05E7D}"/>
            </a:ext>
          </a:extLst>
        </xdr:cNvPr>
        <xdr:cNvSpPr/>
      </xdr:nvSpPr>
      <xdr:spPr>
        <a:xfrm>
          <a:off x="1061923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72</xdr:row>
      <xdr:rowOff>61479</xdr:rowOff>
    </xdr:from>
    <xdr:to>
      <xdr:col>21</xdr:col>
      <xdr:colOff>0</xdr:colOff>
      <xdr:row>73</xdr:row>
      <xdr:rowOff>156729</xdr:rowOff>
    </xdr:to>
    <xdr:sp macro="" textlink="">
      <xdr:nvSpPr>
        <xdr:cNvPr id="788" name="Isosceles Triangle 787">
          <a:extLst>
            <a:ext uri="{FF2B5EF4-FFF2-40B4-BE49-F238E27FC236}">
              <a16:creationId xmlns="" xmlns:a16="http://schemas.microsoft.com/office/drawing/2014/main" id="{B5073279-1971-4508-8622-BFFAE73C8DCF}"/>
            </a:ext>
          </a:extLst>
        </xdr:cNvPr>
        <xdr:cNvSpPr/>
      </xdr:nvSpPr>
      <xdr:spPr>
        <a:xfrm>
          <a:off x="1186891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6980</xdr:colOff>
      <xdr:row>81</xdr:row>
      <xdr:rowOff>70444</xdr:rowOff>
    </xdr:from>
    <xdr:to>
      <xdr:col>3</xdr:col>
      <xdr:colOff>2408</xdr:colOff>
      <xdr:row>82</xdr:row>
      <xdr:rowOff>165694</xdr:rowOff>
    </xdr:to>
    <xdr:sp macro="" textlink="">
      <xdr:nvSpPr>
        <xdr:cNvPr id="791" name="Isosceles Triangle 790">
          <a:extLst>
            <a:ext uri="{FF2B5EF4-FFF2-40B4-BE49-F238E27FC236}">
              <a16:creationId xmlns="" xmlns:a16="http://schemas.microsoft.com/office/drawing/2014/main" id="{1671B16D-59F8-4375-8E42-B62F2E974FBE}"/>
            </a:ext>
          </a:extLst>
        </xdr:cNvPr>
        <xdr:cNvSpPr/>
      </xdr:nvSpPr>
      <xdr:spPr>
        <a:xfrm>
          <a:off x="589686" y="14476726"/>
          <a:ext cx="622957" cy="3552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81</xdr:row>
      <xdr:rowOff>63195</xdr:rowOff>
    </xdr:from>
    <xdr:to>
      <xdr:col>19</xdr:col>
      <xdr:colOff>0</xdr:colOff>
      <xdr:row>82</xdr:row>
      <xdr:rowOff>158445</xdr:rowOff>
    </xdr:to>
    <xdr:sp macro="" textlink="">
      <xdr:nvSpPr>
        <xdr:cNvPr id="792" name="Isosceles Triangle 791">
          <a:extLst>
            <a:ext uri="{FF2B5EF4-FFF2-40B4-BE49-F238E27FC236}">
              <a16:creationId xmlns="" xmlns:a16="http://schemas.microsoft.com/office/drawing/2014/main" id="{667E95C7-38D2-44B4-85A9-BAE51BC0EDCF}"/>
            </a:ext>
          </a:extLst>
        </xdr:cNvPr>
        <xdr:cNvSpPr/>
      </xdr:nvSpPr>
      <xdr:spPr>
        <a:xfrm>
          <a:off x="10619232" y="14434515"/>
          <a:ext cx="620268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81</xdr:row>
      <xdr:rowOff>63195</xdr:rowOff>
    </xdr:from>
    <xdr:to>
      <xdr:col>15</xdr:col>
      <xdr:colOff>0</xdr:colOff>
      <xdr:row>82</xdr:row>
      <xdr:rowOff>158445</xdr:rowOff>
    </xdr:to>
    <xdr:sp macro="" textlink="">
      <xdr:nvSpPr>
        <xdr:cNvPr id="793" name="Isosceles Triangle 792">
          <a:extLst>
            <a:ext uri="{FF2B5EF4-FFF2-40B4-BE49-F238E27FC236}">
              <a16:creationId xmlns="" xmlns:a16="http://schemas.microsoft.com/office/drawing/2014/main" id="{D3EA11CA-EA8A-48A5-963F-3765A292FA50}"/>
            </a:ext>
          </a:extLst>
        </xdr:cNvPr>
        <xdr:cNvSpPr/>
      </xdr:nvSpPr>
      <xdr:spPr>
        <a:xfrm>
          <a:off x="8119872" y="14434515"/>
          <a:ext cx="620268" cy="354330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81</xdr:row>
      <xdr:rowOff>63195</xdr:rowOff>
    </xdr:from>
    <xdr:to>
      <xdr:col>13</xdr:col>
      <xdr:colOff>0</xdr:colOff>
      <xdr:row>82</xdr:row>
      <xdr:rowOff>158445</xdr:rowOff>
    </xdr:to>
    <xdr:sp macro="" textlink="">
      <xdr:nvSpPr>
        <xdr:cNvPr id="794" name="Isosceles Triangle 793">
          <a:extLst>
            <a:ext uri="{FF2B5EF4-FFF2-40B4-BE49-F238E27FC236}">
              <a16:creationId xmlns="" xmlns:a16="http://schemas.microsoft.com/office/drawing/2014/main" id="{020FBB1D-B488-45A7-BB2A-2AAEC967DFBA}"/>
            </a:ext>
          </a:extLst>
        </xdr:cNvPr>
        <xdr:cNvSpPr/>
      </xdr:nvSpPr>
      <xdr:spPr>
        <a:xfrm>
          <a:off x="6870192" y="14434515"/>
          <a:ext cx="620268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90</xdr:row>
      <xdr:rowOff>66013</xdr:rowOff>
    </xdr:from>
    <xdr:to>
      <xdr:col>20</xdr:col>
      <xdr:colOff>602646</xdr:colOff>
      <xdr:row>91</xdr:row>
      <xdr:rowOff>161263</xdr:rowOff>
    </xdr:to>
    <xdr:sp macro="" textlink="">
      <xdr:nvSpPr>
        <xdr:cNvPr id="795" name="Isosceles Triangle 794">
          <a:extLst>
            <a:ext uri="{FF2B5EF4-FFF2-40B4-BE49-F238E27FC236}">
              <a16:creationId xmlns="" xmlns:a16="http://schemas.microsoft.com/office/drawing/2014/main" id="{328BC595-E04B-4405-807F-2837B3589903}"/>
            </a:ext>
          </a:extLst>
        </xdr:cNvPr>
        <xdr:cNvSpPr/>
      </xdr:nvSpPr>
      <xdr:spPr>
        <a:xfrm>
          <a:off x="11864340" y="16212793"/>
          <a:ext cx="602646" cy="331470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99</xdr:row>
      <xdr:rowOff>61479</xdr:rowOff>
    </xdr:from>
    <xdr:to>
      <xdr:col>7</xdr:col>
      <xdr:colOff>0</xdr:colOff>
      <xdr:row>100</xdr:row>
      <xdr:rowOff>156729</xdr:rowOff>
    </xdr:to>
    <xdr:sp macro="" textlink="">
      <xdr:nvSpPr>
        <xdr:cNvPr id="797" name="Isosceles Triangle 796">
          <a:extLst>
            <a:ext uri="{FF2B5EF4-FFF2-40B4-BE49-F238E27FC236}">
              <a16:creationId xmlns="" xmlns:a16="http://schemas.microsoft.com/office/drawing/2014/main" id="{182EC093-C254-436E-AF1F-7A76A2E3E396}"/>
            </a:ext>
          </a:extLst>
        </xdr:cNvPr>
        <xdr:cNvSpPr/>
      </xdr:nvSpPr>
      <xdr:spPr>
        <a:xfrm>
          <a:off x="3121152" y="18021819"/>
          <a:ext cx="620268" cy="26289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117</xdr:row>
      <xdr:rowOff>66012</xdr:rowOff>
    </xdr:from>
    <xdr:to>
      <xdr:col>4</xdr:col>
      <xdr:colOff>602646</xdr:colOff>
      <xdr:row>118</xdr:row>
      <xdr:rowOff>161263</xdr:rowOff>
    </xdr:to>
    <xdr:sp macro="" textlink="">
      <xdr:nvSpPr>
        <xdr:cNvPr id="798" name="Isosceles Triangle 797">
          <a:extLst>
            <a:ext uri="{FF2B5EF4-FFF2-40B4-BE49-F238E27FC236}">
              <a16:creationId xmlns="" xmlns:a16="http://schemas.microsoft.com/office/drawing/2014/main" id="{100E5DFA-DD3A-4333-AB18-93A302EB6DAA}"/>
            </a:ext>
          </a:extLst>
        </xdr:cNvPr>
        <xdr:cNvSpPr/>
      </xdr:nvSpPr>
      <xdr:spPr>
        <a:xfrm>
          <a:off x="1851660" y="217601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571500</xdr:colOff>
      <xdr:row>117</xdr:row>
      <xdr:rowOff>76200</xdr:rowOff>
    </xdr:from>
    <xdr:to>
      <xdr:col>2</xdr:col>
      <xdr:colOff>666750</xdr:colOff>
      <xdr:row>118</xdr:row>
      <xdr:rowOff>161263</xdr:rowOff>
    </xdr:to>
    <xdr:sp macro="" textlink="">
      <xdr:nvSpPr>
        <xdr:cNvPr id="799" name="Isosceles Triangle 798">
          <a:extLst>
            <a:ext uri="{FF2B5EF4-FFF2-40B4-BE49-F238E27FC236}">
              <a16:creationId xmlns="" xmlns:a16="http://schemas.microsoft.com/office/drawing/2014/main" id="{16DA49B3-1D71-41A8-9E01-DBA5A8F2DEF3}"/>
            </a:ext>
          </a:extLst>
        </xdr:cNvPr>
        <xdr:cNvSpPr/>
      </xdr:nvSpPr>
      <xdr:spPr>
        <a:xfrm>
          <a:off x="571500" y="21431250"/>
          <a:ext cx="685800" cy="25651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117</xdr:row>
      <xdr:rowOff>66012</xdr:rowOff>
    </xdr:from>
    <xdr:to>
      <xdr:col>10</xdr:col>
      <xdr:colOff>602646</xdr:colOff>
      <xdr:row>118</xdr:row>
      <xdr:rowOff>161263</xdr:rowOff>
    </xdr:to>
    <xdr:sp macro="" textlink="">
      <xdr:nvSpPr>
        <xdr:cNvPr id="802" name="Isosceles Triangle 801">
          <a:extLst>
            <a:ext uri="{FF2B5EF4-FFF2-40B4-BE49-F238E27FC236}">
              <a16:creationId xmlns="" xmlns:a16="http://schemas.microsoft.com/office/drawing/2014/main" id="{A652C37F-4387-47F8-9C2E-56204378C5CE}"/>
            </a:ext>
          </a:extLst>
        </xdr:cNvPr>
        <xdr:cNvSpPr/>
      </xdr:nvSpPr>
      <xdr:spPr>
        <a:xfrm>
          <a:off x="5615940" y="217601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117</xdr:row>
      <xdr:rowOff>66012</xdr:rowOff>
    </xdr:from>
    <xdr:to>
      <xdr:col>12</xdr:col>
      <xdr:colOff>602646</xdr:colOff>
      <xdr:row>118</xdr:row>
      <xdr:rowOff>161263</xdr:rowOff>
    </xdr:to>
    <xdr:sp macro="" textlink="">
      <xdr:nvSpPr>
        <xdr:cNvPr id="803" name="Isosceles Triangle 802">
          <a:extLst>
            <a:ext uri="{FF2B5EF4-FFF2-40B4-BE49-F238E27FC236}">
              <a16:creationId xmlns="" xmlns:a16="http://schemas.microsoft.com/office/drawing/2014/main" id="{596DEE4C-376D-4CE6-8CED-4051FBB300C8}"/>
            </a:ext>
          </a:extLst>
        </xdr:cNvPr>
        <xdr:cNvSpPr/>
      </xdr:nvSpPr>
      <xdr:spPr>
        <a:xfrm>
          <a:off x="6865620" y="21760152"/>
          <a:ext cx="602646" cy="262891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117</xdr:row>
      <xdr:rowOff>47628</xdr:rowOff>
    </xdr:from>
    <xdr:to>
      <xdr:col>8</xdr:col>
      <xdr:colOff>602646</xdr:colOff>
      <xdr:row>118</xdr:row>
      <xdr:rowOff>142878</xdr:rowOff>
    </xdr:to>
    <xdr:sp macro="" textlink="">
      <xdr:nvSpPr>
        <xdr:cNvPr id="804" name="Isosceles Triangle 803">
          <a:extLst>
            <a:ext uri="{FF2B5EF4-FFF2-40B4-BE49-F238E27FC236}">
              <a16:creationId xmlns="" xmlns:a16="http://schemas.microsoft.com/office/drawing/2014/main" id="{DBA72773-99DB-4307-B03D-CC9E0BD4143F}"/>
            </a:ext>
          </a:extLst>
        </xdr:cNvPr>
        <xdr:cNvSpPr/>
      </xdr:nvSpPr>
      <xdr:spPr>
        <a:xfrm>
          <a:off x="436626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618565</xdr:colOff>
      <xdr:row>117</xdr:row>
      <xdr:rowOff>20162</xdr:rowOff>
    </xdr:from>
    <xdr:to>
      <xdr:col>8</xdr:col>
      <xdr:colOff>618564</xdr:colOff>
      <xdr:row>118</xdr:row>
      <xdr:rowOff>170330</xdr:rowOff>
    </xdr:to>
    <xdr:sp macro="" textlink="">
      <xdr:nvSpPr>
        <xdr:cNvPr id="805" name="Isosceles Triangle 804">
          <a:extLst>
            <a:ext uri="{FF2B5EF4-FFF2-40B4-BE49-F238E27FC236}">
              <a16:creationId xmlns="" xmlns:a16="http://schemas.microsoft.com/office/drawing/2014/main" id="{4FAA448F-B2CF-4E1A-9358-F898184D846F}"/>
            </a:ext>
          </a:extLst>
        </xdr:cNvPr>
        <xdr:cNvSpPr/>
      </xdr:nvSpPr>
      <xdr:spPr>
        <a:xfrm>
          <a:off x="4356847" y="21813362"/>
          <a:ext cx="627529" cy="32049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47628</xdr:rowOff>
    </xdr:from>
    <xdr:to>
      <xdr:col>6</xdr:col>
      <xdr:colOff>602646</xdr:colOff>
      <xdr:row>128</xdr:row>
      <xdr:rowOff>142878</xdr:rowOff>
    </xdr:to>
    <xdr:sp macro="" textlink="">
      <xdr:nvSpPr>
        <xdr:cNvPr id="809" name="Isosceles Triangle 808">
          <a:extLst>
            <a:ext uri="{FF2B5EF4-FFF2-40B4-BE49-F238E27FC236}">
              <a16:creationId xmlns="" xmlns:a16="http://schemas.microsoft.com/office/drawing/2014/main" id="{91527F3A-AE2E-4C71-AA1F-94D79C956680}"/>
            </a:ext>
          </a:extLst>
        </xdr:cNvPr>
        <xdr:cNvSpPr/>
      </xdr:nvSpPr>
      <xdr:spPr>
        <a:xfrm>
          <a:off x="3116580" y="23471508"/>
          <a:ext cx="602646" cy="3848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48291</xdr:rowOff>
    </xdr:from>
    <xdr:to>
      <xdr:col>6</xdr:col>
      <xdr:colOff>602646</xdr:colOff>
      <xdr:row>128</xdr:row>
      <xdr:rowOff>159487</xdr:rowOff>
    </xdr:to>
    <xdr:sp macro="" textlink="">
      <xdr:nvSpPr>
        <xdr:cNvPr id="810" name="Isosceles Triangle 809">
          <a:extLst>
            <a:ext uri="{FF2B5EF4-FFF2-40B4-BE49-F238E27FC236}">
              <a16:creationId xmlns="" xmlns:a16="http://schemas.microsoft.com/office/drawing/2014/main" id="{94E94693-EF0B-44CF-B2E5-63B354711884}"/>
            </a:ext>
          </a:extLst>
        </xdr:cNvPr>
        <xdr:cNvSpPr/>
      </xdr:nvSpPr>
      <xdr:spPr>
        <a:xfrm>
          <a:off x="3116580" y="23472171"/>
          <a:ext cx="602646" cy="400756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127</xdr:row>
      <xdr:rowOff>47628</xdr:rowOff>
    </xdr:from>
    <xdr:to>
      <xdr:col>4</xdr:col>
      <xdr:colOff>602646</xdr:colOff>
      <xdr:row>128</xdr:row>
      <xdr:rowOff>142878</xdr:rowOff>
    </xdr:to>
    <xdr:sp macro="" textlink="">
      <xdr:nvSpPr>
        <xdr:cNvPr id="812" name="Isosceles Triangle 811">
          <a:extLst>
            <a:ext uri="{FF2B5EF4-FFF2-40B4-BE49-F238E27FC236}">
              <a16:creationId xmlns="" xmlns:a16="http://schemas.microsoft.com/office/drawing/2014/main" id="{56057F94-269C-4677-831E-6D8F562B4A12}"/>
            </a:ext>
          </a:extLst>
        </xdr:cNvPr>
        <xdr:cNvSpPr/>
      </xdr:nvSpPr>
      <xdr:spPr>
        <a:xfrm>
          <a:off x="1851660" y="23471508"/>
          <a:ext cx="602646" cy="3848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629092</xdr:colOff>
      <xdr:row>127</xdr:row>
      <xdr:rowOff>26581</xdr:rowOff>
    </xdr:from>
    <xdr:to>
      <xdr:col>5</xdr:col>
      <xdr:colOff>0</xdr:colOff>
      <xdr:row>128</xdr:row>
      <xdr:rowOff>168348</xdr:rowOff>
    </xdr:to>
    <xdr:sp macro="" textlink="">
      <xdr:nvSpPr>
        <xdr:cNvPr id="816" name="Isosceles Triangle 815">
          <a:extLst>
            <a:ext uri="{FF2B5EF4-FFF2-40B4-BE49-F238E27FC236}">
              <a16:creationId xmlns="" xmlns:a16="http://schemas.microsoft.com/office/drawing/2014/main" id="{DCFC3560-FBC4-4287-AB3A-5F243625045F}"/>
            </a:ext>
          </a:extLst>
        </xdr:cNvPr>
        <xdr:cNvSpPr/>
      </xdr:nvSpPr>
      <xdr:spPr>
        <a:xfrm>
          <a:off x="1840672" y="23450461"/>
          <a:ext cx="635828" cy="431327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47628</xdr:rowOff>
    </xdr:from>
    <xdr:to>
      <xdr:col>2</xdr:col>
      <xdr:colOff>602646</xdr:colOff>
      <xdr:row>128</xdr:row>
      <xdr:rowOff>142878</xdr:rowOff>
    </xdr:to>
    <xdr:sp macro="" textlink="">
      <xdr:nvSpPr>
        <xdr:cNvPr id="817" name="Isosceles Triangle 816">
          <a:extLst>
            <a:ext uri="{FF2B5EF4-FFF2-40B4-BE49-F238E27FC236}">
              <a16:creationId xmlns="" xmlns:a16="http://schemas.microsoft.com/office/drawing/2014/main" id="{13EE444C-BCF7-43DF-85A2-111302209BE1}"/>
            </a:ext>
          </a:extLst>
        </xdr:cNvPr>
        <xdr:cNvSpPr/>
      </xdr:nvSpPr>
      <xdr:spPr>
        <a:xfrm>
          <a:off x="586740" y="23471508"/>
          <a:ext cx="602646" cy="3848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571500</xdr:colOff>
      <xdr:row>127</xdr:row>
      <xdr:rowOff>38766</xdr:rowOff>
    </xdr:from>
    <xdr:to>
      <xdr:col>2</xdr:col>
      <xdr:colOff>647700</xdr:colOff>
      <xdr:row>128</xdr:row>
      <xdr:rowOff>149962</xdr:rowOff>
    </xdr:to>
    <xdr:sp macro="" textlink="">
      <xdr:nvSpPr>
        <xdr:cNvPr id="818" name="Isosceles Triangle 817">
          <a:extLst>
            <a:ext uri="{FF2B5EF4-FFF2-40B4-BE49-F238E27FC236}">
              <a16:creationId xmlns="" xmlns:a16="http://schemas.microsoft.com/office/drawing/2014/main" id="{81A368AA-3A9B-43B3-9DD4-4C8614ADD0B2}"/>
            </a:ext>
          </a:extLst>
        </xdr:cNvPr>
        <xdr:cNvSpPr/>
      </xdr:nvSpPr>
      <xdr:spPr>
        <a:xfrm>
          <a:off x="571500" y="23089266"/>
          <a:ext cx="666750" cy="396946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117</xdr:row>
      <xdr:rowOff>47628</xdr:rowOff>
    </xdr:from>
    <xdr:to>
      <xdr:col>16</xdr:col>
      <xdr:colOff>602646</xdr:colOff>
      <xdr:row>118</xdr:row>
      <xdr:rowOff>142878</xdr:rowOff>
    </xdr:to>
    <xdr:sp macro="" textlink="">
      <xdr:nvSpPr>
        <xdr:cNvPr id="819" name="Isosceles Triangle 818">
          <a:extLst>
            <a:ext uri="{FF2B5EF4-FFF2-40B4-BE49-F238E27FC236}">
              <a16:creationId xmlns="" xmlns:a16="http://schemas.microsoft.com/office/drawing/2014/main" id="{733E4C06-7545-4FF9-9FFC-61025D84DD4E}"/>
            </a:ext>
          </a:extLst>
        </xdr:cNvPr>
        <xdr:cNvSpPr/>
      </xdr:nvSpPr>
      <xdr:spPr>
        <a:xfrm>
          <a:off x="936498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628171</xdr:colOff>
      <xdr:row>117</xdr:row>
      <xdr:rowOff>65091</xdr:rowOff>
    </xdr:from>
    <xdr:to>
      <xdr:col>16</xdr:col>
      <xdr:colOff>601724</xdr:colOff>
      <xdr:row>118</xdr:row>
      <xdr:rowOff>160341</xdr:rowOff>
    </xdr:to>
    <xdr:sp macro="" textlink="">
      <xdr:nvSpPr>
        <xdr:cNvPr id="820" name="Isosceles Triangle 819">
          <a:extLst>
            <a:ext uri="{FF2B5EF4-FFF2-40B4-BE49-F238E27FC236}">
              <a16:creationId xmlns="" xmlns:a16="http://schemas.microsoft.com/office/drawing/2014/main" id="{7184FC18-B227-421B-8E93-EF5BE4691625}"/>
            </a:ext>
          </a:extLst>
        </xdr:cNvPr>
        <xdr:cNvSpPr/>
      </xdr:nvSpPr>
      <xdr:spPr>
        <a:xfrm>
          <a:off x="9368311" y="21759231"/>
          <a:ext cx="598393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47628</xdr:rowOff>
    </xdr:from>
    <xdr:to>
      <xdr:col>18</xdr:col>
      <xdr:colOff>602646</xdr:colOff>
      <xdr:row>118</xdr:row>
      <xdr:rowOff>142878</xdr:rowOff>
    </xdr:to>
    <xdr:sp macro="" textlink="">
      <xdr:nvSpPr>
        <xdr:cNvPr id="821" name="Isosceles Triangle 820">
          <a:extLst>
            <a:ext uri="{FF2B5EF4-FFF2-40B4-BE49-F238E27FC236}">
              <a16:creationId xmlns="" xmlns:a16="http://schemas.microsoft.com/office/drawing/2014/main" id="{8383C152-3DA6-4206-A176-39C29472CF21}"/>
            </a:ext>
          </a:extLst>
        </xdr:cNvPr>
        <xdr:cNvSpPr/>
      </xdr:nvSpPr>
      <xdr:spPr>
        <a:xfrm>
          <a:off x="1061466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66013</xdr:rowOff>
    </xdr:from>
    <xdr:to>
      <xdr:col>18</xdr:col>
      <xdr:colOff>602646</xdr:colOff>
      <xdr:row>118</xdr:row>
      <xdr:rowOff>161263</xdr:rowOff>
    </xdr:to>
    <xdr:sp macro="" textlink="">
      <xdr:nvSpPr>
        <xdr:cNvPr id="823" name="Isosceles Triangle 822">
          <a:extLst>
            <a:ext uri="{FF2B5EF4-FFF2-40B4-BE49-F238E27FC236}">
              <a16:creationId xmlns="" xmlns:a16="http://schemas.microsoft.com/office/drawing/2014/main" id="{AC65DD83-189D-4259-B6B0-9EBF8B22E345}"/>
            </a:ext>
          </a:extLst>
        </xdr:cNvPr>
        <xdr:cNvSpPr/>
      </xdr:nvSpPr>
      <xdr:spPr>
        <a:xfrm>
          <a:off x="10614660" y="21760153"/>
          <a:ext cx="602646" cy="26289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47628</xdr:rowOff>
    </xdr:from>
    <xdr:to>
      <xdr:col>20</xdr:col>
      <xdr:colOff>602646</xdr:colOff>
      <xdr:row>118</xdr:row>
      <xdr:rowOff>142878</xdr:rowOff>
    </xdr:to>
    <xdr:sp macro="" textlink="">
      <xdr:nvSpPr>
        <xdr:cNvPr id="824" name="Isosceles Triangle 823">
          <a:extLst>
            <a:ext uri="{FF2B5EF4-FFF2-40B4-BE49-F238E27FC236}">
              <a16:creationId xmlns="" xmlns:a16="http://schemas.microsoft.com/office/drawing/2014/main" id="{C8D98CE7-FE94-4E62-8E33-796E0C3C7AF4}"/>
            </a:ext>
          </a:extLst>
        </xdr:cNvPr>
        <xdr:cNvSpPr/>
      </xdr:nvSpPr>
      <xdr:spPr>
        <a:xfrm>
          <a:off x="1186434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65091</xdr:rowOff>
    </xdr:from>
    <xdr:to>
      <xdr:col>20</xdr:col>
      <xdr:colOff>602646</xdr:colOff>
      <xdr:row>118</xdr:row>
      <xdr:rowOff>160341</xdr:rowOff>
    </xdr:to>
    <xdr:sp macro="" textlink="">
      <xdr:nvSpPr>
        <xdr:cNvPr id="825" name="Isosceles Triangle 824">
          <a:extLst>
            <a:ext uri="{FF2B5EF4-FFF2-40B4-BE49-F238E27FC236}">
              <a16:creationId xmlns="" xmlns:a16="http://schemas.microsoft.com/office/drawing/2014/main" id="{5728F3B6-6084-44D0-8F12-19D3691BFE28}"/>
            </a:ext>
          </a:extLst>
        </xdr:cNvPr>
        <xdr:cNvSpPr/>
      </xdr:nvSpPr>
      <xdr:spPr>
        <a:xfrm>
          <a:off x="11864340" y="21759231"/>
          <a:ext cx="602646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826" name="Isosceles Triangle 825">
          <a:extLst>
            <a:ext uri="{FF2B5EF4-FFF2-40B4-BE49-F238E27FC236}">
              <a16:creationId xmlns="" xmlns:a16="http://schemas.microsoft.com/office/drawing/2014/main" id="{C385BB69-09EB-46CC-A2F9-8556F4D35F29}"/>
            </a:ext>
          </a:extLst>
        </xdr:cNvPr>
        <xdr:cNvSpPr/>
      </xdr:nvSpPr>
      <xdr:spPr>
        <a:xfrm>
          <a:off x="10619232" y="7934367"/>
          <a:ext cx="620268" cy="2667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827" name="Isosceles Triangle 826">
          <a:extLst>
            <a:ext uri="{FF2B5EF4-FFF2-40B4-BE49-F238E27FC236}">
              <a16:creationId xmlns="" xmlns:a16="http://schemas.microsoft.com/office/drawing/2014/main" id="{30254B24-88D8-4455-B4AC-AA1595934CB6}"/>
            </a:ext>
          </a:extLst>
        </xdr:cNvPr>
        <xdr:cNvSpPr/>
      </xdr:nvSpPr>
      <xdr:spPr>
        <a:xfrm>
          <a:off x="1061923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66013</xdr:rowOff>
    </xdr:from>
    <xdr:to>
      <xdr:col>4</xdr:col>
      <xdr:colOff>602646</xdr:colOff>
      <xdr:row>82</xdr:row>
      <xdr:rowOff>161263</xdr:rowOff>
    </xdr:to>
    <xdr:sp macro="" textlink="">
      <xdr:nvSpPr>
        <xdr:cNvPr id="831" name="Isosceles Triangle 830">
          <a:extLst>
            <a:ext uri="{FF2B5EF4-FFF2-40B4-BE49-F238E27FC236}">
              <a16:creationId xmlns="" xmlns:a16="http://schemas.microsoft.com/office/drawing/2014/main" id="{C9359FD9-8FB0-4FC4-8FED-8752EFB20476}"/>
            </a:ext>
          </a:extLst>
        </xdr:cNvPr>
        <xdr:cNvSpPr/>
      </xdr:nvSpPr>
      <xdr:spPr>
        <a:xfrm>
          <a:off x="1851660" y="14437333"/>
          <a:ext cx="602646" cy="35433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117</xdr:row>
      <xdr:rowOff>66012</xdr:rowOff>
    </xdr:from>
    <xdr:to>
      <xdr:col>14</xdr:col>
      <xdr:colOff>602646</xdr:colOff>
      <xdr:row>118</xdr:row>
      <xdr:rowOff>161263</xdr:rowOff>
    </xdr:to>
    <xdr:sp macro="" textlink="">
      <xdr:nvSpPr>
        <xdr:cNvPr id="834" name="Isosceles Triangle 833">
          <a:extLst>
            <a:ext uri="{FF2B5EF4-FFF2-40B4-BE49-F238E27FC236}">
              <a16:creationId xmlns="" xmlns:a16="http://schemas.microsoft.com/office/drawing/2014/main" id="{A70FBB5C-2FFA-4EF8-B663-0C43CBEE1B91}"/>
            </a:ext>
          </a:extLst>
        </xdr:cNvPr>
        <xdr:cNvSpPr/>
      </xdr:nvSpPr>
      <xdr:spPr>
        <a:xfrm>
          <a:off x="8115300" y="217601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127</xdr:row>
      <xdr:rowOff>63987</xdr:rowOff>
    </xdr:from>
    <xdr:to>
      <xdr:col>8</xdr:col>
      <xdr:colOff>602646</xdr:colOff>
      <xdr:row>128</xdr:row>
      <xdr:rowOff>159237</xdr:rowOff>
    </xdr:to>
    <xdr:sp macro="" textlink="">
      <xdr:nvSpPr>
        <xdr:cNvPr id="835" name="Isosceles Triangle 834">
          <a:extLst>
            <a:ext uri="{FF2B5EF4-FFF2-40B4-BE49-F238E27FC236}">
              <a16:creationId xmlns="" xmlns:a16="http://schemas.microsoft.com/office/drawing/2014/main" id="{F3E138FC-C3DC-469E-859D-60A9FF5E04CD}"/>
            </a:ext>
          </a:extLst>
        </xdr:cNvPr>
        <xdr:cNvSpPr/>
      </xdr:nvSpPr>
      <xdr:spPr>
        <a:xfrm>
          <a:off x="4430486" y="23054616"/>
          <a:ext cx="602646" cy="389164"/>
        </a:xfrm>
        <a:prstGeom prst="triangle">
          <a:avLst/>
        </a:prstGeom>
        <a:solidFill>
          <a:srgbClr val="FF0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53</xdr:row>
      <xdr:rowOff>78147</xdr:rowOff>
    </xdr:from>
    <xdr:to>
      <xdr:col>9</xdr:col>
      <xdr:colOff>0</xdr:colOff>
      <xdr:row>54</xdr:row>
      <xdr:rowOff>192447</xdr:rowOff>
    </xdr:to>
    <xdr:sp macro="" textlink="">
      <xdr:nvSpPr>
        <xdr:cNvPr id="837" name="Isosceles Triangle 836">
          <a:extLst>
            <a:ext uri="{FF2B5EF4-FFF2-40B4-BE49-F238E27FC236}">
              <a16:creationId xmlns="" xmlns:a16="http://schemas.microsoft.com/office/drawing/2014/main" id="{48078BDC-CC11-43B8-94B5-A734E528D257}"/>
            </a:ext>
          </a:extLst>
        </xdr:cNvPr>
        <xdr:cNvSpPr/>
      </xdr:nvSpPr>
      <xdr:spPr>
        <a:xfrm>
          <a:off x="43708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385482</xdr:colOff>
      <xdr:row>51</xdr:row>
      <xdr:rowOff>79935</xdr:rowOff>
    </xdr:from>
    <xdr:to>
      <xdr:col>15</xdr:col>
      <xdr:colOff>523837</xdr:colOff>
      <xdr:row>51</xdr:row>
      <xdr:rowOff>80682</xdr:rowOff>
    </xdr:to>
    <xdr:cxnSp macro="">
      <xdr:nvCxnSpPr>
        <xdr:cNvPr id="838" name="Straight Arrow Connector 837">
          <a:extLst>
            <a:ext uri="{FF2B5EF4-FFF2-40B4-BE49-F238E27FC236}">
              <a16:creationId xmlns="" xmlns:a16="http://schemas.microsoft.com/office/drawing/2014/main" id="{5001F6C5-D75B-4A83-B4A9-64713A49853E}"/>
            </a:ext>
          </a:extLst>
        </xdr:cNvPr>
        <xdr:cNvCxnSpPr/>
      </xdr:nvCxnSpPr>
      <xdr:spPr>
        <a:xfrm flipV="1">
          <a:off x="6001422" y="9132495"/>
          <a:ext cx="3262555" cy="74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7470</xdr:colOff>
      <xdr:row>51</xdr:row>
      <xdr:rowOff>62753</xdr:rowOff>
    </xdr:from>
    <xdr:to>
      <xdr:col>21</xdr:col>
      <xdr:colOff>331694</xdr:colOff>
      <xdr:row>51</xdr:row>
      <xdr:rowOff>83671</xdr:rowOff>
    </xdr:to>
    <xdr:cxnSp macro="">
      <xdr:nvCxnSpPr>
        <xdr:cNvPr id="839" name="Straight Arrow Connector 838">
          <a:extLst>
            <a:ext uri="{FF2B5EF4-FFF2-40B4-BE49-F238E27FC236}">
              <a16:creationId xmlns="" xmlns:a16="http://schemas.microsoft.com/office/drawing/2014/main" id="{BA631ABB-D033-4363-A275-8EF30A78A9C2}"/>
            </a:ext>
          </a:extLst>
        </xdr:cNvPr>
        <xdr:cNvCxnSpPr/>
      </xdr:nvCxnSpPr>
      <xdr:spPr>
        <a:xfrm flipH="1">
          <a:off x="9372450" y="9115313"/>
          <a:ext cx="3448424" cy="209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72</xdr:row>
      <xdr:rowOff>66013</xdr:rowOff>
    </xdr:from>
    <xdr:to>
      <xdr:col>6</xdr:col>
      <xdr:colOff>602646</xdr:colOff>
      <xdr:row>73</xdr:row>
      <xdr:rowOff>161263</xdr:rowOff>
    </xdr:to>
    <xdr:sp macro="" textlink="">
      <xdr:nvSpPr>
        <xdr:cNvPr id="842" name="Isosceles Triangle 841">
          <a:extLst>
            <a:ext uri="{FF2B5EF4-FFF2-40B4-BE49-F238E27FC236}">
              <a16:creationId xmlns="" xmlns:a16="http://schemas.microsoft.com/office/drawing/2014/main" id="{C3781141-013D-4C14-9278-3D14557E2926}"/>
            </a:ext>
          </a:extLst>
        </xdr:cNvPr>
        <xdr:cNvSpPr/>
      </xdr:nvSpPr>
      <xdr:spPr>
        <a:xfrm>
          <a:off x="3116580" y="12745693"/>
          <a:ext cx="602646" cy="262890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81</xdr:row>
      <xdr:rowOff>66013</xdr:rowOff>
    </xdr:from>
    <xdr:to>
      <xdr:col>8</xdr:col>
      <xdr:colOff>602646</xdr:colOff>
      <xdr:row>82</xdr:row>
      <xdr:rowOff>161263</xdr:rowOff>
    </xdr:to>
    <xdr:sp macro="" textlink="">
      <xdr:nvSpPr>
        <xdr:cNvPr id="846" name="Isosceles Triangle 845">
          <a:extLst>
            <a:ext uri="{FF2B5EF4-FFF2-40B4-BE49-F238E27FC236}">
              <a16:creationId xmlns="" xmlns:a16="http://schemas.microsoft.com/office/drawing/2014/main" id="{EE828885-D5F7-4891-B36E-0FF78949BA79}"/>
            </a:ext>
          </a:extLst>
        </xdr:cNvPr>
        <xdr:cNvSpPr/>
      </xdr:nvSpPr>
      <xdr:spPr>
        <a:xfrm>
          <a:off x="4366260" y="14437333"/>
          <a:ext cx="602646" cy="35433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53</xdr:row>
      <xdr:rowOff>78147</xdr:rowOff>
    </xdr:from>
    <xdr:to>
      <xdr:col>3</xdr:col>
      <xdr:colOff>0</xdr:colOff>
      <xdr:row>54</xdr:row>
      <xdr:rowOff>192447</xdr:rowOff>
    </xdr:to>
    <xdr:sp macro="" textlink="">
      <xdr:nvSpPr>
        <xdr:cNvPr id="848" name="Isosceles Triangle 847">
          <a:extLst>
            <a:ext uri="{FF2B5EF4-FFF2-40B4-BE49-F238E27FC236}">
              <a16:creationId xmlns="" xmlns:a16="http://schemas.microsoft.com/office/drawing/2014/main" id="{10321B5B-FFAE-4C05-9EEE-181071FC7638}"/>
            </a:ext>
          </a:extLst>
        </xdr:cNvPr>
        <xdr:cNvSpPr/>
      </xdr:nvSpPr>
      <xdr:spPr>
        <a:xfrm>
          <a:off x="5913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0</xdr:colOff>
      <xdr:row>81</xdr:row>
      <xdr:rowOff>66013</xdr:rowOff>
    </xdr:from>
    <xdr:to>
      <xdr:col>10</xdr:col>
      <xdr:colOff>602646</xdr:colOff>
      <xdr:row>82</xdr:row>
      <xdr:rowOff>161263</xdr:rowOff>
    </xdr:to>
    <xdr:sp macro="" textlink="">
      <xdr:nvSpPr>
        <xdr:cNvPr id="849" name="Isosceles Triangle 848">
          <a:extLst>
            <a:ext uri="{FF2B5EF4-FFF2-40B4-BE49-F238E27FC236}">
              <a16:creationId xmlns="" xmlns:a16="http://schemas.microsoft.com/office/drawing/2014/main" id="{C2263EC2-7E5B-4649-BC7C-AF6AA06CD1E8}"/>
            </a:ext>
          </a:extLst>
        </xdr:cNvPr>
        <xdr:cNvSpPr/>
      </xdr:nvSpPr>
      <xdr:spPr>
        <a:xfrm>
          <a:off x="5615940" y="144373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850" name="Isosceles Triangle 849">
          <a:extLst>
            <a:ext uri="{FF2B5EF4-FFF2-40B4-BE49-F238E27FC236}">
              <a16:creationId xmlns="" xmlns:a16="http://schemas.microsoft.com/office/drawing/2014/main" id="{FBE75E06-5D41-4B58-B550-D8563801C7EF}"/>
            </a:ext>
          </a:extLst>
        </xdr:cNvPr>
        <xdr:cNvSpPr/>
      </xdr:nvSpPr>
      <xdr:spPr>
        <a:xfrm>
          <a:off x="8119872" y="2783247"/>
          <a:ext cx="620268" cy="3048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853" name="Isosceles Triangle 852">
          <a:extLst>
            <a:ext uri="{FF2B5EF4-FFF2-40B4-BE49-F238E27FC236}">
              <a16:creationId xmlns="" xmlns:a16="http://schemas.microsoft.com/office/drawing/2014/main" id="{526609EA-5F8B-4833-9037-05003525C2D7}"/>
            </a:ext>
          </a:extLst>
        </xdr:cNvPr>
        <xdr:cNvSpPr/>
      </xdr:nvSpPr>
      <xdr:spPr>
        <a:xfrm>
          <a:off x="8119872" y="2783247"/>
          <a:ext cx="620268" cy="3048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854" name="Isosceles Triangle 853">
          <a:extLst>
            <a:ext uri="{FF2B5EF4-FFF2-40B4-BE49-F238E27FC236}">
              <a16:creationId xmlns="" xmlns:a16="http://schemas.microsoft.com/office/drawing/2014/main" id="{0AC89179-0683-4E52-A5A1-054BC01A7AEF}"/>
            </a:ext>
          </a:extLst>
        </xdr:cNvPr>
        <xdr:cNvSpPr/>
      </xdr:nvSpPr>
      <xdr:spPr>
        <a:xfrm>
          <a:off x="4370832" y="7934367"/>
          <a:ext cx="620268" cy="2667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856" name="Isosceles Triangle 855">
          <a:extLst>
            <a:ext uri="{FF2B5EF4-FFF2-40B4-BE49-F238E27FC236}">
              <a16:creationId xmlns="" xmlns:a16="http://schemas.microsoft.com/office/drawing/2014/main" id="{5F02A845-82D5-462D-AC20-64B2BD5F6C7B}"/>
            </a:ext>
          </a:extLst>
        </xdr:cNvPr>
        <xdr:cNvSpPr/>
      </xdr:nvSpPr>
      <xdr:spPr>
        <a:xfrm>
          <a:off x="437083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72</xdr:row>
      <xdr:rowOff>66013</xdr:rowOff>
    </xdr:from>
    <xdr:to>
      <xdr:col>4</xdr:col>
      <xdr:colOff>602646</xdr:colOff>
      <xdr:row>73</xdr:row>
      <xdr:rowOff>161263</xdr:rowOff>
    </xdr:to>
    <xdr:sp macro="" textlink="">
      <xdr:nvSpPr>
        <xdr:cNvPr id="857" name="Isosceles Triangle 856">
          <a:extLst>
            <a:ext uri="{FF2B5EF4-FFF2-40B4-BE49-F238E27FC236}">
              <a16:creationId xmlns="" xmlns:a16="http://schemas.microsoft.com/office/drawing/2014/main" id="{E4D8080B-1481-4CC5-80F9-8E3C447466E8}"/>
            </a:ext>
          </a:extLst>
        </xdr:cNvPr>
        <xdr:cNvSpPr/>
      </xdr:nvSpPr>
      <xdr:spPr>
        <a:xfrm>
          <a:off x="1851660" y="12745693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81</xdr:row>
      <xdr:rowOff>66013</xdr:rowOff>
    </xdr:from>
    <xdr:to>
      <xdr:col>16</xdr:col>
      <xdr:colOff>602646</xdr:colOff>
      <xdr:row>82</xdr:row>
      <xdr:rowOff>161263</xdr:rowOff>
    </xdr:to>
    <xdr:sp macro="" textlink="">
      <xdr:nvSpPr>
        <xdr:cNvPr id="858" name="Isosceles Triangle 857">
          <a:extLst>
            <a:ext uri="{FF2B5EF4-FFF2-40B4-BE49-F238E27FC236}">
              <a16:creationId xmlns="" xmlns:a16="http://schemas.microsoft.com/office/drawing/2014/main" id="{679ED2CF-D94B-4477-B5D3-7292E91351E9}"/>
            </a:ext>
          </a:extLst>
        </xdr:cNvPr>
        <xdr:cNvSpPr/>
      </xdr:nvSpPr>
      <xdr:spPr>
        <a:xfrm>
          <a:off x="9364980" y="144373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127</xdr:row>
      <xdr:rowOff>63987</xdr:rowOff>
    </xdr:from>
    <xdr:to>
      <xdr:col>10</xdr:col>
      <xdr:colOff>602646</xdr:colOff>
      <xdr:row>128</xdr:row>
      <xdr:rowOff>159237</xdr:rowOff>
    </xdr:to>
    <xdr:sp macro="" textlink="">
      <xdr:nvSpPr>
        <xdr:cNvPr id="859" name="Isosceles Triangle 858">
          <a:extLst>
            <a:ext uri="{FF2B5EF4-FFF2-40B4-BE49-F238E27FC236}">
              <a16:creationId xmlns="" xmlns:a16="http://schemas.microsoft.com/office/drawing/2014/main" id="{7794F18E-D2AD-4D27-B50D-F41EF0101790}"/>
            </a:ext>
          </a:extLst>
        </xdr:cNvPr>
        <xdr:cNvSpPr/>
      </xdr:nvSpPr>
      <xdr:spPr>
        <a:xfrm>
          <a:off x="5693229" y="23054616"/>
          <a:ext cx="602646" cy="38916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8860</xdr:colOff>
      <xdr:row>127</xdr:row>
      <xdr:rowOff>72846</xdr:rowOff>
    </xdr:from>
    <xdr:to>
      <xdr:col>12</xdr:col>
      <xdr:colOff>611506</xdr:colOff>
      <xdr:row>128</xdr:row>
      <xdr:rowOff>165059</xdr:rowOff>
    </xdr:to>
    <xdr:sp macro="" textlink="">
      <xdr:nvSpPr>
        <xdr:cNvPr id="860" name="Isosceles Triangle 859">
          <a:extLst>
            <a:ext uri="{FF2B5EF4-FFF2-40B4-BE49-F238E27FC236}">
              <a16:creationId xmlns="" xmlns:a16="http://schemas.microsoft.com/office/drawing/2014/main" id="{EA263C06-80BC-4550-8F1D-AEE0496F8955}"/>
            </a:ext>
          </a:extLst>
        </xdr:cNvPr>
        <xdr:cNvSpPr/>
      </xdr:nvSpPr>
      <xdr:spPr>
        <a:xfrm>
          <a:off x="6964831" y="23063475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15</xdr:row>
      <xdr:rowOff>66012</xdr:rowOff>
    </xdr:from>
    <xdr:to>
      <xdr:col>20</xdr:col>
      <xdr:colOff>602646</xdr:colOff>
      <xdr:row>16</xdr:row>
      <xdr:rowOff>161263</xdr:rowOff>
    </xdr:to>
    <xdr:sp macro="" textlink="">
      <xdr:nvSpPr>
        <xdr:cNvPr id="861" name="Isosceles Triangle 860">
          <a:extLst>
            <a:ext uri="{FF2B5EF4-FFF2-40B4-BE49-F238E27FC236}">
              <a16:creationId xmlns="" xmlns:a16="http://schemas.microsoft.com/office/drawing/2014/main" id="{FB304C7C-898D-4EDC-8592-8C69C88D1021}"/>
            </a:ext>
          </a:extLst>
        </xdr:cNvPr>
        <xdr:cNvSpPr/>
      </xdr:nvSpPr>
      <xdr:spPr>
        <a:xfrm>
          <a:off x="11864340" y="2771112"/>
          <a:ext cx="602646" cy="3009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5255</xdr:colOff>
      <xdr:row>63</xdr:row>
      <xdr:rowOff>73648</xdr:rowOff>
    </xdr:from>
    <xdr:to>
      <xdr:col>3</xdr:col>
      <xdr:colOff>0</xdr:colOff>
      <xdr:row>64</xdr:row>
      <xdr:rowOff>168898</xdr:rowOff>
    </xdr:to>
    <xdr:sp macro="" textlink="">
      <xdr:nvSpPr>
        <xdr:cNvPr id="863" name="Isosceles Triangle 862">
          <a:extLst>
            <a:ext uri="{FF2B5EF4-FFF2-40B4-BE49-F238E27FC236}">
              <a16:creationId xmlns="" xmlns:a16="http://schemas.microsoft.com/office/drawing/2014/main" id="{B0DB2ABA-FD84-437F-A415-742FEED7F0EC}"/>
            </a:ext>
          </a:extLst>
        </xdr:cNvPr>
        <xdr:cNvSpPr/>
      </xdr:nvSpPr>
      <xdr:spPr>
        <a:xfrm>
          <a:off x="599089" y="10715372"/>
          <a:ext cx="672663" cy="263416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867" name="Isosceles Triangle 866">
          <a:extLst>
            <a:ext uri="{FF2B5EF4-FFF2-40B4-BE49-F238E27FC236}">
              <a16:creationId xmlns="" xmlns:a16="http://schemas.microsoft.com/office/drawing/2014/main" id="{B22734B6-259B-4879-8BCA-3EFC0FB5621C}"/>
            </a:ext>
          </a:extLst>
        </xdr:cNvPr>
        <xdr:cNvSpPr/>
      </xdr:nvSpPr>
      <xdr:spPr>
        <a:xfrm>
          <a:off x="9369552" y="2783247"/>
          <a:ext cx="620268" cy="3048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869" name="Isosceles Triangle 868">
          <a:extLst>
            <a:ext uri="{FF2B5EF4-FFF2-40B4-BE49-F238E27FC236}">
              <a16:creationId xmlns="" xmlns:a16="http://schemas.microsoft.com/office/drawing/2014/main" id="{1799ED0E-FDDF-476C-B796-36B97C28959A}"/>
            </a:ext>
          </a:extLst>
        </xdr:cNvPr>
        <xdr:cNvSpPr/>
      </xdr:nvSpPr>
      <xdr:spPr>
        <a:xfrm>
          <a:off x="9369552" y="2783247"/>
          <a:ext cx="620268" cy="3048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108</xdr:row>
      <xdr:rowOff>66013</xdr:rowOff>
    </xdr:from>
    <xdr:to>
      <xdr:col>16</xdr:col>
      <xdr:colOff>602646</xdr:colOff>
      <xdr:row>109</xdr:row>
      <xdr:rowOff>161263</xdr:rowOff>
    </xdr:to>
    <xdr:sp macro="" textlink="">
      <xdr:nvSpPr>
        <xdr:cNvPr id="870" name="Isosceles Triangle 869">
          <a:extLst>
            <a:ext uri="{FF2B5EF4-FFF2-40B4-BE49-F238E27FC236}">
              <a16:creationId xmlns="" xmlns:a16="http://schemas.microsoft.com/office/drawing/2014/main" id="{D54ABEC5-DAFC-4774-A1F0-DC0C5874A3B4}"/>
            </a:ext>
          </a:extLst>
        </xdr:cNvPr>
        <xdr:cNvSpPr/>
      </xdr:nvSpPr>
      <xdr:spPr>
        <a:xfrm>
          <a:off x="936498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871" name="Isosceles Triangle 870">
          <a:extLst>
            <a:ext uri="{FF2B5EF4-FFF2-40B4-BE49-F238E27FC236}">
              <a16:creationId xmlns="" xmlns:a16="http://schemas.microsoft.com/office/drawing/2014/main" id="{4364F501-E8F6-4CD0-BBF6-A23180E3FC9C}"/>
            </a:ext>
          </a:extLst>
        </xdr:cNvPr>
        <xdr:cNvSpPr/>
      </xdr:nvSpPr>
      <xdr:spPr>
        <a:xfrm>
          <a:off x="1856232" y="4406307"/>
          <a:ext cx="620268" cy="31242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872" name="Isosceles Triangle 871">
          <a:extLst>
            <a:ext uri="{FF2B5EF4-FFF2-40B4-BE49-F238E27FC236}">
              <a16:creationId xmlns="" xmlns:a16="http://schemas.microsoft.com/office/drawing/2014/main" id="{1350B624-7D56-4484-864C-F9637A544320}"/>
            </a:ext>
          </a:extLst>
        </xdr:cNvPr>
        <xdr:cNvSpPr/>
      </xdr:nvSpPr>
      <xdr:spPr>
        <a:xfrm>
          <a:off x="185623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63</xdr:row>
      <xdr:rowOff>77254</xdr:rowOff>
    </xdr:from>
    <xdr:to>
      <xdr:col>6</xdr:col>
      <xdr:colOff>602647</xdr:colOff>
      <xdr:row>64</xdr:row>
      <xdr:rowOff>172504</xdr:rowOff>
    </xdr:to>
    <xdr:sp macro="" textlink="">
      <xdr:nvSpPr>
        <xdr:cNvPr id="873" name="Isosceles Triangle 872">
          <a:extLst>
            <a:ext uri="{FF2B5EF4-FFF2-40B4-BE49-F238E27FC236}">
              <a16:creationId xmlns="" xmlns:a16="http://schemas.microsoft.com/office/drawing/2014/main" id="{7D8B0284-D4BD-4BCF-9693-94C1BF2FF892}"/>
            </a:ext>
          </a:extLst>
        </xdr:cNvPr>
        <xdr:cNvSpPr/>
      </xdr:nvSpPr>
      <xdr:spPr>
        <a:xfrm>
          <a:off x="3116580" y="11072914"/>
          <a:ext cx="602647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81</xdr:row>
      <xdr:rowOff>66013</xdr:rowOff>
    </xdr:from>
    <xdr:to>
      <xdr:col>6</xdr:col>
      <xdr:colOff>602646</xdr:colOff>
      <xdr:row>82</xdr:row>
      <xdr:rowOff>161263</xdr:rowOff>
    </xdr:to>
    <xdr:sp macro="" textlink="">
      <xdr:nvSpPr>
        <xdr:cNvPr id="876" name="Isosceles Triangle 875">
          <a:extLst>
            <a:ext uri="{FF2B5EF4-FFF2-40B4-BE49-F238E27FC236}">
              <a16:creationId xmlns="" xmlns:a16="http://schemas.microsoft.com/office/drawing/2014/main" id="{97D64426-9D2D-480F-88FB-643E318DD135}"/>
            </a:ext>
          </a:extLst>
        </xdr:cNvPr>
        <xdr:cNvSpPr/>
      </xdr:nvSpPr>
      <xdr:spPr>
        <a:xfrm>
          <a:off x="3116580" y="144373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15</xdr:row>
      <xdr:rowOff>66012</xdr:rowOff>
    </xdr:from>
    <xdr:to>
      <xdr:col>18</xdr:col>
      <xdr:colOff>602646</xdr:colOff>
      <xdr:row>16</xdr:row>
      <xdr:rowOff>161263</xdr:rowOff>
    </xdr:to>
    <xdr:sp macro="" textlink="">
      <xdr:nvSpPr>
        <xdr:cNvPr id="877" name="Isosceles Triangle 876">
          <a:extLst>
            <a:ext uri="{FF2B5EF4-FFF2-40B4-BE49-F238E27FC236}">
              <a16:creationId xmlns="" xmlns:a16="http://schemas.microsoft.com/office/drawing/2014/main" id="{FCFC2BB9-ADE1-481A-B8A3-8BEB911FEEBA}"/>
            </a:ext>
          </a:extLst>
        </xdr:cNvPr>
        <xdr:cNvSpPr/>
      </xdr:nvSpPr>
      <xdr:spPr>
        <a:xfrm>
          <a:off x="10614660" y="2771112"/>
          <a:ext cx="602646" cy="3009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53</xdr:row>
      <xdr:rowOff>78147</xdr:rowOff>
    </xdr:from>
    <xdr:to>
      <xdr:col>11</xdr:col>
      <xdr:colOff>0</xdr:colOff>
      <xdr:row>54</xdr:row>
      <xdr:rowOff>192447</xdr:rowOff>
    </xdr:to>
    <xdr:sp macro="" textlink="">
      <xdr:nvSpPr>
        <xdr:cNvPr id="881" name="Isosceles Triangle 880">
          <a:extLst>
            <a:ext uri="{FF2B5EF4-FFF2-40B4-BE49-F238E27FC236}">
              <a16:creationId xmlns="" xmlns:a16="http://schemas.microsoft.com/office/drawing/2014/main" id="{00633BD0-EAB7-40AE-82C6-51A73D24A9EC}"/>
            </a:ext>
          </a:extLst>
        </xdr:cNvPr>
        <xdr:cNvSpPr/>
      </xdr:nvSpPr>
      <xdr:spPr>
        <a:xfrm>
          <a:off x="5620512" y="9488847"/>
          <a:ext cx="620268" cy="289560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35</xdr:row>
      <xdr:rowOff>78147</xdr:rowOff>
    </xdr:from>
    <xdr:to>
      <xdr:col>3</xdr:col>
      <xdr:colOff>0</xdr:colOff>
      <xdr:row>36</xdr:row>
      <xdr:rowOff>192447</xdr:rowOff>
    </xdr:to>
    <xdr:sp macro="" textlink="">
      <xdr:nvSpPr>
        <xdr:cNvPr id="882" name="Isosceles Triangle 881">
          <a:extLst>
            <a:ext uri="{FF2B5EF4-FFF2-40B4-BE49-F238E27FC236}">
              <a16:creationId xmlns="" xmlns:a16="http://schemas.microsoft.com/office/drawing/2014/main" id="{BA64782F-F3DA-4E05-A9B3-F273CF56E5A5}"/>
            </a:ext>
          </a:extLst>
        </xdr:cNvPr>
        <xdr:cNvSpPr/>
      </xdr:nvSpPr>
      <xdr:spPr>
        <a:xfrm>
          <a:off x="591312" y="6387507"/>
          <a:ext cx="620268" cy="28194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14447</xdr:colOff>
      <xdr:row>35</xdr:row>
      <xdr:rowOff>67261</xdr:rowOff>
    </xdr:from>
    <xdr:to>
      <xdr:col>2</xdr:col>
      <xdr:colOff>652891</xdr:colOff>
      <xdr:row>36</xdr:row>
      <xdr:rowOff>181561</xdr:rowOff>
    </xdr:to>
    <xdr:sp macro="" textlink="">
      <xdr:nvSpPr>
        <xdr:cNvPr id="883" name="Isosceles Triangle 882">
          <a:extLst>
            <a:ext uri="{FF2B5EF4-FFF2-40B4-BE49-F238E27FC236}">
              <a16:creationId xmlns="" xmlns:a16="http://schemas.microsoft.com/office/drawing/2014/main" id="{D68136FF-5A8F-41EB-8CEE-AEC86C0836E8}"/>
            </a:ext>
          </a:extLst>
        </xdr:cNvPr>
        <xdr:cNvSpPr/>
      </xdr:nvSpPr>
      <xdr:spPr>
        <a:xfrm>
          <a:off x="613161" y="6087061"/>
          <a:ext cx="638444" cy="277586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16</xdr:row>
      <xdr:rowOff>192447</xdr:rowOff>
    </xdr:to>
    <xdr:sp macro="" textlink="">
      <xdr:nvSpPr>
        <xdr:cNvPr id="884" name="Isosceles Triangle 883">
          <a:extLst>
            <a:ext uri="{FF2B5EF4-FFF2-40B4-BE49-F238E27FC236}">
              <a16:creationId xmlns="" xmlns:a16="http://schemas.microsoft.com/office/drawing/2014/main" id="{2EB09C00-2DA7-44B8-B6C0-C6F98BC5BD5B}"/>
            </a:ext>
          </a:extLst>
        </xdr:cNvPr>
        <xdr:cNvSpPr/>
      </xdr:nvSpPr>
      <xdr:spPr>
        <a:xfrm>
          <a:off x="6870192" y="2783247"/>
          <a:ext cx="620268" cy="3048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17</xdr:row>
      <xdr:rowOff>1947</xdr:rowOff>
    </xdr:to>
    <xdr:sp macro="" textlink="$M$17">
      <xdr:nvSpPr>
        <xdr:cNvPr id="886" name="Isosceles Triangle 885">
          <a:extLst>
            <a:ext uri="{FF2B5EF4-FFF2-40B4-BE49-F238E27FC236}">
              <a16:creationId xmlns="" xmlns:a16="http://schemas.microsoft.com/office/drawing/2014/main" id="{47758218-A8E1-4E3C-A017-0B365D93FF56}"/>
            </a:ext>
          </a:extLst>
        </xdr:cNvPr>
        <xdr:cNvSpPr/>
      </xdr:nvSpPr>
      <xdr:spPr>
        <a:xfrm>
          <a:off x="6870192" y="2783247"/>
          <a:ext cx="620268" cy="3048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fld id="{0E403535-E82E-45C5-BBA5-D8D38D2BFA8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 </a:t>
          </a:fld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887" name="Isosceles Triangle 886">
          <a:extLst>
            <a:ext uri="{FF2B5EF4-FFF2-40B4-BE49-F238E27FC236}">
              <a16:creationId xmlns="" xmlns:a16="http://schemas.microsoft.com/office/drawing/2014/main" id="{4D239013-CE55-4AEE-83B8-3DF7BE57C2D2}"/>
            </a:ext>
          </a:extLst>
        </xdr:cNvPr>
        <xdr:cNvSpPr/>
      </xdr:nvSpPr>
      <xdr:spPr>
        <a:xfrm>
          <a:off x="118689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888" name="Isosceles Triangle 887">
          <a:extLst>
            <a:ext uri="{FF2B5EF4-FFF2-40B4-BE49-F238E27FC236}">
              <a16:creationId xmlns="" xmlns:a16="http://schemas.microsoft.com/office/drawing/2014/main" id="{051A4676-A547-4FE4-A77F-F1D86A0CA756}"/>
            </a:ext>
          </a:extLst>
        </xdr:cNvPr>
        <xdr:cNvSpPr/>
      </xdr:nvSpPr>
      <xdr:spPr>
        <a:xfrm>
          <a:off x="118689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890" name="Isosceles Triangle 889">
          <a:extLst>
            <a:ext uri="{FF2B5EF4-FFF2-40B4-BE49-F238E27FC236}">
              <a16:creationId xmlns="" xmlns:a16="http://schemas.microsoft.com/office/drawing/2014/main" id="{19B86C3E-0CC5-4BCE-BE5B-20C42D8BFDD5}"/>
            </a:ext>
          </a:extLst>
        </xdr:cNvPr>
        <xdr:cNvSpPr/>
      </xdr:nvSpPr>
      <xdr:spPr>
        <a:xfrm>
          <a:off x="118689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5288</xdr:colOff>
      <xdr:row>53</xdr:row>
      <xdr:rowOff>86246</xdr:rowOff>
    </xdr:from>
    <xdr:to>
      <xdr:col>20</xdr:col>
      <xdr:colOff>623008</xdr:colOff>
      <xdr:row>54</xdr:row>
      <xdr:rowOff>181970</xdr:rowOff>
    </xdr:to>
    <xdr:sp macro="" textlink="">
      <xdr:nvSpPr>
        <xdr:cNvPr id="891" name="Isosceles Triangle 890">
          <a:extLst>
            <a:ext uri="{FF2B5EF4-FFF2-40B4-BE49-F238E27FC236}">
              <a16:creationId xmlns="" xmlns:a16="http://schemas.microsoft.com/office/drawing/2014/main" id="{B9856CB1-9036-41A6-8708-672BABC58670}"/>
            </a:ext>
          </a:extLst>
        </xdr:cNvPr>
        <xdr:cNvSpPr/>
      </xdr:nvSpPr>
      <xdr:spPr>
        <a:xfrm>
          <a:off x="11869628" y="9496946"/>
          <a:ext cx="617720" cy="27098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246845</xdr:colOff>
      <xdr:row>16</xdr:row>
      <xdr:rowOff>160985</xdr:rowOff>
    </xdr:from>
    <xdr:to>
      <xdr:col>3</xdr:col>
      <xdr:colOff>372646</xdr:colOff>
      <xdr:row>20</xdr:row>
      <xdr:rowOff>35017</xdr:rowOff>
    </xdr:to>
    <xdr:sp macro="" textlink="">
      <xdr:nvSpPr>
        <xdr:cNvPr id="892" name="Lightning Bolt 891">
          <a:extLst>
            <a:ext uri="{FF2B5EF4-FFF2-40B4-BE49-F238E27FC236}">
              <a16:creationId xmlns="" xmlns:a16="http://schemas.microsoft.com/office/drawing/2014/main" id="{976F81FC-E43B-415B-95D5-7EEB433A3813}"/>
            </a:ext>
          </a:extLst>
        </xdr:cNvPr>
        <xdr:cNvSpPr/>
      </xdr:nvSpPr>
      <xdr:spPr>
        <a:xfrm>
          <a:off x="1458425" y="3071825"/>
          <a:ext cx="125801" cy="567452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oneCellAnchor>
    <xdr:from>
      <xdr:col>3</xdr:col>
      <xdr:colOff>50321</xdr:colOff>
      <xdr:row>17</xdr:row>
      <xdr:rowOff>35943</xdr:rowOff>
    </xdr:from>
    <xdr:ext cx="114300" cy="439616"/>
    <xdr:pic>
      <xdr:nvPicPr>
        <xdr:cNvPr id="893" name="Picture 11597">
          <a:extLst>
            <a:ext uri="{FF2B5EF4-FFF2-40B4-BE49-F238E27FC236}">
              <a16:creationId xmlns="" xmlns:a16="http://schemas.microsoft.com/office/drawing/2014/main" id="{75F57D8A-DA0B-4FA0-B65B-472332090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1901" y="3122043"/>
          <a:ext cx="114300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438509</xdr:colOff>
      <xdr:row>17</xdr:row>
      <xdr:rowOff>43132</xdr:rowOff>
    </xdr:from>
    <xdr:ext cx="100642" cy="458479"/>
    <xdr:pic>
      <xdr:nvPicPr>
        <xdr:cNvPr id="894" name="Picture 11597">
          <a:extLst>
            <a:ext uri="{FF2B5EF4-FFF2-40B4-BE49-F238E27FC236}">
              <a16:creationId xmlns="" xmlns:a16="http://schemas.microsoft.com/office/drawing/2014/main" id="{9AB29FB0-EFA1-4451-95C4-FDBDF812F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0089" y="3129232"/>
          <a:ext cx="100642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198435</xdr:colOff>
      <xdr:row>16</xdr:row>
      <xdr:rowOff>171130</xdr:rowOff>
    </xdr:from>
    <xdr:ext cx="52188" cy="458479"/>
    <xdr:pic>
      <xdr:nvPicPr>
        <xdr:cNvPr id="895" name="Picture 11597">
          <a:extLst>
            <a:ext uri="{FF2B5EF4-FFF2-40B4-BE49-F238E27FC236}">
              <a16:creationId xmlns="" xmlns:a16="http://schemas.microsoft.com/office/drawing/2014/main" id="{52CDB8BD-55A3-4AD9-A8A5-48A5C1933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4935" y="3081970"/>
          <a:ext cx="52188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399296</xdr:colOff>
      <xdr:row>16</xdr:row>
      <xdr:rowOff>162357</xdr:rowOff>
    </xdr:from>
    <xdr:ext cx="54428" cy="439616"/>
    <xdr:pic>
      <xdr:nvPicPr>
        <xdr:cNvPr id="896" name="Picture 11597">
          <a:extLst>
            <a:ext uri="{FF2B5EF4-FFF2-40B4-BE49-F238E27FC236}">
              <a16:creationId xmlns="" xmlns:a16="http://schemas.microsoft.com/office/drawing/2014/main" id="{664B69B7-8A0C-41B8-BE49-34C2C68E8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75796" y="3073197"/>
          <a:ext cx="54428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66582</xdr:colOff>
      <xdr:row>16</xdr:row>
      <xdr:rowOff>162757</xdr:rowOff>
    </xdr:from>
    <xdr:ext cx="85725" cy="390524"/>
    <xdr:pic>
      <xdr:nvPicPr>
        <xdr:cNvPr id="897" name="Picture 11597">
          <a:extLst>
            <a:ext uri="{FF2B5EF4-FFF2-40B4-BE49-F238E27FC236}">
              <a16:creationId xmlns="" xmlns:a16="http://schemas.microsoft.com/office/drawing/2014/main" id="{86A480B6-4DCF-4DA4-8124-B091F7C3F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6402" y="307359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502003</xdr:colOff>
      <xdr:row>16</xdr:row>
      <xdr:rowOff>159797</xdr:rowOff>
    </xdr:from>
    <xdr:ext cx="85725" cy="390524"/>
    <xdr:pic>
      <xdr:nvPicPr>
        <xdr:cNvPr id="898" name="Picture 11597">
          <a:extLst>
            <a:ext uri="{FF2B5EF4-FFF2-40B4-BE49-F238E27FC236}">
              <a16:creationId xmlns="" xmlns:a16="http://schemas.microsoft.com/office/drawing/2014/main" id="{5942FA63-B295-439E-8A91-E6E6698A9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1823" y="307063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0</xdr:colOff>
      <xdr:row>17</xdr:row>
      <xdr:rowOff>118369</xdr:rowOff>
    </xdr:from>
    <xdr:to>
      <xdr:col>17</xdr:col>
      <xdr:colOff>244136</xdr:colOff>
      <xdr:row>19</xdr:row>
      <xdr:rowOff>123113</xdr:rowOff>
    </xdr:to>
    <xdr:cxnSp macro="">
      <xdr:nvCxnSpPr>
        <xdr:cNvPr id="899" name="Straight Connector 898">
          <a:extLst>
            <a:ext uri="{FF2B5EF4-FFF2-40B4-BE49-F238E27FC236}">
              <a16:creationId xmlns="" xmlns:a16="http://schemas.microsoft.com/office/drawing/2014/main" id="{EA491492-3638-412C-919A-AE7F7A25CFED}"/>
            </a:ext>
          </a:extLst>
        </xdr:cNvPr>
        <xdr:cNvCxnSpPr/>
      </xdr:nvCxnSpPr>
      <xdr:spPr>
        <a:xfrm flipH="1">
          <a:off x="9989820" y="3204469"/>
          <a:ext cx="244136" cy="35526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246798</xdr:colOff>
      <xdr:row>17</xdr:row>
      <xdr:rowOff>11421</xdr:rowOff>
    </xdr:from>
    <xdr:to>
      <xdr:col>17</xdr:col>
      <xdr:colOff>403273</xdr:colOff>
      <xdr:row>18</xdr:row>
      <xdr:rowOff>139605</xdr:rowOff>
    </xdr:to>
    <xdr:sp macro="" textlink="">
      <xdr:nvSpPr>
        <xdr:cNvPr id="900" name="Parallelogram 899">
          <a:extLst>
            <a:ext uri="{FF2B5EF4-FFF2-40B4-BE49-F238E27FC236}">
              <a16:creationId xmlns="" xmlns:a16="http://schemas.microsoft.com/office/drawing/2014/main" id="{DF61E428-2E24-4F66-A976-70E41D658645}"/>
            </a:ext>
          </a:extLst>
        </xdr:cNvPr>
        <xdr:cNvSpPr/>
      </xdr:nvSpPr>
      <xdr:spPr>
        <a:xfrm rot="1440000">
          <a:off x="10236618" y="3097521"/>
          <a:ext cx="156475" cy="303444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227906</xdr:colOff>
      <xdr:row>17</xdr:row>
      <xdr:rowOff>5123</xdr:rowOff>
    </xdr:from>
    <xdr:to>
      <xdr:col>17</xdr:col>
      <xdr:colOff>424599</xdr:colOff>
      <xdr:row>18</xdr:row>
      <xdr:rowOff>126191</xdr:rowOff>
    </xdr:to>
    <xdr:cxnSp macro="">
      <xdr:nvCxnSpPr>
        <xdr:cNvPr id="901" name="Straight Connector 900">
          <a:extLst>
            <a:ext uri="{FF2B5EF4-FFF2-40B4-BE49-F238E27FC236}">
              <a16:creationId xmlns="" xmlns:a16="http://schemas.microsoft.com/office/drawing/2014/main" id="{B9FCFC27-F772-4100-AA09-EEEA046191F7}"/>
            </a:ext>
          </a:extLst>
        </xdr:cNvPr>
        <xdr:cNvCxnSpPr/>
      </xdr:nvCxnSpPr>
      <xdr:spPr>
        <a:xfrm flipH="1">
          <a:off x="10217726" y="3091223"/>
          <a:ext cx="196693" cy="296328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258198</xdr:colOff>
      <xdr:row>16</xdr:row>
      <xdr:rowOff>163735</xdr:rowOff>
    </xdr:from>
    <xdr:ext cx="85725" cy="390524"/>
    <xdr:pic>
      <xdr:nvPicPr>
        <xdr:cNvPr id="902" name="Picture 11597">
          <a:extLst>
            <a:ext uri="{FF2B5EF4-FFF2-40B4-BE49-F238E27FC236}">
              <a16:creationId xmlns="" xmlns:a16="http://schemas.microsoft.com/office/drawing/2014/main" id="{ED4A55A0-8C36-40ED-A246-701962773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7698" y="307457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372541</xdr:colOff>
      <xdr:row>25</xdr:row>
      <xdr:rowOff>157437</xdr:rowOff>
    </xdr:from>
    <xdr:to>
      <xdr:col>3</xdr:col>
      <xdr:colOff>418260</xdr:colOff>
      <xdr:row>28</xdr:row>
      <xdr:rowOff>157437</xdr:rowOff>
    </xdr:to>
    <xdr:sp macro="" textlink="">
      <xdr:nvSpPr>
        <xdr:cNvPr id="903" name="AutoShape 10733">
          <a:extLst>
            <a:ext uri="{FF2B5EF4-FFF2-40B4-BE49-F238E27FC236}">
              <a16:creationId xmlns="" xmlns:a16="http://schemas.microsoft.com/office/drawing/2014/main" id="{8E60ACDB-CC0B-456E-8A99-16D0CF05B022}"/>
            </a:ext>
          </a:extLst>
        </xdr:cNvPr>
        <xdr:cNvSpPr>
          <a:spLocks noChangeArrowheads="1"/>
        </xdr:cNvSpPr>
      </xdr:nvSpPr>
      <xdr:spPr bwMode="auto">
        <a:xfrm rot="5400000" flipV="1">
          <a:off x="1344091" y="4938987"/>
          <a:ext cx="525780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434529</xdr:colOff>
      <xdr:row>26</xdr:row>
      <xdr:rowOff>94464</xdr:rowOff>
    </xdr:from>
    <xdr:to>
      <xdr:col>5</xdr:col>
      <xdr:colOff>563255</xdr:colOff>
      <xdr:row>27</xdr:row>
      <xdr:rowOff>153848</xdr:rowOff>
    </xdr:to>
    <xdr:sp macro="" textlink="">
      <xdr:nvSpPr>
        <xdr:cNvPr id="904" name="AutoShape 301">
          <a:extLst>
            <a:ext uri="{FF2B5EF4-FFF2-40B4-BE49-F238E27FC236}">
              <a16:creationId xmlns="" xmlns:a16="http://schemas.microsoft.com/office/drawing/2014/main" id="{0449C904-4F76-4441-9068-61FF7C4DF833}"/>
            </a:ext>
          </a:extLst>
        </xdr:cNvPr>
        <xdr:cNvSpPr>
          <a:spLocks noChangeArrowheads="1"/>
        </xdr:cNvSpPr>
      </xdr:nvSpPr>
      <xdr:spPr bwMode="auto">
        <a:xfrm rot="7084349">
          <a:off x="2858070" y="4864203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132248</xdr:colOff>
      <xdr:row>25</xdr:row>
      <xdr:rowOff>170032</xdr:rowOff>
    </xdr:from>
    <xdr:to>
      <xdr:col>11</xdr:col>
      <xdr:colOff>177967</xdr:colOff>
      <xdr:row>28</xdr:row>
      <xdr:rowOff>170032</xdr:rowOff>
    </xdr:to>
    <xdr:sp macro="" textlink="">
      <xdr:nvSpPr>
        <xdr:cNvPr id="905" name="AutoShape 10733">
          <a:extLst>
            <a:ext uri="{FF2B5EF4-FFF2-40B4-BE49-F238E27FC236}">
              <a16:creationId xmlns="" xmlns:a16="http://schemas.microsoft.com/office/drawing/2014/main" id="{B4A76233-147C-4055-9925-E2EADB8F89E7}"/>
            </a:ext>
          </a:extLst>
        </xdr:cNvPr>
        <xdr:cNvSpPr>
          <a:spLocks noChangeArrowheads="1"/>
        </xdr:cNvSpPr>
      </xdr:nvSpPr>
      <xdr:spPr bwMode="auto">
        <a:xfrm rot="5400000" flipV="1">
          <a:off x="6132998" y="4951582"/>
          <a:ext cx="525780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138545</xdr:colOff>
      <xdr:row>37</xdr:row>
      <xdr:rowOff>44083</xdr:rowOff>
    </xdr:from>
    <xdr:to>
      <xdr:col>3</xdr:col>
      <xdr:colOff>267271</xdr:colOff>
      <xdr:row>38</xdr:row>
      <xdr:rowOff>103467</xdr:rowOff>
    </xdr:to>
    <xdr:sp macro="" textlink="">
      <xdr:nvSpPr>
        <xdr:cNvPr id="906" name="AutoShape 301">
          <a:extLst>
            <a:ext uri="{FF2B5EF4-FFF2-40B4-BE49-F238E27FC236}">
              <a16:creationId xmlns="" xmlns:a16="http://schemas.microsoft.com/office/drawing/2014/main" id="{7C0A2D78-73E7-4733-830D-5C4F0064C6D5}"/>
            </a:ext>
          </a:extLst>
        </xdr:cNvPr>
        <xdr:cNvSpPr>
          <a:spLocks noChangeArrowheads="1"/>
        </xdr:cNvSpPr>
      </xdr:nvSpPr>
      <xdr:spPr bwMode="auto">
        <a:xfrm rot="7084349">
          <a:off x="1297166" y="6772162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248857</xdr:colOff>
      <xdr:row>37</xdr:row>
      <xdr:rowOff>65703</xdr:rowOff>
    </xdr:from>
    <xdr:to>
      <xdr:col>5</xdr:col>
      <xdr:colOff>377583</xdr:colOff>
      <xdr:row>38</xdr:row>
      <xdr:rowOff>125087</xdr:rowOff>
    </xdr:to>
    <xdr:sp macro="" textlink="">
      <xdr:nvSpPr>
        <xdr:cNvPr id="907" name="AutoShape 301">
          <a:extLst>
            <a:ext uri="{FF2B5EF4-FFF2-40B4-BE49-F238E27FC236}">
              <a16:creationId xmlns="" xmlns:a16="http://schemas.microsoft.com/office/drawing/2014/main" id="{5D98337A-99CD-4641-93F8-4D96E46B2EAB}"/>
            </a:ext>
          </a:extLst>
        </xdr:cNvPr>
        <xdr:cNvSpPr>
          <a:spLocks noChangeArrowheads="1"/>
        </xdr:cNvSpPr>
      </xdr:nvSpPr>
      <xdr:spPr bwMode="auto">
        <a:xfrm rot="7084349">
          <a:off x="2672398" y="6793782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7</xdr:col>
      <xdr:colOff>88165</xdr:colOff>
      <xdr:row>36</xdr:row>
      <xdr:rowOff>163736</xdr:rowOff>
    </xdr:from>
    <xdr:ext cx="72644" cy="419101"/>
    <xdr:pic>
      <xdr:nvPicPr>
        <xdr:cNvPr id="908" name="Picture 11597">
          <a:extLst>
            <a:ext uri="{FF2B5EF4-FFF2-40B4-BE49-F238E27FC236}">
              <a16:creationId xmlns="" xmlns:a16="http://schemas.microsoft.com/office/drawing/2014/main" id="{29875C31-F7DB-44AF-AC63-8047EB2F1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9585" y="664073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368443</xdr:colOff>
      <xdr:row>37</xdr:row>
      <xdr:rowOff>8964</xdr:rowOff>
    </xdr:from>
    <xdr:ext cx="72644" cy="419101"/>
    <xdr:pic>
      <xdr:nvPicPr>
        <xdr:cNvPr id="909" name="Picture 11597">
          <a:extLst>
            <a:ext uri="{FF2B5EF4-FFF2-40B4-BE49-F238E27FC236}">
              <a16:creationId xmlns="" xmlns:a16="http://schemas.microsoft.com/office/drawing/2014/main" id="{F6B8747E-546A-4AC8-B74E-BAA9D5781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59543" y="668408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107058</xdr:colOff>
      <xdr:row>36</xdr:row>
      <xdr:rowOff>163736</xdr:rowOff>
    </xdr:from>
    <xdr:ext cx="85725" cy="390524"/>
    <xdr:pic>
      <xdr:nvPicPr>
        <xdr:cNvPr id="914" name="Picture 11597">
          <a:extLst>
            <a:ext uri="{FF2B5EF4-FFF2-40B4-BE49-F238E27FC236}">
              <a16:creationId xmlns="" xmlns:a16="http://schemas.microsoft.com/office/drawing/2014/main" id="{448883AE-8F23-4BD9-A03B-3690C2B04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878" y="664073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403042</xdr:colOff>
      <xdr:row>36</xdr:row>
      <xdr:rowOff>157438</xdr:rowOff>
    </xdr:from>
    <xdr:to>
      <xdr:col>17</xdr:col>
      <xdr:colOff>448761</xdr:colOff>
      <xdr:row>39</xdr:row>
      <xdr:rowOff>157438</xdr:rowOff>
    </xdr:to>
    <xdr:sp macro="" textlink="">
      <xdr:nvSpPr>
        <xdr:cNvPr id="919" name="AutoShape 10733">
          <a:extLst>
            <a:ext uri="{FF2B5EF4-FFF2-40B4-BE49-F238E27FC236}">
              <a16:creationId xmlns="" xmlns:a16="http://schemas.microsoft.com/office/drawing/2014/main" id="{968E27AA-63B0-40B2-A238-EE5AA21D0CF4}"/>
            </a:ext>
          </a:extLst>
        </xdr:cNvPr>
        <xdr:cNvSpPr>
          <a:spLocks noChangeArrowheads="1"/>
        </xdr:cNvSpPr>
      </xdr:nvSpPr>
      <xdr:spPr bwMode="auto">
        <a:xfrm rot="5400000" flipV="1">
          <a:off x="10141402" y="6885898"/>
          <a:ext cx="548640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359469</xdr:colOff>
      <xdr:row>37</xdr:row>
      <xdr:rowOff>23157</xdr:rowOff>
    </xdr:from>
    <xdr:to>
      <xdr:col>19</xdr:col>
      <xdr:colOff>545661</xdr:colOff>
      <xdr:row>38</xdr:row>
      <xdr:rowOff>118113</xdr:rowOff>
    </xdr:to>
    <xdr:sp macro="" textlink="">
      <xdr:nvSpPr>
        <xdr:cNvPr id="924" name="AutoShape 301">
          <a:extLst>
            <a:ext uri="{FF2B5EF4-FFF2-40B4-BE49-F238E27FC236}">
              <a16:creationId xmlns="" xmlns:a16="http://schemas.microsoft.com/office/drawing/2014/main" id="{E4BF641D-6314-4E5B-8BD8-BF91BB3CB8D6}"/>
            </a:ext>
          </a:extLst>
        </xdr:cNvPr>
        <xdr:cNvSpPr>
          <a:spLocks noChangeArrowheads="1"/>
        </xdr:cNvSpPr>
      </xdr:nvSpPr>
      <xdr:spPr bwMode="auto">
        <a:xfrm rot="7084349">
          <a:off x="11556957" y="6740289"/>
          <a:ext cx="270216" cy="186192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</xdr:col>
      <xdr:colOff>94463</xdr:colOff>
      <xdr:row>45</xdr:row>
      <xdr:rowOff>163736</xdr:rowOff>
    </xdr:from>
    <xdr:ext cx="85725" cy="390524"/>
    <xdr:pic>
      <xdr:nvPicPr>
        <xdr:cNvPr id="929" name="Picture 11597">
          <a:extLst>
            <a:ext uri="{FF2B5EF4-FFF2-40B4-BE49-F238E27FC236}">
              <a16:creationId xmlns="" xmlns:a16="http://schemas.microsoft.com/office/drawing/2014/main" id="{9CD77E06-4DC3-428B-A783-3ADBFDEE0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5243" y="818759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251901</xdr:colOff>
      <xdr:row>45</xdr:row>
      <xdr:rowOff>170034</xdr:rowOff>
    </xdr:from>
    <xdr:ext cx="69273" cy="399653"/>
    <xdr:pic>
      <xdr:nvPicPr>
        <xdr:cNvPr id="934" name="Picture 11597">
          <a:extLst>
            <a:ext uri="{FF2B5EF4-FFF2-40B4-BE49-F238E27FC236}">
              <a16:creationId xmlns="" xmlns:a16="http://schemas.microsoft.com/office/drawing/2014/main" id="{C30603AF-EAF7-4548-9284-DB85A3621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92681" y="8193894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440826</xdr:colOff>
      <xdr:row>45</xdr:row>
      <xdr:rowOff>170035</xdr:rowOff>
    </xdr:from>
    <xdr:to>
      <xdr:col>11</xdr:col>
      <xdr:colOff>478926</xdr:colOff>
      <xdr:row>48</xdr:row>
      <xdr:rowOff>93835</xdr:rowOff>
    </xdr:to>
    <xdr:sp macro="" textlink="">
      <xdr:nvSpPr>
        <xdr:cNvPr id="939" name="AutoShape 10733">
          <a:extLst>
            <a:ext uri="{FF2B5EF4-FFF2-40B4-BE49-F238E27FC236}">
              <a16:creationId xmlns="" xmlns:a16="http://schemas.microsoft.com/office/drawing/2014/main" id="{1C1339C6-22DD-4968-9429-6BB8ACE08599}"/>
            </a:ext>
          </a:extLst>
        </xdr:cNvPr>
        <xdr:cNvSpPr>
          <a:spLocks noChangeArrowheads="1"/>
        </xdr:cNvSpPr>
      </xdr:nvSpPr>
      <xdr:spPr bwMode="auto">
        <a:xfrm rot="5400000">
          <a:off x="6475866" y="8399635"/>
          <a:ext cx="44958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13</xdr:col>
      <xdr:colOff>88166</xdr:colOff>
      <xdr:row>46</xdr:row>
      <xdr:rowOff>0</xdr:rowOff>
    </xdr:from>
    <xdr:ext cx="85725" cy="390524"/>
    <xdr:pic>
      <xdr:nvPicPr>
        <xdr:cNvPr id="944" name="Picture 11597">
          <a:extLst>
            <a:ext uri="{FF2B5EF4-FFF2-40B4-BE49-F238E27FC236}">
              <a16:creationId xmlns="" xmlns:a16="http://schemas.microsoft.com/office/drawing/2014/main" id="{F282324C-1D08-4520-B057-2BF5F116F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8626" y="819912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277091</xdr:colOff>
      <xdr:row>46</xdr:row>
      <xdr:rowOff>6297</xdr:rowOff>
    </xdr:from>
    <xdr:ext cx="69273" cy="399653"/>
    <xdr:pic>
      <xdr:nvPicPr>
        <xdr:cNvPr id="945" name="Picture 11597">
          <a:extLst>
            <a:ext uri="{FF2B5EF4-FFF2-40B4-BE49-F238E27FC236}">
              <a16:creationId xmlns="" xmlns:a16="http://schemas.microsoft.com/office/drawing/2014/main" id="{BDE1C8C0-ED9F-42A1-9C7A-927B427D4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767551" y="8205417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17</xdr:col>
      <xdr:colOff>239306</xdr:colOff>
      <xdr:row>46</xdr:row>
      <xdr:rowOff>0</xdr:rowOff>
    </xdr:from>
    <xdr:to>
      <xdr:col>17</xdr:col>
      <xdr:colOff>365107</xdr:colOff>
      <xdr:row>49</xdr:row>
      <xdr:rowOff>29114</xdr:rowOff>
    </xdr:to>
    <xdr:sp macro="" textlink="">
      <xdr:nvSpPr>
        <xdr:cNvPr id="946" name="Lightning Bolt 945">
          <a:extLst>
            <a:ext uri="{FF2B5EF4-FFF2-40B4-BE49-F238E27FC236}">
              <a16:creationId xmlns="" xmlns:a16="http://schemas.microsoft.com/office/drawing/2014/main" id="{95142428-15E4-4C5F-8F85-481026539A9B}"/>
            </a:ext>
          </a:extLst>
        </xdr:cNvPr>
        <xdr:cNvSpPr/>
      </xdr:nvSpPr>
      <xdr:spPr>
        <a:xfrm>
          <a:off x="10229126" y="8199120"/>
          <a:ext cx="125801" cy="54727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125950</xdr:colOff>
      <xdr:row>46</xdr:row>
      <xdr:rowOff>0</xdr:rowOff>
    </xdr:from>
    <xdr:ext cx="85725" cy="390524"/>
    <xdr:pic>
      <xdr:nvPicPr>
        <xdr:cNvPr id="948" name="Picture 11597">
          <a:extLst>
            <a:ext uri="{FF2B5EF4-FFF2-40B4-BE49-F238E27FC236}">
              <a16:creationId xmlns="" xmlns:a16="http://schemas.microsoft.com/office/drawing/2014/main" id="{F5D7FCAD-2F45-4C16-B5B4-EAD763749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15130" y="819912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327471</xdr:colOff>
      <xdr:row>46</xdr:row>
      <xdr:rowOff>1</xdr:rowOff>
    </xdr:from>
    <xdr:to>
      <xdr:col>21</xdr:col>
      <xdr:colOff>365571</xdr:colOff>
      <xdr:row>48</xdr:row>
      <xdr:rowOff>100132</xdr:rowOff>
    </xdr:to>
    <xdr:sp macro="" textlink="">
      <xdr:nvSpPr>
        <xdr:cNvPr id="950" name="AutoShape 10733">
          <a:extLst>
            <a:ext uri="{FF2B5EF4-FFF2-40B4-BE49-F238E27FC236}">
              <a16:creationId xmlns="" xmlns:a16="http://schemas.microsoft.com/office/drawing/2014/main" id="{7FE47876-CE55-4576-99D4-E73CEB254BA2}"/>
            </a:ext>
          </a:extLst>
        </xdr:cNvPr>
        <xdr:cNvSpPr>
          <a:spLocks noChangeArrowheads="1"/>
        </xdr:cNvSpPr>
      </xdr:nvSpPr>
      <xdr:spPr bwMode="auto">
        <a:xfrm rot="5400000">
          <a:off x="12610375" y="8405397"/>
          <a:ext cx="450651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7</xdr:col>
      <xdr:colOff>214317</xdr:colOff>
      <xdr:row>54</xdr:row>
      <xdr:rowOff>195243</xdr:rowOff>
    </xdr:from>
    <xdr:ext cx="85725" cy="390524"/>
    <xdr:pic>
      <xdr:nvPicPr>
        <xdr:cNvPr id="952" name="Picture 11597">
          <a:extLst>
            <a:ext uri="{FF2B5EF4-FFF2-40B4-BE49-F238E27FC236}">
              <a16:creationId xmlns="" xmlns:a16="http://schemas.microsoft.com/office/drawing/2014/main" id="{94539887-C50F-4EEF-A0B1-5EF6AD12F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5737" y="978120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11</xdr:col>
      <xdr:colOff>239233</xdr:colOff>
      <xdr:row>54</xdr:row>
      <xdr:rowOff>168350</xdr:rowOff>
    </xdr:from>
    <xdr:to>
      <xdr:col>11</xdr:col>
      <xdr:colOff>365034</xdr:colOff>
      <xdr:row>58</xdr:row>
      <xdr:rowOff>46246</xdr:rowOff>
    </xdr:to>
    <xdr:sp macro="" textlink="">
      <xdr:nvSpPr>
        <xdr:cNvPr id="954" name="Lightning Bolt 953">
          <a:extLst>
            <a:ext uri="{FF2B5EF4-FFF2-40B4-BE49-F238E27FC236}">
              <a16:creationId xmlns="" xmlns:a16="http://schemas.microsoft.com/office/drawing/2014/main" id="{EDB82861-0C0B-4376-8D0D-3AA1590B7533}"/>
            </a:ext>
          </a:extLst>
        </xdr:cNvPr>
        <xdr:cNvSpPr/>
      </xdr:nvSpPr>
      <xdr:spPr>
        <a:xfrm>
          <a:off x="6480013" y="9754310"/>
          <a:ext cx="125801" cy="60179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372139</xdr:colOff>
      <xdr:row>54</xdr:row>
      <xdr:rowOff>150629</xdr:rowOff>
    </xdr:from>
    <xdr:to>
      <xdr:col>11</xdr:col>
      <xdr:colOff>497940</xdr:colOff>
      <xdr:row>58</xdr:row>
      <xdr:rowOff>28525</xdr:rowOff>
    </xdr:to>
    <xdr:sp macro="" textlink="">
      <xdr:nvSpPr>
        <xdr:cNvPr id="956" name="Lightning Bolt 955">
          <a:extLst>
            <a:ext uri="{FF2B5EF4-FFF2-40B4-BE49-F238E27FC236}">
              <a16:creationId xmlns="" xmlns:a16="http://schemas.microsoft.com/office/drawing/2014/main" id="{C81952B1-53BB-4BF7-9BE8-DB2489B222E6}"/>
            </a:ext>
          </a:extLst>
        </xdr:cNvPr>
        <xdr:cNvSpPr/>
      </xdr:nvSpPr>
      <xdr:spPr>
        <a:xfrm>
          <a:off x="6612919" y="9736589"/>
          <a:ext cx="125801" cy="60179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220886</xdr:colOff>
      <xdr:row>54</xdr:row>
      <xdr:rowOff>188259</xdr:rowOff>
    </xdr:from>
    <xdr:ext cx="85725" cy="390524"/>
    <xdr:pic>
      <xdr:nvPicPr>
        <xdr:cNvPr id="958" name="Picture 11597">
          <a:extLst>
            <a:ext uri="{FF2B5EF4-FFF2-40B4-BE49-F238E27FC236}">
              <a16:creationId xmlns="" xmlns:a16="http://schemas.microsoft.com/office/drawing/2014/main" id="{4559EAA2-59FB-4BDA-938F-35DE4DA27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60386" y="977421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168349</xdr:colOff>
      <xdr:row>64</xdr:row>
      <xdr:rowOff>168350</xdr:rowOff>
    </xdr:from>
    <xdr:ext cx="72644" cy="419101"/>
    <xdr:pic>
      <xdr:nvPicPr>
        <xdr:cNvPr id="960" name="Picture 11597">
          <a:extLst>
            <a:ext uri="{FF2B5EF4-FFF2-40B4-BE49-F238E27FC236}">
              <a16:creationId xmlns="" xmlns:a16="http://schemas.microsoft.com/office/drawing/2014/main" id="{BE2DD74F-003B-4794-B504-B9B46BA81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09129" y="1133165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363279</xdr:colOff>
      <xdr:row>65</xdr:row>
      <xdr:rowOff>8859</xdr:rowOff>
    </xdr:from>
    <xdr:ext cx="85725" cy="390524"/>
    <xdr:pic>
      <xdr:nvPicPr>
        <xdr:cNvPr id="962" name="Picture 11597">
          <a:extLst>
            <a:ext uri="{FF2B5EF4-FFF2-40B4-BE49-F238E27FC236}">
              <a16:creationId xmlns="" xmlns:a16="http://schemas.microsoft.com/office/drawing/2014/main" id="{FFFCD98C-DB80-4DE3-B1E4-BEE42496E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59" y="1134741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327837</xdr:colOff>
      <xdr:row>74</xdr:row>
      <xdr:rowOff>8860</xdr:rowOff>
    </xdr:from>
    <xdr:ext cx="72644" cy="419101"/>
    <xdr:pic>
      <xdr:nvPicPr>
        <xdr:cNvPr id="966" name="Picture 11597">
          <a:extLst>
            <a:ext uri="{FF2B5EF4-FFF2-40B4-BE49-F238E27FC236}">
              <a16:creationId xmlns="" xmlns:a16="http://schemas.microsoft.com/office/drawing/2014/main" id="{2E5A0F8C-9F10-4C12-B8D3-E0D2D3A14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39417" y="130314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141768</xdr:colOff>
      <xdr:row>74</xdr:row>
      <xdr:rowOff>17721</xdr:rowOff>
    </xdr:from>
    <xdr:ext cx="85725" cy="390524"/>
    <xdr:pic>
      <xdr:nvPicPr>
        <xdr:cNvPr id="968" name="Picture 11597">
          <a:extLst>
            <a:ext uri="{FF2B5EF4-FFF2-40B4-BE49-F238E27FC236}">
              <a16:creationId xmlns="" xmlns:a16="http://schemas.microsoft.com/office/drawing/2014/main" id="{FBDDFADE-0AD3-4A93-9611-46BA3306D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2868" y="1304030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106325</xdr:colOff>
      <xdr:row>73</xdr:row>
      <xdr:rowOff>141767</xdr:rowOff>
    </xdr:from>
    <xdr:ext cx="85725" cy="390524"/>
    <xdr:pic>
      <xdr:nvPicPr>
        <xdr:cNvPr id="970" name="Picture 11597">
          <a:extLst>
            <a:ext uri="{FF2B5EF4-FFF2-40B4-BE49-F238E27FC236}">
              <a16:creationId xmlns="" xmlns:a16="http://schemas.microsoft.com/office/drawing/2014/main" id="{EDAA4CA2-C0FC-4E15-A422-5D3EA2D4F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7105" y="1298908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15</xdr:col>
      <xdr:colOff>265815</xdr:colOff>
      <xdr:row>73</xdr:row>
      <xdr:rowOff>168349</xdr:rowOff>
    </xdr:from>
    <xdr:to>
      <xdr:col>15</xdr:col>
      <xdr:colOff>391616</xdr:colOff>
      <xdr:row>77</xdr:row>
      <xdr:rowOff>19664</xdr:rowOff>
    </xdr:to>
    <xdr:sp macro="" textlink="">
      <xdr:nvSpPr>
        <xdr:cNvPr id="972" name="Lightning Bolt 971">
          <a:extLst>
            <a:ext uri="{FF2B5EF4-FFF2-40B4-BE49-F238E27FC236}">
              <a16:creationId xmlns="" xmlns:a16="http://schemas.microsoft.com/office/drawing/2014/main" id="{364E13A7-2D62-4E4C-B559-DBB95363AE46}"/>
            </a:ext>
          </a:extLst>
        </xdr:cNvPr>
        <xdr:cNvSpPr/>
      </xdr:nvSpPr>
      <xdr:spPr>
        <a:xfrm>
          <a:off x="9005955" y="13015669"/>
          <a:ext cx="125801" cy="5828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106325</xdr:colOff>
      <xdr:row>74</xdr:row>
      <xdr:rowOff>1</xdr:rowOff>
    </xdr:from>
    <xdr:to>
      <xdr:col>15</xdr:col>
      <xdr:colOff>144425</xdr:colOff>
      <xdr:row>76</xdr:row>
      <xdr:rowOff>101601</xdr:rowOff>
    </xdr:to>
    <xdr:sp macro="" textlink="">
      <xdr:nvSpPr>
        <xdr:cNvPr id="974" name="AutoShape 10733">
          <a:extLst>
            <a:ext uri="{FF2B5EF4-FFF2-40B4-BE49-F238E27FC236}">
              <a16:creationId xmlns="" xmlns:a16="http://schemas.microsoft.com/office/drawing/2014/main" id="{FA424507-47C3-4540-9E2B-AB2D89F04DF2}"/>
            </a:ext>
          </a:extLst>
        </xdr:cNvPr>
        <xdr:cNvSpPr>
          <a:spLocks noChangeArrowheads="1"/>
        </xdr:cNvSpPr>
      </xdr:nvSpPr>
      <xdr:spPr bwMode="auto">
        <a:xfrm rot="5400000">
          <a:off x="8639455" y="13229591"/>
          <a:ext cx="45212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292395</xdr:colOff>
      <xdr:row>83</xdr:row>
      <xdr:rowOff>0</xdr:rowOff>
    </xdr:from>
    <xdr:ext cx="85725" cy="390524"/>
    <xdr:pic>
      <xdr:nvPicPr>
        <xdr:cNvPr id="976" name="Picture 11597">
          <a:extLst>
            <a:ext uri="{FF2B5EF4-FFF2-40B4-BE49-F238E27FC236}">
              <a16:creationId xmlns="" xmlns:a16="http://schemas.microsoft.com/office/drawing/2014/main" id="{C1502580-6A0C-4063-B1F0-201E01453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75" y="148056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469604</xdr:colOff>
      <xdr:row>82</xdr:row>
      <xdr:rowOff>159489</xdr:rowOff>
    </xdr:from>
    <xdr:to>
      <xdr:col>3</xdr:col>
      <xdr:colOff>507704</xdr:colOff>
      <xdr:row>85</xdr:row>
      <xdr:rowOff>83879</xdr:rowOff>
    </xdr:to>
    <xdr:sp macro="" textlink="">
      <xdr:nvSpPr>
        <xdr:cNvPr id="978" name="AutoShape 10733">
          <a:extLst>
            <a:ext uri="{FF2B5EF4-FFF2-40B4-BE49-F238E27FC236}">
              <a16:creationId xmlns="" xmlns:a16="http://schemas.microsoft.com/office/drawing/2014/main" id="{87AD7665-AF2D-4213-B30C-D32CE03DA27B}"/>
            </a:ext>
          </a:extLst>
        </xdr:cNvPr>
        <xdr:cNvSpPr>
          <a:spLocks noChangeArrowheads="1"/>
        </xdr:cNvSpPr>
      </xdr:nvSpPr>
      <xdr:spPr bwMode="auto">
        <a:xfrm rot="5400000">
          <a:off x="1475149" y="14995924"/>
          <a:ext cx="45017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5</xdr:col>
      <xdr:colOff>79744</xdr:colOff>
      <xdr:row>83</xdr:row>
      <xdr:rowOff>0</xdr:rowOff>
    </xdr:from>
    <xdr:ext cx="85725" cy="390524"/>
    <xdr:pic>
      <xdr:nvPicPr>
        <xdr:cNvPr id="980" name="Picture 11597">
          <a:extLst>
            <a:ext uri="{FF2B5EF4-FFF2-40B4-BE49-F238E27FC236}">
              <a16:creationId xmlns="" xmlns:a16="http://schemas.microsoft.com/office/drawing/2014/main" id="{3A9DF1F4-3B4D-463E-A9F0-0242DFBF1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6244" y="148056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212651</xdr:colOff>
      <xdr:row>83</xdr:row>
      <xdr:rowOff>0</xdr:rowOff>
    </xdr:from>
    <xdr:ext cx="72644" cy="419101"/>
    <xdr:pic>
      <xdr:nvPicPr>
        <xdr:cNvPr id="982" name="Picture 11597">
          <a:extLst>
            <a:ext uri="{FF2B5EF4-FFF2-40B4-BE49-F238E27FC236}">
              <a16:creationId xmlns="" xmlns:a16="http://schemas.microsoft.com/office/drawing/2014/main" id="{C03E697A-757F-4605-A391-2D54C953D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89151" y="148056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79744</xdr:colOff>
      <xdr:row>82</xdr:row>
      <xdr:rowOff>168349</xdr:rowOff>
    </xdr:from>
    <xdr:ext cx="72644" cy="419101"/>
    <xdr:pic>
      <xdr:nvPicPr>
        <xdr:cNvPr id="984" name="Picture 11597">
          <a:extLst>
            <a:ext uri="{FF2B5EF4-FFF2-40B4-BE49-F238E27FC236}">
              <a16:creationId xmlns="" xmlns:a16="http://schemas.microsoft.com/office/drawing/2014/main" id="{CC7FFDA0-DA1F-48B4-A9A4-7C4C3D565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1164" y="1479874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283533</xdr:colOff>
      <xdr:row>83</xdr:row>
      <xdr:rowOff>26581</xdr:rowOff>
    </xdr:from>
    <xdr:to>
      <xdr:col>7</xdr:col>
      <xdr:colOff>451250</xdr:colOff>
      <xdr:row>84</xdr:row>
      <xdr:rowOff>147386</xdr:rowOff>
    </xdr:to>
    <xdr:sp macro="" textlink="">
      <xdr:nvSpPr>
        <xdr:cNvPr id="986" name="AutoShape 301">
          <a:extLst>
            <a:ext uri="{FF2B5EF4-FFF2-40B4-BE49-F238E27FC236}">
              <a16:creationId xmlns="" xmlns:a16="http://schemas.microsoft.com/office/drawing/2014/main" id="{42E911D3-D914-4FBB-87DA-46B982D1A803}"/>
            </a:ext>
          </a:extLst>
        </xdr:cNvPr>
        <xdr:cNvSpPr>
          <a:spLocks noChangeArrowheads="1"/>
        </xdr:cNvSpPr>
      </xdr:nvSpPr>
      <xdr:spPr bwMode="auto">
        <a:xfrm rot="7084349">
          <a:off x="3960779" y="14896415"/>
          <a:ext cx="29606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221512</xdr:colOff>
      <xdr:row>82</xdr:row>
      <xdr:rowOff>168348</xdr:rowOff>
    </xdr:from>
    <xdr:ext cx="72644" cy="419101"/>
    <xdr:pic>
      <xdr:nvPicPr>
        <xdr:cNvPr id="993" name="Picture 11597">
          <a:extLst>
            <a:ext uri="{FF2B5EF4-FFF2-40B4-BE49-F238E27FC236}">
              <a16:creationId xmlns="" xmlns:a16="http://schemas.microsoft.com/office/drawing/2014/main" id="{2735250C-FF31-41D7-B8D5-2C5393973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61012" y="1479874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389861</xdr:colOff>
      <xdr:row>83</xdr:row>
      <xdr:rowOff>8861</xdr:rowOff>
    </xdr:from>
    <xdr:ext cx="85725" cy="390524"/>
    <xdr:pic>
      <xdr:nvPicPr>
        <xdr:cNvPr id="996" name="Picture 11597">
          <a:extLst>
            <a:ext uri="{FF2B5EF4-FFF2-40B4-BE49-F238E27FC236}">
              <a16:creationId xmlns="" xmlns:a16="http://schemas.microsoft.com/office/drawing/2014/main" id="{D386EC84-434F-4135-943F-E80D9D984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9361" y="1481452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345559</xdr:colOff>
      <xdr:row>83</xdr:row>
      <xdr:rowOff>53163</xdr:rowOff>
    </xdr:from>
    <xdr:ext cx="85725" cy="390524"/>
    <xdr:pic>
      <xdr:nvPicPr>
        <xdr:cNvPr id="999" name="Picture 11597">
          <a:extLst>
            <a:ext uri="{FF2B5EF4-FFF2-40B4-BE49-F238E27FC236}">
              <a16:creationId xmlns="" xmlns:a16="http://schemas.microsoft.com/office/drawing/2014/main" id="{60C19207-DC90-4466-840F-9DAAA9CE6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4739" y="1485882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193690</xdr:colOff>
      <xdr:row>83</xdr:row>
      <xdr:rowOff>39342</xdr:rowOff>
    </xdr:from>
    <xdr:to>
      <xdr:col>21</xdr:col>
      <xdr:colOff>231790</xdr:colOff>
      <xdr:row>85</xdr:row>
      <xdr:rowOff>140941</xdr:rowOff>
    </xdr:to>
    <xdr:sp macro="" textlink="">
      <xdr:nvSpPr>
        <xdr:cNvPr id="1002" name="AutoShape 10733">
          <a:extLst>
            <a:ext uri="{FF2B5EF4-FFF2-40B4-BE49-F238E27FC236}">
              <a16:creationId xmlns="" xmlns:a16="http://schemas.microsoft.com/office/drawing/2014/main" id="{2F6BD98D-412E-4D18-91C0-28F326C7CFD4}"/>
            </a:ext>
          </a:extLst>
        </xdr:cNvPr>
        <xdr:cNvSpPr>
          <a:spLocks noChangeArrowheads="1"/>
        </xdr:cNvSpPr>
      </xdr:nvSpPr>
      <xdr:spPr bwMode="auto">
        <a:xfrm rot="5400000">
          <a:off x="12475860" y="15052012"/>
          <a:ext cx="45211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308762</xdr:colOff>
      <xdr:row>92</xdr:row>
      <xdr:rowOff>4</xdr:rowOff>
    </xdr:from>
    <xdr:to>
      <xdr:col>17</xdr:col>
      <xdr:colOff>346862</xdr:colOff>
      <xdr:row>94</xdr:row>
      <xdr:rowOff>101604</xdr:rowOff>
    </xdr:to>
    <xdr:sp macro="" textlink="">
      <xdr:nvSpPr>
        <xdr:cNvPr id="1005" name="AutoShape 10733">
          <a:extLst>
            <a:ext uri="{FF2B5EF4-FFF2-40B4-BE49-F238E27FC236}">
              <a16:creationId xmlns="" xmlns:a16="http://schemas.microsoft.com/office/drawing/2014/main" id="{563C36A2-AD79-4E26-A682-23A104EE6DDE}"/>
            </a:ext>
          </a:extLst>
        </xdr:cNvPr>
        <xdr:cNvSpPr>
          <a:spLocks noChangeArrowheads="1"/>
        </xdr:cNvSpPr>
      </xdr:nvSpPr>
      <xdr:spPr bwMode="auto">
        <a:xfrm rot="5400000">
          <a:off x="10091572" y="16765274"/>
          <a:ext cx="45212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17</xdr:col>
      <xdr:colOff>505047</xdr:colOff>
      <xdr:row>92</xdr:row>
      <xdr:rowOff>0</xdr:rowOff>
    </xdr:from>
    <xdr:ext cx="72644" cy="419101"/>
    <xdr:pic>
      <xdr:nvPicPr>
        <xdr:cNvPr id="1008" name="Picture 11597">
          <a:extLst>
            <a:ext uri="{FF2B5EF4-FFF2-40B4-BE49-F238E27FC236}">
              <a16:creationId xmlns="" xmlns:a16="http://schemas.microsoft.com/office/drawing/2014/main" id="{990D5A18-DD76-4CD6-B132-55B29E2D8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94867" y="165582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68174</xdr:colOff>
      <xdr:row>92</xdr:row>
      <xdr:rowOff>33880</xdr:rowOff>
    </xdr:from>
    <xdr:ext cx="85725" cy="390524"/>
    <xdr:pic>
      <xdr:nvPicPr>
        <xdr:cNvPr id="1011" name="Picture 11597">
          <a:extLst>
            <a:ext uri="{FF2B5EF4-FFF2-40B4-BE49-F238E27FC236}">
              <a16:creationId xmlns="" xmlns:a16="http://schemas.microsoft.com/office/drawing/2014/main" id="{01000E68-E780-48AC-BA24-B6C9123C0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7994" y="1659214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194930</xdr:colOff>
      <xdr:row>92</xdr:row>
      <xdr:rowOff>8861</xdr:rowOff>
    </xdr:from>
    <xdr:ext cx="85725" cy="390524"/>
    <xdr:pic>
      <xdr:nvPicPr>
        <xdr:cNvPr id="1014" name="Picture 11597">
          <a:extLst>
            <a:ext uri="{FF2B5EF4-FFF2-40B4-BE49-F238E27FC236}">
              <a16:creationId xmlns="" xmlns:a16="http://schemas.microsoft.com/office/drawing/2014/main" id="{BAACF6A5-A2DA-46B9-94AC-1AA3A65EF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4110" y="1656712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265814</xdr:colOff>
      <xdr:row>101</xdr:row>
      <xdr:rowOff>17721</xdr:rowOff>
    </xdr:from>
    <xdr:ext cx="72644" cy="419101"/>
    <xdr:pic>
      <xdr:nvPicPr>
        <xdr:cNvPr id="1015" name="Picture 11597">
          <a:extLst>
            <a:ext uri="{FF2B5EF4-FFF2-40B4-BE49-F238E27FC236}">
              <a16:creationId xmlns="" xmlns:a16="http://schemas.microsoft.com/office/drawing/2014/main" id="{09435FDC-E810-4CA9-839D-DB4A685CF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06594" y="1832096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398721</xdr:colOff>
      <xdr:row>101</xdr:row>
      <xdr:rowOff>29368</xdr:rowOff>
    </xdr:from>
    <xdr:ext cx="85725" cy="390524"/>
    <xdr:pic>
      <xdr:nvPicPr>
        <xdr:cNvPr id="1016" name="Picture 11597">
          <a:extLst>
            <a:ext uri="{FF2B5EF4-FFF2-40B4-BE49-F238E27FC236}">
              <a16:creationId xmlns="" xmlns:a16="http://schemas.microsoft.com/office/drawing/2014/main" id="{596DBABB-847A-470E-9F43-62B320279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9181" y="1833260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131969</xdr:colOff>
      <xdr:row>109</xdr:row>
      <xdr:rowOff>168349</xdr:rowOff>
    </xdr:from>
    <xdr:to>
      <xdr:col>3</xdr:col>
      <xdr:colOff>257770</xdr:colOff>
      <xdr:row>113</xdr:row>
      <xdr:rowOff>19664</xdr:rowOff>
    </xdr:to>
    <xdr:sp macro="" textlink="">
      <xdr:nvSpPr>
        <xdr:cNvPr id="1017" name="Lightning Bolt 1016">
          <a:extLst>
            <a:ext uri="{FF2B5EF4-FFF2-40B4-BE49-F238E27FC236}">
              <a16:creationId xmlns="" xmlns:a16="http://schemas.microsoft.com/office/drawing/2014/main" id="{0F5F790F-105F-4C0E-83A0-88B4B774C4A5}"/>
            </a:ext>
          </a:extLst>
        </xdr:cNvPr>
        <xdr:cNvSpPr/>
      </xdr:nvSpPr>
      <xdr:spPr>
        <a:xfrm>
          <a:off x="1343549" y="20247049"/>
          <a:ext cx="125801" cy="5828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9</xdr:col>
      <xdr:colOff>194930</xdr:colOff>
      <xdr:row>110</xdr:row>
      <xdr:rowOff>0</xdr:rowOff>
    </xdr:from>
    <xdr:ext cx="85725" cy="390524"/>
    <xdr:pic>
      <xdr:nvPicPr>
        <xdr:cNvPr id="1018" name="Picture 11597">
          <a:extLst>
            <a:ext uri="{FF2B5EF4-FFF2-40B4-BE49-F238E27FC236}">
              <a16:creationId xmlns="" xmlns:a16="http://schemas.microsoft.com/office/drawing/2014/main" id="{F9EC6235-DAAA-4BA7-AF75-16D3D7A72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6030" y="20253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345558</xdr:colOff>
      <xdr:row>109</xdr:row>
      <xdr:rowOff>177208</xdr:rowOff>
    </xdr:from>
    <xdr:ext cx="85725" cy="390524"/>
    <xdr:pic>
      <xdr:nvPicPr>
        <xdr:cNvPr id="1019" name="Picture 11597">
          <a:extLst>
            <a:ext uri="{FF2B5EF4-FFF2-40B4-BE49-F238E27FC236}">
              <a16:creationId xmlns="" xmlns:a16="http://schemas.microsoft.com/office/drawing/2014/main" id="{CBACEA4E-46D7-4F00-A6A9-154EBACAA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6338" y="2025590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186069</xdr:colOff>
      <xdr:row>110</xdr:row>
      <xdr:rowOff>0</xdr:rowOff>
    </xdr:from>
    <xdr:ext cx="72644" cy="419101"/>
    <xdr:pic>
      <xdr:nvPicPr>
        <xdr:cNvPr id="1020" name="Picture 11597">
          <a:extLst>
            <a:ext uri="{FF2B5EF4-FFF2-40B4-BE49-F238E27FC236}">
              <a16:creationId xmlns="" xmlns:a16="http://schemas.microsoft.com/office/drawing/2014/main" id="{F2E0F7DD-D0B5-440E-A239-50AE1A412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26849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53164</xdr:colOff>
      <xdr:row>110</xdr:row>
      <xdr:rowOff>0</xdr:rowOff>
    </xdr:from>
    <xdr:ext cx="85725" cy="390524"/>
    <xdr:pic>
      <xdr:nvPicPr>
        <xdr:cNvPr id="1021" name="Picture 11597">
          <a:extLst>
            <a:ext uri="{FF2B5EF4-FFF2-40B4-BE49-F238E27FC236}">
              <a16:creationId xmlns="" xmlns:a16="http://schemas.microsoft.com/office/drawing/2014/main" id="{6DF8B5D8-C2A2-49C9-90C6-A3AD53D8B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624" y="20253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434162</xdr:colOff>
      <xdr:row>110</xdr:row>
      <xdr:rowOff>0</xdr:rowOff>
    </xdr:from>
    <xdr:ext cx="72644" cy="419101"/>
    <xdr:pic>
      <xdr:nvPicPr>
        <xdr:cNvPr id="1022" name="Picture 11597">
          <a:extLst>
            <a:ext uri="{FF2B5EF4-FFF2-40B4-BE49-F238E27FC236}">
              <a16:creationId xmlns="" xmlns:a16="http://schemas.microsoft.com/office/drawing/2014/main" id="{6185CC16-BC29-44D3-806A-819BAC980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24622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218072</xdr:colOff>
      <xdr:row>110</xdr:row>
      <xdr:rowOff>32975</xdr:rowOff>
    </xdr:from>
    <xdr:ext cx="85725" cy="390524"/>
    <xdr:pic>
      <xdr:nvPicPr>
        <xdr:cNvPr id="1023" name="Picture 11597">
          <a:extLst>
            <a:ext uri="{FF2B5EF4-FFF2-40B4-BE49-F238E27FC236}">
              <a16:creationId xmlns="" xmlns:a16="http://schemas.microsoft.com/office/drawing/2014/main" id="{F456CD5A-5300-46FD-8A6C-A7914C0AA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07892" y="2028693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69633</xdr:colOff>
      <xdr:row>118</xdr:row>
      <xdr:rowOff>125299</xdr:rowOff>
    </xdr:from>
    <xdr:ext cx="85725" cy="390524"/>
    <xdr:pic>
      <xdr:nvPicPr>
        <xdr:cNvPr id="1024" name="Picture 11597">
          <a:extLst>
            <a:ext uri="{FF2B5EF4-FFF2-40B4-BE49-F238E27FC236}">
              <a16:creationId xmlns="" xmlns:a16="http://schemas.microsoft.com/office/drawing/2014/main" id="{64DBC29E-EA36-4761-8D88-492B00B31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0733" y="2198707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219948</xdr:colOff>
      <xdr:row>118</xdr:row>
      <xdr:rowOff>161157</xdr:rowOff>
    </xdr:from>
    <xdr:ext cx="72644" cy="419101"/>
    <xdr:pic>
      <xdr:nvPicPr>
        <xdr:cNvPr id="1025" name="Picture 11597">
          <a:extLst>
            <a:ext uri="{FF2B5EF4-FFF2-40B4-BE49-F238E27FC236}">
              <a16:creationId xmlns="" xmlns:a16="http://schemas.microsoft.com/office/drawing/2014/main" id="{3990010B-8315-42EA-B00A-8522486DD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11048" y="2202293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71745</xdr:colOff>
      <xdr:row>119</xdr:row>
      <xdr:rowOff>4329</xdr:rowOff>
    </xdr:from>
    <xdr:to>
      <xdr:col>15</xdr:col>
      <xdr:colOff>208441</xdr:colOff>
      <xdr:row>120</xdr:row>
      <xdr:rowOff>166243</xdr:rowOff>
    </xdr:to>
    <xdr:sp macro="" textlink="">
      <xdr:nvSpPr>
        <xdr:cNvPr id="1026" name="Parallelogram 1025">
          <a:extLst>
            <a:ext uri="{FF2B5EF4-FFF2-40B4-BE49-F238E27FC236}">
              <a16:creationId xmlns="" xmlns:a16="http://schemas.microsoft.com/office/drawing/2014/main" id="{923210D8-F96E-47F2-B653-720399038CE9}"/>
            </a:ext>
          </a:extLst>
        </xdr:cNvPr>
        <xdr:cNvSpPr/>
      </xdr:nvSpPr>
      <xdr:spPr>
        <a:xfrm rot="495798">
          <a:off x="8811885" y="22041369"/>
          <a:ext cx="136696" cy="337174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96592</xdr:colOff>
      <xdr:row>119</xdr:row>
      <xdr:rowOff>13165</xdr:rowOff>
    </xdr:from>
    <xdr:to>
      <xdr:col>15</xdr:col>
      <xdr:colOff>177973</xdr:colOff>
      <xdr:row>120</xdr:row>
      <xdr:rowOff>160986</xdr:rowOff>
    </xdr:to>
    <xdr:cxnSp macro="">
      <xdr:nvCxnSpPr>
        <xdr:cNvPr id="1027" name="Straight Connector 1026">
          <a:extLst>
            <a:ext uri="{FF2B5EF4-FFF2-40B4-BE49-F238E27FC236}">
              <a16:creationId xmlns="" xmlns:a16="http://schemas.microsoft.com/office/drawing/2014/main" id="{6C3EE481-4057-4960-BA6F-8EF136F5605D}"/>
            </a:ext>
          </a:extLst>
        </xdr:cNvPr>
        <xdr:cNvCxnSpPr/>
      </xdr:nvCxnSpPr>
      <xdr:spPr>
        <a:xfrm flipH="1">
          <a:off x="8836732" y="22050205"/>
          <a:ext cx="81381" cy="323081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255477</xdr:colOff>
      <xdr:row>118</xdr:row>
      <xdr:rowOff>170587</xdr:rowOff>
    </xdr:from>
    <xdr:to>
      <xdr:col>15</xdr:col>
      <xdr:colOff>381278</xdr:colOff>
      <xdr:row>122</xdr:row>
      <xdr:rowOff>21903</xdr:rowOff>
    </xdr:to>
    <xdr:sp macro="" textlink="">
      <xdr:nvSpPr>
        <xdr:cNvPr id="1028" name="Lightning Bolt 1027">
          <a:extLst>
            <a:ext uri="{FF2B5EF4-FFF2-40B4-BE49-F238E27FC236}">
              <a16:creationId xmlns="" xmlns:a16="http://schemas.microsoft.com/office/drawing/2014/main" id="{89723F8A-523C-4C99-9227-1F84D0095CCE}"/>
            </a:ext>
          </a:extLst>
        </xdr:cNvPr>
        <xdr:cNvSpPr/>
      </xdr:nvSpPr>
      <xdr:spPr>
        <a:xfrm>
          <a:off x="8995617" y="22032367"/>
          <a:ext cx="125801" cy="58283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17</xdr:col>
      <xdr:colOff>77770</xdr:colOff>
      <xdr:row>118</xdr:row>
      <xdr:rowOff>157755</xdr:rowOff>
    </xdr:from>
    <xdr:ext cx="85725" cy="390524"/>
    <xdr:pic>
      <xdr:nvPicPr>
        <xdr:cNvPr id="1029" name="Picture 11597">
          <a:extLst>
            <a:ext uri="{FF2B5EF4-FFF2-40B4-BE49-F238E27FC236}">
              <a16:creationId xmlns="" xmlns:a16="http://schemas.microsoft.com/office/drawing/2014/main" id="{9DC1CEF1-A7DE-4A58-ADD1-82C991D88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7590" y="2201953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165340</xdr:colOff>
      <xdr:row>129</xdr:row>
      <xdr:rowOff>14377</xdr:rowOff>
    </xdr:from>
    <xdr:ext cx="72644" cy="419101"/>
    <xdr:pic>
      <xdr:nvPicPr>
        <xdr:cNvPr id="1030" name="Picture 11597">
          <a:extLst>
            <a:ext uri="{FF2B5EF4-FFF2-40B4-BE49-F238E27FC236}">
              <a16:creationId xmlns="" xmlns:a16="http://schemas.microsoft.com/office/drawing/2014/main" id="{D33C90DB-869D-4FA3-9339-29AFFA06E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56440" y="2390307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53789</xdr:colOff>
      <xdr:row>22</xdr:row>
      <xdr:rowOff>80683</xdr:rowOff>
    </xdr:from>
    <xdr:to>
      <xdr:col>8</xdr:col>
      <xdr:colOff>215153</xdr:colOff>
      <xdr:row>22</xdr:row>
      <xdr:rowOff>83905</xdr:rowOff>
    </xdr:to>
    <xdr:cxnSp macro="">
      <xdr:nvCxnSpPr>
        <xdr:cNvPr id="1031" name="Straight Arrow Connector 1030">
          <a:extLst>
            <a:ext uri="{FF2B5EF4-FFF2-40B4-BE49-F238E27FC236}">
              <a16:creationId xmlns="" xmlns:a16="http://schemas.microsoft.com/office/drawing/2014/main" id="{4CC1598F-CCF2-4AAE-9F2A-57A01EF971D0}"/>
            </a:ext>
          </a:extLst>
        </xdr:cNvPr>
        <xdr:cNvCxnSpPr/>
      </xdr:nvCxnSpPr>
      <xdr:spPr>
        <a:xfrm flipH="1" flipV="1">
          <a:off x="3795209" y="4020223"/>
          <a:ext cx="786204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457200</xdr:colOff>
      <xdr:row>22</xdr:row>
      <xdr:rowOff>80683</xdr:rowOff>
    </xdr:from>
    <xdr:to>
      <xdr:col>11</xdr:col>
      <xdr:colOff>586331</xdr:colOff>
      <xdr:row>22</xdr:row>
      <xdr:rowOff>81103</xdr:rowOff>
    </xdr:to>
    <xdr:cxnSp macro="">
      <xdr:nvCxnSpPr>
        <xdr:cNvPr id="1033" name="Straight Arrow Connector 1032">
          <a:extLst>
            <a:ext uri="{FF2B5EF4-FFF2-40B4-BE49-F238E27FC236}">
              <a16:creationId xmlns="" xmlns:a16="http://schemas.microsoft.com/office/drawing/2014/main" id="{5D986A32-C716-48E2-9765-278DFEA294A1}"/>
            </a:ext>
          </a:extLst>
        </xdr:cNvPr>
        <xdr:cNvCxnSpPr/>
      </xdr:nvCxnSpPr>
      <xdr:spPr>
        <a:xfrm flipV="1">
          <a:off x="6073140" y="4020223"/>
          <a:ext cx="753971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80682</xdr:colOff>
      <xdr:row>22</xdr:row>
      <xdr:rowOff>71718</xdr:rowOff>
    </xdr:from>
    <xdr:to>
      <xdr:col>19</xdr:col>
      <xdr:colOff>134471</xdr:colOff>
      <xdr:row>22</xdr:row>
      <xdr:rowOff>80683</xdr:rowOff>
    </xdr:to>
    <xdr:cxnSp macro="">
      <xdr:nvCxnSpPr>
        <xdr:cNvPr id="1034" name="Straight Arrow Connector 1033">
          <a:extLst>
            <a:ext uri="{FF2B5EF4-FFF2-40B4-BE49-F238E27FC236}">
              <a16:creationId xmlns="" xmlns:a16="http://schemas.microsoft.com/office/drawing/2014/main" id="{9FB9EDF8-3431-4EFD-95DD-8631201ACCD8}"/>
            </a:ext>
          </a:extLst>
        </xdr:cNvPr>
        <xdr:cNvCxnSpPr/>
      </xdr:nvCxnSpPr>
      <xdr:spPr>
        <a:xfrm flipH="1">
          <a:off x="6946302" y="4011258"/>
          <a:ext cx="4427669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134471</xdr:colOff>
      <xdr:row>42</xdr:row>
      <xdr:rowOff>89647</xdr:rowOff>
    </xdr:from>
    <xdr:to>
      <xdr:col>18</xdr:col>
      <xdr:colOff>600635</xdr:colOff>
      <xdr:row>42</xdr:row>
      <xdr:rowOff>89647</xdr:rowOff>
    </xdr:to>
    <xdr:cxnSp macro="">
      <xdr:nvCxnSpPr>
        <xdr:cNvPr id="1035" name="Straight Arrow Connector 1034">
          <a:extLst>
            <a:ext uri="{FF2B5EF4-FFF2-40B4-BE49-F238E27FC236}">
              <a16:creationId xmlns="" xmlns:a16="http://schemas.microsoft.com/office/drawing/2014/main" id="{BCBAF27C-026F-4153-9DC9-F7AB27509B96}"/>
            </a:ext>
          </a:extLst>
        </xdr:cNvPr>
        <xdr:cNvCxnSpPr/>
      </xdr:nvCxnSpPr>
      <xdr:spPr>
        <a:xfrm flipH="1">
          <a:off x="7000091" y="7618207"/>
          <a:ext cx="4215204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116542</xdr:colOff>
      <xdr:row>60</xdr:row>
      <xdr:rowOff>80683</xdr:rowOff>
    </xdr:from>
    <xdr:to>
      <xdr:col>16</xdr:col>
      <xdr:colOff>484094</xdr:colOff>
      <xdr:row>60</xdr:row>
      <xdr:rowOff>80683</xdr:rowOff>
    </xdr:to>
    <xdr:cxnSp macro="">
      <xdr:nvCxnSpPr>
        <xdr:cNvPr id="1036" name="Straight Arrow Connector 1035">
          <a:extLst>
            <a:ext uri="{FF2B5EF4-FFF2-40B4-BE49-F238E27FC236}">
              <a16:creationId xmlns="" xmlns:a16="http://schemas.microsoft.com/office/drawing/2014/main" id="{21849330-EB26-46FF-A6FA-E1986774D348}"/>
            </a:ext>
          </a:extLst>
        </xdr:cNvPr>
        <xdr:cNvCxnSpPr/>
      </xdr:nvCxnSpPr>
      <xdr:spPr>
        <a:xfrm flipH="1">
          <a:off x="8231842" y="10725823"/>
          <a:ext cx="1617232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44823</xdr:colOff>
      <xdr:row>60</xdr:row>
      <xdr:rowOff>80682</xdr:rowOff>
    </xdr:from>
    <xdr:to>
      <xdr:col>21</xdr:col>
      <xdr:colOff>466165</xdr:colOff>
      <xdr:row>60</xdr:row>
      <xdr:rowOff>92165</xdr:rowOff>
    </xdr:to>
    <xdr:cxnSp macro="">
      <xdr:nvCxnSpPr>
        <xdr:cNvPr id="1037" name="Straight Arrow Connector 1036">
          <a:extLst>
            <a:ext uri="{FF2B5EF4-FFF2-40B4-BE49-F238E27FC236}">
              <a16:creationId xmlns="" xmlns:a16="http://schemas.microsoft.com/office/drawing/2014/main" id="{A227861D-30B2-47AB-80BC-B310DDF3B039}"/>
            </a:ext>
          </a:extLst>
        </xdr:cNvPr>
        <xdr:cNvCxnSpPr/>
      </xdr:nvCxnSpPr>
      <xdr:spPr>
        <a:xfrm flipV="1">
          <a:off x="11284323" y="10725822"/>
          <a:ext cx="1671022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385482</xdr:colOff>
      <xdr:row>70</xdr:row>
      <xdr:rowOff>98612</xdr:rowOff>
    </xdr:from>
    <xdr:to>
      <xdr:col>7</xdr:col>
      <xdr:colOff>510989</xdr:colOff>
      <xdr:row>70</xdr:row>
      <xdr:rowOff>101130</xdr:rowOff>
    </xdr:to>
    <xdr:cxnSp macro="">
      <xdr:nvCxnSpPr>
        <xdr:cNvPr id="1038" name="Straight Arrow Connector 1037">
          <a:extLst>
            <a:ext uri="{FF2B5EF4-FFF2-40B4-BE49-F238E27FC236}">
              <a16:creationId xmlns="" xmlns:a16="http://schemas.microsoft.com/office/drawing/2014/main" id="{38DDF602-7054-44BA-9718-77C95725EEFD}"/>
            </a:ext>
          </a:extLst>
        </xdr:cNvPr>
        <xdr:cNvCxnSpPr/>
      </xdr:nvCxnSpPr>
      <xdr:spPr>
        <a:xfrm flipV="1">
          <a:off x="2861982" y="12404912"/>
          <a:ext cx="1390427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71</xdr:row>
      <xdr:rowOff>0</xdr:rowOff>
    </xdr:from>
    <xdr:to>
      <xdr:col>17</xdr:col>
      <xdr:colOff>295835</xdr:colOff>
      <xdr:row>71</xdr:row>
      <xdr:rowOff>17929</xdr:rowOff>
    </xdr:to>
    <xdr:cxnSp macro="">
      <xdr:nvCxnSpPr>
        <xdr:cNvPr id="1039" name="Straight Arrow Connector 1038">
          <a:extLst>
            <a:ext uri="{FF2B5EF4-FFF2-40B4-BE49-F238E27FC236}">
              <a16:creationId xmlns="" xmlns:a16="http://schemas.microsoft.com/office/drawing/2014/main" id="{B34E31CD-0167-4565-98D5-CABD1A3E7089}"/>
            </a:ext>
          </a:extLst>
        </xdr:cNvPr>
        <xdr:cNvCxnSpPr/>
      </xdr:nvCxnSpPr>
      <xdr:spPr>
        <a:xfrm flipH="1" flipV="1">
          <a:off x="3738282" y="12523694"/>
          <a:ext cx="6571129" cy="1792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80682</xdr:colOff>
      <xdr:row>79</xdr:row>
      <xdr:rowOff>71717</xdr:rowOff>
    </xdr:from>
    <xdr:to>
      <xdr:col>8</xdr:col>
      <xdr:colOff>537882</xdr:colOff>
      <xdr:row>79</xdr:row>
      <xdr:rowOff>80682</xdr:rowOff>
    </xdr:to>
    <xdr:cxnSp macro="">
      <xdr:nvCxnSpPr>
        <xdr:cNvPr id="1040" name="Straight Arrow Connector 1039">
          <a:extLst>
            <a:ext uri="{FF2B5EF4-FFF2-40B4-BE49-F238E27FC236}">
              <a16:creationId xmlns="" xmlns:a16="http://schemas.microsoft.com/office/drawing/2014/main" id="{509AC6F6-2280-4BD9-B455-0A74511A72E2}"/>
            </a:ext>
          </a:extLst>
        </xdr:cNvPr>
        <xdr:cNvCxnSpPr/>
      </xdr:nvCxnSpPr>
      <xdr:spPr>
        <a:xfrm flipH="1">
          <a:off x="4446942" y="14069657"/>
          <a:ext cx="457200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313765</xdr:colOff>
      <xdr:row>79</xdr:row>
      <xdr:rowOff>80682</xdr:rowOff>
    </xdr:from>
    <xdr:to>
      <xdr:col>11</xdr:col>
      <xdr:colOff>582706</xdr:colOff>
      <xdr:row>79</xdr:row>
      <xdr:rowOff>83200</xdr:rowOff>
    </xdr:to>
    <xdr:cxnSp macro="">
      <xdr:nvCxnSpPr>
        <xdr:cNvPr id="1041" name="Straight Arrow Connector 1040">
          <a:extLst>
            <a:ext uri="{FF2B5EF4-FFF2-40B4-BE49-F238E27FC236}">
              <a16:creationId xmlns="" xmlns:a16="http://schemas.microsoft.com/office/drawing/2014/main" id="{8E1E32AF-B483-4E3F-8880-51CB59A62C63}"/>
            </a:ext>
          </a:extLst>
        </xdr:cNvPr>
        <xdr:cNvCxnSpPr/>
      </xdr:nvCxnSpPr>
      <xdr:spPr>
        <a:xfrm flipV="1">
          <a:off x="5929705" y="14078622"/>
          <a:ext cx="893781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143436</xdr:colOff>
      <xdr:row>79</xdr:row>
      <xdr:rowOff>80682</xdr:rowOff>
    </xdr:from>
    <xdr:to>
      <xdr:col>18</xdr:col>
      <xdr:colOff>457200</xdr:colOff>
      <xdr:row>79</xdr:row>
      <xdr:rowOff>89647</xdr:rowOff>
    </xdr:to>
    <xdr:cxnSp macro="">
      <xdr:nvCxnSpPr>
        <xdr:cNvPr id="1042" name="Straight Arrow Connector 1041">
          <a:extLst>
            <a:ext uri="{FF2B5EF4-FFF2-40B4-BE49-F238E27FC236}">
              <a16:creationId xmlns="" xmlns:a16="http://schemas.microsoft.com/office/drawing/2014/main" id="{8C3F4E3D-C3FB-462F-AA78-C6EB07D36C82}"/>
            </a:ext>
          </a:extLst>
        </xdr:cNvPr>
        <xdr:cNvCxnSpPr/>
      </xdr:nvCxnSpPr>
      <xdr:spPr>
        <a:xfrm flipH="1">
          <a:off x="7009056" y="14078622"/>
          <a:ext cx="4062804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97</xdr:row>
      <xdr:rowOff>80682</xdr:rowOff>
    </xdr:from>
    <xdr:to>
      <xdr:col>5</xdr:col>
      <xdr:colOff>358588</xdr:colOff>
      <xdr:row>97</xdr:row>
      <xdr:rowOff>80682</xdr:rowOff>
    </xdr:to>
    <xdr:cxnSp macro="">
      <xdr:nvCxnSpPr>
        <xdr:cNvPr id="1043" name="Straight Arrow Connector 1042">
          <a:extLst>
            <a:ext uri="{FF2B5EF4-FFF2-40B4-BE49-F238E27FC236}">
              <a16:creationId xmlns="" xmlns:a16="http://schemas.microsoft.com/office/drawing/2014/main" id="{D40E76AB-A010-4AB6-B44D-1457499A0A09}"/>
            </a:ext>
          </a:extLst>
        </xdr:cNvPr>
        <xdr:cNvCxnSpPr/>
      </xdr:nvCxnSpPr>
      <xdr:spPr>
        <a:xfrm>
          <a:off x="586740" y="17606682"/>
          <a:ext cx="2248348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125506</xdr:colOff>
      <xdr:row>97</xdr:row>
      <xdr:rowOff>71717</xdr:rowOff>
    </xdr:from>
    <xdr:to>
      <xdr:col>8</xdr:col>
      <xdr:colOff>582706</xdr:colOff>
      <xdr:row>97</xdr:row>
      <xdr:rowOff>80682</xdr:rowOff>
    </xdr:to>
    <xdr:cxnSp macro="">
      <xdr:nvCxnSpPr>
        <xdr:cNvPr id="1044" name="Straight Arrow Connector 1043">
          <a:extLst>
            <a:ext uri="{FF2B5EF4-FFF2-40B4-BE49-F238E27FC236}">
              <a16:creationId xmlns="" xmlns:a16="http://schemas.microsoft.com/office/drawing/2014/main" id="{70E47228-92B5-49B0-8A92-E5E5A3D7D8C6}"/>
            </a:ext>
          </a:extLst>
        </xdr:cNvPr>
        <xdr:cNvCxnSpPr/>
      </xdr:nvCxnSpPr>
      <xdr:spPr>
        <a:xfrm flipH="1">
          <a:off x="3242086" y="17597717"/>
          <a:ext cx="1706880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17929</xdr:colOff>
      <xdr:row>115</xdr:row>
      <xdr:rowOff>80682</xdr:rowOff>
    </xdr:from>
    <xdr:to>
      <xdr:col>5</xdr:col>
      <xdr:colOff>502023</xdr:colOff>
      <xdr:row>115</xdr:row>
      <xdr:rowOff>84187</xdr:rowOff>
    </xdr:to>
    <xdr:cxnSp macro="">
      <xdr:nvCxnSpPr>
        <xdr:cNvPr id="1046" name="Straight Arrow Connector 1045">
          <a:extLst>
            <a:ext uri="{FF2B5EF4-FFF2-40B4-BE49-F238E27FC236}">
              <a16:creationId xmlns="" xmlns:a16="http://schemas.microsoft.com/office/drawing/2014/main" id="{9A025414-BE4E-4874-AEDF-28C2A4E685F8}"/>
            </a:ext>
          </a:extLst>
        </xdr:cNvPr>
        <xdr:cNvCxnSpPr/>
      </xdr:nvCxnSpPr>
      <xdr:spPr>
        <a:xfrm flipV="1">
          <a:off x="604669" y="21302382"/>
          <a:ext cx="2373854" cy="350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555812</xdr:colOff>
      <xdr:row>124</xdr:row>
      <xdr:rowOff>89647</xdr:rowOff>
    </xdr:from>
    <xdr:to>
      <xdr:col>19</xdr:col>
      <xdr:colOff>486014</xdr:colOff>
      <xdr:row>124</xdr:row>
      <xdr:rowOff>107577</xdr:rowOff>
    </xdr:to>
    <xdr:cxnSp macro="">
      <xdr:nvCxnSpPr>
        <xdr:cNvPr id="1050" name="Straight Arrow Connector 1049">
          <a:extLst>
            <a:ext uri="{FF2B5EF4-FFF2-40B4-BE49-F238E27FC236}">
              <a16:creationId xmlns="" xmlns:a16="http://schemas.microsoft.com/office/drawing/2014/main" id="{1C63A2D7-22CE-43F1-A0FB-4ED7AA4BE436}"/>
            </a:ext>
          </a:extLst>
        </xdr:cNvPr>
        <xdr:cNvCxnSpPr/>
      </xdr:nvCxnSpPr>
      <xdr:spPr>
        <a:xfrm flipV="1">
          <a:off x="8671112" y="23094427"/>
          <a:ext cx="3054402" cy="179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80683</xdr:colOff>
      <xdr:row>124</xdr:row>
      <xdr:rowOff>80683</xdr:rowOff>
    </xdr:from>
    <xdr:to>
      <xdr:col>22</xdr:col>
      <xdr:colOff>8964</xdr:colOff>
      <xdr:row>124</xdr:row>
      <xdr:rowOff>80683</xdr:rowOff>
    </xdr:to>
    <xdr:cxnSp macro="">
      <xdr:nvCxnSpPr>
        <xdr:cNvPr id="1053" name="Straight Arrow Connector 1052">
          <a:extLst>
            <a:ext uri="{FF2B5EF4-FFF2-40B4-BE49-F238E27FC236}">
              <a16:creationId xmlns="" xmlns:a16="http://schemas.microsoft.com/office/drawing/2014/main" id="{2A6099BE-979F-4987-9797-E4DDB12A9A54}"/>
            </a:ext>
          </a:extLst>
        </xdr:cNvPr>
        <xdr:cNvCxnSpPr/>
      </xdr:nvCxnSpPr>
      <xdr:spPr>
        <a:xfrm flipH="1">
          <a:off x="11945023" y="23085463"/>
          <a:ext cx="117796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130772</xdr:colOff>
      <xdr:row>101</xdr:row>
      <xdr:rowOff>24448</xdr:rowOff>
    </xdr:from>
    <xdr:to>
      <xdr:col>13</xdr:col>
      <xdr:colOff>327465</xdr:colOff>
      <xdr:row>102</xdr:row>
      <xdr:rowOff>144109</xdr:rowOff>
    </xdr:to>
    <xdr:cxnSp macro="">
      <xdr:nvCxnSpPr>
        <xdr:cNvPr id="1055" name="Straight Connector 1054">
          <a:extLst>
            <a:ext uri="{FF2B5EF4-FFF2-40B4-BE49-F238E27FC236}">
              <a16:creationId xmlns="" xmlns:a16="http://schemas.microsoft.com/office/drawing/2014/main" id="{D2C1256E-8946-455D-AE81-A34D632E53EF}"/>
            </a:ext>
          </a:extLst>
        </xdr:cNvPr>
        <xdr:cNvCxnSpPr/>
      </xdr:nvCxnSpPr>
      <xdr:spPr>
        <a:xfrm flipH="1">
          <a:off x="7621232" y="18327688"/>
          <a:ext cx="196693" cy="294921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222250</xdr:colOff>
      <xdr:row>157</xdr:row>
      <xdr:rowOff>254000</xdr:rowOff>
    </xdr:from>
    <xdr:to>
      <xdr:col>8</xdr:col>
      <xdr:colOff>417180</xdr:colOff>
      <xdr:row>159</xdr:row>
      <xdr:rowOff>59438</xdr:rowOff>
    </xdr:to>
    <xdr:sp macro="" textlink="">
      <xdr:nvSpPr>
        <xdr:cNvPr id="1058" name="Oval 1057">
          <a:extLst>
            <a:ext uri="{FF2B5EF4-FFF2-40B4-BE49-F238E27FC236}">
              <a16:creationId xmlns="" xmlns:a16="http://schemas.microsoft.com/office/drawing/2014/main" id="{2BEE0790-261D-4A79-96A4-BCB2E004D67A}"/>
            </a:ext>
          </a:extLst>
        </xdr:cNvPr>
        <xdr:cNvSpPr/>
      </xdr:nvSpPr>
      <xdr:spPr>
        <a:xfrm>
          <a:off x="4588510" y="29263340"/>
          <a:ext cx="194930" cy="239778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208935</xdr:colOff>
      <xdr:row>160</xdr:row>
      <xdr:rowOff>147484</xdr:rowOff>
    </xdr:from>
    <xdr:to>
      <xdr:col>8</xdr:col>
      <xdr:colOff>395005</xdr:colOff>
      <xdr:row>162</xdr:row>
      <xdr:rowOff>40872</xdr:rowOff>
    </xdr:to>
    <xdr:sp macro="" textlink="">
      <xdr:nvSpPr>
        <xdr:cNvPr id="1062" name="Isosceles Triangle 1061">
          <a:extLst>
            <a:ext uri="{FF2B5EF4-FFF2-40B4-BE49-F238E27FC236}">
              <a16:creationId xmlns="" xmlns:a16="http://schemas.microsoft.com/office/drawing/2014/main" id="{BE0496AF-A8C7-45EF-8914-A8A45D3D2C06}"/>
            </a:ext>
          </a:extLst>
        </xdr:cNvPr>
        <xdr:cNvSpPr/>
      </xdr:nvSpPr>
      <xdr:spPr>
        <a:xfrm>
          <a:off x="4575195" y="29758804"/>
          <a:ext cx="186070" cy="228668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8860</xdr:colOff>
      <xdr:row>127</xdr:row>
      <xdr:rowOff>72846</xdr:rowOff>
    </xdr:from>
    <xdr:to>
      <xdr:col>16</xdr:col>
      <xdr:colOff>611506</xdr:colOff>
      <xdr:row>128</xdr:row>
      <xdr:rowOff>165059</xdr:rowOff>
    </xdr:to>
    <xdr:sp macro="" textlink="">
      <xdr:nvSpPr>
        <xdr:cNvPr id="1064" name="Isosceles Triangle 1063">
          <a:extLst>
            <a:ext uri="{FF2B5EF4-FFF2-40B4-BE49-F238E27FC236}">
              <a16:creationId xmlns="" xmlns:a16="http://schemas.microsoft.com/office/drawing/2014/main" id="{557FF160-1D85-47F7-9C32-35B2A9C25E6D}"/>
            </a:ext>
          </a:extLst>
        </xdr:cNvPr>
        <xdr:cNvSpPr/>
      </xdr:nvSpPr>
      <xdr:spPr>
        <a:xfrm>
          <a:off x="9490317" y="23063475"/>
          <a:ext cx="602646" cy="38612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629345</xdr:colOff>
      <xdr:row>127</xdr:row>
      <xdr:rowOff>72846</xdr:rowOff>
    </xdr:from>
    <xdr:to>
      <xdr:col>18</xdr:col>
      <xdr:colOff>600620</xdr:colOff>
      <xdr:row>128</xdr:row>
      <xdr:rowOff>165059</xdr:rowOff>
    </xdr:to>
    <xdr:sp macro="" textlink="">
      <xdr:nvSpPr>
        <xdr:cNvPr id="1065" name="Isosceles Triangle 1064">
          <a:extLst>
            <a:ext uri="{FF2B5EF4-FFF2-40B4-BE49-F238E27FC236}">
              <a16:creationId xmlns="" xmlns:a16="http://schemas.microsoft.com/office/drawing/2014/main" id="{037E2C6E-5B05-4522-A94D-680E65003670}"/>
            </a:ext>
          </a:extLst>
        </xdr:cNvPr>
        <xdr:cNvSpPr/>
      </xdr:nvSpPr>
      <xdr:spPr>
        <a:xfrm>
          <a:off x="10742174" y="23063475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8860</xdr:colOff>
      <xdr:row>127</xdr:row>
      <xdr:rowOff>72846</xdr:rowOff>
    </xdr:from>
    <xdr:to>
      <xdr:col>20</xdr:col>
      <xdr:colOff>611506</xdr:colOff>
      <xdr:row>128</xdr:row>
      <xdr:rowOff>165059</xdr:rowOff>
    </xdr:to>
    <xdr:sp macro="" textlink="">
      <xdr:nvSpPr>
        <xdr:cNvPr id="1066" name="Isosceles Triangle 1065">
          <a:extLst>
            <a:ext uri="{FF2B5EF4-FFF2-40B4-BE49-F238E27FC236}">
              <a16:creationId xmlns="" xmlns:a16="http://schemas.microsoft.com/office/drawing/2014/main" id="{CF0B9744-4C4D-4931-A26F-58CFBDD39AEF}"/>
            </a:ext>
          </a:extLst>
        </xdr:cNvPr>
        <xdr:cNvSpPr/>
      </xdr:nvSpPr>
      <xdr:spPr>
        <a:xfrm>
          <a:off x="12015803" y="23063475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137</xdr:row>
      <xdr:rowOff>35440</xdr:rowOff>
    </xdr:from>
    <xdr:to>
      <xdr:col>5</xdr:col>
      <xdr:colOff>1</xdr:colOff>
      <xdr:row>138</xdr:row>
      <xdr:rowOff>203790</xdr:rowOff>
    </xdr:to>
    <xdr:sp macro="" textlink="">
      <xdr:nvSpPr>
        <xdr:cNvPr id="1067" name="Isosceles Triangle 1066">
          <a:extLst>
            <a:ext uri="{FF2B5EF4-FFF2-40B4-BE49-F238E27FC236}">
              <a16:creationId xmlns="" xmlns:a16="http://schemas.microsoft.com/office/drawing/2014/main" id="{0C4EC3F5-959F-49DB-8B61-F3A5C24AF313}"/>
            </a:ext>
          </a:extLst>
        </xdr:cNvPr>
        <xdr:cNvSpPr/>
      </xdr:nvSpPr>
      <xdr:spPr>
        <a:xfrm>
          <a:off x="1851660" y="25478620"/>
          <a:ext cx="624841" cy="38171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575931</xdr:colOff>
      <xdr:row>137</xdr:row>
      <xdr:rowOff>53162</xdr:rowOff>
    </xdr:from>
    <xdr:to>
      <xdr:col>3</xdr:col>
      <xdr:colOff>1</xdr:colOff>
      <xdr:row>138</xdr:row>
      <xdr:rowOff>194929</xdr:rowOff>
    </xdr:to>
    <xdr:sp macro="" textlink="">
      <xdr:nvSpPr>
        <xdr:cNvPr id="1068" name="Isosceles Triangle 1067">
          <a:extLst>
            <a:ext uri="{FF2B5EF4-FFF2-40B4-BE49-F238E27FC236}">
              <a16:creationId xmlns="" xmlns:a16="http://schemas.microsoft.com/office/drawing/2014/main" id="{0E2703DD-6949-4E90-9FAA-58CB617497A1}"/>
            </a:ext>
          </a:extLst>
        </xdr:cNvPr>
        <xdr:cNvSpPr/>
      </xdr:nvSpPr>
      <xdr:spPr>
        <a:xfrm>
          <a:off x="575931" y="25496342"/>
          <a:ext cx="635650" cy="355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221512</xdr:colOff>
      <xdr:row>137</xdr:row>
      <xdr:rowOff>150628</xdr:rowOff>
    </xdr:from>
    <xdr:to>
      <xdr:col>6</xdr:col>
      <xdr:colOff>324700</xdr:colOff>
      <xdr:row>141</xdr:row>
      <xdr:rowOff>3875</xdr:rowOff>
    </xdr:to>
    <xdr:sp macro="" textlink="">
      <xdr:nvSpPr>
        <xdr:cNvPr id="1069" name="Rectangle 1068">
          <a:extLst>
            <a:ext uri="{FF2B5EF4-FFF2-40B4-BE49-F238E27FC236}">
              <a16:creationId xmlns="" xmlns:a16="http://schemas.microsoft.com/office/drawing/2014/main" id="{9EB9F894-410D-47D0-9751-021BE00097B1}"/>
            </a:ext>
          </a:extLst>
        </xdr:cNvPr>
        <xdr:cNvSpPr/>
      </xdr:nvSpPr>
      <xdr:spPr>
        <a:xfrm>
          <a:off x="3338092" y="25593808"/>
          <a:ext cx="103188" cy="706687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186069</xdr:colOff>
      <xdr:row>119</xdr:row>
      <xdr:rowOff>0</xdr:rowOff>
    </xdr:from>
    <xdr:ext cx="72644" cy="419101"/>
    <xdr:pic>
      <xdr:nvPicPr>
        <xdr:cNvPr id="1070" name="Picture 11597">
          <a:extLst>
            <a:ext uri="{FF2B5EF4-FFF2-40B4-BE49-F238E27FC236}">
              <a16:creationId xmlns="" xmlns:a16="http://schemas.microsoft.com/office/drawing/2014/main" id="{2510D66D-A98A-4593-A3E3-BDD6CBA43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75249" y="220370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106325</xdr:colOff>
      <xdr:row>129</xdr:row>
      <xdr:rowOff>17722</xdr:rowOff>
    </xdr:from>
    <xdr:ext cx="72644" cy="419101"/>
    <xdr:pic>
      <xdr:nvPicPr>
        <xdr:cNvPr id="1071" name="Picture 11597">
          <a:extLst>
            <a:ext uri="{FF2B5EF4-FFF2-40B4-BE49-F238E27FC236}">
              <a16:creationId xmlns="" xmlns:a16="http://schemas.microsoft.com/office/drawing/2014/main" id="{9D60A7D2-B82E-4074-8035-7D549FA8B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17905" y="2390642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478465</xdr:colOff>
      <xdr:row>129</xdr:row>
      <xdr:rowOff>8860</xdr:rowOff>
    </xdr:from>
    <xdr:ext cx="85725" cy="390524"/>
    <xdr:pic>
      <xdr:nvPicPr>
        <xdr:cNvPr id="1072" name="Picture 11597">
          <a:extLst>
            <a:ext uri="{FF2B5EF4-FFF2-40B4-BE49-F238E27FC236}">
              <a16:creationId xmlns="" xmlns:a16="http://schemas.microsoft.com/office/drawing/2014/main" id="{8C38CC43-F5B4-42D5-AE8C-AAA0DA69D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045" y="238975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212652</xdr:colOff>
      <xdr:row>129</xdr:row>
      <xdr:rowOff>0</xdr:rowOff>
    </xdr:from>
    <xdr:to>
      <xdr:col>5</xdr:col>
      <xdr:colOff>338453</xdr:colOff>
      <xdr:row>132</xdr:row>
      <xdr:rowOff>19666</xdr:rowOff>
    </xdr:to>
    <xdr:sp macro="" textlink="">
      <xdr:nvSpPr>
        <xdr:cNvPr id="1073" name="Lightning Bolt 1072">
          <a:extLst>
            <a:ext uri="{FF2B5EF4-FFF2-40B4-BE49-F238E27FC236}">
              <a16:creationId xmlns="" xmlns:a16="http://schemas.microsoft.com/office/drawing/2014/main" id="{0113BD06-6FDE-43A0-92E2-C5490B6184CD}"/>
            </a:ext>
          </a:extLst>
        </xdr:cNvPr>
        <xdr:cNvSpPr/>
      </xdr:nvSpPr>
      <xdr:spPr>
        <a:xfrm>
          <a:off x="2689152" y="23888700"/>
          <a:ext cx="125801" cy="58354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7</xdr:col>
      <xdr:colOff>106325</xdr:colOff>
      <xdr:row>128</xdr:row>
      <xdr:rowOff>168349</xdr:rowOff>
    </xdr:from>
    <xdr:ext cx="85725" cy="390524"/>
    <xdr:pic>
      <xdr:nvPicPr>
        <xdr:cNvPr id="1074" name="Picture 11597">
          <a:extLst>
            <a:ext uri="{FF2B5EF4-FFF2-40B4-BE49-F238E27FC236}">
              <a16:creationId xmlns="" xmlns:a16="http://schemas.microsoft.com/office/drawing/2014/main" id="{64604C2B-0D01-4A11-9FBC-A9E62200A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7745" y="2388178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194930</xdr:colOff>
      <xdr:row>129</xdr:row>
      <xdr:rowOff>0</xdr:rowOff>
    </xdr:from>
    <xdr:ext cx="85725" cy="390524"/>
    <xdr:pic>
      <xdr:nvPicPr>
        <xdr:cNvPr id="1075" name="Picture 11597">
          <a:extLst>
            <a:ext uri="{FF2B5EF4-FFF2-40B4-BE49-F238E27FC236}">
              <a16:creationId xmlns="" xmlns:a16="http://schemas.microsoft.com/office/drawing/2014/main" id="{5DE01C19-361A-48BD-91BC-8E344960E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5390" y="238887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443023</xdr:colOff>
      <xdr:row>129</xdr:row>
      <xdr:rowOff>8861</xdr:rowOff>
    </xdr:from>
    <xdr:ext cx="72644" cy="419101"/>
    <xdr:pic>
      <xdr:nvPicPr>
        <xdr:cNvPr id="1076" name="Picture 11597">
          <a:extLst>
            <a:ext uri="{FF2B5EF4-FFF2-40B4-BE49-F238E27FC236}">
              <a16:creationId xmlns="" xmlns:a16="http://schemas.microsoft.com/office/drawing/2014/main" id="{965B3DF6-DE98-46FE-A2E8-2F7692BD7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33483" y="2389756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274675</xdr:colOff>
      <xdr:row>129</xdr:row>
      <xdr:rowOff>0</xdr:rowOff>
    </xdr:from>
    <xdr:ext cx="72644" cy="419101"/>
    <xdr:pic>
      <xdr:nvPicPr>
        <xdr:cNvPr id="1077" name="Picture 11597">
          <a:extLst>
            <a:ext uri="{FF2B5EF4-FFF2-40B4-BE49-F238E27FC236}">
              <a16:creationId xmlns="" xmlns:a16="http://schemas.microsoft.com/office/drawing/2014/main" id="{A0CBC921-69A7-4AB1-A83D-95730DB22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64495" y="238887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292395</xdr:colOff>
      <xdr:row>129</xdr:row>
      <xdr:rowOff>8861</xdr:rowOff>
    </xdr:from>
    <xdr:ext cx="72644" cy="419101"/>
    <xdr:pic>
      <xdr:nvPicPr>
        <xdr:cNvPr id="1078" name="Picture 11597">
          <a:extLst>
            <a:ext uri="{FF2B5EF4-FFF2-40B4-BE49-F238E27FC236}">
              <a16:creationId xmlns="" xmlns:a16="http://schemas.microsoft.com/office/drawing/2014/main" id="{311CD83A-D9B7-4A9E-A76C-94BCA54A0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31895" y="2389756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5</xdr:col>
      <xdr:colOff>197225</xdr:colOff>
      <xdr:row>55</xdr:row>
      <xdr:rowOff>35859</xdr:rowOff>
    </xdr:from>
    <xdr:to>
      <xdr:col>5</xdr:col>
      <xdr:colOff>390419</xdr:colOff>
      <xdr:row>57</xdr:row>
      <xdr:rowOff>18531</xdr:rowOff>
    </xdr:to>
    <xdr:sp macro="" textlink="">
      <xdr:nvSpPr>
        <xdr:cNvPr id="1079" name="Parallelogram 1078">
          <a:extLst>
            <a:ext uri="{FF2B5EF4-FFF2-40B4-BE49-F238E27FC236}">
              <a16:creationId xmlns="" xmlns:a16="http://schemas.microsoft.com/office/drawing/2014/main" id="{78D4AA67-A0F8-4581-A433-137587598CB7}"/>
            </a:ext>
          </a:extLst>
        </xdr:cNvPr>
        <xdr:cNvSpPr/>
      </xdr:nvSpPr>
      <xdr:spPr>
        <a:xfrm rot="1440000">
          <a:off x="2673725" y="9827559"/>
          <a:ext cx="193194" cy="333192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197225</xdr:colOff>
      <xdr:row>55</xdr:row>
      <xdr:rowOff>35859</xdr:rowOff>
    </xdr:from>
    <xdr:to>
      <xdr:col>5</xdr:col>
      <xdr:colOff>393918</xdr:colOff>
      <xdr:row>56</xdr:row>
      <xdr:rowOff>157805</xdr:rowOff>
    </xdr:to>
    <xdr:cxnSp macro="">
      <xdr:nvCxnSpPr>
        <xdr:cNvPr id="1080" name="Straight Connector 1079">
          <a:extLst>
            <a:ext uri="{FF2B5EF4-FFF2-40B4-BE49-F238E27FC236}">
              <a16:creationId xmlns="" xmlns:a16="http://schemas.microsoft.com/office/drawing/2014/main" id="{09643097-CF7C-4E97-BEE1-E9F929F9ED7F}"/>
            </a:ext>
          </a:extLst>
        </xdr:cNvPr>
        <xdr:cNvCxnSpPr/>
      </xdr:nvCxnSpPr>
      <xdr:spPr>
        <a:xfrm flipH="1">
          <a:off x="2673725" y="9827559"/>
          <a:ext cx="196693" cy="297206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5</xdr:col>
      <xdr:colOff>44824</xdr:colOff>
      <xdr:row>55</xdr:row>
      <xdr:rowOff>0</xdr:rowOff>
    </xdr:from>
    <xdr:ext cx="85725" cy="390524"/>
    <xdr:pic>
      <xdr:nvPicPr>
        <xdr:cNvPr id="1081" name="Picture 11597">
          <a:extLst>
            <a:ext uri="{FF2B5EF4-FFF2-40B4-BE49-F238E27FC236}">
              <a16:creationId xmlns="" xmlns:a16="http://schemas.microsoft.com/office/drawing/2014/main" id="{49806187-383C-492D-9559-842E61DB9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1324" y="97917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80683</xdr:colOff>
      <xdr:row>55</xdr:row>
      <xdr:rowOff>17930</xdr:rowOff>
    </xdr:from>
    <xdr:ext cx="72644" cy="419101"/>
    <xdr:pic>
      <xdr:nvPicPr>
        <xdr:cNvPr id="1082" name="Picture 11597">
          <a:extLst>
            <a:ext uri="{FF2B5EF4-FFF2-40B4-BE49-F238E27FC236}">
              <a16:creationId xmlns="" xmlns:a16="http://schemas.microsoft.com/office/drawing/2014/main" id="{88EA6CE5-AC38-453E-AFD0-7F413F3C9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21463" y="980963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233082</xdr:colOff>
      <xdr:row>55</xdr:row>
      <xdr:rowOff>17930</xdr:rowOff>
    </xdr:from>
    <xdr:ext cx="85725" cy="390524"/>
    <xdr:pic>
      <xdr:nvPicPr>
        <xdr:cNvPr id="1083" name="Picture 11597">
          <a:extLst>
            <a:ext uri="{FF2B5EF4-FFF2-40B4-BE49-F238E27FC236}">
              <a16:creationId xmlns="" xmlns:a16="http://schemas.microsoft.com/office/drawing/2014/main" id="{E01966B6-4A68-4FC0-9B3D-2564C86BA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3542" y="980963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528918</xdr:colOff>
      <xdr:row>92</xdr:row>
      <xdr:rowOff>0</xdr:rowOff>
    </xdr:from>
    <xdr:ext cx="72644" cy="419101"/>
    <xdr:pic>
      <xdr:nvPicPr>
        <xdr:cNvPr id="1084" name="Picture 11597">
          <a:extLst>
            <a:ext uri="{FF2B5EF4-FFF2-40B4-BE49-F238E27FC236}">
              <a16:creationId xmlns="" xmlns:a16="http://schemas.microsoft.com/office/drawing/2014/main" id="{41EFF776-B4F2-4384-ACA6-21B596831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68418" y="165582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304800</xdr:colOff>
      <xdr:row>92</xdr:row>
      <xdr:rowOff>17929</xdr:rowOff>
    </xdr:from>
    <xdr:ext cx="72644" cy="419101"/>
    <xdr:pic>
      <xdr:nvPicPr>
        <xdr:cNvPr id="1085" name="Picture 11597">
          <a:extLst>
            <a:ext uri="{FF2B5EF4-FFF2-40B4-BE49-F238E27FC236}">
              <a16:creationId xmlns="" xmlns:a16="http://schemas.microsoft.com/office/drawing/2014/main" id="{3ECCCDDE-0624-457F-A87A-A0622DFF5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93980" y="1657618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224118</xdr:colOff>
      <xdr:row>101</xdr:row>
      <xdr:rowOff>8965</xdr:rowOff>
    </xdr:from>
    <xdr:ext cx="72644" cy="419101"/>
    <xdr:pic>
      <xdr:nvPicPr>
        <xdr:cNvPr id="1086" name="Picture 11597">
          <a:extLst>
            <a:ext uri="{FF2B5EF4-FFF2-40B4-BE49-F238E27FC236}">
              <a16:creationId xmlns="" xmlns:a16="http://schemas.microsoft.com/office/drawing/2014/main" id="{11455F9B-B443-45D5-A56B-69916F419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00618" y="1831220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525129</xdr:colOff>
      <xdr:row>101</xdr:row>
      <xdr:rowOff>71035</xdr:rowOff>
    </xdr:from>
    <xdr:ext cx="72644" cy="419101"/>
    <xdr:pic>
      <xdr:nvPicPr>
        <xdr:cNvPr id="1087" name="Picture 11597">
          <a:extLst>
            <a:ext uri="{FF2B5EF4-FFF2-40B4-BE49-F238E27FC236}">
              <a16:creationId xmlns="" xmlns:a16="http://schemas.microsoft.com/office/drawing/2014/main" id="{EF85AE5F-88B6-4308-B62C-1DE9B9A55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015589" y="1837427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242047</xdr:colOff>
      <xdr:row>110</xdr:row>
      <xdr:rowOff>0</xdr:rowOff>
    </xdr:from>
    <xdr:ext cx="72644" cy="419101"/>
    <xdr:pic>
      <xdr:nvPicPr>
        <xdr:cNvPr id="1088" name="Picture 11597">
          <a:extLst>
            <a:ext uri="{FF2B5EF4-FFF2-40B4-BE49-F238E27FC236}">
              <a16:creationId xmlns="" xmlns:a16="http://schemas.microsoft.com/office/drawing/2014/main" id="{C8CB2947-633D-4A97-9878-8E7294E77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982187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367553</xdr:colOff>
      <xdr:row>110</xdr:row>
      <xdr:rowOff>44823</xdr:rowOff>
    </xdr:from>
    <xdr:ext cx="85725" cy="390524"/>
    <xdr:pic>
      <xdr:nvPicPr>
        <xdr:cNvPr id="1089" name="Picture 11597">
          <a:extLst>
            <a:ext uri="{FF2B5EF4-FFF2-40B4-BE49-F238E27FC236}">
              <a16:creationId xmlns="" xmlns:a16="http://schemas.microsoft.com/office/drawing/2014/main" id="{10A54F75-D11A-4493-9497-E13436FA7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7053" y="2029878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233083</xdr:colOff>
      <xdr:row>118</xdr:row>
      <xdr:rowOff>161365</xdr:rowOff>
    </xdr:from>
    <xdr:ext cx="72644" cy="419101"/>
    <xdr:pic>
      <xdr:nvPicPr>
        <xdr:cNvPr id="1092" name="Picture 11597">
          <a:extLst>
            <a:ext uri="{FF2B5EF4-FFF2-40B4-BE49-F238E27FC236}">
              <a16:creationId xmlns="" xmlns:a16="http://schemas.microsoft.com/office/drawing/2014/main" id="{A8A4BE13-E4EC-4C3B-ABA5-2B912A4AF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22903" y="2202314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331694</xdr:colOff>
      <xdr:row>129</xdr:row>
      <xdr:rowOff>17931</xdr:rowOff>
    </xdr:from>
    <xdr:to>
      <xdr:col>11</xdr:col>
      <xdr:colOff>377413</xdr:colOff>
      <xdr:row>131</xdr:row>
      <xdr:rowOff>189746</xdr:rowOff>
    </xdr:to>
    <xdr:sp macro="" textlink="">
      <xdr:nvSpPr>
        <xdr:cNvPr id="1093" name="AutoShape 10733">
          <a:extLst>
            <a:ext uri="{FF2B5EF4-FFF2-40B4-BE49-F238E27FC236}">
              <a16:creationId xmlns="" xmlns:a16="http://schemas.microsoft.com/office/drawing/2014/main" id="{F3BAC354-00A7-4596-B8DB-C39D0A673D6B}"/>
            </a:ext>
          </a:extLst>
        </xdr:cNvPr>
        <xdr:cNvSpPr>
          <a:spLocks noChangeArrowheads="1"/>
        </xdr:cNvSpPr>
      </xdr:nvSpPr>
      <xdr:spPr bwMode="auto">
        <a:xfrm rot="5400000">
          <a:off x="6334166" y="24144939"/>
          <a:ext cx="522335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316162</xdr:colOff>
      <xdr:row>128</xdr:row>
      <xdr:rowOff>142499</xdr:rowOff>
    </xdr:from>
    <xdr:to>
      <xdr:col>3</xdr:col>
      <xdr:colOff>361881</xdr:colOff>
      <xdr:row>131</xdr:row>
      <xdr:rowOff>135020</xdr:rowOff>
    </xdr:to>
    <xdr:sp macro="" textlink="">
      <xdr:nvSpPr>
        <xdr:cNvPr id="1094" name="AutoShape 10733">
          <a:extLst>
            <a:ext uri="{FF2B5EF4-FFF2-40B4-BE49-F238E27FC236}">
              <a16:creationId xmlns="" xmlns:a16="http://schemas.microsoft.com/office/drawing/2014/main" id="{EEE181BF-9B47-4A44-A1FD-80FF08E3A43B}"/>
            </a:ext>
          </a:extLst>
        </xdr:cNvPr>
        <xdr:cNvSpPr>
          <a:spLocks noChangeArrowheads="1"/>
        </xdr:cNvSpPr>
      </xdr:nvSpPr>
      <xdr:spPr bwMode="auto">
        <a:xfrm rot="5400000">
          <a:off x="1291451" y="24092230"/>
          <a:ext cx="518301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394447</xdr:colOff>
      <xdr:row>119</xdr:row>
      <xdr:rowOff>8967</xdr:rowOff>
    </xdr:from>
    <xdr:to>
      <xdr:col>3</xdr:col>
      <xdr:colOff>440166</xdr:colOff>
      <xdr:row>121</xdr:row>
      <xdr:rowOff>180782</xdr:rowOff>
    </xdr:to>
    <xdr:sp macro="" textlink="">
      <xdr:nvSpPr>
        <xdr:cNvPr id="1095" name="AutoShape 10733">
          <a:extLst>
            <a:ext uri="{FF2B5EF4-FFF2-40B4-BE49-F238E27FC236}">
              <a16:creationId xmlns="" xmlns:a16="http://schemas.microsoft.com/office/drawing/2014/main" id="{733C0663-EC40-46B3-B16E-E34B44954CD9}"/>
            </a:ext>
          </a:extLst>
        </xdr:cNvPr>
        <xdr:cNvSpPr>
          <a:spLocks noChangeArrowheads="1"/>
        </xdr:cNvSpPr>
      </xdr:nvSpPr>
      <xdr:spPr bwMode="auto">
        <a:xfrm rot="5400000">
          <a:off x="1367719" y="22284315"/>
          <a:ext cx="522335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21</xdr:col>
      <xdr:colOff>233082</xdr:colOff>
      <xdr:row>129</xdr:row>
      <xdr:rowOff>8965</xdr:rowOff>
    </xdr:from>
    <xdr:ext cx="72644" cy="419101"/>
    <xdr:pic>
      <xdr:nvPicPr>
        <xdr:cNvPr id="1096" name="Picture 11597">
          <a:extLst>
            <a:ext uri="{FF2B5EF4-FFF2-40B4-BE49-F238E27FC236}">
              <a16:creationId xmlns="" xmlns:a16="http://schemas.microsoft.com/office/drawing/2014/main" id="{1FE4009E-FF37-4BDD-99C5-C7A4054B7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22262" y="2389766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242047</xdr:colOff>
      <xdr:row>138</xdr:row>
      <xdr:rowOff>206189</xdr:rowOff>
    </xdr:from>
    <xdr:ext cx="85725" cy="390524"/>
    <xdr:pic>
      <xdr:nvPicPr>
        <xdr:cNvPr id="1097" name="Picture 11597">
          <a:extLst>
            <a:ext uri="{FF2B5EF4-FFF2-40B4-BE49-F238E27FC236}">
              <a16:creationId xmlns="" xmlns:a16="http://schemas.microsoft.com/office/drawing/2014/main" id="{7C2DB635-260E-4459-94F0-8CC602F4C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3627" y="2586272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197223</xdr:colOff>
      <xdr:row>139</xdr:row>
      <xdr:rowOff>8965</xdr:rowOff>
    </xdr:from>
    <xdr:ext cx="85725" cy="390524"/>
    <xdr:pic>
      <xdr:nvPicPr>
        <xdr:cNvPr id="1098" name="Picture 11597">
          <a:extLst>
            <a:ext uri="{FF2B5EF4-FFF2-40B4-BE49-F238E27FC236}">
              <a16:creationId xmlns="" xmlns:a16="http://schemas.microsoft.com/office/drawing/2014/main" id="{4C392CC8-B8E8-43A3-8952-4497C96B7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3723" y="2587886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403412</xdr:colOff>
      <xdr:row>138</xdr:row>
      <xdr:rowOff>206189</xdr:rowOff>
    </xdr:from>
    <xdr:to>
      <xdr:col>5</xdr:col>
      <xdr:colOff>449131</xdr:colOff>
      <xdr:row>141</xdr:row>
      <xdr:rowOff>91134</xdr:rowOff>
    </xdr:to>
    <xdr:sp macro="" textlink="">
      <xdr:nvSpPr>
        <xdr:cNvPr id="1099" name="AutoShape 10733">
          <a:extLst>
            <a:ext uri="{FF2B5EF4-FFF2-40B4-BE49-F238E27FC236}">
              <a16:creationId xmlns="" xmlns:a16="http://schemas.microsoft.com/office/drawing/2014/main" id="{6DFA2418-DAFD-4655-A9D3-E3BE5B90CEE5}"/>
            </a:ext>
          </a:extLst>
        </xdr:cNvPr>
        <xdr:cNvSpPr>
          <a:spLocks noChangeArrowheads="1"/>
        </xdr:cNvSpPr>
      </xdr:nvSpPr>
      <xdr:spPr bwMode="auto">
        <a:xfrm rot="5400000">
          <a:off x="2640259" y="26102382"/>
          <a:ext cx="525025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233082</xdr:colOff>
      <xdr:row>25</xdr:row>
      <xdr:rowOff>161364</xdr:rowOff>
    </xdr:from>
    <xdr:ext cx="72644" cy="419101"/>
    <xdr:pic>
      <xdr:nvPicPr>
        <xdr:cNvPr id="1100" name="Picture 11597">
          <a:extLst>
            <a:ext uri="{FF2B5EF4-FFF2-40B4-BE49-F238E27FC236}">
              <a16:creationId xmlns="" xmlns:a16="http://schemas.microsoft.com/office/drawing/2014/main" id="{3BC0F069-DA10-4B7A-A0D7-879FF2F4A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44662" y="470288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242048</xdr:colOff>
      <xdr:row>26</xdr:row>
      <xdr:rowOff>26894</xdr:rowOff>
    </xdr:from>
    <xdr:ext cx="85725" cy="390524"/>
    <xdr:pic>
      <xdr:nvPicPr>
        <xdr:cNvPr id="1101" name="Picture 11597">
          <a:extLst>
            <a:ext uri="{FF2B5EF4-FFF2-40B4-BE49-F238E27FC236}">
              <a16:creationId xmlns="" xmlns:a16="http://schemas.microsoft.com/office/drawing/2014/main" id="{BB10F2EF-8298-401F-B1B8-131C0B5FF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8548" y="474367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358589</xdr:colOff>
      <xdr:row>37</xdr:row>
      <xdr:rowOff>8965</xdr:rowOff>
    </xdr:from>
    <xdr:ext cx="85725" cy="390524"/>
    <xdr:pic>
      <xdr:nvPicPr>
        <xdr:cNvPr id="1102" name="Picture 11597">
          <a:extLst>
            <a:ext uri="{FF2B5EF4-FFF2-40B4-BE49-F238E27FC236}">
              <a16:creationId xmlns="" xmlns:a16="http://schemas.microsoft.com/office/drawing/2014/main" id="{A4EEBAC6-3A9A-4FC9-B618-DD8FD0AD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0009" y="668408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98612</xdr:colOff>
      <xdr:row>37</xdr:row>
      <xdr:rowOff>44824</xdr:rowOff>
    </xdr:from>
    <xdr:to>
      <xdr:col>9</xdr:col>
      <xdr:colOff>227338</xdr:colOff>
      <xdr:row>38</xdr:row>
      <xdr:rowOff>104208</xdr:rowOff>
    </xdr:to>
    <xdr:sp macro="" textlink="">
      <xdr:nvSpPr>
        <xdr:cNvPr id="1103" name="AutoShape 301">
          <a:extLst>
            <a:ext uri="{FF2B5EF4-FFF2-40B4-BE49-F238E27FC236}">
              <a16:creationId xmlns="" xmlns:a16="http://schemas.microsoft.com/office/drawing/2014/main" id="{B5451FFE-74F8-4217-A861-EFEB50FC0196}"/>
            </a:ext>
          </a:extLst>
        </xdr:cNvPr>
        <xdr:cNvSpPr>
          <a:spLocks noChangeArrowheads="1"/>
        </xdr:cNvSpPr>
      </xdr:nvSpPr>
      <xdr:spPr bwMode="auto">
        <a:xfrm rot="7084349">
          <a:off x="5036753" y="6772903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206188</xdr:colOff>
      <xdr:row>46</xdr:row>
      <xdr:rowOff>35858</xdr:rowOff>
    </xdr:from>
    <xdr:to>
      <xdr:col>5</xdr:col>
      <xdr:colOff>457200</xdr:colOff>
      <xdr:row>47</xdr:row>
      <xdr:rowOff>71717</xdr:rowOff>
    </xdr:to>
    <xdr:sp macro="" textlink="">
      <xdr:nvSpPr>
        <xdr:cNvPr id="1104" name="Isosceles Triangle 1103">
          <a:extLst>
            <a:ext uri="{FF2B5EF4-FFF2-40B4-BE49-F238E27FC236}">
              <a16:creationId xmlns="" xmlns:a16="http://schemas.microsoft.com/office/drawing/2014/main" id="{68934B85-C489-4E9B-84A0-3486A80D5A7D}"/>
            </a:ext>
          </a:extLst>
        </xdr:cNvPr>
        <xdr:cNvSpPr/>
      </xdr:nvSpPr>
      <xdr:spPr>
        <a:xfrm>
          <a:off x="2682688" y="8234978"/>
          <a:ext cx="251012" cy="211119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242047</xdr:colOff>
      <xdr:row>46</xdr:row>
      <xdr:rowOff>53788</xdr:rowOff>
    </xdr:from>
    <xdr:to>
      <xdr:col>7</xdr:col>
      <xdr:colOff>493059</xdr:colOff>
      <xdr:row>47</xdr:row>
      <xdr:rowOff>89647</xdr:rowOff>
    </xdr:to>
    <xdr:sp macro="" textlink="">
      <xdr:nvSpPr>
        <xdr:cNvPr id="1105" name="Isosceles Triangle 1104">
          <a:extLst>
            <a:ext uri="{FF2B5EF4-FFF2-40B4-BE49-F238E27FC236}">
              <a16:creationId xmlns="" xmlns:a16="http://schemas.microsoft.com/office/drawing/2014/main" id="{F6122AC4-B62D-4FBD-B43C-54977351375E}"/>
            </a:ext>
          </a:extLst>
        </xdr:cNvPr>
        <xdr:cNvSpPr/>
      </xdr:nvSpPr>
      <xdr:spPr>
        <a:xfrm>
          <a:off x="3983467" y="8252908"/>
          <a:ext cx="251012" cy="211119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152400</xdr:colOff>
      <xdr:row>46</xdr:row>
      <xdr:rowOff>53788</xdr:rowOff>
    </xdr:from>
    <xdr:to>
      <xdr:col>9</xdr:col>
      <xdr:colOff>403412</xdr:colOff>
      <xdr:row>47</xdr:row>
      <xdr:rowOff>89647</xdr:rowOff>
    </xdr:to>
    <xdr:sp macro="" textlink="">
      <xdr:nvSpPr>
        <xdr:cNvPr id="1106" name="Isosceles Triangle 1105">
          <a:extLst>
            <a:ext uri="{FF2B5EF4-FFF2-40B4-BE49-F238E27FC236}">
              <a16:creationId xmlns="" xmlns:a16="http://schemas.microsoft.com/office/drawing/2014/main" id="{05D7FB44-ACED-4A97-8015-30DA15ED0677}"/>
            </a:ext>
          </a:extLst>
        </xdr:cNvPr>
        <xdr:cNvSpPr/>
      </xdr:nvSpPr>
      <xdr:spPr>
        <a:xfrm>
          <a:off x="5143500" y="8252908"/>
          <a:ext cx="251012" cy="211119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268940</xdr:colOff>
      <xdr:row>46</xdr:row>
      <xdr:rowOff>71717</xdr:rowOff>
    </xdr:from>
    <xdr:to>
      <xdr:col>19</xdr:col>
      <xdr:colOff>397666</xdr:colOff>
      <xdr:row>47</xdr:row>
      <xdr:rowOff>131101</xdr:rowOff>
    </xdr:to>
    <xdr:sp macro="" textlink="">
      <xdr:nvSpPr>
        <xdr:cNvPr id="1107" name="AutoShape 301">
          <a:extLst>
            <a:ext uri="{FF2B5EF4-FFF2-40B4-BE49-F238E27FC236}">
              <a16:creationId xmlns="" xmlns:a16="http://schemas.microsoft.com/office/drawing/2014/main" id="{20C65163-D6C1-4F48-8945-54A5877E0DFB}"/>
            </a:ext>
          </a:extLst>
        </xdr:cNvPr>
        <xdr:cNvSpPr>
          <a:spLocks noChangeArrowheads="1"/>
        </xdr:cNvSpPr>
      </xdr:nvSpPr>
      <xdr:spPr bwMode="auto">
        <a:xfrm rot="7084349">
          <a:off x="11455481" y="8323796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519953</xdr:colOff>
      <xdr:row>55</xdr:row>
      <xdr:rowOff>17929</xdr:rowOff>
    </xdr:from>
    <xdr:to>
      <xdr:col>5</xdr:col>
      <xdr:colOff>558053</xdr:colOff>
      <xdr:row>57</xdr:row>
      <xdr:rowOff>118060</xdr:rowOff>
    </xdr:to>
    <xdr:sp macro="" textlink="">
      <xdr:nvSpPr>
        <xdr:cNvPr id="1108" name="AutoShape 10733">
          <a:extLst>
            <a:ext uri="{FF2B5EF4-FFF2-40B4-BE49-F238E27FC236}">
              <a16:creationId xmlns="" xmlns:a16="http://schemas.microsoft.com/office/drawing/2014/main" id="{02BBB4E5-EA86-4278-AFA6-91D2A722D770}"/>
            </a:ext>
          </a:extLst>
        </xdr:cNvPr>
        <xdr:cNvSpPr>
          <a:spLocks noChangeArrowheads="1"/>
        </xdr:cNvSpPr>
      </xdr:nvSpPr>
      <xdr:spPr bwMode="auto">
        <a:xfrm rot="5400000">
          <a:off x="2790177" y="10015905"/>
          <a:ext cx="450651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411541</xdr:colOff>
      <xdr:row>55</xdr:row>
      <xdr:rowOff>51808</xdr:rowOff>
    </xdr:from>
    <xdr:to>
      <xdr:col>7</xdr:col>
      <xdr:colOff>540267</xdr:colOff>
      <xdr:row>56</xdr:row>
      <xdr:rowOff>111191</xdr:rowOff>
    </xdr:to>
    <xdr:sp macro="" textlink="">
      <xdr:nvSpPr>
        <xdr:cNvPr id="1109" name="AutoShape 301">
          <a:extLst>
            <a:ext uri="{FF2B5EF4-FFF2-40B4-BE49-F238E27FC236}">
              <a16:creationId xmlns="" xmlns:a16="http://schemas.microsoft.com/office/drawing/2014/main" id="{B78AF1FF-60DA-4DCE-88C7-42503E446AD1}"/>
            </a:ext>
          </a:extLst>
        </xdr:cNvPr>
        <xdr:cNvSpPr>
          <a:spLocks noChangeArrowheads="1"/>
        </xdr:cNvSpPr>
      </xdr:nvSpPr>
      <xdr:spPr bwMode="auto">
        <a:xfrm rot="7084349">
          <a:off x="4100002" y="9896467"/>
          <a:ext cx="23464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403411</xdr:colOff>
      <xdr:row>55</xdr:row>
      <xdr:rowOff>80683</xdr:rowOff>
    </xdr:from>
    <xdr:to>
      <xdr:col>13</xdr:col>
      <xdr:colOff>532137</xdr:colOff>
      <xdr:row>56</xdr:row>
      <xdr:rowOff>140066</xdr:rowOff>
    </xdr:to>
    <xdr:sp macro="" textlink="">
      <xdr:nvSpPr>
        <xdr:cNvPr id="1110" name="AutoShape 301">
          <a:extLst>
            <a:ext uri="{FF2B5EF4-FFF2-40B4-BE49-F238E27FC236}">
              <a16:creationId xmlns="" xmlns:a16="http://schemas.microsoft.com/office/drawing/2014/main" id="{55BBAE7D-B398-4B53-89B5-402BA5ABA93E}"/>
            </a:ext>
          </a:extLst>
        </xdr:cNvPr>
        <xdr:cNvSpPr>
          <a:spLocks noChangeArrowheads="1"/>
        </xdr:cNvSpPr>
      </xdr:nvSpPr>
      <xdr:spPr bwMode="auto">
        <a:xfrm rot="7084349">
          <a:off x="7840912" y="9925342"/>
          <a:ext cx="23464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251013</xdr:colOff>
      <xdr:row>55</xdr:row>
      <xdr:rowOff>26894</xdr:rowOff>
    </xdr:from>
    <xdr:to>
      <xdr:col>17</xdr:col>
      <xdr:colOff>379739</xdr:colOff>
      <xdr:row>56</xdr:row>
      <xdr:rowOff>86277</xdr:rowOff>
    </xdr:to>
    <xdr:sp macro="" textlink="">
      <xdr:nvSpPr>
        <xdr:cNvPr id="1111" name="AutoShape 301">
          <a:extLst>
            <a:ext uri="{FF2B5EF4-FFF2-40B4-BE49-F238E27FC236}">
              <a16:creationId xmlns="" xmlns:a16="http://schemas.microsoft.com/office/drawing/2014/main" id="{EDF207E5-9A5A-45BF-BC98-3A45CDF8D877}"/>
            </a:ext>
          </a:extLst>
        </xdr:cNvPr>
        <xdr:cNvSpPr>
          <a:spLocks noChangeArrowheads="1"/>
        </xdr:cNvSpPr>
      </xdr:nvSpPr>
      <xdr:spPr bwMode="auto">
        <a:xfrm rot="7084349">
          <a:off x="10187874" y="9871553"/>
          <a:ext cx="23464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80682</xdr:colOff>
      <xdr:row>54</xdr:row>
      <xdr:rowOff>179293</xdr:rowOff>
    </xdr:from>
    <xdr:ext cx="69273" cy="399653"/>
    <xdr:pic>
      <xdr:nvPicPr>
        <xdr:cNvPr id="1112" name="Picture 11597">
          <a:extLst>
            <a:ext uri="{FF2B5EF4-FFF2-40B4-BE49-F238E27FC236}">
              <a16:creationId xmlns="" xmlns:a16="http://schemas.microsoft.com/office/drawing/2014/main" id="{0CA8F27A-F170-4F75-9A47-CF201D9E8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320182" y="9765253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19</xdr:col>
      <xdr:colOff>367026</xdr:colOff>
      <xdr:row>55</xdr:row>
      <xdr:rowOff>64862</xdr:rowOff>
    </xdr:from>
    <xdr:to>
      <xdr:col>19</xdr:col>
      <xdr:colOff>570506</xdr:colOff>
      <xdr:row>56</xdr:row>
      <xdr:rowOff>102592</xdr:rowOff>
    </xdr:to>
    <xdr:sp macro="" textlink="">
      <xdr:nvSpPr>
        <xdr:cNvPr id="1113" name="AutoShape 301">
          <a:extLst>
            <a:ext uri="{FF2B5EF4-FFF2-40B4-BE49-F238E27FC236}">
              <a16:creationId xmlns="" xmlns:a16="http://schemas.microsoft.com/office/drawing/2014/main" id="{52F2F725-B3FF-4B17-B820-A62D21BD1453}"/>
            </a:ext>
          </a:extLst>
        </xdr:cNvPr>
        <xdr:cNvSpPr>
          <a:spLocks noChangeArrowheads="1"/>
        </xdr:cNvSpPr>
      </xdr:nvSpPr>
      <xdr:spPr bwMode="auto">
        <a:xfrm rot="7084349">
          <a:off x="11601771" y="9861317"/>
          <a:ext cx="212990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107577</xdr:colOff>
      <xdr:row>55</xdr:row>
      <xdr:rowOff>71718</xdr:rowOff>
    </xdr:from>
    <xdr:to>
      <xdr:col>21</xdr:col>
      <xdr:colOff>311057</xdr:colOff>
      <xdr:row>56</xdr:row>
      <xdr:rowOff>109448</xdr:rowOff>
    </xdr:to>
    <xdr:sp macro="" textlink="">
      <xdr:nvSpPr>
        <xdr:cNvPr id="1114" name="AutoShape 301">
          <a:extLst>
            <a:ext uri="{FF2B5EF4-FFF2-40B4-BE49-F238E27FC236}">
              <a16:creationId xmlns="" xmlns:a16="http://schemas.microsoft.com/office/drawing/2014/main" id="{9FDF06D2-0365-4302-AC66-D9CFAD7E9224}"/>
            </a:ext>
          </a:extLst>
        </xdr:cNvPr>
        <xdr:cNvSpPr>
          <a:spLocks noChangeArrowheads="1"/>
        </xdr:cNvSpPr>
      </xdr:nvSpPr>
      <xdr:spPr bwMode="auto">
        <a:xfrm rot="7084349">
          <a:off x="12592002" y="9868173"/>
          <a:ext cx="212990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</xdr:col>
      <xdr:colOff>304800</xdr:colOff>
      <xdr:row>74</xdr:row>
      <xdr:rowOff>26894</xdr:rowOff>
    </xdr:from>
    <xdr:ext cx="72644" cy="419101"/>
    <xdr:pic>
      <xdr:nvPicPr>
        <xdr:cNvPr id="1116" name="Picture 11597">
          <a:extLst>
            <a:ext uri="{FF2B5EF4-FFF2-40B4-BE49-F238E27FC236}">
              <a16:creationId xmlns="" xmlns:a16="http://schemas.microsoft.com/office/drawing/2014/main" id="{9157B03A-7B2D-4BF3-845F-ED84A3A5F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81300" y="1304947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277906</xdr:colOff>
      <xdr:row>74</xdr:row>
      <xdr:rowOff>8964</xdr:rowOff>
    </xdr:from>
    <xdr:ext cx="72644" cy="419101"/>
    <xdr:pic>
      <xdr:nvPicPr>
        <xdr:cNvPr id="1117" name="Picture 11597">
          <a:extLst>
            <a:ext uri="{FF2B5EF4-FFF2-40B4-BE49-F238E27FC236}">
              <a16:creationId xmlns="" xmlns:a16="http://schemas.microsoft.com/office/drawing/2014/main" id="{2711DDEA-EF00-48F8-914A-139BFA459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18686" y="1303154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277905</xdr:colOff>
      <xdr:row>92</xdr:row>
      <xdr:rowOff>0</xdr:rowOff>
    </xdr:from>
    <xdr:ext cx="85725" cy="390524"/>
    <xdr:pic>
      <xdr:nvPicPr>
        <xdr:cNvPr id="1118" name="Picture 11597">
          <a:extLst>
            <a:ext uri="{FF2B5EF4-FFF2-40B4-BE49-F238E27FC236}">
              <a16:creationId xmlns="" xmlns:a16="http://schemas.microsoft.com/office/drawing/2014/main" id="{48E10B39-5443-4345-9A27-CEB938585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325" y="165582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353464</xdr:colOff>
      <xdr:row>92</xdr:row>
      <xdr:rowOff>68365</xdr:rowOff>
    </xdr:from>
    <xdr:to>
      <xdr:col>9</xdr:col>
      <xdr:colOff>521181</xdr:colOff>
      <xdr:row>94</xdr:row>
      <xdr:rowOff>9876</xdr:rowOff>
    </xdr:to>
    <xdr:sp macro="" textlink="">
      <xdr:nvSpPr>
        <xdr:cNvPr id="1119" name="AutoShape 301">
          <a:extLst>
            <a:ext uri="{FF2B5EF4-FFF2-40B4-BE49-F238E27FC236}">
              <a16:creationId xmlns="" xmlns:a16="http://schemas.microsoft.com/office/drawing/2014/main" id="{D35D8528-FD75-4A36-8FEC-B63649659055}"/>
            </a:ext>
          </a:extLst>
        </xdr:cNvPr>
        <xdr:cNvSpPr>
          <a:spLocks noChangeArrowheads="1"/>
        </xdr:cNvSpPr>
      </xdr:nvSpPr>
      <xdr:spPr bwMode="auto">
        <a:xfrm rot="7084349">
          <a:off x="5282407" y="16688782"/>
          <a:ext cx="292031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116542</xdr:colOff>
      <xdr:row>92</xdr:row>
      <xdr:rowOff>62753</xdr:rowOff>
    </xdr:from>
    <xdr:to>
      <xdr:col>15</xdr:col>
      <xdr:colOff>284259</xdr:colOff>
      <xdr:row>94</xdr:row>
      <xdr:rowOff>4264</xdr:rowOff>
    </xdr:to>
    <xdr:sp macro="" textlink="">
      <xdr:nvSpPr>
        <xdr:cNvPr id="1120" name="AutoShape 301">
          <a:extLst>
            <a:ext uri="{FF2B5EF4-FFF2-40B4-BE49-F238E27FC236}">
              <a16:creationId xmlns="" xmlns:a16="http://schemas.microsoft.com/office/drawing/2014/main" id="{65BC8437-3F1B-4EC0-AD0E-FDB1FEC5B286}"/>
            </a:ext>
          </a:extLst>
        </xdr:cNvPr>
        <xdr:cNvSpPr>
          <a:spLocks noChangeArrowheads="1"/>
        </xdr:cNvSpPr>
      </xdr:nvSpPr>
      <xdr:spPr bwMode="auto">
        <a:xfrm rot="7084349">
          <a:off x="8794525" y="16683170"/>
          <a:ext cx="292031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226175</xdr:colOff>
      <xdr:row>92</xdr:row>
      <xdr:rowOff>89734</xdr:rowOff>
    </xdr:from>
    <xdr:to>
      <xdr:col>19</xdr:col>
      <xdr:colOff>356325</xdr:colOff>
      <xdr:row>94</xdr:row>
      <xdr:rowOff>31890</xdr:rowOff>
    </xdr:to>
    <xdr:sp macro="" textlink="">
      <xdr:nvSpPr>
        <xdr:cNvPr id="1121" name="AutoShape 301">
          <a:extLst>
            <a:ext uri="{FF2B5EF4-FFF2-40B4-BE49-F238E27FC236}">
              <a16:creationId xmlns="" xmlns:a16="http://schemas.microsoft.com/office/drawing/2014/main" id="{46AB0654-787D-4C15-9A5E-8C3E692C0AB6}"/>
            </a:ext>
          </a:extLst>
        </xdr:cNvPr>
        <xdr:cNvSpPr>
          <a:spLocks noChangeArrowheads="1"/>
        </xdr:cNvSpPr>
      </xdr:nvSpPr>
      <xdr:spPr bwMode="auto">
        <a:xfrm rot="7084349">
          <a:off x="11384412" y="16729257"/>
          <a:ext cx="292676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152401</xdr:colOff>
      <xdr:row>101</xdr:row>
      <xdr:rowOff>17931</xdr:rowOff>
    </xdr:from>
    <xdr:to>
      <xdr:col>7</xdr:col>
      <xdr:colOff>282551</xdr:colOff>
      <xdr:row>102</xdr:row>
      <xdr:rowOff>139381</xdr:rowOff>
    </xdr:to>
    <xdr:sp macro="" textlink="">
      <xdr:nvSpPr>
        <xdr:cNvPr id="1122" name="AutoShape 301">
          <a:extLst>
            <a:ext uri="{FF2B5EF4-FFF2-40B4-BE49-F238E27FC236}">
              <a16:creationId xmlns="" xmlns:a16="http://schemas.microsoft.com/office/drawing/2014/main" id="{2EED099A-28FD-4E7F-91D0-0ABADD597AFA}"/>
            </a:ext>
          </a:extLst>
        </xdr:cNvPr>
        <xdr:cNvSpPr>
          <a:spLocks noChangeArrowheads="1"/>
        </xdr:cNvSpPr>
      </xdr:nvSpPr>
      <xdr:spPr bwMode="auto">
        <a:xfrm rot="7084349">
          <a:off x="3810541" y="18404451"/>
          <a:ext cx="296710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215153</xdr:colOff>
      <xdr:row>101</xdr:row>
      <xdr:rowOff>8965</xdr:rowOff>
    </xdr:from>
    <xdr:to>
      <xdr:col>15</xdr:col>
      <xdr:colOff>382870</xdr:colOff>
      <xdr:row>102</xdr:row>
      <xdr:rowOff>129770</xdr:rowOff>
    </xdr:to>
    <xdr:sp macro="" textlink="">
      <xdr:nvSpPr>
        <xdr:cNvPr id="1123" name="AutoShape 301">
          <a:extLst>
            <a:ext uri="{FF2B5EF4-FFF2-40B4-BE49-F238E27FC236}">
              <a16:creationId xmlns="" xmlns:a16="http://schemas.microsoft.com/office/drawing/2014/main" id="{63A00D28-DED0-40F9-9B09-F471AA18B896}"/>
            </a:ext>
          </a:extLst>
        </xdr:cNvPr>
        <xdr:cNvSpPr>
          <a:spLocks noChangeArrowheads="1"/>
        </xdr:cNvSpPr>
      </xdr:nvSpPr>
      <xdr:spPr bwMode="auto">
        <a:xfrm rot="7084349">
          <a:off x="8891119" y="18376379"/>
          <a:ext cx="29606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206188</xdr:colOff>
      <xdr:row>101</xdr:row>
      <xdr:rowOff>8965</xdr:rowOff>
    </xdr:from>
    <xdr:to>
      <xdr:col>19</xdr:col>
      <xdr:colOff>373905</xdr:colOff>
      <xdr:row>102</xdr:row>
      <xdr:rowOff>129770</xdr:rowOff>
    </xdr:to>
    <xdr:sp macro="" textlink="">
      <xdr:nvSpPr>
        <xdr:cNvPr id="1124" name="AutoShape 301">
          <a:extLst>
            <a:ext uri="{FF2B5EF4-FFF2-40B4-BE49-F238E27FC236}">
              <a16:creationId xmlns="" xmlns:a16="http://schemas.microsoft.com/office/drawing/2014/main" id="{0068D79F-58E7-4C9B-86B0-C46CB413E2C8}"/>
            </a:ext>
          </a:extLst>
        </xdr:cNvPr>
        <xdr:cNvSpPr>
          <a:spLocks noChangeArrowheads="1"/>
        </xdr:cNvSpPr>
      </xdr:nvSpPr>
      <xdr:spPr bwMode="auto">
        <a:xfrm rot="7084349">
          <a:off x="11381514" y="18376379"/>
          <a:ext cx="29606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358589</xdr:colOff>
      <xdr:row>110</xdr:row>
      <xdr:rowOff>62753</xdr:rowOff>
    </xdr:from>
    <xdr:to>
      <xdr:col>3</xdr:col>
      <xdr:colOff>526306</xdr:colOff>
      <xdr:row>112</xdr:row>
      <xdr:rowOff>4264</xdr:rowOff>
    </xdr:to>
    <xdr:sp macro="" textlink="">
      <xdr:nvSpPr>
        <xdr:cNvPr id="1125" name="AutoShape 301">
          <a:extLst>
            <a:ext uri="{FF2B5EF4-FFF2-40B4-BE49-F238E27FC236}">
              <a16:creationId xmlns="" xmlns:a16="http://schemas.microsoft.com/office/drawing/2014/main" id="{805DEF8C-9D4F-42A2-BD2C-0B508811B767}"/>
            </a:ext>
          </a:extLst>
        </xdr:cNvPr>
        <xdr:cNvSpPr>
          <a:spLocks noChangeArrowheads="1"/>
        </xdr:cNvSpPr>
      </xdr:nvSpPr>
      <xdr:spPr bwMode="auto">
        <a:xfrm rot="7084349">
          <a:off x="1508012" y="20378870"/>
          <a:ext cx="292031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268941</xdr:colOff>
      <xdr:row>109</xdr:row>
      <xdr:rowOff>170330</xdr:rowOff>
    </xdr:from>
    <xdr:to>
      <xdr:col>13</xdr:col>
      <xdr:colOff>307041</xdr:colOff>
      <xdr:row>112</xdr:row>
      <xdr:rowOff>92636</xdr:rowOff>
    </xdr:to>
    <xdr:sp macro="" textlink="">
      <xdr:nvSpPr>
        <xdr:cNvPr id="1126" name="AutoShape 10733">
          <a:extLst>
            <a:ext uri="{FF2B5EF4-FFF2-40B4-BE49-F238E27FC236}">
              <a16:creationId xmlns="" xmlns:a16="http://schemas.microsoft.com/office/drawing/2014/main" id="{BBFF05FF-803A-4E59-8E54-5F1ECD1DC77C}"/>
            </a:ext>
          </a:extLst>
        </xdr:cNvPr>
        <xdr:cNvSpPr>
          <a:spLocks noChangeArrowheads="1"/>
        </xdr:cNvSpPr>
      </xdr:nvSpPr>
      <xdr:spPr bwMode="auto">
        <a:xfrm rot="5400000">
          <a:off x="7554408" y="20454023"/>
          <a:ext cx="448086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385959</xdr:colOff>
      <xdr:row>110</xdr:row>
      <xdr:rowOff>47547</xdr:rowOff>
    </xdr:from>
    <xdr:to>
      <xdr:col>17</xdr:col>
      <xdr:colOff>528237</xdr:colOff>
      <xdr:row>111</xdr:row>
      <xdr:rowOff>172690</xdr:rowOff>
    </xdr:to>
    <xdr:sp macro="" textlink="">
      <xdr:nvSpPr>
        <xdr:cNvPr id="1127" name="AutoShape 301">
          <a:extLst>
            <a:ext uri="{FF2B5EF4-FFF2-40B4-BE49-F238E27FC236}">
              <a16:creationId xmlns="" xmlns:a16="http://schemas.microsoft.com/office/drawing/2014/main" id="{F50E75F4-D147-4784-BED9-07CEA3C00553}"/>
            </a:ext>
          </a:extLst>
        </xdr:cNvPr>
        <xdr:cNvSpPr>
          <a:spLocks noChangeArrowheads="1"/>
        </xdr:cNvSpPr>
      </xdr:nvSpPr>
      <xdr:spPr bwMode="auto">
        <a:xfrm rot="7084349">
          <a:off x="10296716" y="20380570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197223</xdr:colOff>
      <xdr:row>119</xdr:row>
      <xdr:rowOff>8965</xdr:rowOff>
    </xdr:from>
    <xdr:to>
      <xdr:col>5</xdr:col>
      <xdr:colOff>339501</xdr:colOff>
      <xdr:row>120</xdr:row>
      <xdr:rowOff>134108</xdr:rowOff>
    </xdr:to>
    <xdr:sp macro="" textlink="">
      <xdr:nvSpPr>
        <xdr:cNvPr id="1128" name="AutoShape 301">
          <a:extLst>
            <a:ext uri="{FF2B5EF4-FFF2-40B4-BE49-F238E27FC236}">
              <a16:creationId xmlns="" xmlns:a16="http://schemas.microsoft.com/office/drawing/2014/main" id="{6944F50E-B1AB-4F7E-9AC8-F14632904884}"/>
            </a:ext>
          </a:extLst>
        </xdr:cNvPr>
        <xdr:cNvSpPr>
          <a:spLocks noChangeArrowheads="1"/>
        </xdr:cNvSpPr>
      </xdr:nvSpPr>
      <xdr:spPr bwMode="auto">
        <a:xfrm rot="7084349">
          <a:off x="2594660" y="22125068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376517</xdr:colOff>
      <xdr:row>119</xdr:row>
      <xdr:rowOff>53788</xdr:rowOff>
    </xdr:from>
    <xdr:to>
      <xdr:col>9</xdr:col>
      <xdr:colOff>518795</xdr:colOff>
      <xdr:row>120</xdr:row>
      <xdr:rowOff>178931</xdr:rowOff>
    </xdr:to>
    <xdr:sp macro="" textlink="">
      <xdr:nvSpPr>
        <xdr:cNvPr id="1131" name="AutoShape 301">
          <a:extLst>
            <a:ext uri="{FF2B5EF4-FFF2-40B4-BE49-F238E27FC236}">
              <a16:creationId xmlns="" xmlns:a16="http://schemas.microsoft.com/office/drawing/2014/main" id="{9058B2DC-82E6-4A7B-AF42-414B4B6AB382}"/>
            </a:ext>
          </a:extLst>
        </xdr:cNvPr>
        <xdr:cNvSpPr>
          <a:spLocks noChangeArrowheads="1"/>
        </xdr:cNvSpPr>
      </xdr:nvSpPr>
      <xdr:spPr bwMode="auto">
        <a:xfrm rot="7084349">
          <a:off x="5288554" y="22169891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376517</xdr:colOff>
      <xdr:row>119</xdr:row>
      <xdr:rowOff>26894</xdr:rowOff>
    </xdr:from>
    <xdr:to>
      <xdr:col>11</xdr:col>
      <xdr:colOff>518795</xdr:colOff>
      <xdr:row>120</xdr:row>
      <xdr:rowOff>152037</xdr:rowOff>
    </xdr:to>
    <xdr:sp macro="" textlink="">
      <xdr:nvSpPr>
        <xdr:cNvPr id="1132" name="AutoShape 301">
          <a:extLst>
            <a:ext uri="{FF2B5EF4-FFF2-40B4-BE49-F238E27FC236}">
              <a16:creationId xmlns="" xmlns:a16="http://schemas.microsoft.com/office/drawing/2014/main" id="{81EEC0AA-A203-4208-84DD-A1BA363AF2AD}"/>
            </a:ext>
          </a:extLst>
        </xdr:cNvPr>
        <xdr:cNvSpPr>
          <a:spLocks noChangeArrowheads="1"/>
        </xdr:cNvSpPr>
      </xdr:nvSpPr>
      <xdr:spPr bwMode="auto">
        <a:xfrm rot="7084349">
          <a:off x="6538234" y="22142997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376517</xdr:colOff>
      <xdr:row>119</xdr:row>
      <xdr:rowOff>53788</xdr:rowOff>
    </xdr:from>
    <xdr:to>
      <xdr:col>17</xdr:col>
      <xdr:colOff>518795</xdr:colOff>
      <xdr:row>120</xdr:row>
      <xdr:rowOff>178931</xdr:rowOff>
    </xdr:to>
    <xdr:sp macro="" textlink="">
      <xdr:nvSpPr>
        <xdr:cNvPr id="1133" name="AutoShape 301">
          <a:extLst>
            <a:ext uri="{FF2B5EF4-FFF2-40B4-BE49-F238E27FC236}">
              <a16:creationId xmlns="" xmlns:a16="http://schemas.microsoft.com/office/drawing/2014/main" id="{7D8B6B7A-7260-49F0-AE79-AC7A968935A3}"/>
            </a:ext>
          </a:extLst>
        </xdr:cNvPr>
        <xdr:cNvSpPr>
          <a:spLocks noChangeArrowheads="1"/>
        </xdr:cNvSpPr>
      </xdr:nvSpPr>
      <xdr:spPr bwMode="auto">
        <a:xfrm rot="7084349">
          <a:off x="10287274" y="22169891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197223</xdr:colOff>
      <xdr:row>129</xdr:row>
      <xdr:rowOff>26895</xdr:rowOff>
    </xdr:from>
    <xdr:to>
      <xdr:col>15</xdr:col>
      <xdr:colOff>339501</xdr:colOff>
      <xdr:row>130</xdr:row>
      <xdr:rowOff>152038</xdr:rowOff>
    </xdr:to>
    <xdr:sp macro="" textlink="">
      <xdr:nvSpPr>
        <xdr:cNvPr id="1134" name="AutoShape 301">
          <a:extLst>
            <a:ext uri="{FF2B5EF4-FFF2-40B4-BE49-F238E27FC236}">
              <a16:creationId xmlns="" xmlns:a16="http://schemas.microsoft.com/office/drawing/2014/main" id="{DBF658BB-DEE9-4EC7-B4F7-541BECCF1B34}"/>
            </a:ext>
          </a:extLst>
        </xdr:cNvPr>
        <xdr:cNvSpPr>
          <a:spLocks noChangeArrowheads="1"/>
        </xdr:cNvSpPr>
      </xdr:nvSpPr>
      <xdr:spPr bwMode="auto">
        <a:xfrm rot="7084349">
          <a:off x="8858300" y="23994658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419192</xdr:colOff>
      <xdr:row>129</xdr:row>
      <xdr:rowOff>89272</xdr:rowOff>
    </xdr:from>
    <xdr:to>
      <xdr:col>21</xdr:col>
      <xdr:colOff>597977</xdr:colOff>
      <xdr:row>131</xdr:row>
      <xdr:rowOff>35120</xdr:rowOff>
    </xdr:to>
    <xdr:sp macro="" textlink="">
      <xdr:nvSpPr>
        <xdr:cNvPr id="1135" name="AutoShape 301">
          <a:extLst>
            <a:ext uri="{FF2B5EF4-FFF2-40B4-BE49-F238E27FC236}">
              <a16:creationId xmlns="" xmlns:a16="http://schemas.microsoft.com/office/drawing/2014/main" id="{D0CA24C7-F27F-4C7A-8DF6-B9D840469E83}"/>
            </a:ext>
          </a:extLst>
        </xdr:cNvPr>
        <xdr:cNvSpPr>
          <a:spLocks noChangeArrowheads="1"/>
        </xdr:cNvSpPr>
      </xdr:nvSpPr>
      <xdr:spPr bwMode="auto">
        <a:xfrm rot="7084349">
          <a:off x="12849581" y="24036763"/>
          <a:ext cx="296368" cy="178785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338171</xdr:colOff>
      <xdr:row>149</xdr:row>
      <xdr:rowOff>79237</xdr:rowOff>
    </xdr:from>
    <xdr:to>
      <xdr:col>10</xdr:col>
      <xdr:colOff>304800</xdr:colOff>
      <xdr:row>150</xdr:row>
      <xdr:rowOff>107578</xdr:rowOff>
    </xdr:to>
    <xdr:sp macro="" textlink="">
      <xdr:nvSpPr>
        <xdr:cNvPr id="1137" name="Moon 1136"/>
        <xdr:cNvSpPr/>
      </xdr:nvSpPr>
      <xdr:spPr>
        <a:xfrm>
          <a:off x="4748806" y="27582955"/>
          <a:ext cx="1239618" cy="198670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349623</xdr:colOff>
      <xdr:row>149</xdr:row>
      <xdr:rowOff>71718</xdr:rowOff>
    </xdr:from>
    <xdr:to>
      <xdr:col>8</xdr:col>
      <xdr:colOff>316253</xdr:colOff>
      <xdr:row>150</xdr:row>
      <xdr:rowOff>100059</xdr:rowOff>
    </xdr:to>
    <xdr:sp macro="" textlink="">
      <xdr:nvSpPr>
        <xdr:cNvPr id="1138" name="Moon 1136"/>
        <xdr:cNvSpPr/>
      </xdr:nvSpPr>
      <xdr:spPr>
        <a:xfrm>
          <a:off x="3487270" y="27575436"/>
          <a:ext cx="1239618" cy="198670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89647</xdr:colOff>
      <xdr:row>149</xdr:row>
      <xdr:rowOff>8964</xdr:rowOff>
    </xdr:from>
    <xdr:to>
      <xdr:col>9</xdr:col>
      <xdr:colOff>483470</xdr:colOff>
      <xdr:row>149</xdr:row>
      <xdr:rowOff>128173</xdr:rowOff>
    </xdr:to>
    <xdr:cxnSp macro="">
      <xdr:nvCxnSpPr>
        <xdr:cNvPr id="1139" name="Straight Arrow Connector 1138">
          <a:extLst>
            <a:ext uri="{FF2B5EF4-FFF2-40B4-BE49-F238E27FC236}">
              <a16:creationId xmlns="" xmlns:a16="http://schemas.microsoft.com/office/drawing/2014/main" id="{A7219166-90AD-4A9D-A5DA-73C038DC8853}"/>
            </a:ext>
          </a:extLst>
        </xdr:cNvPr>
        <xdr:cNvCxnSpPr/>
      </xdr:nvCxnSpPr>
      <xdr:spPr>
        <a:xfrm flipH="1">
          <a:off x="5136776" y="27512682"/>
          <a:ext cx="393823" cy="11920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393824</xdr:colOff>
      <xdr:row>149</xdr:row>
      <xdr:rowOff>0</xdr:rowOff>
    </xdr:from>
    <xdr:to>
      <xdr:col>8</xdr:col>
      <xdr:colOff>8965</xdr:colOff>
      <xdr:row>149</xdr:row>
      <xdr:rowOff>134470</xdr:rowOff>
    </xdr:to>
    <xdr:cxnSp macro="">
      <xdr:nvCxnSpPr>
        <xdr:cNvPr id="1140" name="Straight Arrow Connector 1139">
          <a:extLst>
            <a:ext uri="{FF2B5EF4-FFF2-40B4-BE49-F238E27FC236}">
              <a16:creationId xmlns="" xmlns:a16="http://schemas.microsoft.com/office/drawing/2014/main" id="{A7219166-90AD-4A9D-A5DA-73C038DC8853}"/>
            </a:ext>
          </a:extLst>
        </xdr:cNvPr>
        <xdr:cNvCxnSpPr/>
      </xdr:nvCxnSpPr>
      <xdr:spPr>
        <a:xfrm>
          <a:off x="4167965" y="27503718"/>
          <a:ext cx="251635" cy="1344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330574</xdr:colOff>
      <xdr:row>63</xdr:row>
      <xdr:rowOff>66394</xdr:rowOff>
    </xdr:from>
    <xdr:to>
      <xdr:col>18</xdr:col>
      <xdr:colOff>297204</xdr:colOff>
      <xdr:row>64</xdr:row>
      <xdr:rowOff>12605</xdr:rowOff>
    </xdr:to>
    <xdr:sp macro="" textlink="">
      <xdr:nvSpPr>
        <xdr:cNvPr id="1142" name="Moon 1136"/>
        <xdr:cNvSpPr/>
      </xdr:nvSpPr>
      <xdr:spPr>
        <a:xfrm>
          <a:off x="9793662" y="10743919"/>
          <a:ext cx="1233455" cy="112899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340659</xdr:colOff>
      <xdr:row>63</xdr:row>
      <xdr:rowOff>71718</xdr:rowOff>
    </xdr:from>
    <xdr:to>
      <xdr:col>20</xdr:col>
      <xdr:colOff>307288</xdr:colOff>
      <xdr:row>64</xdr:row>
      <xdr:rowOff>26894</xdr:rowOff>
    </xdr:to>
    <xdr:sp macro="" textlink="">
      <xdr:nvSpPr>
        <xdr:cNvPr id="1143" name="Moon 1136"/>
        <xdr:cNvSpPr/>
      </xdr:nvSpPr>
      <xdr:spPr>
        <a:xfrm>
          <a:off x="11116235" y="10883153"/>
          <a:ext cx="1239618" cy="125506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325811</xdr:colOff>
      <xdr:row>63</xdr:row>
      <xdr:rowOff>71157</xdr:rowOff>
    </xdr:from>
    <xdr:to>
      <xdr:col>22</xdr:col>
      <xdr:colOff>292441</xdr:colOff>
      <xdr:row>64</xdr:row>
      <xdr:rowOff>10353</xdr:rowOff>
    </xdr:to>
    <xdr:sp macro="" textlink="">
      <xdr:nvSpPr>
        <xdr:cNvPr id="1144" name="Moon 1136"/>
        <xdr:cNvSpPr/>
      </xdr:nvSpPr>
      <xdr:spPr>
        <a:xfrm>
          <a:off x="12322549" y="10748682"/>
          <a:ext cx="1233455" cy="10588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322383</xdr:colOff>
      <xdr:row>63</xdr:row>
      <xdr:rowOff>58616</xdr:rowOff>
    </xdr:from>
    <xdr:to>
      <xdr:col>16</xdr:col>
      <xdr:colOff>287340</xdr:colOff>
      <xdr:row>63</xdr:row>
      <xdr:rowOff>168113</xdr:rowOff>
    </xdr:to>
    <xdr:sp macro="" textlink="">
      <xdr:nvSpPr>
        <xdr:cNvPr id="964" name="Moon 1136"/>
        <xdr:cNvSpPr/>
      </xdr:nvSpPr>
      <xdr:spPr>
        <a:xfrm>
          <a:off x="8557845" y="10791093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310662</xdr:colOff>
      <xdr:row>63</xdr:row>
      <xdr:rowOff>58615</xdr:rowOff>
    </xdr:from>
    <xdr:to>
      <xdr:col>14</xdr:col>
      <xdr:colOff>275618</xdr:colOff>
      <xdr:row>63</xdr:row>
      <xdr:rowOff>168112</xdr:rowOff>
    </xdr:to>
    <xdr:sp macro="" textlink="">
      <xdr:nvSpPr>
        <xdr:cNvPr id="1115" name="Moon 1136"/>
        <xdr:cNvSpPr/>
      </xdr:nvSpPr>
      <xdr:spPr>
        <a:xfrm>
          <a:off x="7280031" y="10791092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316523</xdr:colOff>
      <xdr:row>63</xdr:row>
      <xdr:rowOff>58616</xdr:rowOff>
    </xdr:from>
    <xdr:to>
      <xdr:col>12</xdr:col>
      <xdr:colOff>281480</xdr:colOff>
      <xdr:row>63</xdr:row>
      <xdr:rowOff>168113</xdr:rowOff>
    </xdr:to>
    <xdr:sp macro="" textlink="">
      <xdr:nvSpPr>
        <xdr:cNvPr id="1141" name="Moon 1136"/>
        <xdr:cNvSpPr/>
      </xdr:nvSpPr>
      <xdr:spPr>
        <a:xfrm>
          <a:off x="6019800" y="10791093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310661</xdr:colOff>
      <xdr:row>63</xdr:row>
      <xdr:rowOff>64477</xdr:rowOff>
    </xdr:from>
    <xdr:to>
      <xdr:col>10</xdr:col>
      <xdr:colOff>275618</xdr:colOff>
      <xdr:row>64</xdr:row>
      <xdr:rowOff>3989</xdr:rowOff>
    </xdr:to>
    <xdr:sp macro="" textlink="">
      <xdr:nvSpPr>
        <xdr:cNvPr id="1145" name="Moon 1136"/>
        <xdr:cNvSpPr/>
      </xdr:nvSpPr>
      <xdr:spPr>
        <a:xfrm>
          <a:off x="4747846" y="10796954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310661</xdr:colOff>
      <xdr:row>63</xdr:row>
      <xdr:rowOff>70339</xdr:rowOff>
    </xdr:from>
    <xdr:to>
      <xdr:col>8</xdr:col>
      <xdr:colOff>275617</xdr:colOff>
      <xdr:row>64</xdr:row>
      <xdr:rowOff>9851</xdr:rowOff>
    </xdr:to>
    <xdr:sp macro="" textlink="">
      <xdr:nvSpPr>
        <xdr:cNvPr id="1146" name="Moon 1136"/>
        <xdr:cNvSpPr/>
      </xdr:nvSpPr>
      <xdr:spPr>
        <a:xfrm>
          <a:off x="3481753" y="10802816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322384</xdr:colOff>
      <xdr:row>63</xdr:row>
      <xdr:rowOff>70338</xdr:rowOff>
    </xdr:from>
    <xdr:to>
      <xdr:col>6</xdr:col>
      <xdr:colOff>287341</xdr:colOff>
      <xdr:row>64</xdr:row>
      <xdr:rowOff>9850</xdr:rowOff>
    </xdr:to>
    <xdr:sp macro="" textlink="">
      <xdr:nvSpPr>
        <xdr:cNvPr id="1147" name="Moon 1136"/>
        <xdr:cNvSpPr/>
      </xdr:nvSpPr>
      <xdr:spPr>
        <a:xfrm>
          <a:off x="2227384" y="10802815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346842</xdr:colOff>
      <xdr:row>63</xdr:row>
      <xdr:rowOff>73572</xdr:rowOff>
    </xdr:from>
    <xdr:to>
      <xdr:col>4</xdr:col>
      <xdr:colOff>265253</xdr:colOff>
      <xdr:row>64</xdr:row>
      <xdr:rowOff>14903</xdr:rowOff>
    </xdr:to>
    <xdr:sp macro="" textlink="">
      <xdr:nvSpPr>
        <xdr:cNvPr id="1063" name="Moon 1136"/>
        <xdr:cNvSpPr/>
      </xdr:nvSpPr>
      <xdr:spPr>
        <a:xfrm>
          <a:off x="940676" y="10715296"/>
          <a:ext cx="12269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315950</xdr:colOff>
      <xdr:row>53</xdr:row>
      <xdr:rowOff>70624</xdr:rowOff>
    </xdr:from>
    <xdr:to>
      <xdr:col>22</xdr:col>
      <xdr:colOff>280907</xdr:colOff>
      <xdr:row>54</xdr:row>
      <xdr:rowOff>5418</xdr:rowOff>
    </xdr:to>
    <xdr:sp macro="" textlink="">
      <xdr:nvSpPr>
        <xdr:cNvPr id="1148" name="Moon 1136"/>
        <xdr:cNvSpPr/>
      </xdr:nvSpPr>
      <xdr:spPr>
        <a:xfrm>
          <a:off x="12329530" y="9129131"/>
          <a:ext cx="122876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323385</xdr:colOff>
      <xdr:row>53</xdr:row>
      <xdr:rowOff>74341</xdr:rowOff>
    </xdr:from>
    <xdr:to>
      <xdr:col>20</xdr:col>
      <xdr:colOff>287811</xdr:colOff>
      <xdr:row>54</xdr:row>
      <xdr:rowOff>9135</xdr:rowOff>
    </xdr:to>
    <xdr:sp macro="" textlink="">
      <xdr:nvSpPr>
        <xdr:cNvPr id="1149" name="Moon 1136"/>
        <xdr:cNvSpPr/>
      </xdr:nvSpPr>
      <xdr:spPr>
        <a:xfrm>
          <a:off x="11073161" y="9132848"/>
          <a:ext cx="1228230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304800</xdr:colOff>
      <xdr:row>53</xdr:row>
      <xdr:rowOff>70625</xdr:rowOff>
    </xdr:from>
    <xdr:to>
      <xdr:col>18</xdr:col>
      <xdr:colOff>269227</xdr:colOff>
      <xdr:row>54</xdr:row>
      <xdr:rowOff>5419</xdr:rowOff>
    </xdr:to>
    <xdr:sp macro="" textlink="">
      <xdr:nvSpPr>
        <xdr:cNvPr id="1150" name="Moon 1136"/>
        <xdr:cNvSpPr/>
      </xdr:nvSpPr>
      <xdr:spPr>
        <a:xfrm>
          <a:off x="9790771" y="9129132"/>
          <a:ext cx="122823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312234</xdr:colOff>
      <xdr:row>53</xdr:row>
      <xdr:rowOff>70624</xdr:rowOff>
    </xdr:from>
    <xdr:to>
      <xdr:col>16</xdr:col>
      <xdr:colOff>276661</xdr:colOff>
      <xdr:row>54</xdr:row>
      <xdr:rowOff>5418</xdr:rowOff>
    </xdr:to>
    <xdr:sp macro="" textlink="">
      <xdr:nvSpPr>
        <xdr:cNvPr id="1151" name="Moon 1136"/>
        <xdr:cNvSpPr/>
      </xdr:nvSpPr>
      <xdr:spPr>
        <a:xfrm>
          <a:off x="8534400" y="9129131"/>
          <a:ext cx="122823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323385</xdr:colOff>
      <xdr:row>53</xdr:row>
      <xdr:rowOff>70624</xdr:rowOff>
    </xdr:from>
    <xdr:to>
      <xdr:col>14</xdr:col>
      <xdr:colOff>287812</xdr:colOff>
      <xdr:row>54</xdr:row>
      <xdr:rowOff>5418</xdr:rowOff>
    </xdr:to>
    <xdr:sp macro="" textlink="">
      <xdr:nvSpPr>
        <xdr:cNvPr id="1152" name="Moon 1136"/>
        <xdr:cNvSpPr/>
      </xdr:nvSpPr>
      <xdr:spPr>
        <a:xfrm>
          <a:off x="7281746" y="9129131"/>
          <a:ext cx="122823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328246</xdr:colOff>
      <xdr:row>35</xdr:row>
      <xdr:rowOff>70338</xdr:rowOff>
    </xdr:from>
    <xdr:to>
      <xdr:col>14</xdr:col>
      <xdr:colOff>294627</xdr:colOff>
      <xdr:row>36</xdr:row>
      <xdr:rowOff>12948</xdr:rowOff>
    </xdr:to>
    <xdr:sp macro="" textlink="">
      <xdr:nvSpPr>
        <xdr:cNvPr id="1057" name="Moon 1136"/>
        <xdr:cNvSpPr/>
      </xdr:nvSpPr>
      <xdr:spPr>
        <a:xfrm>
          <a:off x="7297615" y="6172200"/>
          <a:ext cx="1232474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328246</xdr:colOff>
      <xdr:row>35</xdr:row>
      <xdr:rowOff>76200</xdr:rowOff>
    </xdr:from>
    <xdr:to>
      <xdr:col>16</xdr:col>
      <xdr:colOff>294627</xdr:colOff>
      <xdr:row>36</xdr:row>
      <xdr:rowOff>18810</xdr:rowOff>
    </xdr:to>
    <xdr:sp macro="" textlink="">
      <xdr:nvSpPr>
        <xdr:cNvPr id="1153" name="Moon 1136"/>
        <xdr:cNvSpPr/>
      </xdr:nvSpPr>
      <xdr:spPr>
        <a:xfrm>
          <a:off x="8563708" y="6178062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316523</xdr:colOff>
      <xdr:row>35</xdr:row>
      <xdr:rowOff>64477</xdr:rowOff>
    </xdr:from>
    <xdr:to>
      <xdr:col>18</xdr:col>
      <xdr:colOff>282904</xdr:colOff>
      <xdr:row>36</xdr:row>
      <xdr:rowOff>7087</xdr:rowOff>
    </xdr:to>
    <xdr:sp macro="" textlink="">
      <xdr:nvSpPr>
        <xdr:cNvPr id="1154" name="Moon 1136"/>
        <xdr:cNvSpPr/>
      </xdr:nvSpPr>
      <xdr:spPr>
        <a:xfrm>
          <a:off x="9818077" y="6166339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304800</xdr:colOff>
      <xdr:row>35</xdr:row>
      <xdr:rowOff>70338</xdr:rowOff>
    </xdr:from>
    <xdr:to>
      <xdr:col>20</xdr:col>
      <xdr:colOff>271181</xdr:colOff>
      <xdr:row>36</xdr:row>
      <xdr:rowOff>12948</xdr:rowOff>
    </xdr:to>
    <xdr:sp macro="" textlink="">
      <xdr:nvSpPr>
        <xdr:cNvPr id="1155" name="Moon 1136"/>
        <xdr:cNvSpPr/>
      </xdr:nvSpPr>
      <xdr:spPr>
        <a:xfrm>
          <a:off x="11072446" y="617220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281354</xdr:colOff>
      <xdr:row>35</xdr:row>
      <xdr:rowOff>82062</xdr:rowOff>
    </xdr:from>
    <xdr:to>
      <xdr:col>22</xdr:col>
      <xdr:colOff>247734</xdr:colOff>
      <xdr:row>36</xdr:row>
      <xdr:rowOff>24672</xdr:rowOff>
    </xdr:to>
    <xdr:sp macro="" textlink="">
      <xdr:nvSpPr>
        <xdr:cNvPr id="1156" name="Moon 1136"/>
        <xdr:cNvSpPr/>
      </xdr:nvSpPr>
      <xdr:spPr>
        <a:xfrm>
          <a:off x="12315092" y="6183924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351693</xdr:colOff>
      <xdr:row>44</xdr:row>
      <xdr:rowOff>76200</xdr:rowOff>
    </xdr:from>
    <xdr:to>
      <xdr:col>4</xdr:col>
      <xdr:colOff>271181</xdr:colOff>
      <xdr:row>45</xdr:row>
      <xdr:rowOff>18810</xdr:rowOff>
    </xdr:to>
    <xdr:sp macro="" textlink="">
      <xdr:nvSpPr>
        <xdr:cNvPr id="1157" name="Moon 1136"/>
        <xdr:cNvSpPr/>
      </xdr:nvSpPr>
      <xdr:spPr>
        <a:xfrm>
          <a:off x="943708" y="7737231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328246</xdr:colOff>
      <xdr:row>44</xdr:row>
      <xdr:rowOff>70338</xdr:rowOff>
    </xdr:from>
    <xdr:to>
      <xdr:col>6</xdr:col>
      <xdr:colOff>294627</xdr:colOff>
      <xdr:row>45</xdr:row>
      <xdr:rowOff>12948</xdr:rowOff>
    </xdr:to>
    <xdr:sp macro="" textlink="">
      <xdr:nvSpPr>
        <xdr:cNvPr id="1158" name="Moon 1136"/>
        <xdr:cNvSpPr/>
      </xdr:nvSpPr>
      <xdr:spPr>
        <a:xfrm>
          <a:off x="2233246" y="7731369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298939</xdr:colOff>
      <xdr:row>44</xdr:row>
      <xdr:rowOff>76200</xdr:rowOff>
    </xdr:from>
    <xdr:to>
      <xdr:col>8</xdr:col>
      <xdr:colOff>265320</xdr:colOff>
      <xdr:row>45</xdr:row>
      <xdr:rowOff>18810</xdr:rowOff>
    </xdr:to>
    <xdr:sp macro="" textlink="">
      <xdr:nvSpPr>
        <xdr:cNvPr id="1159" name="Moon 1136"/>
        <xdr:cNvSpPr/>
      </xdr:nvSpPr>
      <xdr:spPr>
        <a:xfrm>
          <a:off x="3470031" y="7737231"/>
          <a:ext cx="1232474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310661</xdr:colOff>
      <xdr:row>44</xdr:row>
      <xdr:rowOff>76199</xdr:rowOff>
    </xdr:from>
    <xdr:to>
      <xdr:col>10</xdr:col>
      <xdr:colOff>277042</xdr:colOff>
      <xdr:row>45</xdr:row>
      <xdr:rowOff>18809</xdr:rowOff>
    </xdr:to>
    <xdr:sp macro="" textlink="">
      <xdr:nvSpPr>
        <xdr:cNvPr id="1160" name="Moon 1136"/>
        <xdr:cNvSpPr/>
      </xdr:nvSpPr>
      <xdr:spPr>
        <a:xfrm>
          <a:off x="4747846" y="773723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316522</xdr:colOff>
      <xdr:row>44</xdr:row>
      <xdr:rowOff>76199</xdr:rowOff>
    </xdr:from>
    <xdr:to>
      <xdr:col>12</xdr:col>
      <xdr:colOff>282903</xdr:colOff>
      <xdr:row>45</xdr:row>
      <xdr:rowOff>18809</xdr:rowOff>
    </xdr:to>
    <xdr:sp macro="" textlink="">
      <xdr:nvSpPr>
        <xdr:cNvPr id="1161" name="Moon 1136"/>
        <xdr:cNvSpPr/>
      </xdr:nvSpPr>
      <xdr:spPr>
        <a:xfrm>
          <a:off x="6019799" y="773723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322385</xdr:colOff>
      <xdr:row>44</xdr:row>
      <xdr:rowOff>76199</xdr:rowOff>
    </xdr:from>
    <xdr:to>
      <xdr:col>14</xdr:col>
      <xdr:colOff>288766</xdr:colOff>
      <xdr:row>45</xdr:row>
      <xdr:rowOff>18809</xdr:rowOff>
    </xdr:to>
    <xdr:sp macro="" textlink="">
      <xdr:nvSpPr>
        <xdr:cNvPr id="1162" name="Moon 1136"/>
        <xdr:cNvSpPr/>
      </xdr:nvSpPr>
      <xdr:spPr>
        <a:xfrm>
          <a:off x="7291754" y="7737230"/>
          <a:ext cx="1232474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326571</xdr:colOff>
      <xdr:row>35</xdr:row>
      <xdr:rowOff>76200</xdr:rowOff>
    </xdr:from>
    <xdr:to>
      <xdr:col>12</xdr:col>
      <xdr:colOff>292953</xdr:colOff>
      <xdr:row>36</xdr:row>
      <xdr:rowOff>18810</xdr:rowOff>
    </xdr:to>
    <xdr:sp macro="" textlink="">
      <xdr:nvSpPr>
        <xdr:cNvPr id="1163" name="Moon 1136"/>
        <xdr:cNvSpPr/>
      </xdr:nvSpPr>
      <xdr:spPr>
        <a:xfrm>
          <a:off x="6019800" y="6096000"/>
          <a:ext cx="1229124" cy="105896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348343</xdr:colOff>
      <xdr:row>44</xdr:row>
      <xdr:rowOff>76200</xdr:rowOff>
    </xdr:from>
    <xdr:to>
      <xdr:col>16</xdr:col>
      <xdr:colOff>314724</xdr:colOff>
      <xdr:row>45</xdr:row>
      <xdr:rowOff>18810</xdr:rowOff>
    </xdr:to>
    <xdr:sp macro="" textlink="">
      <xdr:nvSpPr>
        <xdr:cNvPr id="1164" name="Moon 1136"/>
        <xdr:cNvSpPr/>
      </xdr:nvSpPr>
      <xdr:spPr>
        <a:xfrm>
          <a:off x="8567057" y="7630886"/>
          <a:ext cx="1229124" cy="105895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345831</xdr:colOff>
      <xdr:row>35</xdr:row>
      <xdr:rowOff>64477</xdr:rowOff>
    </xdr:from>
    <xdr:to>
      <xdr:col>4</xdr:col>
      <xdr:colOff>265319</xdr:colOff>
      <xdr:row>36</xdr:row>
      <xdr:rowOff>7087</xdr:rowOff>
    </xdr:to>
    <xdr:sp macro="" textlink="">
      <xdr:nvSpPr>
        <xdr:cNvPr id="995" name="Moon 1136"/>
        <xdr:cNvSpPr/>
      </xdr:nvSpPr>
      <xdr:spPr>
        <a:xfrm>
          <a:off x="937846" y="6166339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334108</xdr:colOff>
      <xdr:row>35</xdr:row>
      <xdr:rowOff>70338</xdr:rowOff>
    </xdr:from>
    <xdr:to>
      <xdr:col>6</xdr:col>
      <xdr:colOff>300489</xdr:colOff>
      <xdr:row>36</xdr:row>
      <xdr:rowOff>12948</xdr:rowOff>
    </xdr:to>
    <xdr:sp macro="" textlink="">
      <xdr:nvSpPr>
        <xdr:cNvPr id="1165" name="Moon 1136"/>
        <xdr:cNvSpPr/>
      </xdr:nvSpPr>
      <xdr:spPr>
        <a:xfrm>
          <a:off x="2239108" y="617220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334107</xdr:colOff>
      <xdr:row>35</xdr:row>
      <xdr:rowOff>76200</xdr:rowOff>
    </xdr:from>
    <xdr:to>
      <xdr:col>8</xdr:col>
      <xdr:colOff>300487</xdr:colOff>
      <xdr:row>36</xdr:row>
      <xdr:rowOff>18810</xdr:rowOff>
    </xdr:to>
    <xdr:sp macro="" textlink="">
      <xdr:nvSpPr>
        <xdr:cNvPr id="1169" name="Moon 1136"/>
        <xdr:cNvSpPr/>
      </xdr:nvSpPr>
      <xdr:spPr>
        <a:xfrm>
          <a:off x="3505199" y="6178062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333375</xdr:colOff>
      <xdr:row>35</xdr:row>
      <xdr:rowOff>85725</xdr:rowOff>
    </xdr:from>
    <xdr:to>
      <xdr:col>10</xdr:col>
      <xdr:colOff>304152</xdr:colOff>
      <xdr:row>36</xdr:row>
      <xdr:rowOff>26869</xdr:rowOff>
    </xdr:to>
    <xdr:sp macro="" textlink="">
      <xdr:nvSpPr>
        <xdr:cNvPr id="1170" name="Moon 1136"/>
        <xdr:cNvSpPr/>
      </xdr:nvSpPr>
      <xdr:spPr>
        <a:xfrm>
          <a:off x="4743450" y="6115050"/>
          <a:ext cx="1228077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328246</xdr:colOff>
      <xdr:row>24</xdr:row>
      <xdr:rowOff>76199</xdr:rowOff>
    </xdr:from>
    <xdr:to>
      <xdr:col>12</xdr:col>
      <xdr:colOff>294627</xdr:colOff>
      <xdr:row>24</xdr:row>
      <xdr:rowOff>188793</xdr:rowOff>
    </xdr:to>
    <xdr:sp macro="" textlink="">
      <xdr:nvSpPr>
        <xdr:cNvPr id="1171" name="Moon 1136"/>
        <xdr:cNvSpPr/>
      </xdr:nvSpPr>
      <xdr:spPr>
        <a:xfrm>
          <a:off x="6031523" y="4202722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62204</xdr:colOff>
      <xdr:row>0</xdr:row>
      <xdr:rowOff>0</xdr:rowOff>
    </xdr:from>
    <xdr:to>
      <xdr:col>1</xdr:col>
      <xdr:colOff>450980</xdr:colOff>
      <xdr:row>1</xdr:row>
      <xdr:rowOff>7776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AF143BA1-25A7-46E1-A41B-CC1292B60D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62204" y="0"/>
          <a:ext cx="816429" cy="3187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USER/Dropbox/YTPS%20-%20BPS/Project%20Esti.%20&amp;%20Contract/ACE/Users/DG/AppData/Local/Microsoft/Windows/Temporary%20Internet%20Files/Content.Outlook/S2E86Z62/d/cwco/CWCOMAR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6C6325A\LOTE%20F%20-%20Expans&#227;o%20da%20Interliga&#231;&#227;o%20Norte%20-%20Nordeste%20C4%20-%20500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kar\rajesh\data\LETTERS\Transfer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jith/Desktop/765KV%20Koppal%20-%20Raichur/DPR%20&amp;%20Daily%20updation%20sheet/DPR%20-%20(TA.418)%20__Dt-15-02-25%20-KP-RCHR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jith/Desktop/765KV%20Koppal%20-%20Raichur/MPR'2024/DECEMBER%20-%202024-Monthly%20Progress%20Report_KPL-RCHR_TA-4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  <sheetName val="PACK (B)"/>
      <sheetName val="DSLP CALCUL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Over All (3)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1"/>
      <sheetName val="5"/>
      <sheetName val="6"/>
      <sheetName val="PACK_(B)6"/>
      <sheetName val="PACK_(D)6"/>
      <sheetName val="_PACK_(C)6"/>
      <sheetName val="_PACK_(A)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CLAY"/>
      <sheetName val="Tractor"/>
      <sheetName val="LP"/>
      <sheetName val="CASH-FLOW"/>
      <sheetName val="Elect.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SUM-OBTL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fer"/>
      <sheetName val="FitOutConfCentre"/>
      <sheetName val="RateAnalysis"/>
      <sheetName val="dBase"/>
      <sheetName val="PRECAST lightconc-II"/>
      <sheetName val="COLUMN"/>
      <sheetName val="DSLP"/>
      <sheetName val="analysis"/>
      <sheetName val="Qty Wise Prgrs of Box Str"/>
      <sheetName val="Publicbuilding"/>
      <sheetName val="4 Annex 1 Basic rate"/>
      <sheetName val="Crane List General"/>
      <sheetName val="strain"/>
      <sheetName val="grid"/>
      <sheetName val="Equipment Information"/>
      <sheetName val="Equipment Block"/>
      <sheetName val="Surcharge"/>
      <sheetName val="s"/>
      <sheetName val="BASIC"/>
      <sheetName val="Bechtel Norms"/>
      <sheetName val="CS PIPING"/>
      <sheetName val="TECH DATA"/>
      <sheetName val="Calendar"/>
      <sheetName val="BC &amp; MNB "/>
      <sheetName val="Indices"/>
      <sheetName val="Quantities"/>
      <sheetName val="GR.slab-reinf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SHEET"/>
      <sheetName val="Progress"/>
      <sheetName val="TS (2)"/>
      <sheetName val="Visual Chart"/>
      <sheetName val="TS"/>
      <sheetName val="TSE-MANUAL-LT-11KV-33KV Details"/>
      <sheetName val="Crossing Details"/>
      <sheetName val="Engineering Details"/>
      <sheetName val="coimbatore"/>
      <sheetName val="STR print"/>
      <sheetName val="Tripp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B10" t="str">
            <v>AP32</v>
          </cell>
          <cell r="C10" t="str">
            <v>1DC2+6</v>
          </cell>
          <cell r="D10">
            <v>249.63499999999999</v>
          </cell>
        </row>
        <row r="12">
          <cell r="B12" t="str">
            <v>AP33</v>
          </cell>
          <cell r="C12" t="str">
            <v>1DD45+18</v>
          </cell>
          <cell r="D12">
            <v>425</v>
          </cell>
        </row>
        <row r="14">
          <cell r="B14" t="str">
            <v>33/1</v>
          </cell>
          <cell r="C14" t="str">
            <v>1DA-3</v>
          </cell>
          <cell r="D14">
            <v>425</v>
          </cell>
        </row>
        <row r="16">
          <cell r="B16" t="str">
            <v>33/2</v>
          </cell>
          <cell r="C16" t="str">
            <v>1DA+6</v>
          </cell>
          <cell r="D16">
            <v>390</v>
          </cell>
        </row>
        <row r="18">
          <cell r="B18" t="str">
            <v>33/3</v>
          </cell>
          <cell r="C18" t="str">
            <v>1DA+9</v>
          </cell>
          <cell r="D18">
            <v>265</v>
          </cell>
        </row>
        <row r="20">
          <cell r="B20" t="str">
            <v>33/4</v>
          </cell>
          <cell r="C20" t="str">
            <v>1DA+3</v>
          </cell>
          <cell r="D20">
            <v>510</v>
          </cell>
        </row>
        <row r="22">
          <cell r="B22" t="str">
            <v>33/5</v>
          </cell>
          <cell r="C22" t="str">
            <v>1DB1+9</v>
          </cell>
          <cell r="D22">
            <v>380</v>
          </cell>
        </row>
        <row r="24">
          <cell r="B24" t="str">
            <v>33/6</v>
          </cell>
          <cell r="C24" t="str">
            <v>1DB1+9</v>
          </cell>
          <cell r="D24">
            <v>420</v>
          </cell>
        </row>
        <row r="26">
          <cell r="B26" t="str">
            <v>33/7</v>
          </cell>
          <cell r="C26" t="str">
            <v>1DA-3</v>
          </cell>
          <cell r="D26">
            <v>335</v>
          </cell>
        </row>
        <row r="28">
          <cell r="B28" t="str">
            <v>33/8</v>
          </cell>
          <cell r="C28" t="str">
            <v>1DA-3</v>
          </cell>
          <cell r="D28">
            <v>345</v>
          </cell>
        </row>
        <row r="30">
          <cell r="B30" t="str">
            <v>33/9</v>
          </cell>
          <cell r="C30" t="str">
            <v>1DA-3</v>
          </cell>
          <cell r="D30">
            <v>365</v>
          </cell>
        </row>
        <row r="32">
          <cell r="B32" t="str">
            <v>33/10</v>
          </cell>
          <cell r="C32" t="str">
            <v>1DA+0</v>
          </cell>
          <cell r="D32">
            <v>356</v>
          </cell>
        </row>
        <row r="34">
          <cell r="B34" t="str">
            <v>33/11</v>
          </cell>
          <cell r="C34" t="str">
            <v>1DA-3</v>
          </cell>
          <cell r="D34">
            <v>332</v>
          </cell>
        </row>
        <row r="36">
          <cell r="B36" t="str">
            <v>33/12</v>
          </cell>
          <cell r="C36" t="str">
            <v>1DA+0</v>
          </cell>
          <cell r="D36">
            <v>384.42399999999998</v>
          </cell>
        </row>
        <row r="38">
          <cell r="B38" t="str">
            <v>AP34</v>
          </cell>
          <cell r="C38" t="str">
            <v>1DB1+0</v>
          </cell>
          <cell r="D38">
            <v>385</v>
          </cell>
        </row>
        <row r="40">
          <cell r="B40" t="str">
            <v>34/1</v>
          </cell>
          <cell r="C40" t="str">
            <v>1DA+0</v>
          </cell>
          <cell r="D40">
            <v>423</v>
          </cell>
        </row>
        <row r="42">
          <cell r="B42" t="str">
            <v>34/2</v>
          </cell>
          <cell r="C42" t="str">
            <v>1DA+0</v>
          </cell>
          <cell r="D42">
            <v>382</v>
          </cell>
        </row>
        <row r="44">
          <cell r="B44" t="str">
            <v>34/3</v>
          </cell>
          <cell r="C44" t="str">
            <v>1DA+0</v>
          </cell>
          <cell r="D44">
            <v>405</v>
          </cell>
        </row>
        <row r="46">
          <cell r="B46" t="str">
            <v>34/4</v>
          </cell>
          <cell r="C46" t="str">
            <v>1DA+3</v>
          </cell>
          <cell r="D46">
            <v>388.45800000000003</v>
          </cell>
        </row>
        <row r="48">
          <cell r="B48" t="str">
            <v>AP35</v>
          </cell>
          <cell r="C48" t="str">
            <v>1DB1+0</v>
          </cell>
          <cell r="D48">
            <v>405</v>
          </cell>
        </row>
        <row r="50">
          <cell r="B50" t="str">
            <v>35/1</v>
          </cell>
          <cell r="C50" t="str">
            <v>1DA+3</v>
          </cell>
          <cell r="D50">
            <v>360</v>
          </cell>
        </row>
        <row r="52">
          <cell r="B52" t="str">
            <v>35/2</v>
          </cell>
          <cell r="C52" t="str">
            <v>1DA+3</v>
          </cell>
          <cell r="D52">
            <v>390</v>
          </cell>
        </row>
        <row r="54">
          <cell r="B54" t="str">
            <v>35/3</v>
          </cell>
          <cell r="C54" t="str">
            <v>1DA-3</v>
          </cell>
          <cell r="D54">
            <v>325</v>
          </cell>
        </row>
        <row r="56">
          <cell r="B56" t="str">
            <v>35/4</v>
          </cell>
          <cell r="C56" t="str">
            <v>1DA+0</v>
          </cell>
          <cell r="D56">
            <v>430</v>
          </cell>
        </row>
        <row r="58">
          <cell r="B58" t="str">
            <v>35/5</v>
          </cell>
          <cell r="C58" t="str">
            <v>1DA+0</v>
          </cell>
          <cell r="D58">
            <v>298</v>
          </cell>
        </row>
        <row r="60">
          <cell r="B60" t="str">
            <v>35/6</v>
          </cell>
          <cell r="C60" t="str">
            <v>1DA+0</v>
          </cell>
          <cell r="D60">
            <v>422</v>
          </cell>
        </row>
        <row r="62">
          <cell r="B62" t="str">
            <v>35/7</v>
          </cell>
          <cell r="C62" t="str">
            <v>1DA+9</v>
          </cell>
          <cell r="D62">
            <v>345</v>
          </cell>
        </row>
        <row r="64">
          <cell r="B64" t="str">
            <v>35/8</v>
          </cell>
          <cell r="C64" t="str">
            <v>1DA+3</v>
          </cell>
          <cell r="D64">
            <v>370</v>
          </cell>
        </row>
        <row r="66">
          <cell r="B66" t="str">
            <v>35/9</v>
          </cell>
          <cell r="C66" t="str">
            <v>1DA+9</v>
          </cell>
          <cell r="D66">
            <v>320</v>
          </cell>
        </row>
        <row r="68">
          <cell r="B68" t="str">
            <v>35/10</v>
          </cell>
          <cell r="C68" t="str">
            <v>1DA+9</v>
          </cell>
          <cell r="D68">
            <v>390</v>
          </cell>
        </row>
        <row r="70">
          <cell r="B70" t="str">
            <v>35/11</v>
          </cell>
          <cell r="C70" t="str">
            <v>1DA+3</v>
          </cell>
          <cell r="D70">
            <v>425.02</v>
          </cell>
        </row>
        <row r="72">
          <cell r="B72" t="str">
            <v>AP36</v>
          </cell>
          <cell r="C72" t="str">
            <v>1DB1+3</v>
          </cell>
          <cell r="D72">
            <v>480</v>
          </cell>
        </row>
        <row r="74">
          <cell r="B74" t="str">
            <v>36/1</v>
          </cell>
          <cell r="C74" t="str">
            <v>1DB1+9</v>
          </cell>
          <cell r="D74">
            <v>297.315</v>
          </cell>
        </row>
        <row r="76">
          <cell r="B76" t="str">
            <v>AP37</v>
          </cell>
          <cell r="C76" t="str">
            <v>1DB2+3</v>
          </cell>
          <cell r="D76">
            <v>417</v>
          </cell>
        </row>
        <row r="78">
          <cell r="B78" t="str">
            <v>37/1</v>
          </cell>
          <cell r="C78" t="str">
            <v>1DA+3</v>
          </cell>
          <cell r="D78">
            <v>409</v>
          </cell>
        </row>
        <row r="80">
          <cell r="B80" t="str">
            <v>37/2</v>
          </cell>
          <cell r="C80" t="str">
            <v>1DA+0</v>
          </cell>
          <cell r="D80">
            <v>432.78199999999998</v>
          </cell>
        </row>
        <row r="82">
          <cell r="B82" t="str">
            <v>AP38</v>
          </cell>
          <cell r="C82" t="str">
            <v>1DD60+6</v>
          </cell>
          <cell r="D82">
            <v>469</v>
          </cell>
        </row>
        <row r="84">
          <cell r="B84" t="str">
            <v>38/1</v>
          </cell>
          <cell r="C84" t="str">
            <v>1DA+9</v>
          </cell>
          <cell r="D84">
            <v>387</v>
          </cell>
        </row>
        <row r="86">
          <cell r="B86" t="str">
            <v>38/2</v>
          </cell>
          <cell r="C86" t="str">
            <v>1DA+0</v>
          </cell>
          <cell r="D86">
            <v>428.87599999999998</v>
          </cell>
        </row>
        <row r="88">
          <cell r="B88" t="str">
            <v>AP39</v>
          </cell>
          <cell r="C88" t="str">
            <v>1DD45+6</v>
          </cell>
          <cell r="D88">
            <v>248.03800000000001</v>
          </cell>
        </row>
        <row r="90">
          <cell r="B90" t="str">
            <v>AP40</v>
          </cell>
          <cell r="C90" t="str">
            <v>1DB2+9</v>
          </cell>
          <cell r="D90">
            <v>430</v>
          </cell>
        </row>
        <row r="92">
          <cell r="B92" t="str">
            <v>40/1</v>
          </cell>
          <cell r="C92" t="str">
            <v>1DA+0</v>
          </cell>
          <cell r="D92">
            <v>400</v>
          </cell>
        </row>
        <row r="94">
          <cell r="B94" t="str">
            <v>40/2</v>
          </cell>
          <cell r="C94" t="str">
            <v>1DA+0</v>
          </cell>
          <cell r="D94">
            <v>410</v>
          </cell>
        </row>
        <row r="96">
          <cell r="B96" t="str">
            <v>40/3</v>
          </cell>
          <cell r="C96" t="str">
            <v>1DA+3</v>
          </cell>
          <cell r="D96">
            <v>435</v>
          </cell>
        </row>
        <row r="98">
          <cell r="B98" t="str">
            <v>40/4</v>
          </cell>
          <cell r="C98" t="str">
            <v>1DA+0</v>
          </cell>
          <cell r="D98">
            <v>360</v>
          </cell>
        </row>
        <row r="100">
          <cell r="B100" t="str">
            <v>40/5</v>
          </cell>
          <cell r="C100" t="str">
            <v>1DA-3</v>
          </cell>
          <cell r="D100">
            <v>391.45100000000002</v>
          </cell>
        </row>
        <row r="102">
          <cell r="B102" t="str">
            <v>AP41</v>
          </cell>
          <cell r="C102" t="str">
            <v>1DB1+0</v>
          </cell>
          <cell r="D102">
            <v>380</v>
          </cell>
        </row>
        <row r="104">
          <cell r="B104" t="str">
            <v>41/1</v>
          </cell>
          <cell r="C104" t="str">
            <v>1DA+6</v>
          </cell>
          <cell r="D104">
            <v>475</v>
          </cell>
        </row>
        <row r="106">
          <cell r="B106" t="str">
            <v>41/2</v>
          </cell>
          <cell r="C106" t="str">
            <v>1DA+3</v>
          </cell>
          <cell r="D106">
            <v>380</v>
          </cell>
        </row>
        <row r="108">
          <cell r="B108" t="str">
            <v>41/3</v>
          </cell>
          <cell r="C108" t="str">
            <v>1DA+0</v>
          </cell>
          <cell r="D108">
            <v>390</v>
          </cell>
        </row>
        <row r="110">
          <cell r="B110" t="str">
            <v>41/4</v>
          </cell>
          <cell r="C110" t="str">
            <v>1DA+3</v>
          </cell>
          <cell r="D110">
            <v>465</v>
          </cell>
        </row>
        <row r="112">
          <cell r="B112" t="str">
            <v>41/5</v>
          </cell>
          <cell r="C112" t="str">
            <v>1DA+3</v>
          </cell>
          <cell r="D112">
            <v>383.20800000000003</v>
          </cell>
        </row>
        <row r="114">
          <cell r="B114" t="str">
            <v>AP42</v>
          </cell>
          <cell r="C114" t="str">
            <v>1DB2+3</v>
          </cell>
          <cell r="D114">
            <v>380</v>
          </cell>
        </row>
        <row r="116">
          <cell r="B116" t="str">
            <v>42/1</v>
          </cell>
          <cell r="C116" t="str">
            <v>1DA+0</v>
          </cell>
          <cell r="D116">
            <v>348</v>
          </cell>
        </row>
        <row r="118">
          <cell r="B118" t="str">
            <v>42/2</v>
          </cell>
          <cell r="C118" t="str">
            <v>1DA+0</v>
          </cell>
          <cell r="D118">
            <v>377.78399999999999</v>
          </cell>
        </row>
        <row r="120">
          <cell r="B120" t="str">
            <v>AP43</v>
          </cell>
          <cell r="C120" t="str">
            <v>1DB1+0</v>
          </cell>
          <cell r="D120">
            <v>410</v>
          </cell>
        </row>
        <row r="122">
          <cell r="B122" t="str">
            <v>43/1</v>
          </cell>
          <cell r="C122" t="str">
            <v>1DA+0</v>
          </cell>
          <cell r="D122">
            <v>380</v>
          </cell>
        </row>
        <row r="124">
          <cell r="B124" t="str">
            <v>43/2</v>
          </cell>
          <cell r="C124" t="str">
            <v>1DA+0</v>
          </cell>
          <cell r="D124">
            <v>325</v>
          </cell>
        </row>
        <row r="126">
          <cell r="B126" t="str">
            <v>43/3</v>
          </cell>
          <cell r="C126" t="str">
            <v>1DA-3</v>
          </cell>
          <cell r="D126">
            <v>329.8</v>
          </cell>
        </row>
        <row r="128">
          <cell r="B128" t="str">
            <v>AP44</v>
          </cell>
          <cell r="C128" t="str">
            <v>1DC1-3</v>
          </cell>
          <cell r="D128">
            <v>385</v>
          </cell>
        </row>
        <row r="130">
          <cell r="B130" t="str">
            <v>44/1</v>
          </cell>
          <cell r="C130" t="str">
            <v>1DA+0</v>
          </cell>
          <cell r="D130">
            <v>312.55799999999999</v>
          </cell>
        </row>
        <row r="132">
          <cell r="B132" t="str">
            <v>AP45</v>
          </cell>
          <cell r="C132" t="str">
            <v>1DC1+3</v>
          </cell>
          <cell r="D132">
            <v>242</v>
          </cell>
        </row>
        <row r="134">
          <cell r="B134" t="str">
            <v>45/1</v>
          </cell>
          <cell r="C134" t="str">
            <v>1DB1+6</v>
          </cell>
          <cell r="D134">
            <v>464</v>
          </cell>
        </row>
        <row r="136">
          <cell r="B136" t="str">
            <v>45/2</v>
          </cell>
          <cell r="C136" t="str">
            <v>1DA+0</v>
          </cell>
          <cell r="D136">
            <v>391</v>
          </cell>
        </row>
        <row r="138">
          <cell r="B138" t="str">
            <v>45/3</v>
          </cell>
          <cell r="C138" t="str">
            <v>1DA+6</v>
          </cell>
          <cell r="D138">
            <v>417.51799999999997</v>
          </cell>
        </row>
        <row r="140">
          <cell r="B140" t="str">
            <v>AP46</v>
          </cell>
          <cell r="C140" t="str">
            <v>1DB1+0</v>
          </cell>
          <cell r="D140">
            <v>315</v>
          </cell>
        </row>
        <row r="142">
          <cell r="B142" t="str">
            <v>46/1</v>
          </cell>
          <cell r="C142" t="str">
            <v>1DA-3</v>
          </cell>
          <cell r="D142">
            <v>375</v>
          </cell>
        </row>
        <row r="144">
          <cell r="B144" t="str">
            <v>46/2</v>
          </cell>
          <cell r="C144" t="str">
            <v>1DA+0</v>
          </cell>
          <cell r="D144">
            <v>416</v>
          </cell>
        </row>
        <row r="146">
          <cell r="B146" t="str">
            <v>46/3</v>
          </cell>
          <cell r="C146" t="str">
            <v>1DA+0</v>
          </cell>
          <cell r="D146">
            <v>422</v>
          </cell>
        </row>
        <row r="148">
          <cell r="B148" t="str">
            <v>46/4</v>
          </cell>
          <cell r="C148" t="str">
            <v>1DA+0</v>
          </cell>
          <cell r="D148">
            <v>388</v>
          </cell>
        </row>
        <row r="150">
          <cell r="B150" t="str">
            <v>46/5</v>
          </cell>
          <cell r="C150" t="str">
            <v>1DA+6</v>
          </cell>
          <cell r="D150">
            <v>409</v>
          </cell>
        </row>
        <row r="152">
          <cell r="B152" t="str">
            <v>46/6</v>
          </cell>
          <cell r="C152" t="str">
            <v>1DA+0</v>
          </cell>
          <cell r="D152">
            <v>420</v>
          </cell>
        </row>
        <row r="154">
          <cell r="B154" t="str">
            <v>46/7</v>
          </cell>
          <cell r="C154" t="str">
            <v>1DB1+0</v>
          </cell>
          <cell r="D154">
            <v>399</v>
          </cell>
        </row>
        <row r="156">
          <cell r="B156" t="str">
            <v>46/8</v>
          </cell>
          <cell r="C156" t="str">
            <v>1DA+3</v>
          </cell>
          <cell r="D156">
            <v>381</v>
          </cell>
        </row>
        <row r="158">
          <cell r="B158" t="str">
            <v>46/9</v>
          </cell>
          <cell r="C158" t="str">
            <v>1DA+0</v>
          </cell>
          <cell r="D158">
            <v>382</v>
          </cell>
        </row>
        <row r="160">
          <cell r="B160" t="str">
            <v>46/10</v>
          </cell>
          <cell r="C160" t="str">
            <v>1DA+0</v>
          </cell>
          <cell r="D160">
            <v>391</v>
          </cell>
        </row>
        <row r="162">
          <cell r="B162" t="str">
            <v>46/11</v>
          </cell>
          <cell r="C162" t="str">
            <v>1DA-1.5</v>
          </cell>
          <cell r="D162">
            <v>433</v>
          </cell>
        </row>
        <row r="164">
          <cell r="B164" t="str">
            <v>46/12</v>
          </cell>
          <cell r="C164" t="str">
            <v>1DA+0</v>
          </cell>
          <cell r="D164">
            <v>415</v>
          </cell>
        </row>
        <row r="166">
          <cell r="B166" t="str">
            <v>46/13</v>
          </cell>
          <cell r="C166" t="str">
            <v>1DA+0</v>
          </cell>
          <cell r="D166">
            <v>430</v>
          </cell>
        </row>
        <row r="168">
          <cell r="B168" t="str">
            <v>46/14</v>
          </cell>
          <cell r="C168" t="str">
            <v>1DA+0</v>
          </cell>
          <cell r="D168">
            <v>314</v>
          </cell>
        </row>
        <row r="170">
          <cell r="B170" t="str">
            <v>46/15</v>
          </cell>
          <cell r="C170" t="str">
            <v>1DA+9</v>
          </cell>
          <cell r="D170">
            <v>402.24900000000002</v>
          </cell>
        </row>
        <row r="172">
          <cell r="B172" t="str">
            <v>AP47</v>
          </cell>
          <cell r="C172" t="str">
            <v>1DC1+0</v>
          </cell>
          <cell r="D172">
            <v>394</v>
          </cell>
        </row>
        <row r="174">
          <cell r="B174" t="str">
            <v>47/1</v>
          </cell>
          <cell r="C174" t="str">
            <v>1DA+3</v>
          </cell>
          <cell r="D174">
            <v>419.44499999999999</v>
          </cell>
        </row>
        <row r="176">
          <cell r="B176" t="str">
            <v>AP48</v>
          </cell>
          <cell r="C176" t="str">
            <v>1DB2+0</v>
          </cell>
          <cell r="D176">
            <v>402</v>
          </cell>
        </row>
        <row r="178">
          <cell r="B178" t="str">
            <v>48/1</v>
          </cell>
          <cell r="C178" t="str">
            <v>1DA+6</v>
          </cell>
          <cell r="D178">
            <v>426</v>
          </cell>
        </row>
        <row r="180">
          <cell r="B180" t="str">
            <v>48/2</v>
          </cell>
          <cell r="C180" t="str">
            <v>1DA+3</v>
          </cell>
          <cell r="D180">
            <v>429.05900000000003</v>
          </cell>
        </row>
        <row r="182">
          <cell r="B182" t="str">
            <v>AP48A</v>
          </cell>
          <cell r="C182" t="str">
            <v>1DC1+0</v>
          </cell>
          <cell r="D182">
            <v>336</v>
          </cell>
        </row>
        <row r="184">
          <cell r="B184" t="str">
            <v>48A/1</v>
          </cell>
          <cell r="C184" t="str">
            <v>1DA+9</v>
          </cell>
          <cell r="D184">
            <v>441</v>
          </cell>
        </row>
        <row r="186">
          <cell r="B186" t="str">
            <v>48A/2</v>
          </cell>
          <cell r="C186" t="str">
            <v>1DA-1.5</v>
          </cell>
          <cell r="D186">
            <v>324.04899999999998</v>
          </cell>
        </row>
        <row r="188">
          <cell r="B188" t="str">
            <v>AP49</v>
          </cell>
          <cell r="C188" t="str">
            <v>1DC1+3</v>
          </cell>
          <cell r="D188">
            <v>417.21899999999999</v>
          </cell>
        </row>
        <row r="190">
          <cell r="B190" t="str">
            <v>AP50</v>
          </cell>
          <cell r="C190" t="str">
            <v>1DC1+0</v>
          </cell>
          <cell r="D190">
            <v>249.602</v>
          </cell>
        </row>
        <row r="192">
          <cell r="B192" t="str">
            <v>AP51</v>
          </cell>
          <cell r="C192" t="str">
            <v>1DB1-3</v>
          </cell>
          <cell r="D192">
            <v>333.60199999999998</v>
          </cell>
        </row>
        <row r="194">
          <cell r="B194" t="str">
            <v>AP52</v>
          </cell>
          <cell r="C194" t="str">
            <v>1DC2+0</v>
          </cell>
          <cell r="D194">
            <v>313</v>
          </cell>
        </row>
        <row r="196">
          <cell r="B196" t="str">
            <v>52/1</v>
          </cell>
          <cell r="C196" t="str">
            <v>1DA-3</v>
          </cell>
          <cell r="D196">
            <v>337</v>
          </cell>
        </row>
        <row r="198">
          <cell r="B198" t="str">
            <v>52/2</v>
          </cell>
          <cell r="C198" t="str">
            <v>1DA-3</v>
          </cell>
          <cell r="D198">
            <v>384.09800000000001</v>
          </cell>
        </row>
        <row r="200">
          <cell r="B200" t="str">
            <v>AP53</v>
          </cell>
          <cell r="C200" t="str">
            <v>1DC2+6</v>
          </cell>
          <cell r="D200">
            <v>258.61599999999999</v>
          </cell>
        </row>
        <row r="202">
          <cell r="B202" t="str">
            <v>AP54</v>
          </cell>
          <cell r="C202" t="str">
            <v>1DC1+6</v>
          </cell>
          <cell r="D202">
            <v>390</v>
          </cell>
        </row>
        <row r="204">
          <cell r="B204" t="str">
            <v>54/1</v>
          </cell>
          <cell r="C204" t="str">
            <v>1DA-3</v>
          </cell>
          <cell r="D204">
            <v>290</v>
          </cell>
        </row>
        <row r="206">
          <cell r="B206" t="str">
            <v>54/2</v>
          </cell>
          <cell r="C206" t="str">
            <v>1DA-3</v>
          </cell>
          <cell r="D206">
            <v>345</v>
          </cell>
        </row>
        <row r="208">
          <cell r="B208" t="str">
            <v>54/3</v>
          </cell>
          <cell r="C208" t="str">
            <v>1DA+3</v>
          </cell>
          <cell r="D208">
            <v>423</v>
          </cell>
        </row>
        <row r="210">
          <cell r="B210" t="str">
            <v>54/4</v>
          </cell>
          <cell r="C210" t="str">
            <v>1DA+0</v>
          </cell>
          <cell r="D210">
            <v>388.69299999999998</v>
          </cell>
        </row>
        <row r="212">
          <cell r="B212" t="str">
            <v>AP55</v>
          </cell>
          <cell r="C212" t="str">
            <v>1DB2+0</v>
          </cell>
          <cell r="D212">
            <v>405</v>
          </cell>
        </row>
        <row r="214">
          <cell r="B214" t="str">
            <v>55/1</v>
          </cell>
          <cell r="C214" t="str">
            <v>1DA+3</v>
          </cell>
          <cell r="D214">
            <v>385</v>
          </cell>
        </row>
        <row r="216">
          <cell r="B216" t="str">
            <v>55/2</v>
          </cell>
          <cell r="C216" t="str">
            <v>1DA+0</v>
          </cell>
          <cell r="D216">
            <v>366</v>
          </cell>
        </row>
        <row r="218">
          <cell r="B218" t="str">
            <v>55/3</v>
          </cell>
          <cell r="C218" t="str">
            <v>1DA+3</v>
          </cell>
          <cell r="D218">
            <v>444</v>
          </cell>
        </row>
        <row r="220">
          <cell r="B220" t="str">
            <v>55/4</v>
          </cell>
          <cell r="C220" t="str">
            <v>1DA+3</v>
          </cell>
          <cell r="D220">
            <v>355</v>
          </cell>
        </row>
        <row r="222">
          <cell r="B222" t="str">
            <v>55/5</v>
          </cell>
          <cell r="C222" t="str">
            <v>1DA+0</v>
          </cell>
          <cell r="D222">
            <v>375</v>
          </cell>
        </row>
        <row r="224">
          <cell r="B224" t="str">
            <v>55/6</v>
          </cell>
          <cell r="C224" t="str">
            <v>1DA-3</v>
          </cell>
          <cell r="D224">
            <v>374.49</v>
          </cell>
        </row>
        <row r="226">
          <cell r="B226" t="str">
            <v>AP56</v>
          </cell>
          <cell r="C226" t="str">
            <v>1DB1+0</v>
          </cell>
          <cell r="D226">
            <v>434</v>
          </cell>
        </row>
        <row r="228">
          <cell r="B228" t="str">
            <v>56/1</v>
          </cell>
          <cell r="C228" t="str">
            <v>1DA+6</v>
          </cell>
          <cell r="D228">
            <v>406</v>
          </cell>
        </row>
        <row r="230">
          <cell r="B230" t="str">
            <v>56/2</v>
          </cell>
          <cell r="C230" t="str">
            <v>1DA-3</v>
          </cell>
          <cell r="D230">
            <v>390</v>
          </cell>
        </row>
        <row r="232">
          <cell r="B232" t="str">
            <v>56/3</v>
          </cell>
          <cell r="C232" t="str">
            <v>1DB1+6</v>
          </cell>
          <cell r="D232">
            <v>276.49200000000002</v>
          </cell>
        </row>
        <row r="234">
          <cell r="B234" t="str">
            <v>AP57</v>
          </cell>
          <cell r="C234" t="str">
            <v>1DC1+6</v>
          </cell>
          <cell r="D234">
            <v>397</v>
          </cell>
        </row>
        <row r="236">
          <cell r="B236" t="str">
            <v>57/1</v>
          </cell>
          <cell r="C236" t="str">
            <v>1DA-1.5</v>
          </cell>
          <cell r="D236">
            <v>380</v>
          </cell>
        </row>
        <row r="238">
          <cell r="B238" t="str">
            <v>57/2</v>
          </cell>
          <cell r="C238" t="str">
            <v>1DA+0</v>
          </cell>
          <cell r="D238">
            <v>342</v>
          </cell>
        </row>
        <row r="240">
          <cell r="B240" t="str">
            <v>57/3</v>
          </cell>
          <cell r="C240" t="str">
            <v>1DA-3</v>
          </cell>
          <cell r="D240">
            <v>416.81</v>
          </cell>
        </row>
        <row r="242">
          <cell r="B242" t="str">
            <v>AP58</v>
          </cell>
          <cell r="C242" t="str">
            <v>1DD60+6</v>
          </cell>
          <cell r="D242">
            <v>203.90199999999999</v>
          </cell>
        </row>
        <row r="244">
          <cell r="B244" t="str">
            <v>AP59</v>
          </cell>
          <cell r="C244" t="str">
            <v>1DD60+6</v>
          </cell>
          <cell r="D244">
            <v>382</v>
          </cell>
        </row>
        <row r="246">
          <cell r="B246" t="str">
            <v>59/1</v>
          </cell>
          <cell r="C246" t="str">
            <v>1DA-3</v>
          </cell>
          <cell r="D246">
            <v>320.79599999999999</v>
          </cell>
        </row>
        <row r="248">
          <cell r="B248" t="str">
            <v>AP60</v>
          </cell>
          <cell r="C248" t="str">
            <v>1DC2+0</v>
          </cell>
          <cell r="D248">
            <v>414</v>
          </cell>
        </row>
        <row r="250">
          <cell r="B250" t="str">
            <v>60/1</v>
          </cell>
          <cell r="C250" t="str">
            <v>1DA+6</v>
          </cell>
          <cell r="D250">
            <v>425</v>
          </cell>
        </row>
        <row r="252">
          <cell r="B252" t="str">
            <v>60/2</v>
          </cell>
          <cell r="C252" t="str">
            <v>1DA+0</v>
          </cell>
          <cell r="D252">
            <v>373</v>
          </cell>
        </row>
        <row r="254">
          <cell r="B254" t="str">
            <v>60/3</v>
          </cell>
          <cell r="C254" t="str">
            <v>1DA+0</v>
          </cell>
          <cell r="D254">
            <v>357</v>
          </cell>
        </row>
        <row r="256">
          <cell r="B256" t="str">
            <v>60/4</v>
          </cell>
          <cell r="C256" t="str">
            <v>1DA+0</v>
          </cell>
          <cell r="D256">
            <v>372.20100000000002</v>
          </cell>
        </row>
        <row r="258">
          <cell r="B258" t="str">
            <v>AP61</v>
          </cell>
          <cell r="C258" t="str">
            <v>1DC2+0</v>
          </cell>
          <cell r="D258">
            <v>358.08600000000001</v>
          </cell>
        </row>
        <row r="260">
          <cell r="B260" t="str">
            <v>AP62</v>
          </cell>
          <cell r="C260" t="str">
            <v>1DD60+0</v>
          </cell>
          <cell r="D260">
            <v>278.70400000000001</v>
          </cell>
        </row>
        <row r="262">
          <cell r="B262" t="str">
            <v>AP63</v>
          </cell>
          <cell r="C262" t="str">
            <v>1DD60+0</v>
          </cell>
          <cell r="D262">
            <v>135.00800000000001</v>
          </cell>
        </row>
        <row r="263">
          <cell r="D263">
            <v>47836.987999999998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mittal"/>
      <sheetName val="Contents"/>
      <sheetName val="1. Synopsis"/>
      <sheetName val="2. Exe Summary"/>
      <sheetName val="I. Engineering "/>
      <sheetName val="II.a.Detailed Survey"/>
      <sheetName val="II.b. Check Survey"/>
      <sheetName val="III. ROW"/>
      <sheetName val="IV. Supply"/>
      <sheetName val="V. Const."/>
      <sheetName val="Va. X-ings"/>
      <sheetName val="VI. Comm. &amp; Contr."/>
      <sheetName val="VII.a. Photos"/>
    </sheetNames>
    <sheetDataSet>
      <sheetData sheetId="0">
        <row r="11">
          <cell r="B11" t="str">
            <v>765kV D/c  Koppal II (PS)-Raichur (Part-1) transmission line project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95"/>
  <sheetViews>
    <sheetView tabSelected="1" topLeftCell="A25" zoomScale="70" zoomScaleNormal="70" workbookViewId="0">
      <selection activeCell="D31" sqref="D31:E31"/>
    </sheetView>
  </sheetViews>
  <sheetFormatPr defaultColWidth="9.21875" defaultRowHeight="14.4"/>
  <cols>
    <col min="1" max="1" width="18.77734375" style="164" customWidth="1"/>
    <col min="2" max="2" width="23.77734375" style="164" customWidth="1"/>
    <col min="3" max="3" width="24.44140625" style="164" customWidth="1"/>
    <col min="4" max="4" width="14.5546875" style="164" customWidth="1"/>
    <col min="5" max="5" width="16.88671875" style="164" customWidth="1"/>
    <col min="6" max="6" width="16" style="164" customWidth="1"/>
    <col min="7" max="7" width="15.6640625" style="164" customWidth="1"/>
    <col min="8" max="8" width="15.88671875" style="164" customWidth="1"/>
    <col min="9" max="9" width="20.33203125" style="164" customWidth="1"/>
    <col min="10" max="11" width="24.21875" style="164" customWidth="1"/>
    <col min="12" max="12" width="34.44140625" style="164" customWidth="1"/>
    <col min="13" max="13" width="35.88671875" style="164" customWidth="1"/>
    <col min="14" max="14" width="11.77734375" style="164" customWidth="1"/>
    <col min="15" max="15" width="42.5546875" style="164" customWidth="1"/>
    <col min="16" max="16" width="27.44140625" style="164" customWidth="1"/>
    <col min="17" max="256" width="9.21875" style="164"/>
    <col min="257" max="257" width="17.44140625" style="164" customWidth="1"/>
    <col min="258" max="258" width="13.77734375" style="164" customWidth="1"/>
    <col min="259" max="259" width="16.21875" style="164" customWidth="1"/>
    <col min="260" max="260" width="13" style="164" customWidth="1"/>
    <col min="261" max="261" width="11.21875" style="164" customWidth="1"/>
    <col min="262" max="262" width="11.77734375" style="164" customWidth="1"/>
    <col min="263" max="263" width="14.88671875" style="164" customWidth="1"/>
    <col min="264" max="264" width="11.77734375" style="164" customWidth="1"/>
    <col min="265" max="265" width="20.5546875" style="164" customWidth="1"/>
    <col min="266" max="266" width="12.6640625" style="164" customWidth="1"/>
    <col min="267" max="267" width="14.5546875" style="164" customWidth="1"/>
    <col min="268" max="268" width="34.44140625" style="164" customWidth="1"/>
    <col min="269" max="269" width="10.6640625" style="164" customWidth="1"/>
    <col min="270" max="270" width="9.21875" style="164"/>
    <col min="271" max="271" width="26.44140625" style="164" customWidth="1"/>
    <col min="272" max="272" width="27.44140625" style="164" customWidth="1"/>
    <col min="273" max="512" width="9.21875" style="164"/>
    <col min="513" max="513" width="17.44140625" style="164" customWidth="1"/>
    <col min="514" max="514" width="13.77734375" style="164" customWidth="1"/>
    <col min="515" max="515" width="16.21875" style="164" customWidth="1"/>
    <col min="516" max="516" width="13" style="164" customWidth="1"/>
    <col min="517" max="517" width="11.21875" style="164" customWidth="1"/>
    <col min="518" max="518" width="11.77734375" style="164" customWidth="1"/>
    <col min="519" max="519" width="14.88671875" style="164" customWidth="1"/>
    <col min="520" max="520" width="11.77734375" style="164" customWidth="1"/>
    <col min="521" max="521" width="20.5546875" style="164" customWidth="1"/>
    <col min="522" max="522" width="12.6640625" style="164" customWidth="1"/>
    <col min="523" max="523" width="14.5546875" style="164" customWidth="1"/>
    <col min="524" max="524" width="34.44140625" style="164" customWidth="1"/>
    <col min="525" max="525" width="10.6640625" style="164" customWidth="1"/>
    <col min="526" max="526" width="9.21875" style="164"/>
    <col min="527" max="527" width="26.44140625" style="164" customWidth="1"/>
    <col min="528" max="528" width="27.44140625" style="164" customWidth="1"/>
    <col min="529" max="768" width="9.21875" style="164"/>
    <col min="769" max="769" width="17.44140625" style="164" customWidth="1"/>
    <col min="770" max="770" width="13.77734375" style="164" customWidth="1"/>
    <col min="771" max="771" width="16.21875" style="164" customWidth="1"/>
    <col min="772" max="772" width="13" style="164" customWidth="1"/>
    <col min="773" max="773" width="11.21875" style="164" customWidth="1"/>
    <col min="774" max="774" width="11.77734375" style="164" customWidth="1"/>
    <col min="775" max="775" width="14.88671875" style="164" customWidth="1"/>
    <col min="776" max="776" width="11.77734375" style="164" customWidth="1"/>
    <col min="777" max="777" width="20.5546875" style="164" customWidth="1"/>
    <col min="778" max="778" width="12.6640625" style="164" customWidth="1"/>
    <col min="779" max="779" width="14.5546875" style="164" customWidth="1"/>
    <col min="780" max="780" width="34.44140625" style="164" customWidth="1"/>
    <col min="781" max="781" width="10.6640625" style="164" customWidth="1"/>
    <col min="782" max="782" width="9.21875" style="164"/>
    <col min="783" max="783" width="26.44140625" style="164" customWidth="1"/>
    <col min="784" max="784" width="27.44140625" style="164" customWidth="1"/>
    <col min="785" max="1024" width="9.21875" style="164"/>
    <col min="1025" max="1025" width="17.44140625" style="164" customWidth="1"/>
    <col min="1026" max="1026" width="13.77734375" style="164" customWidth="1"/>
    <col min="1027" max="1027" width="16.21875" style="164" customWidth="1"/>
    <col min="1028" max="1028" width="13" style="164" customWidth="1"/>
    <col min="1029" max="1029" width="11.21875" style="164" customWidth="1"/>
    <col min="1030" max="1030" width="11.77734375" style="164" customWidth="1"/>
    <col min="1031" max="1031" width="14.88671875" style="164" customWidth="1"/>
    <col min="1032" max="1032" width="11.77734375" style="164" customWidth="1"/>
    <col min="1033" max="1033" width="20.5546875" style="164" customWidth="1"/>
    <col min="1034" max="1034" width="12.6640625" style="164" customWidth="1"/>
    <col min="1035" max="1035" width="14.5546875" style="164" customWidth="1"/>
    <col min="1036" max="1036" width="34.44140625" style="164" customWidth="1"/>
    <col min="1037" max="1037" width="10.6640625" style="164" customWidth="1"/>
    <col min="1038" max="1038" width="9.21875" style="164"/>
    <col min="1039" max="1039" width="26.44140625" style="164" customWidth="1"/>
    <col min="1040" max="1040" width="27.44140625" style="164" customWidth="1"/>
    <col min="1041" max="1280" width="9.21875" style="164"/>
    <col min="1281" max="1281" width="17.44140625" style="164" customWidth="1"/>
    <col min="1282" max="1282" width="13.77734375" style="164" customWidth="1"/>
    <col min="1283" max="1283" width="16.21875" style="164" customWidth="1"/>
    <col min="1284" max="1284" width="13" style="164" customWidth="1"/>
    <col min="1285" max="1285" width="11.21875" style="164" customWidth="1"/>
    <col min="1286" max="1286" width="11.77734375" style="164" customWidth="1"/>
    <col min="1287" max="1287" width="14.88671875" style="164" customWidth="1"/>
    <col min="1288" max="1288" width="11.77734375" style="164" customWidth="1"/>
    <col min="1289" max="1289" width="20.5546875" style="164" customWidth="1"/>
    <col min="1290" max="1290" width="12.6640625" style="164" customWidth="1"/>
    <col min="1291" max="1291" width="14.5546875" style="164" customWidth="1"/>
    <col min="1292" max="1292" width="34.44140625" style="164" customWidth="1"/>
    <col min="1293" max="1293" width="10.6640625" style="164" customWidth="1"/>
    <col min="1294" max="1294" width="9.21875" style="164"/>
    <col min="1295" max="1295" width="26.44140625" style="164" customWidth="1"/>
    <col min="1296" max="1296" width="27.44140625" style="164" customWidth="1"/>
    <col min="1297" max="1536" width="9.21875" style="164"/>
    <col min="1537" max="1537" width="17.44140625" style="164" customWidth="1"/>
    <col min="1538" max="1538" width="13.77734375" style="164" customWidth="1"/>
    <col min="1539" max="1539" width="16.21875" style="164" customWidth="1"/>
    <col min="1540" max="1540" width="13" style="164" customWidth="1"/>
    <col min="1541" max="1541" width="11.21875" style="164" customWidth="1"/>
    <col min="1542" max="1542" width="11.77734375" style="164" customWidth="1"/>
    <col min="1543" max="1543" width="14.88671875" style="164" customWidth="1"/>
    <col min="1544" max="1544" width="11.77734375" style="164" customWidth="1"/>
    <col min="1545" max="1545" width="20.5546875" style="164" customWidth="1"/>
    <col min="1546" max="1546" width="12.6640625" style="164" customWidth="1"/>
    <col min="1547" max="1547" width="14.5546875" style="164" customWidth="1"/>
    <col min="1548" max="1548" width="34.44140625" style="164" customWidth="1"/>
    <col min="1549" max="1549" width="10.6640625" style="164" customWidth="1"/>
    <col min="1550" max="1550" width="9.21875" style="164"/>
    <col min="1551" max="1551" width="26.44140625" style="164" customWidth="1"/>
    <col min="1552" max="1552" width="27.44140625" style="164" customWidth="1"/>
    <col min="1553" max="1792" width="9.21875" style="164"/>
    <col min="1793" max="1793" width="17.44140625" style="164" customWidth="1"/>
    <col min="1794" max="1794" width="13.77734375" style="164" customWidth="1"/>
    <col min="1795" max="1795" width="16.21875" style="164" customWidth="1"/>
    <col min="1796" max="1796" width="13" style="164" customWidth="1"/>
    <col min="1797" max="1797" width="11.21875" style="164" customWidth="1"/>
    <col min="1798" max="1798" width="11.77734375" style="164" customWidth="1"/>
    <col min="1799" max="1799" width="14.88671875" style="164" customWidth="1"/>
    <col min="1800" max="1800" width="11.77734375" style="164" customWidth="1"/>
    <col min="1801" max="1801" width="20.5546875" style="164" customWidth="1"/>
    <col min="1802" max="1802" width="12.6640625" style="164" customWidth="1"/>
    <col min="1803" max="1803" width="14.5546875" style="164" customWidth="1"/>
    <col min="1804" max="1804" width="34.44140625" style="164" customWidth="1"/>
    <col min="1805" max="1805" width="10.6640625" style="164" customWidth="1"/>
    <col min="1806" max="1806" width="9.21875" style="164"/>
    <col min="1807" max="1807" width="26.44140625" style="164" customWidth="1"/>
    <col min="1808" max="1808" width="27.44140625" style="164" customWidth="1"/>
    <col min="1809" max="2048" width="9.21875" style="164"/>
    <col min="2049" max="2049" width="17.44140625" style="164" customWidth="1"/>
    <col min="2050" max="2050" width="13.77734375" style="164" customWidth="1"/>
    <col min="2051" max="2051" width="16.21875" style="164" customWidth="1"/>
    <col min="2052" max="2052" width="13" style="164" customWidth="1"/>
    <col min="2053" max="2053" width="11.21875" style="164" customWidth="1"/>
    <col min="2054" max="2054" width="11.77734375" style="164" customWidth="1"/>
    <col min="2055" max="2055" width="14.88671875" style="164" customWidth="1"/>
    <col min="2056" max="2056" width="11.77734375" style="164" customWidth="1"/>
    <col min="2057" max="2057" width="20.5546875" style="164" customWidth="1"/>
    <col min="2058" max="2058" width="12.6640625" style="164" customWidth="1"/>
    <col min="2059" max="2059" width="14.5546875" style="164" customWidth="1"/>
    <col min="2060" max="2060" width="34.44140625" style="164" customWidth="1"/>
    <col min="2061" max="2061" width="10.6640625" style="164" customWidth="1"/>
    <col min="2062" max="2062" width="9.21875" style="164"/>
    <col min="2063" max="2063" width="26.44140625" style="164" customWidth="1"/>
    <col min="2064" max="2064" width="27.44140625" style="164" customWidth="1"/>
    <col min="2065" max="2304" width="9.21875" style="164"/>
    <col min="2305" max="2305" width="17.44140625" style="164" customWidth="1"/>
    <col min="2306" max="2306" width="13.77734375" style="164" customWidth="1"/>
    <col min="2307" max="2307" width="16.21875" style="164" customWidth="1"/>
    <col min="2308" max="2308" width="13" style="164" customWidth="1"/>
    <col min="2309" max="2309" width="11.21875" style="164" customWidth="1"/>
    <col min="2310" max="2310" width="11.77734375" style="164" customWidth="1"/>
    <col min="2311" max="2311" width="14.88671875" style="164" customWidth="1"/>
    <col min="2312" max="2312" width="11.77734375" style="164" customWidth="1"/>
    <col min="2313" max="2313" width="20.5546875" style="164" customWidth="1"/>
    <col min="2314" max="2314" width="12.6640625" style="164" customWidth="1"/>
    <col min="2315" max="2315" width="14.5546875" style="164" customWidth="1"/>
    <col min="2316" max="2316" width="34.44140625" style="164" customWidth="1"/>
    <col min="2317" max="2317" width="10.6640625" style="164" customWidth="1"/>
    <col min="2318" max="2318" width="9.21875" style="164"/>
    <col min="2319" max="2319" width="26.44140625" style="164" customWidth="1"/>
    <col min="2320" max="2320" width="27.44140625" style="164" customWidth="1"/>
    <col min="2321" max="2560" width="9.21875" style="164"/>
    <col min="2561" max="2561" width="17.44140625" style="164" customWidth="1"/>
    <col min="2562" max="2562" width="13.77734375" style="164" customWidth="1"/>
    <col min="2563" max="2563" width="16.21875" style="164" customWidth="1"/>
    <col min="2564" max="2564" width="13" style="164" customWidth="1"/>
    <col min="2565" max="2565" width="11.21875" style="164" customWidth="1"/>
    <col min="2566" max="2566" width="11.77734375" style="164" customWidth="1"/>
    <col min="2567" max="2567" width="14.88671875" style="164" customWidth="1"/>
    <col min="2568" max="2568" width="11.77734375" style="164" customWidth="1"/>
    <col min="2569" max="2569" width="20.5546875" style="164" customWidth="1"/>
    <col min="2570" max="2570" width="12.6640625" style="164" customWidth="1"/>
    <col min="2571" max="2571" width="14.5546875" style="164" customWidth="1"/>
    <col min="2572" max="2572" width="34.44140625" style="164" customWidth="1"/>
    <col min="2573" max="2573" width="10.6640625" style="164" customWidth="1"/>
    <col min="2574" max="2574" width="9.21875" style="164"/>
    <col min="2575" max="2575" width="26.44140625" style="164" customWidth="1"/>
    <col min="2576" max="2576" width="27.44140625" style="164" customWidth="1"/>
    <col min="2577" max="2816" width="9.21875" style="164"/>
    <col min="2817" max="2817" width="17.44140625" style="164" customWidth="1"/>
    <col min="2818" max="2818" width="13.77734375" style="164" customWidth="1"/>
    <col min="2819" max="2819" width="16.21875" style="164" customWidth="1"/>
    <col min="2820" max="2820" width="13" style="164" customWidth="1"/>
    <col min="2821" max="2821" width="11.21875" style="164" customWidth="1"/>
    <col min="2822" max="2822" width="11.77734375" style="164" customWidth="1"/>
    <col min="2823" max="2823" width="14.88671875" style="164" customWidth="1"/>
    <col min="2824" max="2824" width="11.77734375" style="164" customWidth="1"/>
    <col min="2825" max="2825" width="20.5546875" style="164" customWidth="1"/>
    <col min="2826" max="2826" width="12.6640625" style="164" customWidth="1"/>
    <col min="2827" max="2827" width="14.5546875" style="164" customWidth="1"/>
    <col min="2828" max="2828" width="34.44140625" style="164" customWidth="1"/>
    <col min="2829" max="2829" width="10.6640625" style="164" customWidth="1"/>
    <col min="2830" max="2830" width="9.21875" style="164"/>
    <col min="2831" max="2831" width="26.44140625" style="164" customWidth="1"/>
    <col min="2832" max="2832" width="27.44140625" style="164" customWidth="1"/>
    <col min="2833" max="3072" width="9.21875" style="164"/>
    <col min="3073" max="3073" width="17.44140625" style="164" customWidth="1"/>
    <col min="3074" max="3074" width="13.77734375" style="164" customWidth="1"/>
    <col min="3075" max="3075" width="16.21875" style="164" customWidth="1"/>
    <col min="3076" max="3076" width="13" style="164" customWidth="1"/>
    <col min="3077" max="3077" width="11.21875" style="164" customWidth="1"/>
    <col min="3078" max="3078" width="11.77734375" style="164" customWidth="1"/>
    <col min="3079" max="3079" width="14.88671875" style="164" customWidth="1"/>
    <col min="3080" max="3080" width="11.77734375" style="164" customWidth="1"/>
    <col min="3081" max="3081" width="20.5546875" style="164" customWidth="1"/>
    <col min="3082" max="3082" width="12.6640625" style="164" customWidth="1"/>
    <col min="3083" max="3083" width="14.5546875" style="164" customWidth="1"/>
    <col min="3084" max="3084" width="34.44140625" style="164" customWidth="1"/>
    <col min="3085" max="3085" width="10.6640625" style="164" customWidth="1"/>
    <col min="3086" max="3086" width="9.21875" style="164"/>
    <col min="3087" max="3087" width="26.44140625" style="164" customWidth="1"/>
    <col min="3088" max="3088" width="27.44140625" style="164" customWidth="1"/>
    <col min="3089" max="3328" width="9.21875" style="164"/>
    <col min="3329" max="3329" width="17.44140625" style="164" customWidth="1"/>
    <col min="3330" max="3330" width="13.77734375" style="164" customWidth="1"/>
    <col min="3331" max="3331" width="16.21875" style="164" customWidth="1"/>
    <col min="3332" max="3332" width="13" style="164" customWidth="1"/>
    <col min="3333" max="3333" width="11.21875" style="164" customWidth="1"/>
    <col min="3334" max="3334" width="11.77734375" style="164" customWidth="1"/>
    <col min="3335" max="3335" width="14.88671875" style="164" customWidth="1"/>
    <col min="3336" max="3336" width="11.77734375" style="164" customWidth="1"/>
    <col min="3337" max="3337" width="20.5546875" style="164" customWidth="1"/>
    <col min="3338" max="3338" width="12.6640625" style="164" customWidth="1"/>
    <col min="3339" max="3339" width="14.5546875" style="164" customWidth="1"/>
    <col min="3340" max="3340" width="34.44140625" style="164" customWidth="1"/>
    <col min="3341" max="3341" width="10.6640625" style="164" customWidth="1"/>
    <col min="3342" max="3342" width="9.21875" style="164"/>
    <col min="3343" max="3343" width="26.44140625" style="164" customWidth="1"/>
    <col min="3344" max="3344" width="27.44140625" style="164" customWidth="1"/>
    <col min="3345" max="3584" width="9.21875" style="164"/>
    <col min="3585" max="3585" width="17.44140625" style="164" customWidth="1"/>
    <col min="3586" max="3586" width="13.77734375" style="164" customWidth="1"/>
    <col min="3587" max="3587" width="16.21875" style="164" customWidth="1"/>
    <col min="3588" max="3588" width="13" style="164" customWidth="1"/>
    <col min="3589" max="3589" width="11.21875" style="164" customWidth="1"/>
    <col min="3590" max="3590" width="11.77734375" style="164" customWidth="1"/>
    <col min="3591" max="3591" width="14.88671875" style="164" customWidth="1"/>
    <col min="3592" max="3592" width="11.77734375" style="164" customWidth="1"/>
    <col min="3593" max="3593" width="20.5546875" style="164" customWidth="1"/>
    <col min="3594" max="3594" width="12.6640625" style="164" customWidth="1"/>
    <col min="3595" max="3595" width="14.5546875" style="164" customWidth="1"/>
    <col min="3596" max="3596" width="34.44140625" style="164" customWidth="1"/>
    <col min="3597" max="3597" width="10.6640625" style="164" customWidth="1"/>
    <col min="3598" max="3598" width="9.21875" style="164"/>
    <col min="3599" max="3599" width="26.44140625" style="164" customWidth="1"/>
    <col min="3600" max="3600" width="27.44140625" style="164" customWidth="1"/>
    <col min="3601" max="3840" width="9.21875" style="164"/>
    <col min="3841" max="3841" width="17.44140625" style="164" customWidth="1"/>
    <col min="3842" max="3842" width="13.77734375" style="164" customWidth="1"/>
    <col min="3843" max="3843" width="16.21875" style="164" customWidth="1"/>
    <col min="3844" max="3844" width="13" style="164" customWidth="1"/>
    <col min="3845" max="3845" width="11.21875" style="164" customWidth="1"/>
    <col min="3846" max="3846" width="11.77734375" style="164" customWidth="1"/>
    <col min="3847" max="3847" width="14.88671875" style="164" customWidth="1"/>
    <col min="3848" max="3848" width="11.77734375" style="164" customWidth="1"/>
    <col min="3849" max="3849" width="20.5546875" style="164" customWidth="1"/>
    <col min="3850" max="3850" width="12.6640625" style="164" customWidth="1"/>
    <col min="3851" max="3851" width="14.5546875" style="164" customWidth="1"/>
    <col min="3852" max="3852" width="34.44140625" style="164" customWidth="1"/>
    <col min="3853" max="3853" width="10.6640625" style="164" customWidth="1"/>
    <col min="3854" max="3854" width="9.21875" style="164"/>
    <col min="3855" max="3855" width="26.44140625" style="164" customWidth="1"/>
    <col min="3856" max="3856" width="27.44140625" style="164" customWidth="1"/>
    <col min="3857" max="4096" width="9.21875" style="164"/>
    <col min="4097" max="4097" width="17.44140625" style="164" customWidth="1"/>
    <col min="4098" max="4098" width="13.77734375" style="164" customWidth="1"/>
    <col min="4099" max="4099" width="16.21875" style="164" customWidth="1"/>
    <col min="4100" max="4100" width="13" style="164" customWidth="1"/>
    <col min="4101" max="4101" width="11.21875" style="164" customWidth="1"/>
    <col min="4102" max="4102" width="11.77734375" style="164" customWidth="1"/>
    <col min="4103" max="4103" width="14.88671875" style="164" customWidth="1"/>
    <col min="4104" max="4104" width="11.77734375" style="164" customWidth="1"/>
    <col min="4105" max="4105" width="20.5546875" style="164" customWidth="1"/>
    <col min="4106" max="4106" width="12.6640625" style="164" customWidth="1"/>
    <col min="4107" max="4107" width="14.5546875" style="164" customWidth="1"/>
    <col min="4108" max="4108" width="34.44140625" style="164" customWidth="1"/>
    <col min="4109" max="4109" width="10.6640625" style="164" customWidth="1"/>
    <col min="4110" max="4110" width="9.21875" style="164"/>
    <col min="4111" max="4111" width="26.44140625" style="164" customWidth="1"/>
    <col min="4112" max="4112" width="27.44140625" style="164" customWidth="1"/>
    <col min="4113" max="4352" width="9.21875" style="164"/>
    <col min="4353" max="4353" width="17.44140625" style="164" customWidth="1"/>
    <col min="4354" max="4354" width="13.77734375" style="164" customWidth="1"/>
    <col min="4355" max="4355" width="16.21875" style="164" customWidth="1"/>
    <col min="4356" max="4356" width="13" style="164" customWidth="1"/>
    <col min="4357" max="4357" width="11.21875" style="164" customWidth="1"/>
    <col min="4358" max="4358" width="11.77734375" style="164" customWidth="1"/>
    <col min="4359" max="4359" width="14.88671875" style="164" customWidth="1"/>
    <col min="4360" max="4360" width="11.77734375" style="164" customWidth="1"/>
    <col min="4361" max="4361" width="20.5546875" style="164" customWidth="1"/>
    <col min="4362" max="4362" width="12.6640625" style="164" customWidth="1"/>
    <col min="4363" max="4363" width="14.5546875" style="164" customWidth="1"/>
    <col min="4364" max="4364" width="34.44140625" style="164" customWidth="1"/>
    <col min="4365" max="4365" width="10.6640625" style="164" customWidth="1"/>
    <col min="4366" max="4366" width="9.21875" style="164"/>
    <col min="4367" max="4367" width="26.44140625" style="164" customWidth="1"/>
    <col min="4368" max="4368" width="27.44140625" style="164" customWidth="1"/>
    <col min="4369" max="4608" width="9.21875" style="164"/>
    <col min="4609" max="4609" width="17.44140625" style="164" customWidth="1"/>
    <col min="4610" max="4610" width="13.77734375" style="164" customWidth="1"/>
    <col min="4611" max="4611" width="16.21875" style="164" customWidth="1"/>
    <col min="4612" max="4612" width="13" style="164" customWidth="1"/>
    <col min="4613" max="4613" width="11.21875" style="164" customWidth="1"/>
    <col min="4614" max="4614" width="11.77734375" style="164" customWidth="1"/>
    <col min="4615" max="4615" width="14.88671875" style="164" customWidth="1"/>
    <col min="4616" max="4616" width="11.77734375" style="164" customWidth="1"/>
    <col min="4617" max="4617" width="20.5546875" style="164" customWidth="1"/>
    <col min="4618" max="4618" width="12.6640625" style="164" customWidth="1"/>
    <col min="4619" max="4619" width="14.5546875" style="164" customWidth="1"/>
    <col min="4620" max="4620" width="34.44140625" style="164" customWidth="1"/>
    <col min="4621" max="4621" width="10.6640625" style="164" customWidth="1"/>
    <col min="4622" max="4622" width="9.21875" style="164"/>
    <col min="4623" max="4623" width="26.44140625" style="164" customWidth="1"/>
    <col min="4624" max="4624" width="27.44140625" style="164" customWidth="1"/>
    <col min="4625" max="4864" width="9.21875" style="164"/>
    <col min="4865" max="4865" width="17.44140625" style="164" customWidth="1"/>
    <col min="4866" max="4866" width="13.77734375" style="164" customWidth="1"/>
    <col min="4867" max="4867" width="16.21875" style="164" customWidth="1"/>
    <col min="4868" max="4868" width="13" style="164" customWidth="1"/>
    <col min="4869" max="4869" width="11.21875" style="164" customWidth="1"/>
    <col min="4870" max="4870" width="11.77734375" style="164" customWidth="1"/>
    <col min="4871" max="4871" width="14.88671875" style="164" customWidth="1"/>
    <col min="4872" max="4872" width="11.77734375" style="164" customWidth="1"/>
    <col min="4873" max="4873" width="20.5546875" style="164" customWidth="1"/>
    <col min="4874" max="4874" width="12.6640625" style="164" customWidth="1"/>
    <col min="4875" max="4875" width="14.5546875" style="164" customWidth="1"/>
    <col min="4876" max="4876" width="34.44140625" style="164" customWidth="1"/>
    <col min="4877" max="4877" width="10.6640625" style="164" customWidth="1"/>
    <col min="4878" max="4878" width="9.21875" style="164"/>
    <col min="4879" max="4879" width="26.44140625" style="164" customWidth="1"/>
    <col min="4880" max="4880" width="27.44140625" style="164" customWidth="1"/>
    <col min="4881" max="5120" width="9.21875" style="164"/>
    <col min="5121" max="5121" width="17.44140625" style="164" customWidth="1"/>
    <col min="5122" max="5122" width="13.77734375" style="164" customWidth="1"/>
    <col min="5123" max="5123" width="16.21875" style="164" customWidth="1"/>
    <col min="5124" max="5124" width="13" style="164" customWidth="1"/>
    <col min="5125" max="5125" width="11.21875" style="164" customWidth="1"/>
    <col min="5126" max="5126" width="11.77734375" style="164" customWidth="1"/>
    <col min="5127" max="5127" width="14.88671875" style="164" customWidth="1"/>
    <col min="5128" max="5128" width="11.77734375" style="164" customWidth="1"/>
    <col min="5129" max="5129" width="20.5546875" style="164" customWidth="1"/>
    <col min="5130" max="5130" width="12.6640625" style="164" customWidth="1"/>
    <col min="5131" max="5131" width="14.5546875" style="164" customWidth="1"/>
    <col min="5132" max="5132" width="34.44140625" style="164" customWidth="1"/>
    <col min="5133" max="5133" width="10.6640625" style="164" customWidth="1"/>
    <col min="5134" max="5134" width="9.21875" style="164"/>
    <col min="5135" max="5135" width="26.44140625" style="164" customWidth="1"/>
    <col min="5136" max="5136" width="27.44140625" style="164" customWidth="1"/>
    <col min="5137" max="5376" width="9.21875" style="164"/>
    <col min="5377" max="5377" width="17.44140625" style="164" customWidth="1"/>
    <col min="5378" max="5378" width="13.77734375" style="164" customWidth="1"/>
    <col min="5379" max="5379" width="16.21875" style="164" customWidth="1"/>
    <col min="5380" max="5380" width="13" style="164" customWidth="1"/>
    <col min="5381" max="5381" width="11.21875" style="164" customWidth="1"/>
    <col min="5382" max="5382" width="11.77734375" style="164" customWidth="1"/>
    <col min="5383" max="5383" width="14.88671875" style="164" customWidth="1"/>
    <col min="5384" max="5384" width="11.77734375" style="164" customWidth="1"/>
    <col min="5385" max="5385" width="20.5546875" style="164" customWidth="1"/>
    <col min="5386" max="5386" width="12.6640625" style="164" customWidth="1"/>
    <col min="5387" max="5387" width="14.5546875" style="164" customWidth="1"/>
    <col min="5388" max="5388" width="34.44140625" style="164" customWidth="1"/>
    <col min="5389" max="5389" width="10.6640625" style="164" customWidth="1"/>
    <col min="5390" max="5390" width="9.21875" style="164"/>
    <col min="5391" max="5391" width="26.44140625" style="164" customWidth="1"/>
    <col min="5392" max="5392" width="27.44140625" style="164" customWidth="1"/>
    <col min="5393" max="5632" width="9.21875" style="164"/>
    <col min="5633" max="5633" width="17.44140625" style="164" customWidth="1"/>
    <col min="5634" max="5634" width="13.77734375" style="164" customWidth="1"/>
    <col min="5635" max="5635" width="16.21875" style="164" customWidth="1"/>
    <col min="5636" max="5636" width="13" style="164" customWidth="1"/>
    <col min="5637" max="5637" width="11.21875" style="164" customWidth="1"/>
    <col min="5638" max="5638" width="11.77734375" style="164" customWidth="1"/>
    <col min="5639" max="5639" width="14.88671875" style="164" customWidth="1"/>
    <col min="5640" max="5640" width="11.77734375" style="164" customWidth="1"/>
    <col min="5641" max="5641" width="20.5546875" style="164" customWidth="1"/>
    <col min="5642" max="5642" width="12.6640625" style="164" customWidth="1"/>
    <col min="5643" max="5643" width="14.5546875" style="164" customWidth="1"/>
    <col min="5644" max="5644" width="34.44140625" style="164" customWidth="1"/>
    <col min="5645" max="5645" width="10.6640625" style="164" customWidth="1"/>
    <col min="5646" max="5646" width="9.21875" style="164"/>
    <col min="5647" max="5647" width="26.44140625" style="164" customWidth="1"/>
    <col min="5648" max="5648" width="27.44140625" style="164" customWidth="1"/>
    <col min="5649" max="5888" width="9.21875" style="164"/>
    <col min="5889" max="5889" width="17.44140625" style="164" customWidth="1"/>
    <col min="5890" max="5890" width="13.77734375" style="164" customWidth="1"/>
    <col min="5891" max="5891" width="16.21875" style="164" customWidth="1"/>
    <col min="5892" max="5892" width="13" style="164" customWidth="1"/>
    <col min="5893" max="5893" width="11.21875" style="164" customWidth="1"/>
    <col min="5894" max="5894" width="11.77734375" style="164" customWidth="1"/>
    <col min="5895" max="5895" width="14.88671875" style="164" customWidth="1"/>
    <col min="5896" max="5896" width="11.77734375" style="164" customWidth="1"/>
    <col min="5897" max="5897" width="20.5546875" style="164" customWidth="1"/>
    <col min="5898" max="5898" width="12.6640625" style="164" customWidth="1"/>
    <col min="5899" max="5899" width="14.5546875" style="164" customWidth="1"/>
    <col min="5900" max="5900" width="34.44140625" style="164" customWidth="1"/>
    <col min="5901" max="5901" width="10.6640625" style="164" customWidth="1"/>
    <col min="5902" max="5902" width="9.21875" style="164"/>
    <col min="5903" max="5903" width="26.44140625" style="164" customWidth="1"/>
    <col min="5904" max="5904" width="27.44140625" style="164" customWidth="1"/>
    <col min="5905" max="6144" width="9.21875" style="164"/>
    <col min="6145" max="6145" width="17.44140625" style="164" customWidth="1"/>
    <col min="6146" max="6146" width="13.77734375" style="164" customWidth="1"/>
    <col min="6147" max="6147" width="16.21875" style="164" customWidth="1"/>
    <col min="6148" max="6148" width="13" style="164" customWidth="1"/>
    <col min="6149" max="6149" width="11.21875" style="164" customWidth="1"/>
    <col min="6150" max="6150" width="11.77734375" style="164" customWidth="1"/>
    <col min="6151" max="6151" width="14.88671875" style="164" customWidth="1"/>
    <col min="6152" max="6152" width="11.77734375" style="164" customWidth="1"/>
    <col min="6153" max="6153" width="20.5546875" style="164" customWidth="1"/>
    <col min="6154" max="6154" width="12.6640625" style="164" customWidth="1"/>
    <col min="6155" max="6155" width="14.5546875" style="164" customWidth="1"/>
    <col min="6156" max="6156" width="34.44140625" style="164" customWidth="1"/>
    <col min="6157" max="6157" width="10.6640625" style="164" customWidth="1"/>
    <col min="6158" max="6158" width="9.21875" style="164"/>
    <col min="6159" max="6159" width="26.44140625" style="164" customWidth="1"/>
    <col min="6160" max="6160" width="27.44140625" style="164" customWidth="1"/>
    <col min="6161" max="6400" width="9.21875" style="164"/>
    <col min="6401" max="6401" width="17.44140625" style="164" customWidth="1"/>
    <col min="6402" max="6402" width="13.77734375" style="164" customWidth="1"/>
    <col min="6403" max="6403" width="16.21875" style="164" customWidth="1"/>
    <col min="6404" max="6404" width="13" style="164" customWidth="1"/>
    <col min="6405" max="6405" width="11.21875" style="164" customWidth="1"/>
    <col min="6406" max="6406" width="11.77734375" style="164" customWidth="1"/>
    <col min="6407" max="6407" width="14.88671875" style="164" customWidth="1"/>
    <col min="6408" max="6408" width="11.77734375" style="164" customWidth="1"/>
    <col min="6409" max="6409" width="20.5546875" style="164" customWidth="1"/>
    <col min="6410" max="6410" width="12.6640625" style="164" customWidth="1"/>
    <col min="6411" max="6411" width="14.5546875" style="164" customWidth="1"/>
    <col min="6412" max="6412" width="34.44140625" style="164" customWidth="1"/>
    <col min="6413" max="6413" width="10.6640625" style="164" customWidth="1"/>
    <col min="6414" max="6414" width="9.21875" style="164"/>
    <col min="6415" max="6415" width="26.44140625" style="164" customWidth="1"/>
    <col min="6416" max="6416" width="27.44140625" style="164" customWidth="1"/>
    <col min="6417" max="6656" width="9.21875" style="164"/>
    <col min="6657" max="6657" width="17.44140625" style="164" customWidth="1"/>
    <col min="6658" max="6658" width="13.77734375" style="164" customWidth="1"/>
    <col min="6659" max="6659" width="16.21875" style="164" customWidth="1"/>
    <col min="6660" max="6660" width="13" style="164" customWidth="1"/>
    <col min="6661" max="6661" width="11.21875" style="164" customWidth="1"/>
    <col min="6662" max="6662" width="11.77734375" style="164" customWidth="1"/>
    <col min="6663" max="6663" width="14.88671875" style="164" customWidth="1"/>
    <col min="6664" max="6664" width="11.77734375" style="164" customWidth="1"/>
    <col min="6665" max="6665" width="20.5546875" style="164" customWidth="1"/>
    <col min="6666" max="6666" width="12.6640625" style="164" customWidth="1"/>
    <col min="6667" max="6667" width="14.5546875" style="164" customWidth="1"/>
    <col min="6668" max="6668" width="34.44140625" style="164" customWidth="1"/>
    <col min="6669" max="6669" width="10.6640625" style="164" customWidth="1"/>
    <col min="6670" max="6670" width="9.21875" style="164"/>
    <col min="6671" max="6671" width="26.44140625" style="164" customWidth="1"/>
    <col min="6672" max="6672" width="27.44140625" style="164" customWidth="1"/>
    <col min="6673" max="6912" width="9.21875" style="164"/>
    <col min="6913" max="6913" width="17.44140625" style="164" customWidth="1"/>
    <col min="6914" max="6914" width="13.77734375" style="164" customWidth="1"/>
    <col min="6915" max="6915" width="16.21875" style="164" customWidth="1"/>
    <col min="6916" max="6916" width="13" style="164" customWidth="1"/>
    <col min="6917" max="6917" width="11.21875" style="164" customWidth="1"/>
    <col min="6918" max="6918" width="11.77734375" style="164" customWidth="1"/>
    <col min="6919" max="6919" width="14.88671875" style="164" customWidth="1"/>
    <col min="6920" max="6920" width="11.77734375" style="164" customWidth="1"/>
    <col min="6921" max="6921" width="20.5546875" style="164" customWidth="1"/>
    <col min="6922" max="6922" width="12.6640625" style="164" customWidth="1"/>
    <col min="6923" max="6923" width="14.5546875" style="164" customWidth="1"/>
    <col min="6924" max="6924" width="34.44140625" style="164" customWidth="1"/>
    <col min="6925" max="6925" width="10.6640625" style="164" customWidth="1"/>
    <col min="6926" max="6926" width="9.21875" style="164"/>
    <col min="6927" max="6927" width="26.44140625" style="164" customWidth="1"/>
    <col min="6928" max="6928" width="27.44140625" style="164" customWidth="1"/>
    <col min="6929" max="7168" width="9.21875" style="164"/>
    <col min="7169" max="7169" width="17.44140625" style="164" customWidth="1"/>
    <col min="7170" max="7170" width="13.77734375" style="164" customWidth="1"/>
    <col min="7171" max="7171" width="16.21875" style="164" customWidth="1"/>
    <col min="7172" max="7172" width="13" style="164" customWidth="1"/>
    <col min="7173" max="7173" width="11.21875" style="164" customWidth="1"/>
    <col min="7174" max="7174" width="11.77734375" style="164" customWidth="1"/>
    <col min="7175" max="7175" width="14.88671875" style="164" customWidth="1"/>
    <col min="7176" max="7176" width="11.77734375" style="164" customWidth="1"/>
    <col min="7177" max="7177" width="20.5546875" style="164" customWidth="1"/>
    <col min="7178" max="7178" width="12.6640625" style="164" customWidth="1"/>
    <col min="7179" max="7179" width="14.5546875" style="164" customWidth="1"/>
    <col min="7180" max="7180" width="34.44140625" style="164" customWidth="1"/>
    <col min="7181" max="7181" width="10.6640625" style="164" customWidth="1"/>
    <col min="7182" max="7182" width="9.21875" style="164"/>
    <col min="7183" max="7183" width="26.44140625" style="164" customWidth="1"/>
    <col min="7184" max="7184" width="27.44140625" style="164" customWidth="1"/>
    <col min="7185" max="7424" width="9.21875" style="164"/>
    <col min="7425" max="7425" width="17.44140625" style="164" customWidth="1"/>
    <col min="7426" max="7426" width="13.77734375" style="164" customWidth="1"/>
    <col min="7427" max="7427" width="16.21875" style="164" customWidth="1"/>
    <col min="7428" max="7428" width="13" style="164" customWidth="1"/>
    <col min="7429" max="7429" width="11.21875" style="164" customWidth="1"/>
    <col min="7430" max="7430" width="11.77734375" style="164" customWidth="1"/>
    <col min="7431" max="7431" width="14.88671875" style="164" customWidth="1"/>
    <col min="7432" max="7432" width="11.77734375" style="164" customWidth="1"/>
    <col min="7433" max="7433" width="20.5546875" style="164" customWidth="1"/>
    <col min="7434" max="7434" width="12.6640625" style="164" customWidth="1"/>
    <col min="7435" max="7435" width="14.5546875" style="164" customWidth="1"/>
    <col min="7436" max="7436" width="34.44140625" style="164" customWidth="1"/>
    <col min="7437" max="7437" width="10.6640625" style="164" customWidth="1"/>
    <col min="7438" max="7438" width="9.21875" style="164"/>
    <col min="7439" max="7439" width="26.44140625" style="164" customWidth="1"/>
    <col min="7440" max="7440" width="27.44140625" style="164" customWidth="1"/>
    <col min="7441" max="7680" width="9.21875" style="164"/>
    <col min="7681" max="7681" width="17.44140625" style="164" customWidth="1"/>
    <col min="7682" max="7682" width="13.77734375" style="164" customWidth="1"/>
    <col min="7683" max="7683" width="16.21875" style="164" customWidth="1"/>
    <col min="7684" max="7684" width="13" style="164" customWidth="1"/>
    <col min="7685" max="7685" width="11.21875" style="164" customWidth="1"/>
    <col min="7686" max="7686" width="11.77734375" style="164" customWidth="1"/>
    <col min="7687" max="7687" width="14.88671875" style="164" customWidth="1"/>
    <col min="7688" max="7688" width="11.77734375" style="164" customWidth="1"/>
    <col min="7689" max="7689" width="20.5546875" style="164" customWidth="1"/>
    <col min="7690" max="7690" width="12.6640625" style="164" customWidth="1"/>
    <col min="7691" max="7691" width="14.5546875" style="164" customWidth="1"/>
    <col min="7692" max="7692" width="34.44140625" style="164" customWidth="1"/>
    <col min="7693" max="7693" width="10.6640625" style="164" customWidth="1"/>
    <col min="7694" max="7694" width="9.21875" style="164"/>
    <col min="7695" max="7695" width="26.44140625" style="164" customWidth="1"/>
    <col min="7696" max="7696" width="27.44140625" style="164" customWidth="1"/>
    <col min="7697" max="7936" width="9.21875" style="164"/>
    <col min="7937" max="7937" width="17.44140625" style="164" customWidth="1"/>
    <col min="7938" max="7938" width="13.77734375" style="164" customWidth="1"/>
    <col min="7939" max="7939" width="16.21875" style="164" customWidth="1"/>
    <col min="7940" max="7940" width="13" style="164" customWidth="1"/>
    <col min="7941" max="7941" width="11.21875" style="164" customWidth="1"/>
    <col min="7942" max="7942" width="11.77734375" style="164" customWidth="1"/>
    <col min="7943" max="7943" width="14.88671875" style="164" customWidth="1"/>
    <col min="7944" max="7944" width="11.77734375" style="164" customWidth="1"/>
    <col min="7945" max="7945" width="20.5546875" style="164" customWidth="1"/>
    <col min="7946" max="7946" width="12.6640625" style="164" customWidth="1"/>
    <col min="7947" max="7947" width="14.5546875" style="164" customWidth="1"/>
    <col min="7948" max="7948" width="34.44140625" style="164" customWidth="1"/>
    <col min="7949" max="7949" width="10.6640625" style="164" customWidth="1"/>
    <col min="7950" max="7950" width="9.21875" style="164"/>
    <col min="7951" max="7951" width="26.44140625" style="164" customWidth="1"/>
    <col min="7952" max="7952" width="27.44140625" style="164" customWidth="1"/>
    <col min="7953" max="8192" width="9.21875" style="164"/>
    <col min="8193" max="8193" width="17.44140625" style="164" customWidth="1"/>
    <col min="8194" max="8194" width="13.77734375" style="164" customWidth="1"/>
    <col min="8195" max="8195" width="16.21875" style="164" customWidth="1"/>
    <col min="8196" max="8196" width="13" style="164" customWidth="1"/>
    <col min="8197" max="8197" width="11.21875" style="164" customWidth="1"/>
    <col min="8198" max="8198" width="11.77734375" style="164" customWidth="1"/>
    <col min="8199" max="8199" width="14.88671875" style="164" customWidth="1"/>
    <col min="8200" max="8200" width="11.77734375" style="164" customWidth="1"/>
    <col min="8201" max="8201" width="20.5546875" style="164" customWidth="1"/>
    <col min="8202" max="8202" width="12.6640625" style="164" customWidth="1"/>
    <col min="8203" max="8203" width="14.5546875" style="164" customWidth="1"/>
    <col min="8204" max="8204" width="34.44140625" style="164" customWidth="1"/>
    <col min="8205" max="8205" width="10.6640625" style="164" customWidth="1"/>
    <col min="8206" max="8206" width="9.21875" style="164"/>
    <col min="8207" max="8207" width="26.44140625" style="164" customWidth="1"/>
    <col min="8208" max="8208" width="27.44140625" style="164" customWidth="1"/>
    <col min="8209" max="8448" width="9.21875" style="164"/>
    <col min="8449" max="8449" width="17.44140625" style="164" customWidth="1"/>
    <col min="8450" max="8450" width="13.77734375" style="164" customWidth="1"/>
    <col min="8451" max="8451" width="16.21875" style="164" customWidth="1"/>
    <col min="8452" max="8452" width="13" style="164" customWidth="1"/>
    <col min="8453" max="8453" width="11.21875" style="164" customWidth="1"/>
    <col min="8454" max="8454" width="11.77734375" style="164" customWidth="1"/>
    <col min="8455" max="8455" width="14.88671875" style="164" customWidth="1"/>
    <col min="8456" max="8456" width="11.77734375" style="164" customWidth="1"/>
    <col min="8457" max="8457" width="20.5546875" style="164" customWidth="1"/>
    <col min="8458" max="8458" width="12.6640625" style="164" customWidth="1"/>
    <col min="8459" max="8459" width="14.5546875" style="164" customWidth="1"/>
    <col min="8460" max="8460" width="34.44140625" style="164" customWidth="1"/>
    <col min="8461" max="8461" width="10.6640625" style="164" customWidth="1"/>
    <col min="8462" max="8462" width="9.21875" style="164"/>
    <col min="8463" max="8463" width="26.44140625" style="164" customWidth="1"/>
    <col min="8464" max="8464" width="27.44140625" style="164" customWidth="1"/>
    <col min="8465" max="8704" width="9.21875" style="164"/>
    <col min="8705" max="8705" width="17.44140625" style="164" customWidth="1"/>
    <col min="8706" max="8706" width="13.77734375" style="164" customWidth="1"/>
    <col min="8707" max="8707" width="16.21875" style="164" customWidth="1"/>
    <col min="8708" max="8708" width="13" style="164" customWidth="1"/>
    <col min="8709" max="8709" width="11.21875" style="164" customWidth="1"/>
    <col min="8710" max="8710" width="11.77734375" style="164" customWidth="1"/>
    <col min="8711" max="8711" width="14.88671875" style="164" customWidth="1"/>
    <col min="8712" max="8712" width="11.77734375" style="164" customWidth="1"/>
    <col min="8713" max="8713" width="20.5546875" style="164" customWidth="1"/>
    <col min="8714" max="8714" width="12.6640625" style="164" customWidth="1"/>
    <col min="8715" max="8715" width="14.5546875" style="164" customWidth="1"/>
    <col min="8716" max="8716" width="34.44140625" style="164" customWidth="1"/>
    <col min="8717" max="8717" width="10.6640625" style="164" customWidth="1"/>
    <col min="8718" max="8718" width="9.21875" style="164"/>
    <col min="8719" max="8719" width="26.44140625" style="164" customWidth="1"/>
    <col min="8720" max="8720" width="27.44140625" style="164" customWidth="1"/>
    <col min="8721" max="8960" width="9.21875" style="164"/>
    <col min="8961" max="8961" width="17.44140625" style="164" customWidth="1"/>
    <col min="8962" max="8962" width="13.77734375" style="164" customWidth="1"/>
    <col min="8963" max="8963" width="16.21875" style="164" customWidth="1"/>
    <col min="8964" max="8964" width="13" style="164" customWidth="1"/>
    <col min="8965" max="8965" width="11.21875" style="164" customWidth="1"/>
    <col min="8966" max="8966" width="11.77734375" style="164" customWidth="1"/>
    <col min="8967" max="8967" width="14.88671875" style="164" customWidth="1"/>
    <col min="8968" max="8968" width="11.77734375" style="164" customWidth="1"/>
    <col min="8969" max="8969" width="20.5546875" style="164" customWidth="1"/>
    <col min="8970" max="8970" width="12.6640625" style="164" customWidth="1"/>
    <col min="8971" max="8971" width="14.5546875" style="164" customWidth="1"/>
    <col min="8972" max="8972" width="34.44140625" style="164" customWidth="1"/>
    <col min="8973" max="8973" width="10.6640625" style="164" customWidth="1"/>
    <col min="8974" max="8974" width="9.21875" style="164"/>
    <col min="8975" max="8975" width="26.44140625" style="164" customWidth="1"/>
    <col min="8976" max="8976" width="27.44140625" style="164" customWidth="1"/>
    <col min="8977" max="9216" width="9.21875" style="164"/>
    <col min="9217" max="9217" width="17.44140625" style="164" customWidth="1"/>
    <col min="9218" max="9218" width="13.77734375" style="164" customWidth="1"/>
    <col min="9219" max="9219" width="16.21875" style="164" customWidth="1"/>
    <col min="9220" max="9220" width="13" style="164" customWidth="1"/>
    <col min="9221" max="9221" width="11.21875" style="164" customWidth="1"/>
    <col min="9222" max="9222" width="11.77734375" style="164" customWidth="1"/>
    <col min="9223" max="9223" width="14.88671875" style="164" customWidth="1"/>
    <col min="9224" max="9224" width="11.77734375" style="164" customWidth="1"/>
    <col min="9225" max="9225" width="20.5546875" style="164" customWidth="1"/>
    <col min="9226" max="9226" width="12.6640625" style="164" customWidth="1"/>
    <col min="9227" max="9227" width="14.5546875" style="164" customWidth="1"/>
    <col min="9228" max="9228" width="34.44140625" style="164" customWidth="1"/>
    <col min="9229" max="9229" width="10.6640625" style="164" customWidth="1"/>
    <col min="9230" max="9230" width="9.21875" style="164"/>
    <col min="9231" max="9231" width="26.44140625" style="164" customWidth="1"/>
    <col min="9232" max="9232" width="27.44140625" style="164" customWidth="1"/>
    <col min="9233" max="9472" width="9.21875" style="164"/>
    <col min="9473" max="9473" width="17.44140625" style="164" customWidth="1"/>
    <col min="9474" max="9474" width="13.77734375" style="164" customWidth="1"/>
    <col min="9475" max="9475" width="16.21875" style="164" customWidth="1"/>
    <col min="9476" max="9476" width="13" style="164" customWidth="1"/>
    <col min="9477" max="9477" width="11.21875" style="164" customWidth="1"/>
    <col min="9478" max="9478" width="11.77734375" style="164" customWidth="1"/>
    <col min="9479" max="9479" width="14.88671875" style="164" customWidth="1"/>
    <col min="9480" max="9480" width="11.77734375" style="164" customWidth="1"/>
    <col min="9481" max="9481" width="20.5546875" style="164" customWidth="1"/>
    <col min="9482" max="9482" width="12.6640625" style="164" customWidth="1"/>
    <col min="9483" max="9483" width="14.5546875" style="164" customWidth="1"/>
    <col min="9484" max="9484" width="34.44140625" style="164" customWidth="1"/>
    <col min="9485" max="9485" width="10.6640625" style="164" customWidth="1"/>
    <col min="9486" max="9486" width="9.21875" style="164"/>
    <col min="9487" max="9487" width="26.44140625" style="164" customWidth="1"/>
    <col min="9488" max="9488" width="27.44140625" style="164" customWidth="1"/>
    <col min="9489" max="9728" width="9.21875" style="164"/>
    <col min="9729" max="9729" width="17.44140625" style="164" customWidth="1"/>
    <col min="9730" max="9730" width="13.77734375" style="164" customWidth="1"/>
    <col min="9731" max="9731" width="16.21875" style="164" customWidth="1"/>
    <col min="9732" max="9732" width="13" style="164" customWidth="1"/>
    <col min="9733" max="9733" width="11.21875" style="164" customWidth="1"/>
    <col min="9734" max="9734" width="11.77734375" style="164" customWidth="1"/>
    <col min="9735" max="9735" width="14.88671875" style="164" customWidth="1"/>
    <col min="9736" max="9736" width="11.77734375" style="164" customWidth="1"/>
    <col min="9737" max="9737" width="20.5546875" style="164" customWidth="1"/>
    <col min="9738" max="9738" width="12.6640625" style="164" customWidth="1"/>
    <col min="9739" max="9739" width="14.5546875" style="164" customWidth="1"/>
    <col min="9740" max="9740" width="34.44140625" style="164" customWidth="1"/>
    <col min="9741" max="9741" width="10.6640625" style="164" customWidth="1"/>
    <col min="9742" max="9742" width="9.21875" style="164"/>
    <col min="9743" max="9743" width="26.44140625" style="164" customWidth="1"/>
    <col min="9744" max="9744" width="27.44140625" style="164" customWidth="1"/>
    <col min="9745" max="9984" width="9.21875" style="164"/>
    <col min="9985" max="9985" width="17.44140625" style="164" customWidth="1"/>
    <col min="9986" max="9986" width="13.77734375" style="164" customWidth="1"/>
    <col min="9987" max="9987" width="16.21875" style="164" customWidth="1"/>
    <col min="9988" max="9988" width="13" style="164" customWidth="1"/>
    <col min="9989" max="9989" width="11.21875" style="164" customWidth="1"/>
    <col min="9990" max="9990" width="11.77734375" style="164" customWidth="1"/>
    <col min="9991" max="9991" width="14.88671875" style="164" customWidth="1"/>
    <col min="9992" max="9992" width="11.77734375" style="164" customWidth="1"/>
    <col min="9993" max="9993" width="20.5546875" style="164" customWidth="1"/>
    <col min="9994" max="9994" width="12.6640625" style="164" customWidth="1"/>
    <col min="9995" max="9995" width="14.5546875" style="164" customWidth="1"/>
    <col min="9996" max="9996" width="34.44140625" style="164" customWidth="1"/>
    <col min="9997" max="9997" width="10.6640625" style="164" customWidth="1"/>
    <col min="9998" max="9998" width="9.21875" style="164"/>
    <col min="9999" max="9999" width="26.44140625" style="164" customWidth="1"/>
    <col min="10000" max="10000" width="27.44140625" style="164" customWidth="1"/>
    <col min="10001" max="10240" width="9.21875" style="164"/>
    <col min="10241" max="10241" width="17.44140625" style="164" customWidth="1"/>
    <col min="10242" max="10242" width="13.77734375" style="164" customWidth="1"/>
    <col min="10243" max="10243" width="16.21875" style="164" customWidth="1"/>
    <col min="10244" max="10244" width="13" style="164" customWidth="1"/>
    <col min="10245" max="10245" width="11.21875" style="164" customWidth="1"/>
    <col min="10246" max="10246" width="11.77734375" style="164" customWidth="1"/>
    <col min="10247" max="10247" width="14.88671875" style="164" customWidth="1"/>
    <col min="10248" max="10248" width="11.77734375" style="164" customWidth="1"/>
    <col min="10249" max="10249" width="20.5546875" style="164" customWidth="1"/>
    <col min="10250" max="10250" width="12.6640625" style="164" customWidth="1"/>
    <col min="10251" max="10251" width="14.5546875" style="164" customWidth="1"/>
    <col min="10252" max="10252" width="34.44140625" style="164" customWidth="1"/>
    <col min="10253" max="10253" width="10.6640625" style="164" customWidth="1"/>
    <col min="10254" max="10254" width="9.21875" style="164"/>
    <col min="10255" max="10255" width="26.44140625" style="164" customWidth="1"/>
    <col min="10256" max="10256" width="27.44140625" style="164" customWidth="1"/>
    <col min="10257" max="10496" width="9.21875" style="164"/>
    <col min="10497" max="10497" width="17.44140625" style="164" customWidth="1"/>
    <col min="10498" max="10498" width="13.77734375" style="164" customWidth="1"/>
    <col min="10499" max="10499" width="16.21875" style="164" customWidth="1"/>
    <col min="10500" max="10500" width="13" style="164" customWidth="1"/>
    <col min="10501" max="10501" width="11.21875" style="164" customWidth="1"/>
    <col min="10502" max="10502" width="11.77734375" style="164" customWidth="1"/>
    <col min="10503" max="10503" width="14.88671875" style="164" customWidth="1"/>
    <col min="10504" max="10504" width="11.77734375" style="164" customWidth="1"/>
    <col min="10505" max="10505" width="20.5546875" style="164" customWidth="1"/>
    <col min="10506" max="10506" width="12.6640625" style="164" customWidth="1"/>
    <col min="10507" max="10507" width="14.5546875" style="164" customWidth="1"/>
    <col min="10508" max="10508" width="34.44140625" style="164" customWidth="1"/>
    <col min="10509" max="10509" width="10.6640625" style="164" customWidth="1"/>
    <col min="10510" max="10510" width="9.21875" style="164"/>
    <col min="10511" max="10511" width="26.44140625" style="164" customWidth="1"/>
    <col min="10512" max="10512" width="27.44140625" style="164" customWidth="1"/>
    <col min="10513" max="10752" width="9.21875" style="164"/>
    <col min="10753" max="10753" width="17.44140625" style="164" customWidth="1"/>
    <col min="10754" max="10754" width="13.77734375" style="164" customWidth="1"/>
    <col min="10755" max="10755" width="16.21875" style="164" customWidth="1"/>
    <col min="10756" max="10756" width="13" style="164" customWidth="1"/>
    <col min="10757" max="10757" width="11.21875" style="164" customWidth="1"/>
    <col min="10758" max="10758" width="11.77734375" style="164" customWidth="1"/>
    <col min="10759" max="10759" width="14.88671875" style="164" customWidth="1"/>
    <col min="10760" max="10760" width="11.77734375" style="164" customWidth="1"/>
    <col min="10761" max="10761" width="20.5546875" style="164" customWidth="1"/>
    <col min="10762" max="10762" width="12.6640625" style="164" customWidth="1"/>
    <col min="10763" max="10763" width="14.5546875" style="164" customWidth="1"/>
    <col min="10764" max="10764" width="34.44140625" style="164" customWidth="1"/>
    <col min="10765" max="10765" width="10.6640625" style="164" customWidth="1"/>
    <col min="10766" max="10766" width="9.21875" style="164"/>
    <col min="10767" max="10767" width="26.44140625" style="164" customWidth="1"/>
    <col min="10768" max="10768" width="27.44140625" style="164" customWidth="1"/>
    <col min="10769" max="11008" width="9.21875" style="164"/>
    <col min="11009" max="11009" width="17.44140625" style="164" customWidth="1"/>
    <col min="11010" max="11010" width="13.77734375" style="164" customWidth="1"/>
    <col min="11011" max="11011" width="16.21875" style="164" customWidth="1"/>
    <col min="11012" max="11012" width="13" style="164" customWidth="1"/>
    <col min="11013" max="11013" width="11.21875" style="164" customWidth="1"/>
    <col min="11014" max="11014" width="11.77734375" style="164" customWidth="1"/>
    <col min="11015" max="11015" width="14.88671875" style="164" customWidth="1"/>
    <col min="11016" max="11016" width="11.77734375" style="164" customWidth="1"/>
    <col min="11017" max="11017" width="20.5546875" style="164" customWidth="1"/>
    <col min="11018" max="11018" width="12.6640625" style="164" customWidth="1"/>
    <col min="11019" max="11019" width="14.5546875" style="164" customWidth="1"/>
    <col min="11020" max="11020" width="34.44140625" style="164" customWidth="1"/>
    <col min="11021" max="11021" width="10.6640625" style="164" customWidth="1"/>
    <col min="11022" max="11022" width="9.21875" style="164"/>
    <col min="11023" max="11023" width="26.44140625" style="164" customWidth="1"/>
    <col min="11024" max="11024" width="27.44140625" style="164" customWidth="1"/>
    <col min="11025" max="11264" width="9.21875" style="164"/>
    <col min="11265" max="11265" width="17.44140625" style="164" customWidth="1"/>
    <col min="11266" max="11266" width="13.77734375" style="164" customWidth="1"/>
    <col min="11267" max="11267" width="16.21875" style="164" customWidth="1"/>
    <col min="11268" max="11268" width="13" style="164" customWidth="1"/>
    <col min="11269" max="11269" width="11.21875" style="164" customWidth="1"/>
    <col min="11270" max="11270" width="11.77734375" style="164" customWidth="1"/>
    <col min="11271" max="11271" width="14.88671875" style="164" customWidth="1"/>
    <col min="11272" max="11272" width="11.77734375" style="164" customWidth="1"/>
    <col min="11273" max="11273" width="20.5546875" style="164" customWidth="1"/>
    <col min="11274" max="11274" width="12.6640625" style="164" customWidth="1"/>
    <col min="11275" max="11275" width="14.5546875" style="164" customWidth="1"/>
    <col min="11276" max="11276" width="34.44140625" style="164" customWidth="1"/>
    <col min="11277" max="11277" width="10.6640625" style="164" customWidth="1"/>
    <col min="11278" max="11278" width="9.21875" style="164"/>
    <col min="11279" max="11279" width="26.44140625" style="164" customWidth="1"/>
    <col min="11280" max="11280" width="27.44140625" style="164" customWidth="1"/>
    <col min="11281" max="11520" width="9.21875" style="164"/>
    <col min="11521" max="11521" width="17.44140625" style="164" customWidth="1"/>
    <col min="11522" max="11522" width="13.77734375" style="164" customWidth="1"/>
    <col min="11523" max="11523" width="16.21875" style="164" customWidth="1"/>
    <col min="11524" max="11524" width="13" style="164" customWidth="1"/>
    <col min="11525" max="11525" width="11.21875" style="164" customWidth="1"/>
    <col min="11526" max="11526" width="11.77734375" style="164" customWidth="1"/>
    <col min="11527" max="11527" width="14.88671875" style="164" customWidth="1"/>
    <col min="11528" max="11528" width="11.77734375" style="164" customWidth="1"/>
    <col min="11529" max="11529" width="20.5546875" style="164" customWidth="1"/>
    <col min="11530" max="11530" width="12.6640625" style="164" customWidth="1"/>
    <col min="11531" max="11531" width="14.5546875" style="164" customWidth="1"/>
    <col min="11532" max="11532" width="34.44140625" style="164" customWidth="1"/>
    <col min="11533" max="11533" width="10.6640625" style="164" customWidth="1"/>
    <col min="11534" max="11534" width="9.21875" style="164"/>
    <col min="11535" max="11535" width="26.44140625" style="164" customWidth="1"/>
    <col min="11536" max="11536" width="27.44140625" style="164" customWidth="1"/>
    <col min="11537" max="11776" width="9.21875" style="164"/>
    <col min="11777" max="11777" width="17.44140625" style="164" customWidth="1"/>
    <col min="11778" max="11778" width="13.77734375" style="164" customWidth="1"/>
    <col min="11779" max="11779" width="16.21875" style="164" customWidth="1"/>
    <col min="11780" max="11780" width="13" style="164" customWidth="1"/>
    <col min="11781" max="11781" width="11.21875" style="164" customWidth="1"/>
    <col min="11782" max="11782" width="11.77734375" style="164" customWidth="1"/>
    <col min="11783" max="11783" width="14.88671875" style="164" customWidth="1"/>
    <col min="11784" max="11784" width="11.77734375" style="164" customWidth="1"/>
    <col min="11785" max="11785" width="20.5546875" style="164" customWidth="1"/>
    <col min="11786" max="11786" width="12.6640625" style="164" customWidth="1"/>
    <col min="11787" max="11787" width="14.5546875" style="164" customWidth="1"/>
    <col min="11788" max="11788" width="34.44140625" style="164" customWidth="1"/>
    <col min="11789" max="11789" width="10.6640625" style="164" customWidth="1"/>
    <col min="11790" max="11790" width="9.21875" style="164"/>
    <col min="11791" max="11791" width="26.44140625" style="164" customWidth="1"/>
    <col min="11792" max="11792" width="27.44140625" style="164" customWidth="1"/>
    <col min="11793" max="12032" width="9.21875" style="164"/>
    <col min="12033" max="12033" width="17.44140625" style="164" customWidth="1"/>
    <col min="12034" max="12034" width="13.77734375" style="164" customWidth="1"/>
    <col min="12035" max="12035" width="16.21875" style="164" customWidth="1"/>
    <col min="12036" max="12036" width="13" style="164" customWidth="1"/>
    <col min="12037" max="12037" width="11.21875" style="164" customWidth="1"/>
    <col min="12038" max="12038" width="11.77734375" style="164" customWidth="1"/>
    <col min="12039" max="12039" width="14.88671875" style="164" customWidth="1"/>
    <col min="12040" max="12040" width="11.77734375" style="164" customWidth="1"/>
    <col min="12041" max="12041" width="20.5546875" style="164" customWidth="1"/>
    <col min="12042" max="12042" width="12.6640625" style="164" customWidth="1"/>
    <col min="12043" max="12043" width="14.5546875" style="164" customWidth="1"/>
    <col min="12044" max="12044" width="34.44140625" style="164" customWidth="1"/>
    <col min="12045" max="12045" width="10.6640625" style="164" customWidth="1"/>
    <col min="12046" max="12046" width="9.21875" style="164"/>
    <col min="12047" max="12047" width="26.44140625" style="164" customWidth="1"/>
    <col min="12048" max="12048" width="27.44140625" style="164" customWidth="1"/>
    <col min="12049" max="12288" width="9.21875" style="164"/>
    <col min="12289" max="12289" width="17.44140625" style="164" customWidth="1"/>
    <col min="12290" max="12290" width="13.77734375" style="164" customWidth="1"/>
    <col min="12291" max="12291" width="16.21875" style="164" customWidth="1"/>
    <col min="12292" max="12292" width="13" style="164" customWidth="1"/>
    <col min="12293" max="12293" width="11.21875" style="164" customWidth="1"/>
    <col min="12294" max="12294" width="11.77734375" style="164" customWidth="1"/>
    <col min="12295" max="12295" width="14.88671875" style="164" customWidth="1"/>
    <col min="12296" max="12296" width="11.77734375" style="164" customWidth="1"/>
    <col min="12297" max="12297" width="20.5546875" style="164" customWidth="1"/>
    <col min="12298" max="12298" width="12.6640625" style="164" customWidth="1"/>
    <col min="12299" max="12299" width="14.5546875" style="164" customWidth="1"/>
    <col min="12300" max="12300" width="34.44140625" style="164" customWidth="1"/>
    <col min="12301" max="12301" width="10.6640625" style="164" customWidth="1"/>
    <col min="12302" max="12302" width="9.21875" style="164"/>
    <col min="12303" max="12303" width="26.44140625" style="164" customWidth="1"/>
    <col min="12304" max="12304" width="27.44140625" style="164" customWidth="1"/>
    <col min="12305" max="12544" width="9.21875" style="164"/>
    <col min="12545" max="12545" width="17.44140625" style="164" customWidth="1"/>
    <col min="12546" max="12546" width="13.77734375" style="164" customWidth="1"/>
    <col min="12547" max="12547" width="16.21875" style="164" customWidth="1"/>
    <col min="12548" max="12548" width="13" style="164" customWidth="1"/>
    <col min="12549" max="12549" width="11.21875" style="164" customWidth="1"/>
    <col min="12550" max="12550" width="11.77734375" style="164" customWidth="1"/>
    <col min="12551" max="12551" width="14.88671875" style="164" customWidth="1"/>
    <col min="12552" max="12552" width="11.77734375" style="164" customWidth="1"/>
    <col min="12553" max="12553" width="20.5546875" style="164" customWidth="1"/>
    <col min="12554" max="12554" width="12.6640625" style="164" customWidth="1"/>
    <col min="12555" max="12555" width="14.5546875" style="164" customWidth="1"/>
    <col min="12556" max="12556" width="34.44140625" style="164" customWidth="1"/>
    <col min="12557" max="12557" width="10.6640625" style="164" customWidth="1"/>
    <col min="12558" max="12558" width="9.21875" style="164"/>
    <col min="12559" max="12559" width="26.44140625" style="164" customWidth="1"/>
    <col min="12560" max="12560" width="27.44140625" style="164" customWidth="1"/>
    <col min="12561" max="12800" width="9.21875" style="164"/>
    <col min="12801" max="12801" width="17.44140625" style="164" customWidth="1"/>
    <col min="12802" max="12802" width="13.77734375" style="164" customWidth="1"/>
    <col min="12803" max="12803" width="16.21875" style="164" customWidth="1"/>
    <col min="12804" max="12804" width="13" style="164" customWidth="1"/>
    <col min="12805" max="12805" width="11.21875" style="164" customWidth="1"/>
    <col min="12806" max="12806" width="11.77734375" style="164" customWidth="1"/>
    <col min="12807" max="12807" width="14.88671875" style="164" customWidth="1"/>
    <col min="12808" max="12808" width="11.77734375" style="164" customWidth="1"/>
    <col min="12809" max="12809" width="20.5546875" style="164" customWidth="1"/>
    <col min="12810" max="12810" width="12.6640625" style="164" customWidth="1"/>
    <col min="12811" max="12811" width="14.5546875" style="164" customWidth="1"/>
    <col min="12812" max="12812" width="34.44140625" style="164" customWidth="1"/>
    <col min="12813" max="12813" width="10.6640625" style="164" customWidth="1"/>
    <col min="12814" max="12814" width="9.21875" style="164"/>
    <col min="12815" max="12815" width="26.44140625" style="164" customWidth="1"/>
    <col min="12816" max="12816" width="27.44140625" style="164" customWidth="1"/>
    <col min="12817" max="13056" width="9.21875" style="164"/>
    <col min="13057" max="13057" width="17.44140625" style="164" customWidth="1"/>
    <col min="13058" max="13058" width="13.77734375" style="164" customWidth="1"/>
    <col min="13059" max="13059" width="16.21875" style="164" customWidth="1"/>
    <col min="13060" max="13060" width="13" style="164" customWidth="1"/>
    <col min="13061" max="13061" width="11.21875" style="164" customWidth="1"/>
    <col min="13062" max="13062" width="11.77734375" style="164" customWidth="1"/>
    <col min="13063" max="13063" width="14.88671875" style="164" customWidth="1"/>
    <col min="13064" max="13064" width="11.77734375" style="164" customWidth="1"/>
    <col min="13065" max="13065" width="20.5546875" style="164" customWidth="1"/>
    <col min="13066" max="13066" width="12.6640625" style="164" customWidth="1"/>
    <col min="13067" max="13067" width="14.5546875" style="164" customWidth="1"/>
    <col min="13068" max="13068" width="34.44140625" style="164" customWidth="1"/>
    <col min="13069" max="13069" width="10.6640625" style="164" customWidth="1"/>
    <col min="13070" max="13070" width="9.21875" style="164"/>
    <col min="13071" max="13071" width="26.44140625" style="164" customWidth="1"/>
    <col min="13072" max="13072" width="27.44140625" style="164" customWidth="1"/>
    <col min="13073" max="13312" width="9.21875" style="164"/>
    <col min="13313" max="13313" width="17.44140625" style="164" customWidth="1"/>
    <col min="13314" max="13314" width="13.77734375" style="164" customWidth="1"/>
    <col min="13315" max="13315" width="16.21875" style="164" customWidth="1"/>
    <col min="13316" max="13316" width="13" style="164" customWidth="1"/>
    <col min="13317" max="13317" width="11.21875" style="164" customWidth="1"/>
    <col min="13318" max="13318" width="11.77734375" style="164" customWidth="1"/>
    <col min="13319" max="13319" width="14.88671875" style="164" customWidth="1"/>
    <col min="13320" max="13320" width="11.77734375" style="164" customWidth="1"/>
    <col min="13321" max="13321" width="20.5546875" style="164" customWidth="1"/>
    <col min="13322" max="13322" width="12.6640625" style="164" customWidth="1"/>
    <col min="13323" max="13323" width="14.5546875" style="164" customWidth="1"/>
    <col min="13324" max="13324" width="34.44140625" style="164" customWidth="1"/>
    <col min="13325" max="13325" width="10.6640625" style="164" customWidth="1"/>
    <col min="13326" max="13326" width="9.21875" style="164"/>
    <col min="13327" max="13327" width="26.44140625" style="164" customWidth="1"/>
    <col min="13328" max="13328" width="27.44140625" style="164" customWidth="1"/>
    <col min="13329" max="13568" width="9.21875" style="164"/>
    <col min="13569" max="13569" width="17.44140625" style="164" customWidth="1"/>
    <col min="13570" max="13570" width="13.77734375" style="164" customWidth="1"/>
    <col min="13571" max="13571" width="16.21875" style="164" customWidth="1"/>
    <col min="13572" max="13572" width="13" style="164" customWidth="1"/>
    <col min="13573" max="13573" width="11.21875" style="164" customWidth="1"/>
    <col min="13574" max="13574" width="11.77734375" style="164" customWidth="1"/>
    <col min="13575" max="13575" width="14.88671875" style="164" customWidth="1"/>
    <col min="13576" max="13576" width="11.77734375" style="164" customWidth="1"/>
    <col min="13577" max="13577" width="20.5546875" style="164" customWidth="1"/>
    <col min="13578" max="13578" width="12.6640625" style="164" customWidth="1"/>
    <col min="13579" max="13579" width="14.5546875" style="164" customWidth="1"/>
    <col min="13580" max="13580" width="34.44140625" style="164" customWidth="1"/>
    <col min="13581" max="13581" width="10.6640625" style="164" customWidth="1"/>
    <col min="13582" max="13582" width="9.21875" style="164"/>
    <col min="13583" max="13583" width="26.44140625" style="164" customWidth="1"/>
    <col min="13584" max="13584" width="27.44140625" style="164" customWidth="1"/>
    <col min="13585" max="13824" width="9.21875" style="164"/>
    <col min="13825" max="13825" width="17.44140625" style="164" customWidth="1"/>
    <col min="13826" max="13826" width="13.77734375" style="164" customWidth="1"/>
    <col min="13827" max="13827" width="16.21875" style="164" customWidth="1"/>
    <col min="13828" max="13828" width="13" style="164" customWidth="1"/>
    <col min="13829" max="13829" width="11.21875" style="164" customWidth="1"/>
    <col min="13830" max="13830" width="11.77734375" style="164" customWidth="1"/>
    <col min="13831" max="13831" width="14.88671875" style="164" customWidth="1"/>
    <col min="13832" max="13832" width="11.77734375" style="164" customWidth="1"/>
    <col min="13833" max="13833" width="20.5546875" style="164" customWidth="1"/>
    <col min="13834" max="13834" width="12.6640625" style="164" customWidth="1"/>
    <col min="13835" max="13835" width="14.5546875" style="164" customWidth="1"/>
    <col min="13836" max="13836" width="34.44140625" style="164" customWidth="1"/>
    <col min="13837" max="13837" width="10.6640625" style="164" customWidth="1"/>
    <col min="13838" max="13838" width="9.21875" style="164"/>
    <col min="13839" max="13839" width="26.44140625" style="164" customWidth="1"/>
    <col min="13840" max="13840" width="27.44140625" style="164" customWidth="1"/>
    <col min="13841" max="14080" width="9.21875" style="164"/>
    <col min="14081" max="14081" width="17.44140625" style="164" customWidth="1"/>
    <col min="14082" max="14082" width="13.77734375" style="164" customWidth="1"/>
    <col min="14083" max="14083" width="16.21875" style="164" customWidth="1"/>
    <col min="14084" max="14084" width="13" style="164" customWidth="1"/>
    <col min="14085" max="14085" width="11.21875" style="164" customWidth="1"/>
    <col min="14086" max="14086" width="11.77734375" style="164" customWidth="1"/>
    <col min="14087" max="14087" width="14.88671875" style="164" customWidth="1"/>
    <col min="14088" max="14088" width="11.77734375" style="164" customWidth="1"/>
    <col min="14089" max="14089" width="20.5546875" style="164" customWidth="1"/>
    <col min="14090" max="14090" width="12.6640625" style="164" customWidth="1"/>
    <col min="14091" max="14091" width="14.5546875" style="164" customWidth="1"/>
    <col min="14092" max="14092" width="34.44140625" style="164" customWidth="1"/>
    <col min="14093" max="14093" width="10.6640625" style="164" customWidth="1"/>
    <col min="14094" max="14094" width="9.21875" style="164"/>
    <col min="14095" max="14095" width="26.44140625" style="164" customWidth="1"/>
    <col min="14096" max="14096" width="27.44140625" style="164" customWidth="1"/>
    <col min="14097" max="14336" width="9.21875" style="164"/>
    <col min="14337" max="14337" width="17.44140625" style="164" customWidth="1"/>
    <col min="14338" max="14338" width="13.77734375" style="164" customWidth="1"/>
    <col min="14339" max="14339" width="16.21875" style="164" customWidth="1"/>
    <col min="14340" max="14340" width="13" style="164" customWidth="1"/>
    <col min="14341" max="14341" width="11.21875" style="164" customWidth="1"/>
    <col min="14342" max="14342" width="11.77734375" style="164" customWidth="1"/>
    <col min="14343" max="14343" width="14.88671875" style="164" customWidth="1"/>
    <col min="14344" max="14344" width="11.77734375" style="164" customWidth="1"/>
    <col min="14345" max="14345" width="20.5546875" style="164" customWidth="1"/>
    <col min="14346" max="14346" width="12.6640625" style="164" customWidth="1"/>
    <col min="14347" max="14347" width="14.5546875" style="164" customWidth="1"/>
    <col min="14348" max="14348" width="34.44140625" style="164" customWidth="1"/>
    <col min="14349" max="14349" width="10.6640625" style="164" customWidth="1"/>
    <col min="14350" max="14350" width="9.21875" style="164"/>
    <col min="14351" max="14351" width="26.44140625" style="164" customWidth="1"/>
    <col min="14352" max="14352" width="27.44140625" style="164" customWidth="1"/>
    <col min="14353" max="14592" width="9.21875" style="164"/>
    <col min="14593" max="14593" width="17.44140625" style="164" customWidth="1"/>
    <col min="14594" max="14594" width="13.77734375" style="164" customWidth="1"/>
    <col min="14595" max="14595" width="16.21875" style="164" customWidth="1"/>
    <col min="14596" max="14596" width="13" style="164" customWidth="1"/>
    <col min="14597" max="14597" width="11.21875" style="164" customWidth="1"/>
    <col min="14598" max="14598" width="11.77734375" style="164" customWidth="1"/>
    <col min="14599" max="14599" width="14.88671875" style="164" customWidth="1"/>
    <col min="14600" max="14600" width="11.77734375" style="164" customWidth="1"/>
    <col min="14601" max="14601" width="20.5546875" style="164" customWidth="1"/>
    <col min="14602" max="14602" width="12.6640625" style="164" customWidth="1"/>
    <col min="14603" max="14603" width="14.5546875" style="164" customWidth="1"/>
    <col min="14604" max="14604" width="34.44140625" style="164" customWidth="1"/>
    <col min="14605" max="14605" width="10.6640625" style="164" customWidth="1"/>
    <col min="14606" max="14606" width="9.21875" style="164"/>
    <col min="14607" max="14607" width="26.44140625" style="164" customWidth="1"/>
    <col min="14608" max="14608" width="27.44140625" style="164" customWidth="1"/>
    <col min="14609" max="14848" width="9.21875" style="164"/>
    <col min="14849" max="14849" width="17.44140625" style="164" customWidth="1"/>
    <col min="14850" max="14850" width="13.77734375" style="164" customWidth="1"/>
    <col min="14851" max="14851" width="16.21875" style="164" customWidth="1"/>
    <col min="14852" max="14852" width="13" style="164" customWidth="1"/>
    <col min="14853" max="14853" width="11.21875" style="164" customWidth="1"/>
    <col min="14854" max="14854" width="11.77734375" style="164" customWidth="1"/>
    <col min="14855" max="14855" width="14.88671875" style="164" customWidth="1"/>
    <col min="14856" max="14856" width="11.77734375" style="164" customWidth="1"/>
    <col min="14857" max="14857" width="20.5546875" style="164" customWidth="1"/>
    <col min="14858" max="14858" width="12.6640625" style="164" customWidth="1"/>
    <col min="14859" max="14859" width="14.5546875" style="164" customWidth="1"/>
    <col min="14860" max="14860" width="34.44140625" style="164" customWidth="1"/>
    <col min="14861" max="14861" width="10.6640625" style="164" customWidth="1"/>
    <col min="14862" max="14862" width="9.21875" style="164"/>
    <col min="14863" max="14863" width="26.44140625" style="164" customWidth="1"/>
    <col min="14864" max="14864" width="27.44140625" style="164" customWidth="1"/>
    <col min="14865" max="15104" width="9.21875" style="164"/>
    <col min="15105" max="15105" width="17.44140625" style="164" customWidth="1"/>
    <col min="15106" max="15106" width="13.77734375" style="164" customWidth="1"/>
    <col min="15107" max="15107" width="16.21875" style="164" customWidth="1"/>
    <col min="15108" max="15108" width="13" style="164" customWidth="1"/>
    <col min="15109" max="15109" width="11.21875" style="164" customWidth="1"/>
    <col min="15110" max="15110" width="11.77734375" style="164" customWidth="1"/>
    <col min="15111" max="15111" width="14.88671875" style="164" customWidth="1"/>
    <col min="15112" max="15112" width="11.77734375" style="164" customWidth="1"/>
    <col min="15113" max="15113" width="20.5546875" style="164" customWidth="1"/>
    <col min="15114" max="15114" width="12.6640625" style="164" customWidth="1"/>
    <col min="15115" max="15115" width="14.5546875" style="164" customWidth="1"/>
    <col min="15116" max="15116" width="34.44140625" style="164" customWidth="1"/>
    <col min="15117" max="15117" width="10.6640625" style="164" customWidth="1"/>
    <col min="15118" max="15118" width="9.21875" style="164"/>
    <col min="15119" max="15119" width="26.44140625" style="164" customWidth="1"/>
    <col min="15120" max="15120" width="27.44140625" style="164" customWidth="1"/>
    <col min="15121" max="15360" width="9.21875" style="164"/>
    <col min="15361" max="15361" width="17.44140625" style="164" customWidth="1"/>
    <col min="15362" max="15362" width="13.77734375" style="164" customWidth="1"/>
    <col min="15363" max="15363" width="16.21875" style="164" customWidth="1"/>
    <col min="15364" max="15364" width="13" style="164" customWidth="1"/>
    <col min="15365" max="15365" width="11.21875" style="164" customWidth="1"/>
    <col min="15366" max="15366" width="11.77734375" style="164" customWidth="1"/>
    <col min="15367" max="15367" width="14.88671875" style="164" customWidth="1"/>
    <col min="15368" max="15368" width="11.77734375" style="164" customWidth="1"/>
    <col min="15369" max="15369" width="20.5546875" style="164" customWidth="1"/>
    <col min="15370" max="15370" width="12.6640625" style="164" customWidth="1"/>
    <col min="15371" max="15371" width="14.5546875" style="164" customWidth="1"/>
    <col min="15372" max="15372" width="34.44140625" style="164" customWidth="1"/>
    <col min="15373" max="15373" width="10.6640625" style="164" customWidth="1"/>
    <col min="15374" max="15374" width="9.21875" style="164"/>
    <col min="15375" max="15375" width="26.44140625" style="164" customWidth="1"/>
    <col min="15376" max="15376" width="27.44140625" style="164" customWidth="1"/>
    <col min="15377" max="15616" width="9.21875" style="164"/>
    <col min="15617" max="15617" width="17.44140625" style="164" customWidth="1"/>
    <col min="15618" max="15618" width="13.77734375" style="164" customWidth="1"/>
    <col min="15619" max="15619" width="16.21875" style="164" customWidth="1"/>
    <col min="15620" max="15620" width="13" style="164" customWidth="1"/>
    <col min="15621" max="15621" width="11.21875" style="164" customWidth="1"/>
    <col min="15622" max="15622" width="11.77734375" style="164" customWidth="1"/>
    <col min="15623" max="15623" width="14.88671875" style="164" customWidth="1"/>
    <col min="15624" max="15624" width="11.77734375" style="164" customWidth="1"/>
    <col min="15625" max="15625" width="20.5546875" style="164" customWidth="1"/>
    <col min="15626" max="15626" width="12.6640625" style="164" customWidth="1"/>
    <col min="15627" max="15627" width="14.5546875" style="164" customWidth="1"/>
    <col min="15628" max="15628" width="34.44140625" style="164" customWidth="1"/>
    <col min="15629" max="15629" width="10.6640625" style="164" customWidth="1"/>
    <col min="15630" max="15630" width="9.21875" style="164"/>
    <col min="15631" max="15631" width="26.44140625" style="164" customWidth="1"/>
    <col min="15632" max="15632" width="27.44140625" style="164" customWidth="1"/>
    <col min="15633" max="15872" width="9.21875" style="164"/>
    <col min="15873" max="15873" width="17.44140625" style="164" customWidth="1"/>
    <col min="15874" max="15874" width="13.77734375" style="164" customWidth="1"/>
    <col min="15875" max="15875" width="16.21875" style="164" customWidth="1"/>
    <col min="15876" max="15876" width="13" style="164" customWidth="1"/>
    <col min="15877" max="15877" width="11.21875" style="164" customWidth="1"/>
    <col min="15878" max="15878" width="11.77734375" style="164" customWidth="1"/>
    <col min="15879" max="15879" width="14.88671875" style="164" customWidth="1"/>
    <col min="15880" max="15880" width="11.77734375" style="164" customWidth="1"/>
    <col min="15881" max="15881" width="20.5546875" style="164" customWidth="1"/>
    <col min="15882" max="15882" width="12.6640625" style="164" customWidth="1"/>
    <col min="15883" max="15883" width="14.5546875" style="164" customWidth="1"/>
    <col min="15884" max="15884" width="34.44140625" style="164" customWidth="1"/>
    <col min="15885" max="15885" width="10.6640625" style="164" customWidth="1"/>
    <col min="15886" max="15886" width="9.21875" style="164"/>
    <col min="15887" max="15887" width="26.44140625" style="164" customWidth="1"/>
    <col min="15888" max="15888" width="27.44140625" style="164" customWidth="1"/>
    <col min="15889" max="16128" width="9.21875" style="164"/>
    <col min="16129" max="16129" width="17.44140625" style="164" customWidth="1"/>
    <col min="16130" max="16130" width="13.77734375" style="164" customWidth="1"/>
    <col min="16131" max="16131" width="16.21875" style="164" customWidth="1"/>
    <col min="16132" max="16132" width="13" style="164" customWidth="1"/>
    <col min="16133" max="16133" width="11.21875" style="164" customWidth="1"/>
    <col min="16134" max="16134" width="11.77734375" style="164" customWidth="1"/>
    <col min="16135" max="16135" width="14.88671875" style="164" customWidth="1"/>
    <col min="16136" max="16136" width="11.77734375" style="164" customWidth="1"/>
    <col min="16137" max="16137" width="20.5546875" style="164" customWidth="1"/>
    <col min="16138" max="16138" width="12.6640625" style="164" customWidth="1"/>
    <col min="16139" max="16139" width="14.5546875" style="164" customWidth="1"/>
    <col min="16140" max="16140" width="34.44140625" style="164" customWidth="1"/>
    <col min="16141" max="16141" width="10.6640625" style="164" customWidth="1"/>
    <col min="16142" max="16142" width="9.21875" style="164"/>
    <col min="16143" max="16143" width="26.44140625" style="164" customWidth="1"/>
    <col min="16144" max="16144" width="27.44140625" style="164" customWidth="1"/>
    <col min="16145" max="16384" width="9.21875" style="164"/>
  </cols>
  <sheetData>
    <row r="1" spans="1:16" ht="30.6" customHeight="1" thickTop="1" thickBot="1">
      <c r="A1" s="747" t="s">
        <v>487</v>
      </c>
      <c r="B1" s="172" t="s">
        <v>406</v>
      </c>
      <c r="C1" s="729" t="s">
        <v>407</v>
      </c>
      <c r="D1" s="173" t="s">
        <v>408</v>
      </c>
      <c r="E1" s="174">
        <v>46035</v>
      </c>
      <c r="F1" s="172"/>
      <c r="G1" s="171"/>
      <c r="H1" s="172" t="s">
        <v>409</v>
      </c>
      <c r="I1" s="175" t="s">
        <v>410</v>
      </c>
    </row>
    <row r="2" spans="1:16" ht="30.6" customHeight="1" thickTop="1" thickBot="1">
      <c r="A2" s="748"/>
      <c r="B2" s="172" t="s">
        <v>411</v>
      </c>
      <c r="C2" s="750" t="s">
        <v>412</v>
      </c>
      <c r="D2" s="751"/>
      <c r="E2" s="752"/>
      <c r="F2" s="172" t="s">
        <v>477</v>
      </c>
      <c r="G2" s="175" t="s">
        <v>478</v>
      </c>
      <c r="H2" s="172" t="s">
        <v>413</v>
      </c>
      <c r="I2" s="175" t="s">
        <v>798</v>
      </c>
      <c r="M2" s="165"/>
      <c r="N2" s="165"/>
      <c r="O2" s="165"/>
    </row>
    <row r="3" spans="1:16" ht="31.95" customHeight="1" thickTop="1" thickBot="1">
      <c r="A3" s="748"/>
      <c r="B3" s="172" t="s">
        <v>414</v>
      </c>
      <c r="C3" s="750" t="s">
        <v>415</v>
      </c>
      <c r="D3" s="751"/>
      <c r="E3" s="752"/>
      <c r="F3" s="172" t="s">
        <v>479</v>
      </c>
      <c r="G3" s="175" t="s">
        <v>416</v>
      </c>
      <c r="H3" s="172" t="s">
        <v>417</v>
      </c>
      <c r="I3" s="175" t="s">
        <v>418</v>
      </c>
      <c r="M3" s="165"/>
      <c r="N3" s="165"/>
      <c r="O3" s="165"/>
    </row>
    <row r="4" spans="1:16" ht="32.4" thickTop="1" thickBot="1">
      <c r="A4" s="749"/>
      <c r="B4" s="172" t="s">
        <v>397</v>
      </c>
      <c r="C4" s="753" t="s">
        <v>416</v>
      </c>
      <c r="D4" s="754"/>
      <c r="E4" s="755"/>
      <c r="F4" s="172" t="s">
        <v>419</v>
      </c>
      <c r="G4" s="175" t="s">
        <v>420</v>
      </c>
      <c r="H4" s="172" t="s">
        <v>421</v>
      </c>
      <c r="I4" s="175" t="s">
        <v>422</v>
      </c>
      <c r="K4" s="166"/>
      <c r="M4" s="165"/>
      <c r="N4" s="165"/>
      <c r="O4" s="165"/>
    </row>
    <row r="5" spans="1:16" ht="15" thickTop="1">
      <c r="M5" s="176"/>
      <c r="O5" s="167"/>
      <c r="P5" s="167"/>
    </row>
    <row r="6" spans="1:16" ht="15" thickBot="1">
      <c r="O6" s="167"/>
      <c r="P6" s="167"/>
    </row>
    <row r="7" spans="1:16" ht="18" customHeight="1" thickTop="1" thickBot="1">
      <c r="A7" s="759" t="s">
        <v>370</v>
      </c>
      <c r="B7" s="760"/>
      <c r="C7" s="760"/>
      <c r="D7" s="760"/>
      <c r="E7" s="760"/>
      <c r="F7" s="760"/>
      <c r="G7" s="760"/>
      <c r="H7" s="760"/>
      <c r="I7" s="760"/>
      <c r="J7" s="760"/>
      <c r="K7" s="760"/>
      <c r="L7" s="761"/>
      <c r="O7" s="167"/>
      <c r="P7" s="167"/>
    </row>
    <row r="8" spans="1:16" ht="28.8" thickTop="1" thickBot="1">
      <c r="A8" s="172" t="s">
        <v>371</v>
      </c>
      <c r="B8" s="172" t="s">
        <v>372</v>
      </c>
      <c r="C8" s="172" t="s">
        <v>373</v>
      </c>
      <c r="D8" s="172" t="s">
        <v>374</v>
      </c>
      <c r="E8" s="172" t="s">
        <v>375</v>
      </c>
      <c r="F8" s="172" t="s">
        <v>499</v>
      </c>
      <c r="G8" s="172" t="s">
        <v>376</v>
      </c>
      <c r="H8" s="172" t="s">
        <v>377</v>
      </c>
      <c r="I8" s="172" t="s">
        <v>378</v>
      </c>
      <c r="J8" s="172" t="s">
        <v>379</v>
      </c>
      <c r="K8" s="172" t="s">
        <v>790</v>
      </c>
      <c r="L8" s="172" t="s">
        <v>113</v>
      </c>
      <c r="O8" s="379"/>
      <c r="P8" s="167"/>
    </row>
    <row r="9" spans="1:16" ht="33" customHeight="1" thickTop="1" thickBot="1">
      <c r="A9" s="376" t="s">
        <v>381</v>
      </c>
      <c r="B9" s="376" t="s">
        <v>382</v>
      </c>
      <c r="C9" s="377">
        <v>127</v>
      </c>
      <c r="D9" s="377">
        <v>127</v>
      </c>
      <c r="E9" s="377">
        <v>127</v>
      </c>
      <c r="F9" s="377">
        <f>C9-D9</f>
        <v>0</v>
      </c>
      <c r="G9" s="377">
        <v>0</v>
      </c>
      <c r="H9" s="377">
        <v>0</v>
      </c>
      <c r="I9" s="377">
        <v>0</v>
      </c>
      <c r="J9" s="377">
        <f>E9+I9</f>
        <v>127</v>
      </c>
      <c r="K9" s="377">
        <f>D9+G9-J9</f>
        <v>0</v>
      </c>
      <c r="L9" s="435"/>
      <c r="M9" s="176"/>
      <c r="O9" s="167"/>
      <c r="P9" s="167"/>
    </row>
    <row r="10" spans="1:16" ht="45.6" customHeight="1" thickTop="1" thickBot="1">
      <c r="A10" s="376" t="s">
        <v>10</v>
      </c>
      <c r="B10" s="376" t="s">
        <v>382</v>
      </c>
      <c r="C10" s="377">
        <v>127</v>
      </c>
      <c r="D10" s="377">
        <v>127</v>
      </c>
      <c r="E10" s="377">
        <v>127</v>
      </c>
      <c r="F10" s="377">
        <f>C10-D10</f>
        <v>0</v>
      </c>
      <c r="G10" s="377">
        <v>0</v>
      </c>
      <c r="H10" s="377">
        <v>0</v>
      </c>
      <c r="I10" s="377">
        <v>0</v>
      </c>
      <c r="J10" s="377">
        <v>127</v>
      </c>
      <c r="K10" s="377">
        <f>D10+G10-J10</f>
        <v>0</v>
      </c>
      <c r="L10" s="435"/>
      <c r="M10" s="176"/>
      <c r="O10" s="167"/>
      <c r="P10" s="167"/>
    </row>
    <row r="11" spans="1:16" ht="15" thickTop="1">
      <c r="M11" s="176"/>
      <c r="O11" s="167"/>
      <c r="P11" s="167"/>
    </row>
    <row r="12" spans="1:16" ht="15" thickBot="1">
      <c r="O12" s="167"/>
      <c r="P12" s="167"/>
    </row>
    <row r="13" spans="1:16" ht="22.2" customHeight="1" thickBot="1">
      <c r="A13" s="764" t="s">
        <v>383</v>
      </c>
      <c r="B13" s="765"/>
      <c r="C13" s="765"/>
      <c r="D13" s="765"/>
      <c r="E13" s="765"/>
      <c r="F13" s="765"/>
      <c r="G13" s="765"/>
      <c r="H13" s="765"/>
      <c r="I13" s="765"/>
      <c r="J13" s="765"/>
      <c r="K13" s="765"/>
      <c r="L13" s="765"/>
      <c r="M13" s="765"/>
      <c r="N13" s="766"/>
      <c r="O13" s="167"/>
      <c r="P13" s="167"/>
    </row>
    <row r="14" spans="1:16" ht="47.55" customHeight="1" thickBot="1">
      <c r="A14" s="450" t="s">
        <v>371</v>
      </c>
      <c r="B14" s="451" t="s">
        <v>372</v>
      </c>
      <c r="C14" s="451" t="s">
        <v>373</v>
      </c>
      <c r="D14" s="451" t="s">
        <v>374</v>
      </c>
      <c r="E14" s="451" t="s">
        <v>384</v>
      </c>
      <c r="F14" s="451" t="s">
        <v>385</v>
      </c>
      <c r="G14" s="451" t="s">
        <v>386</v>
      </c>
      <c r="H14" s="451" t="s">
        <v>387</v>
      </c>
      <c r="I14" s="451" t="s">
        <v>388</v>
      </c>
      <c r="J14" s="451" t="s">
        <v>389</v>
      </c>
      <c r="K14" s="451" t="s">
        <v>390</v>
      </c>
      <c r="L14" s="452" t="s">
        <v>391</v>
      </c>
      <c r="M14" s="762" t="s">
        <v>113</v>
      </c>
      <c r="N14" s="763"/>
      <c r="O14" s="167"/>
      <c r="P14" s="167"/>
    </row>
    <row r="15" spans="1:16" s="665" customFormat="1" ht="66.599999999999994" customHeight="1" thickBot="1">
      <c r="A15" s="660" t="s">
        <v>392</v>
      </c>
      <c r="B15" s="660" t="s">
        <v>393</v>
      </c>
      <c r="C15" s="661">
        <v>47.84</v>
      </c>
      <c r="D15" s="662">
        <v>47.84</v>
      </c>
      <c r="E15" s="663">
        <v>47.84</v>
      </c>
      <c r="F15" s="663">
        <f>43.9+3.94</f>
        <v>47.839999999999996</v>
      </c>
      <c r="G15" s="661">
        <v>0</v>
      </c>
      <c r="H15" s="661">
        <v>0</v>
      </c>
      <c r="I15" s="661">
        <v>0</v>
      </c>
      <c r="J15" s="662">
        <v>0</v>
      </c>
      <c r="K15" s="663">
        <v>0</v>
      </c>
      <c r="L15" s="663">
        <f>E15+K15</f>
        <v>47.84</v>
      </c>
      <c r="M15" s="767"/>
      <c r="N15" s="768"/>
      <c r="O15" s="664"/>
    </row>
    <row r="16" spans="1:16" s="665" customFormat="1" ht="39.6" customHeight="1" thickTop="1" thickBot="1">
      <c r="A16" s="376" t="s">
        <v>237</v>
      </c>
      <c r="B16" s="376" t="s">
        <v>393</v>
      </c>
      <c r="C16" s="666">
        <v>47.84</v>
      </c>
      <c r="D16" s="377">
        <v>47.84</v>
      </c>
      <c r="E16" s="667">
        <v>47.84</v>
      </c>
      <c r="F16" s="663">
        <f>43.9+3.94</f>
        <v>47.839999999999996</v>
      </c>
      <c r="G16" s="666">
        <v>0</v>
      </c>
      <c r="H16" s="666">
        <v>0</v>
      </c>
      <c r="I16" s="666">
        <v>0</v>
      </c>
      <c r="J16" s="377">
        <v>0</v>
      </c>
      <c r="K16" s="667">
        <v>0</v>
      </c>
      <c r="L16" s="667">
        <f>E16+K16</f>
        <v>47.84</v>
      </c>
      <c r="M16" s="769"/>
      <c r="N16" s="770"/>
    </row>
    <row r="17" spans="1:16" ht="15.6" thickTop="1" thickBot="1">
      <c r="P17" s="168"/>
    </row>
    <row r="18" spans="1:16" s="169" customFormat="1" ht="22.2" customHeight="1" thickTop="1" thickBot="1">
      <c r="A18" s="756" t="s">
        <v>423</v>
      </c>
      <c r="B18" s="757"/>
      <c r="C18" s="757"/>
      <c r="D18" s="757"/>
      <c r="E18" s="757"/>
      <c r="F18" s="757"/>
      <c r="G18" s="757"/>
      <c r="H18" s="757"/>
      <c r="I18" s="757"/>
      <c r="J18" s="757"/>
      <c r="K18" s="757"/>
      <c r="L18" s="757"/>
      <c r="M18" s="757"/>
      <c r="N18" s="757"/>
      <c r="O18" s="758"/>
    </row>
    <row r="19" spans="1:16" s="169" customFormat="1" ht="42.6" thickTop="1" thickBot="1">
      <c r="A19" s="172" t="s">
        <v>371</v>
      </c>
      <c r="B19" s="172" t="s">
        <v>372</v>
      </c>
      <c r="C19" s="172" t="s">
        <v>424</v>
      </c>
      <c r="D19" s="172" t="s">
        <v>425</v>
      </c>
      <c r="E19" s="172" t="s">
        <v>426</v>
      </c>
      <c r="F19" s="172" t="s">
        <v>427</v>
      </c>
      <c r="G19" s="172" t="s">
        <v>428</v>
      </c>
      <c r="H19" s="172" t="s">
        <v>236</v>
      </c>
      <c r="I19" s="172" t="s">
        <v>429</v>
      </c>
      <c r="J19" s="172" t="s">
        <v>430</v>
      </c>
      <c r="K19" s="172" t="s">
        <v>431</v>
      </c>
      <c r="L19" s="172" t="s">
        <v>432</v>
      </c>
      <c r="M19" s="172" t="s">
        <v>433</v>
      </c>
      <c r="N19" s="172" t="s">
        <v>434</v>
      </c>
      <c r="O19" s="172" t="s">
        <v>113</v>
      </c>
      <c r="P19" s="164"/>
    </row>
    <row r="20" spans="1:16" s="658" customFormat="1" ht="37.200000000000003" customHeight="1" thickTop="1" thickBot="1">
      <c r="A20" s="653" t="s">
        <v>101</v>
      </c>
      <c r="B20" s="653" t="s">
        <v>107</v>
      </c>
      <c r="C20" s="653">
        <v>127</v>
      </c>
      <c r="D20" s="653">
        <v>127</v>
      </c>
      <c r="E20" s="654">
        <v>125</v>
      </c>
      <c r="F20" s="653">
        <v>0</v>
      </c>
      <c r="G20" s="653">
        <v>2</v>
      </c>
      <c r="H20" s="655">
        <v>0</v>
      </c>
      <c r="I20" s="655">
        <v>1</v>
      </c>
      <c r="J20" s="653">
        <f>D20+F20</f>
        <v>127</v>
      </c>
      <c r="K20" s="654">
        <f>E20+I20</f>
        <v>126</v>
      </c>
      <c r="L20" s="653">
        <f>+C20-K20</f>
        <v>1</v>
      </c>
      <c r="M20" s="653">
        <v>0</v>
      </c>
      <c r="N20" s="653">
        <v>1</v>
      </c>
      <c r="O20" s="656"/>
      <c r="P20" s="657"/>
    </row>
    <row r="21" spans="1:16" s="657" customFormat="1" ht="37.200000000000003" customHeight="1" thickTop="1" thickBot="1">
      <c r="A21" s="653" t="s">
        <v>102</v>
      </c>
      <c r="B21" s="653" t="s">
        <v>107</v>
      </c>
      <c r="C21" s="653">
        <v>127</v>
      </c>
      <c r="D21" s="653"/>
      <c r="E21" s="654">
        <v>123</v>
      </c>
      <c r="F21" s="653">
        <v>0</v>
      </c>
      <c r="G21" s="653">
        <v>4</v>
      </c>
      <c r="H21" s="655">
        <v>0</v>
      </c>
      <c r="I21" s="655">
        <v>0</v>
      </c>
      <c r="J21" s="653">
        <f>D21+F21</f>
        <v>0</v>
      </c>
      <c r="K21" s="654">
        <f>E21+I21</f>
        <v>123</v>
      </c>
      <c r="L21" s="653">
        <f t="shared" ref="L21:L22" si="0">+C21-K21</f>
        <v>4</v>
      </c>
      <c r="M21" s="653">
        <v>0</v>
      </c>
      <c r="N21" s="653">
        <v>0</v>
      </c>
      <c r="O21" s="653"/>
    </row>
    <row r="22" spans="1:16" s="657" customFormat="1" ht="45.6" customHeight="1" thickTop="1" thickBot="1">
      <c r="A22" s="653" t="s">
        <v>105</v>
      </c>
      <c r="B22" s="653" t="s">
        <v>107</v>
      </c>
      <c r="C22" s="653">
        <v>127</v>
      </c>
      <c r="D22" s="653">
        <v>127</v>
      </c>
      <c r="E22" s="654">
        <v>108</v>
      </c>
      <c r="F22" s="653">
        <v>0</v>
      </c>
      <c r="G22" s="653">
        <v>17</v>
      </c>
      <c r="H22" s="655">
        <v>0</v>
      </c>
      <c r="I22" s="655">
        <v>3</v>
      </c>
      <c r="J22" s="653">
        <v>127</v>
      </c>
      <c r="K22" s="654">
        <f>E22+I22</f>
        <v>111</v>
      </c>
      <c r="L22" s="653">
        <f t="shared" si="0"/>
        <v>16</v>
      </c>
      <c r="M22" s="653">
        <v>3</v>
      </c>
      <c r="N22" s="653">
        <v>3</v>
      </c>
      <c r="O22" s="656"/>
    </row>
    <row r="23" spans="1:16" s="657" customFormat="1" ht="42" customHeight="1" thickTop="1" thickBot="1">
      <c r="A23" s="653" t="s">
        <v>852</v>
      </c>
      <c r="B23" s="653" t="s">
        <v>493</v>
      </c>
      <c r="C23" s="653">
        <v>47.84</v>
      </c>
      <c r="D23" s="653">
        <f>C23</f>
        <v>47.84</v>
      </c>
      <c r="E23" s="659">
        <v>12.95</v>
      </c>
      <c r="F23" s="653">
        <v>0</v>
      </c>
      <c r="G23" s="653">
        <v>13.28</v>
      </c>
      <c r="H23" s="655">
        <v>0</v>
      </c>
      <c r="I23" s="655">
        <v>0</v>
      </c>
      <c r="J23" s="653">
        <v>47.84</v>
      </c>
      <c r="K23" s="682">
        <f>E23+I23</f>
        <v>12.95</v>
      </c>
      <c r="L23" s="653">
        <f t="shared" ref="L23" si="1">+C23-K23</f>
        <v>34.89</v>
      </c>
      <c r="M23" s="653">
        <v>0</v>
      </c>
      <c r="N23" s="653">
        <v>2</v>
      </c>
      <c r="O23" s="656"/>
    </row>
    <row r="24" spans="1:16" s="371" customFormat="1" ht="38.4" customHeight="1" thickTop="1" thickBot="1">
      <c r="A24" s="587"/>
      <c r="B24" s="587"/>
      <c r="C24" s="587"/>
      <c r="D24" s="587"/>
      <c r="E24" s="588"/>
      <c r="F24" s="587"/>
      <c r="G24" s="587"/>
      <c r="H24" s="587"/>
      <c r="I24" s="587"/>
      <c r="J24" s="587"/>
      <c r="K24" s="587"/>
      <c r="L24" s="587"/>
      <c r="M24" s="587"/>
      <c r="N24" s="587"/>
      <c r="O24" s="587"/>
    </row>
    <row r="25" spans="1:16" s="371" customFormat="1" ht="19.8" customHeight="1">
      <c r="A25" s="773" t="s">
        <v>823</v>
      </c>
      <c r="B25" s="774"/>
      <c r="C25" s="774"/>
      <c r="D25" s="774"/>
      <c r="E25" s="774"/>
      <c r="F25" s="774"/>
      <c r="G25" s="774"/>
      <c r="H25" s="774"/>
      <c r="I25" s="775"/>
      <c r="J25" s="587"/>
      <c r="K25" s="587"/>
      <c r="L25" s="587"/>
      <c r="M25" s="587"/>
      <c r="N25" s="587"/>
      <c r="O25" s="587"/>
    </row>
    <row r="26" spans="1:16" s="652" customFormat="1" ht="32.4" customHeight="1" thickBot="1">
      <c r="A26" s="673" t="s">
        <v>12</v>
      </c>
      <c r="B26" s="674" t="s">
        <v>671</v>
      </c>
      <c r="C26" s="674" t="s">
        <v>672</v>
      </c>
      <c r="D26" s="776" t="s">
        <v>673</v>
      </c>
      <c r="E26" s="776"/>
      <c r="F26" s="776" t="s">
        <v>691</v>
      </c>
      <c r="G26" s="776"/>
      <c r="H26" s="776" t="s">
        <v>636</v>
      </c>
      <c r="I26" s="777"/>
      <c r="J26" s="587"/>
      <c r="K26" s="587"/>
      <c r="L26" s="587"/>
      <c r="M26" s="587"/>
      <c r="N26" s="587"/>
      <c r="O26" s="587"/>
    </row>
    <row r="27" spans="1:16" s="371" customFormat="1" ht="42" customHeight="1">
      <c r="A27" s="675">
        <v>1</v>
      </c>
      <c r="B27" s="676" t="s">
        <v>811</v>
      </c>
      <c r="C27" s="677" t="s">
        <v>899</v>
      </c>
      <c r="D27" s="778" t="s">
        <v>789</v>
      </c>
      <c r="E27" s="778"/>
      <c r="F27" s="778" t="s">
        <v>789</v>
      </c>
      <c r="G27" s="778"/>
      <c r="H27" s="779" t="s">
        <v>891</v>
      </c>
      <c r="I27" s="780"/>
      <c r="J27" s="587"/>
      <c r="K27" s="587"/>
      <c r="L27" s="587"/>
      <c r="M27" s="587"/>
      <c r="N27" s="587"/>
      <c r="O27" s="587"/>
    </row>
    <row r="28" spans="1:16" ht="29.4" customHeight="1">
      <c r="A28" s="170"/>
      <c r="G28" s="164" t="s">
        <v>794</v>
      </c>
      <c r="N28" s="587"/>
      <c r="O28" s="587"/>
    </row>
    <row r="29" spans="1:16" ht="21" customHeight="1">
      <c r="A29" s="820" t="s">
        <v>788</v>
      </c>
      <c r="B29" s="820"/>
      <c r="C29" s="820"/>
      <c r="D29" s="820"/>
      <c r="E29" s="820"/>
      <c r="F29" s="820"/>
      <c r="G29" s="820"/>
      <c r="H29" s="820"/>
      <c r="I29" s="820"/>
    </row>
    <row r="30" spans="1:16" s="646" customFormat="1" ht="40.799999999999997" customHeight="1">
      <c r="A30" s="651" t="s">
        <v>12</v>
      </c>
      <c r="B30" s="651" t="s">
        <v>671</v>
      </c>
      <c r="C30" s="651" t="s">
        <v>672</v>
      </c>
      <c r="D30" s="821" t="s">
        <v>673</v>
      </c>
      <c r="E30" s="821"/>
      <c r="F30" s="821" t="s">
        <v>691</v>
      </c>
      <c r="G30" s="821"/>
      <c r="H30" s="821" t="s">
        <v>636</v>
      </c>
      <c r="I30" s="821"/>
    </row>
    <row r="31" spans="1:16" ht="42.6" customHeight="1">
      <c r="A31" s="648">
        <v>1</v>
      </c>
      <c r="B31" s="649" t="s">
        <v>105</v>
      </c>
      <c r="C31" s="650" t="s">
        <v>697</v>
      </c>
      <c r="D31" s="797" t="s">
        <v>555</v>
      </c>
      <c r="E31" s="797"/>
      <c r="F31" s="801" t="s">
        <v>789</v>
      </c>
      <c r="G31" s="801"/>
      <c r="H31" s="995" t="s">
        <v>900</v>
      </c>
      <c r="I31" s="995"/>
    </row>
    <row r="32" spans="1:16" ht="42.6" customHeight="1">
      <c r="A32" s="648">
        <v>2</v>
      </c>
      <c r="B32" s="649" t="s">
        <v>105</v>
      </c>
      <c r="C32" s="679" t="s">
        <v>698</v>
      </c>
      <c r="D32" s="797" t="s">
        <v>188</v>
      </c>
      <c r="E32" s="797"/>
      <c r="F32" s="801" t="s">
        <v>789</v>
      </c>
      <c r="G32" s="801"/>
      <c r="H32" s="995"/>
      <c r="I32" s="995"/>
    </row>
    <row r="33" spans="1:15" ht="42.6" customHeight="1">
      <c r="A33" s="648">
        <v>3</v>
      </c>
      <c r="B33" s="649" t="s">
        <v>105</v>
      </c>
      <c r="C33" s="650" t="s">
        <v>699</v>
      </c>
      <c r="D33" s="797" t="s">
        <v>182</v>
      </c>
      <c r="E33" s="797"/>
      <c r="F33" s="801" t="s">
        <v>789</v>
      </c>
      <c r="G33" s="801"/>
      <c r="H33" s="995" t="s">
        <v>900</v>
      </c>
      <c r="I33" s="995"/>
    </row>
    <row r="34" spans="1:15" ht="30" customHeight="1" thickBot="1"/>
    <row r="35" spans="1:15" ht="21.6" customHeight="1" thickBot="1">
      <c r="A35" s="802" t="s">
        <v>780</v>
      </c>
      <c r="B35" s="803"/>
      <c r="C35" s="803"/>
      <c r="D35" s="803"/>
      <c r="E35" s="803"/>
      <c r="F35" s="803"/>
      <c r="G35" s="803"/>
      <c r="H35" s="803"/>
      <c r="I35" s="803"/>
      <c r="J35" s="803"/>
      <c r="K35" s="804"/>
    </row>
    <row r="36" spans="1:15" ht="30" customHeight="1">
      <c r="A36" s="589" t="s">
        <v>12</v>
      </c>
      <c r="B36" s="590" t="s">
        <v>671</v>
      </c>
      <c r="C36" s="590" t="s">
        <v>672</v>
      </c>
      <c r="D36" s="798" t="s">
        <v>514</v>
      </c>
      <c r="E36" s="799"/>
      <c r="F36" s="798" t="s">
        <v>784</v>
      </c>
      <c r="G36" s="800"/>
      <c r="H36" s="798" t="s">
        <v>783</v>
      </c>
      <c r="I36" s="800"/>
      <c r="J36" s="818" t="s">
        <v>636</v>
      </c>
      <c r="K36" s="819"/>
    </row>
    <row r="37" spans="1:15" ht="46.8" customHeight="1">
      <c r="A37" s="730">
        <v>1</v>
      </c>
      <c r="B37" s="742" t="s">
        <v>781</v>
      </c>
      <c r="C37" s="740" t="s">
        <v>782</v>
      </c>
      <c r="D37" s="783" t="s">
        <v>848</v>
      </c>
      <c r="E37" s="783"/>
      <c r="F37" s="784">
        <v>2.5369999999999999</v>
      </c>
      <c r="G37" s="784"/>
      <c r="H37" s="789" t="s">
        <v>859</v>
      </c>
      <c r="I37" s="789"/>
      <c r="J37" s="790" t="s">
        <v>816</v>
      </c>
      <c r="K37" s="791"/>
    </row>
    <row r="38" spans="1:15" ht="46.8" customHeight="1" thickBot="1">
      <c r="A38" s="731">
        <v>2</v>
      </c>
      <c r="B38" s="743" t="s">
        <v>781</v>
      </c>
      <c r="C38" s="741" t="s">
        <v>830</v>
      </c>
      <c r="D38" s="793" t="s">
        <v>851</v>
      </c>
      <c r="E38" s="793"/>
      <c r="F38" s="785">
        <v>2.0150000000000001</v>
      </c>
      <c r="G38" s="785"/>
      <c r="H38" s="786" t="s">
        <v>859</v>
      </c>
      <c r="I38" s="786"/>
      <c r="J38" s="787" t="s">
        <v>816</v>
      </c>
      <c r="K38" s="788"/>
    </row>
    <row r="39" spans="1:15" ht="30" customHeight="1">
      <c r="A39" s="170"/>
    </row>
    <row r="40" spans="1:15" s="460" customFormat="1" ht="28.2" customHeight="1">
      <c r="A40" s="685" t="s">
        <v>668</v>
      </c>
    </row>
    <row r="41" spans="1:15" s="458" customFormat="1" ht="9" customHeight="1">
      <c r="A41" s="459"/>
      <c r="B41" s="792"/>
      <c r="C41" s="792"/>
      <c r="D41" s="792"/>
      <c r="E41" s="792"/>
      <c r="F41" s="792"/>
      <c r="G41" s="792"/>
    </row>
    <row r="42" spans="1:15" s="458" customFormat="1" ht="24.6" customHeight="1">
      <c r="A42" s="683" t="s">
        <v>670</v>
      </c>
      <c r="B42" s="782" t="s">
        <v>807</v>
      </c>
      <c r="C42" s="782"/>
      <c r="D42" s="782"/>
      <c r="E42" s="782"/>
      <c r="F42" s="782"/>
      <c r="G42" s="782"/>
      <c r="H42" s="782"/>
      <c r="I42" s="782"/>
      <c r="J42" s="782"/>
      <c r="K42" s="457"/>
      <c r="L42" s="457"/>
      <c r="M42" s="476"/>
      <c r="N42" s="476"/>
      <c r="O42" s="476"/>
    </row>
    <row r="43" spans="1:15" s="458" customFormat="1" ht="24.6" customHeight="1">
      <c r="A43" s="683" t="s">
        <v>670</v>
      </c>
      <c r="B43" s="782" t="s">
        <v>705</v>
      </c>
      <c r="C43" s="782"/>
      <c r="D43" s="782"/>
      <c r="E43" s="782"/>
      <c r="F43" s="782"/>
      <c r="G43" s="782"/>
      <c r="H43" s="782"/>
      <c r="I43" s="782"/>
      <c r="J43" s="782"/>
      <c r="K43" s="457"/>
      <c r="L43" s="457"/>
      <c r="M43" s="464"/>
      <c r="N43" s="464"/>
      <c r="O43" s="464"/>
    </row>
    <row r="44" spans="1:15" s="458" customFormat="1" ht="24.6" customHeight="1">
      <c r="A44" s="683" t="s">
        <v>670</v>
      </c>
      <c r="B44" s="782" t="s">
        <v>791</v>
      </c>
      <c r="C44" s="782"/>
      <c r="D44" s="782"/>
      <c r="E44" s="782"/>
      <c r="F44" s="782"/>
      <c r="G44" s="782"/>
      <c r="H44" s="782"/>
      <c r="I44" s="782"/>
      <c r="J44" s="782"/>
      <c r="K44" s="457"/>
      <c r="L44" s="457"/>
      <c r="M44" s="476"/>
      <c r="N44" s="476"/>
      <c r="O44" s="476"/>
    </row>
    <row r="45" spans="1:15" s="458" customFormat="1" ht="24.6" customHeight="1">
      <c r="A45" s="459"/>
      <c r="B45" s="680"/>
      <c r="C45" s="680"/>
      <c r="D45" s="680"/>
      <c r="E45" s="680"/>
      <c r="F45" s="680"/>
      <c r="G45" s="680"/>
      <c r="H45" s="680"/>
      <c r="I45" s="680"/>
      <c r="J45" s="680"/>
      <c r="K45" s="457"/>
      <c r="L45" s="457"/>
      <c r="M45" s="476"/>
      <c r="N45" s="476"/>
      <c r="O45" s="476"/>
    </row>
    <row r="46" spans="1:15" s="458" customFormat="1" ht="39" customHeight="1" thickBot="1">
      <c r="A46" s="808" t="s">
        <v>893</v>
      </c>
      <c r="B46" s="808"/>
      <c r="C46" s="808"/>
      <c r="D46" s="808"/>
      <c r="E46" s="808"/>
      <c r="F46" s="808"/>
      <c r="G46" s="808"/>
      <c r="H46" s="808"/>
      <c r="I46" s="680"/>
      <c r="J46" s="680"/>
      <c r="K46" s="457"/>
      <c r="L46" s="457"/>
      <c r="M46" s="476"/>
      <c r="N46" s="476"/>
      <c r="O46" s="476"/>
    </row>
    <row r="47" spans="1:15" s="458" customFormat="1" ht="24.6" customHeight="1">
      <c r="A47" s="459"/>
      <c r="B47" s="809" t="s">
        <v>892</v>
      </c>
      <c r="C47" s="810"/>
      <c r="D47" s="810"/>
      <c r="E47" s="810"/>
      <c r="F47" s="810"/>
      <c r="G47" s="810"/>
      <c r="H47" s="810"/>
      <c r="I47" s="810"/>
      <c r="J47" s="811"/>
      <c r="K47" s="457"/>
      <c r="L47" s="457"/>
      <c r="M47" s="476"/>
      <c r="N47" s="476"/>
      <c r="O47" s="476"/>
    </row>
    <row r="48" spans="1:15" s="458" customFormat="1" ht="24.6" customHeight="1">
      <c r="A48" s="459"/>
      <c r="B48" s="812"/>
      <c r="C48" s="813"/>
      <c r="D48" s="813"/>
      <c r="E48" s="813"/>
      <c r="F48" s="813"/>
      <c r="G48" s="813"/>
      <c r="H48" s="813"/>
      <c r="I48" s="813"/>
      <c r="J48" s="814"/>
      <c r="K48" s="457"/>
      <c r="L48" s="457"/>
      <c r="M48" s="476"/>
      <c r="N48" s="476"/>
      <c r="O48" s="476"/>
    </row>
    <row r="49" spans="1:95" s="458" customFormat="1" ht="24.6" customHeight="1">
      <c r="A49" s="459"/>
      <c r="B49" s="812"/>
      <c r="C49" s="813"/>
      <c r="D49" s="813"/>
      <c r="E49" s="813"/>
      <c r="F49" s="813"/>
      <c r="G49" s="813"/>
      <c r="H49" s="813"/>
      <c r="I49" s="813"/>
      <c r="J49" s="814"/>
      <c r="K49" s="457"/>
      <c r="L49" s="457"/>
      <c r="M49" s="476"/>
      <c r="N49" s="476"/>
      <c r="O49" s="476"/>
    </row>
    <row r="50" spans="1:95" s="458" customFormat="1" ht="6" customHeight="1">
      <c r="A50" s="459"/>
      <c r="B50" s="812"/>
      <c r="C50" s="813"/>
      <c r="D50" s="813"/>
      <c r="E50" s="813"/>
      <c r="F50" s="813"/>
      <c r="G50" s="813"/>
      <c r="H50" s="813"/>
      <c r="I50" s="813"/>
      <c r="J50" s="814"/>
      <c r="K50" s="457"/>
      <c r="L50" s="457"/>
      <c r="M50" s="476"/>
      <c r="N50" s="476"/>
      <c r="O50" s="476"/>
    </row>
    <row r="51" spans="1:95" s="458" customFormat="1" ht="10.199999999999999" customHeight="1">
      <c r="A51" s="459"/>
      <c r="B51" s="812"/>
      <c r="C51" s="813"/>
      <c r="D51" s="813"/>
      <c r="E51" s="813"/>
      <c r="F51" s="813"/>
      <c r="G51" s="813"/>
      <c r="H51" s="813"/>
      <c r="I51" s="813"/>
      <c r="J51" s="814"/>
      <c r="K51" s="457"/>
      <c r="L51" s="457"/>
      <c r="M51" s="476"/>
      <c r="N51" s="476"/>
      <c r="O51" s="476"/>
    </row>
    <row r="52" spans="1:95" s="458" customFormat="1" ht="10.199999999999999" customHeight="1">
      <c r="A52" s="459"/>
      <c r="B52" s="812"/>
      <c r="C52" s="813"/>
      <c r="D52" s="813"/>
      <c r="E52" s="813"/>
      <c r="F52" s="813"/>
      <c r="G52" s="813"/>
      <c r="H52" s="813"/>
      <c r="I52" s="813"/>
      <c r="J52" s="814"/>
      <c r="K52" s="457"/>
      <c r="L52" s="457"/>
      <c r="M52" s="476"/>
      <c r="N52" s="476"/>
      <c r="O52" s="476"/>
    </row>
    <row r="53" spans="1:95" s="458" customFormat="1" ht="10.199999999999999" customHeight="1">
      <c r="A53" s="459"/>
      <c r="B53" s="812"/>
      <c r="C53" s="813"/>
      <c r="D53" s="813"/>
      <c r="E53" s="813"/>
      <c r="F53" s="813"/>
      <c r="G53" s="813"/>
      <c r="H53" s="813"/>
      <c r="I53" s="813"/>
      <c r="J53" s="814"/>
      <c r="K53" s="457"/>
      <c r="L53" s="457"/>
      <c r="M53" s="476"/>
      <c r="N53" s="476"/>
      <c r="O53" s="476"/>
    </row>
    <row r="54" spans="1:95" s="458" customFormat="1" ht="6" customHeight="1" thickBot="1">
      <c r="A54" s="459"/>
      <c r="B54" s="815"/>
      <c r="C54" s="816"/>
      <c r="D54" s="816"/>
      <c r="E54" s="816"/>
      <c r="F54" s="816"/>
      <c r="G54" s="816"/>
      <c r="H54" s="816"/>
      <c r="I54" s="816"/>
      <c r="J54" s="817"/>
      <c r="K54" s="457"/>
      <c r="L54" s="457"/>
      <c r="M54" s="476"/>
      <c r="N54" s="476"/>
      <c r="O54" s="476"/>
    </row>
    <row r="55" spans="1:95" s="252" customFormat="1" ht="17.399999999999999" customHeight="1">
      <c r="A55" s="459"/>
      <c r="B55" s="792"/>
      <c r="C55" s="792"/>
      <c r="D55" s="792"/>
      <c r="E55" s="792"/>
      <c r="F55" s="792"/>
      <c r="G55" s="792"/>
      <c r="H55" s="792"/>
      <c r="I55" s="792"/>
      <c r="J55" s="792"/>
      <c r="K55" s="457"/>
      <c r="L55" s="457"/>
      <c r="M55" s="456"/>
      <c r="N55" s="456"/>
      <c r="O55" s="456"/>
    </row>
    <row r="56" spans="1:95" ht="15" thickBot="1"/>
    <row r="57" spans="1:95" ht="25.8" thickBot="1">
      <c r="A57" s="794" t="s">
        <v>480</v>
      </c>
      <c r="B57" s="795"/>
      <c r="C57" s="795"/>
      <c r="D57" s="795"/>
      <c r="E57" s="795"/>
      <c r="F57" s="795"/>
      <c r="G57" s="795"/>
      <c r="H57" s="795"/>
      <c r="I57" s="795"/>
      <c r="J57" s="796"/>
    </row>
    <row r="58" spans="1:95" s="647" customFormat="1" ht="66.599999999999994" customHeight="1" thickBot="1">
      <c r="A58" s="642" t="s">
        <v>760</v>
      </c>
      <c r="B58" s="643" t="s">
        <v>761</v>
      </c>
      <c r="C58" s="805" t="s">
        <v>762</v>
      </c>
      <c r="D58" s="806"/>
      <c r="E58" s="807"/>
      <c r="F58" s="643" t="s">
        <v>372</v>
      </c>
      <c r="G58" s="643" t="s">
        <v>481</v>
      </c>
      <c r="H58" s="644" t="s">
        <v>773</v>
      </c>
      <c r="I58" s="645" t="s">
        <v>763</v>
      </c>
      <c r="J58" s="645" t="s">
        <v>113</v>
      </c>
      <c r="K58" s="646"/>
      <c r="L58" s="646"/>
      <c r="M58" s="646"/>
      <c r="N58" s="646"/>
      <c r="O58" s="646"/>
      <c r="P58" s="646"/>
      <c r="Q58" s="646"/>
      <c r="R58" s="646"/>
      <c r="S58" s="646"/>
      <c r="T58" s="646"/>
      <c r="U58" s="646"/>
      <c r="V58" s="646"/>
      <c r="W58" s="646"/>
      <c r="X58" s="646"/>
      <c r="Y58" s="646"/>
      <c r="Z58" s="646"/>
      <c r="AA58" s="646"/>
      <c r="AB58" s="646"/>
      <c r="AC58" s="646"/>
      <c r="AD58" s="646"/>
      <c r="AE58" s="646"/>
      <c r="AF58" s="646"/>
      <c r="AG58" s="646"/>
      <c r="AH58" s="646"/>
      <c r="AI58" s="646"/>
      <c r="AJ58" s="646"/>
      <c r="AK58" s="646"/>
      <c r="AL58" s="646"/>
      <c r="AM58" s="646"/>
      <c r="AN58" s="646"/>
      <c r="AO58" s="646"/>
      <c r="AP58" s="646"/>
      <c r="AQ58" s="646"/>
      <c r="AR58" s="646"/>
      <c r="AS58" s="646"/>
      <c r="AT58" s="646"/>
      <c r="AU58" s="646"/>
      <c r="AV58" s="646"/>
      <c r="AW58" s="646"/>
      <c r="AX58" s="646"/>
      <c r="AY58" s="646"/>
      <c r="AZ58" s="646"/>
      <c r="BA58" s="646"/>
      <c r="BB58" s="646"/>
      <c r="BC58" s="646"/>
      <c r="BD58" s="646"/>
      <c r="BE58" s="646"/>
      <c r="BF58" s="646"/>
      <c r="BG58" s="646"/>
      <c r="BH58" s="646"/>
      <c r="BI58" s="646"/>
      <c r="BJ58" s="646"/>
      <c r="BK58" s="646"/>
      <c r="BL58" s="646"/>
      <c r="BM58" s="646"/>
      <c r="BN58" s="646"/>
      <c r="BO58" s="646"/>
      <c r="BP58" s="646"/>
      <c r="BQ58" s="646"/>
      <c r="BR58" s="646"/>
      <c r="BS58" s="646"/>
      <c r="BT58" s="646"/>
      <c r="BU58" s="646"/>
      <c r="BV58" s="646"/>
      <c r="BW58" s="646"/>
      <c r="BX58" s="646"/>
      <c r="BY58" s="646"/>
      <c r="BZ58" s="646"/>
      <c r="CA58" s="646"/>
      <c r="CB58" s="646"/>
      <c r="CC58" s="646"/>
      <c r="CD58" s="646"/>
      <c r="CE58" s="646"/>
      <c r="CF58" s="646"/>
      <c r="CG58" s="646"/>
      <c r="CH58" s="646"/>
      <c r="CI58" s="646"/>
      <c r="CJ58" s="646"/>
      <c r="CK58" s="646"/>
      <c r="CL58" s="646"/>
      <c r="CM58" s="646"/>
      <c r="CN58" s="646"/>
      <c r="CO58" s="646"/>
      <c r="CP58" s="646"/>
      <c r="CQ58" s="646"/>
    </row>
    <row r="59" spans="1:95" s="519" customFormat="1" ht="33.6" customHeight="1">
      <c r="A59" s="549">
        <v>1</v>
      </c>
      <c r="B59" s="550" t="s">
        <v>482</v>
      </c>
      <c r="C59" s="781" t="s">
        <v>729</v>
      </c>
      <c r="D59" s="781"/>
      <c r="E59" s="781"/>
      <c r="F59" s="551" t="s">
        <v>483</v>
      </c>
      <c r="G59" s="552">
        <v>127</v>
      </c>
      <c r="H59" s="553">
        <v>127</v>
      </c>
      <c r="I59" s="554">
        <f>G59-H59</f>
        <v>0</v>
      </c>
      <c r="J59" s="555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  <c r="AM59" s="164"/>
      <c r="AN59" s="164"/>
      <c r="AO59" s="164"/>
      <c r="AP59" s="164"/>
      <c r="AQ59" s="164"/>
      <c r="AR59" s="164"/>
      <c r="AS59" s="164"/>
      <c r="AT59" s="164"/>
      <c r="AU59" s="164"/>
      <c r="AV59" s="164"/>
      <c r="AW59" s="164"/>
      <c r="AX59" s="164"/>
      <c r="AY59" s="164"/>
      <c r="AZ59" s="164"/>
      <c r="BA59" s="164"/>
      <c r="BB59" s="164"/>
      <c r="BC59" s="164"/>
      <c r="BD59" s="164"/>
      <c r="BE59" s="164"/>
      <c r="BF59" s="164"/>
      <c r="BG59" s="164"/>
      <c r="BH59" s="164"/>
      <c r="BI59" s="164"/>
      <c r="BJ59" s="164"/>
      <c r="BK59" s="164"/>
      <c r="BL59" s="164"/>
      <c r="BM59" s="164"/>
      <c r="BN59" s="164"/>
      <c r="BO59" s="164"/>
      <c r="BP59" s="164"/>
      <c r="BQ59" s="164"/>
      <c r="BR59" s="164"/>
      <c r="BS59" s="164"/>
      <c r="BT59" s="164"/>
      <c r="BU59" s="164"/>
      <c r="BV59" s="164"/>
      <c r="BW59" s="164"/>
      <c r="BX59" s="164"/>
      <c r="BY59" s="164"/>
      <c r="BZ59" s="164"/>
      <c r="CA59" s="164"/>
      <c r="CB59" s="164"/>
      <c r="CC59" s="164"/>
      <c r="CD59" s="164"/>
      <c r="CE59" s="164"/>
      <c r="CF59" s="164"/>
      <c r="CG59" s="164"/>
      <c r="CH59" s="164"/>
      <c r="CI59" s="164"/>
      <c r="CJ59" s="164"/>
      <c r="CK59" s="164"/>
      <c r="CL59" s="164"/>
      <c r="CM59" s="164"/>
      <c r="CN59" s="164"/>
      <c r="CO59" s="164"/>
      <c r="CP59" s="164"/>
      <c r="CQ59" s="164"/>
    </row>
    <row r="60" spans="1:95" s="519" customFormat="1" ht="33.6" customHeight="1">
      <c r="A60" s="520">
        <f>A59+1</f>
        <v>2</v>
      </c>
      <c r="B60" s="547" t="s">
        <v>484</v>
      </c>
      <c r="C60" s="771" t="s">
        <v>730</v>
      </c>
      <c r="D60" s="771"/>
      <c r="E60" s="771"/>
      <c r="F60" s="391" t="s">
        <v>483</v>
      </c>
      <c r="G60" s="530">
        <v>127</v>
      </c>
      <c r="H60" s="531">
        <v>127</v>
      </c>
      <c r="I60" s="537">
        <f t="shared" ref="I60:I94" si="2">G60-H60</f>
        <v>0</v>
      </c>
      <c r="J60" s="521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164"/>
      <c r="AL60" s="164"/>
      <c r="AM60" s="164"/>
      <c r="AN60" s="164"/>
      <c r="AO60" s="164"/>
      <c r="AP60" s="164"/>
      <c r="AQ60" s="164"/>
      <c r="AR60" s="164"/>
      <c r="AS60" s="164"/>
      <c r="AT60" s="164"/>
      <c r="AU60" s="164"/>
      <c r="AV60" s="164"/>
      <c r="AW60" s="164"/>
      <c r="AX60" s="164"/>
      <c r="AY60" s="164"/>
      <c r="AZ60" s="164"/>
      <c r="BA60" s="164"/>
      <c r="BB60" s="164"/>
      <c r="BC60" s="164"/>
      <c r="BD60" s="164"/>
      <c r="BE60" s="164"/>
      <c r="BF60" s="164"/>
      <c r="BG60" s="164"/>
      <c r="BH60" s="164"/>
      <c r="BI60" s="164"/>
      <c r="BJ60" s="164"/>
      <c r="BK60" s="164"/>
      <c r="BL60" s="164"/>
      <c r="BM60" s="164"/>
      <c r="BN60" s="164"/>
      <c r="BO60" s="164"/>
      <c r="BP60" s="164"/>
      <c r="BQ60" s="164"/>
      <c r="BR60" s="164"/>
      <c r="BS60" s="164"/>
      <c r="BT60" s="164"/>
      <c r="BU60" s="164"/>
      <c r="BV60" s="164"/>
      <c r="BW60" s="164"/>
      <c r="BX60" s="164"/>
      <c r="BY60" s="164"/>
      <c r="BZ60" s="164"/>
      <c r="CA60" s="164"/>
      <c r="CB60" s="164"/>
      <c r="CC60" s="164"/>
      <c r="CD60" s="164"/>
      <c r="CE60" s="164"/>
      <c r="CF60" s="164"/>
      <c r="CG60" s="164"/>
      <c r="CH60" s="164"/>
      <c r="CI60" s="164"/>
      <c r="CJ60" s="164"/>
      <c r="CK60" s="164"/>
      <c r="CL60" s="164"/>
      <c r="CM60" s="164"/>
      <c r="CN60" s="164"/>
      <c r="CO60" s="164"/>
      <c r="CP60" s="164"/>
      <c r="CQ60" s="164"/>
    </row>
    <row r="61" spans="1:95" s="519" customFormat="1" ht="33.6" customHeight="1">
      <c r="A61" s="520">
        <f t="shared" ref="A61:A93" si="3">A60+1</f>
        <v>3</v>
      </c>
      <c r="B61" s="547" t="s">
        <v>485</v>
      </c>
      <c r="C61" s="771" t="s">
        <v>731</v>
      </c>
      <c r="D61" s="771"/>
      <c r="E61" s="771"/>
      <c r="F61" s="391" t="s">
        <v>486</v>
      </c>
      <c r="G61" s="530">
        <v>127</v>
      </c>
      <c r="H61" s="531">
        <v>127</v>
      </c>
      <c r="I61" s="537">
        <f t="shared" si="2"/>
        <v>0</v>
      </c>
      <c r="J61" s="521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164"/>
      <c r="AL61" s="164"/>
      <c r="AM61" s="164"/>
      <c r="AN61" s="164"/>
      <c r="AO61" s="164"/>
      <c r="AP61" s="164"/>
      <c r="AQ61" s="164"/>
      <c r="AR61" s="164"/>
      <c r="AS61" s="164"/>
      <c r="AT61" s="164"/>
      <c r="AU61" s="164"/>
      <c r="AV61" s="164"/>
      <c r="AW61" s="164"/>
      <c r="AX61" s="164"/>
      <c r="AY61" s="164"/>
      <c r="AZ61" s="164"/>
      <c r="BA61" s="164"/>
      <c r="BB61" s="164"/>
      <c r="BC61" s="164"/>
      <c r="BD61" s="164"/>
      <c r="BE61" s="164"/>
      <c r="BF61" s="164"/>
      <c r="BG61" s="164"/>
      <c r="BH61" s="164"/>
      <c r="BI61" s="164"/>
      <c r="BJ61" s="164"/>
      <c r="BK61" s="164"/>
      <c r="BL61" s="164"/>
      <c r="BM61" s="164"/>
      <c r="BN61" s="164"/>
      <c r="BO61" s="164"/>
      <c r="BP61" s="164"/>
      <c r="BQ61" s="164"/>
      <c r="BR61" s="164"/>
      <c r="BS61" s="164"/>
      <c r="BT61" s="164"/>
      <c r="BU61" s="164"/>
      <c r="BV61" s="164"/>
      <c r="BW61" s="164"/>
      <c r="BX61" s="164"/>
      <c r="BY61" s="164"/>
      <c r="BZ61" s="164"/>
      <c r="CA61" s="164"/>
      <c r="CB61" s="164"/>
      <c r="CC61" s="164"/>
      <c r="CD61" s="164"/>
      <c r="CE61" s="164"/>
      <c r="CF61" s="164"/>
      <c r="CG61" s="164"/>
      <c r="CH61" s="164"/>
      <c r="CI61" s="164"/>
      <c r="CJ61" s="164"/>
      <c r="CK61" s="164"/>
      <c r="CL61" s="164"/>
      <c r="CM61" s="164"/>
      <c r="CN61" s="164"/>
      <c r="CO61" s="164"/>
      <c r="CP61" s="164"/>
      <c r="CQ61" s="164"/>
    </row>
    <row r="62" spans="1:95" s="522" customFormat="1" ht="33.6" customHeight="1">
      <c r="A62" s="520">
        <f t="shared" si="3"/>
        <v>4</v>
      </c>
      <c r="B62" s="547" t="s">
        <v>764</v>
      </c>
      <c r="C62" s="771" t="s">
        <v>732</v>
      </c>
      <c r="D62" s="771"/>
      <c r="E62" s="771"/>
      <c r="F62" s="391" t="s">
        <v>733</v>
      </c>
      <c r="G62" s="532">
        <v>49.5</v>
      </c>
      <c r="H62" s="533">
        <f>46.875+3.5</f>
        <v>50.375</v>
      </c>
      <c r="I62" s="538">
        <f t="shared" si="2"/>
        <v>-0.875</v>
      </c>
      <c r="J62" s="529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  <c r="AO62" s="164"/>
      <c r="AP62" s="164"/>
      <c r="AQ62" s="164"/>
      <c r="AR62" s="164"/>
      <c r="AS62" s="164"/>
      <c r="AT62" s="164"/>
      <c r="AU62" s="164"/>
      <c r="AV62" s="164"/>
      <c r="AW62" s="164"/>
      <c r="AX62" s="164"/>
      <c r="AY62" s="164"/>
      <c r="AZ62" s="164"/>
      <c r="BA62" s="164"/>
      <c r="BB62" s="164"/>
      <c r="BC62" s="164"/>
      <c r="BD62" s="164"/>
      <c r="BE62" s="164"/>
      <c r="BF62" s="164"/>
      <c r="BG62" s="164"/>
      <c r="BH62" s="164"/>
      <c r="BI62" s="164"/>
      <c r="BJ62" s="164"/>
      <c r="BK62" s="164"/>
      <c r="BL62" s="164"/>
      <c r="BM62" s="164"/>
      <c r="BN62" s="164"/>
      <c r="BO62" s="164"/>
      <c r="BP62" s="164"/>
      <c r="BQ62" s="164"/>
      <c r="BR62" s="164"/>
      <c r="BS62" s="164"/>
      <c r="BT62" s="164"/>
      <c r="BU62" s="164"/>
      <c r="BV62" s="164"/>
      <c r="BW62" s="164"/>
      <c r="BX62" s="164"/>
      <c r="BY62" s="164"/>
      <c r="BZ62" s="164"/>
      <c r="CA62" s="164"/>
      <c r="CB62" s="164"/>
      <c r="CC62" s="164"/>
      <c r="CD62" s="164"/>
      <c r="CE62" s="164"/>
      <c r="CF62" s="164"/>
      <c r="CG62" s="164"/>
      <c r="CH62" s="164"/>
      <c r="CI62" s="164"/>
      <c r="CJ62" s="164"/>
      <c r="CK62" s="164"/>
      <c r="CL62" s="164"/>
      <c r="CM62" s="164"/>
      <c r="CN62" s="164"/>
      <c r="CO62" s="164"/>
      <c r="CP62" s="164"/>
      <c r="CQ62" s="164"/>
    </row>
    <row r="63" spans="1:95" s="522" customFormat="1" ht="33.6" customHeight="1">
      <c r="A63" s="520">
        <f t="shared" si="3"/>
        <v>5</v>
      </c>
      <c r="B63" s="547" t="s">
        <v>765</v>
      </c>
      <c r="C63" s="771" t="s">
        <v>734</v>
      </c>
      <c r="D63" s="771"/>
      <c r="E63" s="771"/>
      <c r="F63" s="391" t="s">
        <v>733</v>
      </c>
      <c r="G63" s="532">
        <v>1740</v>
      </c>
      <c r="H63" s="533">
        <f>1601.411+138</f>
        <v>1739.4110000000001</v>
      </c>
      <c r="I63" s="538">
        <f t="shared" si="2"/>
        <v>0.58899999999994179</v>
      </c>
      <c r="J63" s="529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  <c r="AO63" s="164"/>
      <c r="AP63" s="164"/>
      <c r="AQ63" s="164"/>
      <c r="AR63" s="164"/>
      <c r="AS63" s="164"/>
      <c r="AT63" s="164"/>
      <c r="AU63" s="164"/>
      <c r="AV63" s="164"/>
      <c r="AW63" s="164"/>
      <c r="AX63" s="164"/>
      <c r="AY63" s="164"/>
      <c r="AZ63" s="164"/>
      <c r="BA63" s="164"/>
      <c r="BB63" s="164"/>
      <c r="BC63" s="164"/>
      <c r="BD63" s="164"/>
      <c r="BE63" s="164"/>
      <c r="BF63" s="164"/>
      <c r="BG63" s="164"/>
      <c r="BH63" s="164"/>
      <c r="BI63" s="164"/>
      <c r="BJ63" s="164"/>
      <c r="BK63" s="164"/>
      <c r="BL63" s="164"/>
      <c r="BM63" s="164"/>
      <c r="BN63" s="164"/>
      <c r="BO63" s="164"/>
      <c r="BP63" s="164"/>
      <c r="BQ63" s="164"/>
      <c r="BR63" s="164"/>
      <c r="BS63" s="164"/>
      <c r="BT63" s="164"/>
      <c r="BU63" s="164"/>
      <c r="BV63" s="164"/>
      <c r="BW63" s="164"/>
      <c r="BX63" s="164"/>
      <c r="BY63" s="164"/>
      <c r="BZ63" s="164"/>
      <c r="CA63" s="164"/>
      <c r="CB63" s="164"/>
      <c r="CC63" s="164"/>
      <c r="CD63" s="164"/>
      <c r="CE63" s="164"/>
      <c r="CF63" s="164"/>
      <c r="CG63" s="164"/>
      <c r="CH63" s="164"/>
      <c r="CI63" s="164"/>
      <c r="CJ63" s="164"/>
      <c r="CK63" s="164"/>
      <c r="CL63" s="164"/>
      <c r="CM63" s="164"/>
      <c r="CN63" s="164"/>
      <c r="CO63" s="164"/>
      <c r="CP63" s="164"/>
      <c r="CQ63" s="164"/>
    </row>
    <row r="64" spans="1:95" s="522" customFormat="1" ht="33.6" customHeight="1">
      <c r="A64" s="520">
        <f t="shared" si="3"/>
        <v>6</v>
      </c>
      <c r="B64" s="547" t="s">
        <v>766</v>
      </c>
      <c r="C64" s="771" t="s">
        <v>775</v>
      </c>
      <c r="D64" s="771"/>
      <c r="E64" s="771"/>
      <c r="F64" s="391" t="s">
        <v>735</v>
      </c>
      <c r="G64" s="532">
        <v>2224</v>
      </c>
      <c r="H64" s="534">
        <v>2224</v>
      </c>
      <c r="I64" s="537">
        <f t="shared" si="2"/>
        <v>0</v>
      </c>
      <c r="J64" s="521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164"/>
      <c r="AL64" s="164"/>
      <c r="AM64" s="164"/>
      <c r="AN64" s="164"/>
      <c r="AO64" s="164"/>
      <c r="AP64" s="164"/>
      <c r="AQ64" s="164"/>
      <c r="AR64" s="164"/>
      <c r="AS64" s="164"/>
      <c r="AT64" s="164"/>
      <c r="AU64" s="164"/>
      <c r="AV64" s="164"/>
      <c r="AW64" s="164"/>
      <c r="AX64" s="164"/>
      <c r="AY64" s="164"/>
      <c r="AZ64" s="164"/>
      <c r="BA64" s="164"/>
      <c r="BB64" s="164"/>
      <c r="BC64" s="164"/>
      <c r="BD64" s="164"/>
      <c r="BE64" s="164"/>
      <c r="BF64" s="164"/>
      <c r="BG64" s="164"/>
      <c r="BH64" s="164"/>
      <c r="BI64" s="164"/>
      <c r="BJ64" s="164"/>
      <c r="BK64" s="164"/>
      <c r="BL64" s="164"/>
      <c r="BM64" s="164"/>
      <c r="BN64" s="164"/>
      <c r="BO64" s="164"/>
      <c r="BP64" s="164"/>
      <c r="BQ64" s="164"/>
      <c r="BR64" s="164"/>
      <c r="BS64" s="164"/>
      <c r="BT64" s="164"/>
      <c r="BU64" s="164"/>
      <c r="BV64" s="164"/>
      <c r="BW64" s="164"/>
      <c r="BX64" s="164"/>
      <c r="BY64" s="164"/>
      <c r="BZ64" s="164"/>
      <c r="CA64" s="164"/>
      <c r="CB64" s="164"/>
      <c r="CC64" s="164"/>
      <c r="CD64" s="164"/>
      <c r="CE64" s="164"/>
      <c r="CF64" s="164"/>
      <c r="CG64" s="164"/>
      <c r="CH64" s="164"/>
      <c r="CI64" s="164"/>
      <c r="CJ64" s="164"/>
      <c r="CK64" s="164"/>
      <c r="CL64" s="164"/>
      <c r="CM64" s="164"/>
      <c r="CN64" s="164"/>
      <c r="CO64" s="164"/>
      <c r="CP64" s="164"/>
      <c r="CQ64" s="164"/>
    </row>
    <row r="65" spans="1:95" s="522" customFormat="1" ht="33.6" customHeight="1">
      <c r="A65" s="520">
        <f t="shared" si="3"/>
        <v>7</v>
      </c>
      <c r="B65" s="547" t="s">
        <v>766</v>
      </c>
      <c r="C65" s="771" t="s">
        <v>776</v>
      </c>
      <c r="D65" s="771"/>
      <c r="E65" s="771"/>
      <c r="F65" s="391" t="s">
        <v>735</v>
      </c>
      <c r="G65" s="532">
        <v>3781</v>
      </c>
      <c r="H65" s="534">
        <v>3781</v>
      </c>
      <c r="I65" s="537">
        <f t="shared" si="2"/>
        <v>0</v>
      </c>
      <c r="J65" s="521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64"/>
      <c r="AD65" s="164"/>
      <c r="AE65" s="164"/>
      <c r="AF65" s="164"/>
      <c r="AG65" s="164"/>
      <c r="AH65" s="164"/>
      <c r="AI65" s="164"/>
      <c r="AJ65" s="164"/>
      <c r="AK65" s="164"/>
      <c r="AL65" s="164"/>
      <c r="AM65" s="164"/>
      <c r="AN65" s="164"/>
      <c r="AO65" s="164"/>
      <c r="AP65" s="164"/>
      <c r="AQ65" s="164"/>
      <c r="AR65" s="164"/>
      <c r="AS65" s="164"/>
      <c r="AT65" s="164"/>
      <c r="AU65" s="164"/>
      <c r="AV65" s="164"/>
      <c r="AW65" s="164"/>
      <c r="AX65" s="164"/>
      <c r="AY65" s="164"/>
      <c r="AZ65" s="164"/>
      <c r="BA65" s="164"/>
      <c r="BB65" s="164"/>
      <c r="BC65" s="164"/>
      <c r="BD65" s="164"/>
      <c r="BE65" s="164"/>
      <c r="BF65" s="164"/>
      <c r="BG65" s="164"/>
      <c r="BH65" s="164"/>
      <c r="BI65" s="164"/>
      <c r="BJ65" s="164"/>
      <c r="BK65" s="164"/>
      <c r="BL65" s="164"/>
      <c r="BM65" s="164"/>
      <c r="BN65" s="164"/>
      <c r="BO65" s="164"/>
      <c r="BP65" s="164"/>
      <c r="BQ65" s="164"/>
      <c r="BR65" s="164"/>
      <c r="BS65" s="164"/>
      <c r="BT65" s="164"/>
      <c r="BU65" s="164"/>
      <c r="BV65" s="164"/>
      <c r="BW65" s="164"/>
      <c r="BX65" s="164"/>
      <c r="BY65" s="164"/>
      <c r="BZ65" s="164"/>
      <c r="CA65" s="164"/>
      <c r="CB65" s="164"/>
      <c r="CC65" s="164"/>
      <c r="CD65" s="164"/>
      <c r="CE65" s="164"/>
      <c r="CF65" s="164"/>
      <c r="CG65" s="164"/>
      <c r="CH65" s="164"/>
      <c r="CI65" s="164"/>
      <c r="CJ65" s="164"/>
      <c r="CK65" s="164"/>
      <c r="CL65" s="164"/>
      <c r="CM65" s="164"/>
      <c r="CN65" s="164"/>
      <c r="CO65" s="164"/>
      <c r="CP65" s="164"/>
      <c r="CQ65" s="164"/>
    </row>
    <row r="66" spans="1:95" s="522" customFormat="1" ht="33.6" customHeight="1">
      <c r="A66" s="520">
        <f t="shared" si="3"/>
        <v>8</v>
      </c>
      <c r="B66" s="547" t="s">
        <v>767</v>
      </c>
      <c r="C66" s="771" t="s">
        <v>777</v>
      </c>
      <c r="D66" s="771"/>
      <c r="E66" s="771"/>
      <c r="F66" s="391" t="s">
        <v>736</v>
      </c>
      <c r="G66" s="532">
        <v>528</v>
      </c>
      <c r="H66" s="534">
        <v>528</v>
      </c>
      <c r="I66" s="537">
        <f t="shared" si="2"/>
        <v>0</v>
      </c>
      <c r="J66" s="521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  <c r="AO66" s="164"/>
      <c r="AP66" s="164"/>
      <c r="AQ66" s="164"/>
      <c r="AR66" s="164"/>
      <c r="AS66" s="164"/>
      <c r="AT66" s="164"/>
      <c r="AU66" s="164"/>
      <c r="AV66" s="164"/>
      <c r="AW66" s="164"/>
      <c r="AX66" s="164"/>
      <c r="AY66" s="164"/>
      <c r="AZ66" s="164"/>
      <c r="BA66" s="164"/>
      <c r="BB66" s="164"/>
      <c r="BC66" s="164"/>
      <c r="BD66" s="164"/>
      <c r="BE66" s="164"/>
      <c r="BF66" s="164"/>
      <c r="BG66" s="164"/>
      <c r="BH66" s="164"/>
      <c r="BI66" s="164"/>
      <c r="BJ66" s="164"/>
      <c r="BK66" s="164"/>
      <c r="BL66" s="164"/>
      <c r="BM66" s="164"/>
      <c r="BN66" s="164"/>
      <c r="BO66" s="164"/>
      <c r="BP66" s="164"/>
      <c r="BQ66" s="164"/>
      <c r="BR66" s="164"/>
      <c r="BS66" s="164"/>
      <c r="BT66" s="164"/>
      <c r="BU66" s="164"/>
      <c r="BV66" s="164"/>
      <c r="BW66" s="164"/>
      <c r="BX66" s="164"/>
      <c r="BY66" s="164"/>
      <c r="BZ66" s="164"/>
      <c r="CA66" s="164"/>
      <c r="CB66" s="164"/>
      <c r="CC66" s="164"/>
      <c r="CD66" s="164"/>
      <c r="CE66" s="164"/>
      <c r="CF66" s="164"/>
      <c r="CG66" s="164"/>
      <c r="CH66" s="164"/>
      <c r="CI66" s="164"/>
      <c r="CJ66" s="164"/>
      <c r="CK66" s="164"/>
      <c r="CL66" s="164"/>
      <c r="CM66" s="164"/>
      <c r="CN66" s="164"/>
      <c r="CO66" s="164"/>
      <c r="CP66" s="164"/>
      <c r="CQ66" s="164"/>
    </row>
    <row r="67" spans="1:95" s="522" customFormat="1" ht="33.6" customHeight="1">
      <c r="A67" s="520">
        <f t="shared" si="3"/>
        <v>9</v>
      </c>
      <c r="B67" s="547" t="s">
        <v>767</v>
      </c>
      <c r="C67" s="771" t="s">
        <v>778</v>
      </c>
      <c r="D67" s="771"/>
      <c r="E67" s="771"/>
      <c r="F67" s="391" t="s">
        <v>736</v>
      </c>
      <c r="G67" s="532">
        <v>45</v>
      </c>
      <c r="H67" s="534">
        <v>45</v>
      </c>
      <c r="I67" s="537">
        <f t="shared" si="2"/>
        <v>0</v>
      </c>
      <c r="J67" s="521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  <c r="AD67" s="164"/>
      <c r="AE67" s="164"/>
      <c r="AF67" s="164"/>
      <c r="AG67" s="164"/>
      <c r="AH67" s="164"/>
      <c r="AI67" s="164"/>
      <c r="AJ67" s="164"/>
      <c r="AK67" s="164"/>
      <c r="AL67" s="164"/>
      <c r="AM67" s="164"/>
      <c r="AN67" s="164"/>
      <c r="AO67" s="164"/>
      <c r="AP67" s="164"/>
      <c r="AQ67" s="164"/>
      <c r="AR67" s="164"/>
      <c r="AS67" s="164"/>
      <c r="AT67" s="164"/>
      <c r="AU67" s="164"/>
      <c r="AV67" s="164"/>
      <c r="AW67" s="164"/>
      <c r="AX67" s="164"/>
      <c r="AY67" s="164"/>
      <c r="AZ67" s="164"/>
      <c r="BA67" s="164"/>
      <c r="BB67" s="164"/>
      <c r="BC67" s="164"/>
      <c r="BD67" s="164"/>
      <c r="BE67" s="164"/>
      <c r="BF67" s="164"/>
      <c r="BG67" s="164"/>
      <c r="BH67" s="164"/>
      <c r="BI67" s="164"/>
      <c r="BJ67" s="164"/>
      <c r="BK67" s="164"/>
      <c r="BL67" s="164"/>
      <c r="BM67" s="164"/>
      <c r="BN67" s="164"/>
      <c r="BO67" s="164"/>
      <c r="BP67" s="164"/>
      <c r="BQ67" s="164"/>
      <c r="BR67" s="164"/>
      <c r="BS67" s="164"/>
      <c r="BT67" s="164"/>
      <c r="BU67" s="164"/>
      <c r="BV67" s="164"/>
      <c r="BW67" s="164"/>
      <c r="BX67" s="164"/>
      <c r="BY67" s="164"/>
      <c r="BZ67" s="164"/>
      <c r="CA67" s="164"/>
      <c r="CB67" s="164"/>
      <c r="CC67" s="164"/>
      <c r="CD67" s="164"/>
      <c r="CE67" s="164"/>
      <c r="CF67" s="164"/>
      <c r="CG67" s="164"/>
      <c r="CH67" s="164"/>
      <c r="CI67" s="164"/>
      <c r="CJ67" s="164"/>
      <c r="CK67" s="164"/>
      <c r="CL67" s="164"/>
      <c r="CM67" s="164"/>
      <c r="CN67" s="164"/>
      <c r="CO67" s="164"/>
      <c r="CP67" s="164"/>
      <c r="CQ67" s="164"/>
    </row>
    <row r="68" spans="1:95" s="522" customFormat="1" ht="33.6" customHeight="1">
      <c r="A68" s="520">
        <f t="shared" si="3"/>
        <v>10</v>
      </c>
      <c r="B68" s="547" t="s">
        <v>767</v>
      </c>
      <c r="C68" s="771" t="s">
        <v>779</v>
      </c>
      <c r="D68" s="771"/>
      <c r="E68" s="771"/>
      <c r="F68" s="391" t="s">
        <v>736</v>
      </c>
      <c r="G68" s="532">
        <v>468</v>
      </c>
      <c r="H68" s="534">
        <v>468</v>
      </c>
      <c r="I68" s="537">
        <f t="shared" si="2"/>
        <v>0</v>
      </c>
      <c r="J68" s="521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  <c r="AM68" s="164"/>
      <c r="AN68" s="164"/>
      <c r="AO68" s="164"/>
      <c r="AP68" s="164"/>
      <c r="AQ68" s="164"/>
      <c r="AR68" s="164"/>
      <c r="AS68" s="164"/>
      <c r="AT68" s="164"/>
      <c r="AU68" s="164"/>
      <c r="AV68" s="164"/>
      <c r="AW68" s="164"/>
      <c r="AX68" s="164"/>
      <c r="AY68" s="164"/>
      <c r="AZ68" s="164"/>
      <c r="BA68" s="164"/>
      <c r="BB68" s="164"/>
      <c r="BC68" s="164"/>
      <c r="BD68" s="164"/>
      <c r="BE68" s="164"/>
      <c r="BF68" s="164"/>
      <c r="BG68" s="164"/>
      <c r="BH68" s="164"/>
      <c r="BI68" s="164"/>
      <c r="BJ68" s="164"/>
      <c r="BK68" s="164"/>
      <c r="BL68" s="164"/>
      <c r="BM68" s="164"/>
      <c r="BN68" s="164"/>
      <c r="BO68" s="164"/>
      <c r="BP68" s="164"/>
      <c r="BQ68" s="164"/>
      <c r="BR68" s="164"/>
      <c r="BS68" s="164"/>
      <c r="BT68" s="164"/>
      <c r="BU68" s="164"/>
      <c r="BV68" s="164"/>
      <c r="BW68" s="164"/>
      <c r="BX68" s="164"/>
      <c r="BY68" s="164"/>
      <c r="BZ68" s="164"/>
      <c r="CA68" s="164"/>
      <c r="CB68" s="164"/>
      <c r="CC68" s="164"/>
      <c r="CD68" s="164"/>
      <c r="CE68" s="164"/>
      <c r="CF68" s="164"/>
      <c r="CG68" s="164"/>
      <c r="CH68" s="164"/>
      <c r="CI68" s="164"/>
      <c r="CJ68" s="164"/>
      <c r="CK68" s="164"/>
      <c r="CL68" s="164"/>
      <c r="CM68" s="164"/>
      <c r="CN68" s="164"/>
      <c r="CO68" s="164"/>
      <c r="CP68" s="164"/>
      <c r="CQ68" s="164"/>
    </row>
    <row r="69" spans="1:95" s="522" customFormat="1" ht="33.6" customHeight="1">
      <c r="A69" s="520">
        <f t="shared" si="3"/>
        <v>11</v>
      </c>
      <c r="B69" s="547" t="s">
        <v>768</v>
      </c>
      <c r="C69" s="771" t="s">
        <v>737</v>
      </c>
      <c r="D69" s="771"/>
      <c r="E69" s="771"/>
      <c r="F69" s="391" t="s">
        <v>735</v>
      </c>
      <c r="G69" s="532">
        <v>828</v>
      </c>
      <c r="H69" s="534">
        <v>828</v>
      </c>
      <c r="I69" s="537">
        <f t="shared" si="2"/>
        <v>0</v>
      </c>
      <c r="J69" s="521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  <c r="AM69" s="164"/>
      <c r="AN69" s="164"/>
      <c r="AO69" s="164"/>
      <c r="AP69" s="164"/>
      <c r="AQ69" s="164"/>
      <c r="AR69" s="164"/>
      <c r="AS69" s="164"/>
      <c r="AT69" s="164"/>
      <c r="AU69" s="164"/>
      <c r="AV69" s="164"/>
      <c r="AW69" s="164"/>
      <c r="AX69" s="164"/>
      <c r="AY69" s="164"/>
      <c r="AZ69" s="164"/>
      <c r="BA69" s="164"/>
      <c r="BB69" s="164"/>
      <c r="BC69" s="164"/>
      <c r="BD69" s="164"/>
      <c r="BE69" s="164"/>
      <c r="BF69" s="164"/>
      <c r="BG69" s="164"/>
      <c r="BH69" s="164"/>
      <c r="BI69" s="164"/>
      <c r="BJ69" s="164"/>
      <c r="BK69" s="164"/>
      <c r="BL69" s="164"/>
      <c r="BM69" s="164"/>
      <c r="BN69" s="164"/>
      <c r="BO69" s="164"/>
      <c r="BP69" s="164"/>
      <c r="BQ69" s="164"/>
      <c r="BR69" s="164"/>
      <c r="BS69" s="164"/>
      <c r="BT69" s="164"/>
      <c r="BU69" s="164"/>
      <c r="BV69" s="164"/>
      <c r="BW69" s="164"/>
      <c r="BX69" s="164"/>
      <c r="BY69" s="164"/>
      <c r="BZ69" s="164"/>
      <c r="CA69" s="164"/>
      <c r="CB69" s="164"/>
      <c r="CC69" s="164"/>
      <c r="CD69" s="164"/>
      <c r="CE69" s="164"/>
      <c r="CF69" s="164"/>
      <c r="CG69" s="164"/>
      <c r="CH69" s="164"/>
      <c r="CI69" s="164"/>
      <c r="CJ69" s="164"/>
      <c r="CK69" s="164"/>
      <c r="CL69" s="164"/>
      <c r="CM69" s="164"/>
      <c r="CN69" s="164"/>
      <c r="CO69" s="164"/>
      <c r="CP69" s="164"/>
      <c r="CQ69" s="164"/>
    </row>
    <row r="70" spans="1:95" s="522" customFormat="1" ht="33.6" customHeight="1">
      <c r="A70" s="520">
        <f t="shared" si="3"/>
        <v>12</v>
      </c>
      <c r="B70" s="547" t="s">
        <v>768</v>
      </c>
      <c r="C70" s="771" t="s">
        <v>738</v>
      </c>
      <c r="D70" s="771"/>
      <c r="E70" s="771"/>
      <c r="F70" s="391" t="s">
        <v>735</v>
      </c>
      <c r="G70" s="532">
        <v>338</v>
      </c>
      <c r="H70" s="534">
        <v>338</v>
      </c>
      <c r="I70" s="537">
        <f t="shared" si="2"/>
        <v>0</v>
      </c>
      <c r="J70" s="521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  <c r="AD70" s="164"/>
      <c r="AE70" s="164"/>
      <c r="AF70" s="164"/>
      <c r="AG70" s="164"/>
      <c r="AH70" s="164"/>
      <c r="AI70" s="164"/>
      <c r="AJ70" s="164"/>
      <c r="AK70" s="164"/>
      <c r="AL70" s="164"/>
      <c r="AM70" s="164"/>
      <c r="AN70" s="164"/>
      <c r="AO70" s="164"/>
      <c r="AP70" s="164"/>
      <c r="AQ70" s="164"/>
      <c r="AR70" s="164"/>
      <c r="AS70" s="164"/>
      <c r="AT70" s="164"/>
      <c r="AU70" s="164"/>
      <c r="AV70" s="164"/>
      <c r="AW70" s="164"/>
      <c r="AX70" s="164"/>
      <c r="AY70" s="164"/>
      <c r="AZ70" s="164"/>
      <c r="BA70" s="164"/>
      <c r="BB70" s="164"/>
      <c r="BC70" s="164"/>
      <c r="BD70" s="164"/>
      <c r="BE70" s="164"/>
      <c r="BF70" s="164"/>
      <c r="BG70" s="164"/>
      <c r="BH70" s="164"/>
      <c r="BI70" s="164"/>
      <c r="BJ70" s="164"/>
      <c r="BK70" s="164"/>
      <c r="BL70" s="164"/>
      <c r="BM70" s="164"/>
      <c r="BN70" s="164"/>
      <c r="BO70" s="164"/>
      <c r="BP70" s="164"/>
      <c r="BQ70" s="164"/>
      <c r="BR70" s="164"/>
      <c r="BS70" s="164"/>
      <c r="BT70" s="164"/>
      <c r="BU70" s="164"/>
      <c r="BV70" s="164"/>
      <c r="BW70" s="164"/>
      <c r="BX70" s="164"/>
      <c r="BY70" s="164"/>
      <c r="BZ70" s="164"/>
      <c r="CA70" s="164"/>
      <c r="CB70" s="164"/>
      <c r="CC70" s="164"/>
      <c r="CD70" s="164"/>
      <c r="CE70" s="164"/>
      <c r="CF70" s="164"/>
      <c r="CG70" s="164"/>
      <c r="CH70" s="164"/>
      <c r="CI70" s="164"/>
      <c r="CJ70" s="164"/>
      <c r="CK70" s="164"/>
      <c r="CL70" s="164"/>
      <c r="CM70" s="164"/>
      <c r="CN70" s="164"/>
      <c r="CO70" s="164"/>
      <c r="CP70" s="164"/>
      <c r="CQ70" s="164"/>
    </row>
    <row r="71" spans="1:95" s="522" customFormat="1" ht="33.6" customHeight="1">
      <c r="A71" s="520">
        <f t="shared" si="3"/>
        <v>13</v>
      </c>
      <c r="B71" s="547" t="s">
        <v>768</v>
      </c>
      <c r="C71" s="771" t="s">
        <v>739</v>
      </c>
      <c r="D71" s="771"/>
      <c r="E71" s="771"/>
      <c r="F71" s="391" t="s">
        <v>735</v>
      </c>
      <c r="G71" s="532">
        <v>5628</v>
      </c>
      <c r="H71" s="534">
        <f>4992+468</f>
        <v>5460</v>
      </c>
      <c r="I71" s="537">
        <f t="shared" si="2"/>
        <v>168</v>
      </c>
      <c r="J71" s="529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  <c r="AO71" s="164"/>
      <c r="AP71" s="164"/>
      <c r="AQ71" s="164"/>
      <c r="AR71" s="164"/>
      <c r="AS71" s="164"/>
      <c r="AT71" s="164"/>
      <c r="AU71" s="164"/>
      <c r="AV71" s="164"/>
      <c r="AW71" s="164"/>
      <c r="AX71" s="164"/>
      <c r="AY71" s="164"/>
      <c r="AZ71" s="164"/>
      <c r="BA71" s="164"/>
      <c r="BB71" s="164"/>
      <c r="BC71" s="164"/>
      <c r="BD71" s="164"/>
      <c r="BE71" s="164"/>
      <c r="BF71" s="164"/>
      <c r="BG71" s="164"/>
      <c r="BH71" s="164"/>
      <c r="BI71" s="164"/>
      <c r="BJ71" s="164"/>
      <c r="BK71" s="164"/>
      <c r="BL71" s="164"/>
      <c r="BM71" s="164"/>
      <c r="BN71" s="164"/>
      <c r="BO71" s="164"/>
      <c r="BP71" s="164"/>
      <c r="BQ71" s="164"/>
      <c r="BR71" s="164"/>
      <c r="BS71" s="164"/>
      <c r="BT71" s="164"/>
      <c r="BU71" s="164"/>
      <c r="BV71" s="164"/>
      <c r="BW71" s="164"/>
      <c r="BX71" s="164"/>
      <c r="BY71" s="164"/>
      <c r="BZ71" s="164"/>
      <c r="CA71" s="164"/>
      <c r="CB71" s="164"/>
      <c r="CC71" s="164"/>
      <c r="CD71" s="164"/>
      <c r="CE71" s="164"/>
      <c r="CF71" s="164"/>
      <c r="CG71" s="164"/>
      <c r="CH71" s="164"/>
      <c r="CI71" s="164"/>
      <c r="CJ71" s="164"/>
      <c r="CK71" s="164"/>
      <c r="CL71" s="164"/>
      <c r="CM71" s="164"/>
      <c r="CN71" s="164"/>
      <c r="CO71" s="164"/>
      <c r="CP71" s="164"/>
      <c r="CQ71" s="164"/>
    </row>
    <row r="72" spans="1:95" s="522" customFormat="1" ht="33.6" customHeight="1">
      <c r="A72" s="520">
        <f t="shared" si="3"/>
        <v>14</v>
      </c>
      <c r="B72" s="547" t="s">
        <v>768</v>
      </c>
      <c r="C72" s="771" t="s">
        <v>740</v>
      </c>
      <c r="D72" s="771"/>
      <c r="E72" s="771"/>
      <c r="F72" s="391" t="s">
        <v>735</v>
      </c>
      <c r="G72" s="532">
        <v>1170</v>
      </c>
      <c r="H72" s="534">
        <v>1170</v>
      </c>
      <c r="I72" s="537">
        <f t="shared" si="2"/>
        <v>0</v>
      </c>
      <c r="J72" s="521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  <c r="AA72" s="164"/>
      <c r="AB72" s="164"/>
      <c r="AC72" s="164"/>
      <c r="AD72" s="164"/>
      <c r="AE72" s="164"/>
      <c r="AF72" s="164"/>
      <c r="AG72" s="164"/>
      <c r="AH72" s="164"/>
      <c r="AI72" s="164"/>
      <c r="AJ72" s="164"/>
      <c r="AK72" s="164"/>
      <c r="AL72" s="164"/>
      <c r="AM72" s="164"/>
      <c r="AN72" s="164"/>
      <c r="AO72" s="164"/>
      <c r="AP72" s="164"/>
      <c r="AQ72" s="164"/>
      <c r="AR72" s="164"/>
      <c r="AS72" s="164"/>
      <c r="AT72" s="164"/>
      <c r="AU72" s="164"/>
      <c r="AV72" s="164"/>
      <c r="AW72" s="164"/>
      <c r="AX72" s="164"/>
      <c r="AY72" s="164"/>
      <c r="AZ72" s="164"/>
      <c r="BA72" s="164"/>
      <c r="BB72" s="164"/>
      <c r="BC72" s="164"/>
      <c r="BD72" s="164"/>
      <c r="BE72" s="164"/>
      <c r="BF72" s="164"/>
      <c r="BG72" s="164"/>
      <c r="BH72" s="164"/>
      <c r="BI72" s="164"/>
      <c r="BJ72" s="164"/>
      <c r="BK72" s="164"/>
      <c r="BL72" s="164"/>
      <c r="BM72" s="164"/>
      <c r="BN72" s="164"/>
      <c r="BO72" s="164"/>
      <c r="BP72" s="164"/>
      <c r="BQ72" s="164"/>
      <c r="BR72" s="164"/>
      <c r="BS72" s="164"/>
      <c r="BT72" s="164"/>
      <c r="BU72" s="164"/>
      <c r="BV72" s="164"/>
      <c r="BW72" s="164"/>
      <c r="BX72" s="164"/>
      <c r="BY72" s="164"/>
      <c r="BZ72" s="164"/>
      <c r="CA72" s="164"/>
      <c r="CB72" s="164"/>
      <c r="CC72" s="164"/>
      <c r="CD72" s="164"/>
      <c r="CE72" s="164"/>
      <c r="CF72" s="164"/>
      <c r="CG72" s="164"/>
      <c r="CH72" s="164"/>
      <c r="CI72" s="164"/>
      <c r="CJ72" s="164"/>
      <c r="CK72" s="164"/>
      <c r="CL72" s="164"/>
      <c r="CM72" s="164"/>
      <c r="CN72" s="164"/>
      <c r="CO72" s="164"/>
      <c r="CP72" s="164"/>
      <c r="CQ72" s="164"/>
    </row>
    <row r="73" spans="1:95" s="522" customFormat="1" ht="33.6" customHeight="1">
      <c r="A73" s="520">
        <f t="shared" si="3"/>
        <v>15</v>
      </c>
      <c r="B73" s="547" t="s">
        <v>769</v>
      </c>
      <c r="C73" s="771" t="s">
        <v>741</v>
      </c>
      <c r="D73" s="771"/>
      <c r="E73" s="771"/>
      <c r="F73" s="391" t="s">
        <v>735</v>
      </c>
      <c r="G73" s="532">
        <v>26</v>
      </c>
      <c r="H73" s="534">
        <v>26</v>
      </c>
      <c r="I73" s="537">
        <f t="shared" si="2"/>
        <v>0</v>
      </c>
      <c r="J73" s="521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  <c r="AD73" s="164"/>
      <c r="AE73" s="164"/>
      <c r="AF73" s="164"/>
      <c r="AG73" s="164"/>
      <c r="AH73" s="164"/>
      <c r="AI73" s="164"/>
      <c r="AJ73" s="164"/>
      <c r="AK73" s="164"/>
      <c r="AL73" s="164"/>
      <c r="AM73" s="164"/>
      <c r="AN73" s="164"/>
      <c r="AO73" s="164"/>
      <c r="AP73" s="164"/>
      <c r="AQ73" s="164"/>
      <c r="AR73" s="164"/>
      <c r="AS73" s="164"/>
      <c r="AT73" s="164"/>
      <c r="AU73" s="164"/>
      <c r="AV73" s="164"/>
      <c r="AW73" s="164"/>
      <c r="AX73" s="164"/>
      <c r="AY73" s="164"/>
      <c r="AZ73" s="164"/>
      <c r="BA73" s="164"/>
      <c r="BB73" s="164"/>
      <c r="BC73" s="164"/>
      <c r="BD73" s="164"/>
      <c r="BE73" s="164"/>
      <c r="BF73" s="164"/>
      <c r="BG73" s="164"/>
      <c r="BH73" s="164"/>
      <c r="BI73" s="164"/>
      <c r="BJ73" s="164"/>
      <c r="BK73" s="164"/>
      <c r="BL73" s="164"/>
      <c r="BM73" s="164"/>
      <c r="BN73" s="164"/>
      <c r="BO73" s="164"/>
      <c r="BP73" s="164"/>
      <c r="BQ73" s="164"/>
      <c r="BR73" s="164"/>
      <c r="BS73" s="164"/>
      <c r="BT73" s="164"/>
      <c r="BU73" s="164"/>
      <c r="BV73" s="164"/>
      <c r="BW73" s="164"/>
      <c r="BX73" s="164"/>
      <c r="BY73" s="164"/>
      <c r="BZ73" s="164"/>
      <c r="CA73" s="164"/>
      <c r="CB73" s="164"/>
      <c r="CC73" s="164"/>
      <c r="CD73" s="164"/>
      <c r="CE73" s="164"/>
      <c r="CF73" s="164"/>
      <c r="CG73" s="164"/>
      <c r="CH73" s="164"/>
      <c r="CI73" s="164"/>
      <c r="CJ73" s="164"/>
      <c r="CK73" s="164"/>
      <c r="CL73" s="164"/>
      <c r="CM73" s="164"/>
      <c r="CN73" s="164"/>
      <c r="CO73" s="164"/>
      <c r="CP73" s="164"/>
      <c r="CQ73" s="164"/>
    </row>
    <row r="74" spans="1:95" s="522" customFormat="1" ht="33.6" customHeight="1">
      <c r="A74" s="520">
        <f t="shared" si="3"/>
        <v>16</v>
      </c>
      <c r="B74" s="547" t="s">
        <v>769</v>
      </c>
      <c r="C74" s="771" t="s">
        <v>742</v>
      </c>
      <c r="D74" s="771"/>
      <c r="E74" s="771"/>
      <c r="F74" s="391" t="s">
        <v>735</v>
      </c>
      <c r="G74" s="532">
        <v>169</v>
      </c>
      <c r="H74" s="534">
        <v>169</v>
      </c>
      <c r="I74" s="537">
        <f t="shared" si="2"/>
        <v>0</v>
      </c>
      <c r="J74" s="521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  <c r="AD74" s="164"/>
      <c r="AE74" s="164"/>
      <c r="AF74" s="164"/>
      <c r="AG74" s="164"/>
      <c r="AH74" s="164"/>
      <c r="AI74" s="164"/>
      <c r="AJ74" s="164"/>
      <c r="AK74" s="164"/>
      <c r="AL74" s="164"/>
      <c r="AM74" s="164"/>
      <c r="AN74" s="164"/>
      <c r="AO74" s="164"/>
      <c r="AP74" s="164"/>
      <c r="AQ74" s="164"/>
      <c r="AR74" s="164"/>
      <c r="AS74" s="164"/>
      <c r="AT74" s="164"/>
      <c r="AU74" s="164"/>
      <c r="AV74" s="164"/>
      <c r="AW74" s="164"/>
      <c r="AX74" s="164"/>
      <c r="AY74" s="164"/>
      <c r="AZ74" s="164"/>
      <c r="BA74" s="164"/>
      <c r="BB74" s="164"/>
      <c r="BC74" s="164"/>
      <c r="BD74" s="164"/>
      <c r="BE74" s="164"/>
      <c r="BF74" s="164"/>
      <c r="BG74" s="164"/>
      <c r="BH74" s="164"/>
      <c r="BI74" s="164"/>
      <c r="BJ74" s="164"/>
      <c r="BK74" s="164"/>
      <c r="BL74" s="164"/>
      <c r="BM74" s="164"/>
      <c r="BN74" s="164"/>
      <c r="BO74" s="164"/>
      <c r="BP74" s="164"/>
      <c r="BQ74" s="164"/>
      <c r="BR74" s="164"/>
      <c r="BS74" s="164"/>
      <c r="BT74" s="164"/>
      <c r="BU74" s="164"/>
      <c r="BV74" s="164"/>
      <c r="BW74" s="164"/>
      <c r="BX74" s="164"/>
      <c r="BY74" s="164"/>
      <c r="BZ74" s="164"/>
      <c r="CA74" s="164"/>
      <c r="CB74" s="164"/>
      <c r="CC74" s="164"/>
      <c r="CD74" s="164"/>
      <c r="CE74" s="164"/>
      <c r="CF74" s="164"/>
      <c r="CG74" s="164"/>
      <c r="CH74" s="164"/>
      <c r="CI74" s="164"/>
      <c r="CJ74" s="164"/>
      <c r="CK74" s="164"/>
      <c r="CL74" s="164"/>
      <c r="CM74" s="164"/>
      <c r="CN74" s="164"/>
      <c r="CO74" s="164"/>
      <c r="CP74" s="164"/>
      <c r="CQ74" s="164"/>
    </row>
    <row r="75" spans="1:95" s="522" customFormat="1" ht="33.6" customHeight="1">
      <c r="A75" s="520">
        <f t="shared" si="3"/>
        <v>17</v>
      </c>
      <c r="B75" s="547" t="s">
        <v>769</v>
      </c>
      <c r="C75" s="771" t="s">
        <v>743</v>
      </c>
      <c r="D75" s="771"/>
      <c r="E75" s="771"/>
      <c r="F75" s="391" t="s">
        <v>735</v>
      </c>
      <c r="G75" s="532">
        <v>340</v>
      </c>
      <c r="H75" s="534">
        <v>340</v>
      </c>
      <c r="I75" s="537">
        <f t="shared" si="2"/>
        <v>0</v>
      </c>
      <c r="J75" s="521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  <c r="AA75" s="164"/>
      <c r="AB75" s="164"/>
      <c r="AC75" s="164"/>
      <c r="AD75" s="164"/>
      <c r="AE75" s="164"/>
      <c r="AF75" s="164"/>
      <c r="AG75" s="164"/>
      <c r="AH75" s="164"/>
      <c r="AI75" s="164"/>
      <c r="AJ75" s="164"/>
      <c r="AK75" s="164"/>
      <c r="AL75" s="164"/>
      <c r="AM75" s="164"/>
      <c r="AN75" s="164"/>
      <c r="AO75" s="164"/>
      <c r="AP75" s="164"/>
      <c r="AQ75" s="164"/>
      <c r="AR75" s="164"/>
      <c r="AS75" s="164"/>
      <c r="AT75" s="164"/>
      <c r="AU75" s="164"/>
      <c r="AV75" s="164"/>
      <c r="AW75" s="164"/>
      <c r="AX75" s="164"/>
      <c r="AY75" s="164"/>
      <c r="AZ75" s="164"/>
      <c r="BA75" s="164"/>
      <c r="BB75" s="164"/>
      <c r="BC75" s="164"/>
      <c r="BD75" s="164"/>
      <c r="BE75" s="164"/>
      <c r="BF75" s="164"/>
      <c r="BG75" s="164"/>
      <c r="BH75" s="164"/>
      <c r="BI75" s="164"/>
      <c r="BJ75" s="164"/>
      <c r="BK75" s="164"/>
      <c r="BL75" s="164"/>
      <c r="BM75" s="164"/>
      <c r="BN75" s="164"/>
      <c r="BO75" s="164"/>
      <c r="BP75" s="164"/>
      <c r="BQ75" s="164"/>
      <c r="BR75" s="164"/>
      <c r="BS75" s="164"/>
      <c r="BT75" s="164"/>
      <c r="BU75" s="164"/>
      <c r="BV75" s="164"/>
      <c r="BW75" s="164"/>
      <c r="BX75" s="164"/>
      <c r="BY75" s="164"/>
      <c r="BZ75" s="164"/>
      <c r="CA75" s="164"/>
      <c r="CB75" s="164"/>
      <c r="CC75" s="164"/>
      <c r="CD75" s="164"/>
      <c r="CE75" s="164"/>
      <c r="CF75" s="164"/>
      <c r="CG75" s="164"/>
      <c r="CH75" s="164"/>
      <c r="CI75" s="164"/>
      <c r="CJ75" s="164"/>
      <c r="CK75" s="164"/>
      <c r="CL75" s="164"/>
      <c r="CM75" s="164"/>
      <c r="CN75" s="164"/>
      <c r="CO75" s="164"/>
      <c r="CP75" s="164"/>
      <c r="CQ75" s="164"/>
    </row>
    <row r="76" spans="1:95" s="522" customFormat="1" ht="33.6" customHeight="1">
      <c r="A76" s="520">
        <f t="shared" si="3"/>
        <v>18</v>
      </c>
      <c r="B76" s="547" t="s">
        <v>769</v>
      </c>
      <c r="C76" s="771" t="s">
        <v>744</v>
      </c>
      <c r="D76" s="771"/>
      <c r="E76" s="771"/>
      <c r="F76" s="391" t="s">
        <v>735</v>
      </c>
      <c r="G76" s="532">
        <v>88</v>
      </c>
      <c r="H76" s="534">
        <v>88</v>
      </c>
      <c r="I76" s="537">
        <f t="shared" si="2"/>
        <v>0</v>
      </c>
      <c r="J76" s="521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  <c r="AA76" s="164"/>
      <c r="AB76" s="164"/>
      <c r="AC76" s="164"/>
      <c r="AD76" s="164"/>
      <c r="AE76" s="164"/>
      <c r="AF76" s="164"/>
      <c r="AG76" s="164"/>
      <c r="AH76" s="164"/>
      <c r="AI76" s="164"/>
      <c r="AJ76" s="164"/>
      <c r="AK76" s="164"/>
      <c r="AL76" s="164"/>
      <c r="AM76" s="164"/>
      <c r="AN76" s="164"/>
      <c r="AO76" s="164"/>
      <c r="AP76" s="164"/>
      <c r="AQ76" s="164"/>
      <c r="AR76" s="164"/>
      <c r="AS76" s="164"/>
      <c r="AT76" s="164"/>
      <c r="AU76" s="164"/>
      <c r="AV76" s="164"/>
      <c r="AW76" s="164"/>
      <c r="AX76" s="164"/>
      <c r="AY76" s="164"/>
      <c r="AZ76" s="164"/>
      <c r="BA76" s="164"/>
      <c r="BB76" s="164"/>
      <c r="BC76" s="164"/>
      <c r="BD76" s="164"/>
      <c r="BE76" s="164"/>
      <c r="BF76" s="164"/>
      <c r="BG76" s="164"/>
      <c r="BH76" s="164"/>
      <c r="BI76" s="164"/>
      <c r="BJ76" s="164"/>
      <c r="BK76" s="164"/>
      <c r="BL76" s="164"/>
      <c r="BM76" s="164"/>
      <c r="BN76" s="164"/>
      <c r="BO76" s="164"/>
      <c r="BP76" s="164"/>
      <c r="BQ76" s="164"/>
      <c r="BR76" s="164"/>
      <c r="BS76" s="164"/>
      <c r="BT76" s="164"/>
      <c r="BU76" s="164"/>
      <c r="BV76" s="164"/>
      <c r="BW76" s="164"/>
      <c r="BX76" s="164"/>
      <c r="BY76" s="164"/>
      <c r="BZ76" s="164"/>
      <c r="CA76" s="164"/>
      <c r="CB76" s="164"/>
      <c r="CC76" s="164"/>
      <c r="CD76" s="164"/>
      <c r="CE76" s="164"/>
      <c r="CF76" s="164"/>
      <c r="CG76" s="164"/>
      <c r="CH76" s="164"/>
      <c r="CI76" s="164"/>
      <c r="CJ76" s="164"/>
      <c r="CK76" s="164"/>
      <c r="CL76" s="164"/>
      <c r="CM76" s="164"/>
      <c r="CN76" s="164"/>
      <c r="CO76" s="164"/>
      <c r="CP76" s="164"/>
      <c r="CQ76" s="164"/>
    </row>
    <row r="77" spans="1:95" s="522" customFormat="1" ht="33.6" customHeight="1">
      <c r="A77" s="520">
        <f t="shared" si="3"/>
        <v>19</v>
      </c>
      <c r="B77" s="547" t="s">
        <v>769</v>
      </c>
      <c r="C77" s="771" t="s">
        <v>745</v>
      </c>
      <c r="D77" s="771"/>
      <c r="E77" s="771"/>
      <c r="F77" s="391" t="s">
        <v>735</v>
      </c>
      <c r="G77" s="532">
        <v>81</v>
      </c>
      <c r="H77" s="534">
        <v>81</v>
      </c>
      <c r="I77" s="537">
        <f t="shared" si="2"/>
        <v>0</v>
      </c>
      <c r="J77" s="521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4"/>
      <c r="AH77" s="164"/>
      <c r="AI77" s="164"/>
      <c r="AJ77" s="164"/>
      <c r="AK77" s="164"/>
      <c r="AL77" s="164"/>
      <c r="AM77" s="164"/>
      <c r="AN77" s="164"/>
      <c r="AO77" s="164"/>
      <c r="AP77" s="164"/>
      <c r="AQ77" s="164"/>
      <c r="AR77" s="164"/>
      <c r="AS77" s="164"/>
      <c r="AT77" s="164"/>
      <c r="AU77" s="164"/>
      <c r="AV77" s="164"/>
      <c r="AW77" s="164"/>
      <c r="AX77" s="164"/>
      <c r="AY77" s="164"/>
      <c r="AZ77" s="164"/>
      <c r="BA77" s="164"/>
      <c r="BB77" s="164"/>
      <c r="BC77" s="164"/>
      <c r="BD77" s="164"/>
      <c r="BE77" s="164"/>
      <c r="BF77" s="164"/>
      <c r="BG77" s="164"/>
      <c r="BH77" s="164"/>
      <c r="BI77" s="164"/>
      <c r="BJ77" s="164"/>
      <c r="BK77" s="164"/>
      <c r="BL77" s="164"/>
      <c r="BM77" s="164"/>
      <c r="BN77" s="164"/>
      <c r="BO77" s="164"/>
      <c r="BP77" s="164"/>
      <c r="BQ77" s="164"/>
      <c r="BR77" s="164"/>
      <c r="BS77" s="164"/>
      <c r="BT77" s="164"/>
      <c r="BU77" s="164"/>
      <c r="BV77" s="164"/>
      <c r="BW77" s="164"/>
      <c r="BX77" s="164"/>
      <c r="BY77" s="164"/>
      <c r="BZ77" s="164"/>
      <c r="CA77" s="164"/>
      <c r="CB77" s="164"/>
      <c r="CC77" s="164"/>
      <c r="CD77" s="164"/>
      <c r="CE77" s="164"/>
      <c r="CF77" s="164"/>
      <c r="CG77" s="164"/>
      <c r="CH77" s="164"/>
      <c r="CI77" s="164"/>
      <c r="CJ77" s="164"/>
      <c r="CK77" s="164"/>
      <c r="CL77" s="164"/>
      <c r="CM77" s="164"/>
      <c r="CN77" s="164"/>
      <c r="CO77" s="164"/>
      <c r="CP77" s="164"/>
      <c r="CQ77" s="164"/>
    </row>
    <row r="78" spans="1:95" s="522" customFormat="1" ht="33.6" customHeight="1">
      <c r="A78" s="520">
        <f t="shared" si="3"/>
        <v>20</v>
      </c>
      <c r="B78" s="547" t="s">
        <v>770</v>
      </c>
      <c r="C78" s="771" t="s">
        <v>746</v>
      </c>
      <c r="D78" s="771"/>
      <c r="E78" s="771"/>
      <c r="F78" s="391" t="s">
        <v>733</v>
      </c>
      <c r="G78" s="532">
        <v>50.48</v>
      </c>
      <c r="H78" s="533">
        <v>50.223999999999997</v>
      </c>
      <c r="I78" s="539">
        <f t="shared" si="2"/>
        <v>0.25600000000000023</v>
      </c>
      <c r="J78" s="523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  <c r="AA78" s="164"/>
      <c r="AB78" s="164"/>
      <c r="AC78" s="164"/>
      <c r="AD78" s="164"/>
      <c r="AE78" s="164"/>
      <c r="AF78" s="164"/>
      <c r="AG78" s="164"/>
      <c r="AH78" s="164"/>
      <c r="AI78" s="164"/>
      <c r="AJ78" s="164"/>
      <c r="AK78" s="164"/>
      <c r="AL78" s="164"/>
      <c r="AM78" s="164"/>
      <c r="AN78" s="164"/>
      <c r="AO78" s="164"/>
      <c r="AP78" s="164"/>
      <c r="AQ78" s="164"/>
      <c r="AR78" s="164"/>
      <c r="AS78" s="164"/>
      <c r="AT78" s="164"/>
      <c r="AU78" s="164"/>
      <c r="AV78" s="164"/>
      <c r="AW78" s="164"/>
      <c r="AX78" s="164"/>
      <c r="AY78" s="164"/>
      <c r="AZ78" s="164"/>
      <c r="BA78" s="164"/>
      <c r="BB78" s="164"/>
      <c r="BC78" s="164"/>
      <c r="BD78" s="164"/>
      <c r="BE78" s="164"/>
      <c r="BF78" s="164"/>
      <c r="BG78" s="164"/>
      <c r="BH78" s="164"/>
      <c r="BI78" s="164"/>
      <c r="BJ78" s="164"/>
      <c r="BK78" s="164"/>
      <c r="BL78" s="164"/>
      <c r="BM78" s="164"/>
      <c r="BN78" s="164"/>
      <c r="BO78" s="164"/>
      <c r="BP78" s="164"/>
      <c r="BQ78" s="164"/>
      <c r="BR78" s="164"/>
      <c r="BS78" s="164"/>
      <c r="BT78" s="164"/>
      <c r="BU78" s="164"/>
      <c r="BV78" s="164"/>
      <c r="BW78" s="164"/>
      <c r="BX78" s="164"/>
      <c r="BY78" s="164"/>
      <c r="BZ78" s="164"/>
      <c r="CA78" s="164"/>
      <c r="CB78" s="164"/>
      <c r="CC78" s="164"/>
      <c r="CD78" s="164"/>
      <c r="CE78" s="164"/>
      <c r="CF78" s="164"/>
      <c r="CG78" s="164"/>
      <c r="CH78" s="164"/>
      <c r="CI78" s="164"/>
      <c r="CJ78" s="164"/>
      <c r="CK78" s="164"/>
      <c r="CL78" s="164"/>
      <c r="CM78" s="164"/>
      <c r="CN78" s="164"/>
      <c r="CO78" s="164"/>
      <c r="CP78" s="164"/>
      <c r="CQ78" s="164"/>
    </row>
    <row r="79" spans="1:95" s="522" customFormat="1" ht="33.6" customHeight="1">
      <c r="A79" s="520">
        <f t="shared" si="3"/>
        <v>21</v>
      </c>
      <c r="B79" s="547" t="s">
        <v>770</v>
      </c>
      <c r="C79" s="771" t="s">
        <v>747</v>
      </c>
      <c r="D79" s="771"/>
      <c r="E79" s="771"/>
      <c r="F79" s="391" t="s">
        <v>735</v>
      </c>
      <c r="G79" s="532">
        <v>88</v>
      </c>
      <c r="H79" s="534">
        <v>88</v>
      </c>
      <c r="I79" s="537">
        <f t="shared" si="2"/>
        <v>0</v>
      </c>
      <c r="J79" s="521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  <c r="AA79" s="164"/>
      <c r="AB79" s="164"/>
      <c r="AC79" s="164"/>
      <c r="AD79" s="164"/>
      <c r="AE79" s="164"/>
      <c r="AF79" s="164"/>
      <c r="AG79" s="164"/>
      <c r="AH79" s="164"/>
      <c r="AI79" s="164"/>
      <c r="AJ79" s="164"/>
      <c r="AK79" s="164"/>
      <c r="AL79" s="164"/>
      <c r="AM79" s="164"/>
      <c r="AN79" s="164"/>
      <c r="AO79" s="164"/>
      <c r="AP79" s="164"/>
      <c r="AQ79" s="164"/>
      <c r="AR79" s="164"/>
      <c r="AS79" s="164"/>
      <c r="AT79" s="164"/>
      <c r="AU79" s="164"/>
      <c r="AV79" s="164"/>
      <c r="AW79" s="164"/>
      <c r="AX79" s="164"/>
      <c r="AY79" s="164"/>
      <c r="AZ79" s="164"/>
      <c r="BA79" s="164"/>
      <c r="BB79" s="164"/>
      <c r="BC79" s="164"/>
      <c r="BD79" s="164"/>
      <c r="BE79" s="164"/>
      <c r="BF79" s="164"/>
      <c r="BG79" s="164"/>
      <c r="BH79" s="164"/>
      <c r="BI79" s="164"/>
      <c r="BJ79" s="164"/>
      <c r="BK79" s="164"/>
      <c r="BL79" s="164"/>
      <c r="BM79" s="164"/>
      <c r="BN79" s="164"/>
      <c r="BO79" s="164"/>
      <c r="BP79" s="164"/>
      <c r="BQ79" s="164"/>
      <c r="BR79" s="164"/>
      <c r="BS79" s="164"/>
      <c r="BT79" s="164"/>
      <c r="BU79" s="164"/>
      <c r="BV79" s="164"/>
      <c r="BW79" s="164"/>
      <c r="BX79" s="164"/>
      <c r="BY79" s="164"/>
      <c r="BZ79" s="164"/>
      <c r="CA79" s="164"/>
      <c r="CB79" s="164"/>
      <c r="CC79" s="164"/>
      <c r="CD79" s="164"/>
      <c r="CE79" s="164"/>
      <c r="CF79" s="164"/>
      <c r="CG79" s="164"/>
      <c r="CH79" s="164"/>
      <c r="CI79" s="164"/>
      <c r="CJ79" s="164"/>
      <c r="CK79" s="164"/>
      <c r="CL79" s="164"/>
      <c r="CM79" s="164"/>
      <c r="CN79" s="164"/>
      <c r="CO79" s="164"/>
      <c r="CP79" s="164"/>
      <c r="CQ79" s="164"/>
    </row>
    <row r="80" spans="1:95" s="522" customFormat="1" ht="33.6" customHeight="1">
      <c r="A80" s="520">
        <f t="shared" si="3"/>
        <v>22</v>
      </c>
      <c r="B80" s="547" t="s">
        <v>770</v>
      </c>
      <c r="C80" s="771" t="s">
        <v>748</v>
      </c>
      <c r="D80" s="771"/>
      <c r="E80" s="771"/>
      <c r="F80" s="391" t="s">
        <v>736</v>
      </c>
      <c r="G80" s="532">
        <v>2</v>
      </c>
      <c r="H80" s="534">
        <v>2</v>
      </c>
      <c r="I80" s="537">
        <f t="shared" si="2"/>
        <v>0</v>
      </c>
      <c r="J80" s="521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  <c r="AA80" s="164"/>
      <c r="AB80" s="164"/>
      <c r="AC80" s="164"/>
      <c r="AD80" s="164"/>
      <c r="AE80" s="164"/>
      <c r="AF80" s="164"/>
      <c r="AG80" s="164"/>
      <c r="AH80" s="164"/>
      <c r="AI80" s="164"/>
      <c r="AJ80" s="164"/>
      <c r="AK80" s="164"/>
      <c r="AL80" s="164"/>
      <c r="AM80" s="164"/>
      <c r="AN80" s="164"/>
      <c r="AO80" s="164"/>
      <c r="AP80" s="164"/>
      <c r="AQ80" s="164"/>
      <c r="AR80" s="164"/>
      <c r="AS80" s="164"/>
      <c r="AT80" s="164"/>
      <c r="AU80" s="164"/>
      <c r="AV80" s="164"/>
      <c r="AW80" s="164"/>
      <c r="AX80" s="164"/>
      <c r="AY80" s="164"/>
      <c r="AZ80" s="164"/>
      <c r="BA80" s="164"/>
      <c r="BB80" s="164"/>
      <c r="BC80" s="164"/>
      <c r="BD80" s="164"/>
      <c r="BE80" s="164"/>
      <c r="BF80" s="164"/>
      <c r="BG80" s="164"/>
      <c r="BH80" s="164"/>
      <c r="BI80" s="164"/>
      <c r="BJ80" s="164"/>
      <c r="BK80" s="164"/>
      <c r="BL80" s="164"/>
      <c r="BM80" s="164"/>
      <c r="BN80" s="164"/>
      <c r="BO80" s="164"/>
      <c r="BP80" s="164"/>
      <c r="BQ80" s="164"/>
      <c r="BR80" s="164"/>
      <c r="BS80" s="164"/>
      <c r="BT80" s="164"/>
      <c r="BU80" s="164"/>
      <c r="BV80" s="164"/>
      <c r="BW80" s="164"/>
      <c r="BX80" s="164"/>
      <c r="BY80" s="164"/>
      <c r="BZ80" s="164"/>
      <c r="CA80" s="164"/>
      <c r="CB80" s="164"/>
      <c r="CC80" s="164"/>
      <c r="CD80" s="164"/>
      <c r="CE80" s="164"/>
      <c r="CF80" s="164"/>
      <c r="CG80" s="164"/>
      <c r="CH80" s="164"/>
      <c r="CI80" s="164"/>
      <c r="CJ80" s="164"/>
      <c r="CK80" s="164"/>
      <c r="CL80" s="164"/>
      <c r="CM80" s="164"/>
      <c r="CN80" s="164"/>
      <c r="CO80" s="164"/>
      <c r="CP80" s="164"/>
      <c r="CQ80" s="164"/>
    </row>
    <row r="81" spans="1:95" s="522" customFormat="1" ht="33.6" customHeight="1">
      <c r="A81" s="520">
        <f t="shared" si="3"/>
        <v>23</v>
      </c>
      <c r="B81" s="547" t="s">
        <v>770</v>
      </c>
      <c r="C81" s="771" t="s">
        <v>749</v>
      </c>
      <c r="D81" s="771"/>
      <c r="E81" s="771"/>
      <c r="F81" s="391" t="s">
        <v>736</v>
      </c>
      <c r="G81" s="532">
        <v>11</v>
      </c>
      <c r="H81" s="534">
        <v>11</v>
      </c>
      <c r="I81" s="537">
        <f t="shared" si="2"/>
        <v>0</v>
      </c>
      <c r="J81" s="521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  <c r="AD81" s="164"/>
      <c r="AE81" s="164"/>
      <c r="AF81" s="164"/>
      <c r="AG81" s="164"/>
      <c r="AH81" s="164"/>
      <c r="AI81" s="164"/>
      <c r="AJ81" s="164"/>
      <c r="AK81" s="164"/>
      <c r="AL81" s="164"/>
      <c r="AM81" s="164"/>
      <c r="AN81" s="164"/>
      <c r="AO81" s="164"/>
      <c r="AP81" s="164"/>
      <c r="AQ81" s="164"/>
      <c r="AR81" s="164"/>
      <c r="AS81" s="164"/>
      <c r="AT81" s="164"/>
      <c r="AU81" s="164"/>
      <c r="AV81" s="164"/>
      <c r="AW81" s="164"/>
      <c r="AX81" s="164"/>
      <c r="AY81" s="164"/>
      <c r="AZ81" s="164"/>
      <c r="BA81" s="164"/>
      <c r="BB81" s="164"/>
      <c r="BC81" s="164"/>
      <c r="BD81" s="164"/>
      <c r="BE81" s="164"/>
      <c r="BF81" s="164"/>
      <c r="BG81" s="164"/>
      <c r="BH81" s="164"/>
      <c r="BI81" s="164"/>
      <c r="BJ81" s="164"/>
      <c r="BK81" s="164"/>
      <c r="BL81" s="164"/>
      <c r="BM81" s="164"/>
      <c r="BN81" s="164"/>
      <c r="BO81" s="164"/>
      <c r="BP81" s="164"/>
      <c r="BQ81" s="164"/>
      <c r="BR81" s="164"/>
      <c r="BS81" s="164"/>
      <c r="BT81" s="164"/>
      <c r="BU81" s="164"/>
      <c r="BV81" s="164"/>
      <c r="BW81" s="164"/>
      <c r="BX81" s="164"/>
      <c r="BY81" s="164"/>
      <c r="BZ81" s="164"/>
      <c r="CA81" s="164"/>
      <c r="CB81" s="164"/>
      <c r="CC81" s="164"/>
      <c r="CD81" s="164"/>
      <c r="CE81" s="164"/>
      <c r="CF81" s="164"/>
      <c r="CG81" s="164"/>
      <c r="CH81" s="164"/>
      <c r="CI81" s="164"/>
      <c r="CJ81" s="164"/>
      <c r="CK81" s="164"/>
      <c r="CL81" s="164"/>
      <c r="CM81" s="164"/>
      <c r="CN81" s="164"/>
      <c r="CO81" s="164"/>
      <c r="CP81" s="164"/>
      <c r="CQ81" s="164"/>
    </row>
    <row r="82" spans="1:95" s="522" customFormat="1" ht="33.6" customHeight="1">
      <c r="A82" s="520">
        <f t="shared" si="3"/>
        <v>24</v>
      </c>
      <c r="B82" s="547" t="s">
        <v>770</v>
      </c>
      <c r="C82" s="771" t="s">
        <v>750</v>
      </c>
      <c r="D82" s="771"/>
      <c r="E82" s="771"/>
      <c r="F82" s="391" t="s">
        <v>736</v>
      </c>
      <c r="G82" s="532">
        <v>27</v>
      </c>
      <c r="H82" s="534">
        <v>27</v>
      </c>
      <c r="I82" s="537">
        <f t="shared" si="2"/>
        <v>0</v>
      </c>
      <c r="J82" s="521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  <c r="AD82" s="164"/>
      <c r="AE82" s="164"/>
      <c r="AF82" s="164"/>
      <c r="AG82" s="164"/>
      <c r="AH82" s="164"/>
      <c r="AI82" s="164"/>
      <c r="AJ82" s="164"/>
      <c r="AK82" s="164"/>
      <c r="AL82" s="164"/>
      <c r="AM82" s="164"/>
      <c r="AN82" s="164"/>
      <c r="AO82" s="164"/>
      <c r="AP82" s="164"/>
      <c r="AQ82" s="164"/>
      <c r="AR82" s="164"/>
      <c r="AS82" s="164"/>
      <c r="AT82" s="164"/>
      <c r="AU82" s="164"/>
      <c r="AV82" s="164"/>
      <c r="AW82" s="164"/>
      <c r="AX82" s="164"/>
      <c r="AY82" s="164"/>
      <c r="AZ82" s="164"/>
      <c r="BA82" s="164"/>
      <c r="BB82" s="164"/>
      <c r="BC82" s="164"/>
      <c r="BD82" s="164"/>
      <c r="BE82" s="164"/>
      <c r="BF82" s="164"/>
      <c r="BG82" s="164"/>
      <c r="BH82" s="164"/>
      <c r="BI82" s="164"/>
      <c r="BJ82" s="164"/>
      <c r="BK82" s="164"/>
      <c r="BL82" s="164"/>
      <c r="BM82" s="164"/>
      <c r="BN82" s="164"/>
      <c r="BO82" s="164"/>
      <c r="BP82" s="164"/>
      <c r="BQ82" s="164"/>
      <c r="BR82" s="164"/>
      <c r="BS82" s="164"/>
      <c r="BT82" s="164"/>
      <c r="BU82" s="164"/>
      <c r="BV82" s="164"/>
      <c r="BW82" s="164"/>
      <c r="BX82" s="164"/>
      <c r="BY82" s="164"/>
      <c r="BZ82" s="164"/>
      <c r="CA82" s="164"/>
      <c r="CB82" s="164"/>
      <c r="CC82" s="164"/>
      <c r="CD82" s="164"/>
      <c r="CE82" s="164"/>
      <c r="CF82" s="164"/>
      <c r="CG82" s="164"/>
      <c r="CH82" s="164"/>
      <c r="CI82" s="164"/>
      <c r="CJ82" s="164"/>
      <c r="CK82" s="164"/>
      <c r="CL82" s="164"/>
      <c r="CM82" s="164"/>
      <c r="CN82" s="164"/>
      <c r="CO82" s="164"/>
      <c r="CP82" s="164"/>
      <c r="CQ82" s="164"/>
    </row>
    <row r="83" spans="1:95" s="522" customFormat="1" ht="43.2" customHeight="1">
      <c r="A83" s="520">
        <f t="shared" si="3"/>
        <v>25</v>
      </c>
      <c r="B83" s="547" t="s">
        <v>770</v>
      </c>
      <c r="C83" s="771" t="s">
        <v>787</v>
      </c>
      <c r="D83" s="771"/>
      <c r="E83" s="771"/>
      <c r="F83" s="391" t="s">
        <v>736</v>
      </c>
      <c r="G83" s="532">
        <v>0</v>
      </c>
      <c r="H83" s="534">
        <v>0</v>
      </c>
      <c r="I83" s="537">
        <f t="shared" si="2"/>
        <v>0</v>
      </c>
      <c r="J83" s="521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  <c r="AA83" s="164"/>
      <c r="AB83" s="164"/>
      <c r="AC83" s="164"/>
      <c r="AD83" s="164"/>
      <c r="AE83" s="164"/>
      <c r="AF83" s="164"/>
      <c r="AG83" s="164"/>
      <c r="AH83" s="164"/>
      <c r="AI83" s="164"/>
      <c r="AJ83" s="164"/>
      <c r="AK83" s="164"/>
      <c r="AL83" s="164"/>
      <c r="AM83" s="164"/>
      <c r="AN83" s="164"/>
      <c r="AO83" s="164"/>
      <c r="AP83" s="164"/>
      <c r="AQ83" s="164"/>
      <c r="AR83" s="164"/>
      <c r="AS83" s="164"/>
      <c r="AT83" s="164"/>
      <c r="AU83" s="164"/>
      <c r="AV83" s="164"/>
      <c r="AW83" s="164"/>
      <c r="AX83" s="164"/>
      <c r="AY83" s="164"/>
      <c r="AZ83" s="164"/>
      <c r="BA83" s="164"/>
      <c r="BB83" s="164"/>
      <c r="BC83" s="164"/>
      <c r="BD83" s="164"/>
      <c r="BE83" s="164"/>
      <c r="BF83" s="164"/>
      <c r="BG83" s="164"/>
      <c r="BH83" s="164"/>
      <c r="BI83" s="164"/>
      <c r="BJ83" s="164"/>
      <c r="BK83" s="164"/>
      <c r="BL83" s="164"/>
      <c r="BM83" s="164"/>
      <c r="BN83" s="164"/>
      <c r="BO83" s="164"/>
      <c r="BP83" s="164"/>
      <c r="BQ83" s="164"/>
      <c r="BR83" s="164"/>
      <c r="BS83" s="164"/>
      <c r="BT83" s="164"/>
      <c r="BU83" s="164"/>
      <c r="BV83" s="164"/>
      <c r="BW83" s="164"/>
      <c r="BX83" s="164"/>
      <c r="BY83" s="164"/>
      <c r="BZ83" s="164"/>
      <c r="CA83" s="164"/>
      <c r="CB83" s="164"/>
      <c r="CC83" s="164"/>
      <c r="CD83" s="164"/>
      <c r="CE83" s="164"/>
      <c r="CF83" s="164"/>
      <c r="CG83" s="164"/>
      <c r="CH83" s="164"/>
      <c r="CI83" s="164"/>
      <c r="CJ83" s="164"/>
      <c r="CK83" s="164"/>
      <c r="CL83" s="164"/>
      <c r="CM83" s="164"/>
      <c r="CN83" s="164"/>
      <c r="CO83" s="164"/>
      <c r="CP83" s="164"/>
      <c r="CQ83" s="164"/>
    </row>
    <row r="84" spans="1:95" s="522" customFormat="1" ht="33.6" customHeight="1">
      <c r="A84" s="520">
        <f t="shared" si="3"/>
        <v>26</v>
      </c>
      <c r="B84" s="547" t="s">
        <v>770</v>
      </c>
      <c r="C84" s="771" t="s">
        <v>751</v>
      </c>
      <c r="D84" s="771"/>
      <c r="E84" s="771"/>
      <c r="F84" s="391" t="s">
        <v>735</v>
      </c>
      <c r="G84" s="532">
        <v>489</v>
      </c>
      <c r="H84" s="534">
        <v>489</v>
      </c>
      <c r="I84" s="537">
        <f t="shared" si="2"/>
        <v>0</v>
      </c>
      <c r="J84" s="529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  <c r="AA84" s="164"/>
      <c r="AB84" s="164"/>
      <c r="AC84" s="164"/>
      <c r="AD84" s="164"/>
      <c r="AE84" s="164"/>
      <c r="AF84" s="164"/>
      <c r="AG84" s="164"/>
      <c r="AH84" s="164"/>
      <c r="AI84" s="164"/>
      <c r="AJ84" s="164"/>
      <c r="AK84" s="164"/>
      <c r="AL84" s="164"/>
      <c r="AM84" s="164"/>
      <c r="AN84" s="164"/>
      <c r="AO84" s="164"/>
      <c r="AP84" s="164"/>
      <c r="AQ84" s="164"/>
      <c r="AR84" s="164"/>
      <c r="AS84" s="164"/>
      <c r="AT84" s="164"/>
      <c r="AU84" s="164"/>
      <c r="AV84" s="164"/>
      <c r="AW84" s="164"/>
      <c r="AX84" s="164"/>
      <c r="AY84" s="164"/>
      <c r="AZ84" s="164"/>
      <c r="BA84" s="164"/>
      <c r="BB84" s="164"/>
      <c r="BC84" s="164"/>
      <c r="BD84" s="164"/>
      <c r="BE84" s="164"/>
      <c r="BF84" s="164"/>
      <c r="BG84" s="164"/>
      <c r="BH84" s="164"/>
      <c r="BI84" s="164"/>
      <c r="BJ84" s="164"/>
      <c r="BK84" s="164"/>
      <c r="BL84" s="164"/>
      <c r="BM84" s="164"/>
      <c r="BN84" s="164"/>
      <c r="BO84" s="164"/>
      <c r="BP84" s="164"/>
      <c r="BQ84" s="164"/>
      <c r="BR84" s="164"/>
      <c r="BS84" s="164"/>
      <c r="BT84" s="164"/>
      <c r="BU84" s="164"/>
      <c r="BV84" s="164"/>
      <c r="BW84" s="164"/>
      <c r="BX84" s="164"/>
      <c r="BY84" s="164"/>
      <c r="BZ84" s="164"/>
      <c r="CA84" s="164"/>
      <c r="CB84" s="164"/>
      <c r="CC84" s="164"/>
      <c r="CD84" s="164"/>
      <c r="CE84" s="164"/>
      <c r="CF84" s="164"/>
      <c r="CG84" s="164"/>
      <c r="CH84" s="164"/>
      <c r="CI84" s="164"/>
      <c r="CJ84" s="164"/>
      <c r="CK84" s="164"/>
      <c r="CL84" s="164"/>
      <c r="CM84" s="164"/>
      <c r="CN84" s="164"/>
      <c r="CO84" s="164"/>
      <c r="CP84" s="164"/>
      <c r="CQ84" s="164"/>
    </row>
    <row r="85" spans="1:95" s="522" customFormat="1" ht="33.6" customHeight="1">
      <c r="A85" s="520">
        <f t="shared" si="3"/>
        <v>27</v>
      </c>
      <c r="B85" s="547" t="s">
        <v>770</v>
      </c>
      <c r="C85" s="771" t="s">
        <v>752</v>
      </c>
      <c r="D85" s="771"/>
      <c r="E85" s="771"/>
      <c r="F85" s="391" t="s">
        <v>735</v>
      </c>
      <c r="G85" s="532">
        <v>457</v>
      </c>
      <c r="H85" s="534">
        <v>457</v>
      </c>
      <c r="I85" s="537">
        <f t="shared" si="2"/>
        <v>0</v>
      </c>
      <c r="J85" s="529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  <c r="AA85" s="164"/>
      <c r="AB85" s="164"/>
      <c r="AC85" s="164"/>
      <c r="AD85" s="164"/>
      <c r="AE85" s="164"/>
      <c r="AF85" s="164"/>
      <c r="AG85" s="164"/>
      <c r="AH85" s="164"/>
      <c r="AI85" s="164"/>
      <c r="AJ85" s="164"/>
      <c r="AK85" s="164"/>
      <c r="AL85" s="164"/>
      <c r="AM85" s="164"/>
      <c r="AN85" s="164"/>
      <c r="AO85" s="164"/>
      <c r="AP85" s="164"/>
      <c r="AQ85" s="164"/>
      <c r="AR85" s="164"/>
      <c r="AS85" s="164"/>
      <c r="AT85" s="164"/>
      <c r="AU85" s="164"/>
      <c r="AV85" s="164"/>
      <c r="AW85" s="164"/>
      <c r="AX85" s="164"/>
      <c r="AY85" s="164"/>
      <c r="AZ85" s="164"/>
      <c r="BA85" s="164"/>
      <c r="BB85" s="164"/>
      <c r="BC85" s="164"/>
      <c r="BD85" s="164"/>
      <c r="BE85" s="164"/>
      <c r="BF85" s="164"/>
      <c r="BG85" s="164"/>
      <c r="BH85" s="164"/>
      <c r="BI85" s="164"/>
      <c r="BJ85" s="164"/>
      <c r="BK85" s="164"/>
      <c r="BL85" s="164"/>
      <c r="BM85" s="164"/>
      <c r="BN85" s="164"/>
      <c r="BO85" s="164"/>
      <c r="BP85" s="164"/>
      <c r="BQ85" s="164"/>
      <c r="BR85" s="164"/>
      <c r="BS85" s="164"/>
      <c r="BT85" s="164"/>
      <c r="BU85" s="164"/>
      <c r="BV85" s="164"/>
      <c r="BW85" s="164"/>
      <c r="BX85" s="164"/>
      <c r="BY85" s="164"/>
      <c r="BZ85" s="164"/>
      <c r="CA85" s="164"/>
      <c r="CB85" s="164"/>
      <c r="CC85" s="164"/>
      <c r="CD85" s="164"/>
      <c r="CE85" s="164"/>
      <c r="CF85" s="164"/>
      <c r="CG85" s="164"/>
      <c r="CH85" s="164"/>
      <c r="CI85" s="164"/>
      <c r="CJ85" s="164"/>
      <c r="CK85" s="164"/>
      <c r="CL85" s="164"/>
      <c r="CM85" s="164"/>
      <c r="CN85" s="164"/>
      <c r="CO85" s="164"/>
      <c r="CP85" s="164"/>
      <c r="CQ85" s="164"/>
    </row>
    <row r="86" spans="1:95" s="522" customFormat="1" ht="33.6" customHeight="1">
      <c r="A86" s="520">
        <f t="shared" si="3"/>
        <v>28</v>
      </c>
      <c r="B86" s="547" t="s">
        <v>770</v>
      </c>
      <c r="C86" s="771" t="s">
        <v>753</v>
      </c>
      <c r="D86" s="771"/>
      <c r="E86" s="771"/>
      <c r="F86" s="391" t="s">
        <v>735</v>
      </c>
      <c r="G86" s="532">
        <v>13</v>
      </c>
      <c r="H86" s="534">
        <v>13</v>
      </c>
      <c r="I86" s="537">
        <f t="shared" si="2"/>
        <v>0</v>
      </c>
      <c r="J86" s="521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  <c r="AA86" s="164"/>
      <c r="AB86" s="164"/>
      <c r="AC86" s="164"/>
      <c r="AD86" s="164"/>
      <c r="AE86" s="164"/>
      <c r="AF86" s="164"/>
      <c r="AG86" s="164"/>
      <c r="AH86" s="164"/>
      <c r="AI86" s="164"/>
      <c r="AJ86" s="164"/>
      <c r="AK86" s="164"/>
      <c r="AL86" s="164"/>
      <c r="AM86" s="164"/>
      <c r="AN86" s="164"/>
      <c r="AO86" s="164"/>
      <c r="AP86" s="164"/>
      <c r="AQ86" s="164"/>
      <c r="AR86" s="164"/>
      <c r="AS86" s="164"/>
      <c r="AT86" s="164"/>
      <c r="AU86" s="164"/>
      <c r="AV86" s="164"/>
      <c r="AW86" s="164"/>
      <c r="AX86" s="164"/>
      <c r="AY86" s="164"/>
      <c r="AZ86" s="164"/>
      <c r="BA86" s="164"/>
      <c r="BB86" s="164"/>
      <c r="BC86" s="164"/>
      <c r="BD86" s="164"/>
      <c r="BE86" s="164"/>
      <c r="BF86" s="164"/>
      <c r="BG86" s="164"/>
      <c r="BH86" s="164"/>
      <c r="BI86" s="164"/>
      <c r="BJ86" s="164"/>
      <c r="BK86" s="164"/>
      <c r="BL86" s="164"/>
      <c r="BM86" s="164"/>
      <c r="BN86" s="164"/>
      <c r="BO86" s="164"/>
      <c r="BP86" s="164"/>
      <c r="BQ86" s="164"/>
      <c r="BR86" s="164"/>
      <c r="BS86" s="164"/>
      <c r="BT86" s="164"/>
      <c r="BU86" s="164"/>
      <c r="BV86" s="164"/>
      <c r="BW86" s="164"/>
      <c r="BX86" s="164"/>
      <c r="BY86" s="164"/>
      <c r="BZ86" s="164"/>
      <c r="CA86" s="164"/>
      <c r="CB86" s="164"/>
      <c r="CC86" s="164"/>
      <c r="CD86" s="164"/>
      <c r="CE86" s="164"/>
      <c r="CF86" s="164"/>
      <c r="CG86" s="164"/>
      <c r="CH86" s="164"/>
      <c r="CI86" s="164"/>
      <c r="CJ86" s="164"/>
      <c r="CK86" s="164"/>
      <c r="CL86" s="164"/>
      <c r="CM86" s="164"/>
      <c r="CN86" s="164"/>
      <c r="CO86" s="164"/>
      <c r="CP86" s="164"/>
      <c r="CQ86" s="164"/>
    </row>
    <row r="87" spans="1:95" s="522" customFormat="1" ht="33.6" customHeight="1">
      <c r="A87" s="520">
        <f t="shared" si="3"/>
        <v>29</v>
      </c>
      <c r="B87" s="547" t="s">
        <v>771</v>
      </c>
      <c r="C87" s="771" t="s">
        <v>786</v>
      </c>
      <c r="D87" s="771"/>
      <c r="E87" s="771"/>
      <c r="F87" s="391" t="s">
        <v>735</v>
      </c>
      <c r="G87" s="532">
        <v>0</v>
      </c>
      <c r="H87" s="534">
        <v>0</v>
      </c>
      <c r="I87" s="537">
        <f t="shared" si="2"/>
        <v>0</v>
      </c>
      <c r="J87" s="521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  <c r="AA87" s="164"/>
      <c r="AB87" s="164"/>
      <c r="AC87" s="164"/>
      <c r="AD87" s="164"/>
      <c r="AE87" s="164"/>
      <c r="AF87" s="164"/>
      <c r="AG87" s="164"/>
      <c r="AH87" s="164"/>
      <c r="AI87" s="164"/>
      <c r="AJ87" s="164"/>
      <c r="AK87" s="164"/>
      <c r="AL87" s="164"/>
      <c r="AM87" s="164"/>
      <c r="AN87" s="164"/>
      <c r="AO87" s="164"/>
      <c r="AP87" s="164"/>
      <c r="AQ87" s="164"/>
      <c r="AR87" s="164"/>
      <c r="AS87" s="164"/>
      <c r="AT87" s="164"/>
      <c r="AU87" s="164"/>
      <c r="AV87" s="164"/>
      <c r="AW87" s="164"/>
      <c r="AX87" s="164"/>
      <c r="AY87" s="164"/>
      <c r="AZ87" s="164"/>
      <c r="BA87" s="164"/>
      <c r="BB87" s="164"/>
      <c r="BC87" s="164"/>
      <c r="BD87" s="164"/>
      <c r="BE87" s="164"/>
      <c r="BF87" s="164"/>
      <c r="BG87" s="164"/>
      <c r="BH87" s="164"/>
      <c r="BI87" s="164"/>
      <c r="BJ87" s="164"/>
      <c r="BK87" s="164"/>
      <c r="BL87" s="164"/>
      <c r="BM87" s="164"/>
      <c r="BN87" s="164"/>
      <c r="BO87" s="164"/>
      <c r="BP87" s="164"/>
      <c r="BQ87" s="164"/>
      <c r="BR87" s="164"/>
      <c r="BS87" s="164"/>
      <c r="BT87" s="164"/>
      <c r="BU87" s="164"/>
      <c r="BV87" s="164"/>
      <c r="BW87" s="164"/>
      <c r="BX87" s="164"/>
      <c r="BY87" s="164"/>
      <c r="BZ87" s="164"/>
      <c r="CA87" s="164"/>
      <c r="CB87" s="164"/>
      <c r="CC87" s="164"/>
      <c r="CD87" s="164"/>
      <c r="CE87" s="164"/>
      <c r="CF87" s="164"/>
      <c r="CG87" s="164"/>
      <c r="CH87" s="164"/>
      <c r="CI87" s="164"/>
      <c r="CJ87" s="164"/>
      <c r="CK87" s="164"/>
      <c r="CL87" s="164"/>
      <c r="CM87" s="164"/>
      <c r="CN87" s="164"/>
      <c r="CO87" s="164"/>
      <c r="CP87" s="164"/>
      <c r="CQ87" s="164"/>
    </row>
    <row r="88" spans="1:95" s="522" customFormat="1" ht="39.6" customHeight="1">
      <c r="A88" s="520">
        <f t="shared" si="3"/>
        <v>30</v>
      </c>
      <c r="B88" s="547" t="s">
        <v>771</v>
      </c>
      <c r="C88" s="771" t="s">
        <v>785</v>
      </c>
      <c r="D88" s="771"/>
      <c r="E88" s="771"/>
      <c r="F88" s="391" t="s">
        <v>735</v>
      </c>
      <c r="G88" s="532">
        <v>7</v>
      </c>
      <c r="H88" s="534">
        <v>0</v>
      </c>
      <c r="I88" s="537">
        <f t="shared" si="2"/>
        <v>7</v>
      </c>
      <c r="J88" s="529" t="s">
        <v>878</v>
      </c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  <c r="AA88" s="164"/>
      <c r="AB88" s="164"/>
      <c r="AC88" s="164"/>
      <c r="AD88" s="164"/>
      <c r="AE88" s="164"/>
      <c r="AF88" s="164"/>
      <c r="AG88" s="164"/>
      <c r="AH88" s="164"/>
      <c r="AI88" s="164"/>
      <c r="AJ88" s="164"/>
      <c r="AK88" s="164"/>
      <c r="AL88" s="164"/>
      <c r="AM88" s="164"/>
      <c r="AN88" s="164"/>
      <c r="AO88" s="164"/>
      <c r="AP88" s="164"/>
      <c r="AQ88" s="164"/>
      <c r="AR88" s="164"/>
      <c r="AS88" s="164"/>
      <c r="AT88" s="164"/>
      <c r="AU88" s="164"/>
      <c r="AV88" s="164"/>
      <c r="AW88" s="164"/>
      <c r="AX88" s="164"/>
      <c r="AY88" s="164"/>
      <c r="AZ88" s="164"/>
      <c r="BA88" s="164"/>
      <c r="BB88" s="164"/>
      <c r="BC88" s="164"/>
      <c r="BD88" s="164"/>
      <c r="BE88" s="164"/>
      <c r="BF88" s="164"/>
      <c r="BG88" s="164"/>
      <c r="BH88" s="164"/>
      <c r="BI88" s="164"/>
      <c r="BJ88" s="164"/>
      <c r="BK88" s="164"/>
      <c r="BL88" s="164"/>
      <c r="BM88" s="164"/>
      <c r="BN88" s="164"/>
      <c r="BO88" s="164"/>
      <c r="BP88" s="164"/>
      <c r="BQ88" s="164"/>
      <c r="BR88" s="164"/>
      <c r="BS88" s="164"/>
      <c r="BT88" s="164"/>
      <c r="BU88" s="164"/>
      <c r="BV88" s="164"/>
      <c r="BW88" s="164"/>
      <c r="BX88" s="164"/>
      <c r="BY88" s="164"/>
      <c r="BZ88" s="164"/>
      <c r="CA88" s="164"/>
      <c r="CB88" s="164"/>
      <c r="CC88" s="164"/>
      <c r="CD88" s="164"/>
      <c r="CE88" s="164"/>
      <c r="CF88" s="164"/>
      <c r="CG88" s="164"/>
      <c r="CH88" s="164"/>
      <c r="CI88" s="164"/>
      <c r="CJ88" s="164"/>
      <c r="CK88" s="164"/>
      <c r="CL88" s="164"/>
      <c r="CM88" s="164"/>
      <c r="CN88" s="164"/>
      <c r="CO88" s="164"/>
      <c r="CP88" s="164"/>
      <c r="CQ88" s="164"/>
    </row>
    <row r="89" spans="1:95" s="522" customFormat="1" ht="33.6" customHeight="1">
      <c r="A89" s="520">
        <f t="shared" si="3"/>
        <v>31</v>
      </c>
      <c r="B89" s="547" t="s">
        <v>772</v>
      </c>
      <c r="C89" s="771" t="s">
        <v>754</v>
      </c>
      <c r="D89" s="771"/>
      <c r="E89" s="771"/>
      <c r="F89" s="391" t="s">
        <v>735</v>
      </c>
      <c r="G89" s="532">
        <v>127</v>
      </c>
      <c r="H89" s="534">
        <v>127</v>
      </c>
      <c r="I89" s="537">
        <f t="shared" si="2"/>
        <v>0</v>
      </c>
      <c r="J89" s="521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  <c r="AA89" s="164"/>
      <c r="AB89" s="164"/>
      <c r="AC89" s="164"/>
      <c r="AD89" s="164"/>
      <c r="AE89" s="164"/>
      <c r="AF89" s="164"/>
      <c r="AG89" s="164"/>
      <c r="AH89" s="164"/>
      <c r="AI89" s="164"/>
      <c r="AJ89" s="164"/>
      <c r="AK89" s="164"/>
      <c r="AL89" s="164"/>
      <c r="AM89" s="164"/>
      <c r="AN89" s="164"/>
      <c r="AO89" s="164"/>
      <c r="AP89" s="164"/>
      <c r="AQ89" s="164"/>
      <c r="AR89" s="164"/>
      <c r="AS89" s="164"/>
      <c r="AT89" s="164"/>
      <c r="AU89" s="164"/>
      <c r="AV89" s="164"/>
      <c r="AW89" s="164"/>
      <c r="AX89" s="164"/>
      <c r="AY89" s="164"/>
      <c r="AZ89" s="164"/>
      <c r="BA89" s="164"/>
      <c r="BB89" s="164"/>
      <c r="BC89" s="164"/>
      <c r="BD89" s="164"/>
      <c r="BE89" s="164"/>
      <c r="BF89" s="164"/>
      <c r="BG89" s="164"/>
      <c r="BH89" s="164"/>
      <c r="BI89" s="164"/>
      <c r="BJ89" s="164"/>
      <c r="BK89" s="164"/>
      <c r="BL89" s="164"/>
      <c r="BM89" s="164"/>
      <c r="BN89" s="164"/>
      <c r="BO89" s="164"/>
      <c r="BP89" s="164"/>
      <c r="BQ89" s="164"/>
      <c r="BR89" s="164"/>
      <c r="BS89" s="164"/>
      <c r="BT89" s="164"/>
      <c r="BU89" s="164"/>
      <c r="BV89" s="164"/>
      <c r="BW89" s="164"/>
      <c r="BX89" s="164"/>
      <c r="BY89" s="164"/>
      <c r="BZ89" s="164"/>
      <c r="CA89" s="164"/>
      <c r="CB89" s="164"/>
      <c r="CC89" s="164"/>
      <c r="CD89" s="164"/>
      <c r="CE89" s="164"/>
      <c r="CF89" s="164"/>
      <c r="CG89" s="164"/>
      <c r="CH89" s="164"/>
      <c r="CI89" s="164"/>
      <c r="CJ89" s="164"/>
      <c r="CK89" s="164"/>
      <c r="CL89" s="164"/>
      <c r="CM89" s="164"/>
      <c r="CN89" s="164"/>
      <c r="CO89" s="164"/>
      <c r="CP89" s="164"/>
      <c r="CQ89" s="164"/>
    </row>
    <row r="90" spans="1:95" s="522" customFormat="1" ht="33.6" customHeight="1">
      <c r="A90" s="520">
        <f t="shared" si="3"/>
        <v>32</v>
      </c>
      <c r="B90" s="547" t="s">
        <v>772</v>
      </c>
      <c r="C90" s="771" t="s">
        <v>755</v>
      </c>
      <c r="D90" s="771"/>
      <c r="E90" s="771"/>
      <c r="F90" s="391" t="s">
        <v>735</v>
      </c>
      <c r="G90" s="532">
        <v>127</v>
      </c>
      <c r="H90" s="534">
        <v>127</v>
      </c>
      <c r="I90" s="537">
        <f t="shared" si="2"/>
        <v>0</v>
      </c>
      <c r="J90" s="521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  <c r="AA90" s="164"/>
      <c r="AB90" s="164"/>
      <c r="AC90" s="164"/>
      <c r="AD90" s="164"/>
      <c r="AE90" s="164"/>
      <c r="AF90" s="164"/>
      <c r="AG90" s="164"/>
      <c r="AH90" s="164"/>
      <c r="AI90" s="164"/>
      <c r="AJ90" s="164"/>
      <c r="AK90" s="164"/>
      <c r="AL90" s="164"/>
      <c r="AM90" s="164"/>
      <c r="AN90" s="164"/>
      <c r="AO90" s="164"/>
      <c r="AP90" s="164"/>
      <c r="AQ90" s="164"/>
      <c r="AR90" s="164"/>
      <c r="AS90" s="164"/>
      <c r="AT90" s="164"/>
      <c r="AU90" s="164"/>
      <c r="AV90" s="164"/>
      <c r="AW90" s="164"/>
      <c r="AX90" s="164"/>
      <c r="AY90" s="164"/>
      <c r="AZ90" s="164"/>
      <c r="BA90" s="164"/>
      <c r="BB90" s="164"/>
      <c r="BC90" s="164"/>
      <c r="BD90" s="164"/>
      <c r="BE90" s="164"/>
      <c r="BF90" s="164"/>
      <c r="BG90" s="164"/>
      <c r="BH90" s="164"/>
      <c r="BI90" s="164"/>
      <c r="BJ90" s="164"/>
      <c r="BK90" s="164"/>
      <c r="BL90" s="164"/>
      <c r="BM90" s="164"/>
      <c r="BN90" s="164"/>
      <c r="BO90" s="164"/>
      <c r="BP90" s="164"/>
      <c r="BQ90" s="164"/>
      <c r="BR90" s="164"/>
      <c r="BS90" s="164"/>
      <c r="BT90" s="164"/>
      <c r="BU90" s="164"/>
      <c r="BV90" s="164"/>
      <c r="BW90" s="164"/>
      <c r="BX90" s="164"/>
      <c r="BY90" s="164"/>
      <c r="BZ90" s="164"/>
      <c r="CA90" s="164"/>
      <c r="CB90" s="164"/>
      <c r="CC90" s="164"/>
      <c r="CD90" s="164"/>
      <c r="CE90" s="164"/>
      <c r="CF90" s="164"/>
      <c r="CG90" s="164"/>
      <c r="CH90" s="164"/>
      <c r="CI90" s="164"/>
      <c r="CJ90" s="164"/>
      <c r="CK90" s="164"/>
      <c r="CL90" s="164"/>
      <c r="CM90" s="164"/>
      <c r="CN90" s="164"/>
      <c r="CO90" s="164"/>
      <c r="CP90" s="164"/>
      <c r="CQ90" s="164"/>
    </row>
    <row r="91" spans="1:95" s="522" customFormat="1" ht="33.6" customHeight="1">
      <c r="A91" s="520">
        <f t="shared" si="3"/>
        <v>33</v>
      </c>
      <c r="B91" s="547" t="s">
        <v>772</v>
      </c>
      <c r="C91" s="771" t="s">
        <v>756</v>
      </c>
      <c r="D91" s="771"/>
      <c r="E91" s="771"/>
      <c r="F91" s="391" t="s">
        <v>736</v>
      </c>
      <c r="G91" s="532">
        <v>254</v>
      </c>
      <c r="H91" s="534">
        <v>254</v>
      </c>
      <c r="I91" s="537">
        <f t="shared" si="2"/>
        <v>0</v>
      </c>
      <c r="J91" s="521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  <c r="AA91" s="164"/>
      <c r="AB91" s="164"/>
      <c r="AC91" s="164"/>
      <c r="AD91" s="164"/>
      <c r="AE91" s="164"/>
      <c r="AF91" s="164"/>
      <c r="AG91" s="164"/>
      <c r="AH91" s="164"/>
      <c r="AI91" s="164"/>
      <c r="AJ91" s="164"/>
      <c r="AK91" s="164"/>
      <c r="AL91" s="164"/>
      <c r="AM91" s="164"/>
      <c r="AN91" s="164"/>
      <c r="AO91" s="164"/>
      <c r="AP91" s="164"/>
      <c r="AQ91" s="164"/>
      <c r="AR91" s="164"/>
      <c r="AS91" s="164"/>
      <c r="AT91" s="164"/>
      <c r="AU91" s="164"/>
      <c r="AV91" s="164"/>
      <c r="AW91" s="164"/>
      <c r="AX91" s="164"/>
      <c r="AY91" s="164"/>
      <c r="AZ91" s="164"/>
      <c r="BA91" s="164"/>
      <c r="BB91" s="164"/>
      <c r="BC91" s="164"/>
      <c r="BD91" s="164"/>
      <c r="BE91" s="164"/>
      <c r="BF91" s="164"/>
      <c r="BG91" s="164"/>
      <c r="BH91" s="164"/>
      <c r="BI91" s="164"/>
      <c r="BJ91" s="164"/>
      <c r="BK91" s="164"/>
      <c r="BL91" s="164"/>
      <c r="BM91" s="164"/>
      <c r="BN91" s="164"/>
      <c r="BO91" s="164"/>
      <c r="BP91" s="164"/>
      <c r="BQ91" s="164"/>
      <c r="BR91" s="164"/>
      <c r="BS91" s="164"/>
      <c r="BT91" s="164"/>
      <c r="BU91" s="164"/>
      <c r="BV91" s="164"/>
      <c r="BW91" s="164"/>
      <c r="BX91" s="164"/>
      <c r="BY91" s="164"/>
      <c r="BZ91" s="164"/>
      <c r="CA91" s="164"/>
      <c r="CB91" s="164"/>
      <c r="CC91" s="164"/>
      <c r="CD91" s="164"/>
      <c r="CE91" s="164"/>
      <c r="CF91" s="164"/>
      <c r="CG91" s="164"/>
      <c r="CH91" s="164"/>
      <c r="CI91" s="164"/>
      <c r="CJ91" s="164"/>
      <c r="CK91" s="164"/>
      <c r="CL91" s="164"/>
      <c r="CM91" s="164"/>
      <c r="CN91" s="164"/>
      <c r="CO91" s="164"/>
      <c r="CP91" s="164"/>
      <c r="CQ91" s="164"/>
    </row>
    <row r="92" spans="1:95" s="522" customFormat="1" ht="33.6" customHeight="1">
      <c r="A92" s="520">
        <f t="shared" si="3"/>
        <v>34</v>
      </c>
      <c r="B92" s="547" t="s">
        <v>772</v>
      </c>
      <c r="C92" s="771" t="s">
        <v>757</v>
      </c>
      <c r="D92" s="771"/>
      <c r="E92" s="771"/>
      <c r="F92" s="391" t="s">
        <v>736</v>
      </c>
      <c r="G92" s="532">
        <v>127</v>
      </c>
      <c r="H92" s="534">
        <v>127</v>
      </c>
      <c r="I92" s="537">
        <f t="shared" si="2"/>
        <v>0</v>
      </c>
      <c r="J92" s="521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  <c r="AA92" s="164"/>
      <c r="AB92" s="164"/>
      <c r="AC92" s="164"/>
      <c r="AD92" s="164"/>
      <c r="AE92" s="164"/>
      <c r="AF92" s="164"/>
      <c r="AG92" s="164"/>
      <c r="AH92" s="164"/>
      <c r="AI92" s="164"/>
      <c r="AJ92" s="164"/>
      <c r="AK92" s="164"/>
      <c r="AL92" s="164"/>
      <c r="AM92" s="164"/>
      <c r="AN92" s="164"/>
      <c r="AO92" s="164"/>
      <c r="AP92" s="164"/>
      <c r="AQ92" s="164"/>
      <c r="AR92" s="164"/>
      <c r="AS92" s="164"/>
      <c r="AT92" s="164"/>
      <c r="AU92" s="164"/>
      <c r="AV92" s="164"/>
      <c r="AW92" s="164"/>
      <c r="AX92" s="164"/>
      <c r="AY92" s="164"/>
      <c r="AZ92" s="164"/>
      <c r="BA92" s="164"/>
      <c r="BB92" s="164"/>
      <c r="BC92" s="164"/>
      <c r="BD92" s="164"/>
      <c r="BE92" s="164"/>
      <c r="BF92" s="164"/>
      <c r="BG92" s="164"/>
      <c r="BH92" s="164"/>
      <c r="BI92" s="164"/>
      <c r="BJ92" s="164"/>
      <c r="BK92" s="164"/>
      <c r="BL92" s="164"/>
      <c r="BM92" s="164"/>
      <c r="BN92" s="164"/>
      <c r="BO92" s="164"/>
      <c r="BP92" s="164"/>
      <c r="BQ92" s="164"/>
      <c r="BR92" s="164"/>
      <c r="BS92" s="164"/>
      <c r="BT92" s="164"/>
      <c r="BU92" s="164"/>
      <c r="BV92" s="164"/>
      <c r="BW92" s="164"/>
      <c r="BX92" s="164"/>
      <c r="BY92" s="164"/>
      <c r="BZ92" s="164"/>
      <c r="CA92" s="164"/>
      <c r="CB92" s="164"/>
      <c r="CC92" s="164"/>
      <c r="CD92" s="164"/>
      <c r="CE92" s="164"/>
      <c r="CF92" s="164"/>
      <c r="CG92" s="164"/>
      <c r="CH92" s="164"/>
      <c r="CI92" s="164"/>
      <c r="CJ92" s="164"/>
      <c r="CK92" s="164"/>
      <c r="CL92" s="164"/>
      <c r="CM92" s="164"/>
      <c r="CN92" s="164"/>
      <c r="CO92" s="164"/>
      <c r="CP92" s="164"/>
      <c r="CQ92" s="164"/>
    </row>
    <row r="93" spans="1:95" s="522" customFormat="1" ht="33.6" customHeight="1">
      <c r="A93" s="520">
        <f t="shared" si="3"/>
        <v>35</v>
      </c>
      <c r="B93" s="547" t="s">
        <v>772</v>
      </c>
      <c r="C93" s="771" t="s">
        <v>758</v>
      </c>
      <c r="D93" s="771"/>
      <c r="E93" s="771"/>
      <c r="F93" s="391" t="s">
        <v>736</v>
      </c>
      <c r="G93" s="532">
        <v>127</v>
      </c>
      <c r="H93" s="534">
        <v>127</v>
      </c>
      <c r="I93" s="537">
        <f t="shared" si="2"/>
        <v>0</v>
      </c>
      <c r="J93" s="521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64"/>
      <c r="AA93" s="164"/>
      <c r="AB93" s="164"/>
      <c r="AC93" s="164"/>
      <c r="AD93" s="164"/>
      <c r="AE93" s="164"/>
      <c r="AF93" s="164"/>
      <c r="AG93" s="164"/>
      <c r="AH93" s="164"/>
      <c r="AI93" s="164"/>
      <c r="AJ93" s="164"/>
      <c r="AK93" s="164"/>
      <c r="AL93" s="164"/>
      <c r="AM93" s="164"/>
      <c r="AN93" s="164"/>
      <c r="AO93" s="164"/>
      <c r="AP93" s="164"/>
      <c r="AQ93" s="164"/>
      <c r="AR93" s="164"/>
      <c r="AS93" s="164"/>
      <c r="AT93" s="164"/>
      <c r="AU93" s="164"/>
      <c r="AV93" s="164"/>
      <c r="AW93" s="164"/>
      <c r="AX93" s="164"/>
      <c r="AY93" s="164"/>
      <c r="AZ93" s="164"/>
      <c r="BA93" s="164"/>
      <c r="BB93" s="164"/>
      <c r="BC93" s="164"/>
      <c r="BD93" s="164"/>
      <c r="BE93" s="164"/>
      <c r="BF93" s="164"/>
      <c r="BG93" s="164"/>
      <c r="BH93" s="164"/>
      <c r="BI93" s="164"/>
      <c r="BJ93" s="164"/>
      <c r="BK93" s="164"/>
      <c r="BL93" s="164"/>
      <c r="BM93" s="164"/>
      <c r="BN93" s="164"/>
      <c r="BO93" s="164"/>
      <c r="BP93" s="164"/>
      <c r="BQ93" s="164"/>
      <c r="BR93" s="164"/>
      <c r="BS93" s="164"/>
      <c r="BT93" s="164"/>
      <c r="BU93" s="164"/>
      <c r="BV93" s="164"/>
      <c r="BW93" s="164"/>
      <c r="BX93" s="164"/>
      <c r="BY93" s="164"/>
      <c r="BZ93" s="164"/>
      <c r="CA93" s="164"/>
      <c r="CB93" s="164"/>
      <c r="CC93" s="164"/>
      <c r="CD93" s="164"/>
      <c r="CE93" s="164"/>
      <c r="CF93" s="164"/>
      <c r="CG93" s="164"/>
      <c r="CH93" s="164"/>
      <c r="CI93" s="164"/>
      <c r="CJ93" s="164"/>
      <c r="CK93" s="164"/>
      <c r="CL93" s="164"/>
      <c r="CM93" s="164"/>
      <c r="CN93" s="164"/>
      <c r="CO93" s="164"/>
      <c r="CP93" s="164"/>
      <c r="CQ93" s="164"/>
    </row>
    <row r="94" spans="1:95" s="522" customFormat="1" ht="33.6" customHeight="1" thickBot="1">
      <c r="A94" s="524">
        <f t="shared" ref="A94" si="4">A93+1</f>
        <v>36</v>
      </c>
      <c r="B94" s="548" t="s">
        <v>772</v>
      </c>
      <c r="C94" s="772" t="s">
        <v>759</v>
      </c>
      <c r="D94" s="772"/>
      <c r="E94" s="772"/>
      <c r="F94" s="518" t="s">
        <v>736</v>
      </c>
      <c r="G94" s="535">
        <v>176</v>
      </c>
      <c r="H94" s="536">
        <v>176</v>
      </c>
      <c r="I94" s="540">
        <f t="shared" si="2"/>
        <v>0</v>
      </c>
      <c r="J94" s="525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64"/>
      <c r="AA94" s="164"/>
      <c r="AB94" s="164"/>
      <c r="AC94" s="164"/>
      <c r="AD94" s="164"/>
      <c r="AE94" s="164"/>
      <c r="AF94" s="164"/>
      <c r="AG94" s="164"/>
      <c r="AH94" s="164"/>
      <c r="AI94" s="164"/>
      <c r="AJ94" s="164"/>
      <c r="AK94" s="164"/>
      <c r="AL94" s="164"/>
      <c r="AM94" s="164"/>
      <c r="AN94" s="164"/>
      <c r="AO94" s="164"/>
      <c r="AP94" s="164"/>
      <c r="AQ94" s="164"/>
      <c r="AR94" s="164"/>
      <c r="AS94" s="164"/>
      <c r="AT94" s="164"/>
      <c r="AU94" s="164"/>
      <c r="AV94" s="164"/>
      <c r="AW94" s="164"/>
      <c r="AX94" s="164"/>
      <c r="AY94" s="164"/>
      <c r="AZ94" s="164"/>
      <c r="BA94" s="164"/>
      <c r="BB94" s="164"/>
      <c r="BC94" s="164"/>
      <c r="BD94" s="164"/>
      <c r="BE94" s="164"/>
      <c r="BF94" s="164"/>
      <c r="BG94" s="164"/>
      <c r="BH94" s="164"/>
      <c r="BI94" s="164"/>
      <c r="BJ94" s="164"/>
      <c r="BK94" s="164"/>
      <c r="BL94" s="164"/>
      <c r="BM94" s="164"/>
      <c r="BN94" s="164"/>
      <c r="BO94" s="164"/>
      <c r="BP94" s="164"/>
      <c r="BQ94" s="164"/>
      <c r="BR94" s="164"/>
      <c r="BS94" s="164"/>
      <c r="BT94" s="164"/>
      <c r="BU94" s="164"/>
      <c r="BV94" s="164"/>
      <c r="BW94" s="164"/>
      <c r="BX94" s="164"/>
      <c r="BY94" s="164"/>
      <c r="BZ94" s="164"/>
      <c r="CA94" s="164"/>
      <c r="CB94" s="164"/>
      <c r="CC94" s="164"/>
      <c r="CD94" s="164"/>
      <c r="CE94" s="164"/>
      <c r="CF94" s="164"/>
      <c r="CG94" s="164"/>
      <c r="CH94" s="164"/>
      <c r="CI94" s="164"/>
      <c r="CJ94" s="164"/>
      <c r="CK94" s="164"/>
      <c r="CL94" s="164"/>
      <c r="CM94" s="164"/>
      <c r="CN94" s="164"/>
      <c r="CO94" s="164"/>
      <c r="CP94" s="164"/>
      <c r="CQ94" s="164"/>
    </row>
    <row r="95" spans="1:95" s="522" customFormat="1">
      <c r="B95" s="526"/>
      <c r="C95" s="527"/>
      <c r="D95" s="528"/>
      <c r="E95" s="528"/>
      <c r="F95" s="528"/>
      <c r="G95" s="528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64"/>
      <c r="AA95" s="164"/>
      <c r="AB95" s="164"/>
      <c r="AC95" s="164"/>
      <c r="AD95" s="164"/>
      <c r="AE95" s="164"/>
      <c r="AF95" s="164"/>
      <c r="AG95" s="164"/>
      <c r="AH95" s="164"/>
      <c r="AI95" s="164"/>
      <c r="AJ95" s="164"/>
      <c r="AK95" s="164"/>
      <c r="AL95" s="164"/>
      <c r="AM95" s="164"/>
      <c r="AN95" s="164"/>
      <c r="AO95" s="164"/>
      <c r="AP95" s="164"/>
      <c r="AQ95" s="164"/>
      <c r="AR95" s="164"/>
      <c r="AS95" s="164"/>
      <c r="AT95" s="164"/>
      <c r="AU95" s="164"/>
      <c r="AV95" s="164"/>
      <c r="AW95" s="164"/>
      <c r="AX95" s="164"/>
      <c r="AY95" s="164"/>
      <c r="AZ95" s="164"/>
      <c r="BA95" s="164"/>
      <c r="BB95" s="164"/>
      <c r="BC95" s="164"/>
      <c r="BD95" s="164"/>
      <c r="BE95" s="164"/>
      <c r="BF95" s="164"/>
      <c r="BG95" s="164"/>
      <c r="BH95" s="164"/>
      <c r="BI95" s="164"/>
      <c r="BJ95" s="164"/>
      <c r="BK95" s="164"/>
      <c r="BL95" s="164"/>
      <c r="BM95" s="164"/>
      <c r="BN95" s="164"/>
      <c r="BO95" s="164"/>
      <c r="BP95" s="164"/>
      <c r="BQ95" s="164"/>
      <c r="BR95" s="164"/>
      <c r="BS95" s="164"/>
      <c r="BT95" s="164"/>
      <c r="BU95" s="164"/>
      <c r="BV95" s="164"/>
      <c r="BW95" s="164"/>
      <c r="BX95" s="164"/>
      <c r="BY95" s="164"/>
      <c r="BZ95" s="164"/>
      <c r="CA95" s="164"/>
      <c r="CB95" s="164"/>
      <c r="CC95" s="164"/>
      <c r="CD95" s="164"/>
      <c r="CE95" s="164"/>
      <c r="CF95" s="164"/>
      <c r="CG95" s="164"/>
      <c r="CH95" s="164"/>
      <c r="CI95" s="164"/>
      <c r="CJ95" s="164"/>
      <c r="CK95" s="164"/>
      <c r="CL95" s="164"/>
      <c r="CM95" s="164"/>
      <c r="CN95" s="164"/>
      <c r="CO95" s="164"/>
      <c r="CP95" s="164"/>
      <c r="CQ95" s="164"/>
    </row>
  </sheetData>
  <mergeCells count="88">
    <mergeCell ref="A29:I29"/>
    <mergeCell ref="D32:E32"/>
    <mergeCell ref="F32:G32"/>
    <mergeCell ref="H32:I32"/>
    <mergeCell ref="F30:G30"/>
    <mergeCell ref="H31:I31"/>
    <mergeCell ref="H30:I30"/>
    <mergeCell ref="D31:E31"/>
    <mergeCell ref="F31:G31"/>
    <mergeCell ref="D30:E30"/>
    <mergeCell ref="C58:E58"/>
    <mergeCell ref="B55:J55"/>
    <mergeCell ref="A46:H46"/>
    <mergeCell ref="B47:J54"/>
    <mergeCell ref="J36:K36"/>
    <mergeCell ref="J37:K37"/>
    <mergeCell ref="D37:E37"/>
    <mergeCell ref="F37:G37"/>
    <mergeCell ref="H37:I37"/>
    <mergeCell ref="F33:G33"/>
    <mergeCell ref="D33:E33"/>
    <mergeCell ref="D36:E36"/>
    <mergeCell ref="F36:G36"/>
    <mergeCell ref="H36:I36"/>
    <mergeCell ref="H33:I33"/>
    <mergeCell ref="A35:K35"/>
    <mergeCell ref="C59:E59"/>
    <mergeCell ref="B42:J42"/>
    <mergeCell ref="F38:G38"/>
    <mergeCell ref="H38:I38"/>
    <mergeCell ref="J38:K38"/>
    <mergeCell ref="B41:G41"/>
    <mergeCell ref="D38:E38"/>
    <mergeCell ref="A57:J57"/>
    <mergeCell ref="B43:J43"/>
    <mergeCell ref="B44:J44"/>
    <mergeCell ref="A25:I25"/>
    <mergeCell ref="D26:E26"/>
    <mergeCell ref="F26:G26"/>
    <mergeCell ref="H26:I26"/>
    <mergeCell ref="D27:E27"/>
    <mergeCell ref="F27:G27"/>
    <mergeCell ref="H27:I27"/>
    <mergeCell ref="C64:E64"/>
    <mergeCell ref="C63:E63"/>
    <mergeCell ref="C62:E62"/>
    <mergeCell ref="C61:E61"/>
    <mergeCell ref="C60:E60"/>
    <mergeCell ref="C89:E89"/>
    <mergeCell ref="C94:E94"/>
    <mergeCell ref="C93:E93"/>
    <mergeCell ref="C92:E92"/>
    <mergeCell ref="C91:E91"/>
    <mergeCell ref="C90:E90"/>
    <mergeCell ref="C85:E85"/>
    <mergeCell ref="C84:E84"/>
    <mergeCell ref="C88:E88"/>
    <mergeCell ref="C87:E87"/>
    <mergeCell ref="C86:E86"/>
    <mergeCell ref="C83:E83"/>
    <mergeCell ref="C82:E82"/>
    <mergeCell ref="C72:E72"/>
    <mergeCell ref="C71:E71"/>
    <mergeCell ref="C70:E70"/>
    <mergeCell ref="C78:E78"/>
    <mergeCell ref="C77:E77"/>
    <mergeCell ref="C81:E81"/>
    <mergeCell ref="C80:E80"/>
    <mergeCell ref="C79:E79"/>
    <mergeCell ref="C67:E67"/>
    <mergeCell ref="C66:E66"/>
    <mergeCell ref="C65:E65"/>
    <mergeCell ref="C76:E76"/>
    <mergeCell ref="C75:E75"/>
    <mergeCell ref="C74:E74"/>
    <mergeCell ref="C73:E73"/>
    <mergeCell ref="C69:E69"/>
    <mergeCell ref="C68:E68"/>
    <mergeCell ref="A1:A4"/>
    <mergeCell ref="C2:E2"/>
    <mergeCell ref="C3:E3"/>
    <mergeCell ref="C4:E4"/>
    <mergeCell ref="A18:O18"/>
    <mergeCell ref="A7:L7"/>
    <mergeCell ref="M14:N14"/>
    <mergeCell ref="A13:N13"/>
    <mergeCell ref="M15:N15"/>
    <mergeCell ref="M16:N16"/>
  </mergeCells>
  <phoneticPr fontId="93" type="noConversion"/>
  <conditionalFormatting sqref="D39:D40 C9:K10 D56 D95:D167">
    <cfRule type="cellIs" dxfId="58" priority="6" stopIfTrue="1" operator="greaterThan">
      <formula>600</formula>
    </cfRule>
  </conditionalFormatting>
  <conditionalFormatting sqref="D12">
    <cfRule type="cellIs" dxfId="57" priority="7" stopIfTrue="1" operator="greaterThan">
      <formula>600</formula>
    </cfRule>
  </conditionalFormatting>
  <conditionalFormatting sqref="D15:D17">
    <cfRule type="cellIs" dxfId="56" priority="3" stopIfTrue="1" operator="greaterThan">
      <formula>600</formula>
    </cfRule>
  </conditionalFormatting>
  <conditionalFormatting sqref="D28">
    <cfRule type="cellIs" dxfId="55" priority="9" stopIfTrue="1" operator="greaterThan">
      <formula>600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6"/>
  <sheetViews>
    <sheetView view="pageBreakPreview" topLeftCell="A250" zoomScale="70" zoomScaleNormal="70" zoomScaleSheetLayoutView="70" workbookViewId="0">
      <selection activeCell="A252" sqref="A252:XFD256"/>
    </sheetView>
  </sheetViews>
  <sheetFormatPr defaultColWidth="9.21875" defaultRowHeight="14.4"/>
  <cols>
    <col min="1" max="1" width="17.44140625" customWidth="1"/>
    <col min="2" max="2" width="12.109375" customWidth="1"/>
    <col min="3" max="3" width="16.88671875" bestFit="1" customWidth="1"/>
    <col min="4" max="4" width="16.6640625" customWidth="1"/>
    <col min="5" max="5" width="15.77734375" style="2" customWidth="1"/>
    <col min="6" max="6" width="13.77734375" customWidth="1"/>
    <col min="7" max="7" width="13.5546875" customWidth="1"/>
    <col min="8" max="8" width="14" customWidth="1"/>
    <col min="9" max="9" width="14.88671875" customWidth="1"/>
    <col min="10" max="10" width="20.33203125" customWidth="1"/>
    <col min="11" max="11" width="30.88671875" customWidth="1"/>
    <col min="12" max="12" width="42.6640625" customWidth="1"/>
    <col min="13" max="13" width="35.21875" customWidth="1"/>
    <col min="14" max="14" width="19" customWidth="1"/>
    <col min="15" max="15" width="16.5546875" customWidth="1"/>
    <col min="16" max="16" width="24.109375" customWidth="1"/>
    <col min="257" max="257" width="17.44140625" customWidth="1"/>
    <col min="258" max="258" width="12.109375" customWidth="1"/>
    <col min="259" max="259" width="16.88671875" bestFit="1" customWidth="1"/>
    <col min="260" max="260" width="15.6640625" customWidth="1"/>
    <col min="261" max="261" width="13.5546875" customWidth="1"/>
    <col min="262" max="262" width="13.77734375" customWidth="1"/>
    <col min="263" max="263" width="11.5546875" customWidth="1"/>
    <col min="264" max="264" width="14" customWidth="1"/>
    <col min="265" max="265" width="14.88671875" customWidth="1"/>
    <col min="266" max="266" width="19" bestFit="1" customWidth="1"/>
    <col min="267" max="267" width="30.88671875" customWidth="1"/>
    <col min="268" max="268" width="42.6640625" customWidth="1"/>
    <col min="269" max="269" width="13" customWidth="1"/>
    <col min="270" max="270" width="11.44140625" customWidth="1"/>
    <col min="271" max="271" width="11.5546875" customWidth="1"/>
    <col min="272" max="272" width="24.6640625" customWidth="1"/>
    <col min="513" max="513" width="17.44140625" customWidth="1"/>
    <col min="514" max="514" width="12.109375" customWidth="1"/>
    <col min="515" max="515" width="16.88671875" bestFit="1" customWidth="1"/>
    <col min="516" max="516" width="15.6640625" customWidth="1"/>
    <col min="517" max="517" width="13.5546875" customWidth="1"/>
    <col min="518" max="518" width="13.77734375" customWidth="1"/>
    <col min="519" max="519" width="11.5546875" customWidth="1"/>
    <col min="520" max="520" width="14" customWidth="1"/>
    <col min="521" max="521" width="14.88671875" customWidth="1"/>
    <col min="522" max="522" width="19" bestFit="1" customWidth="1"/>
    <col min="523" max="523" width="30.88671875" customWidth="1"/>
    <col min="524" max="524" width="42.6640625" customWidth="1"/>
    <col min="525" max="525" width="13" customWidth="1"/>
    <col min="526" max="526" width="11.44140625" customWidth="1"/>
    <col min="527" max="527" width="11.5546875" customWidth="1"/>
    <col min="528" max="528" width="24.6640625" customWidth="1"/>
    <col min="769" max="769" width="17.44140625" customWidth="1"/>
    <col min="770" max="770" width="12.109375" customWidth="1"/>
    <col min="771" max="771" width="16.88671875" bestFit="1" customWidth="1"/>
    <col min="772" max="772" width="15.6640625" customWidth="1"/>
    <col min="773" max="773" width="13.5546875" customWidth="1"/>
    <col min="774" max="774" width="13.77734375" customWidth="1"/>
    <col min="775" max="775" width="11.5546875" customWidth="1"/>
    <col min="776" max="776" width="14" customWidth="1"/>
    <col min="777" max="777" width="14.88671875" customWidth="1"/>
    <col min="778" max="778" width="19" bestFit="1" customWidth="1"/>
    <col min="779" max="779" width="30.88671875" customWidth="1"/>
    <col min="780" max="780" width="42.6640625" customWidth="1"/>
    <col min="781" max="781" width="13" customWidth="1"/>
    <col min="782" max="782" width="11.44140625" customWidth="1"/>
    <col min="783" max="783" width="11.5546875" customWidth="1"/>
    <col min="784" max="784" width="24.6640625" customWidth="1"/>
    <col min="1025" max="1025" width="17.44140625" customWidth="1"/>
    <col min="1026" max="1026" width="12.109375" customWidth="1"/>
    <col min="1027" max="1027" width="16.88671875" bestFit="1" customWidth="1"/>
    <col min="1028" max="1028" width="15.6640625" customWidth="1"/>
    <col min="1029" max="1029" width="13.5546875" customWidth="1"/>
    <col min="1030" max="1030" width="13.77734375" customWidth="1"/>
    <col min="1031" max="1031" width="11.5546875" customWidth="1"/>
    <col min="1032" max="1032" width="14" customWidth="1"/>
    <col min="1033" max="1033" width="14.88671875" customWidth="1"/>
    <col min="1034" max="1034" width="19" bestFit="1" customWidth="1"/>
    <col min="1035" max="1035" width="30.88671875" customWidth="1"/>
    <col min="1036" max="1036" width="42.6640625" customWidth="1"/>
    <col min="1037" max="1037" width="13" customWidth="1"/>
    <col min="1038" max="1038" width="11.44140625" customWidth="1"/>
    <col min="1039" max="1039" width="11.5546875" customWidth="1"/>
    <col min="1040" max="1040" width="24.6640625" customWidth="1"/>
    <col min="1281" max="1281" width="17.44140625" customWidth="1"/>
    <col min="1282" max="1282" width="12.109375" customWidth="1"/>
    <col min="1283" max="1283" width="16.88671875" bestFit="1" customWidth="1"/>
    <col min="1284" max="1284" width="15.6640625" customWidth="1"/>
    <col min="1285" max="1285" width="13.5546875" customWidth="1"/>
    <col min="1286" max="1286" width="13.77734375" customWidth="1"/>
    <col min="1287" max="1287" width="11.5546875" customWidth="1"/>
    <col min="1288" max="1288" width="14" customWidth="1"/>
    <col min="1289" max="1289" width="14.88671875" customWidth="1"/>
    <col min="1290" max="1290" width="19" bestFit="1" customWidth="1"/>
    <col min="1291" max="1291" width="30.88671875" customWidth="1"/>
    <col min="1292" max="1292" width="42.6640625" customWidth="1"/>
    <col min="1293" max="1293" width="13" customWidth="1"/>
    <col min="1294" max="1294" width="11.44140625" customWidth="1"/>
    <col min="1295" max="1295" width="11.5546875" customWidth="1"/>
    <col min="1296" max="1296" width="24.6640625" customWidth="1"/>
    <col min="1537" max="1537" width="17.44140625" customWidth="1"/>
    <col min="1538" max="1538" width="12.109375" customWidth="1"/>
    <col min="1539" max="1539" width="16.88671875" bestFit="1" customWidth="1"/>
    <col min="1540" max="1540" width="15.6640625" customWidth="1"/>
    <col min="1541" max="1541" width="13.5546875" customWidth="1"/>
    <col min="1542" max="1542" width="13.77734375" customWidth="1"/>
    <col min="1543" max="1543" width="11.5546875" customWidth="1"/>
    <col min="1544" max="1544" width="14" customWidth="1"/>
    <col min="1545" max="1545" width="14.88671875" customWidth="1"/>
    <col min="1546" max="1546" width="19" bestFit="1" customWidth="1"/>
    <col min="1547" max="1547" width="30.88671875" customWidth="1"/>
    <col min="1548" max="1548" width="42.6640625" customWidth="1"/>
    <col min="1549" max="1549" width="13" customWidth="1"/>
    <col min="1550" max="1550" width="11.44140625" customWidth="1"/>
    <col min="1551" max="1551" width="11.5546875" customWidth="1"/>
    <col min="1552" max="1552" width="24.6640625" customWidth="1"/>
    <col min="1793" max="1793" width="17.44140625" customWidth="1"/>
    <col min="1794" max="1794" width="12.109375" customWidth="1"/>
    <col min="1795" max="1795" width="16.88671875" bestFit="1" customWidth="1"/>
    <col min="1796" max="1796" width="15.6640625" customWidth="1"/>
    <col min="1797" max="1797" width="13.5546875" customWidth="1"/>
    <col min="1798" max="1798" width="13.77734375" customWidth="1"/>
    <col min="1799" max="1799" width="11.5546875" customWidth="1"/>
    <col min="1800" max="1800" width="14" customWidth="1"/>
    <col min="1801" max="1801" width="14.88671875" customWidth="1"/>
    <col min="1802" max="1802" width="19" bestFit="1" customWidth="1"/>
    <col min="1803" max="1803" width="30.88671875" customWidth="1"/>
    <col min="1804" max="1804" width="42.6640625" customWidth="1"/>
    <col min="1805" max="1805" width="13" customWidth="1"/>
    <col min="1806" max="1806" width="11.44140625" customWidth="1"/>
    <col min="1807" max="1807" width="11.5546875" customWidth="1"/>
    <col min="1808" max="1808" width="24.6640625" customWidth="1"/>
    <col min="2049" max="2049" width="17.44140625" customWidth="1"/>
    <col min="2050" max="2050" width="12.109375" customWidth="1"/>
    <col min="2051" max="2051" width="16.88671875" bestFit="1" customWidth="1"/>
    <col min="2052" max="2052" width="15.6640625" customWidth="1"/>
    <col min="2053" max="2053" width="13.5546875" customWidth="1"/>
    <col min="2054" max="2054" width="13.77734375" customWidth="1"/>
    <col min="2055" max="2055" width="11.5546875" customWidth="1"/>
    <col min="2056" max="2056" width="14" customWidth="1"/>
    <col min="2057" max="2057" width="14.88671875" customWidth="1"/>
    <col min="2058" max="2058" width="19" bestFit="1" customWidth="1"/>
    <col min="2059" max="2059" width="30.88671875" customWidth="1"/>
    <col min="2060" max="2060" width="42.6640625" customWidth="1"/>
    <col min="2061" max="2061" width="13" customWidth="1"/>
    <col min="2062" max="2062" width="11.44140625" customWidth="1"/>
    <col min="2063" max="2063" width="11.5546875" customWidth="1"/>
    <col min="2064" max="2064" width="24.6640625" customWidth="1"/>
    <col min="2305" max="2305" width="17.44140625" customWidth="1"/>
    <col min="2306" max="2306" width="12.109375" customWidth="1"/>
    <col min="2307" max="2307" width="16.88671875" bestFit="1" customWidth="1"/>
    <col min="2308" max="2308" width="15.6640625" customWidth="1"/>
    <col min="2309" max="2309" width="13.5546875" customWidth="1"/>
    <col min="2310" max="2310" width="13.77734375" customWidth="1"/>
    <col min="2311" max="2311" width="11.5546875" customWidth="1"/>
    <col min="2312" max="2312" width="14" customWidth="1"/>
    <col min="2313" max="2313" width="14.88671875" customWidth="1"/>
    <col min="2314" max="2314" width="19" bestFit="1" customWidth="1"/>
    <col min="2315" max="2315" width="30.88671875" customWidth="1"/>
    <col min="2316" max="2316" width="42.6640625" customWidth="1"/>
    <col min="2317" max="2317" width="13" customWidth="1"/>
    <col min="2318" max="2318" width="11.44140625" customWidth="1"/>
    <col min="2319" max="2319" width="11.5546875" customWidth="1"/>
    <col min="2320" max="2320" width="24.6640625" customWidth="1"/>
    <col min="2561" max="2561" width="17.44140625" customWidth="1"/>
    <col min="2562" max="2562" width="12.109375" customWidth="1"/>
    <col min="2563" max="2563" width="16.88671875" bestFit="1" customWidth="1"/>
    <col min="2564" max="2564" width="15.6640625" customWidth="1"/>
    <col min="2565" max="2565" width="13.5546875" customWidth="1"/>
    <col min="2566" max="2566" width="13.77734375" customWidth="1"/>
    <col min="2567" max="2567" width="11.5546875" customWidth="1"/>
    <col min="2568" max="2568" width="14" customWidth="1"/>
    <col min="2569" max="2569" width="14.88671875" customWidth="1"/>
    <col min="2570" max="2570" width="19" bestFit="1" customWidth="1"/>
    <col min="2571" max="2571" width="30.88671875" customWidth="1"/>
    <col min="2572" max="2572" width="42.6640625" customWidth="1"/>
    <col min="2573" max="2573" width="13" customWidth="1"/>
    <col min="2574" max="2574" width="11.44140625" customWidth="1"/>
    <col min="2575" max="2575" width="11.5546875" customWidth="1"/>
    <col min="2576" max="2576" width="24.6640625" customWidth="1"/>
    <col min="2817" max="2817" width="17.44140625" customWidth="1"/>
    <col min="2818" max="2818" width="12.109375" customWidth="1"/>
    <col min="2819" max="2819" width="16.88671875" bestFit="1" customWidth="1"/>
    <col min="2820" max="2820" width="15.6640625" customWidth="1"/>
    <col min="2821" max="2821" width="13.5546875" customWidth="1"/>
    <col min="2822" max="2822" width="13.77734375" customWidth="1"/>
    <col min="2823" max="2823" width="11.5546875" customWidth="1"/>
    <col min="2824" max="2824" width="14" customWidth="1"/>
    <col min="2825" max="2825" width="14.88671875" customWidth="1"/>
    <col min="2826" max="2826" width="19" bestFit="1" customWidth="1"/>
    <col min="2827" max="2827" width="30.88671875" customWidth="1"/>
    <col min="2828" max="2828" width="42.6640625" customWidth="1"/>
    <col min="2829" max="2829" width="13" customWidth="1"/>
    <col min="2830" max="2830" width="11.44140625" customWidth="1"/>
    <col min="2831" max="2831" width="11.5546875" customWidth="1"/>
    <col min="2832" max="2832" width="24.6640625" customWidth="1"/>
    <col min="3073" max="3073" width="17.44140625" customWidth="1"/>
    <col min="3074" max="3074" width="12.109375" customWidth="1"/>
    <col min="3075" max="3075" width="16.88671875" bestFit="1" customWidth="1"/>
    <col min="3076" max="3076" width="15.6640625" customWidth="1"/>
    <col min="3077" max="3077" width="13.5546875" customWidth="1"/>
    <col min="3078" max="3078" width="13.77734375" customWidth="1"/>
    <col min="3079" max="3079" width="11.5546875" customWidth="1"/>
    <col min="3080" max="3080" width="14" customWidth="1"/>
    <col min="3081" max="3081" width="14.88671875" customWidth="1"/>
    <col min="3082" max="3082" width="19" bestFit="1" customWidth="1"/>
    <col min="3083" max="3083" width="30.88671875" customWidth="1"/>
    <col min="3084" max="3084" width="42.6640625" customWidth="1"/>
    <col min="3085" max="3085" width="13" customWidth="1"/>
    <col min="3086" max="3086" width="11.44140625" customWidth="1"/>
    <col min="3087" max="3087" width="11.5546875" customWidth="1"/>
    <col min="3088" max="3088" width="24.6640625" customWidth="1"/>
    <col min="3329" max="3329" width="17.44140625" customWidth="1"/>
    <col min="3330" max="3330" width="12.109375" customWidth="1"/>
    <col min="3331" max="3331" width="16.88671875" bestFit="1" customWidth="1"/>
    <col min="3332" max="3332" width="15.6640625" customWidth="1"/>
    <col min="3333" max="3333" width="13.5546875" customWidth="1"/>
    <col min="3334" max="3334" width="13.77734375" customWidth="1"/>
    <col min="3335" max="3335" width="11.5546875" customWidth="1"/>
    <col min="3336" max="3336" width="14" customWidth="1"/>
    <col min="3337" max="3337" width="14.88671875" customWidth="1"/>
    <col min="3338" max="3338" width="19" bestFit="1" customWidth="1"/>
    <col min="3339" max="3339" width="30.88671875" customWidth="1"/>
    <col min="3340" max="3340" width="42.6640625" customWidth="1"/>
    <col min="3341" max="3341" width="13" customWidth="1"/>
    <col min="3342" max="3342" width="11.44140625" customWidth="1"/>
    <col min="3343" max="3343" width="11.5546875" customWidth="1"/>
    <col min="3344" max="3344" width="24.6640625" customWidth="1"/>
    <col min="3585" max="3585" width="17.44140625" customWidth="1"/>
    <col min="3586" max="3586" width="12.109375" customWidth="1"/>
    <col min="3587" max="3587" width="16.88671875" bestFit="1" customWidth="1"/>
    <col min="3588" max="3588" width="15.6640625" customWidth="1"/>
    <col min="3589" max="3589" width="13.5546875" customWidth="1"/>
    <col min="3590" max="3590" width="13.77734375" customWidth="1"/>
    <col min="3591" max="3591" width="11.5546875" customWidth="1"/>
    <col min="3592" max="3592" width="14" customWidth="1"/>
    <col min="3593" max="3593" width="14.88671875" customWidth="1"/>
    <col min="3594" max="3594" width="19" bestFit="1" customWidth="1"/>
    <col min="3595" max="3595" width="30.88671875" customWidth="1"/>
    <col min="3596" max="3596" width="42.6640625" customWidth="1"/>
    <col min="3597" max="3597" width="13" customWidth="1"/>
    <col min="3598" max="3598" width="11.44140625" customWidth="1"/>
    <col min="3599" max="3599" width="11.5546875" customWidth="1"/>
    <col min="3600" max="3600" width="24.6640625" customWidth="1"/>
    <col min="3841" max="3841" width="17.44140625" customWidth="1"/>
    <col min="3842" max="3842" width="12.109375" customWidth="1"/>
    <col min="3843" max="3843" width="16.88671875" bestFit="1" customWidth="1"/>
    <col min="3844" max="3844" width="15.6640625" customWidth="1"/>
    <col min="3845" max="3845" width="13.5546875" customWidth="1"/>
    <col min="3846" max="3846" width="13.77734375" customWidth="1"/>
    <col min="3847" max="3847" width="11.5546875" customWidth="1"/>
    <col min="3848" max="3848" width="14" customWidth="1"/>
    <col min="3849" max="3849" width="14.88671875" customWidth="1"/>
    <col min="3850" max="3850" width="19" bestFit="1" customWidth="1"/>
    <col min="3851" max="3851" width="30.88671875" customWidth="1"/>
    <col min="3852" max="3852" width="42.6640625" customWidth="1"/>
    <col min="3853" max="3853" width="13" customWidth="1"/>
    <col min="3854" max="3854" width="11.44140625" customWidth="1"/>
    <col min="3855" max="3855" width="11.5546875" customWidth="1"/>
    <col min="3856" max="3856" width="24.6640625" customWidth="1"/>
    <col min="4097" max="4097" width="17.44140625" customWidth="1"/>
    <col min="4098" max="4098" width="12.109375" customWidth="1"/>
    <col min="4099" max="4099" width="16.88671875" bestFit="1" customWidth="1"/>
    <col min="4100" max="4100" width="15.6640625" customWidth="1"/>
    <col min="4101" max="4101" width="13.5546875" customWidth="1"/>
    <col min="4102" max="4102" width="13.77734375" customWidth="1"/>
    <col min="4103" max="4103" width="11.5546875" customWidth="1"/>
    <col min="4104" max="4104" width="14" customWidth="1"/>
    <col min="4105" max="4105" width="14.88671875" customWidth="1"/>
    <col min="4106" max="4106" width="19" bestFit="1" customWidth="1"/>
    <col min="4107" max="4107" width="30.88671875" customWidth="1"/>
    <col min="4108" max="4108" width="42.6640625" customWidth="1"/>
    <col min="4109" max="4109" width="13" customWidth="1"/>
    <col min="4110" max="4110" width="11.44140625" customWidth="1"/>
    <col min="4111" max="4111" width="11.5546875" customWidth="1"/>
    <col min="4112" max="4112" width="24.6640625" customWidth="1"/>
    <col min="4353" max="4353" width="17.44140625" customWidth="1"/>
    <col min="4354" max="4354" width="12.109375" customWidth="1"/>
    <col min="4355" max="4355" width="16.88671875" bestFit="1" customWidth="1"/>
    <col min="4356" max="4356" width="15.6640625" customWidth="1"/>
    <col min="4357" max="4357" width="13.5546875" customWidth="1"/>
    <col min="4358" max="4358" width="13.77734375" customWidth="1"/>
    <col min="4359" max="4359" width="11.5546875" customWidth="1"/>
    <col min="4360" max="4360" width="14" customWidth="1"/>
    <col min="4361" max="4361" width="14.88671875" customWidth="1"/>
    <col min="4362" max="4362" width="19" bestFit="1" customWidth="1"/>
    <col min="4363" max="4363" width="30.88671875" customWidth="1"/>
    <col min="4364" max="4364" width="42.6640625" customWidth="1"/>
    <col min="4365" max="4365" width="13" customWidth="1"/>
    <col min="4366" max="4366" width="11.44140625" customWidth="1"/>
    <col min="4367" max="4367" width="11.5546875" customWidth="1"/>
    <col min="4368" max="4368" width="24.6640625" customWidth="1"/>
    <col min="4609" max="4609" width="17.44140625" customWidth="1"/>
    <col min="4610" max="4610" width="12.109375" customWidth="1"/>
    <col min="4611" max="4611" width="16.88671875" bestFit="1" customWidth="1"/>
    <col min="4612" max="4612" width="15.6640625" customWidth="1"/>
    <col min="4613" max="4613" width="13.5546875" customWidth="1"/>
    <col min="4614" max="4614" width="13.77734375" customWidth="1"/>
    <col min="4615" max="4615" width="11.5546875" customWidth="1"/>
    <col min="4616" max="4616" width="14" customWidth="1"/>
    <col min="4617" max="4617" width="14.88671875" customWidth="1"/>
    <col min="4618" max="4618" width="19" bestFit="1" customWidth="1"/>
    <col min="4619" max="4619" width="30.88671875" customWidth="1"/>
    <col min="4620" max="4620" width="42.6640625" customWidth="1"/>
    <col min="4621" max="4621" width="13" customWidth="1"/>
    <col min="4622" max="4622" width="11.44140625" customWidth="1"/>
    <col min="4623" max="4623" width="11.5546875" customWidth="1"/>
    <col min="4624" max="4624" width="24.6640625" customWidth="1"/>
    <col min="4865" max="4865" width="17.44140625" customWidth="1"/>
    <col min="4866" max="4866" width="12.109375" customWidth="1"/>
    <col min="4867" max="4867" width="16.88671875" bestFit="1" customWidth="1"/>
    <col min="4868" max="4868" width="15.6640625" customWidth="1"/>
    <col min="4869" max="4869" width="13.5546875" customWidth="1"/>
    <col min="4870" max="4870" width="13.77734375" customWidth="1"/>
    <col min="4871" max="4871" width="11.5546875" customWidth="1"/>
    <col min="4872" max="4872" width="14" customWidth="1"/>
    <col min="4873" max="4873" width="14.88671875" customWidth="1"/>
    <col min="4874" max="4874" width="19" bestFit="1" customWidth="1"/>
    <col min="4875" max="4875" width="30.88671875" customWidth="1"/>
    <col min="4876" max="4876" width="42.6640625" customWidth="1"/>
    <col min="4877" max="4877" width="13" customWidth="1"/>
    <col min="4878" max="4878" width="11.44140625" customWidth="1"/>
    <col min="4879" max="4879" width="11.5546875" customWidth="1"/>
    <col min="4880" max="4880" width="24.6640625" customWidth="1"/>
    <col min="5121" max="5121" width="17.44140625" customWidth="1"/>
    <col min="5122" max="5122" width="12.109375" customWidth="1"/>
    <col min="5123" max="5123" width="16.88671875" bestFit="1" customWidth="1"/>
    <col min="5124" max="5124" width="15.6640625" customWidth="1"/>
    <col min="5125" max="5125" width="13.5546875" customWidth="1"/>
    <col min="5126" max="5126" width="13.77734375" customWidth="1"/>
    <col min="5127" max="5127" width="11.5546875" customWidth="1"/>
    <col min="5128" max="5128" width="14" customWidth="1"/>
    <col min="5129" max="5129" width="14.88671875" customWidth="1"/>
    <col min="5130" max="5130" width="19" bestFit="1" customWidth="1"/>
    <col min="5131" max="5131" width="30.88671875" customWidth="1"/>
    <col min="5132" max="5132" width="42.6640625" customWidth="1"/>
    <col min="5133" max="5133" width="13" customWidth="1"/>
    <col min="5134" max="5134" width="11.44140625" customWidth="1"/>
    <col min="5135" max="5135" width="11.5546875" customWidth="1"/>
    <col min="5136" max="5136" width="24.6640625" customWidth="1"/>
    <col min="5377" max="5377" width="17.44140625" customWidth="1"/>
    <col min="5378" max="5378" width="12.109375" customWidth="1"/>
    <col min="5379" max="5379" width="16.88671875" bestFit="1" customWidth="1"/>
    <col min="5380" max="5380" width="15.6640625" customWidth="1"/>
    <col min="5381" max="5381" width="13.5546875" customWidth="1"/>
    <col min="5382" max="5382" width="13.77734375" customWidth="1"/>
    <col min="5383" max="5383" width="11.5546875" customWidth="1"/>
    <col min="5384" max="5384" width="14" customWidth="1"/>
    <col min="5385" max="5385" width="14.88671875" customWidth="1"/>
    <col min="5386" max="5386" width="19" bestFit="1" customWidth="1"/>
    <col min="5387" max="5387" width="30.88671875" customWidth="1"/>
    <col min="5388" max="5388" width="42.6640625" customWidth="1"/>
    <col min="5389" max="5389" width="13" customWidth="1"/>
    <col min="5390" max="5390" width="11.44140625" customWidth="1"/>
    <col min="5391" max="5391" width="11.5546875" customWidth="1"/>
    <col min="5392" max="5392" width="24.6640625" customWidth="1"/>
    <col min="5633" max="5633" width="17.44140625" customWidth="1"/>
    <col min="5634" max="5634" width="12.109375" customWidth="1"/>
    <col min="5635" max="5635" width="16.88671875" bestFit="1" customWidth="1"/>
    <col min="5636" max="5636" width="15.6640625" customWidth="1"/>
    <col min="5637" max="5637" width="13.5546875" customWidth="1"/>
    <col min="5638" max="5638" width="13.77734375" customWidth="1"/>
    <col min="5639" max="5639" width="11.5546875" customWidth="1"/>
    <col min="5640" max="5640" width="14" customWidth="1"/>
    <col min="5641" max="5641" width="14.88671875" customWidth="1"/>
    <col min="5642" max="5642" width="19" bestFit="1" customWidth="1"/>
    <col min="5643" max="5643" width="30.88671875" customWidth="1"/>
    <col min="5644" max="5644" width="42.6640625" customWidth="1"/>
    <col min="5645" max="5645" width="13" customWidth="1"/>
    <col min="5646" max="5646" width="11.44140625" customWidth="1"/>
    <col min="5647" max="5647" width="11.5546875" customWidth="1"/>
    <col min="5648" max="5648" width="24.6640625" customWidth="1"/>
    <col min="5889" max="5889" width="17.44140625" customWidth="1"/>
    <col min="5890" max="5890" width="12.109375" customWidth="1"/>
    <col min="5891" max="5891" width="16.88671875" bestFit="1" customWidth="1"/>
    <col min="5892" max="5892" width="15.6640625" customWidth="1"/>
    <col min="5893" max="5893" width="13.5546875" customWidth="1"/>
    <col min="5894" max="5894" width="13.77734375" customWidth="1"/>
    <col min="5895" max="5895" width="11.5546875" customWidth="1"/>
    <col min="5896" max="5896" width="14" customWidth="1"/>
    <col min="5897" max="5897" width="14.88671875" customWidth="1"/>
    <col min="5898" max="5898" width="19" bestFit="1" customWidth="1"/>
    <col min="5899" max="5899" width="30.88671875" customWidth="1"/>
    <col min="5900" max="5900" width="42.6640625" customWidth="1"/>
    <col min="5901" max="5901" width="13" customWidth="1"/>
    <col min="5902" max="5902" width="11.44140625" customWidth="1"/>
    <col min="5903" max="5903" width="11.5546875" customWidth="1"/>
    <col min="5904" max="5904" width="24.6640625" customWidth="1"/>
    <col min="6145" max="6145" width="17.44140625" customWidth="1"/>
    <col min="6146" max="6146" width="12.109375" customWidth="1"/>
    <col min="6147" max="6147" width="16.88671875" bestFit="1" customWidth="1"/>
    <col min="6148" max="6148" width="15.6640625" customWidth="1"/>
    <col min="6149" max="6149" width="13.5546875" customWidth="1"/>
    <col min="6150" max="6150" width="13.77734375" customWidth="1"/>
    <col min="6151" max="6151" width="11.5546875" customWidth="1"/>
    <col min="6152" max="6152" width="14" customWidth="1"/>
    <col min="6153" max="6153" width="14.88671875" customWidth="1"/>
    <col min="6154" max="6154" width="19" bestFit="1" customWidth="1"/>
    <col min="6155" max="6155" width="30.88671875" customWidth="1"/>
    <col min="6156" max="6156" width="42.6640625" customWidth="1"/>
    <col min="6157" max="6157" width="13" customWidth="1"/>
    <col min="6158" max="6158" width="11.44140625" customWidth="1"/>
    <col min="6159" max="6159" width="11.5546875" customWidth="1"/>
    <col min="6160" max="6160" width="24.6640625" customWidth="1"/>
    <col min="6401" max="6401" width="17.44140625" customWidth="1"/>
    <col min="6402" max="6402" width="12.109375" customWidth="1"/>
    <col min="6403" max="6403" width="16.88671875" bestFit="1" customWidth="1"/>
    <col min="6404" max="6404" width="15.6640625" customWidth="1"/>
    <col min="6405" max="6405" width="13.5546875" customWidth="1"/>
    <col min="6406" max="6406" width="13.77734375" customWidth="1"/>
    <col min="6407" max="6407" width="11.5546875" customWidth="1"/>
    <col min="6408" max="6408" width="14" customWidth="1"/>
    <col min="6409" max="6409" width="14.88671875" customWidth="1"/>
    <col min="6410" max="6410" width="19" bestFit="1" customWidth="1"/>
    <col min="6411" max="6411" width="30.88671875" customWidth="1"/>
    <col min="6412" max="6412" width="42.6640625" customWidth="1"/>
    <col min="6413" max="6413" width="13" customWidth="1"/>
    <col min="6414" max="6414" width="11.44140625" customWidth="1"/>
    <col min="6415" max="6415" width="11.5546875" customWidth="1"/>
    <col min="6416" max="6416" width="24.6640625" customWidth="1"/>
    <col min="6657" max="6657" width="17.44140625" customWidth="1"/>
    <col min="6658" max="6658" width="12.109375" customWidth="1"/>
    <col min="6659" max="6659" width="16.88671875" bestFit="1" customWidth="1"/>
    <col min="6660" max="6660" width="15.6640625" customWidth="1"/>
    <col min="6661" max="6661" width="13.5546875" customWidth="1"/>
    <col min="6662" max="6662" width="13.77734375" customWidth="1"/>
    <col min="6663" max="6663" width="11.5546875" customWidth="1"/>
    <col min="6664" max="6664" width="14" customWidth="1"/>
    <col min="6665" max="6665" width="14.88671875" customWidth="1"/>
    <col min="6666" max="6666" width="19" bestFit="1" customWidth="1"/>
    <col min="6667" max="6667" width="30.88671875" customWidth="1"/>
    <col min="6668" max="6668" width="42.6640625" customWidth="1"/>
    <col min="6669" max="6669" width="13" customWidth="1"/>
    <col min="6670" max="6670" width="11.44140625" customWidth="1"/>
    <col min="6671" max="6671" width="11.5546875" customWidth="1"/>
    <col min="6672" max="6672" width="24.6640625" customWidth="1"/>
    <col min="6913" max="6913" width="17.44140625" customWidth="1"/>
    <col min="6914" max="6914" width="12.109375" customWidth="1"/>
    <col min="6915" max="6915" width="16.88671875" bestFit="1" customWidth="1"/>
    <col min="6916" max="6916" width="15.6640625" customWidth="1"/>
    <col min="6917" max="6917" width="13.5546875" customWidth="1"/>
    <col min="6918" max="6918" width="13.77734375" customWidth="1"/>
    <col min="6919" max="6919" width="11.5546875" customWidth="1"/>
    <col min="6920" max="6920" width="14" customWidth="1"/>
    <col min="6921" max="6921" width="14.88671875" customWidth="1"/>
    <col min="6922" max="6922" width="19" bestFit="1" customWidth="1"/>
    <col min="6923" max="6923" width="30.88671875" customWidth="1"/>
    <col min="6924" max="6924" width="42.6640625" customWidth="1"/>
    <col min="6925" max="6925" width="13" customWidth="1"/>
    <col min="6926" max="6926" width="11.44140625" customWidth="1"/>
    <col min="6927" max="6927" width="11.5546875" customWidth="1"/>
    <col min="6928" max="6928" width="24.6640625" customWidth="1"/>
    <col min="7169" max="7169" width="17.44140625" customWidth="1"/>
    <col min="7170" max="7170" width="12.109375" customWidth="1"/>
    <col min="7171" max="7171" width="16.88671875" bestFit="1" customWidth="1"/>
    <col min="7172" max="7172" width="15.6640625" customWidth="1"/>
    <col min="7173" max="7173" width="13.5546875" customWidth="1"/>
    <col min="7174" max="7174" width="13.77734375" customWidth="1"/>
    <col min="7175" max="7175" width="11.5546875" customWidth="1"/>
    <col min="7176" max="7176" width="14" customWidth="1"/>
    <col min="7177" max="7177" width="14.88671875" customWidth="1"/>
    <col min="7178" max="7178" width="19" bestFit="1" customWidth="1"/>
    <col min="7179" max="7179" width="30.88671875" customWidth="1"/>
    <col min="7180" max="7180" width="42.6640625" customWidth="1"/>
    <col min="7181" max="7181" width="13" customWidth="1"/>
    <col min="7182" max="7182" width="11.44140625" customWidth="1"/>
    <col min="7183" max="7183" width="11.5546875" customWidth="1"/>
    <col min="7184" max="7184" width="24.6640625" customWidth="1"/>
    <col min="7425" max="7425" width="17.44140625" customWidth="1"/>
    <col min="7426" max="7426" width="12.109375" customWidth="1"/>
    <col min="7427" max="7427" width="16.88671875" bestFit="1" customWidth="1"/>
    <col min="7428" max="7428" width="15.6640625" customWidth="1"/>
    <col min="7429" max="7429" width="13.5546875" customWidth="1"/>
    <col min="7430" max="7430" width="13.77734375" customWidth="1"/>
    <col min="7431" max="7431" width="11.5546875" customWidth="1"/>
    <col min="7432" max="7432" width="14" customWidth="1"/>
    <col min="7433" max="7433" width="14.88671875" customWidth="1"/>
    <col min="7434" max="7434" width="19" bestFit="1" customWidth="1"/>
    <col min="7435" max="7435" width="30.88671875" customWidth="1"/>
    <col min="7436" max="7436" width="42.6640625" customWidth="1"/>
    <col min="7437" max="7437" width="13" customWidth="1"/>
    <col min="7438" max="7438" width="11.44140625" customWidth="1"/>
    <col min="7439" max="7439" width="11.5546875" customWidth="1"/>
    <col min="7440" max="7440" width="24.6640625" customWidth="1"/>
    <col min="7681" max="7681" width="17.44140625" customWidth="1"/>
    <col min="7682" max="7682" width="12.109375" customWidth="1"/>
    <col min="7683" max="7683" width="16.88671875" bestFit="1" customWidth="1"/>
    <col min="7684" max="7684" width="15.6640625" customWidth="1"/>
    <col min="7685" max="7685" width="13.5546875" customWidth="1"/>
    <col min="7686" max="7686" width="13.77734375" customWidth="1"/>
    <col min="7687" max="7687" width="11.5546875" customWidth="1"/>
    <col min="7688" max="7688" width="14" customWidth="1"/>
    <col min="7689" max="7689" width="14.88671875" customWidth="1"/>
    <col min="7690" max="7690" width="19" bestFit="1" customWidth="1"/>
    <col min="7691" max="7691" width="30.88671875" customWidth="1"/>
    <col min="7692" max="7692" width="42.6640625" customWidth="1"/>
    <col min="7693" max="7693" width="13" customWidth="1"/>
    <col min="7694" max="7694" width="11.44140625" customWidth="1"/>
    <col min="7695" max="7695" width="11.5546875" customWidth="1"/>
    <col min="7696" max="7696" width="24.6640625" customWidth="1"/>
    <col min="7937" max="7937" width="17.44140625" customWidth="1"/>
    <col min="7938" max="7938" width="12.109375" customWidth="1"/>
    <col min="7939" max="7939" width="16.88671875" bestFit="1" customWidth="1"/>
    <col min="7940" max="7940" width="15.6640625" customWidth="1"/>
    <col min="7941" max="7941" width="13.5546875" customWidth="1"/>
    <col min="7942" max="7942" width="13.77734375" customWidth="1"/>
    <col min="7943" max="7943" width="11.5546875" customWidth="1"/>
    <col min="7944" max="7944" width="14" customWidth="1"/>
    <col min="7945" max="7945" width="14.88671875" customWidth="1"/>
    <col min="7946" max="7946" width="19" bestFit="1" customWidth="1"/>
    <col min="7947" max="7947" width="30.88671875" customWidth="1"/>
    <col min="7948" max="7948" width="42.6640625" customWidth="1"/>
    <col min="7949" max="7949" width="13" customWidth="1"/>
    <col min="7950" max="7950" width="11.44140625" customWidth="1"/>
    <col min="7951" max="7951" width="11.5546875" customWidth="1"/>
    <col min="7952" max="7952" width="24.6640625" customWidth="1"/>
    <col min="8193" max="8193" width="17.44140625" customWidth="1"/>
    <col min="8194" max="8194" width="12.109375" customWidth="1"/>
    <col min="8195" max="8195" width="16.88671875" bestFit="1" customWidth="1"/>
    <col min="8196" max="8196" width="15.6640625" customWidth="1"/>
    <col min="8197" max="8197" width="13.5546875" customWidth="1"/>
    <col min="8198" max="8198" width="13.77734375" customWidth="1"/>
    <col min="8199" max="8199" width="11.5546875" customWidth="1"/>
    <col min="8200" max="8200" width="14" customWidth="1"/>
    <col min="8201" max="8201" width="14.88671875" customWidth="1"/>
    <col min="8202" max="8202" width="19" bestFit="1" customWidth="1"/>
    <col min="8203" max="8203" width="30.88671875" customWidth="1"/>
    <col min="8204" max="8204" width="42.6640625" customWidth="1"/>
    <col min="8205" max="8205" width="13" customWidth="1"/>
    <col min="8206" max="8206" width="11.44140625" customWidth="1"/>
    <col min="8207" max="8207" width="11.5546875" customWidth="1"/>
    <col min="8208" max="8208" width="24.6640625" customWidth="1"/>
    <col min="8449" max="8449" width="17.44140625" customWidth="1"/>
    <col min="8450" max="8450" width="12.109375" customWidth="1"/>
    <col min="8451" max="8451" width="16.88671875" bestFit="1" customWidth="1"/>
    <col min="8452" max="8452" width="15.6640625" customWidth="1"/>
    <col min="8453" max="8453" width="13.5546875" customWidth="1"/>
    <col min="8454" max="8454" width="13.77734375" customWidth="1"/>
    <col min="8455" max="8455" width="11.5546875" customWidth="1"/>
    <col min="8456" max="8456" width="14" customWidth="1"/>
    <col min="8457" max="8457" width="14.88671875" customWidth="1"/>
    <col min="8458" max="8458" width="19" bestFit="1" customWidth="1"/>
    <col min="8459" max="8459" width="30.88671875" customWidth="1"/>
    <col min="8460" max="8460" width="42.6640625" customWidth="1"/>
    <col min="8461" max="8461" width="13" customWidth="1"/>
    <col min="8462" max="8462" width="11.44140625" customWidth="1"/>
    <col min="8463" max="8463" width="11.5546875" customWidth="1"/>
    <col min="8464" max="8464" width="24.6640625" customWidth="1"/>
    <col min="8705" max="8705" width="17.44140625" customWidth="1"/>
    <col min="8706" max="8706" width="12.109375" customWidth="1"/>
    <col min="8707" max="8707" width="16.88671875" bestFit="1" customWidth="1"/>
    <col min="8708" max="8708" width="15.6640625" customWidth="1"/>
    <col min="8709" max="8709" width="13.5546875" customWidth="1"/>
    <col min="8710" max="8710" width="13.77734375" customWidth="1"/>
    <col min="8711" max="8711" width="11.5546875" customWidth="1"/>
    <col min="8712" max="8712" width="14" customWidth="1"/>
    <col min="8713" max="8713" width="14.88671875" customWidth="1"/>
    <col min="8714" max="8714" width="19" bestFit="1" customWidth="1"/>
    <col min="8715" max="8715" width="30.88671875" customWidth="1"/>
    <col min="8716" max="8716" width="42.6640625" customWidth="1"/>
    <col min="8717" max="8717" width="13" customWidth="1"/>
    <col min="8718" max="8718" width="11.44140625" customWidth="1"/>
    <col min="8719" max="8719" width="11.5546875" customWidth="1"/>
    <col min="8720" max="8720" width="24.6640625" customWidth="1"/>
    <col min="8961" max="8961" width="17.44140625" customWidth="1"/>
    <col min="8962" max="8962" width="12.109375" customWidth="1"/>
    <col min="8963" max="8963" width="16.88671875" bestFit="1" customWidth="1"/>
    <col min="8964" max="8964" width="15.6640625" customWidth="1"/>
    <col min="8965" max="8965" width="13.5546875" customWidth="1"/>
    <col min="8966" max="8966" width="13.77734375" customWidth="1"/>
    <col min="8967" max="8967" width="11.5546875" customWidth="1"/>
    <col min="8968" max="8968" width="14" customWidth="1"/>
    <col min="8969" max="8969" width="14.88671875" customWidth="1"/>
    <col min="8970" max="8970" width="19" bestFit="1" customWidth="1"/>
    <col min="8971" max="8971" width="30.88671875" customWidth="1"/>
    <col min="8972" max="8972" width="42.6640625" customWidth="1"/>
    <col min="8973" max="8973" width="13" customWidth="1"/>
    <col min="8974" max="8974" width="11.44140625" customWidth="1"/>
    <col min="8975" max="8975" width="11.5546875" customWidth="1"/>
    <col min="8976" max="8976" width="24.6640625" customWidth="1"/>
    <col min="9217" max="9217" width="17.44140625" customWidth="1"/>
    <col min="9218" max="9218" width="12.109375" customWidth="1"/>
    <col min="9219" max="9219" width="16.88671875" bestFit="1" customWidth="1"/>
    <col min="9220" max="9220" width="15.6640625" customWidth="1"/>
    <col min="9221" max="9221" width="13.5546875" customWidth="1"/>
    <col min="9222" max="9222" width="13.77734375" customWidth="1"/>
    <col min="9223" max="9223" width="11.5546875" customWidth="1"/>
    <col min="9224" max="9224" width="14" customWidth="1"/>
    <col min="9225" max="9225" width="14.88671875" customWidth="1"/>
    <col min="9226" max="9226" width="19" bestFit="1" customWidth="1"/>
    <col min="9227" max="9227" width="30.88671875" customWidth="1"/>
    <col min="9228" max="9228" width="42.6640625" customWidth="1"/>
    <col min="9229" max="9229" width="13" customWidth="1"/>
    <col min="9230" max="9230" width="11.44140625" customWidth="1"/>
    <col min="9231" max="9231" width="11.5546875" customWidth="1"/>
    <col min="9232" max="9232" width="24.6640625" customWidth="1"/>
    <col min="9473" max="9473" width="17.44140625" customWidth="1"/>
    <col min="9474" max="9474" width="12.109375" customWidth="1"/>
    <col min="9475" max="9475" width="16.88671875" bestFit="1" customWidth="1"/>
    <col min="9476" max="9476" width="15.6640625" customWidth="1"/>
    <col min="9477" max="9477" width="13.5546875" customWidth="1"/>
    <col min="9478" max="9478" width="13.77734375" customWidth="1"/>
    <col min="9479" max="9479" width="11.5546875" customWidth="1"/>
    <col min="9480" max="9480" width="14" customWidth="1"/>
    <col min="9481" max="9481" width="14.88671875" customWidth="1"/>
    <col min="9482" max="9482" width="19" bestFit="1" customWidth="1"/>
    <col min="9483" max="9483" width="30.88671875" customWidth="1"/>
    <col min="9484" max="9484" width="42.6640625" customWidth="1"/>
    <col min="9485" max="9485" width="13" customWidth="1"/>
    <col min="9486" max="9486" width="11.44140625" customWidth="1"/>
    <col min="9487" max="9487" width="11.5546875" customWidth="1"/>
    <col min="9488" max="9488" width="24.6640625" customWidth="1"/>
    <col min="9729" max="9729" width="17.44140625" customWidth="1"/>
    <col min="9730" max="9730" width="12.109375" customWidth="1"/>
    <col min="9731" max="9731" width="16.88671875" bestFit="1" customWidth="1"/>
    <col min="9732" max="9732" width="15.6640625" customWidth="1"/>
    <col min="9733" max="9733" width="13.5546875" customWidth="1"/>
    <col min="9734" max="9734" width="13.77734375" customWidth="1"/>
    <col min="9735" max="9735" width="11.5546875" customWidth="1"/>
    <col min="9736" max="9736" width="14" customWidth="1"/>
    <col min="9737" max="9737" width="14.88671875" customWidth="1"/>
    <col min="9738" max="9738" width="19" bestFit="1" customWidth="1"/>
    <col min="9739" max="9739" width="30.88671875" customWidth="1"/>
    <col min="9740" max="9740" width="42.6640625" customWidth="1"/>
    <col min="9741" max="9741" width="13" customWidth="1"/>
    <col min="9742" max="9742" width="11.44140625" customWidth="1"/>
    <col min="9743" max="9743" width="11.5546875" customWidth="1"/>
    <col min="9744" max="9744" width="24.6640625" customWidth="1"/>
    <col min="9985" max="9985" width="17.44140625" customWidth="1"/>
    <col min="9986" max="9986" width="12.109375" customWidth="1"/>
    <col min="9987" max="9987" width="16.88671875" bestFit="1" customWidth="1"/>
    <col min="9988" max="9988" width="15.6640625" customWidth="1"/>
    <col min="9989" max="9989" width="13.5546875" customWidth="1"/>
    <col min="9990" max="9990" width="13.77734375" customWidth="1"/>
    <col min="9991" max="9991" width="11.5546875" customWidth="1"/>
    <col min="9992" max="9992" width="14" customWidth="1"/>
    <col min="9993" max="9993" width="14.88671875" customWidth="1"/>
    <col min="9994" max="9994" width="19" bestFit="1" customWidth="1"/>
    <col min="9995" max="9995" width="30.88671875" customWidth="1"/>
    <col min="9996" max="9996" width="42.6640625" customWidth="1"/>
    <col min="9997" max="9997" width="13" customWidth="1"/>
    <col min="9998" max="9998" width="11.44140625" customWidth="1"/>
    <col min="9999" max="9999" width="11.5546875" customWidth="1"/>
    <col min="10000" max="10000" width="24.6640625" customWidth="1"/>
    <col min="10241" max="10241" width="17.44140625" customWidth="1"/>
    <col min="10242" max="10242" width="12.109375" customWidth="1"/>
    <col min="10243" max="10243" width="16.88671875" bestFit="1" customWidth="1"/>
    <col min="10244" max="10244" width="15.6640625" customWidth="1"/>
    <col min="10245" max="10245" width="13.5546875" customWidth="1"/>
    <col min="10246" max="10246" width="13.77734375" customWidth="1"/>
    <col min="10247" max="10247" width="11.5546875" customWidth="1"/>
    <col min="10248" max="10248" width="14" customWidth="1"/>
    <col min="10249" max="10249" width="14.88671875" customWidth="1"/>
    <col min="10250" max="10250" width="19" bestFit="1" customWidth="1"/>
    <col min="10251" max="10251" width="30.88671875" customWidth="1"/>
    <col min="10252" max="10252" width="42.6640625" customWidth="1"/>
    <col min="10253" max="10253" width="13" customWidth="1"/>
    <col min="10254" max="10254" width="11.44140625" customWidth="1"/>
    <col min="10255" max="10255" width="11.5546875" customWidth="1"/>
    <col min="10256" max="10256" width="24.6640625" customWidth="1"/>
    <col min="10497" max="10497" width="17.44140625" customWidth="1"/>
    <col min="10498" max="10498" width="12.109375" customWidth="1"/>
    <col min="10499" max="10499" width="16.88671875" bestFit="1" customWidth="1"/>
    <col min="10500" max="10500" width="15.6640625" customWidth="1"/>
    <col min="10501" max="10501" width="13.5546875" customWidth="1"/>
    <col min="10502" max="10502" width="13.77734375" customWidth="1"/>
    <col min="10503" max="10503" width="11.5546875" customWidth="1"/>
    <col min="10504" max="10504" width="14" customWidth="1"/>
    <col min="10505" max="10505" width="14.88671875" customWidth="1"/>
    <col min="10506" max="10506" width="19" bestFit="1" customWidth="1"/>
    <col min="10507" max="10507" width="30.88671875" customWidth="1"/>
    <col min="10508" max="10508" width="42.6640625" customWidth="1"/>
    <col min="10509" max="10509" width="13" customWidth="1"/>
    <col min="10510" max="10510" width="11.44140625" customWidth="1"/>
    <col min="10511" max="10511" width="11.5546875" customWidth="1"/>
    <col min="10512" max="10512" width="24.6640625" customWidth="1"/>
    <col min="10753" max="10753" width="17.44140625" customWidth="1"/>
    <col min="10754" max="10754" width="12.109375" customWidth="1"/>
    <col min="10755" max="10755" width="16.88671875" bestFit="1" customWidth="1"/>
    <col min="10756" max="10756" width="15.6640625" customWidth="1"/>
    <col min="10757" max="10757" width="13.5546875" customWidth="1"/>
    <col min="10758" max="10758" width="13.77734375" customWidth="1"/>
    <col min="10759" max="10759" width="11.5546875" customWidth="1"/>
    <col min="10760" max="10760" width="14" customWidth="1"/>
    <col min="10761" max="10761" width="14.88671875" customWidth="1"/>
    <col min="10762" max="10762" width="19" bestFit="1" customWidth="1"/>
    <col min="10763" max="10763" width="30.88671875" customWidth="1"/>
    <col min="10764" max="10764" width="42.6640625" customWidth="1"/>
    <col min="10765" max="10765" width="13" customWidth="1"/>
    <col min="10766" max="10766" width="11.44140625" customWidth="1"/>
    <col min="10767" max="10767" width="11.5546875" customWidth="1"/>
    <col min="10768" max="10768" width="24.6640625" customWidth="1"/>
    <col min="11009" max="11009" width="17.44140625" customWidth="1"/>
    <col min="11010" max="11010" width="12.109375" customWidth="1"/>
    <col min="11011" max="11011" width="16.88671875" bestFit="1" customWidth="1"/>
    <col min="11012" max="11012" width="15.6640625" customWidth="1"/>
    <col min="11013" max="11013" width="13.5546875" customWidth="1"/>
    <col min="11014" max="11014" width="13.77734375" customWidth="1"/>
    <col min="11015" max="11015" width="11.5546875" customWidth="1"/>
    <col min="11016" max="11016" width="14" customWidth="1"/>
    <col min="11017" max="11017" width="14.88671875" customWidth="1"/>
    <col min="11018" max="11018" width="19" bestFit="1" customWidth="1"/>
    <col min="11019" max="11019" width="30.88671875" customWidth="1"/>
    <col min="11020" max="11020" width="42.6640625" customWidth="1"/>
    <col min="11021" max="11021" width="13" customWidth="1"/>
    <col min="11022" max="11022" width="11.44140625" customWidth="1"/>
    <col min="11023" max="11023" width="11.5546875" customWidth="1"/>
    <col min="11024" max="11024" width="24.6640625" customWidth="1"/>
    <col min="11265" max="11265" width="17.44140625" customWidth="1"/>
    <col min="11266" max="11266" width="12.109375" customWidth="1"/>
    <col min="11267" max="11267" width="16.88671875" bestFit="1" customWidth="1"/>
    <col min="11268" max="11268" width="15.6640625" customWidth="1"/>
    <col min="11269" max="11269" width="13.5546875" customWidth="1"/>
    <col min="11270" max="11270" width="13.77734375" customWidth="1"/>
    <col min="11271" max="11271" width="11.5546875" customWidth="1"/>
    <col min="11272" max="11272" width="14" customWidth="1"/>
    <col min="11273" max="11273" width="14.88671875" customWidth="1"/>
    <col min="11274" max="11274" width="19" bestFit="1" customWidth="1"/>
    <col min="11275" max="11275" width="30.88671875" customWidth="1"/>
    <col min="11276" max="11276" width="42.6640625" customWidth="1"/>
    <col min="11277" max="11277" width="13" customWidth="1"/>
    <col min="11278" max="11278" width="11.44140625" customWidth="1"/>
    <col min="11279" max="11279" width="11.5546875" customWidth="1"/>
    <col min="11280" max="11280" width="24.6640625" customWidth="1"/>
    <col min="11521" max="11521" width="17.44140625" customWidth="1"/>
    <col min="11522" max="11522" width="12.109375" customWidth="1"/>
    <col min="11523" max="11523" width="16.88671875" bestFit="1" customWidth="1"/>
    <col min="11524" max="11524" width="15.6640625" customWidth="1"/>
    <col min="11525" max="11525" width="13.5546875" customWidth="1"/>
    <col min="11526" max="11526" width="13.77734375" customWidth="1"/>
    <col min="11527" max="11527" width="11.5546875" customWidth="1"/>
    <col min="11528" max="11528" width="14" customWidth="1"/>
    <col min="11529" max="11529" width="14.88671875" customWidth="1"/>
    <col min="11530" max="11530" width="19" bestFit="1" customWidth="1"/>
    <col min="11531" max="11531" width="30.88671875" customWidth="1"/>
    <col min="11532" max="11532" width="42.6640625" customWidth="1"/>
    <col min="11533" max="11533" width="13" customWidth="1"/>
    <col min="11534" max="11534" width="11.44140625" customWidth="1"/>
    <col min="11535" max="11535" width="11.5546875" customWidth="1"/>
    <col min="11536" max="11536" width="24.6640625" customWidth="1"/>
    <col min="11777" max="11777" width="17.44140625" customWidth="1"/>
    <col min="11778" max="11778" width="12.109375" customWidth="1"/>
    <col min="11779" max="11779" width="16.88671875" bestFit="1" customWidth="1"/>
    <col min="11780" max="11780" width="15.6640625" customWidth="1"/>
    <col min="11781" max="11781" width="13.5546875" customWidth="1"/>
    <col min="11782" max="11782" width="13.77734375" customWidth="1"/>
    <col min="11783" max="11783" width="11.5546875" customWidth="1"/>
    <col min="11784" max="11784" width="14" customWidth="1"/>
    <col min="11785" max="11785" width="14.88671875" customWidth="1"/>
    <col min="11786" max="11786" width="19" bestFit="1" customWidth="1"/>
    <col min="11787" max="11787" width="30.88671875" customWidth="1"/>
    <col min="11788" max="11788" width="42.6640625" customWidth="1"/>
    <col min="11789" max="11789" width="13" customWidth="1"/>
    <col min="11790" max="11790" width="11.44140625" customWidth="1"/>
    <col min="11791" max="11791" width="11.5546875" customWidth="1"/>
    <col min="11792" max="11792" width="24.6640625" customWidth="1"/>
    <col min="12033" max="12033" width="17.44140625" customWidth="1"/>
    <col min="12034" max="12034" width="12.109375" customWidth="1"/>
    <col min="12035" max="12035" width="16.88671875" bestFit="1" customWidth="1"/>
    <col min="12036" max="12036" width="15.6640625" customWidth="1"/>
    <col min="12037" max="12037" width="13.5546875" customWidth="1"/>
    <col min="12038" max="12038" width="13.77734375" customWidth="1"/>
    <col min="12039" max="12039" width="11.5546875" customWidth="1"/>
    <col min="12040" max="12040" width="14" customWidth="1"/>
    <col min="12041" max="12041" width="14.88671875" customWidth="1"/>
    <col min="12042" max="12042" width="19" bestFit="1" customWidth="1"/>
    <col min="12043" max="12043" width="30.88671875" customWidth="1"/>
    <col min="12044" max="12044" width="42.6640625" customWidth="1"/>
    <col min="12045" max="12045" width="13" customWidth="1"/>
    <col min="12046" max="12046" width="11.44140625" customWidth="1"/>
    <col min="12047" max="12047" width="11.5546875" customWidth="1"/>
    <col min="12048" max="12048" width="24.6640625" customWidth="1"/>
    <col min="12289" max="12289" width="17.44140625" customWidth="1"/>
    <col min="12290" max="12290" width="12.109375" customWidth="1"/>
    <col min="12291" max="12291" width="16.88671875" bestFit="1" customWidth="1"/>
    <col min="12292" max="12292" width="15.6640625" customWidth="1"/>
    <col min="12293" max="12293" width="13.5546875" customWidth="1"/>
    <col min="12294" max="12294" width="13.77734375" customWidth="1"/>
    <col min="12295" max="12295" width="11.5546875" customWidth="1"/>
    <col min="12296" max="12296" width="14" customWidth="1"/>
    <col min="12297" max="12297" width="14.88671875" customWidth="1"/>
    <col min="12298" max="12298" width="19" bestFit="1" customWidth="1"/>
    <col min="12299" max="12299" width="30.88671875" customWidth="1"/>
    <col min="12300" max="12300" width="42.6640625" customWidth="1"/>
    <col min="12301" max="12301" width="13" customWidth="1"/>
    <col min="12302" max="12302" width="11.44140625" customWidth="1"/>
    <col min="12303" max="12303" width="11.5546875" customWidth="1"/>
    <col min="12304" max="12304" width="24.6640625" customWidth="1"/>
    <col min="12545" max="12545" width="17.44140625" customWidth="1"/>
    <col min="12546" max="12546" width="12.109375" customWidth="1"/>
    <col min="12547" max="12547" width="16.88671875" bestFit="1" customWidth="1"/>
    <col min="12548" max="12548" width="15.6640625" customWidth="1"/>
    <col min="12549" max="12549" width="13.5546875" customWidth="1"/>
    <col min="12550" max="12550" width="13.77734375" customWidth="1"/>
    <col min="12551" max="12551" width="11.5546875" customWidth="1"/>
    <col min="12552" max="12552" width="14" customWidth="1"/>
    <col min="12553" max="12553" width="14.88671875" customWidth="1"/>
    <col min="12554" max="12554" width="19" bestFit="1" customWidth="1"/>
    <col min="12555" max="12555" width="30.88671875" customWidth="1"/>
    <col min="12556" max="12556" width="42.6640625" customWidth="1"/>
    <col min="12557" max="12557" width="13" customWidth="1"/>
    <col min="12558" max="12558" width="11.44140625" customWidth="1"/>
    <col min="12559" max="12559" width="11.5546875" customWidth="1"/>
    <col min="12560" max="12560" width="24.6640625" customWidth="1"/>
    <col min="12801" max="12801" width="17.44140625" customWidth="1"/>
    <col min="12802" max="12802" width="12.109375" customWidth="1"/>
    <col min="12803" max="12803" width="16.88671875" bestFit="1" customWidth="1"/>
    <col min="12804" max="12804" width="15.6640625" customWidth="1"/>
    <col min="12805" max="12805" width="13.5546875" customWidth="1"/>
    <col min="12806" max="12806" width="13.77734375" customWidth="1"/>
    <col min="12807" max="12807" width="11.5546875" customWidth="1"/>
    <col min="12808" max="12808" width="14" customWidth="1"/>
    <col min="12809" max="12809" width="14.88671875" customWidth="1"/>
    <col min="12810" max="12810" width="19" bestFit="1" customWidth="1"/>
    <col min="12811" max="12811" width="30.88671875" customWidth="1"/>
    <col min="12812" max="12812" width="42.6640625" customWidth="1"/>
    <col min="12813" max="12813" width="13" customWidth="1"/>
    <col min="12814" max="12814" width="11.44140625" customWidth="1"/>
    <col min="12815" max="12815" width="11.5546875" customWidth="1"/>
    <col min="12816" max="12816" width="24.6640625" customWidth="1"/>
    <col min="13057" max="13057" width="17.44140625" customWidth="1"/>
    <col min="13058" max="13058" width="12.109375" customWidth="1"/>
    <col min="13059" max="13059" width="16.88671875" bestFit="1" customWidth="1"/>
    <col min="13060" max="13060" width="15.6640625" customWidth="1"/>
    <col min="13061" max="13061" width="13.5546875" customWidth="1"/>
    <col min="13062" max="13062" width="13.77734375" customWidth="1"/>
    <col min="13063" max="13063" width="11.5546875" customWidth="1"/>
    <col min="13064" max="13064" width="14" customWidth="1"/>
    <col min="13065" max="13065" width="14.88671875" customWidth="1"/>
    <col min="13066" max="13066" width="19" bestFit="1" customWidth="1"/>
    <col min="13067" max="13067" width="30.88671875" customWidth="1"/>
    <col min="13068" max="13068" width="42.6640625" customWidth="1"/>
    <col min="13069" max="13069" width="13" customWidth="1"/>
    <col min="13070" max="13070" width="11.44140625" customWidth="1"/>
    <col min="13071" max="13071" width="11.5546875" customWidth="1"/>
    <col min="13072" max="13072" width="24.6640625" customWidth="1"/>
    <col min="13313" max="13313" width="17.44140625" customWidth="1"/>
    <col min="13314" max="13314" width="12.109375" customWidth="1"/>
    <col min="13315" max="13315" width="16.88671875" bestFit="1" customWidth="1"/>
    <col min="13316" max="13316" width="15.6640625" customWidth="1"/>
    <col min="13317" max="13317" width="13.5546875" customWidth="1"/>
    <col min="13318" max="13318" width="13.77734375" customWidth="1"/>
    <col min="13319" max="13319" width="11.5546875" customWidth="1"/>
    <col min="13320" max="13320" width="14" customWidth="1"/>
    <col min="13321" max="13321" width="14.88671875" customWidth="1"/>
    <col min="13322" max="13322" width="19" bestFit="1" customWidth="1"/>
    <col min="13323" max="13323" width="30.88671875" customWidth="1"/>
    <col min="13324" max="13324" width="42.6640625" customWidth="1"/>
    <col min="13325" max="13325" width="13" customWidth="1"/>
    <col min="13326" max="13326" width="11.44140625" customWidth="1"/>
    <col min="13327" max="13327" width="11.5546875" customWidth="1"/>
    <col min="13328" max="13328" width="24.6640625" customWidth="1"/>
    <col min="13569" max="13569" width="17.44140625" customWidth="1"/>
    <col min="13570" max="13570" width="12.109375" customWidth="1"/>
    <col min="13571" max="13571" width="16.88671875" bestFit="1" customWidth="1"/>
    <col min="13572" max="13572" width="15.6640625" customWidth="1"/>
    <col min="13573" max="13573" width="13.5546875" customWidth="1"/>
    <col min="13574" max="13574" width="13.77734375" customWidth="1"/>
    <col min="13575" max="13575" width="11.5546875" customWidth="1"/>
    <col min="13576" max="13576" width="14" customWidth="1"/>
    <col min="13577" max="13577" width="14.88671875" customWidth="1"/>
    <col min="13578" max="13578" width="19" bestFit="1" customWidth="1"/>
    <col min="13579" max="13579" width="30.88671875" customWidth="1"/>
    <col min="13580" max="13580" width="42.6640625" customWidth="1"/>
    <col min="13581" max="13581" width="13" customWidth="1"/>
    <col min="13582" max="13582" width="11.44140625" customWidth="1"/>
    <col min="13583" max="13583" width="11.5546875" customWidth="1"/>
    <col min="13584" max="13584" width="24.6640625" customWidth="1"/>
    <col min="13825" max="13825" width="17.44140625" customWidth="1"/>
    <col min="13826" max="13826" width="12.109375" customWidth="1"/>
    <col min="13827" max="13827" width="16.88671875" bestFit="1" customWidth="1"/>
    <col min="13828" max="13828" width="15.6640625" customWidth="1"/>
    <col min="13829" max="13829" width="13.5546875" customWidth="1"/>
    <col min="13830" max="13830" width="13.77734375" customWidth="1"/>
    <col min="13831" max="13831" width="11.5546875" customWidth="1"/>
    <col min="13832" max="13832" width="14" customWidth="1"/>
    <col min="13833" max="13833" width="14.88671875" customWidth="1"/>
    <col min="13834" max="13834" width="19" bestFit="1" customWidth="1"/>
    <col min="13835" max="13835" width="30.88671875" customWidth="1"/>
    <col min="13836" max="13836" width="42.6640625" customWidth="1"/>
    <col min="13837" max="13837" width="13" customWidth="1"/>
    <col min="13838" max="13838" width="11.44140625" customWidth="1"/>
    <col min="13839" max="13839" width="11.5546875" customWidth="1"/>
    <col min="13840" max="13840" width="24.6640625" customWidth="1"/>
    <col min="14081" max="14081" width="17.44140625" customWidth="1"/>
    <col min="14082" max="14082" width="12.109375" customWidth="1"/>
    <col min="14083" max="14083" width="16.88671875" bestFit="1" customWidth="1"/>
    <col min="14084" max="14084" width="15.6640625" customWidth="1"/>
    <col min="14085" max="14085" width="13.5546875" customWidth="1"/>
    <col min="14086" max="14086" width="13.77734375" customWidth="1"/>
    <col min="14087" max="14087" width="11.5546875" customWidth="1"/>
    <col min="14088" max="14088" width="14" customWidth="1"/>
    <col min="14089" max="14089" width="14.88671875" customWidth="1"/>
    <col min="14090" max="14090" width="19" bestFit="1" customWidth="1"/>
    <col min="14091" max="14091" width="30.88671875" customWidth="1"/>
    <col min="14092" max="14092" width="42.6640625" customWidth="1"/>
    <col min="14093" max="14093" width="13" customWidth="1"/>
    <col min="14094" max="14094" width="11.44140625" customWidth="1"/>
    <col min="14095" max="14095" width="11.5546875" customWidth="1"/>
    <col min="14096" max="14096" width="24.6640625" customWidth="1"/>
    <col min="14337" max="14337" width="17.44140625" customWidth="1"/>
    <col min="14338" max="14338" width="12.109375" customWidth="1"/>
    <col min="14339" max="14339" width="16.88671875" bestFit="1" customWidth="1"/>
    <col min="14340" max="14340" width="15.6640625" customWidth="1"/>
    <col min="14341" max="14341" width="13.5546875" customWidth="1"/>
    <col min="14342" max="14342" width="13.77734375" customWidth="1"/>
    <col min="14343" max="14343" width="11.5546875" customWidth="1"/>
    <col min="14344" max="14344" width="14" customWidth="1"/>
    <col min="14345" max="14345" width="14.88671875" customWidth="1"/>
    <col min="14346" max="14346" width="19" bestFit="1" customWidth="1"/>
    <col min="14347" max="14347" width="30.88671875" customWidth="1"/>
    <col min="14348" max="14348" width="42.6640625" customWidth="1"/>
    <col min="14349" max="14349" width="13" customWidth="1"/>
    <col min="14350" max="14350" width="11.44140625" customWidth="1"/>
    <col min="14351" max="14351" width="11.5546875" customWidth="1"/>
    <col min="14352" max="14352" width="24.6640625" customWidth="1"/>
    <col min="14593" max="14593" width="17.44140625" customWidth="1"/>
    <col min="14594" max="14594" width="12.109375" customWidth="1"/>
    <col min="14595" max="14595" width="16.88671875" bestFit="1" customWidth="1"/>
    <col min="14596" max="14596" width="15.6640625" customWidth="1"/>
    <col min="14597" max="14597" width="13.5546875" customWidth="1"/>
    <col min="14598" max="14598" width="13.77734375" customWidth="1"/>
    <col min="14599" max="14599" width="11.5546875" customWidth="1"/>
    <col min="14600" max="14600" width="14" customWidth="1"/>
    <col min="14601" max="14601" width="14.88671875" customWidth="1"/>
    <col min="14602" max="14602" width="19" bestFit="1" customWidth="1"/>
    <col min="14603" max="14603" width="30.88671875" customWidth="1"/>
    <col min="14604" max="14604" width="42.6640625" customWidth="1"/>
    <col min="14605" max="14605" width="13" customWidth="1"/>
    <col min="14606" max="14606" width="11.44140625" customWidth="1"/>
    <col min="14607" max="14607" width="11.5546875" customWidth="1"/>
    <col min="14608" max="14608" width="24.6640625" customWidth="1"/>
    <col min="14849" max="14849" width="17.44140625" customWidth="1"/>
    <col min="14850" max="14850" width="12.109375" customWidth="1"/>
    <col min="14851" max="14851" width="16.88671875" bestFit="1" customWidth="1"/>
    <col min="14852" max="14852" width="15.6640625" customWidth="1"/>
    <col min="14853" max="14853" width="13.5546875" customWidth="1"/>
    <col min="14854" max="14854" width="13.77734375" customWidth="1"/>
    <col min="14855" max="14855" width="11.5546875" customWidth="1"/>
    <col min="14856" max="14856" width="14" customWidth="1"/>
    <col min="14857" max="14857" width="14.88671875" customWidth="1"/>
    <col min="14858" max="14858" width="19" bestFit="1" customWidth="1"/>
    <col min="14859" max="14859" width="30.88671875" customWidth="1"/>
    <col min="14860" max="14860" width="42.6640625" customWidth="1"/>
    <col min="14861" max="14861" width="13" customWidth="1"/>
    <col min="14862" max="14862" width="11.44140625" customWidth="1"/>
    <col min="14863" max="14863" width="11.5546875" customWidth="1"/>
    <col min="14864" max="14864" width="24.6640625" customWidth="1"/>
    <col min="15105" max="15105" width="17.44140625" customWidth="1"/>
    <col min="15106" max="15106" width="12.109375" customWidth="1"/>
    <col min="15107" max="15107" width="16.88671875" bestFit="1" customWidth="1"/>
    <col min="15108" max="15108" width="15.6640625" customWidth="1"/>
    <col min="15109" max="15109" width="13.5546875" customWidth="1"/>
    <col min="15110" max="15110" width="13.77734375" customWidth="1"/>
    <col min="15111" max="15111" width="11.5546875" customWidth="1"/>
    <col min="15112" max="15112" width="14" customWidth="1"/>
    <col min="15113" max="15113" width="14.88671875" customWidth="1"/>
    <col min="15114" max="15114" width="19" bestFit="1" customWidth="1"/>
    <col min="15115" max="15115" width="30.88671875" customWidth="1"/>
    <col min="15116" max="15116" width="42.6640625" customWidth="1"/>
    <col min="15117" max="15117" width="13" customWidth="1"/>
    <col min="15118" max="15118" width="11.44140625" customWidth="1"/>
    <col min="15119" max="15119" width="11.5546875" customWidth="1"/>
    <col min="15120" max="15120" width="24.6640625" customWidth="1"/>
    <col min="15361" max="15361" width="17.44140625" customWidth="1"/>
    <col min="15362" max="15362" width="12.109375" customWidth="1"/>
    <col min="15363" max="15363" width="16.88671875" bestFit="1" customWidth="1"/>
    <col min="15364" max="15364" width="15.6640625" customWidth="1"/>
    <col min="15365" max="15365" width="13.5546875" customWidth="1"/>
    <col min="15366" max="15366" width="13.77734375" customWidth="1"/>
    <col min="15367" max="15367" width="11.5546875" customWidth="1"/>
    <col min="15368" max="15368" width="14" customWidth="1"/>
    <col min="15369" max="15369" width="14.88671875" customWidth="1"/>
    <col min="15370" max="15370" width="19" bestFit="1" customWidth="1"/>
    <col min="15371" max="15371" width="30.88671875" customWidth="1"/>
    <col min="15372" max="15372" width="42.6640625" customWidth="1"/>
    <col min="15373" max="15373" width="13" customWidth="1"/>
    <col min="15374" max="15374" width="11.44140625" customWidth="1"/>
    <col min="15375" max="15375" width="11.5546875" customWidth="1"/>
    <col min="15376" max="15376" width="24.6640625" customWidth="1"/>
    <col min="15617" max="15617" width="17.44140625" customWidth="1"/>
    <col min="15618" max="15618" width="12.109375" customWidth="1"/>
    <col min="15619" max="15619" width="16.88671875" bestFit="1" customWidth="1"/>
    <col min="15620" max="15620" width="15.6640625" customWidth="1"/>
    <col min="15621" max="15621" width="13.5546875" customWidth="1"/>
    <col min="15622" max="15622" width="13.77734375" customWidth="1"/>
    <col min="15623" max="15623" width="11.5546875" customWidth="1"/>
    <col min="15624" max="15624" width="14" customWidth="1"/>
    <col min="15625" max="15625" width="14.88671875" customWidth="1"/>
    <col min="15626" max="15626" width="19" bestFit="1" customWidth="1"/>
    <col min="15627" max="15627" width="30.88671875" customWidth="1"/>
    <col min="15628" max="15628" width="42.6640625" customWidth="1"/>
    <col min="15629" max="15629" width="13" customWidth="1"/>
    <col min="15630" max="15630" width="11.44140625" customWidth="1"/>
    <col min="15631" max="15631" width="11.5546875" customWidth="1"/>
    <col min="15632" max="15632" width="24.6640625" customWidth="1"/>
    <col min="15873" max="15873" width="17.44140625" customWidth="1"/>
    <col min="15874" max="15874" width="12.109375" customWidth="1"/>
    <col min="15875" max="15875" width="16.88671875" bestFit="1" customWidth="1"/>
    <col min="15876" max="15876" width="15.6640625" customWidth="1"/>
    <col min="15877" max="15877" width="13.5546875" customWidth="1"/>
    <col min="15878" max="15878" width="13.77734375" customWidth="1"/>
    <col min="15879" max="15879" width="11.5546875" customWidth="1"/>
    <col min="15880" max="15880" width="14" customWidth="1"/>
    <col min="15881" max="15881" width="14.88671875" customWidth="1"/>
    <col min="15882" max="15882" width="19" bestFit="1" customWidth="1"/>
    <col min="15883" max="15883" width="30.88671875" customWidth="1"/>
    <col min="15884" max="15884" width="42.6640625" customWidth="1"/>
    <col min="15885" max="15885" width="13" customWidth="1"/>
    <col min="15886" max="15886" width="11.44140625" customWidth="1"/>
    <col min="15887" max="15887" width="11.5546875" customWidth="1"/>
    <col min="15888" max="15888" width="24.6640625" customWidth="1"/>
    <col min="16129" max="16129" width="17.44140625" customWidth="1"/>
    <col min="16130" max="16130" width="12.109375" customWidth="1"/>
    <col min="16131" max="16131" width="16.88671875" bestFit="1" customWidth="1"/>
    <col min="16132" max="16132" width="15.6640625" customWidth="1"/>
    <col min="16133" max="16133" width="13.5546875" customWidth="1"/>
    <col min="16134" max="16134" width="13.77734375" customWidth="1"/>
    <col min="16135" max="16135" width="11.5546875" customWidth="1"/>
    <col min="16136" max="16136" width="14" customWidth="1"/>
    <col min="16137" max="16137" width="14.88671875" customWidth="1"/>
    <col min="16138" max="16138" width="19" bestFit="1" customWidth="1"/>
    <col min="16139" max="16139" width="30.88671875" customWidth="1"/>
    <col min="16140" max="16140" width="42.6640625" customWidth="1"/>
    <col min="16141" max="16141" width="13" customWidth="1"/>
    <col min="16142" max="16142" width="11.44140625" customWidth="1"/>
    <col min="16143" max="16143" width="11.5546875" customWidth="1"/>
    <col min="16144" max="16144" width="24.6640625" customWidth="1"/>
  </cols>
  <sheetData>
    <row r="1" spans="1:16" s="164" customFormat="1" ht="22.2" customHeight="1" thickTop="1" thickBot="1">
      <c r="A1" s="844" t="s">
        <v>370</v>
      </c>
      <c r="B1" s="845"/>
      <c r="C1" s="845"/>
      <c r="D1" s="845"/>
      <c r="E1" s="845"/>
      <c r="F1" s="845"/>
      <c r="G1" s="845"/>
      <c r="H1" s="845"/>
      <c r="I1" s="845"/>
      <c r="J1" s="845"/>
      <c r="K1" s="845"/>
      <c r="L1" s="846"/>
      <c r="O1" s="167"/>
      <c r="P1" s="167"/>
    </row>
    <row r="2" spans="1:16" s="164" customFormat="1" ht="42.6" thickTop="1" thickBot="1">
      <c r="A2" s="172" t="s">
        <v>371</v>
      </c>
      <c r="B2" s="172" t="s">
        <v>372</v>
      </c>
      <c r="C2" s="172" t="s">
        <v>373</v>
      </c>
      <c r="D2" s="172" t="s">
        <v>374</v>
      </c>
      <c r="E2" s="172" t="s">
        <v>375</v>
      </c>
      <c r="F2" s="172" t="s">
        <v>499</v>
      </c>
      <c r="G2" s="172" t="s">
        <v>376</v>
      </c>
      <c r="H2" s="172" t="s">
        <v>377</v>
      </c>
      <c r="I2" s="172" t="s">
        <v>378</v>
      </c>
      <c r="J2" s="172" t="s">
        <v>379</v>
      </c>
      <c r="K2" s="172" t="s">
        <v>380</v>
      </c>
      <c r="L2" s="172" t="s">
        <v>113</v>
      </c>
      <c r="O2" s="379"/>
      <c r="P2" s="167"/>
    </row>
    <row r="3" spans="1:16" s="164" customFormat="1" ht="30.6" customHeight="1" thickTop="1" thickBot="1">
      <c r="A3" s="376" t="s">
        <v>381</v>
      </c>
      <c r="B3" s="376" t="s">
        <v>382</v>
      </c>
      <c r="C3" s="377">
        <v>127</v>
      </c>
      <c r="D3" s="377">
        <v>127</v>
      </c>
      <c r="E3" s="377">
        <v>127</v>
      </c>
      <c r="F3" s="377">
        <f>C3-D3</f>
        <v>0</v>
      </c>
      <c r="G3" s="377">
        <v>0</v>
      </c>
      <c r="H3" s="377">
        <v>0</v>
      </c>
      <c r="I3" s="377">
        <v>0</v>
      </c>
      <c r="J3" s="377">
        <f>E3+I3</f>
        <v>127</v>
      </c>
      <c r="K3" s="377">
        <f>D3+G3-J3</f>
        <v>0</v>
      </c>
      <c r="L3" s="435"/>
      <c r="M3" s="176"/>
      <c r="O3" s="167"/>
      <c r="P3" s="167"/>
    </row>
    <row r="4" spans="1:16" s="164" customFormat="1" ht="43.95" customHeight="1" thickTop="1" thickBot="1">
      <c r="A4" s="376" t="s">
        <v>10</v>
      </c>
      <c r="B4" s="376" t="s">
        <v>382</v>
      </c>
      <c r="C4" s="377">
        <v>127</v>
      </c>
      <c r="D4" s="377">
        <v>127</v>
      </c>
      <c r="E4" s="377">
        <v>122</v>
      </c>
      <c r="F4" s="377">
        <f>C4-D4</f>
        <v>0</v>
      </c>
      <c r="G4" s="377">
        <v>0</v>
      </c>
      <c r="H4" s="377">
        <v>5</v>
      </c>
      <c r="I4" s="377">
        <v>5</v>
      </c>
      <c r="J4" s="377">
        <v>127</v>
      </c>
      <c r="K4" s="377">
        <f>D4+G4-J4</f>
        <v>0</v>
      </c>
      <c r="L4" s="435"/>
      <c r="M4" s="176"/>
      <c r="O4" s="167"/>
      <c r="P4" s="167"/>
    </row>
    <row r="5" spans="1:16" s="164" customFormat="1" ht="15" thickTop="1">
      <c r="M5" s="176"/>
      <c r="O5" s="167"/>
      <c r="P5" s="167"/>
    </row>
    <row r="6" spans="1:16" s="164" customFormat="1">
      <c r="O6" s="167"/>
      <c r="P6" s="167"/>
    </row>
    <row r="7" spans="1:16" s="164" customFormat="1" ht="22.2" customHeight="1">
      <c r="A7" s="853" t="s">
        <v>383</v>
      </c>
      <c r="B7" s="854"/>
      <c r="C7" s="854"/>
      <c r="D7" s="854"/>
      <c r="E7" s="854"/>
      <c r="F7" s="854"/>
      <c r="G7" s="854"/>
      <c r="H7" s="854"/>
      <c r="I7" s="854"/>
      <c r="J7" s="854"/>
      <c r="K7" s="854"/>
      <c r="L7" s="854"/>
      <c r="M7" s="854"/>
      <c r="N7" s="855"/>
      <c r="O7" s="167"/>
      <c r="P7" s="167"/>
    </row>
    <row r="8" spans="1:16" s="164" customFormat="1" ht="43.2" customHeight="1" thickBot="1">
      <c r="A8" s="353" t="s">
        <v>371</v>
      </c>
      <c r="B8" s="353" t="s">
        <v>372</v>
      </c>
      <c r="C8" s="353" t="s">
        <v>373</v>
      </c>
      <c r="D8" s="353" t="s">
        <v>374</v>
      </c>
      <c r="E8" s="353" t="s">
        <v>384</v>
      </c>
      <c r="F8" s="353" t="s">
        <v>385</v>
      </c>
      <c r="G8" s="353" t="s">
        <v>386</v>
      </c>
      <c r="H8" s="353" t="s">
        <v>387</v>
      </c>
      <c r="I8" s="353" t="s">
        <v>388</v>
      </c>
      <c r="J8" s="353" t="s">
        <v>389</v>
      </c>
      <c r="K8" s="353" t="s">
        <v>390</v>
      </c>
      <c r="L8" s="354" t="s">
        <v>391</v>
      </c>
      <c r="M8" s="856" t="s">
        <v>113</v>
      </c>
      <c r="N8" s="856"/>
      <c r="O8" s="167"/>
      <c r="P8" s="167"/>
    </row>
    <row r="9" spans="1:16" s="164" customFormat="1" ht="66.599999999999994" customHeight="1" thickTop="1" thickBot="1">
      <c r="A9" s="372" t="s">
        <v>392</v>
      </c>
      <c r="B9" s="372" t="s">
        <v>393</v>
      </c>
      <c r="C9" s="373">
        <v>47.84</v>
      </c>
      <c r="D9" s="374">
        <v>47.84</v>
      </c>
      <c r="E9" s="375">
        <v>47.84</v>
      </c>
      <c r="F9" s="375">
        <f>43.9+3.94</f>
        <v>47.839999999999996</v>
      </c>
      <c r="G9" s="373">
        <v>0</v>
      </c>
      <c r="H9" s="373">
        <v>0</v>
      </c>
      <c r="I9" s="373">
        <v>0</v>
      </c>
      <c r="J9" s="374">
        <v>0</v>
      </c>
      <c r="K9" s="375">
        <v>0</v>
      </c>
      <c r="L9" s="375">
        <f>E9+K9</f>
        <v>47.84</v>
      </c>
      <c r="M9" s="857"/>
      <c r="N9" s="858"/>
      <c r="O9" s="166"/>
    </row>
    <row r="10" spans="1:16" s="164" customFormat="1" ht="39.6" customHeight="1" thickTop="1" thickBot="1">
      <c r="A10" s="372" t="s">
        <v>237</v>
      </c>
      <c r="B10" s="372" t="s">
        <v>393</v>
      </c>
      <c r="C10" s="373">
        <v>47.84</v>
      </c>
      <c r="D10" s="374">
        <v>47.84</v>
      </c>
      <c r="E10" s="375">
        <v>47.84</v>
      </c>
      <c r="F10" s="375">
        <f>43.9+3.94</f>
        <v>47.839999999999996</v>
      </c>
      <c r="G10" s="373">
        <v>0</v>
      </c>
      <c r="H10" s="373">
        <v>0</v>
      </c>
      <c r="I10" s="373">
        <v>0</v>
      </c>
      <c r="J10" s="374">
        <v>0</v>
      </c>
      <c r="K10" s="375">
        <v>0</v>
      </c>
      <c r="L10" s="375">
        <f>E10+K10</f>
        <v>47.84</v>
      </c>
      <c r="M10" s="859"/>
      <c r="N10" s="860"/>
    </row>
    <row r="11" spans="1:16" ht="21" customHeight="1" thickTop="1">
      <c r="A11" s="852" t="s">
        <v>101</v>
      </c>
      <c r="B11" s="852"/>
      <c r="C11" s="852"/>
      <c r="D11" s="852"/>
      <c r="E11" s="852"/>
      <c r="F11" s="852"/>
      <c r="G11" s="852"/>
      <c r="H11" s="852"/>
      <c r="I11" s="852"/>
      <c r="J11" s="852"/>
      <c r="K11" s="852"/>
      <c r="L11" s="852"/>
      <c r="M11" s="852"/>
      <c r="N11" s="852"/>
      <c r="O11" s="852"/>
      <c r="P11" s="852"/>
    </row>
    <row r="12" spans="1:16" s="2" customFormat="1" ht="33" customHeight="1" thickBot="1">
      <c r="A12" s="162" t="s">
        <v>394</v>
      </c>
      <c r="B12" s="162" t="s">
        <v>82</v>
      </c>
      <c r="C12" s="162" t="s">
        <v>60</v>
      </c>
      <c r="D12" s="162" t="s">
        <v>238</v>
      </c>
      <c r="E12" s="162" t="s">
        <v>395</v>
      </c>
      <c r="F12" s="162" t="s">
        <v>396</v>
      </c>
      <c r="G12" s="849" t="s">
        <v>112</v>
      </c>
      <c r="H12" s="850"/>
      <c r="I12" s="850"/>
      <c r="J12" s="851"/>
      <c r="K12" s="162" t="s">
        <v>397</v>
      </c>
      <c r="L12" s="162" t="s">
        <v>398</v>
      </c>
      <c r="M12" s="162" t="s">
        <v>399</v>
      </c>
      <c r="N12" s="849" t="s">
        <v>400</v>
      </c>
      <c r="O12" s="850"/>
      <c r="P12" s="851"/>
    </row>
    <row r="13" spans="1:16" s="32" customFormat="1" ht="33" customHeight="1">
      <c r="A13" s="177">
        <f>1</f>
        <v>1</v>
      </c>
      <c r="B13" s="178" t="s">
        <v>51</v>
      </c>
      <c r="C13" s="177" t="s">
        <v>401</v>
      </c>
      <c r="D13" s="177" t="s">
        <v>239</v>
      </c>
      <c r="E13" s="179">
        <v>45452</v>
      </c>
      <c r="F13" s="180">
        <v>11.42</v>
      </c>
      <c r="G13" s="847" t="s">
        <v>402</v>
      </c>
      <c r="H13" s="848"/>
      <c r="I13" s="848"/>
      <c r="J13" s="848"/>
      <c r="K13" s="179">
        <v>45465</v>
      </c>
      <c r="L13" s="181" t="s">
        <v>446</v>
      </c>
      <c r="M13" s="177"/>
      <c r="N13" s="838"/>
      <c r="O13" s="838"/>
      <c r="P13" s="838"/>
    </row>
    <row r="14" spans="1:16" s="32" customFormat="1" ht="33" customHeight="1">
      <c r="A14" s="177">
        <f t="shared" ref="A14:A64" si="0">A13+1</f>
        <v>2</v>
      </c>
      <c r="B14" s="180" t="s">
        <v>52</v>
      </c>
      <c r="C14" s="180" t="s">
        <v>401</v>
      </c>
      <c r="D14" s="180" t="s">
        <v>239</v>
      </c>
      <c r="E14" s="179">
        <v>45453</v>
      </c>
      <c r="F14" s="180">
        <v>11.42</v>
      </c>
      <c r="G14" s="847" t="s">
        <v>402</v>
      </c>
      <c r="H14" s="848"/>
      <c r="I14" s="848"/>
      <c r="J14" s="848"/>
      <c r="K14" s="179">
        <v>45472</v>
      </c>
      <c r="L14" s="181" t="s">
        <v>446</v>
      </c>
      <c r="M14" s="177"/>
      <c r="N14" s="838"/>
      <c r="O14" s="838"/>
      <c r="P14" s="838"/>
    </row>
    <row r="15" spans="1:16" s="32" customFormat="1" ht="33" customHeight="1">
      <c r="A15" s="177">
        <f t="shared" si="0"/>
        <v>3</v>
      </c>
      <c r="B15" s="182" t="s">
        <v>176</v>
      </c>
      <c r="C15" s="181" t="s">
        <v>401</v>
      </c>
      <c r="D15" s="181" t="s">
        <v>445</v>
      </c>
      <c r="E15" s="183">
        <v>45472</v>
      </c>
      <c r="F15" s="184">
        <v>16.7</v>
      </c>
      <c r="G15" s="847" t="s">
        <v>402</v>
      </c>
      <c r="H15" s="848"/>
      <c r="I15" s="848"/>
      <c r="J15" s="848"/>
      <c r="K15" s="179">
        <v>45484</v>
      </c>
      <c r="L15" s="181" t="s">
        <v>446</v>
      </c>
      <c r="M15" s="177"/>
      <c r="N15" s="838"/>
      <c r="O15" s="838"/>
      <c r="P15" s="838"/>
    </row>
    <row r="16" spans="1:16" s="32" customFormat="1" ht="33" customHeight="1">
      <c r="A16" s="177">
        <f t="shared" si="0"/>
        <v>4</v>
      </c>
      <c r="B16" s="182" t="s">
        <v>177</v>
      </c>
      <c r="C16" s="181" t="s">
        <v>444</v>
      </c>
      <c r="D16" s="181" t="s">
        <v>239</v>
      </c>
      <c r="E16" s="183">
        <v>45472</v>
      </c>
      <c r="F16" s="184">
        <v>11.73</v>
      </c>
      <c r="G16" s="847" t="s">
        <v>402</v>
      </c>
      <c r="H16" s="848"/>
      <c r="I16" s="848"/>
      <c r="J16" s="848"/>
      <c r="K16" s="183">
        <v>45489</v>
      </c>
      <c r="L16" s="181" t="s">
        <v>447</v>
      </c>
      <c r="M16" s="181"/>
      <c r="N16" s="838"/>
      <c r="O16" s="838"/>
      <c r="P16" s="838"/>
    </row>
    <row r="17" spans="1:16" s="32" customFormat="1" ht="33" customHeight="1">
      <c r="A17" s="177">
        <f t="shared" si="0"/>
        <v>5</v>
      </c>
      <c r="B17" s="182" t="s">
        <v>2</v>
      </c>
      <c r="C17" s="181" t="s">
        <v>401</v>
      </c>
      <c r="D17" s="181" t="s">
        <v>239</v>
      </c>
      <c r="E17" s="183">
        <v>45474</v>
      </c>
      <c r="F17" s="184">
        <v>11.42</v>
      </c>
      <c r="G17" s="847" t="s">
        <v>402</v>
      </c>
      <c r="H17" s="848"/>
      <c r="I17" s="848"/>
      <c r="J17" s="848"/>
      <c r="K17" s="183">
        <v>45489</v>
      </c>
      <c r="L17" s="181" t="s">
        <v>443</v>
      </c>
      <c r="M17" s="181"/>
      <c r="N17" s="838"/>
      <c r="O17" s="838"/>
      <c r="P17" s="838"/>
    </row>
    <row r="18" spans="1:16" s="32" customFormat="1" ht="35.549999999999997" customHeight="1">
      <c r="A18" s="177">
        <f t="shared" si="0"/>
        <v>6</v>
      </c>
      <c r="B18" s="182" t="s">
        <v>178</v>
      </c>
      <c r="C18" s="181" t="s">
        <v>401</v>
      </c>
      <c r="D18" s="181" t="s">
        <v>239</v>
      </c>
      <c r="E18" s="183">
        <v>45475</v>
      </c>
      <c r="F18" s="184">
        <v>11.42</v>
      </c>
      <c r="G18" s="847" t="s">
        <v>402</v>
      </c>
      <c r="H18" s="848"/>
      <c r="I18" s="848"/>
      <c r="J18" s="848"/>
      <c r="K18" s="183">
        <v>45496</v>
      </c>
      <c r="L18" s="181" t="s">
        <v>449</v>
      </c>
      <c r="M18" s="181"/>
      <c r="N18" s="838"/>
      <c r="O18" s="838"/>
      <c r="P18" s="838"/>
    </row>
    <row r="19" spans="1:16" s="32" customFormat="1" ht="35.549999999999997" customHeight="1">
      <c r="A19" s="177">
        <f t="shared" si="0"/>
        <v>7</v>
      </c>
      <c r="B19" s="182" t="s">
        <v>147</v>
      </c>
      <c r="C19" s="181" t="s">
        <v>401</v>
      </c>
      <c r="D19" s="181" t="s">
        <v>239</v>
      </c>
      <c r="E19" s="183">
        <v>45476</v>
      </c>
      <c r="F19" s="184">
        <v>11.42</v>
      </c>
      <c r="G19" s="847" t="s">
        <v>402</v>
      </c>
      <c r="H19" s="848"/>
      <c r="I19" s="848"/>
      <c r="J19" s="848"/>
      <c r="K19" s="183">
        <v>45485</v>
      </c>
      <c r="L19" s="181" t="s">
        <v>443</v>
      </c>
      <c r="M19" s="181"/>
      <c r="N19" s="838"/>
      <c r="O19" s="838"/>
      <c r="P19" s="838"/>
    </row>
    <row r="20" spans="1:16" s="32" customFormat="1" ht="35.549999999999997" customHeight="1">
      <c r="A20" s="177">
        <f t="shared" si="0"/>
        <v>8</v>
      </c>
      <c r="B20" s="182" t="s">
        <v>146</v>
      </c>
      <c r="C20" s="181" t="s">
        <v>444</v>
      </c>
      <c r="D20" s="181" t="s">
        <v>239</v>
      </c>
      <c r="E20" s="183">
        <v>45480</v>
      </c>
      <c r="F20" s="184">
        <v>11.73</v>
      </c>
      <c r="G20" s="847" t="s">
        <v>402</v>
      </c>
      <c r="H20" s="848"/>
      <c r="I20" s="848"/>
      <c r="J20" s="848"/>
      <c r="K20" s="183">
        <v>45496</v>
      </c>
      <c r="L20" s="181" t="s">
        <v>443</v>
      </c>
      <c r="M20" s="181"/>
      <c r="N20" s="838"/>
      <c r="O20" s="838"/>
      <c r="P20" s="838"/>
    </row>
    <row r="21" spans="1:16" s="32" customFormat="1" ht="35.549999999999997" customHeight="1">
      <c r="A21" s="177">
        <f t="shared" si="0"/>
        <v>9</v>
      </c>
      <c r="B21" s="182" t="s">
        <v>144</v>
      </c>
      <c r="C21" s="181" t="s">
        <v>448</v>
      </c>
      <c r="D21" s="181" t="s">
        <v>239</v>
      </c>
      <c r="E21" s="183">
        <v>45483</v>
      </c>
      <c r="F21" s="184">
        <v>11.42</v>
      </c>
      <c r="G21" s="847" t="s">
        <v>402</v>
      </c>
      <c r="H21" s="848"/>
      <c r="I21" s="848"/>
      <c r="J21" s="848"/>
      <c r="K21" s="183">
        <v>45499</v>
      </c>
      <c r="L21" s="181" t="s">
        <v>450</v>
      </c>
      <c r="M21" s="181"/>
      <c r="N21" s="838"/>
      <c r="O21" s="838"/>
      <c r="P21" s="838"/>
    </row>
    <row r="22" spans="1:16" s="32" customFormat="1" ht="35.549999999999997" customHeight="1">
      <c r="A22" s="177">
        <f t="shared" si="0"/>
        <v>10</v>
      </c>
      <c r="B22" s="182" t="s">
        <v>49</v>
      </c>
      <c r="C22" s="181" t="s">
        <v>401</v>
      </c>
      <c r="D22" s="181" t="s">
        <v>239</v>
      </c>
      <c r="E22" s="183">
        <v>45487</v>
      </c>
      <c r="F22" s="184">
        <v>11.42</v>
      </c>
      <c r="G22" s="847" t="s">
        <v>402</v>
      </c>
      <c r="H22" s="848"/>
      <c r="I22" s="848"/>
      <c r="J22" s="848"/>
      <c r="K22" s="183">
        <v>45504</v>
      </c>
      <c r="L22" s="181" t="s">
        <v>451</v>
      </c>
      <c r="M22" s="181"/>
      <c r="N22" s="838"/>
      <c r="O22" s="838"/>
      <c r="P22" s="838"/>
    </row>
    <row r="23" spans="1:16" s="32" customFormat="1" ht="35.549999999999997" customHeight="1">
      <c r="A23" s="177">
        <f t="shared" si="0"/>
        <v>11</v>
      </c>
      <c r="B23" s="182" t="s">
        <v>132</v>
      </c>
      <c r="C23" s="181" t="s">
        <v>448</v>
      </c>
      <c r="D23" s="181" t="s">
        <v>239</v>
      </c>
      <c r="E23" s="183">
        <v>45491</v>
      </c>
      <c r="F23" s="184">
        <v>11.42</v>
      </c>
      <c r="G23" s="822" t="s">
        <v>402</v>
      </c>
      <c r="H23" s="823"/>
      <c r="I23" s="823"/>
      <c r="J23" s="823"/>
      <c r="K23" s="183">
        <v>45515</v>
      </c>
      <c r="L23" s="181" t="s">
        <v>450</v>
      </c>
      <c r="M23" s="181"/>
      <c r="N23" s="861"/>
      <c r="O23" s="838"/>
      <c r="P23" s="838"/>
    </row>
    <row r="24" spans="1:16" s="32" customFormat="1" ht="35.549999999999997" customHeight="1">
      <c r="A24" s="177">
        <f t="shared" si="0"/>
        <v>12</v>
      </c>
      <c r="B24" s="182" t="s">
        <v>133</v>
      </c>
      <c r="C24" s="181" t="s">
        <v>401</v>
      </c>
      <c r="D24" s="181" t="s">
        <v>239</v>
      </c>
      <c r="E24" s="183">
        <v>45491</v>
      </c>
      <c r="F24" s="184">
        <v>11.42</v>
      </c>
      <c r="G24" s="822" t="s">
        <v>402</v>
      </c>
      <c r="H24" s="823"/>
      <c r="I24" s="823"/>
      <c r="J24" s="823"/>
      <c r="K24" s="183">
        <v>45510</v>
      </c>
      <c r="L24" s="181" t="s">
        <v>450</v>
      </c>
      <c r="M24" s="181"/>
      <c r="N24" s="838"/>
      <c r="O24" s="838"/>
      <c r="P24" s="838"/>
    </row>
    <row r="25" spans="1:16" s="32" customFormat="1" ht="33" customHeight="1">
      <c r="A25" s="177">
        <f t="shared" si="0"/>
        <v>13</v>
      </c>
      <c r="B25" s="182" t="s">
        <v>50</v>
      </c>
      <c r="C25" s="181" t="s">
        <v>444</v>
      </c>
      <c r="D25" s="181" t="s">
        <v>239</v>
      </c>
      <c r="E25" s="183">
        <v>45493</v>
      </c>
      <c r="F25" s="184">
        <v>11.73</v>
      </c>
      <c r="G25" s="822" t="s">
        <v>402</v>
      </c>
      <c r="H25" s="823"/>
      <c r="I25" s="823"/>
      <c r="J25" s="823"/>
      <c r="K25" s="183">
        <v>45507</v>
      </c>
      <c r="L25" s="181" t="s">
        <v>451</v>
      </c>
      <c r="M25" s="181"/>
      <c r="N25" s="838"/>
      <c r="O25" s="838"/>
      <c r="P25" s="838"/>
    </row>
    <row r="26" spans="1:16" s="32" customFormat="1" ht="33" customHeight="1">
      <c r="A26" s="177">
        <f t="shared" si="0"/>
        <v>14</v>
      </c>
      <c r="B26" s="182" t="s">
        <v>175</v>
      </c>
      <c r="C26" s="181" t="s">
        <v>444</v>
      </c>
      <c r="D26" s="181" t="s">
        <v>239</v>
      </c>
      <c r="E26" s="183">
        <v>45497</v>
      </c>
      <c r="F26" s="184">
        <v>11.73</v>
      </c>
      <c r="G26" s="822" t="s">
        <v>402</v>
      </c>
      <c r="H26" s="823"/>
      <c r="I26" s="823"/>
      <c r="J26" s="823"/>
      <c r="K26" s="183">
        <v>45506</v>
      </c>
      <c r="L26" s="181" t="s">
        <v>449</v>
      </c>
      <c r="M26" s="181"/>
      <c r="N26" s="838"/>
      <c r="O26" s="838"/>
      <c r="P26" s="838"/>
    </row>
    <row r="27" spans="1:16" s="32" customFormat="1" ht="33" customHeight="1">
      <c r="A27" s="177">
        <f t="shared" si="0"/>
        <v>15</v>
      </c>
      <c r="B27" s="182" t="s">
        <v>148</v>
      </c>
      <c r="C27" s="181" t="s">
        <v>444</v>
      </c>
      <c r="D27" s="181" t="s">
        <v>239</v>
      </c>
      <c r="E27" s="183">
        <v>45500</v>
      </c>
      <c r="F27" s="184">
        <v>11.73</v>
      </c>
      <c r="G27" s="822" t="s">
        <v>402</v>
      </c>
      <c r="H27" s="823"/>
      <c r="I27" s="823"/>
      <c r="J27" s="823"/>
      <c r="K27" s="183">
        <v>45514</v>
      </c>
      <c r="L27" s="181" t="s">
        <v>451</v>
      </c>
      <c r="M27" s="181"/>
      <c r="N27" s="838"/>
      <c r="O27" s="838"/>
      <c r="P27" s="838"/>
    </row>
    <row r="28" spans="1:16" s="32" customFormat="1" ht="33" customHeight="1">
      <c r="A28" s="177">
        <f t="shared" si="0"/>
        <v>16</v>
      </c>
      <c r="B28" s="182" t="s">
        <v>179</v>
      </c>
      <c r="C28" s="181" t="s">
        <v>444</v>
      </c>
      <c r="D28" s="181" t="s">
        <v>239</v>
      </c>
      <c r="E28" s="183">
        <v>45502</v>
      </c>
      <c r="F28" s="184">
        <v>11.73</v>
      </c>
      <c r="G28" s="822" t="s">
        <v>402</v>
      </c>
      <c r="H28" s="823"/>
      <c r="I28" s="823"/>
      <c r="J28" s="823"/>
      <c r="K28" s="183">
        <v>45514</v>
      </c>
      <c r="L28" s="181" t="s">
        <v>449</v>
      </c>
      <c r="M28" s="181"/>
      <c r="N28" s="838"/>
      <c r="O28" s="838"/>
      <c r="P28" s="838"/>
    </row>
    <row r="29" spans="1:16" s="32" customFormat="1" ht="33" customHeight="1">
      <c r="A29" s="177">
        <f t="shared" si="0"/>
        <v>17</v>
      </c>
      <c r="B29" s="182" t="s">
        <v>145</v>
      </c>
      <c r="C29" s="181" t="s">
        <v>452</v>
      </c>
      <c r="D29" s="181" t="s">
        <v>239</v>
      </c>
      <c r="E29" s="183">
        <v>45507</v>
      </c>
      <c r="F29" s="184">
        <v>11.73</v>
      </c>
      <c r="G29" s="822" t="s">
        <v>402</v>
      </c>
      <c r="H29" s="823"/>
      <c r="I29" s="823"/>
      <c r="J29" s="823"/>
      <c r="K29" s="183">
        <v>45530</v>
      </c>
      <c r="L29" s="181" t="s">
        <v>451</v>
      </c>
      <c r="M29" s="181"/>
      <c r="N29" s="838"/>
      <c r="O29" s="838"/>
      <c r="P29" s="838"/>
    </row>
    <row r="30" spans="1:16" s="32" customFormat="1" ht="33" customHeight="1">
      <c r="A30" s="177">
        <f t="shared" si="0"/>
        <v>18</v>
      </c>
      <c r="B30" s="182" t="s">
        <v>135</v>
      </c>
      <c r="C30" s="181" t="s">
        <v>401</v>
      </c>
      <c r="D30" s="181" t="s">
        <v>239</v>
      </c>
      <c r="E30" s="183">
        <v>45511</v>
      </c>
      <c r="F30" s="184">
        <v>11.42</v>
      </c>
      <c r="G30" s="822" t="s">
        <v>402</v>
      </c>
      <c r="H30" s="823"/>
      <c r="I30" s="823"/>
      <c r="J30" s="823"/>
      <c r="K30" s="183">
        <v>45525</v>
      </c>
      <c r="L30" s="181" t="s">
        <v>450</v>
      </c>
      <c r="M30" s="181"/>
      <c r="N30" s="838"/>
      <c r="O30" s="838"/>
      <c r="P30" s="838"/>
    </row>
    <row r="31" spans="1:16" s="32" customFormat="1" ht="33" customHeight="1">
      <c r="A31" s="177">
        <f t="shared" si="0"/>
        <v>19</v>
      </c>
      <c r="B31" s="182" t="s">
        <v>136</v>
      </c>
      <c r="C31" s="181" t="s">
        <v>453</v>
      </c>
      <c r="D31" s="181" t="s">
        <v>239</v>
      </c>
      <c r="E31" s="183">
        <v>45513</v>
      </c>
      <c r="F31" s="184">
        <v>11.73</v>
      </c>
      <c r="G31" s="822" t="s">
        <v>402</v>
      </c>
      <c r="H31" s="823"/>
      <c r="I31" s="823"/>
      <c r="J31" s="823"/>
      <c r="K31" s="183">
        <v>45531</v>
      </c>
      <c r="L31" s="181" t="s">
        <v>450</v>
      </c>
      <c r="M31" s="181"/>
      <c r="N31" s="838"/>
      <c r="O31" s="838"/>
      <c r="P31" s="838"/>
    </row>
    <row r="32" spans="1:16" s="153" customFormat="1" ht="33" customHeight="1">
      <c r="A32" s="181">
        <f t="shared" si="0"/>
        <v>20</v>
      </c>
      <c r="B32" s="182" t="s">
        <v>171</v>
      </c>
      <c r="C32" s="181" t="s">
        <v>448</v>
      </c>
      <c r="D32" s="181" t="s">
        <v>239</v>
      </c>
      <c r="E32" s="370" t="s">
        <v>679</v>
      </c>
      <c r="F32" s="184">
        <v>11.42</v>
      </c>
      <c r="G32" s="822" t="s">
        <v>402</v>
      </c>
      <c r="H32" s="823"/>
      <c r="I32" s="823"/>
      <c r="J32" s="823"/>
      <c r="K32" s="183">
        <v>45843</v>
      </c>
      <c r="L32" s="181" t="s">
        <v>599</v>
      </c>
      <c r="M32" s="181"/>
      <c r="N32" s="837"/>
      <c r="O32" s="837"/>
      <c r="P32" s="837"/>
    </row>
    <row r="33" spans="1:16" s="32" customFormat="1" ht="33" customHeight="1">
      <c r="A33" s="177">
        <f t="shared" si="0"/>
        <v>21</v>
      </c>
      <c r="B33" s="182" t="s">
        <v>143</v>
      </c>
      <c r="C33" s="181" t="s">
        <v>401</v>
      </c>
      <c r="D33" s="181" t="s">
        <v>239</v>
      </c>
      <c r="E33" s="183">
        <v>45518</v>
      </c>
      <c r="F33" s="184">
        <v>11.42</v>
      </c>
      <c r="G33" s="822" t="s">
        <v>402</v>
      </c>
      <c r="H33" s="823"/>
      <c r="I33" s="823"/>
      <c r="J33" s="823"/>
      <c r="K33" s="183">
        <v>45544</v>
      </c>
      <c r="L33" s="181" t="s">
        <v>451</v>
      </c>
      <c r="M33" s="181"/>
      <c r="N33" s="838"/>
      <c r="O33" s="838"/>
      <c r="P33" s="838"/>
    </row>
    <row r="34" spans="1:16" s="32" customFormat="1" ht="33" customHeight="1">
      <c r="A34" s="177">
        <f t="shared" si="0"/>
        <v>22</v>
      </c>
      <c r="B34" s="182" t="s">
        <v>137</v>
      </c>
      <c r="C34" s="181" t="s">
        <v>444</v>
      </c>
      <c r="D34" s="181" t="s">
        <v>239</v>
      </c>
      <c r="E34" s="183">
        <v>45529</v>
      </c>
      <c r="F34" s="184">
        <v>11.73</v>
      </c>
      <c r="G34" s="822" t="s">
        <v>402</v>
      </c>
      <c r="H34" s="823"/>
      <c r="I34" s="823"/>
      <c r="J34" s="823"/>
      <c r="K34" s="183">
        <v>45538</v>
      </c>
      <c r="L34" s="183" t="s">
        <v>450</v>
      </c>
      <c r="M34" s="181"/>
      <c r="N34" s="838"/>
      <c r="O34" s="838"/>
      <c r="P34" s="838"/>
    </row>
    <row r="35" spans="1:16" s="32" customFormat="1" ht="33" customHeight="1">
      <c r="A35" s="177">
        <f t="shared" si="0"/>
        <v>23</v>
      </c>
      <c r="B35" s="182" t="s">
        <v>140</v>
      </c>
      <c r="C35" s="181" t="s">
        <v>444</v>
      </c>
      <c r="D35" s="181" t="s">
        <v>239</v>
      </c>
      <c r="E35" s="183">
        <v>45537</v>
      </c>
      <c r="F35" s="184">
        <v>11.73</v>
      </c>
      <c r="G35" s="822" t="s">
        <v>402</v>
      </c>
      <c r="H35" s="823"/>
      <c r="I35" s="823"/>
      <c r="J35" s="823"/>
      <c r="K35" s="183">
        <v>45545</v>
      </c>
      <c r="L35" s="181" t="s">
        <v>450</v>
      </c>
      <c r="M35" s="181"/>
      <c r="N35" s="838"/>
      <c r="O35" s="838"/>
      <c r="P35" s="838"/>
    </row>
    <row r="36" spans="1:16" s="32" customFormat="1" ht="33" customHeight="1">
      <c r="A36" s="177">
        <f t="shared" si="0"/>
        <v>24</v>
      </c>
      <c r="B36" s="182" t="s">
        <v>18</v>
      </c>
      <c r="C36" s="181" t="s">
        <v>401</v>
      </c>
      <c r="D36" s="181" t="s">
        <v>239</v>
      </c>
      <c r="E36" s="183">
        <v>45537</v>
      </c>
      <c r="F36" s="184">
        <v>11.42</v>
      </c>
      <c r="G36" s="822" t="s">
        <v>402</v>
      </c>
      <c r="H36" s="823"/>
      <c r="I36" s="823"/>
      <c r="J36" s="823"/>
      <c r="K36" s="183">
        <v>45543</v>
      </c>
      <c r="L36" s="181" t="s">
        <v>475</v>
      </c>
      <c r="M36" s="181"/>
      <c r="N36" s="838"/>
      <c r="O36" s="838"/>
      <c r="P36" s="838"/>
    </row>
    <row r="37" spans="1:16" s="32" customFormat="1" ht="33" customHeight="1">
      <c r="A37" s="177">
        <f t="shared" si="0"/>
        <v>25</v>
      </c>
      <c r="B37" s="182" t="s">
        <v>129</v>
      </c>
      <c r="C37" s="181" t="s">
        <v>444</v>
      </c>
      <c r="D37" s="181" t="s">
        <v>239</v>
      </c>
      <c r="E37" s="183">
        <v>45537</v>
      </c>
      <c r="F37" s="184">
        <v>11.73</v>
      </c>
      <c r="G37" s="822" t="s">
        <v>402</v>
      </c>
      <c r="H37" s="823"/>
      <c r="I37" s="823"/>
      <c r="J37" s="823"/>
      <c r="K37" s="183">
        <v>45547</v>
      </c>
      <c r="L37" s="181" t="s">
        <v>475</v>
      </c>
      <c r="M37" s="181"/>
      <c r="N37" s="838"/>
      <c r="O37" s="838"/>
      <c r="P37" s="838"/>
    </row>
    <row r="38" spans="1:16" s="32" customFormat="1" ht="33" customHeight="1">
      <c r="A38" s="177">
        <f t="shared" si="0"/>
        <v>26</v>
      </c>
      <c r="B38" s="182" t="s">
        <v>16</v>
      </c>
      <c r="C38" s="181" t="s">
        <v>401</v>
      </c>
      <c r="D38" s="181" t="s">
        <v>239</v>
      </c>
      <c r="E38" s="183">
        <v>45540</v>
      </c>
      <c r="F38" s="184">
        <v>11.42</v>
      </c>
      <c r="G38" s="822" t="s">
        <v>402</v>
      </c>
      <c r="H38" s="823"/>
      <c r="I38" s="823"/>
      <c r="J38" s="823"/>
      <c r="K38" s="183">
        <v>45551</v>
      </c>
      <c r="L38" s="181" t="s">
        <v>475</v>
      </c>
      <c r="M38" s="181"/>
      <c r="N38" s="838"/>
      <c r="O38" s="838"/>
      <c r="P38" s="838"/>
    </row>
    <row r="39" spans="1:16" s="32" customFormat="1" ht="33" customHeight="1">
      <c r="A39" s="177">
        <f t="shared" si="0"/>
        <v>27</v>
      </c>
      <c r="B39" s="182" t="s">
        <v>172</v>
      </c>
      <c r="C39" s="181" t="s">
        <v>448</v>
      </c>
      <c r="D39" s="181" t="s">
        <v>239</v>
      </c>
      <c r="E39" s="183">
        <v>45547</v>
      </c>
      <c r="F39" s="184">
        <v>11.42</v>
      </c>
      <c r="G39" s="822" t="s">
        <v>402</v>
      </c>
      <c r="H39" s="823"/>
      <c r="I39" s="823"/>
      <c r="J39" s="823"/>
      <c r="K39" s="183">
        <v>45554</v>
      </c>
      <c r="L39" s="181" t="s">
        <v>475</v>
      </c>
      <c r="M39" s="181"/>
      <c r="N39" s="838"/>
      <c r="O39" s="838"/>
      <c r="P39" s="838"/>
    </row>
    <row r="40" spans="1:16" s="153" customFormat="1" ht="33" customHeight="1">
      <c r="A40" s="181">
        <f t="shared" si="0"/>
        <v>28</v>
      </c>
      <c r="B40" s="182" t="s">
        <v>161</v>
      </c>
      <c r="C40" s="181" t="s">
        <v>401</v>
      </c>
      <c r="D40" s="181" t="s">
        <v>239</v>
      </c>
      <c r="E40" s="183">
        <v>45555</v>
      </c>
      <c r="F40" s="184">
        <v>11.42</v>
      </c>
      <c r="G40" s="822" t="s">
        <v>402</v>
      </c>
      <c r="H40" s="823"/>
      <c r="I40" s="823"/>
      <c r="J40" s="823"/>
      <c r="K40" s="183">
        <v>45680</v>
      </c>
      <c r="L40" s="181" t="s">
        <v>592</v>
      </c>
      <c r="M40" s="181"/>
      <c r="N40" s="837"/>
      <c r="O40" s="837"/>
      <c r="P40" s="837"/>
    </row>
    <row r="41" spans="1:16" s="153" customFormat="1" ht="33" customHeight="1">
      <c r="A41" s="177">
        <f t="shared" si="0"/>
        <v>29</v>
      </c>
      <c r="B41" s="182" t="s">
        <v>128</v>
      </c>
      <c r="C41" s="181" t="s">
        <v>401</v>
      </c>
      <c r="D41" s="181" t="s">
        <v>239</v>
      </c>
      <c r="E41" s="183">
        <v>45557</v>
      </c>
      <c r="F41" s="184">
        <v>11.42</v>
      </c>
      <c r="G41" s="822" t="s">
        <v>402</v>
      </c>
      <c r="H41" s="823"/>
      <c r="I41" s="823"/>
      <c r="J41" s="823"/>
      <c r="K41" s="183">
        <v>45563</v>
      </c>
      <c r="L41" s="181" t="s">
        <v>475</v>
      </c>
      <c r="M41" s="181"/>
      <c r="N41" s="837"/>
      <c r="O41" s="837"/>
      <c r="P41" s="837"/>
    </row>
    <row r="42" spans="1:16" s="153" customFormat="1" ht="33" customHeight="1">
      <c r="A42" s="177">
        <f t="shared" si="0"/>
        <v>30</v>
      </c>
      <c r="B42" s="182" t="s">
        <v>166</v>
      </c>
      <c r="C42" s="181" t="s">
        <v>401</v>
      </c>
      <c r="D42" s="181" t="s">
        <v>239</v>
      </c>
      <c r="E42" s="183">
        <v>45559</v>
      </c>
      <c r="F42" s="184">
        <v>11.42</v>
      </c>
      <c r="G42" s="822" t="s">
        <v>402</v>
      </c>
      <c r="H42" s="823"/>
      <c r="I42" s="823"/>
      <c r="J42" s="823"/>
      <c r="K42" s="183">
        <v>45576</v>
      </c>
      <c r="L42" s="181" t="s">
        <v>475</v>
      </c>
      <c r="M42" s="181"/>
      <c r="N42" s="837"/>
      <c r="O42" s="837"/>
      <c r="P42" s="837"/>
    </row>
    <row r="43" spans="1:16" s="153" customFormat="1" ht="33" customHeight="1">
      <c r="A43" s="177">
        <f t="shared" si="0"/>
        <v>31</v>
      </c>
      <c r="B43" s="182" t="s">
        <v>127</v>
      </c>
      <c r="C43" s="181" t="s">
        <v>448</v>
      </c>
      <c r="D43" s="181" t="s">
        <v>488</v>
      </c>
      <c r="E43" s="183">
        <v>45559</v>
      </c>
      <c r="F43" s="184">
        <v>17.649999999999999</v>
      </c>
      <c r="G43" s="822" t="s">
        <v>402</v>
      </c>
      <c r="H43" s="823"/>
      <c r="I43" s="823"/>
      <c r="J43" s="823"/>
      <c r="K43" s="183">
        <v>45568</v>
      </c>
      <c r="L43" s="181" t="s">
        <v>475</v>
      </c>
      <c r="M43" s="181"/>
      <c r="N43" s="837"/>
      <c r="O43" s="837"/>
      <c r="P43" s="837"/>
    </row>
    <row r="44" spans="1:16" s="153" customFormat="1" ht="33" customHeight="1">
      <c r="A44" s="177">
        <f t="shared" si="0"/>
        <v>32</v>
      </c>
      <c r="B44" s="182" t="s">
        <v>126</v>
      </c>
      <c r="C44" s="181" t="s">
        <v>401</v>
      </c>
      <c r="D44" s="181" t="s">
        <v>239</v>
      </c>
      <c r="E44" s="183">
        <v>45562</v>
      </c>
      <c r="F44" s="184">
        <v>11.42</v>
      </c>
      <c r="G44" s="822" t="s">
        <v>402</v>
      </c>
      <c r="H44" s="823"/>
      <c r="I44" s="823"/>
      <c r="J44" s="823"/>
      <c r="K44" s="183">
        <v>45615</v>
      </c>
      <c r="L44" s="181" t="s">
        <v>492</v>
      </c>
      <c r="M44" s="181"/>
      <c r="N44" s="837"/>
      <c r="O44" s="837"/>
      <c r="P44" s="837"/>
    </row>
    <row r="45" spans="1:16" s="153" customFormat="1" ht="33" customHeight="1">
      <c r="A45" s="177">
        <f t="shared" si="0"/>
        <v>33</v>
      </c>
      <c r="B45" s="182" t="s">
        <v>125</v>
      </c>
      <c r="C45" s="181" t="s">
        <v>448</v>
      </c>
      <c r="D45" s="181" t="s">
        <v>239</v>
      </c>
      <c r="E45" s="183">
        <v>45564</v>
      </c>
      <c r="F45" s="184">
        <v>11.42</v>
      </c>
      <c r="G45" s="822" t="s">
        <v>402</v>
      </c>
      <c r="H45" s="823"/>
      <c r="I45" s="823"/>
      <c r="J45" s="823"/>
      <c r="K45" s="183">
        <v>45607</v>
      </c>
      <c r="L45" s="181" t="s">
        <v>495</v>
      </c>
      <c r="M45" s="181"/>
      <c r="N45" s="837"/>
      <c r="O45" s="837"/>
      <c r="P45" s="837"/>
    </row>
    <row r="46" spans="1:16" s="153" customFormat="1" ht="33" customHeight="1">
      <c r="A46" s="177">
        <f t="shared" si="0"/>
        <v>34</v>
      </c>
      <c r="B46" s="182" t="s">
        <v>160</v>
      </c>
      <c r="C46" s="181" t="s">
        <v>444</v>
      </c>
      <c r="D46" s="181" t="s">
        <v>239</v>
      </c>
      <c r="E46" s="183">
        <v>45573</v>
      </c>
      <c r="F46" s="184">
        <v>11.73</v>
      </c>
      <c r="G46" s="822" t="s">
        <v>402</v>
      </c>
      <c r="H46" s="823"/>
      <c r="I46" s="823"/>
      <c r="J46" s="823"/>
      <c r="K46" s="183">
        <v>45584</v>
      </c>
      <c r="L46" s="181" t="s">
        <v>475</v>
      </c>
      <c r="M46" s="181"/>
      <c r="N46" s="270"/>
      <c r="O46" s="270"/>
      <c r="P46" s="270"/>
    </row>
    <row r="47" spans="1:16" s="32" customFormat="1" ht="33" customHeight="1">
      <c r="A47" s="177">
        <f t="shared" si="0"/>
        <v>35</v>
      </c>
      <c r="B47" s="182" t="s">
        <v>489</v>
      </c>
      <c r="C47" s="181" t="s">
        <v>476</v>
      </c>
      <c r="D47" s="181" t="s">
        <v>239</v>
      </c>
      <c r="E47" s="183">
        <v>45584</v>
      </c>
      <c r="F47" s="184">
        <v>32.22</v>
      </c>
      <c r="G47" s="822" t="s">
        <v>402</v>
      </c>
      <c r="H47" s="823"/>
      <c r="I47" s="823"/>
      <c r="J47" s="823"/>
      <c r="K47" s="183">
        <v>45594</v>
      </c>
      <c r="L47" s="181" t="s">
        <v>491</v>
      </c>
      <c r="M47" s="181"/>
      <c r="N47" s="838"/>
      <c r="O47" s="838"/>
      <c r="P47" s="838"/>
    </row>
    <row r="48" spans="1:16" s="32" customFormat="1" ht="33" customHeight="1">
      <c r="A48" s="177">
        <f t="shared" si="0"/>
        <v>36</v>
      </c>
      <c r="B48" s="182" t="s">
        <v>123</v>
      </c>
      <c r="C48" s="181" t="s">
        <v>448</v>
      </c>
      <c r="D48" s="181" t="s">
        <v>239</v>
      </c>
      <c r="E48" s="183">
        <v>45592</v>
      </c>
      <c r="F48" s="184">
        <v>11.42</v>
      </c>
      <c r="G48" s="822" t="s">
        <v>402</v>
      </c>
      <c r="H48" s="823"/>
      <c r="I48" s="823"/>
      <c r="J48" s="823"/>
      <c r="K48" s="183">
        <v>45600</v>
      </c>
      <c r="L48" s="181" t="s">
        <v>492</v>
      </c>
      <c r="M48" s="181"/>
      <c r="N48" s="838"/>
      <c r="O48" s="838"/>
      <c r="P48" s="838"/>
    </row>
    <row r="49" spans="1:16" s="153" customFormat="1" ht="33" customHeight="1">
      <c r="A49" s="177">
        <f t="shared" si="0"/>
        <v>37</v>
      </c>
      <c r="B49" s="182" t="s">
        <v>159</v>
      </c>
      <c r="C49" s="181" t="s">
        <v>476</v>
      </c>
      <c r="D49" s="181" t="s">
        <v>239</v>
      </c>
      <c r="E49" s="183">
        <v>45595</v>
      </c>
      <c r="F49" s="184">
        <v>32.22</v>
      </c>
      <c r="G49" s="822" t="s">
        <v>402</v>
      </c>
      <c r="H49" s="823"/>
      <c r="I49" s="823"/>
      <c r="J49" s="823"/>
      <c r="K49" s="183">
        <v>45618</v>
      </c>
      <c r="L49" s="181" t="s">
        <v>498</v>
      </c>
      <c r="M49" s="181"/>
      <c r="N49" s="837"/>
      <c r="O49" s="837"/>
      <c r="P49" s="837"/>
    </row>
    <row r="50" spans="1:16" s="153" customFormat="1" ht="33" customHeight="1">
      <c r="A50" s="177">
        <f t="shared" si="0"/>
        <v>38</v>
      </c>
      <c r="B50" s="182" t="s">
        <v>124</v>
      </c>
      <c r="C50" s="181" t="s">
        <v>448</v>
      </c>
      <c r="D50" s="181" t="s">
        <v>239</v>
      </c>
      <c r="E50" s="183">
        <v>45604</v>
      </c>
      <c r="F50" s="184">
        <v>11.42</v>
      </c>
      <c r="G50" s="822" t="s">
        <v>402</v>
      </c>
      <c r="H50" s="823"/>
      <c r="I50" s="823"/>
      <c r="J50" s="823"/>
      <c r="K50" s="183">
        <v>45623</v>
      </c>
      <c r="L50" s="181" t="s">
        <v>491</v>
      </c>
      <c r="M50" s="181"/>
      <c r="N50" s="837"/>
      <c r="O50" s="837"/>
      <c r="P50" s="837"/>
    </row>
    <row r="51" spans="1:16" s="153" customFormat="1" ht="33" customHeight="1">
      <c r="A51" s="177">
        <f t="shared" si="0"/>
        <v>39</v>
      </c>
      <c r="B51" s="182" t="s">
        <v>17</v>
      </c>
      <c r="C51" s="181" t="s">
        <v>401</v>
      </c>
      <c r="D51" s="181" t="s">
        <v>239</v>
      </c>
      <c r="E51" s="183">
        <v>45609</v>
      </c>
      <c r="F51" s="184">
        <v>11.42</v>
      </c>
      <c r="G51" s="822" t="s">
        <v>402</v>
      </c>
      <c r="H51" s="823"/>
      <c r="I51" s="823"/>
      <c r="J51" s="823"/>
      <c r="K51" s="183">
        <v>45652</v>
      </c>
      <c r="L51" s="181" t="s">
        <v>491</v>
      </c>
      <c r="M51" s="181"/>
      <c r="N51" s="837"/>
      <c r="O51" s="837"/>
      <c r="P51" s="837"/>
    </row>
    <row r="52" spans="1:16" s="153" customFormat="1" ht="33" customHeight="1">
      <c r="A52" s="181">
        <f t="shared" si="0"/>
        <v>40</v>
      </c>
      <c r="B52" s="182" t="s">
        <v>157</v>
      </c>
      <c r="C52" s="181" t="s">
        <v>452</v>
      </c>
      <c r="D52" s="181" t="s">
        <v>239</v>
      </c>
      <c r="E52" s="183">
        <v>45611</v>
      </c>
      <c r="F52" s="184">
        <v>11.73</v>
      </c>
      <c r="G52" s="822" t="s">
        <v>402</v>
      </c>
      <c r="H52" s="823"/>
      <c r="I52" s="823"/>
      <c r="J52" s="823"/>
      <c r="K52" s="183">
        <v>45698</v>
      </c>
      <c r="L52" s="181" t="s">
        <v>599</v>
      </c>
      <c r="M52" s="181"/>
      <c r="N52" s="837"/>
      <c r="O52" s="837"/>
      <c r="P52" s="837"/>
    </row>
    <row r="53" spans="1:16" s="153" customFormat="1" ht="33" customHeight="1">
      <c r="A53" s="177">
        <f t="shared" si="0"/>
        <v>41</v>
      </c>
      <c r="B53" s="182" t="s">
        <v>156</v>
      </c>
      <c r="C53" s="181" t="s">
        <v>401</v>
      </c>
      <c r="D53" s="181" t="s">
        <v>239</v>
      </c>
      <c r="E53" s="183">
        <v>45611</v>
      </c>
      <c r="F53" s="184">
        <v>11.42</v>
      </c>
      <c r="G53" s="822" t="s">
        <v>402</v>
      </c>
      <c r="H53" s="823"/>
      <c r="I53" s="823"/>
      <c r="J53" s="823"/>
      <c r="K53" s="183">
        <v>45650</v>
      </c>
      <c r="L53" s="181" t="s">
        <v>498</v>
      </c>
      <c r="M53" s="181"/>
      <c r="N53" s="837"/>
      <c r="O53" s="837"/>
      <c r="P53" s="837"/>
    </row>
    <row r="54" spans="1:16" s="153" customFormat="1" ht="33" customHeight="1">
      <c r="A54" s="177">
        <f t="shared" si="0"/>
        <v>42</v>
      </c>
      <c r="B54" s="182" t="s">
        <v>496</v>
      </c>
      <c r="C54" s="181" t="s">
        <v>476</v>
      </c>
      <c r="D54" s="181" t="s">
        <v>239</v>
      </c>
      <c r="E54" s="183">
        <v>45615</v>
      </c>
      <c r="F54" s="184">
        <v>32.22</v>
      </c>
      <c r="G54" s="822" t="s">
        <v>402</v>
      </c>
      <c r="H54" s="823"/>
      <c r="I54" s="823"/>
      <c r="J54" s="823"/>
      <c r="K54" s="183">
        <v>45631</v>
      </c>
      <c r="L54" s="181" t="s">
        <v>498</v>
      </c>
      <c r="M54" s="181"/>
      <c r="N54" s="837"/>
      <c r="O54" s="837"/>
      <c r="P54" s="837"/>
    </row>
    <row r="55" spans="1:16" s="153" customFormat="1" ht="33" customHeight="1">
      <c r="A55" s="177">
        <f t="shared" si="0"/>
        <v>43</v>
      </c>
      <c r="B55" s="182" t="s">
        <v>497</v>
      </c>
      <c r="C55" s="181" t="s">
        <v>476</v>
      </c>
      <c r="D55" s="181" t="s">
        <v>239</v>
      </c>
      <c r="E55" s="183">
        <v>45620</v>
      </c>
      <c r="F55" s="184">
        <v>32.22</v>
      </c>
      <c r="G55" s="822" t="s">
        <v>402</v>
      </c>
      <c r="H55" s="823"/>
      <c r="I55" s="823"/>
      <c r="J55" s="823"/>
      <c r="K55" s="183">
        <v>45644</v>
      </c>
      <c r="L55" s="181" t="s">
        <v>491</v>
      </c>
      <c r="M55" s="181"/>
      <c r="N55" s="837"/>
      <c r="O55" s="837"/>
      <c r="P55" s="837"/>
    </row>
    <row r="56" spans="1:16" s="153" customFormat="1" ht="33" customHeight="1">
      <c r="A56" s="177">
        <f t="shared" si="0"/>
        <v>44</v>
      </c>
      <c r="B56" s="182" t="s">
        <v>502</v>
      </c>
      <c r="C56" s="181" t="s">
        <v>401</v>
      </c>
      <c r="D56" s="181" t="s">
        <v>239</v>
      </c>
      <c r="E56" s="183">
        <v>45630</v>
      </c>
      <c r="F56" s="184">
        <v>11.42</v>
      </c>
      <c r="G56" s="822" t="s">
        <v>402</v>
      </c>
      <c r="H56" s="823"/>
      <c r="I56" s="823"/>
      <c r="J56" s="823"/>
      <c r="K56" s="183">
        <v>45646</v>
      </c>
      <c r="L56" s="181" t="s">
        <v>491</v>
      </c>
      <c r="M56" s="181"/>
      <c r="N56" s="837"/>
      <c r="O56" s="837"/>
      <c r="P56" s="837"/>
    </row>
    <row r="57" spans="1:16" s="153" customFormat="1" ht="33" customHeight="1">
      <c r="A57" s="177">
        <f t="shared" si="0"/>
        <v>45</v>
      </c>
      <c r="B57" s="182" t="s">
        <v>503</v>
      </c>
      <c r="C57" s="181" t="s">
        <v>504</v>
      </c>
      <c r="D57" s="181" t="s">
        <v>239</v>
      </c>
      <c r="E57" s="183">
        <v>45635</v>
      </c>
      <c r="F57" s="184">
        <v>28.1</v>
      </c>
      <c r="G57" s="822" t="s">
        <v>402</v>
      </c>
      <c r="H57" s="823"/>
      <c r="I57" s="823"/>
      <c r="J57" s="823"/>
      <c r="K57" s="183">
        <v>45656</v>
      </c>
      <c r="L57" s="181" t="s">
        <v>507</v>
      </c>
      <c r="M57" s="181"/>
      <c r="N57" s="837"/>
      <c r="O57" s="837"/>
      <c r="P57" s="837"/>
    </row>
    <row r="58" spans="1:16" s="153" customFormat="1" ht="33" customHeight="1">
      <c r="A58" s="181">
        <f t="shared" si="0"/>
        <v>46</v>
      </c>
      <c r="B58" s="182" t="s">
        <v>4</v>
      </c>
      <c r="C58" s="181" t="s">
        <v>506</v>
      </c>
      <c r="D58" s="181" t="s">
        <v>239</v>
      </c>
      <c r="E58" s="183">
        <v>45636</v>
      </c>
      <c r="F58" s="184">
        <v>32.22</v>
      </c>
      <c r="G58" s="822" t="s">
        <v>402</v>
      </c>
      <c r="H58" s="823"/>
      <c r="I58" s="823"/>
      <c r="J58" s="823"/>
      <c r="K58" s="183">
        <v>45678</v>
      </c>
      <c r="L58" s="181" t="s">
        <v>552</v>
      </c>
      <c r="M58" s="181"/>
      <c r="N58" s="837"/>
      <c r="O58" s="837"/>
      <c r="P58" s="837"/>
    </row>
    <row r="59" spans="1:16" s="153" customFormat="1" ht="33" customHeight="1">
      <c r="A59" s="181">
        <f t="shared" si="0"/>
        <v>47</v>
      </c>
      <c r="B59" s="182" t="s">
        <v>505</v>
      </c>
      <c r="C59" s="181" t="s">
        <v>476</v>
      </c>
      <c r="D59" s="181" t="s">
        <v>239</v>
      </c>
      <c r="E59" s="183">
        <v>45637</v>
      </c>
      <c r="F59" s="184">
        <v>32.22</v>
      </c>
      <c r="G59" s="822" t="s">
        <v>402</v>
      </c>
      <c r="H59" s="823"/>
      <c r="I59" s="823"/>
      <c r="J59" s="823"/>
      <c r="K59" s="183">
        <v>45668</v>
      </c>
      <c r="L59" s="181" t="s">
        <v>552</v>
      </c>
      <c r="M59" s="181"/>
      <c r="N59" s="837"/>
      <c r="O59" s="837"/>
      <c r="P59" s="837"/>
    </row>
    <row r="60" spans="1:16" s="153" customFormat="1" ht="33" customHeight="1">
      <c r="A60" s="181">
        <f t="shared" si="0"/>
        <v>48</v>
      </c>
      <c r="B60" s="182" t="s">
        <v>512</v>
      </c>
      <c r="C60" s="181" t="s">
        <v>476</v>
      </c>
      <c r="D60" s="181" t="s">
        <v>239</v>
      </c>
      <c r="E60" s="183">
        <v>45648</v>
      </c>
      <c r="F60" s="184">
        <v>32.22</v>
      </c>
      <c r="G60" s="822" t="s">
        <v>402</v>
      </c>
      <c r="H60" s="823"/>
      <c r="I60" s="823"/>
      <c r="J60" s="823"/>
      <c r="K60" s="183">
        <v>45670</v>
      </c>
      <c r="L60" s="181" t="s">
        <v>580</v>
      </c>
      <c r="M60" s="181"/>
      <c r="N60" s="837"/>
      <c r="O60" s="837"/>
      <c r="P60" s="837"/>
    </row>
    <row r="61" spans="1:16" s="153" customFormat="1" ht="33" customHeight="1">
      <c r="A61" s="181">
        <f t="shared" si="0"/>
        <v>49</v>
      </c>
      <c r="B61" s="182" t="s">
        <v>37</v>
      </c>
      <c r="C61" s="181" t="s">
        <v>401</v>
      </c>
      <c r="D61" s="181" t="s">
        <v>445</v>
      </c>
      <c r="E61" s="183">
        <v>45658</v>
      </c>
      <c r="F61" s="184">
        <v>16.7</v>
      </c>
      <c r="G61" s="822" t="s">
        <v>402</v>
      </c>
      <c r="H61" s="823"/>
      <c r="I61" s="823"/>
      <c r="J61" s="823"/>
      <c r="K61" s="183">
        <v>45737</v>
      </c>
      <c r="L61" s="181" t="s">
        <v>581</v>
      </c>
      <c r="M61" s="181"/>
      <c r="N61" s="837"/>
      <c r="O61" s="837"/>
      <c r="P61" s="837"/>
    </row>
    <row r="62" spans="1:16" s="153" customFormat="1" ht="33" customHeight="1">
      <c r="A62" s="181">
        <f t="shared" si="0"/>
        <v>50</v>
      </c>
      <c r="B62" s="182" t="s">
        <v>167</v>
      </c>
      <c r="C62" s="181" t="s">
        <v>453</v>
      </c>
      <c r="D62" s="181" t="s">
        <v>239</v>
      </c>
      <c r="E62" s="183">
        <v>45660</v>
      </c>
      <c r="F62" s="184">
        <v>11.73</v>
      </c>
      <c r="G62" s="822" t="s">
        <v>402</v>
      </c>
      <c r="H62" s="823"/>
      <c r="I62" s="823"/>
      <c r="J62" s="823"/>
      <c r="K62" s="183">
        <v>45670</v>
      </c>
      <c r="L62" s="181" t="s">
        <v>498</v>
      </c>
      <c r="M62" s="181"/>
      <c r="N62" s="837"/>
      <c r="O62" s="837"/>
      <c r="P62" s="837"/>
    </row>
    <row r="63" spans="1:16" s="153" customFormat="1" ht="33" customHeight="1">
      <c r="A63" s="181">
        <f t="shared" si="0"/>
        <v>51</v>
      </c>
      <c r="B63" s="182" t="s">
        <v>122</v>
      </c>
      <c r="C63" s="181" t="s">
        <v>589</v>
      </c>
      <c r="D63" s="181" t="s">
        <v>239</v>
      </c>
      <c r="E63" s="453" t="s">
        <v>657</v>
      </c>
      <c r="F63" s="184">
        <v>32.22</v>
      </c>
      <c r="G63" s="822" t="s">
        <v>402</v>
      </c>
      <c r="H63" s="823"/>
      <c r="I63" s="823"/>
      <c r="J63" s="823"/>
      <c r="K63" s="183">
        <v>45810</v>
      </c>
      <c r="L63" s="181" t="s">
        <v>599</v>
      </c>
      <c r="M63" s="181"/>
      <c r="N63" s="843"/>
      <c r="O63" s="843"/>
      <c r="P63" s="843"/>
    </row>
    <row r="64" spans="1:16" s="153" customFormat="1" ht="33" customHeight="1">
      <c r="A64" s="181">
        <f t="shared" si="0"/>
        <v>52</v>
      </c>
      <c r="B64" s="182" t="s">
        <v>121</v>
      </c>
      <c r="C64" s="181" t="s">
        <v>589</v>
      </c>
      <c r="D64" s="181" t="s">
        <v>239</v>
      </c>
      <c r="E64" s="183">
        <v>45667</v>
      </c>
      <c r="F64" s="184">
        <v>32.22</v>
      </c>
      <c r="G64" s="822" t="s">
        <v>402</v>
      </c>
      <c r="H64" s="823"/>
      <c r="I64" s="823"/>
      <c r="J64" s="823"/>
      <c r="K64" s="183">
        <v>45681</v>
      </c>
      <c r="L64" s="181" t="s">
        <v>580</v>
      </c>
      <c r="M64" s="181"/>
      <c r="N64" s="837"/>
      <c r="O64" s="837"/>
      <c r="P64" s="837"/>
    </row>
    <row r="65" spans="1:16" s="153" customFormat="1" ht="33" customHeight="1">
      <c r="A65" s="181">
        <v>53</v>
      </c>
      <c r="B65" s="182" t="s">
        <v>591</v>
      </c>
      <c r="C65" s="181" t="s">
        <v>590</v>
      </c>
      <c r="D65" s="181" t="s">
        <v>239</v>
      </c>
      <c r="E65" s="183">
        <v>45674</v>
      </c>
      <c r="F65" s="184">
        <v>27.5</v>
      </c>
      <c r="G65" s="822" t="s">
        <v>402</v>
      </c>
      <c r="H65" s="823"/>
      <c r="I65" s="823"/>
      <c r="J65" s="823"/>
      <c r="K65" s="183">
        <v>45691</v>
      </c>
      <c r="L65" s="181" t="s">
        <v>552</v>
      </c>
      <c r="M65" s="181"/>
      <c r="N65" s="837"/>
      <c r="O65" s="837"/>
      <c r="P65" s="837"/>
    </row>
    <row r="66" spans="1:16" s="153" customFormat="1" ht="33" customHeight="1">
      <c r="A66" s="181">
        <v>54</v>
      </c>
      <c r="B66" s="182" t="s">
        <v>117</v>
      </c>
      <c r="C66" s="181" t="s">
        <v>448</v>
      </c>
      <c r="D66" s="181" t="s">
        <v>239</v>
      </c>
      <c r="E66" s="183">
        <v>45680</v>
      </c>
      <c r="F66" s="184">
        <v>11.42</v>
      </c>
      <c r="G66" s="822" t="s">
        <v>402</v>
      </c>
      <c r="H66" s="823"/>
      <c r="I66" s="823"/>
      <c r="J66" s="823"/>
      <c r="K66" s="183">
        <v>45689</v>
      </c>
      <c r="L66" s="181" t="s">
        <v>580</v>
      </c>
      <c r="M66" s="181"/>
      <c r="N66" s="837"/>
      <c r="O66" s="837"/>
      <c r="P66" s="837"/>
    </row>
    <row r="67" spans="1:16" s="153" customFormat="1" ht="33" customHeight="1">
      <c r="A67" s="181">
        <f t="shared" ref="A67:A138" si="1">A66+1</f>
        <v>55</v>
      </c>
      <c r="B67" s="182" t="s">
        <v>593</v>
      </c>
      <c r="C67" s="181" t="s">
        <v>594</v>
      </c>
      <c r="D67" s="181" t="s">
        <v>239</v>
      </c>
      <c r="E67" s="183">
        <v>45685</v>
      </c>
      <c r="F67" s="184">
        <v>27.5</v>
      </c>
      <c r="G67" s="822" t="s">
        <v>402</v>
      </c>
      <c r="H67" s="823"/>
      <c r="I67" s="823"/>
      <c r="J67" s="823"/>
      <c r="K67" s="183">
        <v>45707</v>
      </c>
      <c r="L67" s="181" t="s">
        <v>599</v>
      </c>
      <c r="M67" s="181"/>
      <c r="N67" s="837"/>
      <c r="O67" s="837"/>
      <c r="P67" s="837"/>
    </row>
    <row r="68" spans="1:16" s="153" customFormat="1" ht="33" customHeight="1">
      <c r="A68" s="181">
        <f t="shared" si="1"/>
        <v>56</v>
      </c>
      <c r="B68" s="182" t="s">
        <v>596</v>
      </c>
      <c r="C68" s="181" t="s">
        <v>595</v>
      </c>
      <c r="D68" s="181" t="s">
        <v>239</v>
      </c>
      <c r="E68" s="183">
        <v>45687</v>
      </c>
      <c r="F68" s="184">
        <v>27.5</v>
      </c>
      <c r="G68" s="822" t="s">
        <v>402</v>
      </c>
      <c r="H68" s="823"/>
      <c r="I68" s="823"/>
      <c r="J68" s="823"/>
      <c r="K68" s="183">
        <v>45708</v>
      </c>
      <c r="L68" s="181" t="s">
        <v>552</v>
      </c>
      <c r="M68" s="181"/>
      <c r="N68" s="837"/>
      <c r="O68" s="837"/>
      <c r="P68" s="837"/>
    </row>
    <row r="69" spans="1:16" s="153" customFormat="1" ht="33" customHeight="1">
      <c r="A69" s="181">
        <f t="shared" si="1"/>
        <v>57</v>
      </c>
      <c r="B69" s="182" t="s">
        <v>597</v>
      </c>
      <c r="C69" s="181" t="s">
        <v>598</v>
      </c>
      <c r="D69" s="181" t="s">
        <v>239</v>
      </c>
      <c r="E69" s="183">
        <v>45688</v>
      </c>
      <c r="F69" s="184">
        <v>28.1</v>
      </c>
      <c r="G69" s="822" t="s">
        <v>402</v>
      </c>
      <c r="H69" s="823"/>
      <c r="I69" s="823"/>
      <c r="J69" s="823"/>
      <c r="K69" s="183">
        <v>45704</v>
      </c>
      <c r="L69" s="181" t="s">
        <v>580</v>
      </c>
      <c r="M69" s="181"/>
      <c r="N69" s="837"/>
      <c r="O69" s="837"/>
      <c r="P69" s="837"/>
    </row>
    <row r="70" spans="1:16" s="153" customFormat="1" ht="33" customHeight="1">
      <c r="A70" s="181">
        <f t="shared" si="1"/>
        <v>58</v>
      </c>
      <c r="B70" s="182" t="s">
        <v>180</v>
      </c>
      <c r="C70" s="181" t="s">
        <v>444</v>
      </c>
      <c r="D70" s="181" t="s">
        <v>239</v>
      </c>
      <c r="E70" s="183">
        <v>45700</v>
      </c>
      <c r="F70" s="184">
        <v>11.73</v>
      </c>
      <c r="G70" s="822" t="s">
        <v>402</v>
      </c>
      <c r="H70" s="823"/>
      <c r="I70" s="823"/>
      <c r="J70" s="823"/>
      <c r="K70" s="183">
        <v>45712</v>
      </c>
      <c r="L70" s="181" t="s">
        <v>599</v>
      </c>
      <c r="M70" s="181"/>
      <c r="N70" s="837"/>
      <c r="O70" s="837"/>
      <c r="P70" s="837"/>
    </row>
    <row r="71" spans="1:16" s="153" customFormat="1" ht="33" customHeight="1">
      <c r="A71" s="181">
        <f t="shared" si="1"/>
        <v>59</v>
      </c>
      <c r="B71" s="182" t="s">
        <v>518</v>
      </c>
      <c r="C71" s="181" t="s">
        <v>590</v>
      </c>
      <c r="D71" s="181" t="s">
        <v>239</v>
      </c>
      <c r="E71" s="183">
        <v>45703</v>
      </c>
      <c r="F71" s="184">
        <v>27.5</v>
      </c>
      <c r="G71" s="822" t="s">
        <v>402</v>
      </c>
      <c r="H71" s="823"/>
      <c r="I71" s="823"/>
      <c r="J71" s="823"/>
      <c r="K71" s="183">
        <v>45717</v>
      </c>
      <c r="L71" s="181" t="s">
        <v>580</v>
      </c>
      <c r="M71" s="181"/>
      <c r="N71" s="837"/>
      <c r="O71" s="837"/>
      <c r="P71" s="837"/>
    </row>
    <row r="72" spans="1:16" s="32" customFormat="1" ht="33" customHeight="1">
      <c r="A72" s="181">
        <f t="shared" si="1"/>
        <v>60</v>
      </c>
      <c r="B72" s="182" t="s">
        <v>20</v>
      </c>
      <c r="C72" s="181" t="s">
        <v>444</v>
      </c>
      <c r="D72" s="181" t="s">
        <v>239</v>
      </c>
      <c r="E72" s="183">
        <v>45703</v>
      </c>
      <c r="F72" s="184">
        <v>11.73</v>
      </c>
      <c r="G72" s="822" t="s">
        <v>402</v>
      </c>
      <c r="H72" s="823"/>
      <c r="I72" s="823"/>
      <c r="J72" s="823"/>
      <c r="K72" s="183">
        <v>45718</v>
      </c>
      <c r="L72" s="181" t="s">
        <v>552</v>
      </c>
      <c r="M72" s="181"/>
      <c r="N72" s="837"/>
      <c r="O72" s="837"/>
      <c r="P72" s="837"/>
    </row>
    <row r="73" spans="1:16" s="153" customFormat="1" ht="33" customHeight="1">
      <c r="A73" s="181">
        <f t="shared" si="1"/>
        <v>61</v>
      </c>
      <c r="B73" s="182" t="s">
        <v>605</v>
      </c>
      <c r="C73" s="181" t="s">
        <v>629</v>
      </c>
      <c r="D73" s="181" t="s">
        <v>239</v>
      </c>
      <c r="E73" s="183">
        <v>45711</v>
      </c>
      <c r="F73" s="184">
        <v>28.1</v>
      </c>
      <c r="G73" s="822" t="s">
        <v>402</v>
      </c>
      <c r="H73" s="823"/>
      <c r="I73" s="823"/>
      <c r="J73" s="823"/>
      <c r="K73" s="183">
        <v>45721</v>
      </c>
      <c r="L73" s="181" t="s">
        <v>599</v>
      </c>
      <c r="M73" s="181"/>
      <c r="N73" s="837"/>
      <c r="O73" s="837"/>
      <c r="P73" s="837"/>
    </row>
    <row r="74" spans="1:16" s="153" customFormat="1" ht="33" customHeight="1">
      <c r="A74" s="181">
        <f t="shared" si="1"/>
        <v>62</v>
      </c>
      <c r="B74" s="182" t="s">
        <v>142</v>
      </c>
      <c r="C74" s="181" t="s">
        <v>453</v>
      </c>
      <c r="D74" s="181" t="s">
        <v>239</v>
      </c>
      <c r="E74" s="183">
        <v>45712</v>
      </c>
      <c r="F74" s="184">
        <v>11.73</v>
      </c>
      <c r="G74" s="822" t="s">
        <v>402</v>
      </c>
      <c r="H74" s="823"/>
      <c r="I74" s="823"/>
      <c r="J74" s="823"/>
      <c r="K74" s="183">
        <v>45740</v>
      </c>
      <c r="L74" s="181" t="s">
        <v>552</v>
      </c>
      <c r="M74" s="181"/>
      <c r="N74" s="839"/>
      <c r="O74" s="839"/>
      <c r="P74" s="839"/>
    </row>
    <row r="75" spans="1:16" s="153" customFormat="1" ht="33" customHeight="1">
      <c r="A75" s="181">
        <f t="shared" si="1"/>
        <v>63</v>
      </c>
      <c r="B75" s="182" t="s">
        <v>630</v>
      </c>
      <c r="C75" s="181" t="s">
        <v>631</v>
      </c>
      <c r="D75" s="181" t="s">
        <v>239</v>
      </c>
      <c r="E75" s="183">
        <v>45715</v>
      </c>
      <c r="F75" s="184">
        <v>32.22</v>
      </c>
      <c r="G75" s="822" t="s">
        <v>402</v>
      </c>
      <c r="H75" s="823"/>
      <c r="I75" s="823"/>
      <c r="J75" s="823"/>
      <c r="K75" s="183">
        <v>45788</v>
      </c>
      <c r="L75" s="181" t="s">
        <v>646</v>
      </c>
      <c r="M75" s="181"/>
      <c r="N75" s="839"/>
      <c r="O75" s="839"/>
      <c r="P75" s="839"/>
    </row>
    <row r="76" spans="1:16" s="153" customFormat="1" ht="33" customHeight="1">
      <c r="A76" s="181">
        <f t="shared" si="1"/>
        <v>64</v>
      </c>
      <c r="B76" s="182" t="s">
        <v>561</v>
      </c>
      <c r="C76" s="181" t="s">
        <v>401</v>
      </c>
      <c r="D76" s="181" t="s">
        <v>239</v>
      </c>
      <c r="E76" s="183">
        <v>45717</v>
      </c>
      <c r="F76" s="184">
        <v>11.42</v>
      </c>
      <c r="G76" s="822" t="s">
        <v>402</v>
      </c>
      <c r="H76" s="823"/>
      <c r="I76" s="823"/>
      <c r="J76" s="823"/>
      <c r="K76" s="183">
        <v>45726</v>
      </c>
      <c r="L76" s="181" t="s">
        <v>599</v>
      </c>
      <c r="M76" s="181"/>
      <c r="N76" s="837"/>
      <c r="O76" s="837"/>
      <c r="P76" s="837"/>
    </row>
    <row r="77" spans="1:16" s="153" customFormat="1" ht="33" customHeight="1">
      <c r="A77" s="181">
        <f t="shared" si="1"/>
        <v>65</v>
      </c>
      <c r="B77" s="182" t="s">
        <v>21</v>
      </c>
      <c r="C77" s="181" t="s">
        <v>401</v>
      </c>
      <c r="D77" s="181" t="s">
        <v>239</v>
      </c>
      <c r="E77" s="183">
        <v>45717</v>
      </c>
      <c r="F77" s="184">
        <v>11.42</v>
      </c>
      <c r="G77" s="822" t="s">
        <v>402</v>
      </c>
      <c r="H77" s="823"/>
      <c r="I77" s="823"/>
      <c r="J77" s="823"/>
      <c r="K77" s="183">
        <v>45728</v>
      </c>
      <c r="L77" s="181" t="s">
        <v>552</v>
      </c>
      <c r="M77" s="181"/>
      <c r="N77" s="837"/>
      <c r="O77" s="837"/>
      <c r="P77" s="837"/>
    </row>
    <row r="78" spans="1:16" s="153" customFormat="1" ht="33" customHeight="1">
      <c r="A78" s="181">
        <f t="shared" si="1"/>
        <v>66</v>
      </c>
      <c r="B78" s="182" t="s">
        <v>615</v>
      </c>
      <c r="C78" s="181" t="s">
        <v>401</v>
      </c>
      <c r="D78" s="181" t="s">
        <v>239</v>
      </c>
      <c r="E78" s="183">
        <v>45726</v>
      </c>
      <c r="F78" s="184">
        <v>11.42</v>
      </c>
      <c r="G78" s="822" t="s">
        <v>402</v>
      </c>
      <c r="H78" s="823"/>
      <c r="I78" s="823"/>
      <c r="J78" s="823"/>
      <c r="K78" s="183">
        <v>45751</v>
      </c>
      <c r="L78" s="181" t="s">
        <v>644</v>
      </c>
      <c r="M78" s="181"/>
      <c r="N78" s="839"/>
      <c r="O78" s="839"/>
      <c r="P78" s="839"/>
    </row>
    <row r="79" spans="1:16" s="153" customFormat="1" ht="33" customHeight="1">
      <c r="A79" s="181">
        <f t="shared" si="1"/>
        <v>67</v>
      </c>
      <c r="B79" s="182" t="s">
        <v>168</v>
      </c>
      <c r="C79" s="181" t="s">
        <v>444</v>
      </c>
      <c r="D79" s="181" t="s">
        <v>239</v>
      </c>
      <c r="E79" s="183">
        <v>45729</v>
      </c>
      <c r="F79" s="184">
        <v>11.73</v>
      </c>
      <c r="G79" s="822" t="s">
        <v>402</v>
      </c>
      <c r="H79" s="823"/>
      <c r="I79" s="823"/>
      <c r="J79" s="823"/>
      <c r="K79" s="183">
        <v>45735</v>
      </c>
      <c r="L79" s="181" t="s">
        <v>599</v>
      </c>
      <c r="M79" s="181"/>
      <c r="N79" s="839"/>
      <c r="O79" s="839"/>
      <c r="P79" s="839"/>
    </row>
    <row r="80" spans="1:16" s="153" customFormat="1" ht="33" customHeight="1">
      <c r="A80" s="181">
        <f t="shared" si="1"/>
        <v>68</v>
      </c>
      <c r="B80" s="182" t="s">
        <v>174</v>
      </c>
      <c r="C80" s="181" t="s">
        <v>448</v>
      </c>
      <c r="D80" s="181" t="s">
        <v>239</v>
      </c>
      <c r="E80" s="183">
        <v>45729</v>
      </c>
      <c r="F80" s="184">
        <v>11.42</v>
      </c>
      <c r="G80" s="822" t="s">
        <v>402</v>
      </c>
      <c r="H80" s="823"/>
      <c r="I80" s="823"/>
      <c r="J80" s="823"/>
      <c r="K80" s="183">
        <v>45740</v>
      </c>
      <c r="L80" s="181" t="s">
        <v>599</v>
      </c>
      <c r="M80" s="181"/>
      <c r="N80" s="839"/>
      <c r="O80" s="839"/>
      <c r="P80" s="839"/>
    </row>
    <row r="81" spans="1:16" s="153" customFormat="1" ht="33" customHeight="1">
      <c r="A81" s="181">
        <f t="shared" si="1"/>
        <v>69</v>
      </c>
      <c r="B81" s="182" t="s">
        <v>562</v>
      </c>
      <c r="C81" s="181" t="s">
        <v>643</v>
      </c>
      <c r="D81" s="181" t="s">
        <v>239</v>
      </c>
      <c r="E81" s="183">
        <v>45736</v>
      </c>
      <c r="F81" s="184">
        <v>28.1</v>
      </c>
      <c r="G81" s="822" t="s">
        <v>402</v>
      </c>
      <c r="H81" s="823"/>
      <c r="I81" s="823"/>
      <c r="J81" s="823"/>
      <c r="K81" s="183">
        <v>45751</v>
      </c>
      <c r="L81" s="181" t="s">
        <v>599</v>
      </c>
      <c r="M81" s="183"/>
      <c r="N81" s="839"/>
      <c r="O81" s="839"/>
      <c r="P81" s="839"/>
    </row>
    <row r="82" spans="1:16" s="153" customFormat="1" ht="33" customHeight="1">
      <c r="A82" s="181">
        <f t="shared" si="1"/>
        <v>70</v>
      </c>
      <c r="B82" s="182" t="s">
        <v>173</v>
      </c>
      <c r="C82" s="181" t="s">
        <v>448</v>
      </c>
      <c r="D82" s="181" t="s">
        <v>651</v>
      </c>
      <c r="E82" s="183">
        <v>45744</v>
      </c>
      <c r="F82" s="184">
        <v>11.42</v>
      </c>
      <c r="G82" s="822" t="s">
        <v>402</v>
      </c>
      <c r="H82" s="823"/>
      <c r="I82" s="823"/>
      <c r="J82" s="823"/>
      <c r="K82" s="183">
        <v>45758</v>
      </c>
      <c r="L82" s="181" t="s">
        <v>599</v>
      </c>
      <c r="M82" s="181"/>
      <c r="N82" s="839"/>
      <c r="O82" s="839"/>
      <c r="P82" s="839"/>
    </row>
    <row r="83" spans="1:16" s="153" customFormat="1" ht="33" customHeight="1">
      <c r="A83" s="181">
        <f t="shared" si="1"/>
        <v>71</v>
      </c>
      <c r="B83" s="182" t="s">
        <v>165</v>
      </c>
      <c r="C83" s="181" t="s">
        <v>647</v>
      </c>
      <c r="D83" s="181" t="s">
        <v>239</v>
      </c>
      <c r="E83" s="183">
        <v>45749</v>
      </c>
      <c r="F83" s="184">
        <v>11.42</v>
      </c>
      <c r="G83" s="822" t="s">
        <v>402</v>
      </c>
      <c r="H83" s="823"/>
      <c r="I83" s="823"/>
      <c r="J83" s="823"/>
      <c r="K83" s="183">
        <v>45782</v>
      </c>
      <c r="L83" s="181" t="s">
        <v>644</v>
      </c>
      <c r="M83" s="181"/>
      <c r="N83" s="839"/>
      <c r="O83" s="839"/>
      <c r="P83" s="839"/>
    </row>
    <row r="84" spans="1:16" s="153" customFormat="1" ht="33" customHeight="1">
      <c r="A84" s="181">
        <f t="shared" si="1"/>
        <v>72</v>
      </c>
      <c r="B84" s="182" t="s">
        <v>645</v>
      </c>
      <c r="C84" s="181" t="s">
        <v>476</v>
      </c>
      <c r="D84" s="181" t="s">
        <v>239</v>
      </c>
      <c r="E84" s="183">
        <v>45755</v>
      </c>
      <c r="F84" s="184">
        <v>32.22</v>
      </c>
      <c r="G84" s="822" t="s">
        <v>402</v>
      </c>
      <c r="H84" s="823"/>
      <c r="I84" s="823"/>
      <c r="J84" s="823"/>
      <c r="K84" s="183">
        <v>45778</v>
      </c>
      <c r="L84" s="181" t="s">
        <v>599</v>
      </c>
      <c r="M84" s="181"/>
      <c r="N84" s="840"/>
      <c r="O84" s="840"/>
      <c r="P84" s="840"/>
    </row>
    <row r="85" spans="1:16" s="153" customFormat="1" ht="33" customHeight="1">
      <c r="A85" s="181">
        <f t="shared" si="1"/>
        <v>73</v>
      </c>
      <c r="B85" s="182" t="s">
        <v>559</v>
      </c>
      <c r="C85" s="181" t="s">
        <v>401</v>
      </c>
      <c r="D85" s="181" t="s">
        <v>239</v>
      </c>
      <c r="E85" s="183">
        <v>45758</v>
      </c>
      <c r="F85" s="184">
        <v>11.42</v>
      </c>
      <c r="G85" s="822" t="s">
        <v>402</v>
      </c>
      <c r="H85" s="823"/>
      <c r="I85" s="823"/>
      <c r="J85" s="823"/>
      <c r="K85" s="183">
        <v>45765</v>
      </c>
      <c r="L85" s="181" t="s">
        <v>599</v>
      </c>
      <c r="M85" s="181"/>
      <c r="N85" s="839"/>
      <c r="O85" s="839"/>
      <c r="P85" s="839"/>
    </row>
    <row r="86" spans="1:16" s="153" customFormat="1" ht="33" customHeight="1">
      <c r="A86" s="181">
        <f t="shared" si="1"/>
        <v>74</v>
      </c>
      <c r="B86" s="182" t="s">
        <v>154</v>
      </c>
      <c r="C86" s="181" t="s">
        <v>648</v>
      </c>
      <c r="D86" s="181" t="s">
        <v>239</v>
      </c>
      <c r="E86" s="183">
        <v>45760</v>
      </c>
      <c r="F86" s="184">
        <v>11.73</v>
      </c>
      <c r="G86" s="822" t="s">
        <v>402</v>
      </c>
      <c r="H86" s="823"/>
      <c r="I86" s="823"/>
      <c r="J86" s="823"/>
      <c r="K86" s="183">
        <v>45800</v>
      </c>
      <c r="L86" s="181" t="s">
        <v>644</v>
      </c>
      <c r="M86" s="448"/>
      <c r="N86" s="839"/>
      <c r="O86" s="839"/>
      <c r="P86" s="839"/>
    </row>
    <row r="87" spans="1:16" s="153" customFormat="1" ht="33" customHeight="1">
      <c r="A87" s="181">
        <f t="shared" si="1"/>
        <v>75</v>
      </c>
      <c r="B87" s="182" t="s">
        <v>164</v>
      </c>
      <c r="C87" s="181" t="s">
        <v>647</v>
      </c>
      <c r="D87" s="181" t="s">
        <v>239</v>
      </c>
      <c r="E87" s="183">
        <v>45762</v>
      </c>
      <c r="F87" s="184">
        <v>11.42</v>
      </c>
      <c r="G87" s="822" t="s">
        <v>402</v>
      </c>
      <c r="H87" s="823"/>
      <c r="I87" s="823"/>
      <c r="J87" s="823"/>
      <c r="K87" s="183">
        <v>45792</v>
      </c>
      <c r="L87" s="181" t="s">
        <v>644</v>
      </c>
      <c r="M87" s="181"/>
      <c r="N87" s="839"/>
      <c r="O87" s="839"/>
      <c r="P87" s="839"/>
    </row>
    <row r="88" spans="1:16" s="153" customFormat="1" ht="33" customHeight="1">
      <c r="A88" s="181">
        <f t="shared" si="1"/>
        <v>76</v>
      </c>
      <c r="B88" s="182" t="s">
        <v>151</v>
      </c>
      <c r="C88" s="181" t="s">
        <v>647</v>
      </c>
      <c r="D88" s="181" t="s">
        <v>239</v>
      </c>
      <c r="E88" s="183">
        <v>45763</v>
      </c>
      <c r="F88" s="184">
        <v>11.42</v>
      </c>
      <c r="G88" s="822" t="s">
        <v>402</v>
      </c>
      <c r="H88" s="823"/>
      <c r="I88" s="823"/>
      <c r="J88" s="823"/>
      <c r="K88" s="183">
        <v>45796</v>
      </c>
      <c r="L88" s="181" t="s">
        <v>644</v>
      </c>
      <c r="M88" s="181"/>
      <c r="N88" s="841"/>
      <c r="O88" s="842"/>
      <c r="P88" s="842"/>
    </row>
    <row r="89" spans="1:16" s="153" customFormat="1" ht="33" customHeight="1">
      <c r="A89" s="181">
        <f t="shared" si="1"/>
        <v>77</v>
      </c>
      <c r="B89" s="182" t="s">
        <v>557</v>
      </c>
      <c r="C89" s="181" t="s">
        <v>643</v>
      </c>
      <c r="D89" s="181" t="s">
        <v>239</v>
      </c>
      <c r="E89" s="183">
        <v>45764</v>
      </c>
      <c r="F89" s="184">
        <v>11.42</v>
      </c>
      <c r="G89" s="822" t="s">
        <v>402</v>
      </c>
      <c r="H89" s="823"/>
      <c r="I89" s="823"/>
      <c r="J89" s="823"/>
      <c r="K89" s="183">
        <v>45772</v>
      </c>
      <c r="L89" s="181" t="s">
        <v>599</v>
      </c>
      <c r="M89" s="181"/>
      <c r="N89" s="841"/>
      <c r="O89" s="842"/>
      <c r="P89" s="842"/>
    </row>
    <row r="90" spans="1:16" s="153" customFormat="1" ht="33" customHeight="1">
      <c r="A90" s="181">
        <f t="shared" si="1"/>
        <v>78</v>
      </c>
      <c r="B90" s="182" t="s">
        <v>555</v>
      </c>
      <c r="C90" s="181" t="s">
        <v>652</v>
      </c>
      <c r="D90" s="181" t="s">
        <v>239</v>
      </c>
      <c r="E90" s="183">
        <v>45779</v>
      </c>
      <c r="F90" s="184">
        <v>72.2</v>
      </c>
      <c r="G90" s="822" t="s">
        <v>402</v>
      </c>
      <c r="H90" s="823"/>
      <c r="I90" s="823"/>
      <c r="J90" s="823"/>
      <c r="K90" s="183">
        <v>45791</v>
      </c>
      <c r="L90" s="181" t="s">
        <v>599</v>
      </c>
      <c r="M90" s="181"/>
      <c r="N90" s="841"/>
      <c r="O90" s="842"/>
      <c r="P90" s="842"/>
    </row>
    <row r="91" spans="1:16" s="153" customFormat="1" ht="33" customHeight="1">
      <c r="A91" s="181">
        <f t="shared" si="1"/>
        <v>79</v>
      </c>
      <c r="B91" s="182" t="s">
        <v>654</v>
      </c>
      <c r="C91" s="181" t="s">
        <v>643</v>
      </c>
      <c r="D91" s="181" t="s">
        <v>239</v>
      </c>
      <c r="E91" s="183">
        <v>45787</v>
      </c>
      <c r="F91" s="184">
        <v>28.1</v>
      </c>
      <c r="G91" s="822" t="s">
        <v>402</v>
      </c>
      <c r="H91" s="823"/>
      <c r="I91" s="823"/>
      <c r="J91" s="823"/>
      <c r="K91" s="183">
        <v>45803</v>
      </c>
      <c r="L91" s="181" t="s">
        <v>646</v>
      </c>
      <c r="M91" s="181"/>
      <c r="N91" s="841"/>
      <c r="O91" s="842"/>
      <c r="P91" s="842"/>
    </row>
    <row r="92" spans="1:16" s="153" customFormat="1" ht="33" customHeight="1">
      <c r="A92" s="181">
        <f t="shared" si="1"/>
        <v>80</v>
      </c>
      <c r="B92" s="182" t="s">
        <v>8</v>
      </c>
      <c r="C92" s="181" t="s">
        <v>452</v>
      </c>
      <c r="D92" s="181" t="s">
        <v>239</v>
      </c>
      <c r="E92" s="183">
        <v>45788</v>
      </c>
      <c r="F92" s="184">
        <v>11.73</v>
      </c>
      <c r="G92" s="822" t="s">
        <v>402</v>
      </c>
      <c r="H92" s="823"/>
      <c r="I92" s="823"/>
      <c r="J92" s="823"/>
      <c r="K92" s="183">
        <v>45800</v>
      </c>
      <c r="L92" s="181" t="s">
        <v>599</v>
      </c>
      <c r="M92" s="181"/>
      <c r="N92" s="841"/>
      <c r="O92" s="842"/>
      <c r="P92" s="842"/>
    </row>
    <row r="93" spans="1:16" s="153" customFormat="1" ht="33" customHeight="1">
      <c r="A93" s="181">
        <f t="shared" si="1"/>
        <v>81</v>
      </c>
      <c r="B93" s="182" t="s">
        <v>130</v>
      </c>
      <c r="C93" s="181" t="s">
        <v>656</v>
      </c>
      <c r="D93" s="181" t="s">
        <v>239</v>
      </c>
      <c r="E93" s="183">
        <v>45788</v>
      </c>
      <c r="F93" s="184">
        <v>11.73</v>
      </c>
      <c r="G93" s="822" t="s">
        <v>402</v>
      </c>
      <c r="H93" s="823"/>
      <c r="I93" s="823"/>
      <c r="J93" s="823"/>
      <c r="K93" s="183">
        <v>45811</v>
      </c>
      <c r="L93" s="181" t="s">
        <v>646</v>
      </c>
      <c r="M93" s="181"/>
      <c r="N93" s="839"/>
      <c r="O93" s="839"/>
      <c r="P93" s="839"/>
    </row>
    <row r="94" spans="1:16" s="153" customFormat="1" ht="33" customHeight="1">
      <c r="A94" s="181">
        <f t="shared" si="1"/>
        <v>82</v>
      </c>
      <c r="B94" s="182" t="s">
        <v>40</v>
      </c>
      <c r="C94" s="181" t="s">
        <v>444</v>
      </c>
      <c r="D94" s="181" t="s">
        <v>239</v>
      </c>
      <c r="E94" s="183">
        <v>45791</v>
      </c>
      <c r="F94" s="184">
        <v>11.73</v>
      </c>
      <c r="G94" s="822" t="s">
        <v>402</v>
      </c>
      <c r="H94" s="823"/>
      <c r="I94" s="823"/>
      <c r="J94" s="823"/>
      <c r="K94" s="183">
        <v>45801</v>
      </c>
      <c r="L94" s="181" t="s">
        <v>599</v>
      </c>
      <c r="M94" s="181"/>
      <c r="N94" s="841"/>
      <c r="O94" s="842"/>
      <c r="P94" s="842"/>
    </row>
    <row r="95" spans="1:16" s="153" customFormat="1" ht="33" customHeight="1">
      <c r="A95" s="181">
        <f t="shared" si="1"/>
        <v>83</v>
      </c>
      <c r="B95" s="182" t="s">
        <v>131</v>
      </c>
      <c r="C95" s="181" t="s">
        <v>656</v>
      </c>
      <c r="D95" s="181" t="s">
        <v>239</v>
      </c>
      <c r="E95" s="183">
        <v>45803</v>
      </c>
      <c r="F95" s="184">
        <v>11.73</v>
      </c>
      <c r="G95" s="822" t="s">
        <v>402</v>
      </c>
      <c r="H95" s="823"/>
      <c r="I95" s="823"/>
      <c r="J95" s="823"/>
      <c r="K95" s="183">
        <v>45817</v>
      </c>
      <c r="L95" s="181" t="s">
        <v>646</v>
      </c>
      <c r="M95" s="181"/>
      <c r="N95" s="839"/>
      <c r="O95" s="839"/>
      <c r="P95" s="839"/>
    </row>
    <row r="96" spans="1:16" s="153" customFormat="1" ht="33" customHeight="1">
      <c r="A96" s="181">
        <f t="shared" si="1"/>
        <v>84</v>
      </c>
      <c r="B96" s="182" t="s">
        <v>149</v>
      </c>
      <c r="C96" s="181" t="s">
        <v>656</v>
      </c>
      <c r="D96" s="181" t="s">
        <v>239</v>
      </c>
      <c r="E96" s="183">
        <v>45802</v>
      </c>
      <c r="F96" s="184">
        <v>11.73</v>
      </c>
      <c r="G96" s="822" t="s">
        <v>402</v>
      </c>
      <c r="H96" s="823"/>
      <c r="I96" s="823"/>
      <c r="J96" s="823"/>
      <c r="K96" s="183">
        <v>45809</v>
      </c>
      <c r="L96" s="181" t="s">
        <v>644</v>
      </c>
      <c r="M96" s="181"/>
      <c r="N96" s="839"/>
      <c r="O96" s="839"/>
      <c r="P96" s="839"/>
    </row>
    <row r="97" spans="1:16" s="153" customFormat="1" ht="33" customHeight="1">
      <c r="A97" s="181">
        <f t="shared" si="1"/>
        <v>85</v>
      </c>
      <c r="B97" s="182" t="s">
        <v>134</v>
      </c>
      <c r="C97" s="181" t="s">
        <v>647</v>
      </c>
      <c r="D97" s="181" t="s">
        <v>239</v>
      </c>
      <c r="E97" s="183">
        <v>45810</v>
      </c>
      <c r="F97" s="184">
        <v>11.42</v>
      </c>
      <c r="G97" s="822" t="s">
        <v>402</v>
      </c>
      <c r="H97" s="823"/>
      <c r="I97" s="823"/>
      <c r="J97" s="823"/>
      <c r="K97" s="183">
        <v>45819</v>
      </c>
      <c r="L97" s="181" t="s">
        <v>644</v>
      </c>
      <c r="M97" s="181"/>
      <c r="N97" s="443"/>
      <c r="O97" s="443"/>
      <c r="P97" s="443"/>
    </row>
    <row r="98" spans="1:16" s="153" customFormat="1" ht="33" customHeight="1">
      <c r="A98" s="181">
        <f t="shared" si="1"/>
        <v>86</v>
      </c>
      <c r="B98" s="182" t="s">
        <v>658</v>
      </c>
      <c r="C98" s="181" t="s">
        <v>116</v>
      </c>
      <c r="D98" s="181" t="s">
        <v>239</v>
      </c>
      <c r="E98" s="183">
        <v>45810</v>
      </c>
      <c r="F98" s="184">
        <v>49.3</v>
      </c>
      <c r="G98" s="822" t="s">
        <v>402</v>
      </c>
      <c r="H98" s="823"/>
      <c r="I98" s="823"/>
      <c r="J98" s="823"/>
      <c r="K98" s="183">
        <v>45824</v>
      </c>
      <c r="L98" s="181" t="s">
        <v>599</v>
      </c>
      <c r="M98" s="181"/>
      <c r="N98" s="443"/>
      <c r="O98" s="443"/>
      <c r="P98" s="443"/>
    </row>
    <row r="99" spans="1:16" s="153" customFormat="1" ht="33" customHeight="1">
      <c r="A99" s="181">
        <f t="shared" si="1"/>
        <v>87</v>
      </c>
      <c r="B99" s="182" t="s">
        <v>138</v>
      </c>
      <c r="C99" s="181" t="s">
        <v>453</v>
      </c>
      <c r="D99" s="181" t="s">
        <v>239</v>
      </c>
      <c r="E99" s="183">
        <v>45810</v>
      </c>
      <c r="F99" s="184">
        <v>11.73</v>
      </c>
      <c r="G99" s="822" t="s">
        <v>402</v>
      </c>
      <c r="H99" s="823"/>
      <c r="I99" s="823"/>
      <c r="J99" s="823"/>
      <c r="K99" s="183">
        <v>45828</v>
      </c>
      <c r="L99" s="181" t="s">
        <v>644</v>
      </c>
      <c r="M99" s="181"/>
      <c r="N99" s="443"/>
      <c r="O99" s="443"/>
      <c r="P99" s="443"/>
    </row>
    <row r="100" spans="1:16" s="153" customFormat="1" ht="33" customHeight="1">
      <c r="A100" s="181">
        <f t="shared" si="1"/>
        <v>88</v>
      </c>
      <c r="B100" s="182" t="s">
        <v>139</v>
      </c>
      <c r="C100" s="181" t="s">
        <v>453</v>
      </c>
      <c r="D100" s="181" t="s">
        <v>239</v>
      </c>
      <c r="E100" s="183">
        <v>45811</v>
      </c>
      <c r="F100" s="184">
        <v>11.73</v>
      </c>
      <c r="G100" s="822" t="s">
        <v>402</v>
      </c>
      <c r="H100" s="823"/>
      <c r="I100" s="823"/>
      <c r="J100" s="823"/>
      <c r="K100" s="183">
        <v>45818</v>
      </c>
      <c r="L100" s="181" t="s">
        <v>659</v>
      </c>
      <c r="M100" s="181"/>
      <c r="N100" s="443"/>
      <c r="O100" s="443"/>
      <c r="P100" s="443"/>
    </row>
    <row r="101" spans="1:16" s="153" customFormat="1" ht="33" customHeight="1">
      <c r="A101" s="181">
        <f t="shared" si="1"/>
        <v>89</v>
      </c>
      <c r="B101" s="182" t="s">
        <v>118</v>
      </c>
      <c r="C101" s="181" t="s">
        <v>648</v>
      </c>
      <c r="D101" s="181" t="s">
        <v>239</v>
      </c>
      <c r="E101" s="183">
        <v>45814</v>
      </c>
      <c r="F101" s="184">
        <v>11.73</v>
      </c>
      <c r="G101" s="822" t="s">
        <v>402</v>
      </c>
      <c r="H101" s="823"/>
      <c r="I101" s="823"/>
      <c r="J101" s="823"/>
      <c r="K101" s="183">
        <v>45829</v>
      </c>
      <c r="L101" s="181" t="s">
        <v>661</v>
      </c>
      <c r="M101" s="181"/>
      <c r="N101" s="443"/>
      <c r="O101" s="443"/>
      <c r="P101" s="443"/>
    </row>
    <row r="102" spans="1:16" s="153" customFormat="1" ht="33" customHeight="1">
      <c r="A102" s="181">
        <f t="shared" si="1"/>
        <v>90</v>
      </c>
      <c r="B102" s="182" t="s">
        <v>19</v>
      </c>
      <c r="C102" s="181" t="s">
        <v>660</v>
      </c>
      <c r="D102" s="181" t="s">
        <v>239</v>
      </c>
      <c r="E102" s="183">
        <v>45817</v>
      </c>
      <c r="F102" s="184">
        <v>34</v>
      </c>
      <c r="G102" s="822" t="s">
        <v>402</v>
      </c>
      <c r="H102" s="823"/>
      <c r="I102" s="823"/>
      <c r="J102" s="823"/>
      <c r="K102" s="183">
        <v>45828</v>
      </c>
      <c r="L102" s="181" t="s">
        <v>646</v>
      </c>
      <c r="M102" s="181"/>
      <c r="N102" s="443"/>
      <c r="O102" s="443"/>
      <c r="P102" s="443"/>
    </row>
    <row r="103" spans="1:16" s="153" customFormat="1" ht="33" customHeight="1">
      <c r="A103" s="181">
        <f t="shared" si="1"/>
        <v>91</v>
      </c>
      <c r="B103" s="182" t="s">
        <v>120</v>
      </c>
      <c r="C103" s="181" t="s">
        <v>656</v>
      </c>
      <c r="D103" s="181" t="s">
        <v>239</v>
      </c>
      <c r="E103" s="183">
        <v>45818</v>
      </c>
      <c r="F103" s="184">
        <v>11.73</v>
      </c>
      <c r="G103" s="822" t="s">
        <v>402</v>
      </c>
      <c r="H103" s="823"/>
      <c r="I103" s="823"/>
      <c r="J103" s="823"/>
      <c r="K103" s="183">
        <v>45840</v>
      </c>
      <c r="L103" s="181" t="s">
        <v>675</v>
      </c>
      <c r="M103" s="181"/>
      <c r="N103" s="443"/>
      <c r="O103" s="443"/>
      <c r="P103" s="443"/>
    </row>
    <row r="104" spans="1:16" s="153" customFormat="1" ht="33" customHeight="1">
      <c r="A104" s="181">
        <f t="shared" si="1"/>
        <v>92</v>
      </c>
      <c r="B104" s="182" t="s">
        <v>119</v>
      </c>
      <c r="C104" s="181" t="s">
        <v>648</v>
      </c>
      <c r="D104" s="181" t="s">
        <v>239</v>
      </c>
      <c r="E104" s="183">
        <v>45820</v>
      </c>
      <c r="F104" s="184">
        <v>11.73</v>
      </c>
      <c r="G104" s="822" t="s">
        <v>402</v>
      </c>
      <c r="H104" s="823"/>
      <c r="I104" s="823"/>
      <c r="J104" s="823"/>
      <c r="K104" s="183">
        <v>45838</v>
      </c>
      <c r="L104" s="181" t="s">
        <v>599</v>
      </c>
      <c r="M104" s="181"/>
      <c r="N104" s="443"/>
      <c r="O104" s="443"/>
      <c r="P104" s="443"/>
    </row>
    <row r="105" spans="1:16" s="153" customFormat="1" ht="33" customHeight="1">
      <c r="A105" s="181">
        <f t="shared" si="1"/>
        <v>93</v>
      </c>
      <c r="B105" s="182" t="s">
        <v>150</v>
      </c>
      <c r="C105" s="181" t="s">
        <v>647</v>
      </c>
      <c r="D105" s="181" t="s">
        <v>239</v>
      </c>
      <c r="E105" s="183">
        <v>45820</v>
      </c>
      <c r="F105" s="184">
        <v>11.42</v>
      </c>
      <c r="G105" s="822" t="s">
        <v>402</v>
      </c>
      <c r="H105" s="823"/>
      <c r="I105" s="823"/>
      <c r="J105" s="823"/>
      <c r="K105" s="183">
        <v>45826</v>
      </c>
      <c r="L105" s="181" t="s">
        <v>659</v>
      </c>
      <c r="M105" s="181"/>
      <c r="N105" s="443"/>
      <c r="O105" s="443"/>
      <c r="P105" s="443"/>
    </row>
    <row r="106" spans="1:16" s="153" customFormat="1" ht="33" customHeight="1">
      <c r="A106" s="181">
        <f t="shared" si="1"/>
        <v>94</v>
      </c>
      <c r="B106" s="182" t="s">
        <v>607</v>
      </c>
      <c r="C106" s="181" t="s">
        <v>652</v>
      </c>
      <c r="D106" s="181" t="s">
        <v>239</v>
      </c>
      <c r="E106" s="183">
        <v>45824</v>
      </c>
      <c r="F106" s="184">
        <v>99.27</v>
      </c>
      <c r="G106" s="822" t="s">
        <v>402</v>
      </c>
      <c r="H106" s="823"/>
      <c r="I106" s="823"/>
      <c r="J106" s="823"/>
      <c r="K106" s="183">
        <v>45833</v>
      </c>
      <c r="L106" s="181" t="s">
        <v>659</v>
      </c>
      <c r="M106" s="181"/>
      <c r="N106" s="443"/>
      <c r="O106" s="443"/>
      <c r="P106" s="443"/>
    </row>
    <row r="107" spans="1:16" s="153" customFormat="1" ht="33" customHeight="1">
      <c r="A107" s="181">
        <f t="shared" si="1"/>
        <v>95</v>
      </c>
      <c r="B107" s="182" t="s">
        <v>663</v>
      </c>
      <c r="C107" s="181" t="s">
        <v>116</v>
      </c>
      <c r="D107" s="181" t="s">
        <v>239</v>
      </c>
      <c r="E107" s="183">
        <v>45826</v>
      </c>
      <c r="F107" s="184">
        <v>49.3</v>
      </c>
      <c r="G107" s="822" t="s">
        <v>402</v>
      </c>
      <c r="H107" s="823"/>
      <c r="I107" s="823"/>
      <c r="J107" s="823"/>
      <c r="K107" s="183">
        <v>45839</v>
      </c>
      <c r="L107" s="181" t="s">
        <v>646</v>
      </c>
      <c r="M107" s="181"/>
      <c r="N107" s="443"/>
      <c r="O107" s="443"/>
      <c r="P107" s="443"/>
    </row>
    <row r="108" spans="1:16" s="153" customFormat="1" ht="33" customHeight="1">
      <c r="A108" s="181">
        <f t="shared" si="1"/>
        <v>96</v>
      </c>
      <c r="B108" s="182" t="s">
        <v>153</v>
      </c>
      <c r="C108" s="181" t="s">
        <v>647</v>
      </c>
      <c r="D108" s="181" t="s">
        <v>239</v>
      </c>
      <c r="E108" s="183">
        <v>45826</v>
      </c>
      <c r="F108" s="184">
        <v>11.42</v>
      </c>
      <c r="G108" s="822" t="s">
        <v>402</v>
      </c>
      <c r="H108" s="823"/>
      <c r="I108" s="823"/>
      <c r="J108" s="823"/>
      <c r="K108" s="183">
        <v>45832</v>
      </c>
      <c r="L108" s="181" t="s">
        <v>659</v>
      </c>
      <c r="M108" s="181"/>
      <c r="N108" s="443"/>
      <c r="O108" s="443"/>
      <c r="P108" s="443"/>
    </row>
    <row r="109" spans="1:16" s="153" customFormat="1" ht="33" customHeight="1">
      <c r="A109" s="181">
        <f t="shared" si="1"/>
        <v>97</v>
      </c>
      <c r="B109" s="182" t="s">
        <v>187</v>
      </c>
      <c r="C109" s="181" t="s">
        <v>664</v>
      </c>
      <c r="D109" s="181" t="s">
        <v>239</v>
      </c>
      <c r="E109" s="183">
        <v>45831</v>
      </c>
      <c r="F109" s="184">
        <v>11.42</v>
      </c>
      <c r="G109" s="822" t="s">
        <v>402</v>
      </c>
      <c r="H109" s="823"/>
      <c r="I109" s="823"/>
      <c r="J109" s="823"/>
      <c r="K109" s="183">
        <v>45835</v>
      </c>
      <c r="L109" s="181" t="s">
        <v>661</v>
      </c>
      <c r="M109" s="181"/>
      <c r="N109" s="443"/>
      <c r="O109" s="443"/>
      <c r="P109" s="443"/>
    </row>
    <row r="110" spans="1:16" s="153" customFormat="1" ht="33" customHeight="1">
      <c r="A110" s="181">
        <f t="shared" si="1"/>
        <v>98</v>
      </c>
      <c r="B110" s="182" t="s">
        <v>158</v>
      </c>
      <c r="C110" s="181" t="s">
        <v>647</v>
      </c>
      <c r="D110" s="181" t="s">
        <v>239</v>
      </c>
      <c r="E110" s="183">
        <v>45832</v>
      </c>
      <c r="F110" s="184">
        <v>11.42</v>
      </c>
      <c r="G110" s="822" t="s">
        <v>402</v>
      </c>
      <c r="H110" s="823"/>
      <c r="I110" s="823"/>
      <c r="J110" s="823"/>
      <c r="K110" s="183">
        <v>45847</v>
      </c>
      <c r="L110" s="181" t="s">
        <v>676</v>
      </c>
      <c r="M110" s="181"/>
      <c r="N110" s="443"/>
      <c r="O110" s="443"/>
      <c r="P110" s="443"/>
    </row>
    <row r="111" spans="1:16" s="153" customFormat="1" ht="33" customHeight="1">
      <c r="A111" s="181">
        <f t="shared" si="1"/>
        <v>99</v>
      </c>
      <c r="B111" s="182" t="s">
        <v>155</v>
      </c>
      <c r="C111" s="181" t="s">
        <v>647</v>
      </c>
      <c r="D111" s="181" t="s">
        <v>239</v>
      </c>
      <c r="E111" s="183">
        <v>45832</v>
      </c>
      <c r="F111" s="184">
        <v>11.42</v>
      </c>
      <c r="G111" s="822" t="s">
        <v>402</v>
      </c>
      <c r="H111" s="823"/>
      <c r="I111" s="823"/>
      <c r="J111" s="823"/>
      <c r="K111" s="183">
        <v>45841</v>
      </c>
      <c r="L111" s="181" t="s">
        <v>667</v>
      </c>
      <c r="M111" s="181"/>
      <c r="N111" s="443"/>
      <c r="O111" s="443"/>
      <c r="P111" s="443"/>
    </row>
    <row r="112" spans="1:16" s="153" customFormat="1" ht="33" customHeight="1">
      <c r="A112" s="181">
        <f t="shared" si="1"/>
        <v>100</v>
      </c>
      <c r="B112" s="182" t="s">
        <v>6</v>
      </c>
      <c r="C112" s="181" t="s">
        <v>448</v>
      </c>
      <c r="D112" s="181" t="s">
        <v>239</v>
      </c>
      <c r="E112" s="183">
        <v>45833</v>
      </c>
      <c r="F112" s="184">
        <v>11.42</v>
      </c>
      <c r="G112" s="822" t="s">
        <v>402</v>
      </c>
      <c r="H112" s="823"/>
      <c r="I112" s="823"/>
      <c r="J112" s="823"/>
      <c r="K112" s="183">
        <v>45838</v>
      </c>
      <c r="L112" s="181" t="s">
        <v>661</v>
      </c>
      <c r="M112" s="181"/>
      <c r="N112" s="443"/>
      <c r="O112" s="443"/>
      <c r="P112" s="443"/>
    </row>
    <row r="113" spans="1:16" s="153" customFormat="1" ht="33" customHeight="1">
      <c r="A113" s="181">
        <f t="shared" si="1"/>
        <v>101</v>
      </c>
      <c r="B113" s="182" t="s">
        <v>665</v>
      </c>
      <c r="C113" s="181" t="s">
        <v>666</v>
      </c>
      <c r="D113" s="181" t="s">
        <v>239</v>
      </c>
      <c r="E113" s="183">
        <v>45833</v>
      </c>
      <c r="F113" s="184">
        <v>28.1</v>
      </c>
      <c r="G113" s="822" t="s">
        <v>402</v>
      </c>
      <c r="H113" s="823"/>
      <c r="I113" s="823"/>
      <c r="J113" s="823"/>
      <c r="K113" s="183">
        <v>45858</v>
      </c>
      <c r="L113" s="181" t="s">
        <v>676</v>
      </c>
      <c r="M113" s="181"/>
      <c r="N113" s="443"/>
      <c r="O113" s="443"/>
      <c r="P113" s="443"/>
    </row>
    <row r="114" spans="1:16" s="153" customFormat="1" ht="33" customHeight="1">
      <c r="A114" s="181">
        <f t="shared" si="1"/>
        <v>102</v>
      </c>
      <c r="B114" s="182" t="s">
        <v>162</v>
      </c>
      <c r="C114" s="181" t="s">
        <v>401</v>
      </c>
      <c r="D114" s="181" t="s">
        <v>239</v>
      </c>
      <c r="E114" s="183">
        <v>45835</v>
      </c>
      <c r="F114" s="184">
        <v>11.42</v>
      </c>
      <c r="G114" s="822" t="s">
        <v>402</v>
      </c>
      <c r="H114" s="823"/>
      <c r="I114" s="823"/>
      <c r="J114" s="823"/>
      <c r="K114" s="183">
        <v>45843</v>
      </c>
      <c r="L114" s="181" t="s">
        <v>667</v>
      </c>
      <c r="M114" s="181"/>
      <c r="N114" s="443"/>
      <c r="O114" s="443"/>
      <c r="P114" s="443"/>
    </row>
    <row r="115" spans="1:16" s="153" customFormat="1" ht="33" customHeight="1">
      <c r="A115" s="181">
        <f t="shared" si="1"/>
        <v>103</v>
      </c>
      <c r="B115" s="182" t="s">
        <v>163</v>
      </c>
      <c r="C115" s="181" t="s">
        <v>669</v>
      </c>
      <c r="D115" s="181" t="s">
        <v>239</v>
      </c>
      <c r="E115" s="183">
        <v>45836</v>
      </c>
      <c r="F115" s="184">
        <v>11.42</v>
      </c>
      <c r="G115" s="822" t="s">
        <v>402</v>
      </c>
      <c r="H115" s="823"/>
      <c r="I115" s="823"/>
      <c r="J115" s="823"/>
      <c r="K115" s="183">
        <v>45861</v>
      </c>
      <c r="L115" s="181" t="s">
        <v>675</v>
      </c>
      <c r="M115" s="181"/>
      <c r="N115" s="443"/>
      <c r="O115" s="443"/>
      <c r="P115" s="443"/>
    </row>
    <row r="116" spans="1:16" s="153" customFormat="1" ht="33" customHeight="1">
      <c r="A116" s="181">
        <f t="shared" si="1"/>
        <v>104</v>
      </c>
      <c r="B116" s="182" t="s">
        <v>674</v>
      </c>
      <c r="C116" s="181" t="s">
        <v>594</v>
      </c>
      <c r="D116" s="181" t="s">
        <v>239</v>
      </c>
      <c r="E116" s="183">
        <v>45838</v>
      </c>
      <c r="F116" s="184">
        <v>27.5</v>
      </c>
      <c r="G116" s="822" t="s">
        <v>402</v>
      </c>
      <c r="H116" s="823"/>
      <c r="I116" s="823"/>
      <c r="J116" s="823"/>
      <c r="K116" s="183">
        <v>45846</v>
      </c>
      <c r="L116" s="181" t="s">
        <v>599</v>
      </c>
      <c r="M116" s="181"/>
      <c r="N116" s="443"/>
      <c r="O116" s="443"/>
      <c r="P116" s="443"/>
    </row>
    <row r="117" spans="1:16" s="153" customFormat="1" ht="33" customHeight="1">
      <c r="A117" s="181">
        <f t="shared" si="1"/>
        <v>105</v>
      </c>
      <c r="B117" s="182" t="s">
        <v>186</v>
      </c>
      <c r="C117" s="181" t="s">
        <v>669</v>
      </c>
      <c r="D117" s="181" t="s">
        <v>239</v>
      </c>
      <c r="E117" s="183">
        <v>45837</v>
      </c>
      <c r="F117" s="184">
        <v>11.42</v>
      </c>
      <c r="G117" s="822" t="s">
        <v>402</v>
      </c>
      <c r="H117" s="823"/>
      <c r="I117" s="823"/>
      <c r="J117" s="823"/>
      <c r="K117" s="183">
        <v>45840</v>
      </c>
      <c r="L117" s="181" t="s">
        <v>677</v>
      </c>
      <c r="M117" s="181"/>
      <c r="N117" s="443"/>
      <c r="O117" s="443"/>
      <c r="P117" s="443"/>
    </row>
    <row r="118" spans="1:16" s="153" customFormat="1" ht="33" customHeight="1">
      <c r="A118" s="181">
        <f t="shared" si="1"/>
        <v>106</v>
      </c>
      <c r="B118" s="182" t="s">
        <v>678</v>
      </c>
      <c r="C118" s="181" t="s">
        <v>629</v>
      </c>
      <c r="D118" s="181" t="s">
        <v>239</v>
      </c>
      <c r="E118" s="183">
        <v>45841</v>
      </c>
      <c r="F118" s="184">
        <v>28.1</v>
      </c>
      <c r="G118" s="822" t="s">
        <v>402</v>
      </c>
      <c r="H118" s="823"/>
      <c r="I118" s="823"/>
      <c r="J118" s="823"/>
      <c r="K118" s="183">
        <v>45851</v>
      </c>
      <c r="L118" s="181" t="s">
        <v>646</v>
      </c>
      <c r="M118" s="181"/>
      <c r="N118" s="443"/>
      <c r="O118" s="443"/>
      <c r="P118" s="443"/>
    </row>
    <row r="119" spans="1:16" s="153" customFormat="1" ht="33" customHeight="1">
      <c r="A119" s="181">
        <f t="shared" si="1"/>
        <v>107</v>
      </c>
      <c r="B119" s="182" t="s">
        <v>553</v>
      </c>
      <c r="C119" s="181" t="s">
        <v>652</v>
      </c>
      <c r="D119" s="181" t="s">
        <v>239</v>
      </c>
      <c r="E119" s="183">
        <v>45841</v>
      </c>
      <c r="F119" s="184">
        <v>99.27</v>
      </c>
      <c r="G119" s="822" t="s">
        <v>402</v>
      </c>
      <c r="H119" s="823"/>
      <c r="I119" s="823"/>
      <c r="J119" s="823"/>
      <c r="K119" s="183">
        <v>45854</v>
      </c>
      <c r="L119" s="181" t="s">
        <v>681</v>
      </c>
      <c r="M119" s="181"/>
      <c r="N119" s="443"/>
      <c r="O119" s="443"/>
      <c r="P119" s="443"/>
    </row>
    <row r="120" spans="1:16" s="153" customFormat="1" ht="33" customHeight="1">
      <c r="A120" s="181">
        <f t="shared" si="1"/>
        <v>108</v>
      </c>
      <c r="B120" s="182" t="s">
        <v>680</v>
      </c>
      <c r="C120" s="181" t="s">
        <v>598</v>
      </c>
      <c r="D120" s="181" t="s">
        <v>239</v>
      </c>
      <c r="E120" s="183">
        <v>45842</v>
      </c>
      <c r="F120" s="184">
        <v>28.1</v>
      </c>
      <c r="G120" s="822" t="s">
        <v>402</v>
      </c>
      <c r="H120" s="823"/>
      <c r="I120" s="823"/>
      <c r="J120" s="823"/>
      <c r="K120" s="183">
        <v>45852</v>
      </c>
      <c r="L120" s="181" t="s">
        <v>599</v>
      </c>
      <c r="M120" s="181"/>
      <c r="N120" s="443"/>
      <c r="O120" s="443"/>
      <c r="P120" s="443"/>
    </row>
    <row r="121" spans="1:16" s="153" customFormat="1" ht="33" customHeight="1">
      <c r="A121" s="181">
        <f t="shared" si="1"/>
        <v>109</v>
      </c>
      <c r="B121" s="182" t="s">
        <v>558</v>
      </c>
      <c r="C121" s="181" t="s">
        <v>452</v>
      </c>
      <c r="D121" s="181" t="s">
        <v>239</v>
      </c>
      <c r="E121" s="183">
        <v>45842</v>
      </c>
      <c r="F121" s="184">
        <v>11.73</v>
      </c>
      <c r="G121" s="822" t="s">
        <v>402</v>
      </c>
      <c r="H121" s="823"/>
      <c r="I121" s="823"/>
      <c r="J121" s="823"/>
      <c r="K121" s="183">
        <v>45848</v>
      </c>
      <c r="L121" s="181" t="s">
        <v>667</v>
      </c>
      <c r="M121" s="181"/>
      <c r="N121" s="443"/>
      <c r="O121" s="443"/>
      <c r="P121" s="443"/>
    </row>
    <row r="122" spans="1:16" s="153" customFormat="1" ht="33" customHeight="1">
      <c r="A122" s="181">
        <f t="shared" si="1"/>
        <v>110</v>
      </c>
      <c r="B122" s="182" t="s">
        <v>152</v>
      </c>
      <c r="C122" s="181" t="s">
        <v>448</v>
      </c>
      <c r="D122" s="181" t="s">
        <v>239</v>
      </c>
      <c r="E122" s="183">
        <v>45848</v>
      </c>
      <c r="F122" s="184">
        <v>11.42</v>
      </c>
      <c r="G122" s="822" t="s">
        <v>402</v>
      </c>
      <c r="H122" s="823"/>
      <c r="I122" s="823"/>
      <c r="J122" s="823"/>
      <c r="K122" s="183">
        <v>45854</v>
      </c>
      <c r="L122" s="181" t="s">
        <v>675</v>
      </c>
      <c r="M122" s="181"/>
      <c r="N122" s="443"/>
      <c r="O122" s="443"/>
      <c r="P122" s="443"/>
    </row>
    <row r="123" spans="1:16" s="153" customFormat="1" ht="33" customHeight="1">
      <c r="A123" s="181">
        <f t="shared" si="1"/>
        <v>111</v>
      </c>
      <c r="B123" s="182" t="s">
        <v>183</v>
      </c>
      <c r="C123" s="181" t="s">
        <v>452</v>
      </c>
      <c r="D123" s="181" t="s">
        <v>239</v>
      </c>
      <c r="E123" s="453" t="s">
        <v>682</v>
      </c>
      <c r="F123" s="184">
        <v>11.73</v>
      </c>
      <c r="G123" s="822" t="s">
        <v>402</v>
      </c>
      <c r="H123" s="823"/>
      <c r="I123" s="823"/>
      <c r="J123" s="823"/>
      <c r="K123" s="183">
        <v>45867</v>
      </c>
      <c r="L123" s="181" t="s">
        <v>661</v>
      </c>
      <c r="M123" s="181"/>
      <c r="N123" s="443"/>
      <c r="O123" s="443"/>
      <c r="P123" s="443"/>
    </row>
    <row r="124" spans="1:16" s="153" customFormat="1" ht="33" customHeight="1">
      <c r="A124" s="181">
        <f t="shared" si="1"/>
        <v>112</v>
      </c>
      <c r="B124" s="182" t="s">
        <v>188</v>
      </c>
      <c r="C124" s="181" t="s">
        <v>448</v>
      </c>
      <c r="D124" s="181" t="s">
        <v>239</v>
      </c>
      <c r="E124" s="183">
        <v>45853</v>
      </c>
      <c r="F124" s="184">
        <v>11.42</v>
      </c>
      <c r="G124" s="822" t="s">
        <v>402</v>
      </c>
      <c r="H124" s="823"/>
      <c r="I124" s="823"/>
      <c r="J124" s="823"/>
      <c r="K124" s="183">
        <v>45856</v>
      </c>
      <c r="L124" s="181" t="s">
        <v>599</v>
      </c>
      <c r="M124" s="181"/>
      <c r="N124" s="443"/>
      <c r="O124" s="443"/>
      <c r="P124" s="443"/>
    </row>
    <row r="125" spans="1:16" s="153" customFormat="1" ht="33" customHeight="1">
      <c r="A125" s="181">
        <f t="shared" si="1"/>
        <v>113</v>
      </c>
      <c r="B125" s="182" t="s">
        <v>184</v>
      </c>
      <c r="C125" s="181" t="s">
        <v>448</v>
      </c>
      <c r="D125" s="181" t="s">
        <v>239</v>
      </c>
      <c r="E125" s="183">
        <v>45870</v>
      </c>
      <c r="F125" s="184">
        <v>11.42</v>
      </c>
      <c r="G125" s="822" t="s">
        <v>402</v>
      </c>
      <c r="H125" s="823"/>
      <c r="I125" s="823"/>
      <c r="J125" s="823"/>
      <c r="K125" s="183">
        <v>45872</v>
      </c>
      <c r="L125" s="181" t="s">
        <v>793</v>
      </c>
      <c r="M125" s="181"/>
      <c r="N125" s="443"/>
      <c r="O125" s="443"/>
      <c r="P125" s="443"/>
    </row>
    <row r="126" spans="1:16" s="153" customFormat="1" ht="33" customHeight="1">
      <c r="A126" s="181">
        <f t="shared" si="1"/>
        <v>114</v>
      </c>
      <c r="B126" s="182" t="s">
        <v>185</v>
      </c>
      <c r="C126" s="181" t="s">
        <v>506</v>
      </c>
      <c r="D126" s="181" t="s">
        <v>239</v>
      </c>
      <c r="E126" s="183">
        <v>45871</v>
      </c>
      <c r="F126" s="184">
        <v>11.42</v>
      </c>
      <c r="G126" s="822" t="s">
        <v>402</v>
      </c>
      <c r="H126" s="823"/>
      <c r="I126" s="823"/>
      <c r="J126" s="823"/>
      <c r="K126" s="183">
        <v>45875</v>
      </c>
      <c r="L126" s="181" t="s">
        <v>683</v>
      </c>
      <c r="M126" s="181"/>
      <c r="N126" s="443"/>
      <c r="O126" s="443"/>
      <c r="P126" s="443"/>
    </row>
    <row r="127" spans="1:16" s="153" customFormat="1" ht="33" customHeight="1">
      <c r="A127" s="181">
        <f t="shared" si="1"/>
        <v>115</v>
      </c>
      <c r="B127" s="182" t="s">
        <v>689</v>
      </c>
      <c r="C127" s="181" t="s">
        <v>690</v>
      </c>
      <c r="D127" s="181" t="s">
        <v>239</v>
      </c>
      <c r="E127" s="183">
        <v>45892</v>
      </c>
      <c r="F127" s="184">
        <v>28.1</v>
      </c>
      <c r="G127" s="822" t="s">
        <v>402</v>
      </c>
      <c r="H127" s="823"/>
      <c r="I127" s="823"/>
      <c r="J127" s="823"/>
      <c r="K127" s="183">
        <v>45898</v>
      </c>
      <c r="L127" s="181" t="s">
        <v>683</v>
      </c>
      <c r="M127" s="181"/>
      <c r="N127" s="443"/>
      <c r="O127" s="443"/>
      <c r="P127" s="443"/>
    </row>
    <row r="128" spans="1:16" s="153" customFormat="1" ht="33" customHeight="1">
      <c r="A128" s="181">
        <f t="shared" si="1"/>
        <v>116</v>
      </c>
      <c r="B128" s="182" t="s">
        <v>182</v>
      </c>
      <c r="C128" s="181" t="s">
        <v>448</v>
      </c>
      <c r="D128" s="181" t="s">
        <v>239</v>
      </c>
      <c r="E128" s="183">
        <v>45963</v>
      </c>
      <c r="F128" s="184">
        <v>11.42</v>
      </c>
      <c r="G128" s="822" t="s">
        <v>402</v>
      </c>
      <c r="H128" s="823"/>
      <c r="I128" s="823"/>
      <c r="J128" s="823"/>
      <c r="K128" s="183">
        <v>45971</v>
      </c>
      <c r="L128" s="181" t="s">
        <v>796</v>
      </c>
      <c r="M128" s="181"/>
      <c r="N128" s="443"/>
      <c r="O128" s="443"/>
      <c r="P128" s="443"/>
    </row>
    <row r="129" spans="1:16" s="153" customFormat="1" ht="33" customHeight="1">
      <c r="A129" s="181">
        <f t="shared" si="1"/>
        <v>117</v>
      </c>
      <c r="B129" s="182" t="s">
        <v>181</v>
      </c>
      <c r="C129" s="181" t="s">
        <v>401</v>
      </c>
      <c r="D129" s="181" t="s">
        <v>239</v>
      </c>
      <c r="E129" s="183">
        <v>45965</v>
      </c>
      <c r="F129" s="184">
        <v>11.42</v>
      </c>
      <c r="G129" s="822" t="s">
        <v>402</v>
      </c>
      <c r="H129" s="823"/>
      <c r="I129" s="823"/>
      <c r="J129" s="823"/>
      <c r="K129" s="183">
        <v>45976</v>
      </c>
      <c r="L129" s="181" t="s">
        <v>797</v>
      </c>
      <c r="M129" s="181"/>
      <c r="N129" s="443"/>
      <c r="O129" s="443"/>
      <c r="P129" s="443"/>
    </row>
    <row r="130" spans="1:16" s="153" customFormat="1" ht="33" customHeight="1">
      <c r="A130" s="181">
        <f t="shared" si="1"/>
        <v>118</v>
      </c>
      <c r="B130" s="182" t="s">
        <v>799</v>
      </c>
      <c r="C130" s="181" t="s">
        <v>801</v>
      </c>
      <c r="D130" s="181" t="s">
        <v>239</v>
      </c>
      <c r="E130" s="183">
        <v>45973</v>
      </c>
      <c r="F130" s="184">
        <v>32.22</v>
      </c>
      <c r="G130" s="822" t="s">
        <v>402</v>
      </c>
      <c r="H130" s="823"/>
      <c r="I130" s="823"/>
      <c r="J130" s="823"/>
      <c r="K130" s="183">
        <v>45982</v>
      </c>
      <c r="L130" s="181" t="s">
        <v>796</v>
      </c>
      <c r="M130" s="574"/>
      <c r="N130" s="443"/>
      <c r="O130" s="443"/>
      <c r="P130" s="443"/>
    </row>
    <row r="131" spans="1:16" s="153" customFormat="1" ht="33" customHeight="1">
      <c r="A131" s="181">
        <f t="shared" si="1"/>
        <v>119</v>
      </c>
      <c r="B131" s="182" t="s">
        <v>800</v>
      </c>
      <c r="C131" s="181" t="s">
        <v>629</v>
      </c>
      <c r="D131" s="181" t="s">
        <v>239</v>
      </c>
      <c r="E131" s="183">
        <v>45974</v>
      </c>
      <c r="F131" s="184">
        <v>28.1</v>
      </c>
      <c r="G131" s="822" t="s">
        <v>402</v>
      </c>
      <c r="H131" s="823"/>
      <c r="I131" s="823"/>
      <c r="J131" s="823"/>
      <c r="K131" s="183">
        <v>45986</v>
      </c>
      <c r="L131" s="181" t="s">
        <v>797</v>
      </c>
      <c r="M131" s="575"/>
      <c r="N131" s="443"/>
      <c r="O131" s="443"/>
      <c r="P131" s="443"/>
    </row>
    <row r="132" spans="1:16" s="153" customFormat="1" ht="33" customHeight="1">
      <c r="A132" s="181">
        <f t="shared" si="1"/>
        <v>120</v>
      </c>
      <c r="B132" s="182" t="s">
        <v>616</v>
      </c>
      <c r="C132" s="181" t="s">
        <v>453</v>
      </c>
      <c r="D132" s="181" t="s">
        <v>809</v>
      </c>
      <c r="E132" s="183">
        <v>45985</v>
      </c>
      <c r="F132" s="184">
        <v>12.1</v>
      </c>
      <c r="G132" s="822" t="s">
        <v>402</v>
      </c>
      <c r="H132" s="823"/>
      <c r="I132" s="823"/>
      <c r="J132" s="823"/>
      <c r="K132" s="183">
        <v>45988</v>
      </c>
      <c r="L132" s="181" t="s">
        <v>796</v>
      </c>
      <c r="M132" s="578"/>
      <c r="N132" s="443"/>
      <c r="O132" s="443"/>
      <c r="P132" s="443"/>
    </row>
    <row r="133" spans="1:16" s="153" customFormat="1" ht="33" customHeight="1">
      <c r="A133" s="181">
        <f t="shared" si="1"/>
        <v>121</v>
      </c>
      <c r="B133" s="182" t="s">
        <v>606</v>
      </c>
      <c r="C133" s="181" t="s">
        <v>504</v>
      </c>
      <c r="D133" s="181" t="s">
        <v>239</v>
      </c>
      <c r="E133" s="183">
        <v>45994</v>
      </c>
      <c r="F133" s="184">
        <v>28.1</v>
      </c>
      <c r="G133" s="822" t="s">
        <v>402</v>
      </c>
      <c r="H133" s="823"/>
      <c r="I133" s="823"/>
      <c r="J133" s="823"/>
      <c r="K133" s="183">
        <v>46001</v>
      </c>
      <c r="L133" s="181" t="s">
        <v>796</v>
      </c>
      <c r="M133" s="578"/>
      <c r="N133" s="443"/>
      <c r="O133" s="443"/>
      <c r="P133" s="443"/>
    </row>
    <row r="134" spans="1:16" s="153" customFormat="1" ht="33" customHeight="1">
      <c r="A134" s="181">
        <f t="shared" si="1"/>
        <v>122</v>
      </c>
      <c r="B134" s="182" t="s">
        <v>617</v>
      </c>
      <c r="C134" s="181" t="s">
        <v>669</v>
      </c>
      <c r="D134" s="181" t="s">
        <v>239</v>
      </c>
      <c r="E134" s="183">
        <v>46001</v>
      </c>
      <c r="F134" s="184">
        <v>11.42</v>
      </c>
      <c r="G134" s="822" t="s">
        <v>402</v>
      </c>
      <c r="H134" s="823"/>
      <c r="I134" s="823"/>
      <c r="J134" s="823"/>
      <c r="K134" s="183">
        <v>46004</v>
      </c>
      <c r="L134" s="181" t="s">
        <v>828</v>
      </c>
      <c r="M134" s="578"/>
      <c r="N134" s="443"/>
      <c r="O134" s="443"/>
      <c r="P134" s="443"/>
    </row>
    <row r="135" spans="1:16" s="153" customFormat="1" ht="33" customHeight="1">
      <c r="A135" s="181">
        <f t="shared" si="1"/>
        <v>123</v>
      </c>
      <c r="B135" s="182" t="s">
        <v>556</v>
      </c>
      <c r="C135" s="181" t="s">
        <v>448</v>
      </c>
      <c r="D135" s="181" t="s">
        <v>809</v>
      </c>
      <c r="E135" s="183">
        <v>46003</v>
      </c>
      <c r="F135" s="184">
        <v>11.42</v>
      </c>
      <c r="G135" s="822" t="s">
        <v>402</v>
      </c>
      <c r="H135" s="823"/>
      <c r="I135" s="823"/>
      <c r="J135" s="823"/>
      <c r="K135" s="183">
        <v>46007</v>
      </c>
      <c r="L135" s="181" t="s">
        <v>797</v>
      </c>
      <c r="M135" s="578"/>
      <c r="N135" s="443"/>
      <c r="O135" s="443"/>
      <c r="P135" s="443"/>
    </row>
    <row r="136" spans="1:16" s="153" customFormat="1" ht="33" customHeight="1">
      <c r="A136" s="181">
        <f t="shared" si="1"/>
        <v>124</v>
      </c>
      <c r="B136" s="182" t="s">
        <v>519</v>
      </c>
      <c r="C136" s="181" t="s">
        <v>690</v>
      </c>
      <c r="D136" s="181" t="s">
        <v>239</v>
      </c>
      <c r="E136" s="183">
        <v>46004</v>
      </c>
      <c r="F136" s="184">
        <v>28.1</v>
      </c>
      <c r="G136" s="822" t="s">
        <v>402</v>
      </c>
      <c r="H136" s="823"/>
      <c r="I136" s="823"/>
      <c r="J136" s="823"/>
      <c r="K136" s="183">
        <v>46011</v>
      </c>
      <c r="L136" s="181" t="s">
        <v>828</v>
      </c>
      <c r="M136" s="578"/>
      <c r="N136" s="443"/>
      <c r="O136" s="443"/>
      <c r="P136" s="443"/>
    </row>
    <row r="137" spans="1:16" s="153" customFormat="1" ht="33" customHeight="1">
      <c r="A137" s="181">
        <f t="shared" si="1"/>
        <v>125</v>
      </c>
      <c r="B137" s="182" t="s">
        <v>560</v>
      </c>
      <c r="C137" s="181" t="s">
        <v>401</v>
      </c>
      <c r="D137" s="181" t="s">
        <v>239</v>
      </c>
      <c r="E137" s="183">
        <v>46009</v>
      </c>
      <c r="F137" s="184">
        <v>11.42</v>
      </c>
      <c r="G137" s="822" t="s">
        <v>402</v>
      </c>
      <c r="H137" s="823"/>
      <c r="I137" s="823"/>
      <c r="J137" s="823"/>
      <c r="K137" s="183">
        <v>46014</v>
      </c>
      <c r="L137" s="181" t="s">
        <v>797</v>
      </c>
      <c r="M137" s="578"/>
      <c r="N137" s="443"/>
      <c r="O137" s="443"/>
      <c r="P137" s="443"/>
    </row>
    <row r="138" spans="1:16" s="153" customFormat="1" ht="33" customHeight="1">
      <c r="A138" s="181">
        <f t="shared" si="1"/>
        <v>126</v>
      </c>
      <c r="B138" s="182" t="s">
        <v>608</v>
      </c>
      <c r="C138" s="181" t="s">
        <v>695</v>
      </c>
      <c r="D138" s="181" t="s">
        <v>239</v>
      </c>
      <c r="E138" s="183">
        <v>46025</v>
      </c>
      <c r="F138" s="184">
        <v>99.27</v>
      </c>
      <c r="G138" s="822" t="s">
        <v>402</v>
      </c>
      <c r="H138" s="823"/>
      <c r="I138" s="823"/>
      <c r="J138" s="823"/>
      <c r="K138" s="183">
        <v>46031</v>
      </c>
      <c r="L138" s="181" t="s">
        <v>797</v>
      </c>
      <c r="M138" s="181">
        <v>21</v>
      </c>
      <c r="N138" s="443"/>
      <c r="O138" s="443"/>
      <c r="P138" s="443"/>
    </row>
    <row r="139" spans="1:16" s="153" customFormat="1" ht="21" customHeight="1">
      <c r="A139" s="282"/>
      <c r="B139" s="182"/>
      <c r="C139" s="181"/>
      <c r="D139" s="181"/>
      <c r="E139" s="283"/>
      <c r="F139" s="445"/>
      <c r="G139" s="446"/>
      <c r="H139" s="446"/>
      <c r="I139" s="446"/>
      <c r="J139" s="283"/>
      <c r="K139" s="181"/>
      <c r="L139" s="282"/>
      <c r="M139" s="154"/>
    </row>
    <row r="140" spans="1:16" ht="21" customHeight="1">
      <c r="A140" s="864" t="s">
        <v>103</v>
      </c>
      <c r="B140" s="864"/>
      <c r="C140" s="864"/>
      <c r="D140" s="864"/>
      <c r="E140" s="864"/>
      <c r="F140" s="864"/>
      <c r="G140" s="864"/>
      <c r="H140" s="864"/>
      <c r="I140" s="864"/>
      <c r="J140" s="864"/>
      <c r="K140" s="864"/>
      <c r="L140" s="864"/>
      <c r="M140" s="864"/>
      <c r="N140" s="864"/>
      <c r="O140" s="864"/>
      <c r="P140" s="864"/>
    </row>
    <row r="141" spans="1:16" s="45" customFormat="1" ht="28.95" customHeight="1" thickBot="1">
      <c r="A141" s="162" t="s">
        <v>403</v>
      </c>
      <c r="B141" s="162" t="s">
        <v>82</v>
      </c>
      <c r="C141" s="162" t="s">
        <v>60</v>
      </c>
      <c r="D141" s="162" t="s">
        <v>238</v>
      </c>
      <c r="E141" s="162" t="s">
        <v>707</v>
      </c>
      <c r="F141" s="162" t="s">
        <v>709</v>
      </c>
      <c r="G141" s="849" t="s">
        <v>112</v>
      </c>
      <c r="H141" s="850"/>
      <c r="I141" s="850"/>
      <c r="J141" s="851"/>
      <c r="K141" s="162" t="s">
        <v>708</v>
      </c>
      <c r="L141" s="162" t="s">
        <v>398</v>
      </c>
      <c r="M141" s="162" t="s">
        <v>399</v>
      </c>
      <c r="N141" s="849" t="s">
        <v>400</v>
      </c>
      <c r="O141" s="850"/>
      <c r="P141" s="851"/>
    </row>
    <row r="142" spans="1:16" s="270" customFormat="1" ht="21" customHeight="1">
      <c r="A142" s="282">
        <v>1</v>
      </c>
      <c r="B142" s="182" t="s">
        <v>16</v>
      </c>
      <c r="C142" s="181" t="s">
        <v>401</v>
      </c>
      <c r="D142" s="282" t="s">
        <v>239</v>
      </c>
      <c r="E142" s="283">
        <v>45574</v>
      </c>
      <c r="F142" s="284">
        <v>27.96</v>
      </c>
      <c r="G142" s="824" t="s">
        <v>402</v>
      </c>
      <c r="H142" s="824"/>
      <c r="I142" s="824"/>
      <c r="J142" s="824"/>
      <c r="K142" s="283">
        <v>45592</v>
      </c>
      <c r="L142" s="282" t="s">
        <v>490</v>
      </c>
      <c r="M142" s="282"/>
      <c r="N142" s="837"/>
      <c r="O142" s="837"/>
      <c r="P142" s="837"/>
    </row>
    <row r="143" spans="1:16" s="45" customFormat="1" ht="21" customHeight="1">
      <c r="A143" s="282">
        <v>2</v>
      </c>
      <c r="B143" s="182" t="s">
        <v>128</v>
      </c>
      <c r="C143" s="181" t="s">
        <v>401</v>
      </c>
      <c r="D143" s="282" t="s">
        <v>239</v>
      </c>
      <c r="E143" s="283">
        <v>45593</v>
      </c>
      <c r="F143" s="284">
        <v>27.96</v>
      </c>
      <c r="G143" s="824" t="s">
        <v>402</v>
      </c>
      <c r="H143" s="824"/>
      <c r="I143" s="824"/>
      <c r="J143" s="824"/>
      <c r="K143" s="283">
        <v>45601</v>
      </c>
      <c r="L143" s="282" t="s">
        <v>490</v>
      </c>
      <c r="M143" s="282"/>
      <c r="N143" s="838"/>
      <c r="O143" s="838"/>
      <c r="P143" s="838"/>
    </row>
    <row r="144" spans="1:16" s="270" customFormat="1" ht="21" customHeight="1">
      <c r="A144" s="282">
        <v>3</v>
      </c>
      <c r="B144" s="285" t="s">
        <v>494</v>
      </c>
      <c r="C144" s="181" t="s">
        <v>401</v>
      </c>
      <c r="D144" s="282" t="s">
        <v>239</v>
      </c>
      <c r="E144" s="283">
        <v>45601</v>
      </c>
      <c r="F144" s="284">
        <v>27.96</v>
      </c>
      <c r="G144" s="824" t="s">
        <v>402</v>
      </c>
      <c r="H144" s="824"/>
      <c r="I144" s="824"/>
      <c r="J144" s="824"/>
      <c r="K144" s="283">
        <v>45609</v>
      </c>
      <c r="L144" s="282" t="s">
        <v>490</v>
      </c>
      <c r="M144" s="282"/>
      <c r="N144" s="837"/>
      <c r="O144" s="837"/>
      <c r="P144" s="837"/>
    </row>
    <row r="145" spans="1:16" s="270" customFormat="1" ht="21" customHeight="1">
      <c r="A145" s="282">
        <v>4</v>
      </c>
      <c r="B145" s="285" t="s">
        <v>18</v>
      </c>
      <c r="C145" s="181" t="s">
        <v>401</v>
      </c>
      <c r="D145" s="282" t="s">
        <v>239</v>
      </c>
      <c r="E145" s="283">
        <v>45610</v>
      </c>
      <c r="F145" s="284">
        <v>27.96</v>
      </c>
      <c r="G145" s="824" t="s">
        <v>402</v>
      </c>
      <c r="H145" s="824"/>
      <c r="I145" s="824"/>
      <c r="J145" s="824"/>
      <c r="K145" s="283">
        <v>45615</v>
      </c>
      <c r="L145" s="282" t="s">
        <v>490</v>
      </c>
      <c r="M145" s="282"/>
      <c r="N145" s="837" t="s">
        <v>501</v>
      </c>
      <c r="O145" s="837"/>
      <c r="P145" s="837"/>
    </row>
    <row r="146" spans="1:16" s="270" customFormat="1" ht="21" customHeight="1">
      <c r="A146" s="282">
        <v>5</v>
      </c>
      <c r="B146" s="285" t="s">
        <v>133</v>
      </c>
      <c r="C146" s="181" t="s">
        <v>401</v>
      </c>
      <c r="D146" s="282" t="s">
        <v>239</v>
      </c>
      <c r="E146" s="283">
        <v>45615</v>
      </c>
      <c r="F146" s="284">
        <v>27.96</v>
      </c>
      <c r="G146" s="824" t="s">
        <v>402</v>
      </c>
      <c r="H146" s="824"/>
      <c r="I146" s="824"/>
      <c r="J146" s="824"/>
      <c r="K146" s="283">
        <v>45620</v>
      </c>
      <c r="L146" s="282" t="s">
        <v>490</v>
      </c>
      <c r="M146" s="282"/>
      <c r="N146" s="837" t="s">
        <v>109</v>
      </c>
      <c r="O146" s="837"/>
      <c r="P146" s="837"/>
    </row>
    <row r="147" spans="1:16" s="270" customFormat="1" ht="21" customHeight="1">
      <c r="A147" s="282">
        <v>6</v>
      </c>
      <c r="B147" s="285" t="s">
        <v>2</v>
      </c>
      <c r="C147" s="181" t="s">
        <v>401</v>
      </c>
      <c r="D147" s="282" t="s">
        <v>239</v>
      </c>
      <c r="E147" s="283">
        <v>45622</v>
      </c>
      <c r="F147" s="284">
        <v>27.96</v>
      </c>
      <c r="G147" s="824" t="s">
        <v>402</v>
      </c>
      <c r="H147" s="824"/>
      <c r="I147" s="824"/>
      <c r="J147" s="824"/>
      <c r="K147" s="283">
        <v>45627</v>
      </c>
      <c r="L147" s="282" t="s">
        <v>490</v>
      </c>
      <c r="M147" s="282"/>
      <c r="N147" s="837"/>
      <c r="O147" s="837"/>
      <c r="P147" s="837"/>
    </row>
    <row r="148" spans="1:16" s="270" customFormat="1" ht="21" customHeight="1">
      <c r="A148" s="282">
        <v>7</v>
      </c>
      <c r="B148" s="285" t="s">
        <v>49</v>
      </c>
      <c r="C148" s="181" t="s">
        <v>401</v>
      </c>
      <c r="D148" s="282" t="s">
        <v>239</v>
      </c>
      <c r="E148" s="283">
        <v>45628</v>
      </c>
      <c r="F148" s="284">
        <v>27.96</v>
      </c>
      <c r="G148" s="824" t="s">
        <v>402</v>
      </c>
      <c r="H148" s="824"/>
      <c r="I148" s="824"/>
      <c r="J148" s="824"/>
      <c r="K148" s="283">
        <v>45632</v>
      </c>
      <c r="L148" s="282" t="s">
        <v>490</v>
      </c>
      <c r="M148" s="282"/>
      <c r="N148" s="837"/>
      <c r="O148" s="837"/>
      <c r="P148" s="837"/>
    </row>
    <row r="149" spans="1:16" s="270" customFormat="1" ht="21" customHeight="1">
      <c r="A149" s="282">
        <v>8</v>
      </c>
      <c r="B149" s="285" t="s">
        <v>52</v>
      </c>
      <c r="C149" s="181" t="s">
        <v>401</v>
      </c>
      <c r="D149" s="282" t="s">
        <v>239</v>
      </c>
      <c r="E149" s="283">
        <v>45629</v>
      </c>
      <c r="F149" s="284">
        <v>27.96</v>
      </c>
      <c r="G149" s="824" t="s">
        <v>402</v>
      </c>
      <c r="H149" s="824"/>
      <c r="I149" s="824"/>
      <c r="J149" s="824"/>
      <c r="K149" s="283">
        <v>45637</v>
      </c>
      <c r="L149" s="282" t="s">
        <v>500</v>
      </c>
      <c r="M149" s="282"/>
      <c r="N149" s="837" t="s">
        <v>501</v>
      </c>
      <c r="O149" s="837"/>
      <c r="P149" s="837"/>
    </row>
    <row r="150" spans="1:16" s="270" customFormat="1" ht="21" customHeight="1">
      <c r="A150" s="282">
        <v>9</v>
      </c>
      <c r="B150" s="285" t="s">
        <v>147</v>
      </c>
      <c r="C150" s="181" t="s">
        <v>401</v>
      </c>
      <c r="D150" s="282" t="s">
        <v>239</v>
      </c>
      <c r="E150" s="283">
        <v>45632</v>
      </c>
      <c r="F150" s="284">
        <v>27.96</v>
      </c>
      <c r="G150" s="824" t="s">
        <v>402</v>
      </c>
      <c r="H150" s="824"/>
      <c r="I150" s="824"/>
      <c r="J150" s="824"/>
      <c r="K150" s="283">
        <v>45637</v>
      </c>
      <c r="L150" s="282" t="s">
        <v>490</v>
      </c>
      <c r="M150" s="282"/>
      <c r="N150" s="837"/>
      <c r="O150" s="837"/>
      <c r="P150" s="837"/>
    </row>
    <row r="151" spans="1:16" s="270" customFormat="1" ht="21" customHeight="1">
      <c r="A151" s="282">
        <v>10</v>
      </c>
      <c r="B151" s="285" t="s">
        <v>148</v>
      </c>
      <c r="C151" s="181" t="s">
        <v>444</v>
      </c>
      <c r="D151" s="282" t="s">
        <v>239</v>
      </c>
      <c r="E151" s="283">
        <v>45638</v>
      </c>
      <c r="F151" s="284">
        <v>29.12</v>
      </c>
      <c r="G151" s="824" t="s">
        <v>402</v>
      </c>
      <c r="H151" s="824"/>
      <c r="I151" s="824"/>
      <c r="J151" s="824"/>
      <c r="K151" s="370">
        <v>45644</v>
      </c>
      <c r="L151" s="282" t="s">
        <v>490</v>
      </c>
      <c r="M151" s="282"/>
      <c r="N151" s="837"/>
      <c r="O151" s="837"/>
      <c r="P151" s="837"/>
    </row>
    <row r="152" spans="1:16" s="270" customFormat="1" ht="21" customHeight="1">
      <c r="A152" s="282">
        <v>11</v>
      </c>
      <c r="B152" s="285" t="s">
        <v>51</v>
      </c>
      <c r="C152" s="181" t="s">
        <v>401</v>
      </c>
      <c r="D152" s="282" t="s">
        <v>239</v>
      </c>
      <c r="E152" s="283">
        <v>45638</v>
      </c>
      <c r="F152" s="284">
        <v>27.96</v>
      </c>
      <c r="G152" s="824" t="s">
        <v>402</v>
      </c>
      <c r="H152" s="824"/>
      <c r="I152" s="824"/>
      <c r="J152" s="824"/>
      <c r="K152" s="283">
        <v>45644</v>
      </c>
      <c r="L152" s="282" t="s">
        <v>500</v>
      </c>
      <c r="M152" s="282"/>
      <c r="N152" s="837"/>
      <c r="O152" s="837"/>
      <c r="P152" s="837"/>
    </row>
    <row r="153" spans="1:16" s="270" customFormat="1" ht="21" customHeight="1">
      <c r="A153" s="282">
        <v>12</v>
      </c>
      <c r="B153" s="285" t="s">
        <v>140</v>
      </c>
      <c r="C153" s="181" t="s">
        <v>444</v>
      </c>
      <c r="D153" s="282" t="s">
        <v>239</v>
      </c>
      <c r="E153" s="283">
        <v>45645</v>
      </c>
      <c r="F153" s="284">
        <v>29.12</v>
      </c>
      <c r="G153" s="824" t="s">
        <v>402</v>
      </c>
      <c r="H153" s="824"/>
      <c r="I153" s="824"/>
      <c r="J153" s="824"/>
      <c r="K153" s="283">
        <v>45653</v>
      </c>
      <c r="L153" s="282" t="s">
        <v>490</v>
      </c>
      <c r="M153" s="282"/>
      <c r="N153" s="837"/>
      <c r="O153" s="837"/>
      <c r="P153" s="837"/>
    </row>
    <row r="154" spans="1:16" s="270" customFormat="1" ht="21" customHeight="1">
      <c r="A154" s="282">
        <v>13</v>
      </c>
      <c r="B154" s="285" t="s">
        <v>136</v>
      </c>
      <c r="C154" s="181" t="s">
        <v>453</v>
      </c>
      <c r="D154" s="282" t="s">
        <v>239</v>
      </c>
      <c r="E154" s="283">
        <v>45645</v>
      </c>
      <c r="F154" s="284">
        <v>34.630000000000003</v>
      </c>
      <c r="G154" s="824" t="s">
        <v>402</v>
      </c>
      <c r="H154" s="824"/>
      <c r="I154" s="824"/>
      <c r="J154" s="824"/>
      <c r="K154" s="283">
        <v>45655</v>
      </c>
      <c r="L154" s="282" t="s">
        <v>500</v>
      </c>
      <c r="M154" s="282"/>
      <c r="N154" s="837"/>
      <c r="O154" s="837"/>
      <c r="P154" s="837"/>
    </row>
    <row r="155" spans="1:16" s="270" customFormat="1" ht="21" customHeight="1">
      <c r="A155" s="282">
        <v>14</v>
      </c>
      <c r="B155" s="285" t="s">
        <v>126</v>
      </c>
      <c r="C155" s="181" t="s">
        <v>401</v>
      </c>
      <c r="D155" s="282" t="s">
        <v>239</v>
      </c>
      <c r="E155" s="283">
        <v>45655</v>
      </c>
      <c r="F155" s="284">
        <v>27.96</v>
      </c>
      <c r="G155" s="824" t="s">
        <v>402</v>
      </c>
      <c r="H155" s="824"/>
      <c r="I155" s="824"/>
      <c r="J155" s="824"/>
      <c r="K155" s="283">
        <v>45296</v>
      </c>
      <c r="L155" s="282" t="s">
        <v>490</v>
      </c>
      <c r="M155" s="282"/>
      <c r="N155" s="837"/>
      <c r="O155" s="837"/>
      <c r="P155" s="837"/>
    </row>
    <row r="156" spans="1:16" s="270" customFormat="1" ht="21" customHeight="1">
      <c r="A156" s="282">
        <v>15</v>
      </c>
      <c r="B156" s="285" t="s">
        <v>143</v>
      </c>
      <c r="C156" s="181" t="s">
        <v>401</v>
      </c>
      <c r="D156" s="282" t="s">
        <v>239</v>
      </c>
      <c r="E156" s="283">
        <v>45656</v>
      </c>
      <c r="F156" s="284">
        <v>27.96</v>
      </c>
      <c r="G156" s="824" t="s">
        <v>402</v>
      </c>
      <c r="H156" s="824"/>
      <c r="I156" s="824"/>
      <c r="J156" s="824"/>
      <c r="K156" s="283">
        <v>45298</v>
      </c>
      <c r="L156" s="282" t="s">
        <v>500</v>
      </c>
      <c r="M156" s="282"/>
      <c r="N156" s="837"/>
      <c r="O156" s="837"/>
      <c r="P156" s="837"/>
    </row>
    <row r="157" spans="1:16" s="270" customFormat="1" ht="21" customHeight="1">
      <c r="A157" s="282">
        <v>16</v>
      </c>
      <c r="B157" s="285" t="s">
        <v>166</v>
      </c>
      <c r="C157" s="181" t="s">
        <v>401</v>
      </c>
      <c r="D157" s="282" t="s">
        <v>239</v>
      </c>
      <c r="E157" s="283">
        <v>45298</v>
      </c>
      <c r="F157" s="284">
        <v>27.96</v>
      </c>
      <c r="G157" s="824" t="s">
        <v>402</v>
      </c>
      <c r="H157" s="824"/>
      <c r="I157" s="824"/>
      <c r="J157" s="824"/>
      <c r="K157" s="283">
        <v>45668</v>
      </c>
      <c r="L157" s="282" t="s">
        <v>490</v>
      </c>
      <c r="M157" s="282"/>
      <c r="N157" s="837"/>
      <c r="O157" s="837"/>
      <c r="P157" s="837"/>
    </row>
    <row r="158" spans="1:16" s="270" customFormat="1" ht="21" customHeight="1">
      <c r="A158" s="282">
        <f t="shared" ref="A158:A163" si="2">A157+1</f>
        <v>17</v>
      </c>
      <c r="B158" s="285" t="s">
        <v>176</v>
      </c>
      <c r="C158" s="181" t="s">
        <v>401</v>
      </c>
      <c r="D158" s="282" t="s">
        <v>239</v>
      </c>
      <c r="E158" s="283">
        <v>45300</v>
      </c>
      <c r="F158" s="284">
        <v>27.96</v>
      </c>
      <c r="G158" s="824" t="s">
        <v>402</v>
      </c>
      <c r="H158" s="824"/>
      <c r="I158" s="824"/>
      <c r="J158" s="824"/>
      <c r="K158" s="283">
        <v>45672</v>
      </c>
      <c r="L158" s="282" t="s">
        <v>500</v>
      </c>
      <c r="M158" s="282"/>
      <c r="N158" s="837"/>
      <c r="O158" s="837"/>
      <c r="P158" s="837"/>
    </row>
    <row r="159" spans="1:16" s="270" customFormat="1" ht="21" customHeight="1">
      <c r="A159" s="282">
        <f t="shared" si="2"/>
        <v>18</v>
      </c>
      <c r="B159" s="285" t="s">
        <v>160</v>
      </c>
      <c r="C159" s="181" t="s">
        <v>444</v>
      </c>
      <c r="D159" s="282" t="s">
        <v>239</v>
      </c>
      <c r="E159" s="283">
        <v>45670</v>
      </c>
      <c r="F159" s="284">
        <v>29</v>
      </c>
      <c r="G159" s="824" t="s">
        <v>402</v>
      </c>
      <c r="H159" s="824"/>
      <c r="I159" s="824"/>
      <c r="J159" s="824"/>
      <c r="K159" s="283">
        <v>45675</v>
      </c>
      <c r="L159" s="282" t="s">
        <v>490</v>
      </c>
      <c r="M159" s="282"/>
      <c r="N159" s="837"/>
      <c r="O159" s="837"/>
      <c r="P159" s="837"/>
    </row>
    <row r="160" spans="1:16" s="270" customFormat="1" ht="21" customHeight="1">
      <c r="A160" s="282">
        <f t="shared" si="2"/>
        <v>19</v>
      </c>
      <c r="B160" s="285" t="s">
        <v>177</v>
      </c>
      <c r="C160" s="181" t="s">
        <v>444</v>
      </c>
      <c r="D160" s="282" t="s">
        <v>239</v>
      </c>
      <c r="E160" s="283">
        <v>45673</v>
      </c>
      <c r="F160" s="284">
        <v>29</v>
      </c>
      <c r="G160" s="824" t="s">
        <v>402</v>
      </c>
      <c r="H160" s="824"/>
      <c r="I160" s="824"/>
      <c r="J160" s="824"/>
      <c r="K160" s="283">
        <v>45680</v>
      </c>
      <c r="L160" s="282" t="s">
        <v>500</v>
      </c>
      <c r="M160" s="282"/>
      <c r="N160" s="837"/>
      <c r="O160" s="837"/>
      <c r="P160" s="837"/>
    </row>
    <row r="161" spans="1:16" s="270" customFormat="1" ht="21" customHeight="1">
      <c r="A161" s="282">
        <f t="shared" si="2"/>
        <v>20</v>
      </c>
      <c r="B161" s="285" t="s">
        <v>156</v>
      </c>
      <c r="C161" s="181" t="s">
        <v>401</v>
      </c>
      <c r="D161" s="282" t="s">
        <v>239</v>
      </c>
      <c r="E161" s="283">
        <v>45673</v>
      </c>
      <c r="F161" s="284">
        <v>28</v>
      </c>
      <c r="G161" s="824" t="s">
        <v>402</v>
      </c>
      <c r="H161" s="824"/>
      <c r="I161" s="824"/>
      <c r="J161" s="824"/>
      <c r="K161" s="283">
        <v>45680</v>
      </c>
      <c r="L161" s="282" t="s">
        <v>490</v>
      </c>
      <c r="M161" s="282"/>
      <c r="N161" s="837"/>
      <c r="O161" s="837"/>
      <c r="P161" s="837"/>
    </row>
    <row r="162" spans="1:16" s="270" customFormat="1" ht="27.6" customHeight="1">
      <c r="A162" s="282">
        <f t="shared" si="2"/>
        <v>21</v>
      </c>
      <c r="B162" s="285" t="s">
        <v>179</v>
      </c>
      <c r="C162" s="181" t="s">
        <v>444</v>
      </c>
      <c r="D162" s="282" t="s">
        <v>239</v>
      </c>
      <c r="E162" s="283">
        <v>45681</v>
      </c>
      <c r="F162" s="284">
        <v>29</v>
      </c>
      <c r="G162" s="824" t="s">
        <v>402</v>
      </c>
      <c r="H162" s="824"/>
      <c r="I162" s="824"/>
      <c r="J162" s="824"/>
      <c r="K162" s="283">
        <v>45699</v>
      </c>
      <c r="L162" s="282" t="s">
        <v>500</v>
      </c>
      <c r="M162" s="282"/>
      <c r="N162" s="836"/>
      <c r="O162" s="836"/>
      <c r="P162" s="836"/>
    </row>
    <row r="163" spans="1:16" s="270" customFormat="1" ht="21" customHeight="1">
      <c r="A163" s="282">
        <f t="shared" si="2"/>
        <v>22</v>
      </c>
      <c r="B163" s="285" t="s">
        <v>17</v>
      </c>
      <c r="C163" s="181" t="s">
        <v>401</v>
      </c>
      <c r="D163" s="282" t="s">
        <v>239</v>
      </c>
      <c r="E163" s="283">
        <v>45681</v>
      </c>
      <c r="F163" s="284">
        <v>28</v>
      </c>
      <c r="G163" s="824" t="s">
        <v>402</v>
      </c>
      <c r="H163" s="824"/>
      <c r="I163" s="824"/>
      <c r="J163" s="824"/>
      <c r="K163" s="283">
        <v>45687</v>
      </c>
      <c r="L163" s="282" t="s">
        <v>490</v>
      </c>
      <c r="M163" s="282"/>
      <c r="N163" s="863"/>
      <c r="O163" s="863"/>
      <c r="P163" s="863"/>
    </row>
    <row r="164" spans="1:16" s="270" customFormat="1" ht="21" customHeight="1">
      <c r="A164" s="282">
        <f t="shared" ref="A164:A206" si="3">A163+1</f>
        <v>23</v>
      </c>
      <c r="B164" s="285" t="s">
        <v>178</v>
      </c>
      <c r="C164" s="181" t="s">
        <v>401</v>
      </c>
      <c r="D164" s="282" t="s">
        <v>239</v>
      </c>
      <c r="E164" s="283">
        <v>45682</v>
      </c>
      <c r="F164" s="284">
        <v>28</v>
      </c>
      <c r="G164" s="824" t="s">
        <v>402</v>
      </c>
      <c r="H164" s="824"/>
      <c r="I164" s="824"/>
      <c r="J164" s="824"/>
      <c r="K164" s="283">
        <v>45690</v>
      </c>
      <c r="L164" s="282" t="s">
        <v>500</v>
      </c>
      <c r="M164" s="282"/>
      <c r="N164" s="837"/>
      <c r="O164" s="837"/>
      <c r="P164" s="837"/>
    </row>
    <row r="165" spans="1:16" s="270" customFormat="1" ht="21" customHeight="1">
      <c r="A165" s="282">
        <f t="shared" si="3"/>
        <v>24</v>
      </c>
      <c r="B165" s="285" t="s">
        <v>137</v>
      </c>
      <c r="C165" s="181" t="s">
        <v>444</v>
      </c>
      <c r="D165" s="282" t="s">
        <v>239</v>
      </c>
      <c r="E165" s="283">
        <v>45688</v>
      </c>
      <c r="F165" s="284">
        <v>29</v>
      </c>
      <c r="G165" s="824" t="s">
        <v>402</v>
      </c>
      <c r="H165" s="824"/>
      <c r="I165" s="824"/>
      <c r="J165" s="824"/>
      <c r="K165" s="283">
        <v>45693</v>
      </c>
      <c r="L165" s="282" t="s">
        <v>490</v>
      </c>
      <c r="M165" s="282"/>
      <c r="N165" s="837"/>
      <c r="O165" s="837"/>
      <c r="P165" s="837"/>
    </row>
    <row r="166" spans="1:16" s="270" customFormat="1" ht="27.6" customHeight="1">
      <c r="A166" s="282">
        <f t="shared" si="3"/>
        <v>25</v>
      </c>
      <c r="B166" s="285" t="s">
        <v>145</v>
      </c>
      <c r="C166" s="181" t="s">
        <v>452</v>
      </c>
      <c r="D166" s="282" t="s">
        <v>239</v>
      </c>
      <c r="E166" s="283">
        <v>45694</v>
      </c>
      <c r="F166" s="284">
        <v>33</v>
      </c>
      <c r="G166" s="824" t="s">
        <v>402</v>
      </c>
      <c r="H166" s="824"/>
      <c r="I166" s="824"/>
      <c r="J166" s="824"/>
      <c r="K166" s="283">
        <v>45699</v>
      </c>
      <c r="L166" s="282" t="s">
        <v>490</v>
      </c>
      <c r="M166" s="282"/>
      <c r="N166" s="836"/>
      <c r="O166" s="836"/>
      <c r="P166" s="836"/>
    </row>
    <row r="167" spans="1:16" s="270" customFormat="1" ht="27.6" customHeight="1">
      <c r="A167" s="282">
        <f t="shared" si="3"/>
        <v>26</v>
      </c>
      <c r="B167" s="285" t="s">
        <v>146</v>
      </c>
      <c r="C167" s="181" t="s">
        <v>444</v>
      </c>
      <c r="D167" s="282" t="s">
        <v>239</v>
      </c>
      <c r="E167" s="283">
        <v>45700</v>
      </c>
      <c r="F167" s="284">
        <v>29</v>
      </c>
      <c r="G167" s="824" t="s">
        <v>402</v>
      </c>
      <c r="H167" s="824"/>
      <c r="I167" s="824"/>
      <c r="J167" s="824"/>
      <c r="K167" s="283">
        <v>45705</v>
      </c>
      <c r="L167" s="282" t="s">
        <v>490</v>
      </c>
      <c r="M167" s="282"/>
      <c r="N167" s="836"/>
      <c r="O167" s="836"/>
      <c r="P167" s="836"/>
    </row>
    <row r="168" spans="1:16" s="270" customFormat="1" ht="27.6" customHeight="1">
      <c r="A168" s="282">
        <f t="shared" si="3"/>
        <v>27</v>
      </c>
      <c r="B168" s="285" t="s">
        <v>175</v>
      </c>
      <c r="C168" s="181" t="s">
        <v>444</v>
      </c>
      <c r="D168" s="282" t="s">
        <v>239</v>
      </c>
      <c r="E168" s="283">
        <v>45700</v>
      </c>
      <c r="F168" s="284">
        <v>29</v>
      </c>
      <c r="G168" s="824" t="s">
        <v>402</v>
      </c>
      <c r="H168" s="824"/>
      <c r="I168" s="824"/>
      <c r="J168" s="824"/>
      <c r="K168" s="283">
        <v>45708</v>
      </c>
      <c r="L168" s="282" t="s">
        <v>490</v>
      </c>
      <c r="M168" s="282"/>
      <c r="N168" s="836"/>
      <c r="O168" s="836"/>
      <c r="P168" s="836"/>
    </row>
    <row r="169" spans="1:16" s="270" customFormat="1" ht="27.6" customHeight="1">
      <c r="A169" s="282">
        <f t="shared" si="3"/>
        <v>28</v>
      </c>
      <c r="B169" s="285" t="s">
        <v>496</v>
      </c>
      <c r="C169" s="181" t="s">
        <v>476</v>
      </c>
      <c r="D169" s="282" t="s">
        <v>239</v>
      </c>
      <c r="E169" s="283">
        <v>45709</v>
      </c>
      <c r="F169" s="284">
        <v>45</v>
      </c>
      <c r="G169" s="824" t="s">
        <v>402</v>
      </c>
      <c r="H169" s="824"/>
      <c r="I169" s="824"/>
      <c r="J169" s="824"/>
      <c r="K169" s="283">
        <v>45714</v>
      </c>
      <c r="L169" s="282" t="s">
        <v>490</v>
      </c>
      <c r="M169" s="282"/>
      <c r="N169" s="836"/>
      <c r="O169" s="836"/>
      <c r="P169" s="836"/>
    </row>
    <row r="170" spans="1:16" s="270" customFormat="1" ht="27.6" customHeight="1">
      <c r="A170" s="282">
        <f t="shared" si="3"/>
        <v>29</v>
      </c>
      <c r="B170" s="285" t="s">
        <v>497</v>
      </c>
      <c r="C170" s="181" t="s">
        <v>476</v>
      </c>
      <c r="D170" s="282" t="s">
        <v>239</v>
      </c>
      <c r="E170" s="283">
        <v>45714</v>
      </c>
      <c r="F170" s="284">
        <v>45</v>
      </c>
      <c r="G170" s="824" t="s">
        <v>402</v>
      </c>
      <c r="H170" s="824"/>
      <c r="I170" s="824"/>
      <c r="J170" s="824"/>
      <c r="K170" s="283">
        <v>45719</v>
      </c>
      <c r="L170" s="282" t="s">
        <v>490</v>
      </c>
      <c r="M170" s="282"/>
      <c r="N170" s="836"/>
      <c r="O170" s="836"/>
      <c r="P170" s="836"/>
    </row>
    <row r="171" spans="1:16" s="270" customFormat="1" ht="27.6" customHeight="1">
      <c r="A171" s="282">
        <f t="shared" si="3"/>
        <v>30</v>
      </c>
      <c r="B171" s="285" t="s">
        <v>505</v>
      </c>
      <c r="C171" s="181" t="s">
        <v>476</v>
      </c>
      <c r="D171" s="282" t="s">
        <v>239</v>
      </c>
      <c r="E171" s="283">
        <v>45719</v>
      </c>
      <c r="F171" s="284">
        <v>45</v>
      </c>
      <c r="G171" s="824" t="s">
        <v>402</v>
      </c>
      <c r="H171" s="824"/>
      <c r="I171" s="824"/>
      <c r="J171" s="824"/>
      <c r="K171" s="283">
        <v>45724</v>
      </c>
      <c r="L171" s="282" t="s">
        <v>490</v>
      </c>
      <c r="M171" s="282"/>
      <c r="N171" s="836"/>
      <c r="O171" s="836"/>
      <c r="P171" s="836"/>
    </row>
    <row r="172" spans="1:16" s="270" customFormat="1" ht="27.6" customHeight="1">
      <c r="A172" s="282">
        <f t="shared" si="3"/>
        <v>31</v>
      </c>
      <c r="B172" s="285" t="s">
        <v>161</v>
      </c>
      <c r="C172" s="181" t="s">
        <v>401</v>
      </c>
      <c r="D172" s="282" t="s">
        <v>239</v>
      </c>
      <c r="E172" s="283">
        <v>45722</v>
      </c>
      <c r="F172" s="284">
        <v>28</v>
      </c>
      <c r="G172" s="824" t="s">
        <v>402</v>
      </c>
      <c r="H172" s="824"/>
      <c r="I172" s="824"/>
      <c r="J172" s="824"/>
      <c r="K172" s="283">
        <v>45727</v>
      </c>
      <c r="L172" s="282" t="s">
        <v>500</v>
      </c>
      <c r="M172" s="282"/>
      <c r="N172" s="836"/>
      <c r="O172" s="836"/>
      <c r="P172" s="836"/>
    </row>
    <row r="173" spans="1:16" s="270" customFormat="1" ht="27.6" customHeight="1">
      <c r="A173" s="282">
        <f t="shared" si="3"/>
        <v>32</v>
      </c>
      <c r="B173" s="285" t="s">
        <v>159</v>
      </c>
      <c r="C173" s="181" t="s">
        <v>476</v>
      </c>
      <c r="D173" s="282" t="s">
        <v>239</v>
      </c>
      <c r="E173" s="283">
        <v>45728</v>
      </c>
      <c r="F173" s="284">
        <v>45</v>
      </c>
      <c r="G173" s="824" t="s">
        <v>402</v>
      </c>
      <c r="H173" s="824"/>
      <c r="I173" s="824"/>
      <c r="J173" s="824"/>
      <c r="K173" s="283">
        <v>45733</v>
      </c>
      <c r="L173" s="282" t="s">
        <v>500</v>
      </c>
      <c r="M173" s="282"/>
      <c r="N173" s="836"/>
      <c r="O173" s="836"/>
      <c r="P173" s="836"/>
    </row>
    <row r="174" spans="1:16" s="270" customFormat="1" ht="27.6" customHeight="1">
      <c r="A174" s="282">
        <f t="shared" si="3"/>
        <v>33</v>
      </c>
      <c r="B174" s="285" t="s">
        <v>503</v>
      </c>
      <c r="C174" s="181" t="s">
        <v>504</v>
      </c>
      <c r="D174" s="282" t="s">
        <v>239</v>
      </c>
      <c r="E174" s="283">
        <v>45734</v>
      </c>
      <c r="F174" s="284">
        <v>54</v>
      </c>
      <c r="G174" s="824" t="s">
        <v>402</v>
      </c>
      <c r="H174" s="824"/>
      <c r="I174" s="824"/>
      <c r="J174" s="824"/>
      <c r="K174" s="283">
        <v>45739</v>
      </c>
      <c r="L174" s="282" t="s">
        <v>500</v>
      </c>
      <c r="M174" s="282"/>
      <c r="N174" s="836"/>
      <c r="O174" s="836"/>
      <c r="P174" s="836"/>
    </row>
    <row r="175" spans="1:16" s="270" customFormat="1" ht="27.6" customHeight="1">
      <c r="A175" s="282">
        <f t="shared" si="3"/>
        <v>34</v>
      </c>
      <c r="B175" s="285" t="s">
        <v>4</v>
      </c>
      <c r="C175" s="181" t="s">
        <v>506</v>
      </c>
      <c r="D175" s="282" t="s">
        <v>239</v>
      </c>
      <c r="E175" s="283">
        <v>45734</v>
      </c>
      <c r="F175" s="284">
        <v>52</v>
      </c>
      <c r="G175" s="824" t="s">
        <v>402</v>
      </c>
      <c r="H175" s="824"/>
      <c r="I175" s="824"/>
      <c r="J175" s="824"/>
      <c r="K175" s="283">
        <v>45744</v>
      </c>
      <c r="L175" s="282" t="s">
        <v>500</v>
      </c>
      <c r="M175" s="282"/>
      <c r="N175" s="836"/>
      <c r="O175" s="836"/>
      <c r="P175" s="836"/>
    </row>
    <row r="176" spans="1:16" s="270" customFormat="1" ht="27.6" customHeight="1">
      <c r="A176" s="282">
        <f t="shared" si="3"/>
        <v>35</v>
      </c>
      <c r="B176" s="285" t="s">
        <v>5</v>
      </c>
      <c r="C176" s="181" t="s">
        <v>401</v>
      </c>
      <c r="D176" s="282" t="s">
        <v>239</v>
      </c>
      <c r="E176" s="283">
        <v>45744</v>
      </c>
      <c r="F176" s="284">
        <v>28</v>
      </c>
      <c r="G176" s="824" t="s">
        <v>402</v>
      </c>
      <c r="H176" s="824"/>
      <c r="I176" s="824"/>
      <c r="J176" s="824"/>
      <c r="K176" s="283">
        <v>45748</v>
      </c>
      <c r="L176" s="282" t="s">
        <v>500</v>
      </c>
      <c r="M176" s="282"/>
      <c r="N176" s="836"/>
      <c r="O176" s="836"/>
      <c r="P176" s="836"/>
    </row>
    <row r="177" spans="1:16" s="270" customFormat="1" ht="27.6" customHeight="1">
      <c r="A177" s="282">
        <f t="shared" si="3"/>
        <v>36</v>
      </c>
      <c r="B177" s="285" t="s">
        <v>50</v>
      </c>
      <c r="C177" s="181" t="s">
        <v>444</v>
      </c>
      <c r="D177" s="282" t="s">
        <v>239</v>
      </c>
      <c r="E177" s="283">
        <v>45749</v>
      </c>
      <c r="F177" s="284">
        <v>29</v>
      </c>
      <c r="G177" s="824" t="s">
        <v>402</v>
      </c>
      <c r="H177" s="824"/>
      <c r="I177" s="824"/>
      <c r="J177" s="824"/>
      <c r="K177" s="283">
        <v>45752</v>
      </c>
      <c r="L177" s="282" t="s">
        <v>500</v>
      </c>
      <c r="M177" s="282"/>
      <c r="N177" s="836"/>
      <c r="O177" s="836"/>
      <c r="P177" s="836"/>
    </row>
    <row r="178" spans="1:16" s="270" customFormat="1" ht="27.6" customHeight="1">
      <c r="A178" s="282">
        <f t="shared" si="3"/>
        <v>37</v>
      </c>
      <c r="B178" s="285" t="s">
        <v>591</v>
      </c>
      <c r="C178" s="181" t="s">
        <v>590</v>
      </c>
      <c r="D178" s="282" t="s">
        <v>239</v>
      </c>
      <c r="E178" s="283">
        <v>45752</v>
      </c>
      <c r="F178" s="284">
        <v>47</v>
      </c>
      <c r="G178" s="824" t="s">
        <v>402</v>
      </c>
      <c r="H178" s="824"/>
      <c r="I178" s="824"/>
      <c r="J178" s="824"/>
      <c r="K178" s="283">
        <v>45757</v>
      </c>
      <c r="L178" s="282" t="s">
        <v>500</v>
      </c>
      <c r="M178" s="282"/>
      <c r="N178" s="836"/>
      <c r="O178" s="836"/>
      <c r="P178" s="836"/>
    </row>
    <row r="179" spans="1:16" s="270" customFormat="1" ht="27.6" customHeight="1">
      <c r="A179" s="282">
        <f t="shared" si="3"/>
        <v>38</v>
      </c>
      <c r="B179" s="285" t="s">
        <v>121</v>
      </c>
      <c r="C179" s="181" t="s">
        <v>595</v>
      </c>
      <c r="D179" s="282" t="s">
        <v>239</v>
      </c>
      <c r="E179" s="283">
        <v>45758</v>
      </c>
      <c r="F179" s="284">
        <v>54</v>
      </c>
      <c r="G179" s="824" t="s">
        <v>402</v>
      </c>
      <c r="H179" s="824"/>
      <c r="I179" s="824"/>
      <c r="J179" s="824"/>
      <c r="K179" s="283">
        <v>45768</v>
      </c>
      <c r="L179" s="282" t="s">
        <v>490</v>
      </c>
      <c r="M179" s="282"/>
      <c r="N179" s="836"/>
      <c r="O179" s="836"/>
      <c r="P179" s="836"/>
    </row>
    <row r="180" spans="1:16" s="270" customFormat="1" ht="27.6" customHeight="1">
      <c r="A180" s="282">
        <f t="shared" si="3"/>
        <v>39</v>
      </c>
      <c r="B180" s="285" t="s">
        <v>180</v>
      </c>
      <c r="C180" s="181" t="s">
        <v>444</v>
      </c>
      <c r="D180" s="282" t="s">
        <v>239</v>
      </c>
      <c r="E180" s="283">
        <v>45759</v>
      </c>
      <c r="F180" s="284">
        <v>29</v>
      </c>
      <c r="G180" s="824" t="s">
        <v>402</v>
      </c>
      <c r="H180" s="824"/>
      <c r="I180" s="824"/>
      <c r="J180" s="824"/>
      <c r="K180" s="283">
        <v>45765</v>
      </c>
      <c r="L180" s="282" t="s">
        <v>500</v>
      </c>
      <c r="M180" s="282"/>
      <c r="N180" s="836"/>
      <c r="O180" s="836"/>
      <c r="P180" s="836"/>
    </row>
    <row r="181" spans="1:16" s="270" customFormat="1" ht="27.6" customHeight="1">
      <c r="A181" s="282">
        <f t="shared" si="3"/>
        <v>40</v>
      </c>
      <c r="B181" s="285" t="s">
        <v>593</v>
      </c>
      <c r="C181" s="181" t="s">
        <v>594</v>
      </c>
      <c r="D181" s="282" t="s">
        <v>239</v>
      </c>
      <c r="E181" s="283">
        <v>45765</v>
      </c>
      <c r="F181" s="284">
        <v>45</v>
      </c>
      <c r="G181" s="824" t="s">
        <v>402</v>
      </c>
      <c r="H181" s="824"/>
      <c r="I181" s="824"/>
      <c r="J181" s="824"/>
      <c r="K181" s="283">
        <v>45773</v>
      </c>
      <c r="L181" s="282" t="s">
        <v>649</v>
      </c>
      <c r="M181" s="282"/>
      <c r="N181" s="862" t="s">
        <v>109</v>
      </c>
      <c r="O181" s="862"/>
      <c r="P181" s="862"/>
    </row>
    <row r="182" spans="1:16" s="270" customFormat="1" ht="27.6" customHeight="1">
      <c r="A182" s="282">
        <f t="shared" si="3"/>
        <v>41</v>
      </c>
      <c r="B182" s="285" t="s">
        <v>489</v>
      </c>
      <c r="C182" s="181" t="s">
        <v>476</v>
      </c>
      <c r="D182" s="282" t="s">
        <v>239</v>
      </c>
      <c r="E182" s="283">
        <v>45769</v>
      </c>
      <c r="F182" s="284">
        <v>45</v>
      </c>
      <c r="G182" s="824" t="s">
        <v>402</v>
      </c>
      <c r="H182" s="824"/>
      <c r="I182" s="824"/>
      <c r="J182" s="824"/>
      <c r="K182" s="283">
        <v>45776</v>
      </c>
      <c r="L182" s="282" t="s">
        <v>650</v>
      </c>
      <c r="M182" s="282"/>
      <c r="N182" s="829"/>
      <c r="O182" s="829"/>
      <c r="P182" s="829"/>
    </row>
    <row r="183" spans="1:16" s="270" customFormat="1" ht="27.6" customHeight="1">
      <c r="A183" s="282">
        <f t="shared" si="3"/>
        <v>42</v>
      </c>
      <c r="B183" s="285" t="s">
        <v>167</v>
      </c>
      <c r="C183" s="181" t="s">
        <v>453</v>
      </c>
      <c r="D183" s="282" t="s">
        <v>239</v>
      </c>
      <c r="E183" s="283">
        <v>45774</v>
      </c>
      <c r="F183" s="284">
        <v>34.630000000000003</v>
      </c>
      <c r="G183" s="824" t="s">
        <v>402</v>
      </c>
      <c r="H183" s="824"/>
      <c r="I183" s="824"/>
      <c r="J183" s="824"/>
      <c r="K183" s="283">
        <v>45780</v>
      </c>
      <c r="L183" s="282" t="s">
        <v>649</v>
      </c>
      <c r="M183" s="282"/>
      <c r="N183" s="829"/>
      <c r="O183" s="829"/>
      <c r="P183" s="829"/>
    </row>
    <row r="184" spans="1:16" s="270" customFormat="1" ht="27.6" customHeight="1">
      <c r="A184" s="282">
        <f t="shared" si="3"/>
        <v>43</v>
      </c>
      <c r="B184" s="285" t="s">
        <v>20</v>
      </c>
      <c r="C184" s="181" t="s">
        <v>444</v>
      </c>
      <c r="D184" s="282" t="s">
        <v>239</v>
      </c>
      <c r="E184" s="283">
        <v>45776</v>
      </c>
      <c r="F184" s="284">
        <v>29</v>
      </c>
      <c r="G184" s="824" t="s">
        <v>402</v>
      </c>
      <c r="H184" s="824"/>
      <c r="I184" s="824"/>
      <c r="J184" s="824"/>
      <c r="K184" s="283">
        <v>45784</v>
      </c>
      <c r="L184" s="282" t="s">
        <v>650</v>
      </c>
      <c r="M184" s="282"/>
      <c r="N184" s="829"/>
      <c r="O184" s="829"/>
      <c r="P184" s="829"/>
    </row>
    <row r="185" spans="1:16" s="270" customFormat="1" ht="27.6" customHeight="1">
      <c r="A185" s="282">
        <f t="shared" si="3"/>
        <v>44</v>
      </c>
      <c r="B185" s="285" t="s">
        <v>37</v>
      </c>
      <c r="C185" s="181" t="s">
        <v>401</v>
      </c>
      <c r="D185" s="282" t="s">
        <v>239</v>
      </c>
      <c r="E185" s="283">
        <v>45782</v>
      </c>
      <c r="F185" s="284">
        <v>28</v>
      </c>
      <c r="G185" s="824" t="s">
        <v>402</v>
      </c>
      <c r="H185" s="824"/>
      <c r="I185" s="824"/>
      <c r="J185" s="824"/>
      <c r="K185" s="283">
        <v>45787</v>
      </c>
      <c r="L185" s="282" t="s">
        <v>649</v>
      </c>
      <c r="M185" s="282"/>
      <c r="N185" s="828" t="s">
        <v>109</v>
      </c>
      <c r="O185" s="828"/>
      <c r="P185" s="828"/>
    </row>
    <row r="186" spans="1:16" s="270" customFormat="1" ht="27.6" customHeight="1">
      <c r="A186" s="282">
        <f t="shared" si="3"/>
        <v>45</v>
      </c>
      <c r="B186" s="285" t="s">
        <v>512</v>
      </c>
      <c r="C186" s="181" t="s">
        <v>476</v>
      </c>
      <c r="D186" s="282" t="s">
        <v>239</v>
      </c>
      <c r="E186" s="283">
        <v>45785</v>
      </c>
      <c r="F186" s="284">
        <v>45</v>
      </c>
      <c r="G186" s="824" t="s">
        <v>402</v>
      </c>
      <c r="H186" s="824"/>
      <c r="I186" s="824"/>
      <c r="J186" s="824"/>
      <c r="K186" s="283">
        <v>45794</v>
      </c>
      <c r="L186" s="282" t="s">
        <v>649</v>
      </c>
      <c r="M186" s="282"/>
      <c r="N186" s="828"/>
      <c r="O186" s="828"/>
      <c r="P186" s="828"/>
    </row>
    <row r="187" spans="1:16" s="270" customFormat="1" ht="27.6" customHeight="1">
      <c r="A187" s="282">
        <f t="shared" si="3"/>
        <v>46</v>
      </c>
      <c r="B187" s="285" t="s">
        <v>157</v>
      </c>
      <c r="C187" s="181" t="s">
        <v>452</v>
      </c>
      <c r="D187" s="282" t="s">
        <v>239</v>
      </c>
      <c r="E187" s="283">
        <v>45788</v>
      </c>
      <c r="F187" s="284">
        <v>33</v>
      </c>
      <c r="G187" s="824" t="s">
        <v>402</v>
      </c>
      <c r="H187" s="824"/>
      <c r="I187" s="824"/>
      <c r="J187" s="824"/>
      <c r="K187" s="283">
        <v>45796</v>
      </c>
      <c r="L187" s="282" t="s">
        <v>650</v>
      </c>
      <c r="M187" s="282"/>
      <c r="N187" s="828"/>
      <c r="O187" s="828"/>
      <c r="P187" s="828"/>
    </row>
    <row r="188" spans="1:16" s="270" customFormat="1" ht="27.6" customHeight="1">
      <c r="A188" s="282">
        <f t="shared" si="3"/>
        <v>47</v>
      </c>
      <c r="B188" s="285" t="s">
        <v>127</v>
      </c>
      <c r="C188" s="181" t="s">
        <v>448</v>
      </c>
      <c r="D188" s="282" t="s">
        <v>239</v>
      </c>
      <c r="E188" s="283">
        <v>45788</v>
      </c>
      <c r="F188" s="284">
        <v>27</v>
      </c>
      <c r="G188" s="824" t="s">
        <v>402</v>
      </c>
      <c r="H188" s="824"/>
      <c r="I188" s="824"/>
      <c r="J188" s="824"/>
      <c r="K188" s="283">
        <v>45803</v>
      </c>
      <c r="L188" s="282" t="s">
        <v>649</v>
      </c>
      <c r="M188" s="282"/>
      <c r="N188" s="828"/>
      <c r="O188" s="828"/>
      <c r="P188" s="828"/>
    </row>
    <row r="189" spans="1:16" s="270" customFormat="1" ht="27.6" customHeight="1">
      <c r="A189" s="282">
        <f t="shared" si="3"/>
        <v>48</v>
      </c>
      <c r="B189" s="285" t="s">
        <v>129</v>
      </c>
      <c r="C189" s="181" t="s">
        <v>444</v>
      </c>
      <c r="D189" s="282" t="s">
        <v>239</v>
      </c>
      <c r="E189" s="283">
        <v>45799</v>
      </c>
      <c r="F189" s="284">
        <v>29</v>
      </c>
      <c r="G189" s="824" t="s">
        <v>402</v>
      </c>
      <c r="H189" s="824"/>
      <c r="I189" s="824"/>
      <c r="J189" s="824"/>
      <c r="K189" s="283">
        <v>45805</v>
      </c>
      <c r="L189" s="282" t="s">
        <v>650</v>
      </c>
      <c r="M189" s="282"/>
      <c r="N189" s="828"/>
      <c r="O189" s="828"/>
      <c r="P189" s="828"/>
    </row>
    <row r="190" spans="1:16" s="270" customFormat="1" ht="27.6" customHeight="1">
      <c r="A190" s="282">
        <f t="shared" si="3"/>
        <v>49</v>
      </c>
      <c r="B190" s="285" t="s">
        <v>132</v>
      </c>
      <c r="C190" s="181" t="s">
        <v>448</v>
      </c>
      <c r="D190" s="282" t="s">
        <v>239</v>
      </c>
      <c r="E190" s="283">
        <v>45807</v>
      </c>
      <c r="F190" s="284">
        <v>27</v>
      </c>
      <c r="G190" s="824" t="s">
        <v>402</v>
      </c>
      <c r="H190" s="824"/>
      <c r="I190" s="824"/>
      <c r="J190" s="824"/>
      <c r="K190" s="283">
        <v>45812</v>
      </c>
      <c r="L190" s="282" t="s">
        <v>649</v>
      </c>
      <c r="M190" s="282"/>
      <c r="N190" s="827"/>
      <c r="O190" s="827"/>
      <c r="P190" s="827"/>
    </row>
    <row r="191" spans="1:16" s="270" customFormat="1" ht="27.6" customHeight="1">
      <c r="A191" s="282">
        <f t="shared" si="3"/>
        <v>50</v>
      </c>
      <c r="B191" s="285" t="s">
        <v>144</v>
      </c>
      <c r="C191" s="181" t="s">
        <v>448</v>
      </c>
      <c r="D191" s="282" t="s">
        <v>239</v>
      </c>
      <c r="E191" s="283">
        <v>45806</v>
      </c>
      <c r="F191" s="284">
        <v>27</v>
      </c>
      <c r="G191" s="824" t="s">
        <v>402</v>
      </c>
      <c r="H191" s="824"/>
      <c r="I191" s="824"/>
      <c r="J191" s="824"/>
      <c r="K191" s="283">
        <v>45810</v>
      </c>
      <c r="L191" s="282" t="s">
        <v>650</v>
      </c>
      <c r="M191" s="282"/>
      <c r="N191" s="827"/>
      <c r="O191" s="827"/>
      <c r="P191" s="827"/>
    </row>
    <row r="192" spans="1:16" s="270" customFormat="1" ht="27.6" customHeight="1">
      <c r="A192" s="282">
        <f t="shared" si="3"/>
        <v>51</v>
      </c>
      <c r="B192" s="285" t="s">
        <v>123</v>
      </c>
      <c r="C192" s="181" t="s">
        <v>448</v>
      </c>
      <c r="D192" s="282" t="s">
        <v>239</v>
      </c>
      <c r="E192" s="283">
        <v>45811</v>
      </c>
      <c r="F192" s="284">
        <v>27</v>
      </c>
      <c r="G192" s="824" t="s">
        <v>402</v>
      </c>
      <c r="H192" s="824"/>
      <c r="I192" s="824"/>
      <c r="J192" s="824"/>
      <c r="K192" s="283">
        <v>45816</v>
      </c>
      <c r="L192" s="282" t="s">
        <v>649</v>
      </c>
      <c r="M192" s="282"/>
      <c r="N192" s="827"/>
      <c r="O192" s="827"/>
      <c r="P192" s="827"/>
    </row>
    <row r="193" spans="1:16" s="270" customFormat="1" ht="27.6" customHeight="1">
      <c r="A193" s="282">
        <f t="shared" si="3"/>
        <v>52</v>
      </c>
      <c r="B193" s="285" t="s">
        <v>124</v>
      </c>
      <c r="C193" s="181" t="s">
        <v>448</v>
      </c>
      <c r="D193" s="282" t="s">
        <v>239</v>
      </c>
      <c r="E193" s="283">
        <v>45817</v>
      </c>
      <c r="F193" s="284">
        <v>27</v>
      </c>
      <c r="G193" s="824" t="s">
        <v>402</v>
      </c>
      <c r="H193" s="824"/>
      <c r="I193" s="824"/>
      <c r="J193" s="824"/>
      <c r="K193" s="283">
        <v>45820</v>
      </c>
      <c r="L193" s="282" t="s">
        <v>649</v>
      </c>
      <c r="M193" s="282"/>
      <c r="N193" s="827"/>
      <c r="O193" s="827"/>
      <c r="P193" s="827"/>
    </row>
    <row r="194" spans="1:16" s="270" customFormat="1" ht="27.6" customHeight="1">
      <c r="A194" s="282">
        <f t="shared" si="3"/>
        <v>53</v>
      </c>
      <c r="B194" s="285" t="s">
        <v>125</v>
      </c>
      <c r="C194" s="181" t="s">
        <v>448</v>
      </c>
      <c r="D194" s="282" t="s">
        <v>239</v>
      </c>
      <c r="E194" s="283">
        <v>45820</v>
      </c>
      <c r="F194" s="284">
        <v>27</v>
      </c>
      <c r="G194" s="824" t="s">
        <v>402</v>
      </c>
      <c r="H194" s="824"/>
      <c r="I194" s="824"/>
      <c r="J194" s="824"/>
      <c r="K194" s="283">
        <v>45825</v>
      </c>
      <c r="L194" s="282" t="s">
        <v>650</v>
      </c>
      <c r="M194" s="282"/>
      <c r="N194" s="827"/>
      <c r="O194" s="827"/>
      <c r="P194" s="827"/>
    </row>
    <row r="195" spans="1:16" s="270" customFormat="1" ht="27.6" customHeight="1">
      <c r="A195" s="282">
        <f t="shared" si="3"/>
        <v>54</v>
      </c>
      <c r="B195" s="455" t="s">
        <v>122</v>
      </c>
      <c r="C195" s="181" t="s">
        <v>662</v>
      </c>
      <c r="D195" s="282" t="s">
        <v>239</v>
      </c>
      <c r="E195" s="283">
        <v>45822</v>
      </c>
      <c r="F195" s="284">
        <v>56</v>
      </c>
      <c r="G195" s="824" t="s">
        <v>402</v>
      </c>
      <c r="H195" s="824"/>
      <c r="I195" s="824"/>
      <c r="J195" s="824"/>
      <c r="K195" s="183">
        <v>45832</v>
      </c>
      <c r="L195" s="282" t="s">
        <v>649</v>
      </c>
      <c r="M195" s="282"/>
      <c r="N195" s="827"/>
      <c r="O195" s="827"/>
      <c r="P195" s="827"/>
    </row>
    <row r="196" spans="1:16" s="270" customFormat="1" ht="27.6" customHeight="1">
      <c r="A196" s="282">
        <f t="shared" si="3"/>
        <v>55</v>
      </c>
      <c r="B196" s="455" t="s">
        <v>630</v>
      </c>
      <c r="C196" s="181" t="s">
        <v>631</v>
      </c>
      <c r="D196" s="282" t="s">
        <v>239</v>
      </c>
      <c r="E196" s="283">
        <v>45827</v>
      </c>
      <c r="F196" s="284">
        <v>47</v>
      </c>
      <c r="G196" s="824" t="s">
        <v>402</v>
      </c>
      <c r="H196" s="824"/>
      <c r="I196" s="824"/>
      <c r="J196" s="824"/>
      <c r="K196" s="183">
        <v>45839</v>
      </c>
      <c r="L196" s="282" t="s">
        <v>650</v>
      </c>
      <c r="M196" s="282"/>
      <c r="N196" s="827"/>
      <c r="O196" s="827"/>
      <c r="P196" s="827"/>
    </row>
    <row r="197" spans="1:16" s="270" customFormat="1" ht="27.6" customHeight="1">
      <c r="A197" s="282">
        <f t="shared" si="3"/>
        <v>56</v>
      </c>
      <c r="B197" s="455" t="s">
        <v>615</v>
      </c>
      <c r="C197" s="181" t="s">
        <v>401</v>
      </c>
      <c r="D197" s="282" t="s">
        <v>239</v>
      </c>
      <c r="E197" s="283">
        <v>45841</v>
      </c>
      <c r="F197" s="284">
        <v>28</v>
      </c>
      <c r="G197" s="824" t="s">
        <v>402</v>
      </c>
      <c r="H197" s="824"/>
      <c r="I197" s="824"/>
      <c r="J197" s="824"/>
      <c r="K197" s="183">
        <v>45850</v>
      </c>
      <c r="L197" s="463" t="s">
        <v>686</v>
      </c>
      <c r="M197" s="282"/>
      <c r="N197" s="827"/>
      <c r="O197" s="827"/>
      <c r="P197" s="827"/>
    </row>
    <row r="198" spans="1:16" s="270" customFormat="1" ht="27.6" customHeight="1">
      <c r="A198" s="282">
        <f t="shared" si="3"/>
        <v>57</v>
      </c>
      <c r="B198" s="455" t="s">
        <v>596</v>
      </c>
      <c r="C198" s="181" t="s">
        <v>595</v>
      </c>
      <c r="D198" s="282" t="s">
        <v>239</v>
      </c>
      <c r="E198" s="283">
        <v>45841</v>
      </c>
      <c r="F198" s="284">
        <v>54</v>
      </c>
      <c r="G198" s="824" t="s">
        <v>402</v>
      </c>
      <c r="H198" s="824"/>
      <c r="I198" s="824"/>
      <c r="J198" s="824"/>
      <c r="K198" s="183">
        <v>45859</v>
      </c>
      <c r="L198" s="282" t="s">
        <v>649</v>
      </c>
      <c r="M198" s="282"/>
      <c r="N198" s="827"/>
      <c r="O198" s="827"/>
      <c r="P198" s="827"/>
    </row>
    <row r="199" spans="1:16" s="270" customFormat="1" ht="27.6" customHeight="1">
      <c r="A199" s="282">
        <f t="shared" si="3"/>
        <v>58</v>
      </c>
      <c r="B199" s="455" t="s">
        <v>518</v>
      </c>
      <c r="C199" s="181" t="s">
        <v>590</v>
      </c>
      <c r="D199" s="282" t="s">
        <v>239</v>
      </c>
      <c r="E199" s="283">
        <v>45841</v>
      </c>
      <c r="F199" s="284">
        <v>47</v>
      </c>
      <c r="G199" s="824" t="s">
        <v>402</v>
      </c>
      <c r="H199" s="824"/>
      <c r="I199" s="824"/>
      <c r="J199" s="824"/>
      <c r="K199" s="183">
        <v>45852</v>
      </c>
      <c r="L199" s="282" t="s">
        <v>687</v>
      </c>
      <c r="M199" s="282"/>
      <c r="N199" s="827"/>
      <c r="O199" s="827"/>
      <c r="P199" s="827"/>
    </row>
    <row r="200" spans="1:16" s="270" customFormat="1" ht="27.6" customHeight="1">
      <c r="A200" s="282">
        <f t="shared" si="3"/>
        <v>59</v>
      </c>
      <c r="B200" s="455" t="s">
        <v>21</v>
      </c>
      <c r="C200" s="181" t="s">
        <v>401</v>
      </c>
      <c r="D200" s="282" t="s">
        <v>239</v>
      </c>
      <c r="E200" s="283">
        <v>45852</v>
      </c>
      <c r="F200" s="284">
        <v>28</v>
      </c>
      <c r="G200" s="824" t="s">
        <v>402</v>
      </c>
      <c r="H200" s="824"/>
      <c r="I200" s="824"/>
      <c r="J200" s="824"/>
      <c r="K200" s="183">
        <v>45858</v>
      </c>
      <c r="L200" s="463" t="s">
        <v>686</v>
      </c>
      <c r="M200" s="282"/>
      <c r="N200" s="827"/>
      <c r="O200" s="827"/>
      <c r="P200" s="827"/>
    </row>
    <row r="201" spans="1:16" s="270" customFormat="1" ht="27.6" customHeight="1">
      <c r="A201" s="282">
        <f t="shared" si="3"/>
        <v>60</v>
      </c>
      <c r="B201" s="455" t="s">
        <v>142</v>
      </c>
      <c r="C201" s="181" t="s">
        <v>453</v>
      </c>
      <c r="D201" s="282" t="s">
        <v>239</v>
      </c>
      <c r="E201" s="283">
        <v>45853</v>
      </c>
      <c r="F201" s="284">
        <v>34.6</v>
      </c>
      <c r="G201" s="824" t="s">
        <v>402</v>
      </c>
      <c r="H201" s="824"/>
      <c r="I201" s="824"/>
      <c r="J201" s="824"/>
      <c r="K201" s="183">
        <v>45861</v>
      </c>
      <c r="L201" s="463" t="s">
        <v>687</v>
      </c>
      <c r="M201" s="282"/>
      <c r="N201" s="827"/>
      <c r="O201" s="827"/>
      <c r="P201" s="827"/>
    </row>
    <row r="202" spans="1:16" s="270" customFormat="1" ht="27.6" customHeight="1">
      <c r="A202" s="282">
        <f t="shared" si="3"/>
        <v>61</v>
      </c>
      <c r="B202" s="455" t="s">
        <v>138</v>
      </c>
      <c r="C202" s="181" t="s">
        <v>453</v>
      </c>
      <c r="D202" s="282" t="s">
        <v>239</v>
      </c>
      <c r="E202" s="283">
        <v>45859</v>
      </c>
      <c r="F202" s="284">
        <v>34.6</v>
      </c>
      <c r="G202" s="824" t="s">
        <v>402</v>
      </c>
      <c r="H202" s="824"/>
      <c r="I202" s="824"/>
      <c r="J202" s="824"/>
      <c r="K202" s="183">
        <v>45869</v>
      </c>
      <c r="L202" s="463" t="s">
        <v>687</v>
      </c>
      <c r="M202" s="282"/>
      <c r="N202" s="827"/>
      <c r="O202" s="827"/>
      <c r="P202" s="827"/>
    </row>
    <row r="203" spans="1:16" s="270" customFormat="1" ht="27.6" customHeight="1">
      <c r="A203" s="282">
        <f t="shared" si="3"/>
        <v>62</v>
      </c>
      <c r="B203" s="455" t="s">
        <v>134</v>
      </c>
      <c r="C203" s="181" t="s">
        <v>401</v>
      </c>
      <c r="D203" s="282" t="s">
        <v>239</v>
      </c>
      <c r="E203" s="283">
        <v>45860</v>
      </c>
      <c r="F203" s="284">
        <v>28</v>
      </c>
      <c r="G203" s="824" t="s">
        <v>402</v>
      </c>
      <c r="H203" s="824"/>
      <c r="I203" s="824"/>
      <c r="J203" s="824"/>
      <c r="K203" s="183">
        <v>45868</v>
      </c>
      <c r="L203" s="463" t="s">
        <v>686</v>
      </c>
      <c r="M203" s="282"/>
      <c r="N203" s="827"/>
      <c r="O203" s="827"/>
      <c r="P203" s="827"/>
    </row>
    <row r="204" spans="1:16" s="270" customFormat="1" ht="27.6" customHeight="1">
      <c r="A204" s="282">
        <f t="shared" si="3"/>
        <v>63</v>
      </c>
      <c r="B204" s="455" t="s">
        <v>130</v>
      </c>
      <c r="C204" s="181" t="s">
        <v>444</v>
      </c>
      <c r="D204" s="282" t="s">
        <v>239</v>
      </c>
      <c r="E204" s="283">
        <v>45859</v>
      </c>
      <c r="F204" s="284">
        <v>29</v>
      </c>
      <c r="G204" s="824" t="s">
        <v>402</v>
      </c>
      <c r="H204" s="824"/>
      <c r="I204" s="824"/>
      <c r="J204" s="824"/>
      <c r="K204" s="183">
        <v>45876</v>
      </c>
      <c r="L204" s="282" t="s">
        <v>685</v>
      </c>
      <c r="M204" s="282"/>
      <c r="N204" s="827"/>
      <c r="O204" s="827"/>
      <c r="P204" s="827"/>
    </row>
    <row r="205" spans="1:16" s="270" customFormat="1" ht="27.6" customHeight="1">
      <c r="A205" s="282">
        <f t="shared" si="3"/>
        <v>64</v>
      </c>
      <c r="B205" s="455" t="s">
        <v>149</v>
      </c>
      <c r="C205" s="181" t="s">
        <v>444</v>
      </c>
      <c r="D205" s="282" t="s">
        <v>239</v>
      </c>
      <c r="E205" s="283">
        <v>45862</v>
      </c>
      <c r="F205" s="284">
        <v>29</v>
      </c>
      <c r="G205" s="824" t="s">
        <v>402</v>
      </c>
      <c r="H205" s="824"/>
      <c r="I205" s="824"/>
      <c r="J205" s="824"/>
      <c r="K205" s="183">
        <v>45875</v>
      </c>
      <c r="L205" s="282" t="s">
        <v>688</v>
      </c>
      <c r="M205" s="282"/>
      <c r="N205" s="879"/>
      <c r="O205" s="879"/>
      <c r="P205" s="879"/>
    </row>
    <row r="206" spans="1:16" s="270" customFormat="1" ht="27.6" customHeight="1">
      <c r="A206" s="282">
        <f t="shared" si="3"/>
        <v>65</v>
      </c>
      <c r="B206" s="455" t="s">
        <v>131</v>
      </c>
      <c r="C206" s="181" t="s">
        <v>444</v>
      </c>
      <c r="D206" s="282" t="s">
        <v>239</v>
      </c>
      <c r="E206" s="283">
        <v>45837</v>
      </c>
      <c r="F206" s="284">
        <v>29</v>
      </c>
      <c r="G206" s="824" t="s">
        <v>402</v>
      </c>
      <c r="H206" s="824"/>
      <c r="I206" s="824"/>
      <c r="J206" s="824"/>
      <c r="K206" s="183">
        <v>45876</v>
      </c>
      <c r="L206" s="463" t="s">
        <v>686</v>
      </c>
      <c r="M206" s="282"/>
      <c r="N206" s="879"/>
      <c r="O206" s="879"/>
      <c r="P206" s="879"/>
    </row>
    <row r="207" spans="1:16" s="422" customFormat="1" ht="27.6" customHeight="1">
      <c r="A207" s="462">
        <f>A206+1</f>
        <v>66</v>
      </c>
      <c r="B207" s="455" t="s">
        <v>19</v>
      </c>
      <c r="C207" s="429" t="s">
        <v>589</v>
      </c>
      <c r="D207" s="462" t="s">
        <v>239</v>
      </c>
      <c r="E207" s="283">
        <v>45875</v>
      </c>
      <c r="F207" s="284">
        <v>54</v>
      </c>
      <c r="G207" s="824" t="s">
        <v>402</v>
      </c>
      <c r="H207" s="824"/>
      <c r="I207" s="824"/>
      <c r="J207" s="824"/>
      <c r="K207" s="183">
        <v>45888</v>
      </c>
      <c r="L207" s="463" t="s">
        <v>687</v>
      </c>
      <c r="M207" s="462"/>
      <c r="N207" s="827"/>
      <c r="O207" s="827"/>
      <c r="P207" s="827"/>
    </row>
    <row r="208" spans="1:16" s="422" customFormat="1" ht="27.6" customHeight="1">
      <c r="A208" s="462">
        <f t="shared" ref="A208:A256" si="4">A207+1</f>
        <v>67</v>
      </c>
      <c r="B208" s="455" t="s">
        <v>139</v>
      </c>
      <c r="C208" s="181" t="s">
        <v>453</v>
      </c>
      <c r="D208" s="462" t="s">
        <v>239</v>
      </c>
      <c r="E208" s="283">
        <v>45876</v>
      </c>
      <c r="F208" s="284">
        <v>34.630000000000003</v>
      </c>
      <c r="G208" s="824" t="s">
        <v>402</v>
      </c>
      <c r="H208" s="824"/>
      <c r="I208" s="824"/>
      <c r="J208" s="824"/>
      <c r="K208" s="183">
        <v>45886</v>
      </c>
      <c r="L208" s="463" t="s">
        <v>686</v>
      </c>
      <c r="M208" s="462"/>
      <c r="N208" s="827"/>
      <c r="O208" s="827"/>
      <c r="P208" s="827"/>
    </row>
    <row r="209" spans="1:16" s="422" customFormat="1" ht="27.6" customHeight="1">
      <c r="A209" s="462">
        <f t="shared" si="4"/>
        <v>68</v>
      </c>
      <c r="B209" s="455" t="s">
        <v>605</v>
      </c>
      <c r="C209" s="181" t="s">
        <v>629</v>
      </c>
      <c r="D209" s="462" t="s">
        <v>239</v>
      </c>
      <c r="E209" s="283">
        <v>45876</v>
      </c>
      <c r="F209" s="284">
        <v>51.6</v>
      </c>
      <c r="G209" s="824" t="s">
        <v>402</v>
      </c>
      <c r="H209" s="824"/>
      <c r="I209" s="824"/>
      <c r="J209" s="824"/>
      <c r="K209" s="183">
        <v>45885</v>
      </c>
      <c r="L209" s="462" t="s">
        <v>684</v>
      </c>
      <c r="M209" s="462"/>
      <c r="N209" s="827"/>
      <c r="O209" s="827"/>
      <c r="P209" s="827"/>
    </row>
    <row r="210" spans="1:16" s="270" customFormat="1" ht="27.6" customHeight="1">
      <c r="A210" s="463">
        <f t="shared" si="4"/>
        <v>69</v>
      </c>
      <c r="B210" s="455" t="s">
        <v>165</v>
      </c>
      <c r="C210" s="181" t="s">
        <v>401</v>
      </c>
      <c r="D210" s="463" t="s">
        <v>239</v>
      </c>
      <c r="E210" s="283">
        <v>45878</v>
      </c>
      <c r="F210" s="284">
        <v>28</v>
      </c>
      <c r="G210" s="824" t="s">
        <v>402</v>
      </c>
      <c r="H210" s="824"/>
      <c r="I210" s="824"/>
      <c r="J210" s="824"/>
      <c r="K210" s="183">
        <v>45891</v>
      </c>
      <c r="L210" s="463" t="s">
        <v>685</v>
      </c>
      <c r="M210" s="463"/>
      <c r="N210" s="827"/>
      <c r="O210" s="827"/>
      <c r="P210" s="827"/>
    </row>
    <row r="211" spans="1:16" s="270" customFormat="1" ht="27.6" customHeight="1">
      <c r="A211" s="469">
        <f t="shared" si="4"/>
        <v>70</v>
      </c>
      <c r="B211" s="455" t="s">
        <v>8</v>
      </c>
      <c r="C211" s="181" t="s">
        <v>452</v>
      </c>
      <c r="D211" s="469" t="s">
        <v>239</v>
      </c>
      <c r="E211" s="283">
        <v>45885</v>
      </c>
      <c r="F211" s="284">
        <v>33</v>
      </c>
      <c r="G211" s="824" t="s">
        <v>402</v>
      </c>
      <c r="H211" s="824"/>
      <c r="I211" s="824"/>
      <c r="J211" s="824"/>
      <c r="K211" s="183">
        <v>45901</v>
      </c>
      <c r="L211" s="469" t="s">
        <v>684</v>
      </c>
      <c r="M211" s="469"/>
      <c r="N211" s="467"/>
      <c r="O211" s="467"/>
      <c r="P211" s="467"/>
    </row>
    <row r="212" spans="1:16" s="270" customFormat="1" ht="27.6" customHeight="1">
      <c r="A212" s="466">
        <f t="shared" si="4"/>
        <v>71</v>
      </c>
      <c r="B212" s="455" t="s">
        <v>150</v>
      </c>
      <c r="C212" s="181" t="s">
        <v>401</v>
      </c>
      <c r="D212" s="466" t="s">
        <v>239</v>
      </c>
      <c r="E212" s="283">
        <v>45887</v>
      </c>
      <c r="F212" s="284">
        <v>28</v>
      </c>
      <c r="G212" s="824" t="s">
        <v>402</v>
      </c>
      <c r="H212" s="824"/>
      <c r="I212" s="824"/>
      <c r="J212" s="824"/>
      <c r="K212" s="183">
        <v>45895</v>
      </c>
      <c r="L212" s="466" t="s">
        <v>686</v>
      </c>
      <c r="M212" s="466"/>
      <c r="N212" s="467"/>
      <c r="O212" s="467"/>
      <c r="P212" s="467"/>
    </row>
    <row r="213" spans="1:16" s="270" customFormat="1" ht="27.6" customHeight="1">
      <c r="A213" s="466">
        <f t="shared" si="4"/>
        <v>72</v>
      </c>
      <c r="B213" s="455" t="s">
        <v>654</v>
      </c>
      <c r="C213" s="181" t="s">
        <v>643</v>
      </c>
      <c r="D213" s="466" t="s">
        <v>239</v>
      </c>
      <c r="E213" s="283">
        <v>45888</v>
      </c>
      <c r="F213" s="284">
        <v>51.6</v>
      </c>
      <c r="G213" s="824" t="s">
        <v>402</v>
      </c>
      <c r="H213" s="824"/>
      <c r="I213" s="824"/>
      <c r="J213" s="824"/>
      <c r="K213" s="183">
        <v>45895</v>
      </c>
      <c r="L213" s="466" t="s">
        <v>684</v>
      </c>
      <c r="M213" s="466"/>
      <c r="N213" s="827"/>
      <c r="O213" s="827"/>
      <c r="P213" s="827"/>
    </row>
    <row r="214" spans="1:16" s="270" customFormat="1" ht="27.6" customHeight="1">
      <c r="A214" s="466">
        <f t="shared" si="4"/>
        <v>73</v>
      </c>
      <c r="B214" s="455" t="s">
        <v>155</v>
      </c>
      <c r="C214" s="181" t="s">
        <v>401</v>
      </c>
      <c r="D214" s="466" t="s">
        <v>239</v>
      </c>
      <c r="E214" s="283">
        <v>45891</v>
      </c>
      <c r="F214" s="284">
        <v>28</v>
      </c>
      <c r="G214" s="824" t="s">
        <v>402</v>
      </c>
      <c r="H214" s="824"/>
      <c r="I214" s="824"/>
      <c r="J214" s="824"/>
      <c r="K214" s="183">
        <v>45895</v>
      </c>
      <c r="L214" s="466" t="s">
        <v>687</v>
      </c>
      <c r="M214" s="466"/>
      <c r="N214" s="827"/>
      <c r="O214" s="827"/>
      <c r="P214" s="827"/>
    </row>
    <row r="215" spans="1:16" s="270" customFormat="1" ht="27.6" customHeight="1">
      <c r="A215" s="517">
        <f t="shared" si="4"/>
        <v>74</v>
      </c>
      <c r="B215" s="455" t="s">
        <v>559</v>
      </c>
      <c r="C215" s="181" t="s">
        <v>401</v>
      </c>
      <c r="D215" s="517" t="s">
        <v>239</v>
      </c>
      <c r="E215" s="283">
        <v>45895</v>
      </c>
      <c r="F215" s="284">
        <v>28</v>
      </c>
      <c r="G215" s="824" t="s">
        <v>402</v>
      </c>
      <c r="H215" s="824"/>
      <c r="I215" s="824"/>
      <c r="J215" s="824"/>
      <c r="K215" s="183">
        <v>45947</v>
      </c>
      <c r="L215" s="517" t="s">
        <v>687</v>
      </c>
      <c r="M215" s="517"/>
      <c r="N215" s="467"/>
      <c r="O215" s="467"/>
      <c r="P215" s="467"/>
    </row>
    <row r="216" spans="1:16" s="270" customFormat="1" ht="27.6" customHeight="1">
      <c r="A216" s="478">
        <f t="shared" si="4"/>
        <v>75</v>
      </c>
      <c r="B216" s="455" t="s">
        <v>119</v>
      </c>
      <c r="C216" s="181" t="s">
        <v>453</v>
      </c>
      <c r="D216" s="478" t="s">
        <v>239</v>
      </c>
      <c r="E216" s="283">
        <v>45900</v>
      </c>
      <c r="F216" s="284">
        <v>35</v>
      </c>
      <c r="G216" s="824" t="s">
        <v>402</v>
      </c>
      <c r="H216" s="824"/>
      <c r="I216" s="824"/>
      <c r="J216" s="824"/>
      <c r="K216" s="183">
        <v>45910</v>
      </c>
      <c r="L216" s="478" t="s">
        <v>686</v>
      </c>
      <c r="M216" s="478"/>
      <c r="N216" s="467"/>
      <c r="O216" s="467"/>
      <c r="P216" s="467"/>
    </row>
    <row r="217" spans="1:16" s="270" customFormat="1" ht="27.6" customHeight="1">
      <c r="A217" s="479">
        <f t="shared" si="4"/>
        <v>76</v>
      </c>
      <c r="B217" s="455" t="s">
        <v>607</v>
      </c>
      <c r="C217" s="181" t="s">
        <v>695</v>
      </c>
      <c r="D217" s="479" t="s">
        <v>239</v>
      </c>
      <c r="E217" s="283">
        <v>45901</v>
      </c>
      <c r="F217" s="284">
        <v>63</v>
      </c>
      <c r="G217" s="824" t="s">
        <v>402</v>
      </c>
      <c r="H217" s="824"/>
      <c r="I217" s="824"/>
      <c r="J217" s="824"/>
      <c r="K217" s="183">
        <v>45912</v>
      </c>
      <c r="L217" s="479" t="s">
        <v>687</v>
      </c>
      <c r="M217" s="479"/>
      <c r="N217" s="467"/>
      <c r="O217" s="467"/>
      <c r="P217" s="467"/>
    </row>
    <row r="218" spans="1:16" s="270" customFormat="1" ht="27.6" customHeight="1">
      <c r="A218" s="477">
        <f t="shared" si="4"/>
        <v>77</v>
      </c>
      <c r="B218" s="455" t="s">
        <v>164</v>
      </c>
      <c r="C218" s="181" t="s">
        <v>401</v>
      </c>
      <c r="D218" s="477" t="s">
        <v>239</v>
      </c>
      <c r="E218" s="283">
        <v>45903</v>
      </c>
      <c r="F218" s="284">
        <v>27.9</v>
      </c>
      <c r="G218" s="824" t="s">
        <v>402</v>
      </c>
      <c r="H218" s="824"/>
      <c r="I218" s="824"/>
      <c r="J218" s="824"/>
      <c r="K218" s="183">
        <v>45907</v>
      </c>
      <c r="L218" s="477" t="s">
        <v>684</v>
      </c>
      <c r="M218" s="477"/>
      <c r="N218" s="467"/>
      <c r="O218" s="467"/>
      <c r="P218" s="467"/>
    </row>
    <row r="219" spans="1:16" s="270" customFormat="1" ht="43.2" customHeight="1">
      <c r="A219" s="492">
        <f t="shared" si="4"/>
        <v>78</v>
      </c>
      <c r="B219" s="455" t="s">
        <v>645</v>
      </c>
      <c r="C219" s="181" t="s">
        <v>476</v>
      </c>
      <c r="D219" s="492" t="s">
        <v>239</v>
      </c>
      <c r="E219" s="283">
        <v>45905</v>
      </c>
      <c r="F219" s="284">
        <v>45</v>
      </c>
      <c r="G219" s="824" t="s">
        <v>402</v>
      </c>
      <c r="H219" s="824"/>
      <c r="I219" s="824"/>
      <c r="J219" s="824"/>
      <c r="K219" s="183">
        <v>45933</v>
      </c>
      <c r="L219" s="492" t="s">
        <v>685</v>
      </c>
      <c r="M219" s="492"/>
      <c r="N219" s="825"/>
      <c r="O219" s="826"/>
      <c r="P219" s="826"/>
    </row>
    <row r="220" spans="1:16" s="270" customFormat="1" ht="27.6" customHeight="1">
      <c r="A220" s="614">
        <f t="shared" si="4"/>
        <v>79</v>
      </c>
      <c r="B220" s="455" t="s">
        <v>40</v>
      </c>
      <c r="C220" s="181" t="s">
        <v>444</v>
      </c>
      <c r="D220" s="480" t="s">
        <v>239</v>
      </c>
      <c r="E220" s="283">
        <v>45909</v>
      </c>
      <c r="F220" s="284">
        <v>29</v>
      </c>
      <c r="G220" s="824" t="s">
        <v>402</v>
      </c>
      <c r="H220" s="824"/>
      <c r="I220" s="824"/>
      <c r="J220" s="824"/>
      <c r="K220" s="183">
        <v>45913</v>
      </c>
      <c r="L220" s="480" t="s">
        <v>684</v>
      </c>
      <c r="M220" s="480"/>
      <c r="N220" s="467"/>
      <c r="O220" s="467"/>
      <c r="P220" s="467"/>
    </row>
    <row r="221" spans="1:16" s="270" customFormat="1" ht="27.6" customHeight="1">
      <c r="A221" s="492">
        <f t="shared" si="4"/>
        <v>80</v>
      </c>
      <c r="B221" s="455" t="s">
        <v>154</v>
      </c>
      <c r="C221" s="181" t="s">
        <v>452</v>
      </c>
      <c r="D221" s="492" t="s">
        <v>239</v>
      </c>
      <c r="E221" s="283">
        <v>45909</v>
      </c>
      <c r="F221" s="284">
        <v>33.299999999999997</v>
      </c>
      <c r="G221" s="824" t="s">
        <v>402</v>
      </c>
      <c r="H221" s="824"/>
      <c r="I221" s="824"/>
      <c r="J221" s="824"/>
      <c r="K221" s="183">
        <v>45930</v>
      </c>
      <c r="L221" s="492" t="s">
        <v>696</v>
      </c>
      <c r="M221" s="492"/>
      <c r="N221" s="467"/>
      <c r="O221" s="467"/>
      <c r="P221" s="467"/>
    </row>
    <row r="222" spans="1:16" s="270" customFormat="1" ht="27.6" customHeight="1">
      <c r="A222" s="486">
        <f t="shared" si="4"/>
        <v>81</v>
      </c>
      <c r="B222" s="455" t="s">
        <v>118</v>
      </c>
      <c r="C222" s="181" t="s">
        <v>452</v>
      </c>
      <c r="D222" s="486" t="s">
        <v>239</v>
      </c>
      <c r="E222" s="283">
        <v>45912</v>
      </c>
      <c r="F222" s="284">
        <v>33.299999999999997</v>
      </c>
      <c r="G222" s="824" t="s">
        <v>402</v>
      </c>
      <c r="H222" s="824"/>
      <c r="I222" s="824"/>
      <c r="J222" s="824"/>
      <c r="K222" s="183">
        <v>45922</v>
      </c>
      <c r="L222" s="486" t="s">
        <v>699</v>
      </c>
      <c r="M222" s="486"/>
      <c r="N222" s="467"/>
      <c r="O222" s="467"/>
      <c r="P222" s="467"/>
    </row>
    <row r="223" spans="1:16" s="270" customFormat="1" ht="27.6" customHeight="1">
      <c r="A223" s="488">
        <f t="shared" si="4"/>
        <v>82</v>
      </c>
      <c r="B223" s="455" t="s">
        <v>562</v>
      </c>
      <c r="C223" s="181" t="s">
        <v>643</v>
      </c>
      <c r="D223" s="488" t="s">
        <v>239</v>
      </c>
      <c r="E223" s="283">
        <v>45914</v>
      </c>
      <c r="F223" s="284">
        <v>51.7</v>
      </c>
      <c r="G223" s="824" t="s">
        <v>402</v>
      </c>
      <c r="H223" s="824"/>
      <c r="I223" s="824"/>
      <c r="J223" s="824"/>
      <c r="K223" s="183">
        <v>45925</v>
      </c>
      <c r="L223" s="488" t="s">
        <v>687</v>
      </c>
      <c r="M223" s="488"/>
      <c r="N223" s="467"/>
      <c r="O223" s="467"/>
      <c r="P223" s="467"/>
    </row>
    <row r="224" spans="1:16" s="270" customFormat="1" ht="34.799999999999997" customHeight="1">
      <c r="A224" s="487">
        <f t="shared" si="4"/>
        <v>83</v>
      </c>
      <c r="B224" s="455" t="s">
        <v>680</v>
      </c>
      <c r="C224" s="181" t="s">
        <v>598</v>
      </c>
      <c r="D224" s="487" t="s">
        <v>239</v>
      </c>
      <c r="E224" s="283">
        <v>45916</v>
      </c>
      <c r="F224" s="284">
        <v>60</v>
      </c>
      <c r="G224" s="824" t="s">
        <v>402</v>
      </c>
      <c r="H224" s="824"/>
      <c r="I224" s="824"/>
      <c r="J224" s="824"/>
      <c r="K224" s="183">
        <v>45923</v>
      </c>
      <c r="L224" s="487" t="s">
        <v>684</v>
      </c>
      <c r="M224" s="487"/>
      <c r="N224" s="825"/>
      <c r="O224" s="826"/>
      <c r="P224" s="826"/>
    </row>
    <row r="225" spans="1:16" s="270" customFormat="1" ht="34.799999999999997" customHeight="1">
      <c r="A225" s="492">
        <f t="shared" si="4"/>
        <v>84</v>
      </c>
      <c r="B225" s="455" t="s">
        <v>117</v>
      </c>
      <c r="C225" s="181" t="s">
        <v>448</v>
      </c>
      <c r="D225" s="492" t="s">
        <v>239</v>
      </c>
      <c r="E225" s="283">
        <v>45922</v>
      </c>
      <c r="F225" s="284">
        <v>27</v>
      </c>
      <c r="G225" s="824" t="s">
        <v>402</v>
      </c>
      <c r="H225" s="824"/>
      <c r="I225" s="824"/>
      <c r="J225" s="824"/>
      <c r="K225" s="183">
        <v>45930</v>
      </c>
      <c r="L225" s="492" t="s">
        <v>699</v>
      </c>
      <c r="M225" s="492"/>
      <c r="N225" s="825"/>
      <c r="O225" s="826"/>
      <c r="P225" s="826"/>
    </row>
    <row r="226" spans="1:16" s="270" customFormat="1" ht="34.799999999999997" customHeight="1">
      <c r="A226" s="492">
        <f t="shared" si="4"/>
        <v>85</v>
      </c>
      <c r="B226" s="455" t="s">
        <v>665</v>
      </c>
      <c r="C226" s="181" t="s">
        <v>666</v>
      </c>
      <c r="D226" s="492" t="s">
        <v>239</v>
      </c>
      <c r="E226" s="283">
        <v>45925</v>
      </c>
      <c r="F226" s="284">
        <v>50</v>
      </c>
      <c r="G226" s="824" t="s">
        <v>402</v>
      </c>
      <c r="H226" s="824"/>
      <c r="I226" s="824"/>
      <c r="J226" s="824"/>
      <c r="K226" s="183">
        <v>45931</v>
      </c>
      <c r="L226" s="492" t="s">
        <v>684</v>
      </c>
      <c r="M226" s="492"/>
      <c r="N226" s="825"/>
      <c r="O226" s="826"/>
      <c r="P226" s="826"/>
    </row>
    <row r="227" spans="1:16" s="270" customFormat="1" ht="34.799999999999997" customHeight="1">
      <c r="A227" s="508">
        <f t="shared" si="4"/>
        <v>86</v>
      </c>
      <c r="B227" s="455" t="s">
        <v>173</v>
      </c>
      <c r="C227" s="181" t="s">
        <v>448</v>
      </c>
      <c r="D227" s="508" t="s">
        <v>239</v>
      </c>
      <c r="E227" s="283">
        <v>45928</v>
      </c>
      <c r="F227" s="284">
        <v>27</v>
      </c>
      <c r="G227" s="824" t="s">
        <v>402</v>
      </c>
      <c r="H227" s="824"/>
      <c r="I227" s="824"/>
      <c r="J227" s="824"/>
      <c r="K227" s="183">
        <v>45935</v>
      </c>
      <c r="L227" s="508" t="s">
        <v>687</v>
      </c>
      <c r="M227" s="508"/>
      <c r="N227" s="825"/>
      <c r="O227" s="826"/>
      <c r="P227" s="826"/>
    </row>
    <row r="228" spans="1:16" s="270" customFormat="1" ht="34.799999999999997" customHeight="1">
      <c r="A228" s="517">
        <f t="shared" si="4"/>
        <v>87</v>
      </c>
      <c r="B228" s="455" t="s">
        <v>689</v>
      </c>
      <c r="C228" s="181" t="s">
        <v>690</v>
      </c>
      <c r="D228" s="517" t="s">
        <v>239</v>
      </c>
      <c r="E228" s="283">
        <v>45929</v>
      </c>
      <c r="F228" s="284">
        <v>60</v>
      </c>
      <c r="G228" s="824" t="s">
        <v>402</v>
      </c>
      <c r="H228" s="824"/>
      <c r="I228" s="824"/>
      <c r="J228" s="824"/>
      <c r="K228" s="183">
        <v>45947</v>
      </c>
      <c r="L228" s="517" t="s">
        <v>696</v>
      </c>
      <c r="M228" s="517"/>
      <c r="N228" s="825"/>
      <c r="O228" s="826"/>
      <c r="P228" s="826"/>
    </row>
    <row r="229" spans="1:16" s="270" customFormat="1" ht="34.799999999999997" customHeight="1">
      <c r="A229" s="517">
        <f t="shared" si="4"/>
        <v>88</v>
      </c>
      <c r="B229" s="455" t="s">
        <v>597</v>
      </c>
      <c r="C229" s="181" t="s">
        <v>598</v>
      </c>
      <c r="D229" s="517" t="s">
        <v>239</v>
      </c>
      <c r="E229" s="283">
        <v>45934</v>
      </c>
      <c r="F229" s="284">
        <v>60</v>
      </c>
      <c r="G229" s="824" t="s">
        <v>402</v>
      </c>
      <c r="H229" s="824"/>
      <c r="I229" s="824"/>
      <c r="J229" s="824"/>
      <c r="K229" s="183">
        <v>45947</v>
      </c>
      <c r="L229" s="517" t="s">
        <v>699</v>
      </c>
      <c r="M229" s="517"/>
      <c r="N229" s="825"/>
      <c r="O229" s="826"/>
      <c r="P229" s="826"/>
    </row>
    <row r="230" spans="1:16" s="270" customFormat="1" ht="34.799999999999997" customHeight="1">
      <c r="A230" s="567">
        <f t="shared" si="4"/>
        <v>89</v>
      </c>
      <c r="B230" s="455" t="s">
        <v>658</v>
      </c>
      <c r="C230" s="181" t="s">
        <v>116</v>
      </c>
      <c r="D230" s="567" t="s">
        <v>239</v>
      </c>
      <c r="E230" s="283">
        <v>45946</v>
      </c>
      <c r="F230" s="284">
        <v>89</v>
      </c>
      <c r="G230" s="824" t="s">
        <v>402</v>
      </c>
      <c r="H230" s="824"/>
      <c r="I230" s="824"/>
      <c r="J230" s="824"/>
      <c r="K230" s="183">
        <v>45968</v>
      </c>
      <c r="L230" s="567" t="s">
        <v>699</v>
      </c>
      <c r="M230" s="567"/>
      <c r="N230" s="825"/>
      <c r="O230" s="826"/>
      <c r="P230" s="826"/>
    </row>
    <row r="231" spans="1:16" s="270" customFormat="1" ht="34.799999999999997" customHeight="1">
      <c r="A231" s="577">
        <f t="shared" si="4"/>
        <v>90</v>
      </c>
      <c r="B231" s="455" t="s">
        <v>663</v>
      </c>
      <c r="C231" s="181" t="s">
        <v>116</v>
      </c>
      <c r="D231" s="577" t="s">
        <v>239</v>
      </c>
      <c r="E231" s="283">
        <v>45946</v>
      </c>
      <c r="F231" s="284">
        <v>89</v>
      </c>
      <c r="G231" s="824" t="s">
        <v>402</v>
      </c>
      <c r="H231" s="824"/>
      <c r="I231" s="824"/>
      <c r="J231" s="824"/>
      <c r="K231" s="183">
        <v>45990</v>
      </c>
      <c r="L231" s="577" t="s">
        <v>696</v>
      </c>
      <c r="M231" s="577"/>
      <c r="N231" s="825"/>
      <c r="O231" s="826"/>
      <c r="P231" s="826"/>
    </row>
    <row r="232" spans="1:16" s="270" customFormat="1" ht="34.799999999999997" customHeight="1">
      <c r="A232" s="556">
        <f t="shared" si="4"/>
        <v>91</v>
      </c>
      <c r="B232" s="455" t="s">
        <v>561</v>
      </c>
      <c r="C232" s="181" t="s">
        <v>401</v>
      </c>
      <c r="D232" s="556" t="s">
        <v>239</v>
      </c>
      <c r="E232" s="283">
        <v>45948</v>
      </c>
      <c r="F232" s="284">
        <v>28</v>
      </c>
      <c r="G232" s="824" t="s">
        <v>402</v>
      </c>
      <c r="H232" s="824"/>
      <c r="I232" s="824"/>
      <c r="J232" s="824"/>
      <c r="K232" s="183">
        <v>45957</v>
      </c>
      <c r="L232" s="556" t="s">
        <v>687</v>
      </c>
      <c r="M232" s="556"/>
      <c r="N232" s="825"/>
      <c r="O232" s="826"/>
      <c r="P232" s="826"/>
    </row>
    <row r="233" spans="1:16" s="270" customFormat="1" ht="34.799999999999997" customHeight="1">
      <c r="A233" s="565">
        <f t="shared" si="4"/>
        <v>92</v>
      </c>
      <c r="B233" s="455" t="s">
        <v>162</v>
      </c>
      <c r="C233" s="181" t="s">
        <v>401</v>
      </c>
      <c r="D233" s="565" t="s">
        <v>239</v>
      </c>
      <c r="E233" s="283">
        <v>45959</v>
      </c>
      <c r="F233" s="284">
        <v>28</v>
      </c>
      <c r="G233" s="824" t="s">
        <v>402</v>
      </c>
      <c r="H233" s="824"/>
      <c r="I233" s="824"/>
      <c r="J233" s="824"/>
      <c r="K233" s="183">
        <v>45967</v>
      </c>
      <c r="L233" s="565" t="s">
        <v>687</v>
      </c>
      <c r="M233" s="565"/>
      <c r="N233" s="825"/>
      <c r="O233" s="826"/>
      <c r="P233" s="826"/>
    </row>
    <row r="234" spans="1:16" s="270" customFormat="1" ht="34.799999999999997" customHeight="1">
      <c r="A234" s="568">
        <f t="shared" si="4"/>
        <v>93</v>
      </c>
      <c r="B234" s="455" t="s">
        <v>158</v>
      </c>
      <c r="C234" s="181" t="s">
        <v>401</v>
      </c>
      <c r="D234" s="568" t="s">
        <v>239</v>
      </c>
      <c r="E234" s="283">
        <v>45965</v>
      </c>
      <c r="F234" s="284">
        <v>28</v>
      </c>
      <c r="G234" s="824" t="s">
        <v>402</v>
      </c>
      <c r="H234" s="824"/>
      <c r="I234" s="824"/>
      <c r="J234" s="824"/>
      <c r="K234" s="183">
        <v>45973</v>
      </c>
      <c r="L234" s="568" t="s">
        <v>687</v>
      </c>
      <c r="M234" s="568"/>
      <c r="N234" s="825"/>
      <c r="O234" s="826"/>
      <c r="P234" s="826"/>
    </row>
    <row r="235" spans="1:16" s="270" customFormat="1" ht="34.799999999999997" customHeight="1">
      <c r="A235" s="568">
        <f t="shared" si="4"/>
        <v>94</v>
      </c>
      <c r="B235" s="455" t="s">
        <v>151</v>
      </c>
      <c r="C235" s="181" t="s">
        <v>401</v>
      </c>
      <c r="D235" s="568" t="s">
        <v>239</v>
      </c>
      <c r="E235" s="283">
        <v>45967</v>
      </c>
      <c r="F235" s="284">
        <v>28</v>
      </c>
      <c r="G235" s="824" t="s">
        <v>402</v>
      </c>
      <c r="H235" s="824"/>
      <c r="I235" s="824"/>
      <c r="J235" s="824"/>
      <c r="K235" s="183">
        <v>45974</v>
      </c>
      <c r="L235" s="568" t="s">
        <v>696</v>
      </c>
      <c r="M235" s="568"/>
      <c r="N235" s="825"/>
      <c r="O235" s="826"/>
      <c r="P235" s="826"/>
    </row>
    <row r="236" spans="1:16" s="270" customFormat="1" ht="34.799999999999997" customHeight="1">
      <c r="A236" s="573">
        <f t="shared" si="4"/>
        <v>95</v>
      </c>
      <c r="B236" s="455" t="s">
        <v>674</v>
      </c>
      <c r="C236" s="181" t="s">
        <v>594</v>
      </c>
      <c r="D236" s="573" t="s">
        <v>239</v>
      </c>
      <c r="E236" s="283">
        <v>45972</v>
      </c>
      <c r="F236" s="284">
        <v>45</v>
      </c>
      <c r="G236" s="824" t="s">
        <v>402</v>
      </c>
      <c r="H236" s="824"/>
      <c r="I236" s="824"/>
      <c r="J236" s="824"/>
      <c r="K236" s="183">
        <v>45979</v>
      </c>
      <c r="L236" s="573" t="s">
        <v>699</v>
      </c>
      <c r="M236" s="573"/>
      <c r="N236" s="825"/>
      <c r="O236" s="826"/>
      <c r="P236" s="826"/>
    </row>
    <row r="237" spans="1:16" s="270" customFormat="1" ht="34.799999999999997" customHeight="1">
      <c r="A237" s="573">
        <f t="shared" si="4"/>
        <v>96</v>
      </c>
      <c r="B237" s="455" t="s">
        <v>120</v>
      </c>
      <c r="C237" s="181" t="s">
        <v>444</v>
      </c>
      <c r="D237" s="573" t="s">
        <v>239</v>
      </c>
      <c r="E237" s="283">
        <v>45973</v>
      </c>
      <c r="F237" s="284">
        <v>29</v>
      </c>
      <c r="G237" s="824" t="s">
        <v>402</v>
      </c>
      <c r="H237" s="824"/>
      <c r="I237" s="824"/>
      <c r="J237" s="824"/>
      <c r="K237" s="183">
        <v>45982</v>
      </c>
      <c r="L237" s="573" t="s">
        <v>687</v>
      </c>
      <c r="M237" s="573"/>
      <c r="N237" s="825"/>
      <c r="O237" s="826"/>
      <c r="P237" s="826"/>
    </row>
    <row r="238" spans="1:16" s="270" customFormat="1" ht="34.799999999999997" customHeight="1">
      <c r="A238" s="577">
        <f t="shared" si="4"/>
        <v>97</v>
      </c>
      <c r="B238" s="455" t="s">
        <v>168</v>
      </c>
      <c r="C238" s="181" t="s">
        <v>444</v>
      </c>
      <c r="D238" s="577" t="s">
        <v>239</v>
      </c>
      <c r="E238" s="283">
        <v>45982</v>
      </c>
      <c r="F238" s="284">
        <v>29</v>
      </c>
      <c r="G238" s="824" t="s">
        <v>402</v>
      </c>
      <c r="H238" s="824"/>
      <c r="I238" s="824"/>
      <c r="J238" s="824"/>
      <c r="K238" s="183">
        <v>45988</v>
      </c>
      <c r="L238" s="577" t="s">
        <v>699</v>
      </c>
      <c r="M238" s="577"/>
      <c r="N238" s="825"/>
      <c r="O238" s="826"/>
      <c r="P238" s="826"/>
    </row>
    <row r="239" spans="1:16" s="270" customFormat="1" ht="34.799999999999997" customHeight="1">
      <c r="A239" s="579">
        <f t="shared" si="4"/>
        <v>98</v>
      </c>
      <c r="B239" s="455" t="s">
        <v>153</v>
      </c>
      <c r="C239" s="181" t="s">
        <v>401</v>
      </c>
      <c r="D239" s="579" t="s">
        <v>239</v>
      </c>
      <c r="E239" s="283">
        <v>45984</v>
      </c>
      <c r="F239" s="284">
        <v>28</v>
      </c>
      <c r="G239" s="824" t="s">
        <v>402</v>
      </c>
      <c r="H239" s="824"/>
      <c r="I239" s="824"/>
      <c r="J239" s="824"/>
      <c r="K239" s="183">
        <v>45993</v>
      </c>
      <c r="L239" s="579" t="s">
        <v>687</v>
      </c>
      <c r="M239" s="579"/>
      <c r="N239" s="825"/>
      <c r="O239" s="826"/>
      <c r="P239" s="826"/>
    </row>
    <row r="240" spans="1:16" s="270" customFormat="1" ht="34.799999999999997" customHeight="1">
      <c r="A240" s="580">
        <f t="shared" si="4"/>
        <v>99</v>
      </c>
      <c r="B240" s="455" t="s">
        <v>557</v>
      </c>
      <c r="C240" s="181" t="s">
        <v>643</v>
      </c>
      <c r="D240" s="580" t="s">
        <v>239</v>
      </c>
      <c r="E240" s="283">
        <v>45991</v>
      </c>
      <c r="F240" s="284">
        <v>52</v>
      </c>
      <c r="G240" s="824" t="s">
        <v>402</v>
      </c>
      <c r="H240" s="824"/>
      <c r="I240" s="824"/>
      <c r="J240" s="824"/>
      <c r="K240" s="183">
        <v>45998</v>
      </c>
      <c r="L240" s="580" t="s">
        <v>699</v>
      </c>
      <c r="M240" s="580"/>
      <c r="N240" s="825"/>
      <c r="O240" s="826"/>
      <c r="P240" s="826"/>
    </row>
    <row r="241" spans="1:16" s="270" customFormat="1" ht="34.799999999999997" customHeight="1">
      <c r="A241" s="581">
        <f t="shared" si="4"/>
        <v>100</v>
      </c>
      <c r="B241" s="455" t="s">
        <v>678</v>
      </c>
      <c r="C241" s="181" t="s">
        <v>629</v>
      </c>
      <c r="D241" s="581" t="s">
        <v>239</v>
      </c>
      <c r="E241" s="283">
        <v>45992</v>
      </c>
      <c r="F241" s="284">
        <v>52</v>
      </c>
      <c r="G241" s="824" t="s">
        <v>402</v>
      </c>
      <c r="H241" s="824"/>
      <c r="I241" s="824"/>
      <c r="J241" s="824"/>
      <c r="K241" s="183">
        <v>46001</v>
      </c>
      <c r="L241" s="581" t="s">
        <v>696</v>
      </c>
      <c r="M241" s="581"/>
      <c r="N241" s="825"/>
      <c r="O241" s="826"/>
      <c r="P241" s="826"/>
    </row>
    <row r="242" spans="1:16" s="270" customFormat="1" ht="34.799999999999997" customHeight="1">
      <c r="A242" s="594">
        <f t="shared" si="4"/>
        <v>101</v>
      </c>
      <c r="B242" s="455" t="s">
        <v>163</v>
      </c>
      <c r="C242" s="181" t="s">
        <v>669</v>
      </c>
      <c r="D242" s="594" t="s">
        <v>239</v>
      </c>
      <c r="E242" s="283">
        <v>45995</v>
      </c>
      <c r="F242" s="284">
        <v>27</v>
      </c>
      <c r="G242" s="824" t="s">
        <v>402</v>
      </c>
      <c r="H242" s="824"/>
      <c r="I242" s="824"/>
      <c r="J242" s="824"/>
      <c r="K242" s="183">
        <v>46005</v>
      </c>
      <c r="L242" s="594" t="s">
        <v>687</v>
      </c>
      <c r="M242" s="594"/>
      <c r="N242" s="825"/>
      <c r="O242" s="826"/>
      <c r="P242" s="826"/>
    </row>
    <row r="243" spans="1:16" s="270" customFormat="1" ht="34.799999999999997" customHeight="1">
      <c r="A243" s="594">
        <f t="shared" si="4"/>
        <v>102</v>
      </c>
      <c r="B243" s="455" t="s">
        <v>183</v>
      </c>
      <c r="C243" s="181" t="s">
        <v>452</v>
      </c>
      <c r="D243" s="594" t="s">
        <v>239</v>
      </c>
      <c r="E243" s="283">
        <v>45998</v>
      </c>
      <c r="F243" s="284">
        <v>33</v>
      </c>
      <c r="G243" s="824" t="s">
        <v>402</v>
      </c>
      <c r="H243" s="824"/>
      <c r="I243" s="824"/>
      <c r="J243" s="824"/>
      <c r="K243" s="183">
        <v>46005</v>
      </c>
      <c r="L243" s="594" t="s">
        <v>699</v>
      </c>
      <c r="M243" s="594"/>
      <c r="N243" s="825"/>
      <c r="O243" s="826"/>
      <c r="P243" s="826"/>
    </row>
    <row r="244" spans="1:16" s="270" customFormat="1" ht="34.799999999999997" customHeight="1">
      <c r="A244" s="594">
        <f t="shared" si="4"/>
        <v>103</v>
      </c>
      <c r="B244" s="455" t="s">
        <v>171</v>
      </c>
      <c r="C244" s="181" t="s">
        <v>448</v>
      </c>
      <c r="D244" s="594" t="s">
        <v>239</v>
      </c>
      <c r="E244" s="283">
        <v>46001</v>
      </c>
      <c r="F244" s="284">
        <v>27</v>
      </c>
      <c r="G244" s="824" t="s">
        <v>402</v>
      </c>
      <c r="H244" s="824"/>
      <c r="I244" s="824"/>
      <c r="J244" s="824"/>
      <c r="K244" s="183">
        <v>46006</v>
      </c>
      <c r="L244" s="594" t="s">
        <v>696</v>
      </c>
      <c r="M244" s="594"/>
      <c r="N244" s="825"/>
      <c r="O244" s="826"/>
      <c r="P244" s="826"/>
    </row>
    <row r="245" spans="1:16" s="270" customFormat="1" ht="34.799999999999997" customHeight="1">
      <c r="A245" s="614">
        <f t="shared" si="4"/>
        <v>104</v>
      </c>
      <c r="B245" s="455" t="s">
        <v>184</v>
      </c>
      <c r="C245" s="181" t="s">
        <v>448</v>
      </c>
      <c r="D245" s="614" t="s">
        <v>239</v>
      </c>
      <c r="E245" s="283">
        <v>46006</v>
      </c>
      <c r="F245" s="284">
        <v>27</v>
      </c>
      <c r="G245" s="824" t="s">
        <v>402</v>
      </c>
      <c r="H245" s="824"/>
      <c r="I245" s="824"/>
      <c r="J245" s="824"/>
      <c r="K245" s="183">
        <v>46010</v>
      </c>
      <c r="L245" s="614" t="s">
        <v>699</v>
      </c>
      <c r="M245" s="614"/>
      <c r="N245" s="825"/>
      <c r="O245" s="826"/>
      <c r="P245" s="826"/>
    </row>
    <row r="246" spans="1:16" s="270" customFormat="1" ht="34.799999999999997" customHeight="1">
      <c r="A246" s="638">
        <f t="shared" si="4"/>
        <v>105</v>
      </c>
      <c r="B246" s="455" t="s">
        <v>172</v>
      </c>
      <c r="C246" s="181" t="s">
        <v>448</v>
      </c>
      <c r="D246" s="638" t="s">
        <v>239</v>
      </c>
      <c r="E246" s="283">
        <v>46008</v>
      </c>
      <c r="F246" s="284">
        <v>27</v>
      </c>
      <c r="G246" s="824" t="s">
        <v>402</v>
      </c>
      <c r="H246" s="824"/>
      <c r="I246" s="824"/>
      <c r="J246" s="824"/>
      <c r="K246" s="183">
        <v>46013</v>
      </c>
      <c r="L246" s="638" t="s">
        <v>696</v>
      </c>
      <c r="M246" s="638"/>
      <c r="N246" s="825"/>
      <c r="O246" s="826"/>
      <c r="P246" s="826"/>
    </row>
    <row r="247" spans="1:16" s="270" customFormat="1" ht="34.799999999999997" customHeight="1">
      <c r="A247" s="678">
        <f t="shared" si="4"/>
        <v>106</v>
      </c>
      <c r="B247" s="455" t="s">
        <v>558</v>
      </c>
      <c r="C247" s="181" t="s">
        <v>452</v>
      </c>
      <c r="D247" s="678" t="s">
        <v>239</v>
      </c>
      <c r="E247" s="283">
        <v>46007</v>
      </c>
      <c r="F247" s="284">
        <v>33</v>
      </c>
      <c r="G247" s="824" t="s">
        <v>402</v>
      </c>
      <c r="H247" s="824"/>
      <c r="I247" s="824"/>
      <c r="J247" s="824"/>
      <c r="K247" s="183">
        <v>46016</v>
      </c>
      <c r="L247" s="678" t="s">
        <v>687</v>
      </c>
      <c r="M247" s="678"/>
      <c r="N247" s="825"/>
      <c r="O247" s="826"/>
      <c r="P247" s="826"/>
    </row>
    <row r="248" spans="1:16" s="270" customFormat="1" ht="34.799999999999997" customHeight="1">
      <c r="A248" s="678">
        <f t="shared" si="4"/>
        <v>107</v>
      </c>
      <c r="B248" s="455" t="s">
        <v>185</v>
      </c>
      <c r="C248" s="181" t="s">
        <v>506</v>
      </c>
      <c r="D248" s="678" t="s">
        <v>239</v>
      </c>
      <c r="E248" s="283">
        <v>46011</v>
      </c>
      <c r="F248" s="284">
        <v>51</v>
      </c>
      <c r="G248" s="824" t="s">
        <v>402</v>
      </c>
      <c r="H248" s="824"/>
      <c r="I248" s="824"/>
      <c r="J248" s="824"/>
      <c r="K248" s="183">
        <v>46017</v>
      </c>
      <c r="L248" s="678" t="s">
        <v>699</v>
      </c>
      <c r="M248" s="678"/>
      <c r="N248" s="825"/>
      <c r="O248" s="826"/>
      <c r="P248" s="826"/>
    </row>
    <row r="249" spans="1:16" s="270" customFormat="1" ht="34.799999999999997" customHeight="1">
      <c r="A249" s="684">
        <f t="shared" si="4"/>
        <v>108</v>
      </c>
      <c r="B249" s="455" t="s">
        <v>616</v>
      </c>
      <c r="C249" s="181" t="s">
        <v>453</v>
      </c>
      <c r="D249" s="684" t="s">
        <v>809</v>
      </c>
      <c r="E249" s="283">
        <v>46014</v>
      </c>
      <c r="F249" s="284">
        <v>35</v>
      </c>
      <c r="G249" s="824" t="s">
        <v>402</v>
      </c>
      <c r="H249" s="824"/>
      <c r="I249" s="824"/>
      <c r="J249" s="824"/>
      <c r="K249" s="183">
        <v>46021</v>
      </c>
      <c r="L249" s="684" t="s">
        <v>696</v>
      </c>
      <c r="M249" s="684"/>
      <c r="N249" s="825"/>
      <c r="O249" s="826"/>
      <c r="P249" s="826"/>
    </row>
    <row r="250" spans="1:16" s="270" customFormat="1" ht="34.799999999999997" customHeight="1">
      <c r="A250" s="713">
        <f t="shared" si="4"/>
        <v>109</v>
      </c>
      <c r="B250" s="455" t="s">
        <v>553</v>
      </c>
      <c r="C250" s="181" t="s">
        <v>652</v>
      </c>
      <c r="D250" s="713" t="s">
        <v>239</v>
      </c>
      <c r="E250" s="283">
        <v>46017</v>
      </c>
      <c r="F250" s="284">
        <v>73</v>
      </c>
      <c r="G250" s="824" t="s">
        <v>402</v>
      </c>
      <c r="H250" s="824"/>
      <c r="I250" s="824"/>
      <c r="J250" s="824"/>
      <c r="K250" s="183">
        <v>46030</v>
      </c>
      <c r="L250" s="713" t="s">
        <v>699</v>
      </c>
      <c r="M250" s="713"/>
      <c r="N250" s="825"/>
      <c r="O250" s="826"/>
      <c r="P250" s="826"/>
    </row>
    <row r="251" spans="1:16" s="270" customFormat="1" ht="34.799999999999997" customHeight="1">
      <c r="A251" s="713">
        <f t="shared" si="4"/>
        <v>110</v>
      </c>
      <c r="B251" s="455" t="s">
        <v>186</v>
      </c>
      <c r="C251" s="181" t="s">
        <v>669</v>
      </c>
      <c r="D251" s="713" t="s">
        <v>239</v>
      </c>
      <c r="E251" s="283">
        <v>46017</v>
      </c>
      <c r="F251" s="284">
        <v>27</v>
      </c>
      <c r="G251" s="824" t="s">
        <v>402</v>
      </c>
      <c r="H251" s="824"/>
      <c r="I251" s="824"/>
      <c r="J251" s="824"/>
      <c r="K251" s="183">
        <v>46029</v>
      </c>
      <c r="L251" s="713" t="s">
        <v>687</v>
      </c>
      <c r="M251" s="713"/>
      <c r="N251" s="825"/>
      <c r="O251" s="826"/>
      <c r="P251" s="826"/>
    </row>
    <row r="252" spans="1:16" s="422" customFormat="1" ht="34.799999999999997" customHeight="1">
      <c r="A252" s="465">
        <f t="shared" si="4"/>
        <v>111</v>
      </c>
      <c r="B252" s="454" t="s">
        <v>556</v>
      </c>
      <c r="C252" s="641" t="s">
        <v>448</v>
      </c>
      <c r="D252" s="465" t="s">
        <v>239</v>
      </c>
      <c r="E252" s="421">
        <v>46021</v>
      </c>
      <c r="F252" s="420">
        <v>27</v>
      </c>
      <c r="G252" s="831" t="s">
        <v>894</v>
      </c>
      <c r="H252" s="832"/>
      <c r="I252" s="832"/>
      <c r="J252" s="833"/>
      <c r="K252" s="563"/>
      <c r="L252" s="465" t="s">
        <v>864</v>
      </c>
      <c r="M252" s="465"/>
      <c r="N252" s="834"/>
      <c r="O252" s="835"/>
      <c r="P252" s="835"/>
    </row>
    <row r="253" spans="1:16" s="270" customFormat="1" ht="34.799999999999997" customHeight="1">
      <c r="A253" s="710">
        <f t="shared" si="4"/>
        <v>112</v>
      </c>
      <c r="B253" s="455" t="s">
        <v>617</v>
      </c>
      <c r="C253" s="181" t="s">
        <v>669</v>
      </c>
      <c r="D253" s="710" t="s">
        <v>239</v>
      </c>
      <c r="E253" s="283">
        <v>46022</v>
      </c>
      <c r="F253" s="284">
        <v>27</v>
      </c>
      <c r="G253" s="824" t="s">
        <v>402</v>
      </c>
      <c r="H253" s="824"/>
      <c r="I253" s="824"/>
      <c r="J253" s="824"/>
      <c r="K253" s="183">
        <v>46028</v>
      </c>
      <c r="L253" s="710" t="s">
        <v>696</v>
      </c>
      <c r="M253" s="710"/>
      <c r="N253" s="825"/>
      <c r="O253" s="826"/>
      <c r="P253" s="826"/>
    </row>
    <row r="254" spans="1:16" s="422" customFormat="1" ht="34.799999999999997" customHeight="1">
      <c r="A254" s="465">
        <f t="shared" si="4"/>
        <v>113</v>
      </c>
      <c r="B254" s="454" t="s">
        <v>555</v>
      </c>
      <c r="C254" s="641" t="s">
        <v>652</v>
      </c>
      <c r="D254" s="465" t="s">
        <v>239</v>
      </c>
      <c r="E254" s="421">
        <v>46029</v>
      </c>
      <c r="F254" s="420">
        <v>73</v>
      </c>
      <c r="G254" s="831" t="s">
        <v>897</v>
      </c>
      <c r="H254" s="832"/>
      <c r="I254" s="832"/>
      <c r="J254" s="833"/>
      <c r="K254" s="563"/>
      <c r="L254" s="465" t="s">
        <v>696</v>
      </c>
      <c r="M254" s="465">
        <v>28</v>
      </c>
      <c r="N254" s="834"/>
      <c r="O254" s="835"/>
      <c r="P254" s="835"/>
    </row>
    <row r="255" spans="1:16" s="422" customFormat="1" ht="34.799999999999997" customHeight="1">
      <c r="A255" s="465">
        <f t="shared" si="4"/>
        <v>114</v>
      </c>
      <c r="B255" s="454" t="s">
        <v>182</v>
      </c>
      <c r="C255" s="641" t="s">
        <v>448</v>
      </c>
      <c r="D255" s="465" t="s">
        <v>239</v>
      </c>
      <c r="E255" s="421">
        <v>46030</v>
      </c>
      <c r="F255" s="420">
        <v>27</v>
      </c>
      <c r="G255" s="831" t="s">
        <v>896</v>
      </c>
      <c r="H255" s="832"/>
      <c r="I255" s="832"/>
      <c r="J255" s="833"/>
      <c r="K255" s="563"/>
      <c r="L255" s="465" t="s">
        <v>699</v>
      </c>
      <c r="M255" s="465">
        <v>33</v>
      </c>
      <c r="N255" s="834"/>
      <c r="O255" s="835"/>
      <c r="P255" s="835"/>
    </row>
    <row r="256" spans="1:16" s="422" customFormat="1" ht="34.799999999999997" customHeight="1">
      <c r="A256" s="465">
        <f t="shared" si="4"/>
        <v>115</v>
      </c>
      <c r="B256" s="454" t="s">
        <v>188</v>
      </c>
      <c r="C256" s="641" t="s">
        <v>448</v>
      </c>
      <c r="D256" s="465" t="s">
        <v>239</v>
      </c>
      <c r="E256" s="421">
        <v>46030</v>
      </c>
      <c r="F256" s="420">
        <v>27</v>
      </c>
      <c r="G256" s="831" t="s">
        <v>895</v>
      </c>
      <c r="H256" s="832"/>
      <c r="I256" s="832"/>
      <c r="J256" s="833"/>
      <c r="K256" s="563"/>
      <c r="L256" s="465" t="s">
        <v>687</v>
      </c>
      <c r="M256" s="465">
        <v>29</v>
      </c>
      <c r="N256" s="834"/>
      <c r="O256" s="835"/>
      <c r="P256" s="835"/>
    </row>
    <row r="257" spans="1:16" s="2" customFormat="1" ht="21" customHeight="1" thickBot="1">
      <c r="A257" s="45"/>
      <c r="B257" s="151"/>
      <c r="F257" s="152"/>
      <c r="G257" s="830"/>
      <c r="H257" s="830"/>
      <c r="I257" s="830"/>
      <c r="J257" s="830"/>
      <c r="N257" s="830"/>
      <c r="O257" s="830"/>
      <c r="P257" s="830"/>
    </row>
    <row r="258" spans="1:16" ht="21" customHeight="1" thickBot="1">
      <c r="A258" s="881" t="s">
        <v>104</v>
      </c>
      <c r="B258" s="882"/>
      <c r="C258" s="882"/>
      <c r="D258" s="882"/>
      <c r="E258" s="882"/>
      <c r="F258" s="882"/>
      <c r="G258" s="882"/>
      <c r="H258" s="882"/>
      <c r="I258" s="882"/>
      <c r="J258" s="882"/>
      <c r="K258" s="882"/>
      <c r="L258" s="882"/>
      <c r="M258" s="882"/>
      <c r="N258" s="882"/>
      <c r="O258" s="882"/>
      <c r="P258" s="883"/>
    </row>
    <row r="259" spans="1:16" ht="52.2" customHeight="1">
      <c r="A259" s="570" t="s">
        <v>394</v>
      </c>
      <c r="B259" s="668" t="s">
        <v>110</v>
      </c>
      <c r="C259" s="669" t="s">
        <v>404</v>
      </c>
      <c r="D259" s="868" t="s">
        <v>112</v>
      </c>
      <c r="E259" s="868"/>
      <c r="F259" s="868"/>
      <c r="G259" s="868"/>
      <c r="H259" s="669" t="s">
        <v>398</v>
      </c>
      <c r="I259" s="669" t="s">
        <v>808</v>
      </c>
      <c r="J259" s="669" t="s">
        <v>802</v>
      </c>
      <c r="K259" s="669" t="s">
        <v>803</v>
      </c>
      <c r="L259" s="669" t="s">
        <v>804</v>
      </c>
      <c r="M259" s="669" t="s">
        <v>805</v>
      </c>
      <c r="N259" s="669" t="s">
        <v>806</v>
      </c>
      <c r="O259" s="669" t="s">
        <v>399</v>
      </c>
      <c r="P259" s="670" t="s">
        <v>113</v>
      </c>
    </row>
    <row r="260" spans="1:16" s="270" customFormat="1" ht="27.6" customHeight="1">
      <c r="A260" s="639">
        <v>1</v>
      </c>
      <c r="B260" s="150" t="s">
        <v>701</v>
      </c>
      <c r="C260" s="89">
        <v>1.1060000000000001</v>
      </c>
      <c r="D260" s="869" t="s">
        <v>822</v>
      </c>
      <c r="E260" s="869"/>
      <c r="F260" s="869"/>
      <c r="G260" s="869"/>
      <c r="H260" s="47" t="s">
        <v>702</v>
      </c>
      <c r="I260" s="283">
        <v>45920</v>
      </c>
      <c r="J260" s="283">
        <v>45925</v>
      </c>
      <c r="K260" s="283">
        <v>45928</v>
      </c>
      <c r="L260" s="283">
        <v>45943</v>
      </c>
      <c r="M260" s="283">
        <v>45945</v>
      </c>
      <c r="N260" s="283">
        <v>45949</v>
      </c>
      <c r="O260" s="639"/>
      <c r="P260" s="638"/>
    </row>
    <row r="261" spans="1:16" s="270" customFormat="1" ht="30" customHeight="1">
      <c r="A261" s="639">
        <v>2</v>
      </c>
      <c r="B261" s="150" t="s">
        <v>704</v>
      </c>
      <c r="C261" s="89">
        <v>2.4729999999999999</v>
      </c>
      <c r="D261" s="869" t="s">
        <v>822</v>
      </c>
      <c r="E261" s="869"/>
      <c r="F261" s="869"/>
      <c r="G261" s="869"/>
      <c r="H261" s="47" t="s">
        <v>702</v>
      </c>
      <c r="I261" s="283">
        <v>45930</v>
      </c>
      <c r="J261" s="283">
        <v>45933</v>
      </c>
      <c r="K261" s="283">
        <v>45936</v>
      </c>
      <c r="L261" s="283">
        <v>46013</v>
      </c>
      <c r="M261" s="283">
        <v>46017</v>
      </c>
      <c r="N261" s="712">
        <v>46024</v>
      </c>
      <c r="O261" s="154"/>
      <c r="P261" s="671" t="s">
        <v>874</v>
      </c>
    </row>
    <row r="262" spans="1:16" s="270" customFormat="1" ht="35.4" customHeight="1">
      <c r="A262" s="639">
        <v>3</v>
      </c>
      <c r="B262" s="150" t="s">
        <v>706</v>
      </c>
      <c r="C262" s="89">
        <v>2.4260000000000002</v>
      </c>
      <c r="D262" s="869" t="s">
        <v>822</v>
      </c>
      <c r="E262" s="869"/>
      <c r="F262" s="869"/>
      <c r="G262" s="869"/>
      <c r="H262" s="47" t="s">
        <v>702</v>
      </c>
      <c r="I262" s="283">
        <v>45940</v>
      </c>
      <c r="J262" s="283">
        <v>46011</v>
      </c>
      <c r="K262" s="283">
        <v>46017</v>
      </c>
      <c r="L262" s="283">
        <v>46021</v>
      </c>
      <c r="M262" s="283">
        <v>46024</v>
      </c>
      <c r="N262" s="712">
        <v>46027</v>
      </c>
      <c r="O262" s="635"/>
      <c r="P262" s="671"/>
    </row>
    <row r="263" spans="1:16" s="270" customFormat="1" ht="35.4" customHeight="1">
      <c r="A263" s="639">
        <v>4</v>
      </c>
      <c r="B263" s="150" t="s">
        <v>774</v>
      </c>
      <c r="C263" s="89">
        <v>4.4800000000000004</v>
      </c>
      <c r="D263" s="869" t="s">
        <v>822</v>
      </c>
      <c r="E263" s="869"/>
      <c r="F263" s="869"/>
      <c r="G263" s="869"/>
      <c r="H263" s="47" t="s">
        <v>702</v>
      </c>
      <c r="I263" s="283">
        <v>45954</v>
      </c>
      <c r="J263" s="283">
        <v>45968</v>
      </c>
      <c r="K263" s="283">
        <v>45978</v>
      </c>
      <c r="L263" s="283">
        <v>45996</v>
      </c>
      <c r="M263" s="283">
        <v>46000</v>
      </c>
      <c r="N263" s="712">
        <v>46010</v>
      </c>
      <c r="O263" s="639"/>
      <c r="P263" s="671" t="s">
        <v>825</v>
      </c>
    </row>
    <row r="264" spans="1:16" s="270" customFormat="1" ht="35.4" customHeight="1">
      <c r="A264" s="639">
        <v>5</v>
      </c>
      <c r="B264" s="150" t="s">
        <v>792</v>
      </c>
      <c r="C264" s="89">
        <v>1.98</v>
      </c>
      <c r="D264" s="869" t="s">
        <v>822</v>
      </c>
      <c r="E264" s="869"/>
      <c r="F264" s="869"/>
      <c r="G264" s="869"/>
      <c r="H264" s="47" t="s">
        <v>702</v>
      </c>
      <c r="I264" s="283">
        <v>45959</v>
      </c>
      <c r="J264" s="283">
        <v>45987</v>
      </c>
      <c r="K264" s="283">
        <v>45991</v>
      </c>
      <c r="L264" s="283">
        <v>45996</v>
      </c>
      <c r="M264" s="283">
        <v>46000</v>
      </c>
      <c r="N264" s="640">
        <v>46004</v>
      </c>
      <c r="O264" s="639"/>
      <c r="P264" s="671" t="s">
        <v>824</v>
      </c>
    </row>
    <row r="265" spans="1:16" s="270" customFormat="1" ht="35.4" customHeight="1">
      <c r="A265" s="639">
        <v>6</v>
      </c>
      <c r="B265" s="150" t="s">
        <v>795</v>
      </c>
      <c r="C265" s="89">
        <v>0.48</v>
      </c>
      <c r="D265" s="869" t="s">
        <v>822</v>
      </c>
      <c r="E265" s="869"/>
      <c r="F265" s="869"/>
      <c r="G265" s="869"/>
      <c r="H265" s="47" t="s">
        <v>702</v>
      </c>
      <c r="I265" s="283">
        <v>45954</v>
      </c>
      <c r="J265" s="283">
        <v>45962</v>
      </c>
      <c r="K265" s="283">
        <v>45964</v>
      </c>
      <c r="L265" s="283">
        <v>45971</v>
      </c>
      <c r="M265" s="283">
        <v>45978</v>
      </c>
      <c r="N265" s="639"/>
      <c r="O265" s="672"/>
      <c r="P265" s="672"/>
    </row>
    <row r="266" spans="1:16" s="270" customFormat="1" ht="35.4" customHeight="1">
      <c r="A266" s="639">
        <v>6</v>
      </c>
      <c r="B266" s="150" t="s">
        <v>848</v>
      </c>
      <c r="C266" s="89">
        <v>2.54</v>
      </c>
      <c r="D266" s="880" t="s">
        <v>854</v>
      </c>
      <c r="E266" s="880"/>
      <c r="F266" s="880"/>
      <c r="G266" s="880"/>
      <c r="H266" s="47" t="s">
        <v>853</v>
      </c>
      <c r="I266" s="283"/>
      <c r="J266" s="283"/>
      <c r="K266" s="283"/>
      <c r="L266" s="283"/>
      <c r="M266" s="283"/>
      <c r="N266" s="639"/>
      <c r="O266" s="672"/>
      <c r="P266" s="672"/>
    </row>
    <row r="267" spans="1:16" s="270" customFormat="1" ht="35.4" customHeight="1">
      <c r="A267" s="639">
        <v>6</v>
      </c>
      <c r="B267" s="150" t="s">
        <v>851</v>
      </c>
      <c r="C267" s="89">
        <v>2.02</v>
      </c>
      <c r="D267" s="880" t="s">
        <v>854</v>
      </c>
      <c r="E267" s="880"/>
      <c r="F267" s="880"/>
      <c r="G267" s="880"/>
      <c r="H267" s="47" t="s">
        <v>853</v>
      </c>
      <c r="I267" s="283"/>
      <c r="J267" s="283"/>
      <c r="K267" s="283"/>
      <c r="L267" s="283"/>
      <c r="M267" s="283"/>
      <c r="N267" s="639"/>
      <c r="O267" s="672"/>
      <c r="P267" s="672"/>
    </row>
    <row r="268" spans="1:16" s="153" customFormat="1" ht="35.4" customHeight="1">
      <c r="A268" s="558"/>
      <c r="B268" s="559"/>
      <c r="C268" s="560"/>
      <c r="D268" s="561"/>
      <c r="E268" s="561"/>
      <c r="F268" s="561"/>
      <c r="G268" s="561"/>
      <c r="H268" s="561"/>
      <c r="I268" s="558"/>
      <c r="J268" s="562"/>
      <c r="K268" s="562"/>
    </row>
    <row r="269" spans="1:16" ht="21" customHeight="1"/>
    <row r="270" spans="1:16" ht="21" customHeight="1"/>
    <row r="271" spans="1:16" ht="21" customHeight="1">
      <c r="A271" s="876" t="s">
        <v>405</v>
      </c>
      <c r="B271" s="877"/>
      <c r="C271" s="877"/>
      <c r="D271" s="877"/>
      <c r="E271" s="877"/>
      <c r="F271" s="877"/>
      <c r="G271" s="877"/>
      <c r="H271" s="877"/>
      <c r="I271" s="877"/>
      <c r="J271" s="878"/>
    </row>
    <row r="272" spans="1:16" ht="28.95" customHeight="1" thickBot="1">
      <c r="A272" s="162" t="s">
        <v>394</v>
      </c>
      <c r="B272" s="162" t="s">
        <v>110</v>
      </c>
      <c r="C272" s="162" t="s">
        <v>404</v>
      </c>
      <c r="D272" s="870" t="s">
        <v>112</v>
      </c>
      <c r="E272" s="871"/>
      <c r="F272" s="871"/>
      <c r="G272" s="872"/>
      <c r="H272" s="162" t="s">
        <v>398</v>
      </c>
      <c r="I272" s="162" t="s">
        <v>399</v>
      </c>
      <c r="J272" s="162" t="s">
        <v>113</v>
      </c>
      <c r="K272" s="153"/>
      <c r="L272" s="153"/>
      <c r="M272" s="153"/>
      <c r="N272" s="153"/>
      <c r="O272" s="153"/>
      <c r="P272" s="153"/>
    </row>
    <row r="273" spans="1:10" ht="21" customHeight="1">
      <c r="A273" s="43"/>
      <c r="B273" s="150"/>
      <c r="C273" s="89"/>
      <c r="D273" s="873"/>
      <c r="E273" s="874"/>
      <c r="F273" s="874"/>
      <c r="G273" s="875"/>
      <c r="H273" s="47"/>
      <c r="I273" s="43"/>
      <c r="J273" s="154"/>
    </row>
    <row r="274" spans="1:10" ht="21" customHeight="1">
      <c r="A274" s="43"/>
      <c r="B274" s="150"/>
      <c r="C274" s="89"/>
      <c r="D274" s="865"/>
      <c r="E274" s="866"/>
      <c r="F274" s="866"/>
      <c r="G274" s="867"/>
      <c r="H274" s="47"/>
      <c r="I274" s="43"/>
      <c r="J274" s="154"/>
    </row>
    <row r="275" spans="1:10" ht="21" customHeight="1">
      <c r="A275" s="43"/>
      <c r="B275" s="150"/>
      <c r="C275" s="89"/>
      <c r="D275" s="865"/>
      <c r="E275" s="866"/>
      <c r="F275" s="866"/>
      <c r="G275" s="867"/>
      <c r="H275" s="47"/>
      <c r="I275" s="43"/>
      <c r="J275" s="154"/>
    </row>
    <row r="276" spans="1:10" ht="21" customHeight="1">
      <c r="A276" s="43"/>
      <c r="B276" s="155"/>
      <c r="C276" s="156"/>
      <c r="D276" s="865"/>
      <c r="E276" s="866"/>
      <c r="F276" s="866"/>
      <c r="G276" s="867"/>
      <c r="H276" s="157"/>
      <c r="I276" s="90"/>
      <c r="J276" s="158"/>
    </row>
  </sheetData>
  <autoFilter ref="A141:P223">
    <filterColumn colId="6" showButton="0"/>
    <filterColumn colId="7" showButton="0"/>
    <filterColumn colId="8" showButton="0"/>
    <filterColumn colId="13" showButton="0"/>
    <filterColumn colId="14" showButton="0"/>
  </autoFilter>
  <mergeCells count="458">
    <mergeCell ref="N201:P201"/>
    <mergeCell ref="N202:P202"/>
    <mergeCell ref="N206:P206"/>
    <mergeCell ref="N209:P209"/>
    <mergeCell ref="G249:J249"/>
    <mergeCell ref="N249:P249"/>
    <mergeCell ref="G226:J226"/>
    <mergeCell ref="N226:P226"/>
    <mergeCell ref="N225:P225"/>
    <mergeCell ref="G228:J228"/>
    <mergeCell ref="N213:P213"/>
    <mergeCell ref="G236:J236"/>
    <mergeCell ref="A258:P258"/>
    <mergeCell ref="N231:P231"/>
    <mergeCell ref="G230:J230"/>
    <mergeCell ref="G232:J232"/>
    <mergeCell ref="G234:J234"/>
    <mergeCell ref="G224:J224"/>
    <mergeCell ref="G225:J225"/>
    <mergeCell ref="N233:P233"/>
    <mergeCell ref="G217:J217"/>
    <mergeCell ref="G254:J254"/>
    <mergeCell ref="N236:P236"/>
    <mergeCell ref="G237:J237"/>
    <mergeCell ref="N237:P237"/>
    <mergeCell ref="N235:P235"/>
    <mergeCell ref="N234:P234"/>
    <mergeCell ref="N228:P228"/>
    <mergeCell ref="N254:P254"/>
    <mergeCell ref="G255:J255"/>
    <mergeCell ref="N255:P255"/>
    <mergeCell ref="G256:J256"/>
    <mergeCell ref="N256:P256"/>
    <mergeCell ref="G136:J136"/>
    <mergeCell ref="G245:J245"/>
    <mergeCell ref="N245:P245"/>
    <mergeCell ref="G193:J193"/>
    <mergeCell ref="G231:J231"/>
    <mergeCell ref="G243:J243"/>
    <mergeCell ref="N243:P243"/>
    <mergeCell ref="G219:J219"/>
    <mergeCell ref="G209:J209"/>
    <mergeCell ref="G211:J211"/>
    <mergeCell ref="G212:J212"/>
    <mergeCell ref="G213:J213"/>
    <mergeCell ref="N198:P198"/>
    <mergeCell ref="N197:P197"/>
    <mergeCell ref="N210:P210"/>
    <mergeCell ref="N207:P207"/>
    <mergeCell ref="N203:P203"/>
    <mergeCell ref="N204:P204"/>
    <mergeCell ref="G195:J195"/>
    <mergeCell ref="N195:P195"/>
    <mergeCell ref="N205:P205"/>
    <mergeCell ref="N200:P200"/>
    <mergeCell ref="N224:P224"/>
    <mergeCell ref="N230:P230"/>
    <mergeCell ref="G134:J134"/>
    <mergeCell ref="G133:J133"/>
    <mergeCell ref="N166:P166"/>
    <mergeCell ref="N167:P167"/>
    <mergeCell ref="G241:J241"/>
    <mergeCell ref="N241:P241"/>
    <mergeCell ref="G201:J201"/>
    <mergeCell ref="N208:P208"/>
    <mergeCell ref="G220:J220"/>
    <mergeCell ref="G221:J221"/>
    <mergeCell ref="G216:J216"/>
    <mergeCell ref="N194:P194"/>
    <mergeCell ref="N192:P192"/>
    <mergeCell ref="N232:P232"/>
    <mergeCell ref="N229:P229"/>
    <mergeCell ref="N227:P227"/>
    <mergeCell ref="G227:J227"/>
    <mergeCell ref="G229:J229"/>
    <mergeCell ref="G192:J192"/>
    <mergeCell ref="G233:J233"/>
    <mergeCell ref="N196:P196"/>
    <mergeCell ref="N214:P214"/>
    <mergeCell ref="G199:J199"/>
    <mergeCell ref="N199:P199"/>
    <mergeCell ref="D276:G276"/>
    <mergeCell ref="D259:G259"/>
    <mergeCell ref="D260:G260"/>
    <mergeCell ref="D261:G261"/>
    <mergeCell ref="D262:G262"/>
    <mergeCell ref="D263:G263"/>
    <mergeCell ref="D272:G272"/>
    <mergeCell ref="D273:G273"/>
    <mergeCell ref="D274:G274"/>
    <mergeCell ref="D275:G275"/>
    <mergeCell ref="A271:J271"/>
    <mergeCell ref="D265:G265"/>
    <mergeCell ref="D264:G264"/>
    <mergeCell ref="D266:G266"/>
    <mergeCell ref="D267:G267"/>
    <mergeCell ref="G141:J141"/>
    <mergeCell ref="A140:P140"/>
    <mergeCell ref="N191:P191"/>
    <mergeCell ref="N145:P145"/>
    <mergeCell ref="N141:P141"/>
    <mergeCell ref="N149:P149"/>
    <mergeCell ref="G162:J162"/>
    <mergeCell ref="G163:J163"/>
    <mergeCell ref="G158:J158"/>
    <mergeCell ref="G165:J165"/>
    <mergeCell ref="G164:J164"/>
    <mergeCell ref="N171:P171"/>
    <mergeCell ref="G170:J170"/>
    <mergeCell ref="N170:P170"/>
    <mergeCell ref="N175:P175"/>
    <mergeCell ref="G180:J180"/>
    <mergeCell ref="N179:P179"/>
    <mergeCell ref="G178:J178"/>
    <mergeCell ref="G188:J188"/>
    <mergeCell ref="G166:J166"/>
    <mergeCell ref="N177:P177"/>
    <mergeCell ref="G187:J187"/>
    <mergeCell ref="G185:J185"/>
    <mergeCell ref="N178:P178"/>
    <mergeCell ref="G128:J128"/>
    <mergeCell ref="G129:J129"/>
    <mergeCell ref="G167:J167"/>
    <mergeCell ref="N181:P181"/>
    <mergeCell ref="G179:J179"/>
    <mergeCell ref="N180:P180"/>
    <mergeCell ref="N173:P173"/>
    <mergeCell ref="N176:P176"/>
    <mergeCell ref="G174:J174"/>
    <mergeCell ref="G173:J173"/>
    <mergeCell ref="G130:J130"/>
    <mergeCell ref="G131:J131"/>
    <mergeCell ref="G168:J168"/>
    <mergeCell ref="G169:J169"/>
    <mergeCell ref="G172:J172"/>
    <mergeCell ref="G157:J157"/>
    <mergeCell ref="G154:J154"/>
    <mergeCell ref="G155:J155"/>
    <mergeCell ref="N163:P163"/>
    <mergeCell ref="N155:P155"/>
    <mergeCell ref="N159:P159"/>
    <mergeCell ref="N157:P157"/>
    <mergeCell ref="G161:J161"/>
    <mergeCell ref="G156:J156"/>
    <mergeCell ref="G175:J175"/>
    <mergeCell ref="M8:N8"/>
    <mergeCell ref="M9:N9"/>
    <mergeCell ref="M10:N10"/>
    <mergeCell ref="N16:P16"/>
    <mergeCell ref="N17:P17"/>
    <mergeCell ref="N19:P19"/>
    <mergeCell ref="G43:J43"/>
    <mergeCell ref="N23:P23"/>
    <mergeCell ref="N24:P24"/>
    <mergeCell ref="N28:P28"/>
    <mergeCell ref="G38:J38"/>
    <mergeCell ref="N38:P38"/>
    <mergeCell ref="N29:P29"/>
    <mergeCell ref="G27:J27"/>
    <mergeCell ref="G40:J40"/>
    <mergeCell ref="G39:J39"/>
    <mergeCell ref="G42:J42"/>
    <mergeCell ref="N39:P39"/>
    <mergeCell ref="N40:P40"/>
    <mergeCell ref="G41:J41"/>
    <mergeCell ref="N41:P41"/>
    <mergeCell ref="N26:P26"/>
    <mergeCell ref="N27:P27"/>
    <mergeCell ref="G24:J24"/>
    <mergeCell ref="N20:P20"/>
    <mergeCell ref="G26:J26"/>
    <mergeCell ref="G31:J31"/>
    <mergeCell ref="N31:P31"/>
    <mergeCell ref="N30:P30"/>
    <mergeCell ref="G23:J23"/>
    <mergeCell ref="N36:P36"/>
    <mergeCell ref="G21:J21"/>
    <mergeCell ref="G25:J25"/>
    <mergeCell ref="N21:P21"/>
    <mergeCell ref="N22:P22"/>
    <mergeCell ref="N25:P25"/>
    <mergeCell ref="G30:J30"/>
    <mergeCell ref="G35:J35"/>
    <mergeCell ref="N35:P35"/>
    <mergeCell ref="G33:J33"/>
    <mergeCell ref="G36:J36"/>
    <mergeCell ref="G28:J28"/>
    <mergeCell ref="G29:J29"/>
    <mergeCell ref="G44:J44"/>
    <mergeCell ref="G51:J51"/>
    <mergeCell ref="G32:J32"/>
    <mergeCell ref="N32:P32"/>
    <mergeCell ref="N33:P33"/>
    <mergeCell ref="G34:J34"/>
    <mergeCell ref="N34:P34"/>
    <mergeCell ref="N42:P42"/>
    <mergeCell ref="N37:P37"/>
    <mergeCell ref="N44:P44"/>
    <mergeCell ref="N63:P63"/>
    <mergeCell ref="N53:P53"/>
    <mergeCell ref="G55:J55"/>
    <mergeCell ref="G61:J61"/>
    <mergeCell ref="N43:P43"/>
    <mergeCell ref="G37:J37"/>
    <mergeCell ref="A1:L1"/>
    <mergeCell ref="G14:J14"/>
    <mergeCell ref="G15:J15"/>
    <mergeCell ref="G16:J16"/>
    <mergeCell ref="G12:J12"/>
    <mergeCell ref="G18:J18"/>
    <mergeCell ref="G19:J19"/>
    <mergeCell ref="A11:P11"/>
    <mergeCell ref="N12:P12"/>
    <mergeCell ref="N13:P13"/>
    <mergeCell ref="N14:P14"/>
    <mergeCell ref="N15:P15"/>
    <mergeCell ref="G13:J13"/>
    <mergeCell ref="G17:J17"/>
    <mergeCell ref="N18:P18"/>
    <mergeCell ref="A7:N7"/>
    <mergeCell ref="G20:J20"/>
    <mergeCell ref="G22:J22"/>
    <mergeCell ref="N58:P58"/>
    <mergeCell ref="G59:J59"/>
    <mergeCell ref="N59:P59"/>
    <mergeCell ref="G56:J56"/>
    <mergeCell ref="N56:P56"/>
    <mergeCell ref="N45:P45"/>
    <mergeCell ref="N47:P47"/>
    <mergeCell ref="G49:J49"/>
    <mergeCell ref="N49:P49"/>
    <mergeCell ref="G48:J48"/>
    <mergeCell ref="N48:P48"/>
    <mergeCell ref="G50:J50"/>
    <mergeCell ref="N50:P50"/>
    <mergeCell ref="G53:J53"/>
    <mergeCell ref="N54:P54"/>
    <mergeCell ref="G58:J58"/>
    <mergeCell ref="N52:P52"/>
    <mergeCell ref="N57:P57"/>
    <mergeCell ref="G54:J54"/>
    <mergeCell ref="G52:J52"/>
    <mergeCell ref="N51:P51"/>
    <mergeCell ref="G46:J46"/>
    <mergeCell ref="G47:J47"/>
    <mergeCell ref="G45:J45"/>
    <mergeCell ref="N60:P60"/>
    <mergeCell ref="N61:P61"/>
    <mergeCell ref="N62:P62"/>
    <mergeCell ref="G57:J57"/>
    <mergeCell ref="G60:J60"/>
    <mergeCell ref="N55:P55"/>
    <mergeCell ref="N74:P74"/>
    <mergeCell ref="N75:P75"/>
    <mergeCell ref="G63:J63"/>
    <mergeCell ref="G69:J69"/>
    <mergeCell ref="G66:J66"/>
    <mergeCell ref="G67:J67"/>
    <mergeCell ref="G64:J64"/>
    <mergeCell ref="N73:P73"/>
    <mergeCell ref="N69:P69"/>
    <mergeCell ref="G71:J71"/>
    <mergeCell ref="G72:J72"/>
    <mergeCell ref="N64:P64"/>
    <mergeCell ref="N65:P65"/>
    <mergeCell ref="N66:P66"/>
    <mergeCell ref="N67:P67"/>
    <mergeCell ref="N68:P68"/>
    <mergeCell ref="G65:J65"/>
    <mergeCell ref="G70:J70"/>
    <mergeCell ref="G68:J68"/>
    <mergeCell ref="G62:J62"/>
    <mergeCell ref="G117:J117"/>
    <mergeCell ref="G111:J111"/>
    <mergeCell ref="N96:P96"/>
    <mergeCell ref="N88:P88"/>
    <mergeCell ref="N89:P89"/>
    <mergeCell ref="N90:P90"/>
    <mergeCell ref="N91:P91"/>
    <mergeCell ref="N92:P92"/>
    <mergeCell ref="G90:J90"/>
    <mergeCell ref="N93:P93"/>
    <mergeCell ref="G92:J92"/>
    <mergeCell ref="G98:J98"/>
    <mergeCell ref="G99:J99"/>
    <mergeCell ref="G102:J102"/>
    <mergeCell ref="G103:J103"/>
    <mergeCell ref="N85:P85"/>
    <mergeCell ref="N95:P95"/>
    <mergeCell ref="G88:J88"/>
    <mergeCell ref="G89:J89"/>
    <mergeCell ref="G108:J108"/>
    <mergeCell ref="G114:J114"/>
    <mergeCell ref="G115:J115"/>
    <mergeCell ref="N86:P86"/>
    <mergeCell ref="G87:J87"/>
    <mergeCell ref="N87:P87"/>
    <mergeCell ref="G86:J86"/>
    <mergeCell ref="N84:P84"/>
    <mergeCell ref="G94:J94"/>
    <mergeCell ref="N94:P94"/>
    <mergeCell ref="G91:J91"/>
    <mergeCell ref="G93:J93"/>
    <mergeCell ref="G84:J84"/>
    <mergeCell ref="G109:J109"/>
    <mergeCell ref="G123:J123"/>
    <mergeCell ref="G101:J101"/>
    <mergeCell ref="G104:J104"/>
    <mergeCell ref="G105:J105"/>
    <mergeCell ref="G106:J106"/>
    <mergeCell ref="G107:J107"/>
    <mergeCell ref="G95:J95"/>
    <mergeCell ref="G85:J85"/>
    <mergeCell ref="G100:J100"/>
    <mergeCell ref="G97:J97"/>
    <mergeCell ref="G112:J112"/>
    <mergeCell ref="G120:J120"/>
    <mergeCell ref="G121:J121"/>
    <mergeCell ref="G110:J110"/>
    <mergeCell ref="G116:J116"/>
    <mergeCell ref="G119:J119"/>
    <mergeCell ref="G122:J122"/>
    <mergeCell ref="G113:J113"/>
    <mergeCell ref="G96:J96"/>
    <mergeCell ref="N83:P83"/>
    <mergeCell ref="N79:P79"/>
    <mergeCell ref="G74:J74"/>
    <mergeCell ref="G75:J75"/>
    <mergeCell ref="G80:J80"/>
    <mergeCell ref="N82:P82"/>
    <mergeCell ref="N70:P70"/>
    <mergeCell ref="N72:P72"/>
    <mergeCell ref="N71:P71"/>
    <mergeCell ref="G81:J81"/>
    <mergeCell ref="N76:P76"/>
    <mergeCell ref="N80:P80"/>
    <mergeCell ref="G79:J79"/>
    <mergeCell ref="G82:J82"/>
    <mergeCell ref="N81:P81"/>
    <mergeCell ref="G78:J78"/>
    <mergeCell ref="G73:J73"/>
    <mergeCell ref="N77:P77"/>
    <mergeCell ref="N78:P78"/>
    <mergeCell ref="G77:J77"/>
    <mergeCell ref="G76:J76"/>
    <mergeCell ref="G83:J83"/>
    <mergeCell ref="G125:J125"/>
    <mergeCell ref="G118:J118"/>
    <mergeCell ref="N142:P142"/>
    <mergeCell ref="G177:J177"/>
    <mergeCell ref="G148:J148"/>
    <mergeCell ref="N148:P148"/>
    <mergeCell ref="N164:P164"/>
    <mergeCell ref="G160:J160"/>
    <mergeCell ref="N162:P162"/>
    <mergeCell ref="N160:P160"/>
    <mergeCell ref="N158:P158"/>
    <mergeCell ref="N172:P172"/>
    <mergeCell ref="N165:P165"/>
    <mergeCell ref="N161:P161"/>
    <mergeCell ref="N168:P168"/>
    <mergeCell ref="N169:P169"/>
    <mergeCell ref="G159:J159"/>
    <mergeCell ref="N150:P150"/>
    <mergeCell ref="G126:J126"/>
    <mergeCell ref="G127:J127"/>
    <mergeCell ref="G124:J124"/>
    <mergeCell ref="N147:P147"/>
    <mergeCell ref="N143:P143"/>
    <mergeCell ref="G137:J137"/>
    <mergeCell ref="G176:J176"/>
    <mergeCell ref="G183:J183"/>
    <mergeCell ref="N186:P186"/>
    <mergeCell ref="N174:P174"/>
    <mergeCell ref="G171:J171"/>
    <mergeCell ref="G145:J145"/>
    <mergeCell ref="G142:J142"/>
    <mergeCell ref="N156:P156"/>
    <mergeCell ref="G151:J151"/>
    <mergeCell ref="N153:P153"/>
    <mergeCell ref="G149:J149"/>
    <mergeCell ref="N151:P151"/>
    <mergeCell ref="N154:P154"/>
    <mergeCell ref="N152:P152"/>
    <mergeCell ref="G152:J152"/>
    <mergeCell ref="G150:J150"/>
    <mergeCell ref="G153:J153"/>
    <mergeCell ref="G146:J146"/>
    <mergeCell ref="G144:J144"/>
    <mergeCell ref="G147:J147"/>
    <mergeCell ref="N144:P144"/>
    <mergeCell ref="G143:J143"/>
    <mergeCell ref="N146:P146"/>
    <mergeCell ref="N185:P185"/>
    <mergeCell ref="G190:J190"/>
    <mergeCell ref="G196:J196"/>
    <mergeCell ref="G194:J194"/>
    <mergeCell ref="G191:J191"/>
    <mergeCell ref="G200:J200"/>
    <mergeCell ref="G223:J223"/>
    <mergeCell ref="G210:J210"/>
    <mergeCell ref="G198:J198"/>
    <mergeCell ref="G197:J197"/>
    <mergeCell ref="G208:J208"/>
    <mergeCell ref="G215:J215"/>
    <mergeCell ref="G218:J218"/>
    <mergeCell ref="G214:J214"/>
    <mergeCell ref="G205:J205"/>
    <mergeCell ref="G207:J207"/>
    <mergeCell ref="G203:J203"/>
    <mergeCell ref="G204:J204"/>
    <mergeCell ref="G202:J202"/>
    <mergeCell ref="N257:P257"/>
    <mergeCell ref="G257:J257"/>
    <mergeCell ref="G242:J242"/>
    <mergeCell ref="N242:P242"/>
    <mergeCell ref="G240:J240"/>
    <mergeCell ref="N240:P240"/>
    <mergeCell ref="G244:J244"/>
    <mergeCell ref="N244:P244"/>
    <mergeCell ref="G246:J246"/>
    <mergeCell ref="G250:J250"/>
    <mergeCell ref="N250:P250"/>
    <mergeCell ref="N246:P246"/>
    <mergeCell ref="G247:J247"/>
    <mergeCell ref="N247:P247"/>
    <mergeCell ref="G251:J251"/>
    <mergeCell ref="N251:P251"/>
    <mergeCell ref="G252:J252"/>
    <mergeCell ref="N252:P252"/>
    <mergeCell ref="G253:J253"/>
    <mergeCell ref="N253:P253"/>
    <mergeCell ref="G248:J248"/>
    <mergeCell ref="N248:P248"/>
    <mergeCell ref="G138:J138"/>
    <mergeCell ref="G135:J135"/>
    <mergeCell ref="G132:J132"/>
    <mergeCell ref="G238:J238"/>
    <mergeCell ref="N238:P238"/>
    <mergeCell ref="G239:J239"/>
    <mergeCell ref="N239:P239"/>
    <mergeCell ref="N190:P190"/>
    <mergeCell ref="N193:P193"/>
    <mergeCell ref="N187:P187"/>
    <mergeCell ref="N184:P184"/>
    <mergeCell ref="N219:P219"/>
    <mergeCell ref="G222:J222"/>
    <mergeCell ref="G181:J181"/>
    <mergeCell ref="N189:P189"/>
    <mergeCell ref="G189:J189"/>
    <mergeCell ref="N183:P183"/>
    <mergeCell ref="N182:P182"/>
    <mergeCell ref="N188:P188"/>
    <mergeCell ref="G184:J184"/>
    <mergeCell ref="G182:J182"/>
    <mergeCell ref="G186:J186"/>
    <mergeCell ref="G235:J235"/>
    <mergeCell ref="G206:J206"/>
  </mergeCells>
  <phoneticPr fontId="93" type="noConversion"/>
  <conditionalFormatting sqref="B13:B37 B40:B50">
    <cfRule type="duplicateValues" dxfId="54" priority="109"/>
  </conditionalFormatting>
  <conditionalFormatting sqref="B51:B70">
    <cfRule type="duplicateValues" dxfId="53" priority="111"/>
  </conditionalFormatting>
  <conditionalFormatting sqref="B71:B127">
    <cfRule type="duplicateValues" dxfId="52" priority="113"/>
  </conditionalFormatting>
  <conditionalFormatting sqref="B139">
    <cfRule type="duplicateValues" dxfId="51" priority="50"/>
  </conditionalFormatting>
  <conditionalFormatting sqref="B260:B262">
    <cfRule type="duplicateValues" dxfId="50" priority="105" stopIfTrue="1"/>
    <cfRule type="duplicateValues" dxfId="49" priority="106" stopIfTrue="1"/>
  </conditionalFormatting>
  <conditionalFormatting sqref="B273:B275">
    <cfRule type="duplicateValues" dxfId="48" priority="101" stopIfTrue="1"/>
    <cfRule type="duplicateValues" dxfId="47" priority="102" stopIfTrue="1"/>
  </conditionalFormatting>
  <conditionalFormatting sqref="B276">
    <cfRule type="duplicateValues" dxfId="46" priority="103" stopIfTrue="1"/>
    <cfRule type="duplicateValues" dxfId="45" priority="104" stopIfTrue="1"/>
  </conditionalFormatting>
  <conditionalFormatting sqref="D6">
    <cfRule type="cellIs" dxfId="44" priority="55" stopIfTrue="1" operator="greaterThan">
      <formula>600</formula>
    </cfRule>
  </conditionalFormatting>
  <conditionalFormatting sqref="D9:D10">
    <cfRule type="cellIs" dxfId="43" priority="46" stopIfTrue="1" operator="greaterThan">
      <formula>600</formula>
    </cfRule>
  </conditionalFormatting>
  <conditionalFormatting sqref="C3:K4">
    <cfRule type="cellIs" dxfId="42" priority="6" stopIfTrue="1" operator="greaterThan">
      <formula>600</formula>
    </cfRule>
  </conditionalFormatting>
  <conditionalFormatting sqref="B263:B268">
    <cfRule type="duplicateValues" dxfId="41" priority="4" stopIfTrue="1"/>
    <cfRule type="duplicateValues" dxfId="40" priority="5" stopIfTrue="1"/>
  </conditionalFormatting>
  <conditionalFormatting sqref="B128">
    <cfRule type="duplicateValues" dxfId="39" priority="3"/>
  </conditionalFormatting>
  <conditionalFormatting sqref="B129:B137">
    <cfRule type="duplicateValues" dxfId="38" priority="2"/>
  </conditionalFormatting>
  <conditionalFormatting sqref="B138">
    <cfRule type="duplicateValues" dxfId="37" priority="1"/>
  </conditionalFormatting>
  <pageMargins left="0.47244094488188981" right="0.31496062992125984" top="0.35433070866141736" bottom="0.35433070866141736" header="0.31496062992125984" footer="0.31496062992125984"/>
  <pageSetup paperSize="9" scale="2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7"/>
  <sheetViews>
    <sheetView topLeftCell="A109" zoomScale="80" zoomScaleNormal="80" workbookViewId="0">
      <selection activeCell="G120" sqref="G120"/>
    </sheetView>
  </sheetViews>
  <sheetFormatPr defaultRowHeight="14.4"/>
  <cols>
    <col min="1" max="1" width="6.44140625" bestFit="1" customWidth="1"/>
    <col min="2" max="2" width="8.44140625" bestFit="1" customWidth="1"/>
    <col min="3" max="3" width="12.5546875" customWidth="1"/>
    <col min="4" max="4" width="8.109375" bestFit="1" customWidth="1"/>
    <col min="5" max="5" width="12.33203125" customWidth="1"/>
    <col min="6" max="6" width="7.21875" bestFit="1" customWidth="1"/>
    <col min="7" max="10" width="11.77734375" customWidth="1"/>
    <col min="11" max="11" width="16.44140625" customWidth="1"/>
    <col min="12" max="12" width="32.33203125" bestFit="1" customWidth="1"/>
    <col min="13" max="13" width="8.5546875" bestFit="1" customWidth="1"/>
  </cols>
  <sheetData>
    <row r="1" spans="1:16" ht="21">
      <c r="A1" s="864" t="s">
        <v>103</v>
      </c>
      <c r="B1" s="864"/>
      <c r="C1" s="864"/>
      <c r="D1" s="864"/>
      <c r="E1" s="864"/>
      <c r="F1" s="864"/>
      <c r="G1" s="864"/>
      <c r="H1" s="864"/>
      <c r="I1" s="864"/>
      <c r="J1" s="864"/>
      <c r="K1" s="864"/>
      <c r="L1" s="864"/>
      <c r="M1" s="864"/>
      <c r="N1" s="864"/>
      <c r="O1" s="864"/>
      <c r="P1" s="864"/>
    </row>
    <row r="2" spans="1:16" ht="28.2" thickBot="1">
      <c r="A2" s="162" t="s">
        <v>403</v>
      </c>
      <c r="B2" s="162" t="s">
        <v>82</v>
      </c>
      <c r="C2" s="162" t="s">
        <v>60</v>
      </c>
      <c r="D2" s="162" t="s">
        <v>238</v>
      </c>
      <c r="E2" s="162" t="s">
        <v>707</v>
      </c>
      <c r="F2" s="162" t="s">
        <v>709</v>
      </c>
      <c r="G2" s="849" t="s">
        <v>112</v>
      </c>
      <c r="H2" s="850"/>
      <c r="I2" s="850"/>
      <c r="J2" s="851"/>
      <c r="K2" s="162" t="s">
        <v>708</v>
      </c>
      <c r="L2" s="162" t="s">
        <v>398</v>
      </c>
      <c r="M2" s="162" t="s">
        <v>399</v>
      </c>
      <c r="N2" s="885" t="s">
        <v>400</v>
      </c>
      <c r="O2" s="886"/>
      <c r="P2" s="887"/>
    </row>
    <row r="3" spans="1:16">
      <c r="A3" s="541">
        <v>1</v>
      </c>
      <c r="B3" s="542" t="s">
        <v>16</v>
      </c>
      <c r="C3" s="541" t="s">
        <v>401</v>
      </c>
      <c r="D3" s="541" t="s">
        <v>239</v>
      </c>
      <c r="E3" s="543">
        <v>45574</v>
      </c>
      <c r="F3" s="544">
        <v>27.96</v>
      </c>
      <c r="G3" s="884" t="s">
        <v>402</v>
      </c>
      <c r="H3" s="884"/>
      <c r="I3" s="884"/>
      <c r="J3" s="884"/>
      <c r="K3" s="543">
        <v>45592</v>
      </c>
      <c r="L3" s="541" t="s">
        <v>490</v>
      </c>
      <c r="M3" s="509"/>
      <c r="N3" s="837"/>
      <c r="O3" s="837"/>
      <c r="P3" s="837"/>
    </row>
    <row r="4" spans="1:16">
      <c r="A4" s="541">
        <v>2</v>
      </c>
      <c r="B4" s="542" t="s">
        <v>128</v>
      </c>
      <c r="C4" s="541" t="s">
        <v>401</v>
      </c>
      <c r="D4" s="541" t="s">
        <v>239</v>
      </c>
      <c r="E4" s="543">
        <v>45593</v>
      </c>
      <c r="F4" s="544">
        <v>27.96</v>
      </c>
      <c r="G4" s="884" t="s">
        <v>402</v>
      </c>
      <c r="H4" s="884"/>
      <c r="I4" s="884"/>
      <c r="J4" s="884"/>
      <c r="K4" s="543">
        <v>45601</v>
      </c>
      <c r="L4" s="541" t="s">
        <v>490</v>
      </c>
      <c r="M4" s="509"/>
      <c r="N4" s="838"/>
      <c r="O4" s="838"/>
      <c r="P4" s="838"/>
    </row>
    <row r="5" spans="1:16">
      <c r="A5" s="541">
        <v>3</v>
      </c>
      <c r="B5" s="545" t="s">
        <v>494</v>
      </c>
      <c r="C5" s="541" t="s">
        <v>401</v>
      </c>
      <c r="D5" s="541" t="s">
        <v>239</v>
      </c>
      <c r="E5" s="543">
        <v>45601</v>
      </c>
      <c r="F5" s="544">
        <v>27.96</v>
      </c>
      <c r="G5" s="884" t="s">
        <v>402</v>
      </c>
      <c r="H5" s="884"/>
      <c r="I5" s="884"/>
      <c r="J5" s="884"/>
      <c r="K5" s="543">
        <v>45609</v>
      </c>
      <c r="L5" s="541" t="s">
        <v>490</v>
      </c>
      <c r="M5" s="509"/>
      <c r="N5" s="837"/>
      <c r="O5" s="837"/>
      <c r="P5" s="837"/>
    </row>
    <row r="6" spans="1:16">
      <c r="A6" s="541">
        <v>4</v>
      </c>
      <c r="B6" s="545" t="s">
        <v>18</v>
      </c>
      <c r="C6" s="541" t="s">
        <v>401</v>
      </c>
      <c r="D6" s="541" t="s">
        <v>239</v>
      </c>
      <c r="E6" s="543">
        <v>45610</v>
      </c>
      <c r="F6" s="544">
        <v>27.96</v>
      </c>
      <c r="G6" s="884" t="s">
        <v>402</v>
      </c>
      <c r="H6" s="884"/>
      <c r="I6" s="884"/>
      <c r="J6" s="884"/>
      <c r="K6" s="543">
        <v>45615</v>
      </c>
      <c r="L6" s="541" t="s">
        <v>490</v>
      </c>
      <c r="M6" s="509"/>
      <c r="N6" s="837" t="s">
        <v>501</v>
      </c>
      <c r="O6" s="837"/>
      <c r="P6" s="837"/>
    </row>
    <row r="7" spans="1:16">
      <c r="A7" s="541">
        <v>5</v>
      </c>
      <c r="B7" s="545" t="s">
        <v>133</v>
      </c>
      <c r="C7" s="541" t="s">
        <v>401</v>
      </c>
      <c r="D7" s="541" t="s">
        <v>239</v>
      </c>
      <c r="E7" s="543">
        <v>45615</v>
      </c>
      <c r="F7" s="544">
        <v>27.96</v>
      </c>
      <c r="G7" s="884" t="s">
        <v>402</v>
      </c>
      <c r="H7" s="884"/>
      <c r="I7" s="884"/>
      <c r="J7" s="884"/>
      <c r="K7" s="543">
        <v>45620</v>
      </c>
      <c r="L7" s="541" t="s">
        <v>490</v>
      </c>
      <c r="M7" s="509"/>
      <c r="N7" s="837" t="s">
        <v>109</v>
      </c>
      <c r="O7" s="837"/>
      <c r="P7" s="837"/>
    </row>
    <row r="8" spans="1:16">
      <c r="A8" s="541">
        <v>6</v>
      </c>
      <c r="B8" s="545" t="s">
        <v>2</v>
      </c>
      <c r="C8" s="541" t="s">
        <v>401</v>
      </c>
      <c r="D8" s="541" t="s">
        <v>239</v>
      </c>
      <c r="E8" s="543">
        <v>45622</v>
      </c>
      <c r="F8" s="544">
        <v>27.96</v>
      </c>
      <c r="G8" s="884" t="s">
        <v>402</v>
      </c>
      <c r="H8" s="884"/>
      <c r="I8" s="884"/>
      <c r="J8" s="884"/>
      <c r="K8" s="543">
        <v>45627</v>
      </c>
      <c r="L8" s="541" t="s">
        <v>490</v>
      </c>
      <c r="M8" s="509"/>
      <c r="N8" s="837"/>
      <c r="O8" s="837"/>
      <c r="P8" s="837"/>
    </row>
    <row r="9" spans="1:16">
      <c r="A9" s="541">
        <v>7</v>
      </c>
      <c r="B9" s="545" t="s">
        <v>49</v>
      </c>
      <c r="C9" s="541" t="s">
        <v>401</v>
      </c>
      <c r="D9" s="541" t="s">
        <v>239</v>
      </c>
      <c r="E9" s="543">
        <v>45628</v>
      </c>
      <c r="F9" s="544">
        <v>27.96</v>
      </c>
      <c r="G9" s="884" t="s">
        <v>402</v>
      </c>
      <c r="H9" s="884"/>
      <c r="I9" s="884"/>
      <c r="J9" s="884"/>
      <c r="K9" s="543">
        <v>45632</v>
      </c>
      <c r="L9" s="541" t="s">
        <v>490</v>
      </c>
      <c r="M9" s="509"/>
      <c r="N9" s="837"/>
      <c r="O9" s="837"/>
      <c r="P9" s="837"/>
    </row>
    <row r="10" spans="1:16">
      <c r="A10" s="541">
        <v>8</v>
      </c>
      <c r="B10" s="545" t="s">
        <v>52</v>
      </c>
      <c r="C10" s="541" t="s">
        <v>401</v>
      </c>
      <c r="D10" s="541" t="s">
        <v>239</v>
      </c>
      <c r="E10" s="543">
        <v>45629</v>
      </c>
      <c r="F10" s="544">
        <v>27.96</v>
      </c>
      <c r="G10" s="884" t="s">
        <v>402</v>
      </c>
      <c r="H10" s="884"/>
      <c r="I10" s="884"/>
      <c r="J10" s="884"/>
      <c r="K10" s="543">
        <v>45637</v>
      </c>
      <c r="L10" s="541" t="s">
        <v>500</v>
      </c>
      <c r="M10" s="509"/>
      <c r="N10" s="837" t="s">
        <v>501</v>
      </c>
      <c r="O10" s="837"/>
      <c r="P10" s="837"/>
    </row>
    <row r="11" spans="1:16">
      <c r="A11" s="541">
        <v>9</v>
      </c>
      <c r="B11" s="545" t="s">
        <v>147</v>
      </c>
      <c r="C11" s="541" t="s">
        <v>401</v>
      </c>
      <c r="D11" s="541" t="s">
        <v>239</v>
      </c>
      <c r="E11" s="543">
        <v>45632</v>
      </c>
      <c r="F11" s="544">
        <v>27.96</v>
      </c>
      <c r="G11" s="884" t="s">
        <v>402</v>
      </c>
      <c r="H11" s="884"/>
      <c r="I11" s="884"/>
      <c r="J11" s="884"/>
      <c r="K11" s="543">
        <v>45637</v>
      </c>
      <c r="L11" s="541" t="s">
        <v>490</v>
      </c>
      <c r="M11" s="509"/>
      <c r="N11" s="837"/>
      <c r="O11" s="837"/>
      <c r="P11" s="837"/>
    </row>
    <row r="12" spans="1:16">
      <c r="A12" s="541">
        <v>10</v>
      </c>
      <c r="B12" s="545" t="s">
        <v>148</v>
      </c>
      <c r="C12" s="541" t="s">
        <v>444</v>
      </c>
      <c r="D12" s="541" t="s">
        <v>239</v>
      </c>
      <c r="E12" s="543">
        <v>45638</v>
      </c>
      <c r="F12" s="544">
        <v>29.12</v>
      </c>
      <c r="G12" s="884" t="s">
        <v>402</v>
      </c>
      <c r="H12" s="884"/>
      <c r="I12" s="884"/>
      <c r="J12" s="884"/>
      <c r="K12" s="546">
        <v>45644</v>
      </c>
      <c r="L12" s="541" t="s">
        <v>490</v>
      </c>
      <c r="M12" s="509"/>
      <c r="N12" s="837"/>
      <c r="O12" s="837"/>
      <c r="P12" s="837"/>
    </row>
    <row r="13" spans="1:16">
      <c r="A13" s="541">
        <v>11</v>
      </c>
      <c r="B13" s="545" t="s">
        <v>51</v>
      </c>
      <c r="C13" s="541" t="s">
        <v>401</v>
      </c>
      <c r="D13" s="541" t="s">
        <v>239</v>
      </c>
      <c r="E13" s="543">
        <v>45638</v>
      </c>
      <c r="F13" s="544">
        <v>27.96</v>
      </c>
      <c r="G13" s="884" t="s">
        <v>402</v>
      </c>
      <c r="H13" s="884"/>
      <c r="I13" s="884"/>
      <c r="J13" s="884"/>
      <c r="K13" s="543">
        <v>45644</v>
      </c>
      <c r="L13" s="541" t="s">
        <v>500</v>
      </c>
      <c r="M13" s="509"/>
      <c r="N13" s="837"/>
      <c r="O13" s="837"/>
      <c r="P13" s="837"/>
    </row>
    <row r="14" spans="1:16">
      <c r="A14" s="541">
        <v>12</v>
      </c>
      <c r="B14" s="545" t="s">
        <v>140</v>
      </c>
      <c r="C14" s="541" t="s">
        <v>444</v>
      </c>
      <c r="D14" s="541" t="s">
        <v>239</v>
      </c>
      <c r="E14" s="543">
        <v>45645</v>
      </c>
      <c r="F14" s="544">
        <v>29.12</v>
      </c>
      <c r="G14" s="884" t="s">
        <v>402</v>
      </c>
      <c r="H14" s="884"/>
      <c r="I14" s="884"/>
      <c r="J14" s="884"/>
      <c r="K14" s="543">
        <v>45653</v>
      </c>
      <c r="L14" s="541" t="s">
        <v>490</v>
      </c>
      <c r="M14" s="509"/>
      <c r="N14" s="837"/>
      <c r="O14" s="837"/>
      <c r="P14" s="837"/>
    </row>
    <row r="15" spans="1:16">
      <c r="A15" s="541">
        <v>13</v>
      </c>
      <c r="B15" s="545" t="s">
        <v>136</v>
      </c>
      <c r="C15" s="541" t="s">
        <v>453</v>
      </c>
      <c r="D15" s="541" t="s">
        <v>239</v>
      </c>
      <c r="E15" s="543">
        <v>45645</v>
      </c>
      <c r="F15" s="544">
        <v>34.630000000000003</v>
      </c>
      <c r="G15" s="884" t="s">
        <v>402</v>
      </c>
      <c r="H15" s="884"/>
      <c r="I15" s="884"/>
      <c r="J15" s="884"/>
      <c r="K15" s="543">
        <v>45655</v>
      </c>
      <c r="L15" s="541" t="s">
        <v>500</v>
      </c>
      <c r="M15" s="509"/>
      <c r="N15" s="837"/>
      <c r="O15" s="837"/>
      <c r="P15" s="837"/>
    </row>
    <row r="16" spans="1:16">
      <c r="A16" s="541">
        <v>14</v>
      </c>
      <c r="B16" s="545" t="s">
        <v>126</v>
      </c>
      <c r="C16" s="541" t="s">
        <v>401</v>
      </c>
      <c r="D16" s="541" t="s">
        <v>239</v>
      </c>
      <c r="E16" s="543">
        <v>45655</v>
      </c>
      <c r="F16" s="544">
        <v>27.96</v>
      </c>
      <c r="G16" s="884" t="s">
        <v>402</v>
      </c>
      <c r="H16" s="884"/>
      <c r="I16" s="884"/>
      <c r="J16" s="884"/>
      <c r="K16" s="543">
        <v>45662</v>
      </c>
      <c r="L16" s="541" t="s">
        <v>490</v>
      </c>
      <c r="M16" s="509"/>
      <c r="N16" s="837"/>
      <c r="O16" s="837"/>
      <c r="P16" s="837"/>
    </row>
    <row r="17" spans="1:16">
      <c r="A17" s="541">
        <v>15</v>
      </c>
      <c r="B17" s="545" t="s">
        <v>143</v>
      </c>
      <c r="C17" s="541" t="s">
        <v>401</v>
      </c>
      <c r="D17" s="541" t="s">
        <v>239</v>
      </c>
      <c r="E17" s="543">
        <v>45656</v>
      </c>
      <c r="F17" s="544">
        <v>27.96</v>
      </c>
      <c r="G17" s="884" t="s">
        <v>402</v>
      </c>
      <c r="H17" s="884"/>
      <c r="I17" s="884"/>
      <c r="J17" s="884"/>
      <c r="K17" s="543">
        <v>45664</v>
      </c>
      <c r="L17" s="541" t="s">
        <v>500</v>
      </c>
      <c r="M17" s="509"/>
      <c r="N17" s="837"/>
      <c r="O17" s="837"/>
      <c r="P17" s="837"/>
    </row>
    <row r="18" spans="1:16">
      <c r="A18" s="541">
        <v>16</v>
      </c>
      <c r="B18" s="545" t="s">
        <v>166</v>
      </c>
      <c r="C18" s="541" t="s">
        <v>401</v>
      </c>
      <c r="D18" s="541" t="s">
        <v>239</v>
      </c>
      <c r="E18" s="543">
        <v>45298</v>
      </c>
      <c r="F18" s="544">
        <v>27.96</v>
      </c>
      <c r="G18" s="884" t="s">
        <v>402</v>
      </c>
      <c r="H18" s="884"/>
      <c r="I18" s="884"/>
      <c r="J18" s="884"/>
      <c r="K18" s="543">
        <v>45668</v>
      </c>
      <c r="L18" s="541" t="s">
        <v>490</v>
      </c>
      <c r="M18" s="509"/>
      <c r="N18" s="837"/>
      <c r="O18" s="837"/>
      <c r="P18" s="837"/>
    </row>
    <row r="19" spans="1:16">
      <c r="A19" s="541">
        <f t="shared" ref="A19:A67" si="0">A18+1</f>
        <v>17</v>
      </c>
      <c r="B19" s="545" t="s">
        <v>176</v>
      </c>
      <c r="C19" s="541" t="s">
        <v>401</v>
      </c>
      <c r="D19" s="541" t="s">
        <v>239</v>
      </c>
      <c r="E19" s="543">
        <v>45300</v>
      </c>
      <c r="F19" s="544">
        <v>27.96</v>
      </c>
      <c r="G19" s="884" t="s">
        <v>402</v>
      </c>
      <c r="H19" s="884"/>
      <c r="I19" s="884"/>
      <c r="J19" s="884"/>
      <c r="K19" s="543">
        <v>45672</v>
      </c>
      <c r="L19" s="541" t="s">
        <v>500</v>
      </c>
      <c r="M19" s="509"/>
      <c r="N19" s="837"/>
      <c r="O19" s="837"/>
      <c r="P19" s="837"/>
    </row>
    <row r="20" spans="1:16">
      <c r="A20" s="541">
        <f t="shared" si="0"/>
        <v>18</v>
      </c>
      <c r="B20" s="545" t="s">
        <v>160</v>
      </c>
      <c r="C20" s="541" t="s">
        <v>444</v>
      </c>
      <c r="D20" s="541" t="s">
        <v>239</v>
      </c>
      <c r="E20" s="543">
        <v>45670</v>
      </c>
      <c r="F20" s="544">
        <v>29</v>
      </c>
      <c r="G20" s="884" t="s">
        <v>402</v>
      </c>
      <c r="H20" s="884"/>
      <c r="I20" s="884"/>
      <c r="J20" s="884"/>
      <c r="K20" s="543">
        <v>45675</v>
      </c>
      <c r="L20" s="541" t="s">
        <v>490</v>
      </c>
      <c r="M20" s="509"/>
      <c r="N20" s="837"/>
      <c r="O20" s="837"/>
      <c r="P20" s="837"/>
    </row>
    <row r="21" spans="1:16">
      <c r="A21" s="541">
        <f t="shared" si="0"/>
        <v>19</v>
      </c>
      <c r="B21" s="545" t="s">
        <v>177</v>
      </c>
      <c r="C21" s="541" t="s">
        <v>444</v>
      </c>
      <c r="D21" s="541" t="s">
        <v>239</v>
      </c>
      <c r="E21" s="543">
        <v>45673</v>
      </c>
      <c r="F21" s="544">
        <v>29</v>
      </c>
      <c r="G21" s="884" t="s">
        <v>402</v>
      </c>
      <c r="H21" s="884"/>
      <c r="I21" s="884"/>
      <c r="J21" s="884"/>
      <c r="K21" s="543">
        <v>45680</v>
      </c>
      <c r="L21" s="541" t="s">
        <v>500</v>
      </c>
      <c r="M21" s="509"/>
      <c r="N21" s="837"/>
      <c r="O21" s="837"/>
      <c r="P21" s="837"/>
    </row>
    <row r="22" spans="1:16">
      <c r="A22" s="541">
        <f t="shared" si="0"/>
        <v>20</v>
      </c>
      <c r="B22" s="545" t="s">
        <v>156</v>
      </c>
      <c r="C22" s="541" t="s">
        <v>401</v>
      </c>
      <c r="D22" s="541" t="s">
        <v>239</v>
      </c>
      <c r="E22" s="543">
        <v>45673</v>
      </c>
      <c r="F22" s="544">
        <v>28</v>
      </c>
      <c r="G22" s="884" t="s">
        <v>402</v>
      </c>
      <c r="H22" s="884"/>
      <c r="I22" s="884"/>
      <c r="J22" s="884"/>
      <c r="K22" s="543">
        <v>45680</v>
      </c>
      <c r="L22" s="541" t="s">
        <v>490</v>
      </c>
      <c r="M22" s="509"/>
      <c r="N22" s="837"/>
      <c r="O22" s="837"/>
      <c r="P22" s="837"/>
    </row>
    <row r="23" spans="1:16">
      <c r="A23" s="541">
        <f t="shared" si="0"/>
        <v>21</v>
      </c>
      <c r="B23" s="545" t="s">
        <v>179</v>
      </c>
      <c r="C23" s="541" t="s">
        <v>444</v>
      </c>
      <c r="D23" s="541" t="s">
        <v>239</v>
      </c>
      <c r="E23" s="543">
        <v>45681</v>
      </c>
      <c r="F23" s="544">
        <v>29</v>
      </c>
      <c r="G23" s="884" t="s">
        <v>402</v>
      </c>
      <c r="H23" s="884"/>
      <c r="I23" s="884"/>
      <c r="J23" s="884"/>
      <c r="K23" s="543">
        <v>45699</v>
      </c>
      <c r="L23" s="541" t="s">
        <v>500</v>
      </c>
      <c r="M23" s="509"/>
      <c r="N23" s="836"/>
      <c r="O23" s="836"/>
      <c r="P23" s="836"/>
    </row>
    <row r="24" spans="1:16">
      <c r="A24" s="541">
        <f t="shared" si="0"/>
        <v>22</v>
      </c>
      <c r="B24" s="545" t="s">
        <v>17</v>
      </c>
      <c r="C24" s="541" t="s">
        <v>401</v>
      </c>
      <c r="D24" s="541" t="s">
        <v>239</v>
      </c>
      <c r="E24" s="543">
        <v>45681</v>
      </c>
      <c r="F24" s="544">
        <v>28</v>
      </c>
      <c r="G24" s="884" t="s">
        <v>402</v>
      </c>
      <c r="H24" s="884"/>
      <c r="I24" s="884"/>
      <c r="J24" s="884"/>
      <c r="K24" s="543">
        <v>45687</v>
      </c>
      <c r="L24" s="541" t="s">
        <v>490</v>
      </c>
      <c r="M24" s="509"/>
      <c r="N24" s="863"/>
      <c r="O24" s="863"/>
      <c r="P24" s="863"/>
    </row>
    <row r="25" spans="1:16">
      <c r="A25" s="541">
        <f t="shared" si="0"/>
        <v>23</v>
      </c>
      <c r="B25" s="545" t="s">
        <v>178</v>
      </c>
      <c r="C25" s="541" t="s">
        <v>401</v>
      </c>
      <c r="D25" s="541" t="s">
        <v>239</v>
      </c>
      <c r="E25" s="543">
        <v>45682</v>
      </c>
      <c r="F25" s="544">
        <v>28</v>
      </c>
      <c r="G25" s="884" t="s">
        <v>402</v>
      </c>
      <c r="H25" s="884"/>
      <c r="I25" s="884"/>
      <c r="J25" s="884"/>
      <c r="K25" s="543">
        <v>45690</v>
      </c>
      <c r="L25" s="541" t="s">
        <v>500</v>
      </c>
      <c r="M25" s="509"/>
      <c r="N25" s="837"/>
      <c r="O25" s="837"/>
      <c r="P25" s="837"/>
    </row>
    <row r="26" spans="1:16">
      <c r="A26" s="541">
        <f t="shared" si="0"/>
        <v>24</v>
      </c>
      <c r="B26" s="545" t="s">
        <v>137</v>
      </c>
      <c r="C26" s="541" t="s">
        <v>444</v>
      </c>
      <c r="D26" s="541" t="s">
        <v>239</v>
      </c>
      <c r="E26" s="543">
        <v>45688</v>
      </c>
      <c r="F26" s="544">
        <v>29</v>
      </c>
      <c r="G26" s="884" t="s">
        <v>402</v>
      </c>
      <c r="H26" s="884"/>
      <c r="I26" s="884"/>
      <c r="J26" s="884"/>
      <c r="K26" s="543">
        <v>45693</v>
      </c>
      <c r="L26" s="541" t="s">
        <v>490</v>
      </c>
      <c r="M26" s="509"/>
      <c r="N26" s="837"/>
      <c r="O26" s="837"/>
      <c r="P26" s="837"/>
    </row>
    <row r="27" spans="1:16">
      <c r="A27" s="541">
        <f t="shared" si="0"/>
        <v>25</v>
      </c>
      <c r="B27" s="545" t="s">
        <v>145</v>
      </c>
      <c r="C27" s="541" t="s">
        <v>452</v>
      </c>
      <c r="D27" s="541" t="s">
        <v>239</v>
      </c>
      <c r="E27" s="543">
        <v>45694</v>
      </c>
      <c r="F27" s="544">
        <v>33</v>
      </c>
      <c r="G27" s="884" t="s">
        <v>402</v>
      </c>
      <c r="H27" s="884"/>
      <c r="I27" s="884"/>
      <c r="J27" s="884"/>
      <c r="K27" s="543">
        <v>45699</v>
      </c>
      <c r="L27" s="541" t="s">
        <v>490</v>
      </c>
      <c r="M27" s="509"/>
      <c r="N27" s="836"/>
      <c r="O27" s="836"/>
      <c r="P27" s="836"/>
    </row>
    <row r="28" spans="1:16">
      <c r="A28" s="541">
        <f t="shared" si="0"/>
        <v>26</v>
      </c>
      <c r="B28" s="545" t="s">
        <v>146</v>
      </c>
      <c r="C28" s="541" t="s">
        <v>444</v>
      </c>
      <c r="D28" s="541" t="s">
        <v>239</v>
      </c>
      <c r="E28" s="543">
        <v>45700</v>
      </c>
      <c r="F28" s="544">
        <v>29</v>
      </c>
      <c r="G28" s="884" t="s">
        <v>402</v>
      </c>
      <c r="H28" s="884"/>
      <c r="I28" s="884"/>
      <c r="J28" s="884"/>
      <c r="K28" s="543">
        <v>45705</v>
      </c>
      <c r="L28" s="541" t="s">
        <v>490</v>
      </c>
      <c r="M28" s="509"/>
      <c r="N28" s="836"/>
      <c r="O28" s="836"/>
      <c r="P28" s="836"/>
    </row>
    <row r="29" spans="1:16">
      <c r="A29" s="541">
        <f t="shared" si="0"/>
        <v>27</v>
      </c>
      <c r="B29" s="545" t="s">
        <v>175</v>
      </c>
      <c r="C29" s="541" t="s">
        <v>444</v>
      </c>
      <c r="D29" s="541" t="s">
        <v>239</v>
      </c>
      <c r="E29" s="543">
        <v>45700</v>
      </c>
      <c r="F29" s="544">
        <v>29</v>
      </c>
      <c r="G29" s="884" t="s">
        <v>402</v>
      </c>
      <c r="H29" s="884"/>
      <c r="I29" s="884"/>
      <c r="J29" s="884"/>
      <c r="K29" s="543">
        <v>45708</v>
      </c>
      <c r="L29" s="541" t="s">
        <v>490</v>
      </c>
      <c r="M29" s="509"/>
      <c r="N29" s="836"/>
      <c r="O29" s="836"/>
      <c r="P29" s="836"/>
    </row>
    <row r="30" spans="1:16">
      <c r="A30" s="541">
        <f t="shared" si="0"/>
        <v>28</v>
      </c>
      <c r="B30" s="545" t="s">
        <v>496</v>
      </c>
      <c r="C30" s="541" t="s">
        <v>476</v>
      </c>
      <c r="D30" s="541" t="s">
        <v>239</v>
      </c>
      <c r="E30" s="543">
        <v>45709</v>
      </c>
      <c r="F30" s="544">
        <v>45</v>
      </c>
      <c r="G30" s="884" t="s">
        <v>402</v>
      </c>
      <c r="H30" s="884"/>
      <c r="I30" s="884"/>
      <c r="J30" s="884"/>
      <c r="K30" s="543">
        <v>45714</v>
      </c>
      <c r="L30" s="541" t="s">
        <v>490</v>
      </c>
      <c r="M30" s="509"/>
      <c r="N30" s="836"/>
      <c r="O30" s="836"/>
      <c r="P30" s="836"/>
    </row>
    <row r="31" spans="1:16">
      <c r="A31" s="541">
        <f t="shared" si="0"/>
        <v>29</v>
      </c>
      <c r="B31" s="545" t="s">
        <v>497</v>
      </c>
      <c r="C31" s="541" t="s">
        <v>476</v>
      </c>
      <c r="D31" s="541" t="s">
        <v>239</v>
      </c>
      <c r="E31" s="543">
        <v>45714</v>
      </c>
      <c r="F31" s="544">
        <v>45</v>
      </c>
      <c r="G31" s="884" t="s">
        <v>402</v>
      </c>
      <c r="H31" s="884"/>
      <c r="I31" s="884"/>
      <c r="J31" s="884"/>
      <c r="K31" s="543">
        <v>45719</v>
      </c>
      <c r="L31" s="541" t="s">
        <v>490</v>
      </c>
      <c r="M31" s="509"/>
      <c r="N31" s="836"/>
      <c r="O31" s="836"/>
      <c r="P31" s="836"/>
    </row>
    <row r="32" spans="1:16">
      <c r="A32" s="541">
        <f t="shared" si="0"/>
        <v>30</v>
      </c>
      <c r="B32" s="545" t="s">
        <v>505</v>
      </c>
      <c r="C32" s="541" t="s">
        <v>476</v>
      </c>
      <c r="D32" s="541" t="s">
        <v>239</v>
      </c>
      <c r="E32" s="543">
        <v>45719</v>
      </c>
      <c r="F32" s="544">
        <v>45</v>
      </c>
      <c r="G32" s="884" t="s">
        <v>402</v>
      </c>
      <c r="H32" s="884"/>
      <c r="I32" s="884"/>
      <c r="J32" s="884"/>
      <c r="K32" s="543">
        <v>45724</v>
      </c>
      <c r="L32" s="541" t="s">
        <v>490</v>
      </c>
      <c r="M32" s="509"/>
      <c r="N32" s="836"/>
      <c r="O32" s="836"/>
      <c r="P32" s="836"/>
    </row>
    <row r="33" spans="1:16">
      <c r="A33" s="541">
        <f t="shared" si="0"/>
        <v>31</v>
      </c>
      <c r="B33" s="545" t="s">
        <v>161</v>
      </c>
      <c r="C33" s="541" t="s">
        <v>401</v>
      </c>
      <c r="D33" s="541" t="s">
        <v>239</v>
      </c>
      <c r="E33" s="543">
        <v>45722</v>
      </c>
      <c r="F33" s="544">
        <v>28</v>
      </c>
      <c r="G33" s="884" t="s">
        <v>402</v>
      </c>
      <c r="H33" s="884"/>
      <c r="I33" s="884"/>
      <c r="J33" s="884"/>
      <c r="K33" s="543">
        <v>45727</v>
      </c>
      <c r="L33" s="541" t="s">
        <v>500</v>
      </c>
      <c r="M33" s="509"/>
      <c r="N33" s="836"/>
      <c r="O33" s="836"/>
      <c r="P33" s="836"/>
    </row>
    <row r="34" spans="1:16">
      <c r="A34" s="541">
        <f t="shared" si="0"/>
        <v>32</v>
      </c>
      <c r="B34" s="545" t="s">
        <v>159</v>
      </c>
      <c r="C34" s="541" t="s">
        <v>476</v>
      </c>
      <c r="D34" s="541" t="s">
        <v>239</v>
      </c>
      <c r="E34" s="543">
        <v>45728</v>
      </c>
      <c r="F34" s="544">
        <v>45</v>
      </c>
      <c r="G34" s="884" t="s">
        <v>402</v>
      </c>
      <c r="H34" s="884"/>
      <c r="I34" s="884"/>
      <c r="J34" s="884"/>
      <c r="K34" s="543">
        <v>45733</v>
      </c>
      <c r="L34" s="541" t="s">
        <v>500</v>
      </c>
      <c r="M34" s="509"/>
      <c r="N34" s="836"/>
      <c r="O34" s="836"/>
      <c r="P34" s="836"/>
    </row>
    <row r="35" spans="1:16">
      <c r="A35" s="541">
        <f t="shared" si="0"/>
        <v>33</v>
      </c>
      <c r="B35" s="545" t="s">
        <v>503</v>
      </c>
      <c r="C35" s="541" t="s">
        <v>504</v>
      </c>
      <c r="D35" s="541" t="s">
        <v>239</v>
      </c>
      <c r="E35" s="543">
        <v>45734</v>
      </c>
      <c r="F35" s="544">
        <v>54</v>
      </c>
      <c r="G35" s="884" t="s">
        <v>402</v>
      </c>
      <c r="H35" s="884"/>
      <c r="I35" s="884"/>
      <c r="J35" s="884"/>
      <c r="K35" s="543">
        <v>45739</v>
      </c>
      <c r="L35" s="541" t="s">
        <v>500</v>
      </c>
      <c r="M35" s="509"/>
      <c r="N35" s="836"/>
      <c r="O35" s="836"/>
      <c r="P35" s="836"/>
    </row>
    <row r="36" spans="1:16">
      <c r="A36" s="541">
        <f t="shared" si="0"/>
        <v>34</v>
      </c>
      <c r="B36" s="545" t="s">
        <v>4</v>
      </c>
      <c r="C36" s="541" t="s">
        <v>506</v>
      </c>
      <c r="D36" s="541" t="s">
        <v>239</v>
      </c>
      <c r="E36" s="543">
        <v>45734</v>
      </c>
      <c r="F36" s="544">
        <v>52</v>
      </c>
      <c r="G36" s="884" t="s">
        <v>402</v>
      </c>
      <c r="H36" s="884"/>
      <c r="I36" s="884"/>
      <c r="J36" s="884"/>
      <c r="K36" s="543">
        <v>45744</v>
      </c>
      <c r="L36" s="541" t="s">
        <v>500</v>
      </c>
      <c r="M36" s="509"/>
      <c r="N36" s="836"/>
      <c r="O36" s="836"/>
      <c r="P36" s="836"/>
    </row>
    <row r="37" spans="1:16">
      <c r="A37" s="541">
        <f t="shared" si="0"/>
        <v>35</v>
      </c>
      <c r="B37" s="545" t="s">
        <v>5</v>
      </c>
      <c r="C37" s="541" t="s">
        <v>401</v>
      </c>
      <c r="D37" s="541" t="s">
        <v>239</v>
      </c>
      <c r="E37" s="543">
        <v>45744</v>
      </c>
      <c r="F37" s="544">
        <v>28</v>
      </c>
      <c r="G37" s="884" t="s">
        <v>402</v>
      </c>
      <c r="H37" s="884"/>
      <c r="I37" s="884"/>
      <c r="J37" s="884"/>
      <c r="K37" s="543">
        <v>45748</v>
      </c>
      <c r="L37" s="541" t="s">
        <v>500</v>
      </c>
      <c r="M37" s="509"/>
      <c r="N37" s="836"/>
      <c r="O37" s="836"/>
      <c r="P37" s="836"/>
    </row>
    <row r="38" spans="1:16">
      <c r="A38" s="541">
        <f t="shared" si="0"/>
        <v>36</v>
      </c>
      <c r="B38" s="545" t="s">
        <v>50</v>
      </c>
      <c r="C38" s="541" t="s">
        <v>444</v>
      </c>
      <c r="D38" s="541" t="s">
        <v>239</v>
      </c>
      <c r="E38" s="543">
        <v>45749</v>
      </c>
      <c r="F38" s="544">
        <v>29</v>
      </c>
      <c r="G38" s="884" t="s">
        <v>402</v>
      </c>
      <c r="H38" s="884"/>
      <c r="I38" s="884"/>
      <c r="J38" s="884"/>
      <c r="K38" s="543">
        <v>45752</v>
      </c>
      <c r="L38" s="541" t="s">
        <v>500</v>
      </c>
      <c r="M38" s="509"/>
      <c r="N38" s="836"/>
      <c r="O38" s="836"/>
      <c r="P38" s="836"/>
    </row>
    <row r="39" spans="1:16">
      <c r="A39" s="541">
        <f t="shared" si="0"/>
        <v>37</v>
      </c>
      <c r="B39" s="545" t="s">
        <v>591</v>
      </c>
      <c r="C39" s="541" t="s">
        <v>590</v>
      </c>
      <c r="D39" s="541" t="s">
        <v>239</v>
      </c>
      <c r="E39" s="543">
        <v>45752</v>
      </c>
      <c r="F39" s="544">
        <v>47</v>
      </c>
      <c r="G39" s="884" t="s">
        <v>402</v>
      </c>
      <c r="H39" s="884"/>
      <c r="I39" s="884"/>
      <c r="J39" s="884"/>
      <c r="K39" s="543">
        <v>45757</v>
      </c>
      <c r="L39" s="541" t="s">
        <v>500</v>
      </c>
      <c r="M39" s="509"/>
      <c r="N39" s="836"/>
      <c r="O39" s="836"/>
      <c r="P39" s="836"/>
    </row>
    <row r="40" spans="1:16">
      <c r="A40" s="541">
        <f t="shared" si="0"/>
        <v>38</v>
      </c>
      <c r="B40" s="545" t="s">
        <v>121</v>
      </c>
      <c r="C40" s="541" t="s">
        <v>595</v>
      </c>
      <c r="D40" s="541" t="s">
        <v>239</v>
      </c>
      <c r="E40" s="543">
        <v>45758</v>
      </c>
      <c r="F40" s="544">
        <v>54</v>
      </c>
      <c r="G40" s="884" t="s">
        <v>402</v>
      </c>
      <c r="H40" s="884"/>
      <c r="I40" s="884"/>
      <c r="J40" s="884"/>
      <c r="K40" s="543">
        <v>45768</v>
      </c>
      <c r="L40" s="541" t="s">
        <v>490</v>
      </c>
      <c r="M40" s="509"/>
      <c r="N40" s="836"/>
      <c r="O40" s="836"/>
      <c r="P40" s="836"/>
    </row>
    <row r="41" spans="1:16">
      <c r="A41" s="541">
        <f t="shared" si="0"/>
        <v>39</v>
      </c>
      <c r="B41" s="545" t="s">
        <v>180</v>
      </c>
      <c r="C41" s="541" t="s">
        <v>444</v>
      </c>
      <c r="D41" s="541" t="s">
        <v>239</v>
      </c>
      <c r="E41" s="543">
        <v>45759</v>
      </c>
      <c r="F41" s="544">
        <v>29</v>
      </c>
      <c r="G41" s="884" t="s">
        <v>402</v>
      </c>
      <c r="H41" s="884"/>
      <c r="I41" s="884"/>
      <c r="J41" s="884"/>
      <c r="K41" s="543">
        <v>45765</v>
      </c>
      <c r="L41" s="541" t="s">
        <v>500</v>
      </c>
      <c r="M41" s="509"/>
      <c r="N41" s="836"/>
      <c r="O41" s="836"/>
      <c r="P41" s="836"/>
    </row>
    <row r="42" spans="1:16" ht="18">
      <c r="A42" s="541">
        <f t="shared" si="0"/>
        <v>40</v>
      </c>
      <c r="B42" s="545" t="s">
        <v>593</v>
      </c>
      <c r="C42" s="541" t="s">
        <v>594</v>
      </c>
      <c r="D42" s="541" t="s">
        <v>239</v>
      </c>
      <c r="E42" s="543">
        <v>45765</v>
      </c>
      <c r="F42" s="544">
        <v>45</v>
      </c>
      <c r="G42" s="884" t="s">
        <v>402</v>
      </c>
      <c r="H42" s="884"/>
      <c r="I42" s="884"/>
      <c r="J42" s="884"/>
      <c r="K42" s="543">
        <v>45773</v>
      </c>
      <c r="L42" s="541" t="s">
        <v>649</v>
      </c>
      <c r="M42" s="509"/>
      <c r="N42" s="862" t="s">
        <v>109</v>
      </c>
      <c r="O42" s="862"/>
      <c r="P42" s="862"/>
    </row>
    <row r="43" spans="1:16" ht="28.8">
      <c r="A43" s="541">
        <f t="shared" si="0"/>
        <v>41</v>
      </c>
      <c r="B43" s="545" t="s">
        <v>489</v>
      </c>
      <c r="C43" s="541" t="s">
        <v>476</v>
      </c>
      <c r="D43" s="541" t="s">
        <v>239</v>
      </c>
      <c r="E43" s="543">
        <v>45769</v>
      </c>
      <c r="F43" s="544">
        <v>45</v>
      </c>
      <c r="G43" s="884" t="s">
        <v>402</v>
      </c>
      <c r="H43" s="884"/>
      <c r="I43" s="884"/>
      <c r="J43" s="884"/>
      <c r="K43" s="543">
        <v>45776</v>
      </c>
      <c r="L43" s="541" t="s">
        <v>650</v>
      </c>
      <c r="M43" s="509"/>
      <c r="N43" s="829"/>
      <c r="O43" s="829"/>
      <c r="P43" s="829"/>
    </row>
    <row r="44" spans="1:16" ht="28.8">
      <c r="A44" s="541">
        <f t="shared" si="0"/>
        <v>42</v>
      </c>
      <c r="B44" s="545" t="s">
        <v>167</v>
      </c>
      <c r="C44" s="541" t="s">
        <v>453</v>
      </c>
      <c r="D44" s="541" t="s">
        <v>239</v>
      </c>
      <c r="E44" s="543">
        <v>45774</v>
      </c>
      <c r="F44" s="544">
        <v>34.630000000000003</v>
      </c>
      <c r="G44" s="884" t="s">
        <v>402</v>
      </c>
      <c r="H44" s="884"/>
      <c r="I44" s="884"/>
      <c r="J44" s="884"/>
      <c r="K44" s="543">
        <v>45780</v>
      </c>
      <c r="L44" s="541" t="s">
        <v>649</v>
      </c>
      <c r="M44" s="509"/>
      <c r="N44" s="829"/>
      <c r="O44" s="829"/>
      <c r="P44" s="829"/>
    </row>
    <row r="45" spans="1:16" ht="28.8">
      <c r="A45" s="541">
        <f t="shared" si="0"/>
        <v>43</v>
      </c>
      <c r="B45" s="545" t="s">
        <v>20</v>
      </c>
      <c r="C45" s="541" t="s">
        <v>444</v>
      </c>
      <c r="D45" s="541" t="s">
        <v>239</v>
      </c>
      <c r="E45" s="543">
        <v>45776</v>
      </c>
      <c r="F45" s="544">
        <v>29</v>
      </c>
      <c r="G45" s="884" t="s">
        <v>402</v>
      </c>
      <c r="H45" s="884"/>
      <c r="I45" s="884"/>
      <c r="J45" s="884"/>
      <c r="K45" s="543">
        <v>45784</v>
      </c>
      <c r="L45" s="541" t="s">
        <v>650</v>
      </c>
      <c r="M45" s="509"/>
      <c r="N45" s="829"/>
      <c r="O45" s="829"/>
      <c r="P45" s="829"/>
    </row>
    <row r="46" spans="1:16" ht="21">
      <c r="A46" s="541">
        <f t="shared" si="0"/>
        <v>44</v>
      </c>
      <c r="B46" s="545" t="s">
        <v>37</v>
      </c>
      <c r="C46" s="541" t="s">
        <v>401</v>
      </c>
      <c r="D46" s="541" t="s">
        <v>239</v>
      </c>
      <c r="E46" s="543">
        <v>45782</v>
      </c>
      <c r="F46" s="544">
        <v>28</v>
      </c>
      <c r="G46" s="884" t="s">
        <v>402</v>
      </c>
      <c r="H46" s="884"/>
      <c r="I46" s="884"/>
      <c r="J46" s="884"/>
      <c r="K46" s="543">
        <v>45787</v>
      </c>
      <c r="L46" s="541" t="s">
        <v>649</v>
      </c>
      <c r="M46" s="509"/>
      <c r="N46" s="828" t="s">
        <v>109</v>
      </c>
      <c r="O46" s="828"/>
      <c r="P46" s="828"/>
    </row>
    <row r="47" spans="1:16" ht="21">
      <c r="A47" s="541">
        <f t="shared" si="0"/>
        <v>45</v>
      </c>
      <c r="B47" s="545" t="s">
        <v>512</v>
      </c>
      <c r="C47" s="541" t="s">
        <v>476</v>
      </c>
      <c r="D47" s="541" t="s">
        <v>239</v>
      </c>
      <c r="E47" s="543">
        <v>45785</v>
      </c>
      <c r="F47" s="544">
        <v>45</v>
      </c>
      <c r="G47" s="884" t="s">
        <v>402</v>
      </c>
      <c r="H47" s="884"/>
      <c r="I47" s="884"/>
      <c r="J47" s="884"/>
      <c r="K47" s="543">
        <v>45794</v>
      </c>
      <c r="L47" s="541" t="s">
        <v>649</v>
      </c>
      <c r="M47" s="509"/>
      <c r="N47" s="828"/>
      <c r="O47" s="828"/>
      <c r="P47" s="828"/>
    </row>
    <row r="48" spans="1:16" ht="21">
      <c r="A48" s="541">
        <f t="shared" si="0"/>
        <v>46</v>
      </c>
      <c r="B48" s="545" t="s">
        <v>157</v>
      </c>
      <c r="C48" s="541" t="s">
        <v>452</v>
      </c>
      <c r="D48" s="541" t="s">
        <v>239</v>
      </c>
      <c r="E48" s="543">
        <v>45788</v>
      </c>
      <c r="F48" s="544">
        <v>33</v>
      </c>
      <c r="G48" s="884" t="s">
        <v>402</v>
      </c>
      <c r="H48" s="884"/>
      <c r="I48" s="884"/>
      <c r="J48" s="884"/>
      <c r="K48" s="543">
        <v>45796</v>
      </c>
      <c r="L48" s="541" t="s">
        <v>650</v>
      </c>
      <c r="M48" s="509"/>
      <c r="N48" s="828"/>
      <c r="O48" s="828"/>
      <c r="P48" s="828"/>
    </row>
    <row r="49" spans="1:16" ht="21">
      <c r="A49" s="541">
        <f t="shared" si="0"/>
        <v>47</v>
      </c>
      <c r="B49" s="545" t="s">
        <v>127</v>
      </c>
      <c r="C49" s="541" t="s">
        <v>448</v>
      </c>
      <c r="D49" s="541" t="s">
        <v>239</v>
      </c>
      <c r="E49" s="543">
        <v>45788</v>
      </c>
      <c r="F49" s="544">
        <v>27</v>
      </c>
      <c r="G49" s="884" t="s">
        <v>402</v>
      </c>
      <c r="H49" s="884"/>
      <c r="I49" s="884"/>
      <c r="J49" s="884"/>
      <c r="K49" s="543">
        <v>45803</v>
      </c>
      <c r="L49" s="541" t="s">
        <v>649</v>
      </c>
      <c r="M49" s="509"/>
      <c r="N49" s="828"/>
      <c r="O49" s="828"/>
      <c r="P49" s="828"/>
    </row>
    <row r="50" spans="1:16" ht="21">
      <c r="A50" s="541">
        <f t="shared" si="0"/>
        <v>48</v>
      </c>
      <c r="B50" s="545" t="s">
        <v>129</v>
      </c>
      <c r="C50" s="541" t="s">
        <v>444</v>
      </c>
      <c r="D50" s="541" t="s">
        <v>239</v>
      </c>
      <c r="E50" s="543">
        <v>45799</v>
      </c>
      <c r="F50" s="544">
        <v>29</v>
      </c>
      <c r="G50" s="884" t="s">
        <v>402</v>
      </c>
      <c r="H50" s="884"/>
      <c r="I50" s="884"/>
      <c r="J50" s="884"/>
      <c r="K50" s="543">
        <v>45805</v>
      </c>
      <c r="L50" s="541" t="s">
        <v>650</v>
      </c>
      <c r="M50" s="509"/>
      <c r="N50" s="828"/>
      <c r="O50" s="828"/>
      <c r="P50" s="828"/>
    </row>
    <row r="51" spans="1:16" ht="25.8">
      <c r="A51" s="541">
        <f t="shared" si="0"/>
        <v>49</v>
      </c>
      <c r="B51" s="545" t="s">
        <v>132</v>
      </c>
      <c r="C51" s="541" t="s">
        <v>448</v>
      </c>
      <c r="D51" s="541" t="s">
        <v>239</v>
      </c>
      <c r="E51" s="543">
        <v>45807</v>
      </c>
      <c r="F51" s="544">
        <v>27</v>
      </c>
      <c r="G51" s="884" t="s">
        <v>402</v>
      </c>
      <c r="H51" s="884"/>
      <c r="I51" s="884"/>
      <c r="J51" s="884"/>
      <c r="K51" s="543">
        <v>45812</v>
      </c>
      <c r="L51" s="541" t="s">
        <v>649</v>
      </c>
      <c r="M51" s="509"/>
      <c r="N51" s="827"/>
      <c r="O51" s="827"/>
      <c r="P51" s="827"/>
    </row>
    <row r="52" spans="1:16" ht="25.8">
      <c r="A52" s="541">
        <f t="shared" si="0"/>
        <v>50</v>
      </c>
      <c r="B52" s="545" t="s">
        <v>144</v>
      </c>
      <c r="C52" s="541" t="s">
        <v>448</v>
      </c>
      <c r="D52" s="541" t="s">
        <v>239</v>
      </c>
      <c r="E52" s="543">
        <v>45806</v>
      </c>
      <c r="F52" s="544">
        <v>27</v>
      </c>
      <c r="G52" s="884" t="s">
        <v>402</v>
      </c>
      <c r="H52" s="884"/>
      <c r="I52" s="884"/>
      <c r="J52" s="884"/>
      <c r="K52" s="543">
        <v>45810</v>
      </c>
      <c r="L52" s="541" t="s">
        <v>650</v>
      </c>
      <c r="M52" s="509"/>
      <c r="N52" s="827"/>
      <c r="O52" s="827"/>
      <c r="P52" s="827"/>
    </row>
    <row r="53" spans="1:16" ht="25.8">
      <c r="A53" s="541">
        <f t="shared" si="0"/>
        <v>51</v>
      </c>
      <c r="B53" s="545" t="s">
        <v>123</v>
      </c>
      <c r="C53" s="541" t="s">
        <v>448</v>
      </c>
      <c r="D53" s="541" t="s">
        <v>239</v>
      </c>
      <c r="E53" s="543">
        <v>45811</v>
      </c>
      <c r="F53" s="544">
        <v>27</v>
      </c>
      <c r="G53" s="884" t="s">
        <v>402</v>
      </c>
      <c r="H53" s="884"/>
      <c r="I53" s="884"/>
      <c r="J53" s="884"/>
      <c r="K53" s="543">
        <v>45816</v>
      </c>
      <c r="L53" s="541" t="s">
        <v>649</v>
      </c>
      <c r="M53" s="509"/>
      <c r="N53" s="827"/>
      <c r="O53" s="827"/>
      <c r="P53" s="827"/>
    </row>
    <row r="54" spans="1:16" ht="25.8">
      <c r="A54" s="541">
        <f t="shared" si="0"/>
        <v>52</v>
      </c>
      <c r="B54" s="545" t="s">
        <v>124</v>
      </c>
      <c r="C54" s="541" t="s">
        <v>448</v>
      </c>
      <c r="D54" s="541" t="s">
        <v>239</v>
      </c>
      <c r="E54" s="543">
        <v>45817</v>
      </c>
      <c r="F54" s="544">
        <v>27</v>
      </c>
      <c r="G54" s="884" t="s">
        <v>402</v>
      </c>
      <c r="H54" s="884"/>
      <c r="I54" s="884"/>
      <c r="J54" s="884"/>
      <c r="K54" s="543">
        <v>45820</v>
      </c>
      <c r="L54" s="541" t="s">
        <v>649</v>
      </c>
      <c r="M54" s="509"/>
      <c r="N54" s="827"/>
      <c r="O54" s="827"/>
      <c r="P54" s="827"/>
    </row>
    <row r="55" spans="1:16" ht="25.8">
      <c r="A55" s="541">
        <f t="shared" si="0"/>
        <v>53</v>
      </c>
      <c r="B55" s="545" t="s">
        <v>125</v>
      </c>
      <c r="C55" s="541" t="s">
        <v>448</v>
      </c>
      <c r="D55" s="541" t="s">
        <v>239</v>
      </c>
      <c r="E55" s="543">
        <v>45820</v>
      </c>
      <c r="F55" s="544">
        <v>27</v>
      </c>
      <c r="G55" s="884" t="s">
        <v>402</v>
      </c>
      <c r="H55" s="884"/>
      <c r="I55" s="884"/>
      <c r="J55" s="884"/>
      <c r="K55" s="543">
        <v>45825</v>
      </c>
      <c r="L55" s="541" t="s">
        <v>650</v>
      </c>
      <c r="M55" s="509"/>
      <c r="N55" s="827"/>
      <c r="O55" s="827"/>
      <c r="P55" s="827"/>
    </row>
    <row r="56" spans="1:16" ht="25.8">
      <c r="A56" s="541">
        <f t="shared" si="0"/>
        <v>54</v>
      </c>
      <c r="B56" s="542" t="s">
        <v>122</v>
      </c>
      <c r="C56" s="541" t="s">
        <v>662</v>
      </c>
      <c r="D56" s="541" t="s">
        <v>239</v>
      </c>
      <c r="E56" s="543">
        <v>45822</v>
      </c>
      <c r="F56" s="544">
        <v>56</v>
      </c>
      <c r="G56" s="884" t="s">
        <v>402</v>
      </c>
      <c r="H56" s="884"/>
      <c r="I56" s="884"/>
      <c r="J56" s="884"/>
      <c r="K56" s="543">
        <v>45832</v>
      </c>
      <c r="L56" s="541" t="s">
        <v>649</v>
      </c>
      <c r="M56" s="509"/>
      <c r="N56" s="827"/>
      <c r="O56" s="827"/>
      <c r="P56" s="827"/>
    </row>
    <row r="57" spans="1:16" ht="25.8">
      <c r="A57" s="541">
        <f t="shared" si="0"/>
        <v>55</v>
      </c>
      <c r="B57" s="542" t="s">
        <v>630</v>
      </c>
      <c r="C57" s="541" t="s">
        <v>631</v>
      </c>
      <c r="D57" s="541" t="s">
        <v>239</v>
      </c>
      <c r="E57" s="543">
        <v>45827</v>
      </c>
      <c r="F57" s="544">
        <v>47</v>
      </c>
      <c r="G57" s="884" t="s">
        <v>402</v>
      </c>
      <c r="H57" s="884"/>
      <c r="I57" s="884"/>
      <c r="J57" s="884"/>
      <c r="K57" s="543">
        <v>45839</v>
      </c>
      <c r="L57" s="541" t="s">
        <v>650</v>
      </c>
      <c r="M57" s="509"/>
      <c r="N57" s="827"/>
      <c r="O57" s="827"/>
      <c r="P57" s="827"/>
    </row>
    <row r="58" spans="1:16" ht="25.8">
      <c r="A58" s="541">
        <f t="shared" si="0"/>
        <v>56</v>
      </c>
      <c r="B58" s="542" t="s">
        <v>615</v>
      </c>
      <c r="C58" s="541" t="s">
        <v>401</v>
      </c>
      <c r="D58" s="541" t="s">
        <v>239</v>
      </c>
      <c r="E58" s="543">
        <v>45841</v>
      </c>
      <c r="F58" s="544">
        <v>28</v>
      </c>
      <c r="G58" s="884" t="s">
        <v>402</v>
      </c>
      <c r="H58" s="884"/>
      <c r="I58" s="884"/>
      <c r="J58" s="884"/>
      <c r="K58" s="543">
        <v>45850</v>
      </c>
      <c r="L58" s="541" t="s">
        <v>686</v>
      </c>
      <c r="M58" s="509"/>
      <c r="N58" s="827"/>
      <c r="O58" s="827"/>
      <c r="P58" s="827"/>
    </row>
    <row r="59" spans="1:16" ht="25.8">
      <c r="A59" s="541">
        <f t="shared" si="0"/>
        <v>57</v>
      </c>
      <c r="B59" s="542" t="s">
        <v>596</v>
      </c>
      <c r="C59" s="541" t="s">
        <v>595</v>
      </c>
      <c r="D59" s="541" t="s">
        <v>239</v>
      </c>
      <c r="E59" s="543">
        <v>45841</v>
      </c>
      <c r="F59" s="544">
        <v>54</v>
      </c>
      <c r="G59" s="884" t="s">
        <v>402</v>
      </c>
      <c r="H59" s="884"/>
      <c r="I59" s="884"/>
      <c r="J59" s="884"/>
      <c r="K59" s="543">
        <v>45859</v>
      </c>
      <c r="L59" s="541" t="s">
        <v>649</v>
      </c>
      <c r="M59" s="509"/>
      <c r="N59" s="827"/>
      <c r="O59" s="827"/>
      <c r="P59" s="827"/>
    </row>
    <row r="60" spans="1:16" ht="25.8">
      <c r="A60" s="541">
        <f t="shared" si="0"/>
        <v>58</v>
      </c>
      <c r="B60" s="542" t="s">
        <v>518</v>
      </c>
      <c r="C60" s="541" t="s">
        <v>590</v>
      </c>
      <c r="D60" s="541" t="s">
        <v>239</v>
      </c>
      <c r="E60" s="543">
        <v>45841</v>
      </c>
      <c r="F60" s="544">
        <v>47</v>
      </c>
      <c r="G60" s="884" t="s">
        <v>402</v>
      </c>
      <c r="H60" s="884"/>
      <c r="I60" s="884"/>
      <c r="J60" s="884"/>
      <c r="K60" s="543">
        <v>45852</v>
      </c>
      <c r="L60" s="541" t="s">
        <v>687</v>
      </c>
      <c r="M60" s="509"/>
      <c r="N60" s="827"/>
      <c r="O60" s="827"/>
      <c r="P60" s="827"/>
    </row>
    <row r="61" spans="1:16" ht="25.8">
      <c r="A61" s="541">
        <f t="shared" si="0"/>
        <v>59</v>
      </c>
      <c r="B61" s="542" t="s">
        <v>21</v>
      </c>
      <c r="C61" s="541" t="s">
        <v>401</v>
      </c>
      <c r="D61" s="541" t="s">
        <v>239</v>
      </c>
      <c r="E61" s="543">
        <v>45852</v>
      </c>
      <c r="F61" s="544">
        <v>28</v>
      </c>
      <c r="G61" s="884" t="s">
        <v>402</v>
      </c>
      <c r="H61" s="884"/>
      <c r="I61" s="884"/>
      <c r="J61" s="884"/>
      <c r="K61" s="543">
        <v>45858</v>
      </c>
      <c r="L61" s="541" t="s">
        <v>686</v>
      </c>
      <c r="M61" s="509"/>
      <c r="N61" s="827"/>
      <c r="O61" s="827"/>
      <c r="P61" s="827"/>
    </row>
    <row r="62" spans="1:16" ht="25.8">
      <c r="A62" s="541">
        <f t="shared" si="0"/>
        <v>60</v>
      </c>
      <c r="B62" s="542" t="s">
        <v>142</v>
      </c>
      <c r="C62" s="541" t="s">
        <v>453</v>
      </c>
      <c r="D62" s="541" t="s">
        <v>239</v>
      </c>
      <c r="E62" s="543">
        <v>45853</v>
      </c>
      <c r="F62" s="544">
        <v>34.6</v>
      </c>
      <c r="G62" s="884" t="s">
        <v>402</v>
      </c>
      <c r="H62" s="884"/>
      <c r="I62" s="884"/>
      <c r="J62" s="884"/>
      <c r="K62" s="543">
        <v>45861</v>
      </c>
      <c r="L62" s="541" t="s">
        <v>687</v>
      </c>
      <c r="M62" s="509"/>
      <c r="N62" s="827"/>
      <c r="O62" s="827"/>
      <c r="P62" s="827"/>
    </row>
    <row r="63" spans="1:16" ht="25.8">
      <c r="A63" s="541">
        <f t="shared" si="0"/>
        <v>61</v>
      </c>
      <c r="B63" s="542" t="s">
        <v>138</v>
      </c>
      <c r="C63" s="541" t="s">
        <v>453</v>
      </c>
      <c r="D63" s="541" t="s">
        <v>239</v>
      </c>
      <c r="E63" s="543">
        <v>45859</v>
      </c>
      <c r="F63" s="544">
        <v>34.6</v>
      </c>
      <c r="G63" s="884" t="s">
        <v>402</v>
      </c>
      <c r="H63" s="884"/>
      <c r="I63" s="884"/>
      <c r="J63" s="884"/>
      <c r="K63" s="543">
        <v>45869</v>
      </c>
      <c r="L63" s="541" t="s">
        <v>687</v>
      </c>
      <c r="M63" s="509"/>
      <c r="N63" s="827"/>
      <c r="O63" s="827"/>
      <c r="P63" s="827"/>
    </row>
    <row r="64" spans="1:16" ht="25.8">
      <c r="A64" s="541">
        <f t="shared" si="0"/>
        <v>62</v>
      </c>
      <c r="B64" s="542" t="s">
        <v>134</v>
      </c>
      <c r="C64" s="541" t="s">
        <v>401</v>
      </c>
      <c r="D64" s="541" t="s">
        <v>239</v>
      </c>
      <c r="E64" s="543">
        <v>45860</v>
      </c>
      <c r="F64" s="544">
        <v>28</v>
      </c>
      <c r="G64" s="884" t="s">
        <v>402</v>
      </c>
      <c r="H64" s="884"/>
      <c r="I64" s="884"/>
      <c r="J64" s="884"/>
      <c r="K64" s="543">
        <v>45868</v>
      </c>
      <c r="L64" s="541" t="s">
        <v>686</v>
      </c>
      <c r="M64" s="509"/>
      <c r="N64" s="827"/>
      <c r="O64" s="827"/>
      <c r="P64" s="827"/>
    </row>
    <row r="65" spans="1:16" ht="25.8">
      <c r="A65" s="541">
        <f t="shared" si="0"/>
        <v>63</v>
      </c>
      <c r="B65" s="542" t="s">
        <v>130</v>
      </c>
      <c r="C65" s="541" t="s">
        <v>444</v>
      </c>
      <c r="D65" s="541" t="s">
        <v>239</v>
      </c>
      <c r="E65" s="543">
        <v>45859</v>
      </c>
      <c r="F65" s="544">
        <v>29</v>
      </c>
      <c r="G65" s="884" t="s">
        <v>402</v>
      </c>
      <c r="H65" s="884"/>
      <c r="I65" s="884"/>
      <c r="J65" s="884"/>
      <c r="K65" s="543">
        <v>45876</v>
      </c>
      <c r="L65" s="541" t="s">
        <v>685</v>
      </c>
      <c r="M65" s="509"/>
      <c r="N65" s="827"/>
      <c r="O65" s="827"/>
      <c r="P65" s="827"/>
    </row>
    <row r="66" spans="1:16" ht="15.6">
      <c r="A66" s="541">
        <f t="shared" si="0"/>
        <v>64</v>
      </c>
      <c r="B66" s="542" t="s">
        <v>149</v>
      </c>
      <c r="C66" s="541" t="s">
        <v>444</v>
      </c>
      <c r="D66" s="541" t="s">
        <v>239</v>
      </c>
      <c r="E66" s="543">
        <v>45862</v>
      </c>
      <c r="F66" s="544">
        <v>29</v>
      </c>
      <c r="G66" s="884" t="s">
        <v>402</v>
      </c>
      <c r="H66" s="884"/>
      <c r="I66" s="884"/>
      <c r="J66" s="884"/>
      <c r="K66" s="543">
        <v>45875</v>
      </c>
      <c r="L66" s="541" t="s">
        <v>688</v>
      </c>
      <c r="M66" s="509"/>
      <c r="N66" s="879"/>
      <c r="O66" s="879"/>
      <c r="P66" s="879"/>
    </row>
    <row r="67" spans="1:16" ht="15.6">
      <c r="A67" s="541">
        <f t="shared" si="0"/>
        <v>65</v>
      </c>
      <c r="B67" s="542" t="s">
        <v>131</v>
      </c>
      <c r="C67" s="541" t="s">
        <v>444</v>
      </c>
      <c r="D67" s="541" t="s">
        <v>239</v>
      </c>
      <c r="E67" s="543">
        <v>45837</v>
      </c>
      <c r="F67" s="544">
        <v>29</v>
      </c>
      <c r="G67" s="884" t="s">
        <v>402</v>
      </c>
      <c r="H67" s="884"/>
      <c r="I67" s="884"/>
      <c r="J67" s="884"/>
      <c r="K67" s="543">
        <v>45876</v>
      </c>
      <c r="L67" s="541" t="s">
        <v>686</v>
      </c>
      <c r="M67" s="509"/>
      <c r="N67" s="879"/>
      <c r="O67" s="879"/>
      <c r="P67" s="879"/>
    </row>
    <row r="68" spans="1:16" ht="25.8">
      <c r="A68" s="541">
        <f>A67+1</f>
        <v>66</v>
      </c>
      <c r="B68" s="542" t="s">
        <v>19</v>
      </c>
      <c r="C68" s="541" t="s">
        <v>589</v>
      </c>
      <c r="D68" s="541" t="s">
        <v>239</v>
      </c>
      <c r="E68" s="543">
        <v>45875</v>
      </c>
      <c r="F68" s="544">
        <v>54</v>
      </c>
      <c r="G68" s="884" t="s">
        <v>402</v>
      </c>
      <c r="H68" s="884"/>
      <c r="I68" s="884"/>
      <c r="J68" s="884"/>
      <c r="K68" s="543">
        <v>45888</v>
      </c>
      <c r="L68" s="541" t="s">
        <v>687</v>
      </c>
      <c r="M68" s="509"/>
      <c r="N68" s="827"/>
      <c r="O68" s="827"/>
      <c r="P68" s="827"/>
    </row>
    <row r="69" spans="1:16" ht="25.8">
      <c r="A69" s="541">
        <f t="shared" ref="A69:A117" si="1">A68+1</f>
        <v>67</v>
      </c>
      <c r="B69" s="542" t="s">
        <v>139</v>
      </c>
      <c r="C69" s="541" t="s">
        <v>453</v>
      </c>
      <c r="D69" s="541" t="s">
        <v>239</v>
      </c>
      <c r="E69" s="543">
        <v>45876</v>
      </c>
      <c r="F69" s="544">
        <v>34.630000000000003</v>
      </c>
      <c r="G69" s="884" t="s">
        <v>402</v>
      </c>
      <c r="H69" s="884"/>
      <c r="I69" s="884"/>
      <c r="J69" s="884"/>
      <c r="K69" s="543">
        <v>45886</v>
      </c>
      <c r="L69" s="541" t="s">
        <v>686</v>
      </c>
      <c r="M69" s="509"/>
      <c r="N69" s="827"/>
      <c r="O69" s="827"/>
      <c r="P69" s="827"/>
    </row>
    <row r="70" spans="1:16" ht="25.8">
      <c r="A70" s="541">
        <f t="shared" si="1"/>
        <v>68</v>
      </c>
      <c r="B70" s="542" t="s">
        <v>605</v>
      </c>
      <c r="C70" s="541" t="s">
        <v>629</v>
      </c>
      <c r="D70" s="541" t="s">
        <v>239</v>
      </c>
      <c r="E70" s="543">
        <v>45876</v>
      </c>
      <c r="F70" s="544">
        <v>51.6</v>
      </c>
      <c r="G70" s="884" t="s">
        <v>402</v>
      </c>
      <c r="H70" s="884"/>
      <c r="I70" s="884"/>
      <c r="J70" s="884"/>
      <c r="K70" s="543">
        <v>45885</v>
      </c>
      <c r="L70" s="541" t="s">
        <v>684</v>
      </c>
      <c r="M70" s="509"/>
      <c r="N70" s="827"/>
      <c r="O70" s="827"/>
      <c r="P70" s="827"/>
    </row>
    <row r="71" spans="1:16" ht="25.8">
      <c r="A71" s="541">
        <f t="shared" si="1"/>
        <v>69</v>
      </c>
      <c r="B71" s="542" t="s">
        <v>165</v>
      </c>
      <c r="C71" s="541" t="s">
        <v>401</v>
      </c>
      <c r="D71" s="541" t="s">
        <v>239</v>
      </c>
      <c r="E71" s="543">
        <v>45878</v>
      </c>
      <c r="F71" s="544">
        <v>28</v>
      </c>
      <c r="G71" s="884" t="s">
        <v>402</v>
      </c>
      <c r="H71" s="884"/>
      <c r="I71" s="884"/>
      <c r="J71" s="884"/>
      <c r="K71" s="543">
        <v>45891</v>
      </c>
      <c r="L71" s="541" t="s">
        <v>685</v>
      </c>
      <c r="M71" s="509"/>
      <c r="N71" s="827"/>
      <c r="O71" s="827"/>
      <c r="P71" s="827"/>
    </row>
    <row r="72" spans="1:16" ht="25.8">
      <c r="A72" s="541">
        <f t="shared" si="1"/>
        <v>70</v>
      </c>
      <c r="B72" s="542" t="s">
        <v>8</v>
      </c>
      <c r="C72" s="541" t="s">
        <v>452</v>
      </c>
      <c r="D72" s="541" t="s">
        <v>239</v>
      </c>
      <c r="E72" s="543">
        <v>45885</v>
      </c>
      <c r="F72" s="544">
        <v>33</v>
      </c>
      <c r="G72" s="884" t="s">
        <v>402</v>
      </c>
      <c r="H72" s="884"/>
      <c r="I72" s="884"/>
      <c r="J72" s="884"/>
      <c r="K72" s="543">
        <v>45901</v>
      </c>
      <c r="L72" s="541" t="s">
        <v>684</v>
      </c>
      <c r="M72" s="509"/>
      <c r="N72" s="827"/>
      <c r="O72" s="827"/>
      <c r="P72" s="827"/>
    </row>
    <row r="73" spans="1:16" ht="25.8">
      <c r="A73" s="541">
        <f t="shared" si="1"/>
        <v>71</v>
      </c>
      <c r="B73" s="542" t="s">
        <v>150</v>
      </c>
      <c r="C73" s="541" t="s">
        <v>401</v>
      </c>
      <c r="D73" s="541" t="s">
        <v>239</v>
      </c>
      <c r="E73" s="543">
        <v>45887</v>
      </c>
      <c r="F73" s="544">
        <v>28</v>
      </c>
      <c r="G73" s="884" t="s">
        <v>402</v>
      </c>
      <c r="H73" s="884"/>
      <c r="I73" s="884"/>
      <c r="J73" s="884"/>
      <c r="K73" s="543">
        <v>45895</v>
      </c>
      <c r="L73" s="541" t="s">
        <v>686</v>
      </c>
      <c r="M73" s="509"/>
      <c r="N73" s="827"/>
      <c r="O73" s="827"/>
      <c r="P73" s="827"/>
    </row>
    <row r="74" spans="1:16" ht="25.8">
      <c r="A74" s="541">
        <f t="shared" si="1"/>
        <v>72</v>
      </c>
      <c r="B74" s="542" t="s">
        <v>654</v>
      </c>
      <c r="C74" s="541" t="s">
        <v>643</v>
      </c>
      <c r="D74" s="541" t="s">
        <v>239</v>
      </c>
      <c r="E74" s="543">
        <v>45888</v>
      </c>
      <c r="F74" s="544">
        <v>51.6</v>
      </c>
      <c r="G74" s="884" t="s">
        <v>402</v>
      </c>
      <c r="H74" s="884"/>
      <c r="I74" s="884"/>
      <c r="J74" s="884"/>
      <c r="K74" s="543">
        <v>45895</v>
      </c>
      <c r="L74" s="541" t="s">
        <v>684</v>
      </c>
      <c r="M74" s="509"/>
      <c r="N74" s="827"/>
      <c r="O74" s="827"/>
      <c r="P74" s="827"/>
    </row>
    <row r="75" spans="1:16" ht="25.8">
      <c r="A75" s="541">
        <f t="shared" si="1"/>
        <v>73</v>
      </c>
      <c r="B75" s="542" t="s">
        <v>155</v>
      </c>
      <c r="C75" s="541" t="s">
        <v>401</v>
      </c>
      <c r="D75" s="541" t="s">
        <v>239</v>
      </c>
      <c r="E75" s="543">
        <v>45891</v>
      </c>
      <c r="F75" s="544">
        <v>28</v>
      </c>
      <c r="G75" s="884" t="s">
        <v>402</v>
      </c>
      <c r="H75" s="884"/>
      <c r="I75" s="884"/>
      <c r="J75" s="884"/>
      <c r="K75" s="543">
        <v>45895</v>
      </c>
      <c r="L75" s="541" t="s">
        <v>687</v>
      </c>
      <c r="M75" s="509"/>
      <c r="N75" s="827"/>
      <c r="O75" s="827"/>
      <c r="P75" s="827"/>
    </row>
    <row r="76" spans="1:16" s="270" customFormat="1" ht="27.6" customHeight="1">
      <c r="A76" s="517">
        <f t="shared" si="1"/>
        <v>74</v>
      </c>
      <c r="B76" s="455" t="s">
        <v>559</v>
      </c>
      <c r="C76" s="181" t="s">
        <v>401</v>
      </c>
      <c r="D76" s="517" t="s">
        <v>239</v>
      </c>
      <c r="E76" s="283">
        <v>45895</v>
      </c>
      <c r="F76" s="284">
        <v>28</v>
      </c>
      <c r="G76" s="824" t="s">
        <v>402</v>
      </c>
      <c r="H76" s="824"/>
      <c r="I76" s="824"/>
      <c r="J76" s="824"/>
      <c r="K76" s="183">
        <v>45947</v>
      </c>
      <c r="L76" s="517" t="s">
        <v>687</v>
      </c>
      <c r="M76" s="517"/>
      <c r="N76" s="827"/>
      <c r="O76" s="827"/>
      <c r="P76" s="827"/>
    </row>
    <row r="77" spans="1:16" s="270" customFormat="1" ht="27.6" customHeight="1">
      <c r="A77" s="556">
        <f t="shared" si="1"/>
        <v>75</v>
      </c>
      <c r="B77" s="455" t="s">
        <v>119</v>
      </c>
      <c r="C77" s="181" t="s">
        <v>453</v>
      </c>
      <c r="D77" s="556" t="s">
        <v>239</v>
      </c>
      <c r="E77" s="283">
        <v>45900</v>
      </c>
      <c r="F77" s="284">
        <v>35</v>
      </c>
      <c r="G77" s="824" t="s">
        <v>402</v>
      </c>
      <c r="H77" s="824"/>
      <c r="I77" s="824"/>
      <c r="J77" s="824"/>
      <c r="K77" s="183">
        <v>45910</v>
      </c>
      <c r="L77" s="556" t="s">
        <v>686</v>
      </c>
      <c r="M77" s="556"/>
      <c r="N77" s="566"/>
      <c r="O77" s="566"/>
      <c r="P77" s="566"/>
    </row>
    <row r="78" spans="1:16" s="270" customFormat="1" ht="27.6" customHeight="1">
      <c r="A78" s="556">
        <f t="shared" si="1"/>
        <v>76</v>
      </c>
      <c r="B78" s="455" t="s">
        <v>607</v>
      </c>
      <c r="C78" s="181" t="s">
        <v>695</v>
      </c>
      <c r="D78" s="556" t="s">
        <v>239</v>
      </c>
      <c r="E78" s="283">
        <v>45901</v>
      </c>
      <c r="F78" s="284">
        <v>63</v>
      </c>
      <c r="G78" s="824" t="s">
        <v>402</v>
      </c>
      <c r="H78" s="824"/>
      <c r="I78" s="824"/>
      <c r="J78" s="824"/>
      <c r="K78" s="183">
        <v>45912</v>
      </c>
      <c r="L78" s="556" t="s">
        <v>687</v>
      </c>
      <c r="M78" s="556"/>
      <c r="N78" s="566"/>
      <c r="O78" s="566"/>
      <c r="P78" s="566"/>
    </row>
    <row r="79" spans="1:16" s="270" customFormat="1" ht="27.6" customHeight="1">
      <c r="A79" s="556">
        <f t="shared" si="1"/>
        <v>77</v>
      </c>
      <c r="B79" s="455" t="s">
        <v>164</v>
      </c>
      <c r="C79" s="181" t="s">
        <v>401</v>
      </c>
      <c r="D79" s="556" t="s">
        <v>239</v>
      </c>
      <c r="E79" s="283">
        <v>45903</v>
      </c>
      <c r="F79" s="284">
        <v>27.9</v>
      </c>
      <c r="G79" s="824" t="s">
        <v>402</v>
      </c>
      <c r="H79" s="824"/>
      <c r="I79" s="824"/>
      <c r="J79" s="824"/>
      <c r="K79" s="183">
        <v>45907</v>
      </c>
      <c r="L79" s="556" t="s">
        <v>684</v>
      </c>
      <c r="M79" s="556"/>
      <c r="N79" s="566"/>
      <c r="O79" s="566"/>
      <c r="P79" s="566"/>
    </row>
    <row r="80" spans="1:16" s="270" customFormat="1" ht="43.2" customHeight="1">
      <c r="A80" s="556">
        <f t="shared" si="1"/>
        <v>78</v>
      </c>
      <c r="B80" s="455" t="s">
        <v>645</v>
      </c>
      <c r="C80" s="181" t="s">
        <v>476</v>
      </c>
      <c r="D80" s="556" t="s">
        <v>239</v>
      </c>
      <c r="E80" s="283">
        <v>45905</v>
      </c>
      <c r="F80" s="284">
        <v>45</v>
      </c>
      <c r="G80" s="824" t="s">
        <v>402</v>
      </c>
      <c r="H80" s="824"/>
      <c r="I80" s="824"/>
      <c r="J80" s="824"/>
      <c r="K80" s="183">
        <v>45933</v>
      </c>
      <c r="L80" s="556" t="s">
        <v>685</v>
      </c>
      <c r="M80" s="556"/>
      <c r="N80" s="771"/>
      <c r="O80" s="771"/>
      <c r="P80" s="771"/>
    </row>
    <row r="81" spans="1:16" s="270" customFormat="1" ht="27.6" customHeight="1">
      <c r="A81" s="614">
        <f t="shared" si="1"/>
        <v>79</v>
      </c>
      <c r="B81" s="455" t="s">
        <v>40</v>
      </c>
      <c r="C81" s="181" t="s">
        <v>444</v>
      </c>
      <c r="D81" s="556" t="s">
        <v>239</v>
      </c>
      <c r="E81" s="283">
        <v>45909</v>
      </c>
      <c r="F81" s="284">
        <v>29</v>
      </c>
      <c r="G81" s="824" t="s">
        <v>402</v>
      </c>
      <c r="H81" s="824"/>
      <c r="I81" s="824"/>
      <c r="J81" s="824"/>
      <c r="K81" s="183">
        <v>45913</v>
      </c>
      <c r="L81" s="556" t="s">
        <v>684</v>
      </c>
      <c r="M81" s="556"/>
      <c r="N81" s="566"/>
      <c r="O81" s="566"/>
      <c r="P81" s="566"/>
    </row>
    <row r="82" spans="1:16" s="270" customFormat="1" ht="27.6" customHeight="1">
      <c r="A82" s="556">
        <f t="shared" si="1"/>
        <v>80</v>
      </c>
      <c r="B82" s="455" t="s">
        <v>154</v>
      </c>
      <c r="C82" s="181" t="s">
        <v>452</v>
      </c>
      <c r="D82" s="556" t="s">
        <v>239</v>
      </c>
      <c r="E82" s="283">
        <v>45909</v>
      </c>
      <c r="F82" s="284">
        <v>33.299999999999997</v>
      </c>
      <c r="G82" s="824" t="s">
        <v>402</v>
      </c>
      <c r="H82" s="824"/>
      <c r="I82" s="824"/>
      <c r="J82" s="824"/>
      <c r="K82" s="183">
        <v>45930</v>
      </c>
      <c r="L82" s="556" t="s">
        <v>696</v>
      </c>
      <c r="M82" s="556"/>
      <c r="N82" s="566"/>
      <c r="O82" s="566"/>
      <c r="P82" s="566"/>
    </row>
    <row r="83" spans="1:16" s="270" customFormat="1" ht="27.6" customHeight="1">
      <c r="A83" s="556">
        <f t="shared" si="1"/>
        <v>81</v>
      </c>
      <c r="B83" s="455" t="s">
        <v>118</v>
      </c>
      <c r="C83" s="181" t="s">
        <v>452</v>
      </c>
      <c r="D83" s="556" t="s">
        <v>239</v>
      </c>
      <c r="E83" s="283">
        <v>45912</v>
      </c>
      <c r="F83" s="284">
        <v>33.299999999999997</v>
      </c>
      <c r="G83" s="824" t="s">
        <v>402</v>
      </c>
      <c r="H83" s="824"/>
      <c r="I83" s="824"/>
      <c r="J83" s="824"/>
      <c r="K83" s="183">
        <v>45922</v>
      </c>
      <c r="L83" s="556" t="s">
        <v>699</v>
      </c>
      <c r="M83" s="556"/>
      <c r="N83" s="566"/>
      <c r="O83" s="566"/>
      <c r="P83" s="566"/>
    </row>
    <row r="84" spans="1:16" s="270" customFormat="1" ht="27.6" customHeight="1">
      <c r="A84" s="556">
        <f t="shared" si="1"/>
        <v>82</v>
      </c>
      <c r="B84" s="455" t="s">
        <v>562</v>
      </c>
      <c r="C84" s="181" t="s">
        <v>643</v>
      </c>
      <c r="D84" s="556" t="s">
        <v>239</v>
      </c>
      <c r="E84" s="283">
        <v>45914</v>
      </c>
      <c r="F84" s="284">
        <v>51.7</v>
      </c>
      <c r="G84" s="824" t="s">
        <v>402</v>
      </c>
      <c r="H84" s="824"/>
      <c r="I84" s="824"/>
      <c r="J84" s="824"/>
      <c r="K84" s="183">
        <v>45925</v>
      </c>
      <c r="L84" s="556" t="s">
        <v>687</v>
      </c>
      <c r="M84" s="556"/>
      <c r="N84" s="566"/>
      <c r="O84" s="566"/>
      <c r="P84" s="566"/>
    </row>
    <row r="85" spans="1:16" s="270" customFormat="1" ht="34.799999999999997" customHeight="1">
      <c r="A85" s="556">
        <f t="shared" si="1"/>
        <v>83</v>
      </c>
      <c r="B85" s="455" t="s">
        <v>680</v>
      </c>
      <c r="C85" s="181" t="s">
        <v>598</v>
      </c>
      <c r="D85" s="556" t="s">
        <v>239</v>
      </c>
      <c r="E85" s="283">
        <v>45916</v>
      </c>
      <c r="F85" s="284">
        <v>60</v>
      </c>
      <c r="G85" s="824" t="s">
        <v>402</v>
      </c>
      <c r="H85" s="824"/>
      <c r="I85" s="824"/>
      <c r="J85" s="824"/>
      <c r="K85" s="183">
        <v>45923</v>
      </c>
      <c r="L85" s="556" t="s">
        <v>684</v>
      </c>
      <c r="M85" s="556"/>
      <c r="N85" s="771"/>
      <c r="O85" s="771"/>
      <c r="P85" s="771"/>
    </row>
    <row r="86" spans="1:16" s="270" customFormat="1" ht="34.799999999999997" customHeight="1">
      <c r="A86" s="556">
        <f t="shared" si="1"/>
        <v>84</v>
      </c>
      <c r="B86" s="455" t="s">
        <v>117</v>
      </c>
      <c r="C86" s="181" t="s">
        <v>448</v>
      </c>
      <c r="D86" s="556" t="s">
        <v>239</v>
      </c>
      <c r="E86" s="283">
        <v>45922</v>
      </c>
      <c r="F86" s="284">
        <v>27</v>
      </c>
      <c r="G86" s="824" t="s">
        <v>402</v>
      </c>
      <c r="H86" s="824"/>
      <c r="I86" s="824"/>
      <c r="J86" s="824"/>
      <c r="K86" s="183">
        <v>45930</v>
      </c>
      <c r="L86" s="556" t="s">
        <v>699</v>
      </c>
      <c r="M86" s="556"/>
      <c r="N86" s="771"/>
      <c r="O86" s="771"/>
      <c r="P86" s="771"/>
    </row>
    <row r="87" spans="1:16" s="270" customFormat="1" ht="34.799999999999997" customHeight="1">
      <c r="A87" s="556">
        <f t="shared" si="1"/>
        <v>85</v>
      </c>
      <c r="B87" s="455" t="s">
        <v>665</v>
      </c>
      <c r="C87" s="181" t="s">
        <v>666</v>
      </c>
      <c r="D87" s="556" t="s">
        <v>239</v>
      </c>
      <c r="E87" s="283">
        <v>45925</v>
      </c>
      <c r="F87" s="284">
        <v>50</v>
      </c>
      <c r="G87" s="824" t="s">
        <v>402</v>
      </c>
      <c r="H87" s="824"/>
      <c r="I87" s="824"/>
      <c r="J87" s="824"/>
      <c r="K87" s="183">
        <v>45931</v>
      </c>
      <c r="L87" s="556" t="s">
        <v>684</v>
      </c>
      <c r="M87" s="556"/>
      <c r="N87" s="771"/>
      <c r="O87" s="771"/>
      <c r="P87" s="771"/>
    </row>
    <row r="88" spans="1:16" s="270" customFormat="1" ht="34.799999999999997" customHeight="1">
      <c r="A88" s="556">
        <f t="shared" si="1"/>
        <v>86</v>
      </c>
      <c r="B88" s="455" t="s">
        <v>173</v>
      </c>
      <c r="C88" s="181" t="s">
        <v>448</v>
      </c>
      <c r="D88" s="556" t="s">
        <v>239</v>
      </c>
      <c r="E88" s="283">
        <v>45928</v>
      </c>
      <c r="F88" s="284">
        <v>27</v>
      </c>
      <c r="G88" s="824" t="s">
        <v>402</v>
      </c>
      <c r="H88" s="824"/>
      <c r="I88" s="824"/>
      <c r="J88" s="824"/>
      <c r="K88" s="183">
        <v>45935</v>
      </c>
      <c r="L88" s="556" t="s">
        <v>687</v>
      </c>
      <c r="M88" s="556"/>
      <c r="N88" s="771"/>
      <c r="O88" s="771"/>
      <c r="P88" s="771"/>
    </row>
    <row r="89" spans="1:16" s="270" customFormat="1" ht="34.799999999999997" customHeight="1">
      <c r="A89" s="556">
        <f t="shared" si="1"/>
        <v>87</v>
      </c>
      <c r="B89" s="455" t="s">
        <v>689</v>
      </c>
      <c r="C89" s="181" t="s">
        <v>690</v>
      </c>
      <c r="D89" s="556" t="s">
        <v>239</v>
      </c>
      <c r="E89" s="283">
        <v>45929</v>
      </c>
      <c r="F89" s="284">
        <v>60</v>
      </c>
      <c r="G89" s="824" t="s">
        <v>402</v>
      </c>
      <c r="H89" s="824"/>
      <c r="I89" s="824"/>
      <c r="J89" s="824"/>
      <c r="K89" s="183">
        <v>45947</v>
      </c>
      <c r="L89" s="556" t="s">
        <v>696</v>
      </c>
      <c r="M89" s="556"/>
      <c r="N89" s="771"/>
      <c r="O89" s="771"/>
      <c r="P89" s="771"/>
    </row>
    <row r="90" spans="1:16" s="270" customFormat="1" ht="34.799999999999997" customHeight="1">
      <c r="A90" s="556">
        <f t="shared" si="1"/>
        <v>88</v>
      </c>
      <c r="B90" s="455" t="s">
        <v>597</v>
      </c>
      <c r="C90" s="181" t="s">
        <v>598</v>
      </c>
      <c r="D90" s="556" t="s">
        <v>239</v>
      </c>
      <c r="E90" s="283">
        <v>45934</v>
      </c>
      <c r="F90" s="284">
        <v>60</v>
      </c>
      <c r="G90" s="824" t="s">
        <v>402</v>
      </c>
      <c r="H90" s="824"/>
      <c r="I90" s="824"/>
      <c r="J90" s="824"/>
      <c r="K90" s="183">
        <v>45947</v>
      </c>
      <c r="L90" s="556" t="s">
        <v>699</v>
      </c>
      <c r="M90" s="556"/>
      <c r="N90" s="771"/>
      <c r="O90" s="771"/>
      <c r="P90" s="771"/>
    </row>
    <row r="91" spans="1:16" s="270" customFormat="1" ht="34.799999999999997" customHeight="1">
      <c r="A91" s="567">
        <f t="shared" si="1"/>
        <v>89</v>
      </c>
      <c r="B91" s="455" t="s">
        <v>658</v>
      </c>
      <c r="C91" s="181" t="s">
        <v>116</v>
      </c>
      <c r="D91" s="567" t="s">
        <v>239</v>
      </c>
      <c r="E91" s="283">
        <v>45946</v>
      </c>
      <c r="F91" s="284">
        <v>89</v>
      </c>
      <c r="G91" s="824" t="s">
        <v>402</v>
      </c>
      <c r="H91" s="824"/>
      <c r="I91" s="824"/>
      <c r="J91" s="824"/>
      <c r="K91" s="183">
        <v>45968</v>
      </c>
      <c r="L91" s="567" t="s">
        <v>699</v>
      </c>
      <c r="M91" s="567"/>
      <c r="N91" s="771"/>
      <c r="O91" s="771"/>
      <c r="P91" s="771"/>
    </row>
    <row r="92" spans="1:16" s="270" customFormat="1" ht="34.799999999999997" customHeight="1">
      <c r="A92" s="577">
        <f t="shared" si="1"/>
        <v>90</v>
      </c>
      <c r="B92" s="455" t="s">
        <v>663</v>
      </c>
      <c r="C92" s="181" t="s">
        <v>116</v>
      </c>
      <c r="D92" s="577" t="s">
        <v>239</v>
      </c>
      <c r="E92" s="283">
        <v>45946</v>
      </c>
      <c r="F92" s="284">
        <v>89</v>
      </c>
      <c r="G92" s="824" t="s">
        <v>402</v>
      </c>
      <c r="H92" s="824"/>
      <c r="I92" s="824"/>
      <c r="J92" s="824"/>
      <c r="K92" s="183">
        <v>45990</v>
      </c>
      <c r="L92" s="577" t="s">
        <v>696</v>
      </c>
      <c r="M92" s="577"/>
      <c r="N92" s="825"/>
      <c r="O92" s="826"/>
      <c r="P92" s="826"/>
    </row>
    <row r="93" spans="1:16" s="270" customFormat="1" ht="34.799999999999997" customHeight="1">
      <c r="A93" s="577">
        <f t="shared" si="1"/>
        <v>91</v>
      </c>
      <c r="B93" s="455" t="s">
        <v>561</v>
      </c>
      <c r="C93" s="181" t="s">
        <v>401</v>
      </c>
      <c r="D93" s="577" t="s">
        <v>239</v>
      </c>
      <c r="E93" s="283">
        <v>45948</v>
      </c>
      <c r="F93" s="284">
        <v>28</v>
      </c>
      <c r="G93" s="824" t="s">
        <v>402</v>
      </c>
      <c r="H93" s="824"/>
      <c r="I93" s="824"/>
      <c r="J93" s="824"/>
      <c r="K93" s="183">
        <v>45957</v>
      </c>
      <c r="L93" s="577" t="s">
        <v>687</v>
      </c>
      <c r="M93" s="577"/>
      <c r="N93" s="825"/>
      <c r="O93" s="826"/>
      <c r="P93" s="826"/>
    </row>
    <row r="94" spans="1:16" s="270" customFormat="1" ht="34.799999999999997" customHeight="1">
      <c r="A94" s="577">
        <f t="shared" si="1"/>
        <v>92</v>
      </c>
      <c r="B94" s="455" t="s">
        <v>162</v>
      </c>
      <c r="C94" s="181" t="s">
        <v>401</v>
      </c>
      <c r="D94" s="577" t="s">
        <v>239</v>
      </c>
      <c r="E94" s="283">
        <v>45959</v>
      </c>
      <c r="F94" s="284">
        <v>28</v>
      </c>
      <c r="G94" s="824" t="s">
        <v>402</v>
      </c>
      <c r="H94" s="824"/>
      <c r="I94" s="824"/>
      <c r="J94" s="824"/>
      <c r="K94" s="183">
        <v>45967</v>
      </c>
      <c r="L94" s="577" t="s">
        <v>687</v>
      </c>
      <c r="M94" s="577"/>
      <c r="N94" s="825"/>
      <c r="O94" s="826"/>
      <c r="P94" s="826"/>
    </row>
    <row r="95" spans="1:16" s="270" customFormat="1" ht="34.799999999999997" customHeight="1">
      <c r="A95" s="577">
        <f t="shared" si="1"/>
        <v>93</v>
      </c>
      <c r="B95" s="455" t="s">
        <v>158</v>
      </c>
      <c r="C95" s="181" t="s">
        <v>401</v>
      </c>
      <c r="D95" s="577" t="s">
        <v>239</v>
      </c>
      <c r="E95" s="283">
        <v>45965</v>
      </c>
      <c r="F95" s="284">
        <v>28</v>
      </c>
      <c r="G95" s="824" t="s">
        <v>402</v>
      </c>
      <c r="H95" s="824"/>
      <c r="I95" s="824"/>
      <c r="J95" s="824"/>
      <c r="K95" s="183">
        <v>45973</v>
      </c>
      <c r="L95" s="577" t="s">
        <v>687</v>
      </c>
      <c r="M95" s="577"/>
      <c r="N95" s="825"/>
      <c r="O95" s="826"/>
      <c r="P95" s="826"/>
    </row>
    <row r="96" spans="1:16" s="270" customFormat="1" ht="34.799999999999997" customHeight="1">
      <c r="A96" s="577">
        <f t="shared" si="1"/>
        <v>94</v>
      </c>
      <c r="B96" s="455" t="s">
        <v>151</v>
      </c>
      <c r="C96" s="181" t="s">
        <v>401</v>
      </c>
      <c r="D96" s="577" t="s">
        <v>239</v>
      </c>
      <c r="E96" s="283">
        <v>45967</v>
      </c>
      <c r="F96" s="284">
        <v>28</v>
      </c>
      <c r="G96" s="824" t="s">
        <v>402</v>
      </c>
      <c r="H96" s="824"/>
      <c r="I96" s="824"/>
      <c r="J96" s="824"/>
      <c r="K96" s="183">
        <v>45974</v>
      </c>
      <c r="L96" s="577" t="s">
        <v>696</v>
      </c>
      <c r="M96" s="577"/>
      <c r="N96" s="825"/>
      <c r="O96" s="826"/>
      <c r="P96" s="826"/>
    </row>
    <row r="97" spans="1:16" s="270" customFormat="1" ht="34.799999999999997" customHeight="1">
      <c r="A97" s="579">
        <f t="shared" si="1"/>
        <v>95</v>
      </c>
      <c r="B97" s="455" t="s">
        <v>674</v>
      </c>
      <c r="C97" s="181" t="s">
        <v>594</v>
      </c>
      <c r="D97" s="579" t="s">
        <v>239</v>
      </c>
      <c r="E97" s="283">
        <v>45972</v>
      </c>
      <c r="F97" s="284">
        <v>45</v>
      </c>
      <c r="G97" s="824" t="s">
        <v>402</v>
      </c>
      <c r="H97" s="824"/>
      <c r="I97" s="824"/>
      <c r="J97" s="824"/>
      <c r="K97" s="183">
        <v>45979</v>
      </c>
      <c r="L97" s="579" t="s">
        <v>699</v>
      </c>
      <c r="M97" s="579"/>
      <c r="N97" s="825"/>
      <c r="O97" s="826"/>
      <c r="P97" s="826"/>
    </row>
    <row r="98" spans="1:16" s="270" customFormat="1" ht="34.799999999999997" customHeight="1">
      <c r="A98" s="579">
        <f t="shared" si="1"/>
        <v>96</v>
      </c>
      <c r="B98" s="455" t="s">
        <v>120</v>
      </c>
      <c r="C98" s="181" t="s">
        <v>444</v>
      </c>
      <c r="D98" s="579" t="s">
        <v>239</v>
      </c>
      <c r="E98" s="283">
        <v>45973</v>
      </c>
      <c r="F98" s="284">
        <v>29</v>
      </c>
      <c r="G98" s="824" t="s">
        <v>402</v>
      </c>
      <c r="H98" s="824"/>
      <c r="I98" s="824"/>
      <c r="J98" s="824"/>
      <c r="K98" s="183">
        <v>45982</v>
      </c>
      <c r="L98" s="579" t="s">
        <v>687</v>
      </c>
      <c r="M98" s="579"/>
      <c r="N98" s="825"/>
      <c r="O98" s="826"/>
      <c r="P98" s="826"/>
    </row>
    <row r="99" spans="1:16" s="270" customFormat="1" ht="34.799999999999997" customHeight="1">
      <c r="A99" s="579">
        <f t="shared" si="1"/>
        <v>97</v>
      </c>
      <c r="B99" s="455" t="s">
        <v>168</v>
      </c>
      <c r="C99" s="181" t="s">
        <v>444</v>
      </c>
      <c r="D99" s="579" t="s">
        <v>239</v>
      </c>
      <c r="E99" s="283">
        <v>45982</v>
      </c>
      <c r="F99" s="284">
        <v>29</v>
      </c>
      <c r="G99" s="824" t="s">
        <v>402</v>
      </c>
      <c r="H99" s="824"/>
      <c r="I99" s="824"/>
      <c r="J99" s="824"/>
      <c r="K99" s="183">
        <v>45988</v>
      </c>
      <c r="L99" s="579" t="s">
        <v>699</v>
      </c>
      <c r="M99" s="579"/>
      <c r="N99" s="825"/>
      <c r="O99" s="826"/>
      <c r="P99" s="826"/>
    </row>
    <row r="100" spans="1:16" s="270" customFormat="1" ht="34.799999999999997" customHeight="1">
      <c r="A100" s="579">
        <f t="shared" si="1"/>
        <v>98</v>
      </c>
      <c r="B100" s="455" t="s">
        <v>153</v>
      </c>
      <c r="C100" s="181" t="s">
        <v>401</v>
      </c>
      <c r="D100" s="579" t="s">
        <v>239</v>
      </c>
      <c r="E100" s="283">
        <v>45984</v>
      </c>
      <c r="F100" s="284">
        <v>28</v>
      </c>
      <c r="G100" s="824" t="s">
        <v>402</v>
      </c>
      <c r="H100" s="824"/>
      <c r="I100" s="824"/>
      <c r="J100" s="824"/>
      <c r="K100" s="183">
        <v>45993</v>
      </c>
      <c r="L100" s="579" t="s">
        <v>687</v>
      </c>
      <c r="M100" s="579"/>
      <c r="N100" s="825"/>
      <c r="O100" s="826"/>
      <c r="P100" s="826"/>
    </row>
    <row r="101" spans="1:16" s="270" customFormat="1" ht="34.799999999999997" customHeight="1">
      <c r="A101" s="580">
        <f t="shared" si="1"/>
        <v>99</v>
      </c>
      <c r="B101" s="455" t="s">
        <v>557</v>
      </c>
      <c r="C101" s="181" t="s">
        <v>643</v>
      </c>
      <c r="D101" s="580" t="s">
        <v>239</v>
      </c>
      <c r="E101" s="283">
        <v>45991</v>
      </c>
      <c r="F101" s="284">
        <v>52</v>
      </c>
      <c r="G101" s="824" t="s">
        <v>402</v>
      </c>
      <c r="H101" s="824"/>
      <c r="I101" s="824"/>
      <c r="J101" s="824"/>
      <c r="K101" s="183">
        <v>45998</v>
      </c>
      <c r="L101" s="580" t="s">
        <v>699</v>
      </c>
      <c r="M101" s="580"/>
      <c r="N101" s="825"/>
      <c r="O101" s="826"/>
      <c r="P101" s="826"/>
    </row>
    <row r="102" spans="1:16" s="270" customFormat="1" ht="34.799999999999997" customHeight="1">
      <c r="A102" s="614">
        <f t="shared" si="1"/>
        <v>100</v>
      </c>
      <c r="B102" s="455" t="s">
        <v>678</v>
      </c>
      <c r="C102" s="181" t="s">
        <v>629</v>
      </c>
      <c r="D102" s="614" t="s">
        <v>239</v>
      </c>
      <c r="E102" s="283">
        <v>45992</v>
      </c>
      <c r="F102" s="284">
        <v>52</v>
      </c>
      <c r="G102" s="824" t="s">
        <v>402</v>
      </c>
      <c r="H102" s="824"/>
      <c r="I102" s="824"/>
      <c r="J102" s="824"/>
      <c r="K102" s="183">
        <v>46001</v>
      </c>
      <c r="L102" s="614" t="s">
        <v>696</v>
      </c>
      <c r="M102" s="614"/>
      <c r="N102" s="825"/>
      <c r="O102" s="826"/>
      <c r="P102" s="826"/>
    </row>
    <row r="103" spans="1:16" s="270" customFormat="1" ht="34.799999999999997" customHeight="1">
      <c r="A103" s="614">
        <f t="shared" si="1"/>
        <v>101</v>
      </c>
      <c r="B103" s="455" t="s">
        <v>163</v>
      </c>
      <c r="C103" s="181" t="s">
        <v>669</v>
      </c>
      <c r="D103" s="614" t="s">
        <v>239</v>
      </c>
      <c r="E103" s="283">
        <v>45995</v>
      </c>
      <c r="F103" s="284">
        <v>27</v>
      </c>
      <c r="G103" s="824" t="s">
        <v>402</v>
      </c>
      <c r="H103" s="824"/>
      <c r="I103" s="824"/>
      <c r="J103" s="824"/>
      <c r="K103" s="183">
        <v>46005</v>
      </c>
      <c r="L103" s="614" t="s">
        <v>687</v>
      </c>
      <c r="M103" s="614"/>
      <c r="N103" s="825"/>
      <c r="O103" s="826"/>
      <c r="P103" s="826"/>
    </row>
    <row r="104" spans="1:16" s="270" customFormat="1" ht="34.799999999999997" customHeight="1">
      <c r="A104" s="614">
        <f t="shared" si="1"/>
        <v>102</v>
      </c>
      <c r="B104" s="455" t="s">
        <v>183</v>
      </c>
      <c r="C104" s="181" t="s">
        <v>452</v>
      </c>
      <c r="D104" s="614" t="s">
        <v>239</v>
      </c>
      <c r="E104" s="283">
        <v>45998</v>
      </c>
      <c r="F104" s="284">
        <v>33</v>
      </c>
      <c r="G104" s="824" t="s">
        <v>402</v>
      </c>
      <c r="H104" s="824"/>
      <c r="I104" s="824"/>
      <c r="J104" s="824"/>
      <c r="K104" s="183">
        <v>46005</v>
      </c>
      <c r="L104" s="614" t="s">
        <v>699</v>
      </c>
      <c r="M104" s="614"/>
      <c r="N104" s="825"/>
      <c r="O104" s="826"/>
      <c r="P104" s="826"/>
    </row>
    <row r="105" spans="1:16" s="270" customFormat="1" ht="34.799999999999997" customHeight="1">
      <c r="A105" s="614">
        <f t="shared" si="1"/>
        <v>103</v>
      </c>
      <c r="B105" s="455" t="s">
        <v>171</v>
      </c>
      <c r="C105" s="181" t="s">
        <v>448</v>
      </c>
      <c r="D105" s="614" t="s">
        <v>239</v>
      </c>
      <c r="E105" s="283">
        <v>46001</v>
      </c>
      <c r="F105" s="284">
        <v>27</v>
      </c>
      <c r="G105" s="824" t="s">
        <v>402</v>
      </c>
      <c r="H105" s="824"/>
      <c r="I105" s="824"/>
      <c r="J105" s="824"/>
      <c r="K105" s="183">
        <v>46006</v>
      </c>
      <c r="L105" s="614" t="s">
        <v>696</v>
      </c>
      <c r="M105" s="614"/>
      <c r="N105" s="825"/>
      <c r="O105" s="826"/>
      <c r="P105" s="826"/>
    </row>
    <row r="106" spans="1:16" s="270" customFormat="1" ht="34.799999999999997" customHeight="1">
      <c r="A106" s="614">
        <f t="shared" si="1"/>
        <v>104</v>
      </c>
      <c r="B106" s="455" t="s">
        <v>184</v>
      </c>
      <c r="C106" s="181" t="s">
        <v>448</v>
      </c>
      <c r="D106" s="614" t="s">
        <v>239</v>
      </c>
      <c r="E106" s="283">
        <v>46006</v>
      </c>
      <c r="F106" s="284">
        <v>27</v>
      </c>
      <c r="G106" s="824" t="s">
        <v>402</v>
      </c>
      <c r="H106" s="824"/>
      <c r="I106" s="824"/>
      <c r="J106" s="824"/>
      <c r="K106" s="183">
        <v>46010</v>
      </c>
      <c r="L106" s="614" t="s">
        <v>699</v>
      </c>
      <c r="M106" s="614"/>
      <c r="N106" s="825"/>
      <c r="O106" s="826"/>
      <c r="P106" s="826"/>
    </row>
    <row r="107" spans="1:16" s="270" customFormat="1" ht="34.799999999999997" customHeight="1">
      <c r="A107" s="638">
        <f t="shared" si="1"/>
        <v>105</v>
      </c>
      <c r="B107" s="455" t="s">
        <v>172</v>
      </c>
      <c r="C107" s="181" t="s">
        <v>448</v>
      </c>
      <c r="D107" s="638" t="s">
        <v>239</v>
      </c>
      <c r="E107" s="283">
        <v>46008</v>
      </c>
      <c r="F107" s="284">
        <v>27</v>
      </c>
      <c r="G107" s="824" t="s">
        <v>402</v>
      </c>
      <c r="H107" s="824"/>
      <c r="I107" s="824"/>
      <c r="J107" s="824"/>
      <c r="K107" s="183">
        <v>46013</v>
      </c>
      <c r="L107" s="638" t="s">
        <v>696</v>
      </c>
      <c r="M107" s="638"/>
      <c r="N107" s="825"/>
      <c r="O107" s="826"/>
      <c r="P107" s="826"/>
    </row>
    <row r="108" spans="1:16" s="270" customFormat="1" ht="34.799999999999997" customHeight="1">
      <c r="A108" s="678">
        <f t="shared" si="1"/>
        <v>106</v>
      </c>
      <c r="B108" s="455" t="s">
        <v>558</v>
      </c>
      <c r="C108" s="181" t="s">
        <v>452</v>
      </c>
      <c r="D108" s="678" t="s">
        <v>239</v>
      </c>
      <c r="E108" s="283">
        <v>46007</v>
      </c>
      <c r="F108" s="284">
        <v>33</v>
      </c>
      <c r="G108" s="824" t="s">
        <v>402</v>
      </c>
      <c r="H108" s="824"/>
      <c r="I108" s="824"/>
      <c r="J108" s="824"/>
      <c r="K108" s="183">
        <v>46016</v>
      </c>
      <c r="L108" s="678" t="s">
        <v>687</v>
      </c>
      <c r="M108" s="678"/>
      <c r="N108" s="825"/>
      <c r="O108" s="826"/>
      <c r="P108" s="826"/>
    </row>
    <row r="109" spans="1:16" s="270" customFormat="1" ht="34.799999999999997" customHeight="1">
      <c r="A109" s="713">
        <f t="shared" si="1"/>
        <v>107</v>
      </c>
      <c r="B109" s="455" t="s">
        <v>185</v>
      </c>
      <c r="C109" s="181" t="s">
        <v>506</v>
      </c>
      <c r="D109" s="713" t="s">
        <v>239</v>
      </c>
      <c r="E109" s="283">
        <v>46011</v>
      </c>
      <c r="F109" s="284">
        <v>51</v>
      </c>
      <c r="G109" s="824" t="s">
        <v>402</v>
      </c>
      <c r="H109" s="824"/>
      <c r="I109" s="824"/>
      <c r="J109" s="824"/>
      <c r="K109" s="183">
        <v>46017</v>
      </c>
      <c r="L109" s="713" t="s">
        <v>699</v>
      </c>
      <c r="M109" s="713"/>
      <c r="N109" s="825"/>
      <c r="O109" s="826"/>
      <c r="P109" s="826"/>
    </row>
    <row r="110" spans="1:16" s="270" customFormat="1" ht="34.799999999999997" customHeight="1">
      <c r="A110" s="713">
        <f t="shared" si="1"/>
        <v>108</v>
      </c>
      <c r="B110" s="455" t="s">
        <v>616</v>
      </c>
      <c r="C110" s="181" t="s">
        <v>453</v>
      </c>
      <c r="D110" s="713" t="s">
        <v>809</v>
      </c>
      <c r="E110" s="283">
        <v>46014</v>
      </c>
      <c r="F110" s="284">
        <v>35</v>
      </c>
      <c r="G110" s="824" t="s">
        <v>402</v>
      </c>
      <c r="H110" s="824"/>
      <c r="I110" s="824"/>
      <c r="J110" s="824"/>
      <c r="K110" s="183">
        <v>46021</v>
      </c>
      <c r="L110" s="713" t="s">
        <v>696</v>
      </c>
      <c r="M110" s="713"/>
      <c r="N110" s="825"/>
      <c r="O110" s="826"/>
      <c r="P110" s="826"/>
    </row>
    <row r="111" spans="1:16" s="270" customFormat="1" ht="34.799999999999997" customHeight="1">
      <c r="A111" s="713">
        <f t="shared" si="1"/>
        <v>109</v>
      </c>
      <c r="B111" s="455" t="s">
        <v>553</v>
      </c>
      <c r="C111" s="181" t="s">
        <v>652</v>
      </c>
      <c r="D111" s="713" t="s">
        <v>239</v>
      </c>
      <c r="E111" s="283">
        <v>46017</v>
      </c>
      <c r="F111" s="284">
        <v>73</v>
      </c>
      <c r="G111" s="824" t="s">
        <v>402</v>
      </c>
      <c r="H111" s="824"/>
      <c r="I111" s="824"/>
      <c r="J111" s="824"/>
      <c r="K111" s="183">
        <v>46030</v>
      </c>
      <c r="L111" s="713" t="s">
        <v>699</v>
      </c>
      <c r="M111" s="713"/>
      <c r="N111" s="825"/>
      <c r="O111" s="826"/>
      <c r="P111" s="826"/>
    </row>
    <row r="112" spans="1:16" s="270" customFormat="1" ht="34.799999999999997" customHeight="1">
      <c r="A112" s="713">
        <f t="shared" si="1"/>
        <v>110</v>
      </c>
      <c r="B112" s="455" t="s">
        <v>186</v>
      </c>
      <c r="C112" s="181" t="s">
        <v>669</v>
      </c>
      <c r="D112" s="713" t="s">
        <v>239</v>
      </c>
      <c r="E112" s="283">
        <v>46017</v>
      </c>
      <c r="F112" s="284">
        <v>27</v>
      </c>
      <c r="G112" s="824" t="s">
        <v>402</v>
      </c>
      <c r="H112" s="824"/>
      <c r="I112" s="824"/>
      <c r="J112" s="824"/>
      <c r="K112" s="183">
        <v>46029</v>
      </c>
      <c r="L112" s="713" t="s">
        <v>687</v>
      </c>
      <c r="M112" s="713"/>
      <c r="N112" s="825"/>
      <c r="O112" s="826"/>
      <c r="P112" s="826"/>
    </row>
    <row r="113" spans="1:16" s="422" customFormat="1" ht="34.799999999999997" customHeight="1">
      <c r="A113" s="465">
        <f t="shared" si="1"/>
        <v>111</v>
      </c>
      <c r="B113" s="454" t="s">
        <v>556</v>
      </c>
      <c r="C113" s="641" t="s">
        <v>448</v>
      </c>
      <c r="D113" s="465" t="s">
        <v>239</v>
      </c>
      <c r="E113" s="421">
        <v>46021</v>
      </c>
      <c r="F113" s="420">
        <v>27</v>
      </c>
      <c r="G113" s="831" t="s">
        <v>894</v>
      </c>
      <c r="H113" s="832"/>
      <c r="I113" s="832"/>
      <c r="J113" s="833"/>
      <c r="K113" s="563"/>
      <c r="L113" s="465" t="s">
        <v>864</v>
      </c>
      <c r="M113" s="465"/>
      <c r="N113" s="834"/>
      <c r="O113" s="835"/>
      <c r="P113" s="835"/>
    </row>
    <row r="114" spans="1:16" s="270" customFormat="1" ht="34.799999999999997" customHeight="1">
      <c r="A114" s="744">
        <f t="shared" si="1"/>
        <v>112</v>
      </c>
      <c r="B114" s="455" t="s">
        <v>617</v>
      </c>
      <c r="C114" s="181" t="s">
        <v>669</v>
      </c>
      <c r="D114" s="744" t="s">
        <v>239</v>
      </c>
      <c r="E114" s="283">
        <v>46022</v>
      </c>
      <c r="F114" s="284">
        <v>27</v>
      </c>
      <c r="G114" s="824" t="s">
        <v>402</v>
      </c>
      <c r="H114" s="824"/>
      <c r="I114" s="824"/>
      <c r="J114" s="824"/>
      <c r="K114" s="183">
        <v>46028</v>
      </c>
      <c r="L114" s="744" t="s">
        <v>696</v>
      </c>
      <c r="M114" s="744"/>
      <c r="N114" s="825"/>
      <c r="O114" s="826"/>
      <c r="P114" s="826"/>
    </row>
    <row r="115" spans="1:16" s="422" customFormat="1" ht="34.799999999999997" customHeight="1">
      <c r="A115" s="465">
        <f t="shared" si="1"/>
        <v>113</v>
      </c>
      <c r="B115" s="454" t="s">
        <v>555</v>
      </c>
      <c r="C115" s="641" t="s">
        <v>652</v>
      </c>
      <c r="D115" s="465" t="s">
        <v>239</v>
      </c>
      <c r="E115" s="421">
        <v>46029</v>
      </c>
      <c r="F115" s="420">
        <v>73</v>
      </c>
      <c r="G115" s="831" t="s">
        <v>897</v>
      </c>
      <c r="H115" s="832"/>
      <c r="I115" s="832"/>
      <c r="J115" s="833"/>
      <c r="K115" s="563"/>
      <c r="L115" s="465" t="s">
        <v>696</v>
      </c>
      <c r="M115" s="465">
        <v>28</v>
      </c>
      <c r="N115" s="834"/>
      <c r="O115" s="835"/>
      <c r="P115" s="835"/>
    </row>
    <row r="116" spans="1:16" s="422" customFormat="1" ht="34.799999999999997" customHeight="1">
      <c r="A116" s="465">
        <f t="shared" si="1"/>
        <v>114</v>
      </c>
      <c r="B116" s="454" t="s">
        <v>182</v>
      </c>
      <c r="C116" s="641" t="s">
        <v>448</v>
      </c>
      <c r="D116" s="465" t="s">
        <v>239</v>
      </c>
      <c r="E116" s="421">
        <v>46030</v>
      </c>
      <c r="F116" s="420">
        <v>27</v>
      </c>
      <c r="G116" s="831" t="s">
        <v>896</v>
      </c>
      <c r="H116" s="832"/>
      <c r="I116" s="832"/>
      <c r="J116" s="833"/>
      <c r="K116" s="563"/>
      <c r="L116" s="465" t="s">
        <v>699</v>
      </c>
      <c r="M116" s="465">
        <v>33</v>
      </c>
      <c r="N116" s="834"/>
      <c r="O116" s="835"/>
      <c r="P116" s="835"/>
    </row>
    <row r="117" spans="1:16" s="422" customFormat="1" ht="34.799999999999997" customHeight="1">
      <c r="A117" s="465">
        <f t="shared" si="1"/>
        <v>115</v>
      </c>
      <c r="B117" s="454" t="s">
        <v>188</v>
      </c>
      <c r="C117" s="641" t="s">
        <v>448</v>
      </c>
      <c r="D117" s="465" t="s">
        <v>239</v>
      </c>
      <c r="E117" s="421">
        <v>46030</v>
      </c>
      <c r="F117" s="420">
        <v>27</v>
      </c>
      <c r="G117" s="831" t="s">
        <v>895</v>
      </c>
      <c r="H117" s="832"/>
      <c r="I117" s="832"/>
      <c r="J117" s="833"/>
      <c r="K117" s="563"/>
      <c r="L117" s="465" t="s">
        <v>687</v>
      </c>
      <c r="M117" s="465">
        <v>29</v>
      </c>
      <c r="N117" s="834"/>
      <c r="O117" s="835"/>
      <c r="P117" s="835"/>
    </row>
  </sheetData>
  <autoFilter ref="A2:P96">
    <filterColumn colId="6" showButton="0"/>
    <filterColumn colId="7" showButton="0"/>
    <filterColumn colId="8" showButton="0"/>
    <filterColumn colId="13" showButton="0"/>
    <filterColumn colId="14" showButton="0"/>
  </autoFilter>
  <mergeCells count="226">
    <mergeCell ref="G115:J115"/>
    <mergeCell ref="N115:P115"/>
    <mergeCell ref="G116:J116"/>
    <mergeCell ref="N116:P116"/>
    <mergeCell ref="G117:J117"/>
    <mergeCell ref="N117:P117"/>
    <mergeCell ref="N12:P12"/>
    <mergeCell ref="G106:J106"/>
    <mergeCell ref="N106:P106"/>
    <mergeCell ref="G105:J105"/>
    <mergeCell ref="N105:P105"/>
    <mergeCell ref="G104:J104"/>
    <mergeCell ref="N104:P104"/>
    <mergeCell ref="G102:J102"/>
    <mergeCell ref="N102:P102"/>
    <mergeCell ref="G26:J26"/>
    <mergeCell ref="N26:P26"/>
    <mergeCell ref="G27:J27"/>
    <mergeCell ref="N27:P27"/>
    <mergeCell ref="G99:J99"/>
    <mergeCell ref="N99:P99"/>
    <mergeCell ref="G97:J97"/>
    <mergeCell ref="N97:P97"/>
    <mergeCell ref="G98:J98"/>
    <mergeCell ref="G34:J34"/>
    <mergeCell ref="N34:P34"/>
    <mergeCell ref="G12:J12"/>
    <mergeCell ref="N14:P14"/>
    <mergeCell ref="G15:J15"/>
    <mergeCell ref="N15:P15"/>
    <mergeCell ref="A1:P1"/>
    <mergeCell ref="G2:J2"/>
    <mergeCell ref="N2:P2"/>
    <mergeCell ref="G3:J3"/>
    <mergeCell ref="N3:P3"/>
    <mergeCell ref="G4:J4"/>
    <mergeCell ref="N4:P4"/>
    <mergeCell ref="G11:J11"/>
    <mergeCell ref="N11:P11"/>
    <mergeCell ref="G8:J8"/>
    <mergeCell ref="N8:P8"/>
    <mergeCell ref="G9:J9"/>
    <mergeCell ref="N9:P9"/>
    <mergeCell ref="G10:J10"/>
    <mergeCell ref="N10:P10"/>
    <mergeCell ref="G5:J5"/>
    <mergeCell ref="N5:P5"/>
    <mergeCell ref="G6:J6"/>
    <mergeCell ref="N6:P6"/>
    <mergeCell ref="G7:J7"/>
    <mergeCell ref="N7:P7"/>
    <mergeCell ref="G16:J16"/>
    <mergeCell ref="N16:P16"/>
    <mergeCell ref="G32:J32"/>
    <mergeCell ref="N32:P32"/>
    <mergeCell ref="G13:J13"/>
    <mergeCell ref="N13:P13"/>
    <mergeCell ref="G19:J19"/>
    <mergeCell ref="N19:P19"/>
    <mergeCell ref="G14:J14"/>
    <mergeCell ref="N21:P21"/>
    <mergeCell ref="G22:J22"/>
    <mergeCell ref="N22:P22"/>
    <mergeCell ref="G17:J17"/>
    <mergeCell ref="N17:P17"/>
    <mergeCell ref="G18:J18"/>
    <mergeCell ref="N18:P18"/>
    <mergeCell ref="G20:J20"/>
    <mergeCell ref="N20:P20"/>
    <mergeCell ref="G21:J21"/>
    <mergeCell ref="G33:J33"/>
    <mergeCell ref="N33:P33"/>
    <mergeCell ref="G25:J25"/>
    <mergeCell ref="N25:P25"/>
    <mergeCell ref="G24:J24"/>
    <mergeCell ref="N24:P24"/>
    <mergeCell ref="G23:J23"/>
    <mergeCell ref="G29:J29"/>
    <mergeCell ref="N29:P29"/>
    <mergeCell ref="G30:J30"/>
    <mergeCell ref="N30:P30"/>
    <mergeCell ref="G31:J31"/>
    <mergeCell ref="N31:P31"/>
    <mergeCell ref="G28:J28"/>
    <mergeCell ref="N28:P28"/>
    <mergeCell ref="N23:P23"/>
    <mergeCell ref="G40:J40"/>
    <mergeCell ref="N40:P40"/>
    <mergeCell ref="G35:J35"/>
    <mergeCell ref="N35:P35"/>
    <mergeCell ref="G36:J36"/>
    <mergeCell ref="N36:P36"/>
    <mergeCell ref="G37:J37"/>
    <mergeCell ref="N37:P37"/>
    <mergeCell ref="G44:J44"/>
    <mergeCell ref="N44:P44"/>
    <mergeCell ref="G39:J39"/>
    <mergeCell ref="N39:P39"/>
    <mergeCell ref="G38:J38"/>
    <mergeCell ref="N38:P38"/>
    <mergeCell ref="G45:J45"/>
    <mergeCell ref="N45:P45"/>
    <mergeCell ref="G46:J46"/>
    <mergeCell ref="N46:P46"/>
    <mergeCell ref="G41:J41"/>
    <mergeCell ref="N41:P41"/>
    <mergeCell ref="G42:J42"/>
    <mergeCell ref="N42:P42"/>
    <mergeCell ref="G43:J43"/>
    <mergeCell ref="N43:P43"/>
    <mergeCell ref="G50:J50"/>
    <mergeCell ref="N50:P50"/>
    <mergeCell ref="G51:J51"/>
    <mergeCell ref="N51:P51"/>
    <mergeCell ref="G52:J52"/>
    <mergeCell ref="N52:P52"/>
    <mergeCell ref="G47:J47"/>
    <mergeCell ref="N47:P47"/>
    <mergeCell ref="G48:J48"/>
    <mergeCell ref="N48:P48"/>
    <mergeCell ref="G49:J49"/>
    <mergeCell ref="N49:P49"/>
    <mergeCell ref="G56:J56"/>
    <mergeCell ref="N56:P56"/>
    <mergeCell ref="G57:J57"/>
    <mergeCell ref="N57:P57"/>
    <mergeCell ref="G58:J58"/>
    <mergeCell ref="N58:P58"/>
    <mergeCell ref="G53:J53"/>
    <mergeCell ref="N53:P53"/>
    <mergeCell ref="G54:J54"/>
    <mergeCell ref="N54:P54"/>
    <mergeCell ref="G55:J55"/>
    <mergeCell ref="N55:P55"/>
    <mergeCell ref="G62:J62"/>
    <mergeCell ref="N62:P62"/>
    <mergeCell ref="G63:J63"/>
    <mergeCell ref="N63:P63"/>
    <mergeCell ref="G64:J64"/>
    <mergeCell ref="N64:P64"/>
    <mergeCell ref="G59:J59"/>
    <mergeCell ref="N59:P59"/>
    <mergeCell ref="G60:J60"/>
    <mergeCell ref="N60:P60"/>
    <mergeCell ref="G61:J61"/>
    <mergeCell ref="N61:P61"/>
    <mergeCell ref="G68:J68"/>
    <mergeCell ref="N68:P68"/>
    <mergeCell ref="G69:J69"/>
    <mergeCell ref="N69:P69"/>
    <mergeCell ref="G70:J70"/>
    <mergeCell ref="N70:P70"/>
    <mergeCell ref="G65:J65"/>
    <mergeCell ref="N65:P65"/>
    <mergeCell ref="G66:J66"/>
    <mergeCell ref="N66:P66"/>
    <mergeCell ref="G67:J67"/>
    <mergeCell ref="N67:P67"/>
    <mergeCell ref="G71:J71"/>
    <mergeCell ref="N71:P71"/>
    <mergeCell ref="G72:J72"/>
    <mergeCell ref="G73:J73"/>
    <mergeCell ref="G74:J74"/>
    <mergeCell ref="N74:P74"/>
    <mergeCell ref="N72:P72"/>
    <mergeCell ref="N73:P73"/>
    <mergeCell ref="N76:P76"/>
    <mergeCell ref="G83:J83"/>
    <mergeCell ref="G84:J84"/>
    <mergeCell ref="G85:J85"/>
    <mergeCell ref="N85:P85"/>
    <mergeCell ref="G86:J86"/>
    <mergeCell ref="N86:P86"/>
    <mergeCell ref="G82:J82"/>
    <mergeCell ref="G75:J75"/>
    <mergeCell ref="N75:P75"/>
    <mergeCell ref="G76:J76"/>
    <mergeCell ref="G77:J77"/>
    <mergeCell ref="G78:J78"/>
    <mergeCell ref="G79:J79"/>
    <mergeCell ref="G80:J80"/>
    <mergeCell ref="N80:P80"/>
    <mergeCell ref="G81:J81"/>
    <mergeCell ref="G90:J90"/>
    <mergeCell ref="N90:P90"/>
    <mergeCell ref="G100:J100"/>
    <mergeCell ref="N100:P100"/>
    <mergeCell ref="N96:P96"/>
    <mergeCell ref="N98:P98"/>
    <mergeCell ref="G96:J96"/>
    <mergeCell ref="G87:J87"/>
    <mergeCell ref="N87:P87"/>
    <mergeCell ref="G88:J88"/>
    <mergeCell ref="N88:P88"/>
    <mergeCell ref="G89:J89"/>
    <mergeCell ref="N89:P89"/>
    <mergeCell ref="G95:J95"/>
    <mergeCell ref="N95:P95"/>
    <mergeCell ref="G94:J94"/>
    <mergeCell ref="N94:P94"/>
    <mergeCell ref="G91:J91"/>
    <mergeCell ref="N91:P91"/>
    <mergeCell ref="G92:J92"/>
    <mergeCell ref="N92:P92"/>
    <mergeCell ref="G93:J93"/>
    <mergeCell ref="N93:P93"/>
    <mergeCell ref="G103:J103"/>
    <mergeCell ref="N103:P103"/>
    <mergeCell ref="G101:J101"/>
    <mergeCell ref="N101:P101"/>
    <mergeCell ref="G111:J111"/>
    <mergeCell ref="N111:P111"/>
    <mergeCell ref="G110:J110"/>
    <mergeCell ref="N110:P110"/>
    <mergeCell ref="G109:J109"/>
    <mergeCell ref="N109:P109"/>
    <mergeCell ref="G114:J114"/>
    <mergeCell ref="N114:P114"/>
    <mergeCell ref="G113:J113"/>
    <mergeCell ref="N113:P113"/>
    <mergeCell ref="G112:J112"/>
    <mergeCell ref="N112:P112"/>
    <mergeCell ref="G107:J107"/>
    <mergeCell ref="N107:P107"/>
    <mergeCell ref="G108:J108"/>
    <mergeCell ref="N108:P10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AK180"/>
  <sheetViews>
    <sheetView view="pageBreakPreview" topLeftCell="B70" zoomScale="80" zoomScaleNormal="100" zoomScaleSheetLayoutView="80" workbookViewId="0">
      <selection activeCell="X142" sqref="X142"/>
    </sheetView>
  </sheetViews>
  <sheetFormatPr defaultColWidth="9.21875" defaultRowHeight="13.2"/>
  <cols>
    <col min="1" max="1" width="0" style="9" hidden="1" customWidth="1"/>
    <col min="2" max="2" width="8.6640625" style="9" customWidth="1"/>
    <col min="3" max="3" width="9.88671875" style="9" customWidth="1"/>
    <col min="4" max="4" width="9.21875" style="9" bestFit="1" customWidth="1"/>
    <col min="5" max="5" width="9.21875" style="9" customWidth="1"/>
    <col min="6" max="6" width="9.21875" style="9" bestFit="1" customWidth="1"/>
    <col min="7" max="8" width="9.21875" style="9"/>
    <col min="9" max="22" width="9.21875" style="9" customWidth="1"/>
    <col min="23" max="23" width="12.5546875" style="9" customWidth="1"/>
    <col min="24" max="28" width="9.21875" style="9" customWidth="1"/>
    <col min="29" max="31" width="9.21875" style="9"/>
    <col min="32" max="33" width="7.6640625" style="9" customWidth="1"/>
    <col min="34" max="42" width="9.21875" style="9"/>
    <col min="43" max="46" width="9.21875" style="9" customWidth="1"/>
    <col min="47" max="16384" width="9.21875" style="9"/>
  </cols>
  <sheetData>
    <row r="1" spans="1:37" ht="3.75" customHeight="1" thickBot="1">
      <c r="A1" s="126"/>
      <c r="B1" s="37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38"/>
    </row>
    <row r="2" spans="1:37" s="46" customFormat="1" ht="23.4" thickBot="1">
      <c r="A2" s="127"/>
      <c r="B2" s="949" t="s">
        <v>235</v>
      </c>
      <c r="C2" s="950"/>
      <c r="D2" s="950"/>
      <c r="E2" s="950"/>
      <c r="F2" s="950"/>
      <c r="G2" s="950"/>
      <c r="H2" s="950"/>
      <c r="I2" s="950"/>
      <c r="J2" s="950"/>
      <c r="K2" s="950"/>
      <c r="L2" s="950"/>
      <c r="M2" s="950"/>
      <c r="N2" s="950"/>
      <c r="O2" s="950"/>
      <c r="P2" s="950"/>
      <c r="Q2" s="950"/>
      <c r="R2" s="950"/>
      <c r="S2" s="950"/>
      <c r="T2" s="950"/>
      <c r="U2" s="950"/>
      <c r="V2" s="950"/>
      <c r="W2" s="200"/>
    </row>
    <row r="3" spans="1:37" s="205" customFormat="1" ht="13.95" customHeight="1" thickBot="1">
      <c r="A3" s="368"/>
      <c r="B3" s="933" t="s">
        <v>435</v>
      </c>
      <c r="C3" s="934"/>
      <c r="D3" s="934"/>
      <c r="E3" s="934"/>
      <c r="F3" s="934"/>
      <c r="G3" s="934"/>
      <c r="H3" s="934"/>
      <c r="I3" s="934"/>
      <c r="J3" s="934"/>
      <c r="K3" s="934"/>
      <c r="L3" s="934"/>
      <c r="M3" s="934"/>
      <c r="N3" s="934"/>
      <c r="O3" s="934"/>
      <c r="P3" s="934"/>
      <c r="Q3" s="935"/>
      <c r="R3" s="128"/>
      <c r="S3" s="201"/>
      <c r="T3" s="202"/>
      <c r="U3" s="922"/>
      <c r="V3" s="922"/>
      <c r="W3" s="10"/>
      <c r="AA3" s="369"/>
    </row>
    <row r="4" spans="1:37" s="205" customFormat="1" ht="13.95" customHeight="1" thickBot="1">
      <c r="A4" s="368"/>
      <c r="B4" s="936" t="s">
        <v>436</v>
      </c>
      <c r="C4" s="937"/>
      <c r="D4" s="937"/>
      <c r="E4" s="937"/>
      <c r="F4" s="937"/>
      <c r="G4" s="937"/>
      <c r="H4" s="937"/>
      <c r="I4" s="937"/>
      <c r="J4" s="937"/>
      <c r="K4" s="937"/>
      <c r="L4" s="937"/>
      <c r="M4" s="937"/>
      <c r="N4" s="937"/>
      <c r="O4" s="937"/>
      <c r="P4" s="937"/>
      <c r="Q4" s="938"/>
      <c r="R4" s="128"/>
      <c r="S4" s="128"/>
      <c r="T4" s="128"/>
      <c r="U4" s="128"/>
      <c r="V4" s="203"/>
      <c r="W4" s="40"/>
    </row>
    <row r="5" spans="1:37" s="205" customFormat="1" ht="13.95" customHeight="1" thickBot="1">
      <c r="A5" s="368"/>
      <c r="B5" s="159" t="s">
        <v>437</v>
      </c>
      <c r="C5" s="939" t="s">
        <v>371</v>
      </c>
      <c r="D5" s="939"/>
      <c r="E5" s="939"/>
      <c r="F5" s="939"/>
      <c r="G5" s="939" t="s">
        <v>438</v>
      </c>
      <c r="H5" s="939"/>
      <c r="I5" s="939" t="s">
        <v>439</v>
      </c>
      <c r="J5" s="939"/>
      <c r="K5" s="939"/>
      <c r="L5" s="939" t="s">
        <v>55</v>
      </c>
      <c r="M5" s="939"/>
      <c r="N5" s="939"/>
      <c r="O5" s="939" t="s">
        <v>57</v>
      </c>
      <c r="P5" s="939"/>
      <c r="Q5" s="940"/>
      <c r="R5" s="128"/>
      <c r="S5" s="201"/>
      <c r="T5" s="202"/>
      <c r="U5" s="922"/>
      <c r="V5" s="922"/>
      <c r="W5" s="10"/>
      <c r="AA5" s="369"/>
    </row>
    <row r="6" spans="1:37" s="205" customFormat="1" ht="13.95" customHeight="1">
      <c r="A6" s="368"/>
      <c r="B6" s="160">
        <v>1</v>
      </c>
      <c r="C6" s="941" t="s">
        <v>392</v>
      </c>
      <c r="D6" s="941"/>
      <c r="E6" s="941"/>
      <c r="F6" s="941"/>
      <c r="G6" s="941" t="s">
        <v>108</v>
      </c>
      <c r="H6" s="941"/>
      <c r="I6" s="941">
        <v>47.84</v>
      </c>
      <c r="J6" s="941"/>
      <c r="K6" s="941"/>
      <c r="L6" s="941">
        <v>47.84</v>
      </c>
      <c r="M6" s="941"/>
      <c r="N6" s="941"/>
      <c r="O6" s="941">
        <f t="shared" ref="O6:O12" si="0">I6-L6</f>
        <v>0</v>
      </c>
      <c r="P6" s="941"/>
      <c r="Q6" s="942"/>
      <c r="R6" s="128"/>
      <c r="S6" s="128"/>
      <c r="T6" s="128"/>
      <c r="U6" s="128"/>
      <c r="V6" s="203"/>
      <c r="W6" s="40"/>
    </row>
    <row r="7" spans="1:37" s="205" customFormat="1" ht="13.95" customHeight="1">
      <c r="A7" s="368"/>
      <c r="B7" s="161">
        <v>2</v>
      </c>
      <c r="C7" s="931" t="s">
        <v>237</v>
      </c>
      <c r="D7" s="931"/>
      <c r="E7" s="931"/>
      <c r="F7" s="931"/>
      <c r="G7" s="931" t="s">
        <v>108</v>
      </c>
      <c r="H7" s="931"/>
      <c r="I7" s="941">
        <v>47.84</v>
      </c>
      <c r="J7" s="941"/>
      <c r="K7" s="941"/>
      <c r="L7" s="941">
        <v>47.84</v>
      </c>
      <c r="M7" s="941"/>
      <c r="N7" s="941"/>
      <c r="O7" s="931">
        <f t="shared" si="0"/>
        <v>0</v>
      </c>
      <c r="P7" s="931"/>
      <c r="Q7" s="932"/>
      <c r="R7" s="128"/>
      <c r="S7" s="201"/>
      <c r="T7" s="202"/>
      <c r="U7" s="922"/>
      <c r="V7" s="922"/>
      <c r="W7" s="10"/>
      <c r="AA7" s="369"/>
    </row>
    <row r="8" spans="1:37" s="205" customFormat="1" ht="13.95" customHeight="1">
      <c r="A8" s="368"/>
      <c r="B8" s="161">
        <v>3</v>
      </c>
      <c r="C8" s="931" t="s">
        <v>101</v>
      </c>
      <c r="D8" s="931"/>
      <c r="E8" s="931"/>
      <c r="F8" s="931"/>
      <c r="G8" s="931" t="s">
        <v>107</v>
      </c>
      <c r="H8" s="931"/>
      <c r="I8" s="931">
        <v>127</v>
      </c>
      <c r="J8" s="931"/>
      <c r="K8" s="931"/>
      <c r="L8" s="931">
        <v>126</v>
      </c>
      <c r="M8" s="931"/>
      <c r="N8" s="931"/>
      <c r="O8" s="931">
        <f t="shared" si="0"/>
        <v>1</v>
      </c>
      <c r="P8" s="931"/>
      <c r="Q8" s="932"/>
      <c r="R8" s="128"/>
      <c r="S8" s="128" t="s">
        <v>858</v>
      </c>
      <c r="T8" s="943">
        <f>'MASTER SHEET'!E1</f>
        <v>46035</v>
      </c>
      <c r="U8" s="944"/>
      <c r="V8" s="203"/>
      <c r="W8" s="40"/>
    </row>
    <row r="9" spans="1:37" s="205" customFormat="1" ht="13.95" customHeight="1">
      <c r="A9" s="368"/>
      <c r="B9" s="161">
        <v>4</v>
      </c>
      <c r="C9" s="931" t="s">
        <v>102</v>
      </c>
      <c r="D9" s="931"/>
      <c r="E9" s="931"/>
      <c r="F9" s="931"/>
      <c r="G9" s="931" t="s">
        <v>107</v>
      </c>
      <c r="H9" s="931"/>
      <c r="I9" s="931">
        <v>127</v>
      </c>
      <c r="J9" s="931"/>
      <c r="K9" s="931"/>
      <c r="L9" s="931">
        <v>123</v>
      </c>
      <c r="M9" s="931"/>
      <c r="N9" s="931"/>
      <c r="O9" s="931">
        <f t="shared" si="0"/>
        <v>4</v>
      </c>
      <c r="P9" s="931"/>
      <c r="Q9" s="932"/>
      <c r="R9" s="128"/>
      <c r="S9" s="201"/>
      <c r="T9" s="202"/>
      <c r="U9" s="922"/>
      <c r="V9" s="922"/>
      <c r="W9" s="10"/>
      <c r="AA9" s="369"/>
    </row>
    <row r="10" spans="1:37" s="205" customFormat="1" ht="13.95" customHeight="1">
      <c r="A10" s="368"/>
      <c r="B10" s="161">
        <v>5</v>
      </c>
      <c r="C10" s="931" t="s">
        <v>103</v>
      </c>
      <c r="D10" s="931"/>
      <c r="E10" s="931"/>
      <c r="F10" s="931"/>
      <c r="G10" s="931" t="s">
        <v>107</v>
      </c>
      <c r="H10" s="931"/>
      <c r="I10" s="931">
        <v>127</v>
      </c>
      <c r="J10" s="931"/>
      <c r="K10" s="931"/>
      <c r="L10" s="931">
        <v>111</v>
      </c>
      <c r="M10" s="931"/>
      <c r="N10" s="931"/>
      <c r="O10" s="931">
        <f t="shared" si="0"/>
        <v>16</v>
      </c>
      <c r="P10" s="931"/>
      <c r="Q10" s="932"/>
      <c r="R10" s="128"/>
      <c r="S10" s="128"/>
      <c r="T10" s="128"/>
      <c r="U10" s="128"/>
      <c r="V10" s="203"/>
      <c r="W10" s="40"/>
    </row>
    <row r="11" spans="1:37" s="205" customFormat="1" ht="13.95" customHeight="1">
      <c r="A11" s="368"/>
      <c r="B11" s="161">
        <v>7</v>
      </c>
      <c r="C11" s="931" t="s">
        <v>440</v>
      </c>
      <c r="D11" s="931"/>
      <c r="E11" s="931"/>
      <c r="F11" s="931"/>
      <c r="G11" s="931" t="s">
        <v>108</v>
      </c>
      <c r="H11" s="931"/>
      <c r="I11" s="931">
        <v>47.84</v>
      </c>
      <c r="J11" s="931"/>
      <c r="K11" s="931"/>
      <c r="L11" s="951">
        <f>S175</f>
        <v>12.948920999999999</v>
      </c>
      <c r="M11" s="951"/>
      <c r="N11" s="951"/>
      <c r="O11" s="951">
        <f t="shared" si="0"/>
        <v>34.891079000000005</v>
      </c>
      <c r="P11" s="951"/>
      <c r="Q11" s="952"/>
      <c r="R11" s="128"/>
      <c r="T11" s="203" t="s">
        <v>441</v>
      </c>
      <c r="U11" s="417">
        <f>(W17+W26+W37+W46+W55+W65+W74+W83+W92+W101+W110+W119+W129+W139)/1000</f>
        <v>47.835704</v>
      </c>
      <c r="W11" s="40"/>
    </row>
    <row r="12" spans="1:37" s="205" customFormat="1" ht="13.95" customHeight="1" thickBot="1">
      <c r="A12" s="368"/>
      <c r="B12" s="149">
        <v>8</v>
      </c>
      <c r="C12" s="920" t="s">
        <v>442</v>
      </c>
      <c r="D12" s="920"/>
      <c r="E12" s="920"/>
      <c r="F12" s="920"/>
      <c r="G12" s="920" t="s">
        <v>107</v>
      </c>
      <c r="H12" s="920"/>
      <c r="I12" s="920">
        <v>47.84</v>
      </c>
      <c r="J12" s="920"/>
      <c r="K12" s="920"/>
      <c r="L12" s="920">
        <v>12.95</v>
      </c>
      <c r="M12" s="920"/>
      <c r="N12" s="920"/>
      <c r="O12" s="920">
        <f t="shared" si="0"/>
        <v>34.89</v>
      </c>
      <c r="P12" s="920"/>
      <c r="Q12" s="948"/>
      <c r="R12" s="128"/>
      <c r="S12" s="128"/>
      <c r="T12" s="128"/>
      <c r="U12" s="128"/>
      <c r="V12" s="203"/>
      <c r="W12" s="40"/>
    </row>
    <row r="13" spans="1:37" ht="2.5499999999999998" customHeight="1" thickBot="1">
      <c r="A13" s="11"/>
      <c r="B13" s="908"/>
      <c r="C13" s="909"/>
      <c r="D13" s="909"/>
      <c r="E13" s="909"/>
      <c r="F13" s="909"/>
      <c r="G13" s="909"/>
      <c r="H13" s="909"/>
      <c r="I13" s="909"/>
      <c r="J13" s="909"/>
      <c r="K13" s="909"/>
      <c r="L13" s="909"/>
      <c r="M13" s="909"/>
      <c r="N13" s="909"/>
      <c r="O13" s="909"/>
      <c r="P13" s="909"/>
      <c r="Q13" s="909"/>
      <c r="R13" s="909"/>
      <c r="S13" s="909"/>
      <c r="T13" s="909"/>
      <c r="U13" s="909"/>
      <c r="V13" s="909"/>
      <c r="W13" s="910"/>
      <c r="AK13" s="9" t="s">
        <v>98</v>
      </c>
    </row>
    <row r="14" spans="1:37" ht="13.8">
      <c r="A14" s="11"/>
      <c r="B14" s="908" t="s">
        <v>195</v>
      </c>
      <c r="C14" s="909"/>
      <c r="D14" s="909"/>
      <c r="E14" s="909"/>
      <c r="F14" s="909"/>
      <c r="G14" s="909"/>
      <c r="H14" s="909"/>
      <c r="I14" s="909"/>
      <c r="J14" s="909"/>
      <c r="K14" s="909"/>
      <c r="L14" s="909"/>
      <c r="M14" s="909"/>
      <c r="N14" s="909"/>
      <c r="O14" s="909"/>
      <c r="P14" s="909"/>
      <c r="Q14" s="909"/>
      <c r="R14" s="909"/>
      <c r="S14" s="909"/>
      <c r="T14" s="909"/>
      <c r="U14" s="909"/>
      <c r="V14" s="909"/>
      <c r="W14" s="910"/>
    </row>
    <row r="15" spans="1:37" ht="18" customHeight="1">
      <c r="A15" s="11"/>
      <c r="B15" s="11"/>
      <c r="D15" s="204" t="s">
        <v>205</v>
      </c>
      <c r="E15" s="205"/>
      <c r="F15" s="205"/>
      <c r="G15" s="206" t="s">
        <v>474</v>
      </c>
      <c r="H15" s="205"/>
      <c r="I15" s="206" t="s">
        <v>250</v>
      </c>
      <c r="K15" s="206" t="s">
        <v>251</v>
      </c>
      <c r="M15" s="206" t="s">
        <v>252</v>
      </c>
      <c r="P15" s="204" t="s">
        <v>206</v>
      </c>
      <c r="R15" s="207"/>
      <c r="S15" s="206" t="s">
        <v>255</v>
      </c>
      <c r="T15" s="207"/>
      <c r="U15" s="206" t="s">
        <v>256</v>
      </c>
      <c r="V15" s="208"/>
      <c r="W15" s="12"/>
    </row>
    <row r="16" spans="1:37" ht="16.2" customHeight="1">
      <c r="A16" s="11"/>
      <c r="B16" s="30"/>
      <c r="C16" s="209" t="s">
        <v>248</v>
      </c>
      <c r="E16" s="209" t="s">
        <v>249</v>
      </c>
      <c r="F16" s="210"/>
      <c r="G16" s="209"/>
      <c r="H16" s="210"/>
      <c r="I16" s="209"/>
      <c r="J16" s="210"/>
      <c r="K16" s="209"/>
      <c r="L16" s="210"/>
      <c r="M16" s="209"/>
      <c r="N16" s="210"/>
      <c r="O16" s="209" t="s">
        <v>253</v>
      </c>
      <c r="P16" s="210"/>
      <c r="Q16" s="209" t="s">
        <v>254</v>
      </c>
      <c r="R16" s="210" t="s">
        <v>240</v>
      </c>
      <c r="S16" s="209"/>
      <c r="T16" s="211"/>
      <c r="U16" s="212"/>
      <c r="V16" s="41"/>
      <c r="W16" s="12"/>
      <c r="X16" s="9" t="s">
        <v>63</v>
      </c>
      <c r="Y16" s="9" t="s">
        <v>92</v>
      </c>
      <c r="Z16" s="9" t="s">
        <v>64</v>
      </c>
      <c r="AA16" s="20" t="s">
        <v>106</v>
      </c>
      <c r="AB16" s="9" t="s">
        <v>62</v>
      </c>
    </row>
    <row r="17" spans="1:29" s="31" customFormat="1" ht="13.8" thickBot="1">
      <c r="A17" s="61"/>
      <c r="B17" s="61"/>
      <c r="D17" s="31">
        <f>VLOOKUP(C20,[18]TS!$B$10:$D$253,3,0)</f>
        <v>249.63499999999999</v>
      </c>
      <c r="E17" s="213"/>
      <c r="F17" s="31">
        <f>VLOOKUP(E20,[18]TS!$B$10:$D$253,3,0)</f>
        <v>425</v>
      </c>
      <c r="G17" s="213"/>
      <c r="H17" s="31">
        <f>VLOOKUP(G20,[18]TS!$B$10:$D$253,3,0)</f>
        <v>425</v>
      </c>
      <c r="J17" s="31">
        <f>VLOOKUP(I20,[18]TS!$B$10:$D$253,3,0)</f>
        <v>390</v>
      </c>
      <c r="K17" s="213"/>
      <c r="L17" s="31">
        <f>VLOOKUP(K20,[18]TS!$B$10:$D$253,3,0)</f>
        <v>265</v>
      </c>
      <c r="N17" s="31">
        <f>VLOOKUP(M20,[18]TS!$B$10:$D$253,3,0)</f>
        <v>510</v>
      </c>
      <c r="P17" s="31">
        <f>VLOOKUP(O20,[18]TS!$B$10:$D$253,3,0)</f>
        <v>380</v>
      </c>
      <c r="R17" s="31">
        <f>VLOOKUP(Q20,[18]TS!$B$10:$D$253,3,0)</f>
        <v>420</v>
      </c>
      <c r="T17" s="31">
        <f>VLOOKUP(S20,[18]TS!$B$10:$D$253,3,0)</f>
        <v>335</v>
      </c>
      <c r="V17" s="31">
        <f>VLOOKUP(U20,[18]TS!$B$10:$D$253,3,0)</f>
        <v>345</v>
      </c>
      <c r="W17" s="62">
        <f>SUM(D17:V17)</f>
        <v>3744.6350000000002</v>
      </c>
    </row>
    <row r="18" spans="1:29" s="31" customFormat="1" ht="13.8" thickBot="1">
      <c r="A18" s="61">
        <v>1</v>
      </c>
      <c r="B18" s="61"/>
      <c r="C18" s="163" t="s">
        <v>239</v>
      </c>
      <c r="E18" s="163" t="s">
        <v>239</v>
      </c>
      <c r="F18" s="214"/>
      <c r="G18" s="163" t="s">
        <v>239</v>
      </c>
      <c r="H18" s="214"/>
      <c r="I18" s="163" t="s">
        <v>655</v>
      </c>
      <c r="J18" s="214"/>
      <c r="K18" s="163" t="s">
        <v>655</v>
      </c>
      <c r="M18" s="163" t="s">
        <v>655</v>
      </c>
      <c r="O18" s="163" t="s">
        <v>239</v>
      </c>
      <c r="Q18" s="163" t="s">
        <v>239</v>
      </c>
      <c r="S18" s="163" t="s">
        <v>239</v>
      </c>
      <c r="U18" s="163" t="s">
        <v>239</v>
      </c>
      <c r="W18" s="64"/>
      <c r="X18" s="31">
        <v>10</v>
      </c>
      <c r="Y18" s="31">
        <v>10</v>
      </c>
      <c r="Z18" s="31">
        <v>10</v>
      </c>
      <c r="AA18" s="31">
        <v>0</v>
      </c>
      <c r="AB18" s="31">
        <v>0</v>
      </c>
      <c r="AC18" s="31" t="s">
        <v>65</v>
      </c>
    </row>
    <row r="19" spans="1:29" s="31" customFormat="1" ht="13.8" thickBot="1">
      <c r="A19" s="61"/>
      <c r="B19" s="61"/>
      <c r="C19" s="269"/>
      <c r="E19" s="192"/>
      <c r="G19" s="269"/>
      <c r="I19" s="192"/>
      <c r="K19" s="192"/>
      <c r="M19" s="192"/>
      <c r="O19" s="269"/>
      <c r="Q19" s="269"/>
      <c r="R19" s="121"/>
      <c r="S19" s="269"/>
      <c r="T19" s="121"/>
      <c r="U19" s="269"/>
      <c r="V19" s="121"/>
      <c r="W19" s="64"/>
      <c r="X19" s="31">
        <v>0</v>
      </c>
      <c r="Y19" s="31">
        <f>COUNTIF($B$19:$U$19,"WIP")</f>
        <v>0</v>
      </c>
      <c r="Z19" s="31">
        <v>0</v>
      </c>
      <c r="AA19" s="31">
        <v>0</v>
      </c>
      <c r="AB19" s="31">
        <v>0</v>
      </c>
      <c r="AC19" s="31" t="s">
        <v>56</v>
      </c>
    </row>
    <row r="20" spans="1:29" s="31" customFormat="1">
      <c r="A20" s="61"/>
      <c r="B20" s="61"/>
      <c r="C20" s="31" t="s">
        <v>23</v>
      </c>
      <c r="E20" s="215" t="s">
        <v>24</v>
      </c>
      <c r="F20" s="215"/>
      <c r="G20" s="215" t="s">
        <v>117</v>
      </c>
      <c r="H20" s="215"/>
      <c r="I20" s="215" t="s">
        <v>118</v>
      </c>
      <c r="J20" s="215"/>
      <c r="K20" s="215" t="s">
        <v>119</v>
      </c>
      <c r="L20" s="215"/>
      <c r="M20" s="215" t="s">
        <v>120</v>
      </c>
      <c r="N20" s="215"/>
      <c r="O20" s="215" t="s">
        <v>121</v>
      </c>
      <c r="P20" s="215"/>
      <c r="Q20" s="215" t="s">
        <v>122</v>
      </c>
      <c r="R20" s="215"/>
      <c r="S20" s="215" t="s">
        <v>123</v>
      </c>
      <c r="T20" s="215"/>
      <c r="U20" s="215" t="s">
        <v>124</v>
      </c>
      <c r="W20" s="64"/>
      <c r="X20" s="31">
        <f>COUNTIF($C$18:$U$18,"ROW")</f>
        <v>0</v>
      </c>
      <c r="Y20" s="31">
        <f>COUNTIF($B$19:$U$19,"ROW")</f>
        <v>0</v>
      </c>
      <c r="Z20" s="31">
        <v>0</v>
      </c>
      <c r="AA20" s="31">
        <v>0</v>
      </c>
      <c r="AB20" s="31">
        <v>0</v>
      </c>
      <c r="AC20" s="31" t="s">
        <v>61</v>
      </c>
    </row>
    <row r="21" spans="1:29" s="31" customFormat="1">
      <c r="A21" s="61"/>
      <c r="B21" s="61"/>
      <c r="C21" s="216" t="s">
        <v>115</v>
      </c>
      <c r="E21" s="216" t="s">
        <v>116</v>
      </c>
      <c r="G21" s="216" t="str">
        <f>VLOOKUP(G20,[18]TS!$B$10:$D$253,2,0)</f>
        <v>1DA-3</v>
      </c>
      <c r="I21" s="216" t="str">
        <f>VLOOKUP(I20,[18]TS!$B$10:$D$253,2,0)</f>
        <v>1DA+6</v>
      </c>
      <c r="K21" s="216" t="str">
        <f>VLOOKUP(K20,[18]TS!$B$10:$D$253,2,0)</f>
        <v>1DA+9</v>
      </c>
      <c r="M21" s="216" t="str">
        <f>VLOOKUP(M20,[18]TS!$B$10:$D$253,2,0)</f>
        <v>1DA+3</v>
      </c>
      <c r="O21" s="216" t="str">
        <f>VLOOKUP(O20,[18]TS!$B$10:$D$253,2,0)</f>
        <v>1DB1+9</v>
      </c>
      <c r="Q21" s="216" t="str">
        <f>VLOOKUP(Q20,[18]TS!$B$10:$D$253,2,0)</f>
        <v>1DB1+9</v>
      </c>
      <c r="S21" s="216" t="str">
        <f>VLOOKUP(S20,[18]TS!$B$10:$D$253,2,0)</f>
        <v>1DA-3</v>
      </c>
      <c r="U21" s="216" t="str">
        <f>VLOOKUP(U20,[18]TS!$B$10:$D$253,2,0)</f>
        <v>1DA-3</v>
      </c>
      <c r="W21" s="64"/>
      <c r="Y21" s="31">
        <f>X18-Y18-Y19-Y20</f>
        <v>0</v>
      </c>
      <c r="Z21" s="31">
        <f>X18-Z18-Z19-Z20</f>
        <v>0</v>
      </c>
      <c r="AA21" s="31">
        <f>Z18-AA19-AA20-AA18</f>
        <v>10</v>
      </c>
      <c r="AC21" s="31" t="s">
        <v>95</v>
      </c>
    </row>
    <row r="22" spans="1:29" s="105" customFormat="1" ht="13.5" customHeight="1">
      <c r="A22" s="104"/>
      <c r="B22" s="108"/>
      <c r="C22" s="929">
        <f>(D17)/1000</f>
        <v>0.249635</v>
      </c>
      <c r="D22" s="929"/>
      <c r="E22" s="929"/>
      <c r="F22" s="913"/>
      <c r="G22" s="913"/>
      <c r="H22" s="913"/>
      <c r="I22" s="913"/>
      <c r="J22" s="913"/>
      <c r="K22" s="913"/>
      <c r="L22" s="913"/>
      <c r="M22" s="913"/>
      <c r="N22" s="913"/>
      <c r="O22" s="913"/>
      <c r="P22" s="913"/>
      <c r="Q22" s="913"/>
      <c r="R22" s="913"/>
      <c r="S22" s="913"/>
      <c r="T22" s="913"/>
      <c r="U22" s="913"/>
      <c r="V22" s="913"/>
      <c r="W22" s="129"/>
    </row>
    <row r="23" spans="1:29" s="31" customFormat="1" ht="11.55" customHeight="1">
      <c r="A23" s="61"/>
      <c r="B23" s="61"/>
      <c r="D23" s="911" t="s">
        <v>197</v>
      </c>
      <c r="E23" s="911"/>
      <c r="F23" s="911"/>
      <c r="G23" s="218"/>
      <c r="H23" s="218"/>
      <c r="J23" s="217" t="s">
        <v>198</v>
      </c>
      <c r="P23" s="218"/>
      <c r="Q23" s="218"/>
      <c r="R23" s="218"/>
      <c r="S23" s="924" t="s">
        <v>199</v>
      </c>
      <c r="T23" s="924"/>
      <c r="U23" s="924"/>
      <c r="W23" s="64"/>
    </row>
    <row r="24" spans="1:29" s="31" customFormat="1" ht="15.6" customHeight="1">
      <c r="A24" s="61"/>
      <c r="B24" s="65"/>
      <c r="C24" s="206" t="s">
        <v>257</v>
      </c>
      <c r="E24" s="206" t="s">
        <v>258</v>
      </c>
      <c r="G24" s="206" t="s">
        <v>259</v>
      </c>
      <c r="I24" s="206" t="s">
        <v>260</v>
      </c>
      <c r="K24" s="206" t="s">
        <v>261</v>
      </c>
      <c r="W24" s="64"/>
    </row>
    <row r="25" spans="1:29" s="31" customFormat="1" ht="16.95" customHeight="1">
      <c r="A25" s="61"/>
      <c r="B25" s="61"/>
      <c r="D25" s="210" t="s">
        <v>626</v>
      </c>
      <c r="W25" s="64"/>
      <c r="X25" s="9" t="s">
        <v>63</v>
      </c>
      <c r="Y25" s="9" t="s">
        <v>92</v>
      </c>
      <c r="Z25" s="9" t="s">
        <v>64</v>
      </c>
      <c r="AA25" s="20" t="s">
        <v>106</v>
      </c>
      <c r="AB25" s="9" t="s">
        <v>62</v>
      </c>
    </row>
    <row r="26" spans="1:29" s="31" customFormat="1" ht="13.8" thickBot="1">
      <c r="A26" s="61"/>
      <c r="B26" s="61"/>
      <c r="C26" s="213"/>
      <c r="D26" s="31">
        <f>VLOOKUP(C29,[18]TS!$B$10:$D$253,3,0)</f>
        <v>365</v>
      </c>
      <c r="F26" s="31">
        <f>VLOOKUP(E29,[18]TS!$B$10:$D$253,3,0)</f>
        <v>356</v>
      </c>
      <c r="G26" s="213"/>
      <c r="H26" s="31">
        <f>VLOOKUP(G29,[18]TS!$B$10:$D$253,3,0)</f>
        <v>332</v>
      </c>
      <c r="I26" s="213"/>
      <c r="J26" s="31">
        <f>VLOOKUP(I29,[18]TS!$B$10:$D$253,3,0)</f>
        <v>384.42399999999998</v>
      </c>
      <c r="L26" s="31">
        <f>VLOOKUP(K29,[18]TS!$B$10:$D$253,3,0)</f>
        <v>385</v>
      </c>
      <c r="W26" s="62">
        <f>SUM(D26:L26)</f>
        <v>1822.424</v>
      </c>
    </row>
    <row r="27" spans="1:29" s="31" customFormat="1" ht="13.8" thickBot="1">
      <c r="A27" s="61">
        <f>A18+1</f>
        <v>2</v>
      </c>
      <c r="B27" s="61"/>
      <c r="C27" s="163" t="s">
        <v>239</v>
      </c>
      <c r="E27" s="163" t="s">
        <v>239</v>
      </c>
      <c r="G27" s="268" t="s">
        <v>488</v>
      </c>
      <c r="I27" s="163" t="s">
        <v>239</v>
      </c>
      <c r="K27" s="163" t="s">
        <v>239</v>
      </c>
      <c r="W27" s="62"/>
      <c r="X27" s="31">
        <v>5</v>
      </c>
      <c r="Y27" s="31">
        <v>5</v>
      </c>
      <c r="Z27" s="31">
        <v>5</v>
      </c>
      <c r="AA27" s="31">
        <v>0</v>
      </c>
      <c r="AB27" s="31">
        <v>385</v>
      </c>
      <c r="AC27" s="31" t="s">
        <v>65</v>
      </c>
    </row>
    <row r="28" spans="1:29" s="31" customFormat="1" ht="13.8" thickBot="1">
      <c r="A28" s="61"/>
      <c r="B28" s="61"/>
      <c r="C28" s="269"/>
      <c r="E28" s="269"/>
      <c r="G28" s="269"/>
      <c r="I28" s="269"/>
      <c r="K28" s="269"/>
      <c r="W28" s="64"/>
      <c r="X28" s="31">
        <v>0</v>
      </c>
      <c r="Y28" s="31">
        <f>COUNTIF($B$28:$U$28,"WIP")</f>
        <v>0</v>
      </c>
      <c r="Z28" s="31">
        <v>0</v>
      </c>
      <c r="AA28" s="31">
        <v>0</v>
      </c>
      <c r="AB28" s="31">
        <v>0</v>
      </c>
      <c r="AC28" s="31" t="s">
        <v>56</v>
      </c>
    </row>
    <row r="29" spans="1:29" s="31" customFormat="1">
      <c r="A29" s="61"/>
      <c r="B29" s="61"/>
      <c r="C29" s="215" t="s">
        <v>125</v>
      </c>
      <c r="D29" s="215"/>
      <c r="E29" s="215" t="s">
        <v>126</v>
      </c>
      <c r="F29" s="215"/>
      <c r="G29" s="215" t="s">
        <v>127</v>
      </c>
      <c r="H29" s="215"/>
      <c r="I29" s="215" t="s">
        <v>128</v>
      </c>
      <c r="J29" s="215"/>
      <c r="K29" s="215" t="s">
        <v>25</v>
      </c>
      <c r="L29" s="215"/>
      <c r="W29" s="64"/>
      <c r="X29" s="31">
        <f>COUNTIF($C$27:$U$27,"ROW")</f>
        <v>0</v>
      </c>
      <c r="Y29" s="31">
        <f>COUNTIF($B$28:$U$28,"ROW")</f>
        <v>0</v>
      </c>
      <c r="Z29" s="31">
        <f>COUNTIF($C$26:$V$26,"ROW")</f>
        <v>0</v>
      </c>
      <c r="AA29" s="31">
        <v>0</v>
      </c>
      <c r="AB29" s="31">
        <v>0</v>
      </c>
      <c r="AC29" s="31" t="s">
        <v>61</v>
      </c>
    </row>
    <row r="30" spans="1:29" s="31" customFormat="1">
      <c r="A30" s="61"/>
      <c r="B30" s="61"/>
      <c r="C30" s="216" t="str">
        <f>VLOOKUP(C29,[18]TS!$B$10:$D$253,2,0)</f>
        <v>1DA-3</v>
      </c>
      <c r="E30" s="216" t="str">
        <f>VLOOKUP(E29,[18]TS!$B$10:$D$253,2,0)</f>
        <v>1DA+0</v>
      </c>
      <c r="G30" s="216" t="str">
        <f>VLOOKUP(G29,[18]TS!$B$10:$D$253,2,0)</f>
        <v>1DA-3</v>
      </c>
      <c r="I30" s="216" t="str">
        <f>VLOOKUP(I29,[18]TS!$B$10:$D$253,2,0)</f>
        <v>1DA+0</v>
      </c>
      <c r="K30" s="216" t="str">
        <f>VLOOKUP(K29,[18]TS!$B$10:$D$253,2,0)</f>
        <v>1DB1+0</v>
      </c>
      <c r="M30" s="216"/>
      <c r="O30" s="216"/>
      <c r="Q30" s="216"/>
      <c r="S30" s="216"/>
      <c r="U30" s="216"/>
      <c r="W30" s="64"/>
      <c r="Y30" s="31">
        <f>X27-Y27-Y28-Y29</f>
        <v>0</v>
      </c>
      <c r="Z30" s="31">
        <f>X27-Z27-Z28-Z29</f>
        <v>0</v>
      </c>
      <c r="AA30" s="31">
        <f>Z27-AA28-AA29-AA27</f>
        <v>5</v>
      </c>
      <c r="AC30" s="31" t="s">
        <v>95</v>
      </c>
    </row>
    <row r="31" spans="1:29" s="105" customFormat="1" ht="13.5" customHeight="1">
      <c r="A31" s="104"/>
      <c r="B31" s="104"/>
      <c r="C31" s="913">
        <f>(F17+H17+J17+L17+N17+P17+R17+T17+V17+D26+H26+F26+J26)/1000</f>
        <v>4.9324240000000001</v>
      </c>
      <c r="D31" s="913"/>
      <c r="E31" s="913"/>
      <c r="F31" s="913"/>
      <c r="G31" s="913"/>
      <c r="H31" s="913"/>
      <c r="I31" s="913"/>
      <c r="J31" s="913"/>
      <c r="K31" s="913"/>
      <c r="L31" s="109"/>
      <c r="M31" s="219"/>
      <c r="N31" s="219"/>
      <c r="O31" s="219"/>
      <c r="P31" s="928"/>
      <c r="Q31" s="928"/>
      <c r="R31" s="928"/>
      <c r="S31" s="928"/>
      <c r="T31" s="928"/>
      <c r="U31" s="928"/>
      <c r="V31" s="928"/>
      <c r="W31" s="110"/>
    </row>
    <row r="32" spans="1:29" s="31" customFormat="1" ht="15.75" customHeight="1">
      <c r="A32" s="61"/>
      <c r="B32" s="65"/>
      <c r="C32" s="911" t="s">
        <v>199</v>
      </c>
      <c r="D32" s="911"/>
      <c r="E32" s="911"/>
      <c r="O32" s="927"/>
      <c r="P32" s="927"/>
      <c r="Q32" s="927"/>
      <c r="W32" s="64"/>
      <c r="X32" s="9" t="s">
        <v>63</v>
      </c>
      <c r="Y32" s="9" t="s">
        <v>92</v>
      </c>
      <c r="Z32" s="9" t="s">
        <v>64</v>
      </c>
      <c r="AA32" s="20" t="s">
        <v>106</v>
      </c>
      <c r="AB32" s="9" t="s">
        <v>62</v>
      </c>
    </row>
    <row r="33" spans="1:31" s="31" customFormat="1" ht="14.55" customHeight="1" thickBot="1">
      <c r="A33" s="61"/>
      <c r="B33" s="65"/>
      <c r="C33" s="221"/>
      <c r="D33" s="221"/>
      <c r="E33" s="221"/>
      <c r="O33" s="220"/>
      <c r="P33" s="220"/>
      <c r="Q33" s="220"/>
      <c r="W33" s="64"/>
      <c r="X33" s="53">
        <f>X18+X27</f>
        <v>15</v>
      </c>
      <c r="Y33" s="53">
        <f t="shared" ref="Y33:AB36" si="1">Y18+Y27</f>
        <v>15</v>
      </c>
      <c r="Z33" s="53">
        <f t="shared" si="1"/>
        <v>15</v>
      </c>
      <c r="AA33" s="53">
        <f t="shared" si="1"/>
        <v>0</v>
      </c>
      <c r="AB33" s="53">
        <f t="shared" si="1"/>
        <v>385</v>
      </c>
      <c r="AC33" s="39" t="s">
        <v>93</v>
      </c>
    </row>
    <row r="34" spans="1:31" s="31" customFormat="1" ht="13.8">
      <c r="A34" s="61"/>
      <c r="B34" s="908" t="s">
        <v>194</v>
      </c>
      <c r="C34" s="909"/>
      <c r="D34" s="909"/>
      <c r="E34" s="909"/>
      <c r="F34" s="909"/>
      <c r="G34" s="909"/>
      <c r="H34" s="909"/>
      <c r="I34" s="909"/>
      <c r="J34" s="909"/>
      <c r="K34" s="909"/>
      <c r="L34" s="909"/>
      <c r="M34" s="909"/>
      <c r="N34" s="909"/>
      <c r="O34" s="909"/>
      <c r="P34" s="909"/>
      <c r="Q34" s="909"/>
      <c r="R34" s="909"/>
      <c r="S34" s="909"/>
      <c r="T34" s="909"/>
      <c r="U34" s="909"/>
      <c r="V34" s="909"/>
      <c r="W34" s="910"/>
      <c r="X34" s="53">
        <f>X19+X28</f>
        <v>0</v>
      </c>
      <c r="Y34" s="53">
        <f t="shared" si="1"/>
        <v>0</v>
      </c>
      <c r="Z34" s="53">
        <f t="shared" si="1"/>
        <v>0</v>
      </c>
      <c r="AA34" s="53">
        <f t="shared" si="1"/>
        <v>0</v>
      </c>
      <c r="AB34" s="53">
        <f t="shared" si="1"/>
        <v>0</v>
      </c>
      <c r="AC34" s="39" t="s">
        <v>56</v>
      </c>
      <c r="AE34" s="48" t="s">
        <v>196</v>
      </c>
    </row>
    <row r="35" spans="1:31" s="31" customFormat="1">
      <c r="A35" s="61"/>
      <c r="B35" s="65"/>
      <c r="C35" s="206" t="s">
        <v>262</v>
      </c>
      <c r="D35" s="210"/>
      <c r="E35" s="206" t="s">
        <v>263</v>
      </c>
      <c r="F35" s="210"/>
      <c r="G35" s="206" t="s">
        <v>264</v>
      </c>
      <c r="H35" s="210"/>
      <c r="I35" s="206" t="s">
        <v>265</v>
      </c>
      <c r="J35" s="210"/>
      <c r="K35" s="206" t="s">
        <v>266</v>
      </c>
      <c r="L35" s="210"/>
      <c r="M35" s="206" t="s">
        <v>267</v>
      </c>
      <c r="N35" s="210"/>
      <c r="O35" s="206" t="s">
        <v>268</v>
      </c>
      <c r="P35" s="210"/>
      <c r="Q35" s="206" t="s">
        <v>269</v>
      </c>
      <c r="R35" s="210"/>
      <c r="S35" s="206" t="s">
        <v>270</v>
      </c>
      <c r="U35" s="206" t="s">
        <v>271</v>
      </c>
      <c r="W35" s="64"/>
      <c r="X35" s="53">
        <f>X20+X29</f>
        <v>0</v>
      </c>
      <c r="Y35" s="53">
        <f t="shared" si="1"/>
        <v>0</v>
      </c>
      <c r="Z35" s="53">
        <f t="shared" si="1"/>
        <v>0</v>
      </c>
      <c r="AA35" s="53">
        <f t="shared" si="1"/>
        <v>0</v>
      </c>
      <c r="AB35" s="53">
        <f t="shared" si="1"/>
        <v>0</v>
      </c>
      <c r="AC35" s="39" t="s">
        <v>61</v>
      </c>
    </row>
    <row r="36" spans="1:31" s="31" customFormat="1">
      <c r="A36" s="61"/>
      <c r="B36" s="61"/>
      <c r="C36" s="210"/>
      <c r="D36" s="210" t="s">
        <v>242</v>
      </c>
      <c r="E36" s="210"/>
      <c r="F36" s="210"/>
      <c r="G36" s="210"/>
      <c r="H36" s="210"/>
      <c r="I36" s="210"/>
      <c r="J36" s="210"/>
      <c r="K36" s="210"/>
      <c r="L36" s="210"/>
      <c r="M36" s="210"/>
      <c r="N36" s="210"/>
      <c r="O36" s="210"/>
      <c r="P36" s="210"/>
      <c r="Q36" s="210"/>
      <c r="R36" s="210" t="s">
        <v>244</v>
      </c>
      <c r="W36" s="64"/>
      <c r="X36" s="53">
        <f>X21+X30</f>
        <v>0</v>
      </c>
      <c r="Y36" s="53">
        <f t="shared" si="1"/>
        <v>0</v>
      </c>
      <c r="Z36" s="53">
        <f t="shared" si="1"/>
        <v>0</v>
      </c>
      <c r="AA36" s="53">
        <f t="shared" si="1"/>
        <v>15</v>
      </c>
      <c r="AB36" s="53">
        <f t="shared" si="1"/>
        <v>0</v>
      </c>
      <c r="AC36" s="53" t="s">
        <v>95</v>
      </c>
    </row>
    <row r="37" spans="1:31" s="31" customFormat="1" ht="15.6" customHeight="1" thickBot="1">
      <c r="A37" s="61"/>
      <c r="B37" s="61"/>
      <c r="D37" s="31">
        <f>VLOOKUP(C40,[18]TS!$B$10:$D$253,3,0)</f>
        <v>423</v>
      </c>
      <c r="F37" s="31">
        <f>VLOOKUP(E40,[18]TS!$B$10:$D$253,3,0)</f>
        <v>382</v>
      </c>
      <c r="G37" s="213"/>
      <c r="H37" s="31">
        <f>VLOOKUP(G40,[18]TS!$B$10:$D$253,3,0)</f>
        <v>405</v>
      </c>
      <c r="I37" s="213"/>
      <c r="J37" s="31">
        <f>VLOOKUP(I40,[18]TS!$B$10:$D$253,3,0)</f>
        <v>388.45800000000003</v>
      </c>
      <c r="K37" s="213"/>
      <c r="L37" s="31">
        <f>VLOOKUP(K40,[18]TS!$B$10:$D$253,3,0)</f>
        <v>405</v>
      </c>
      <c r="M37" s="213"/>
      <c r="N37" s="31">
        <f>VLOOKUP(M40,[18]TS!$B$10:$D$253,3,0)</f>
        <v>360</v>
      </c>
      <c r="O37" s="213"/>
      <c r="P37" s="31">
        <f>VLOOKUP(O40,[18]TS!$B$10:$D$253,3,0)</f>
        <v>390</v>
      </c>
      <c r="Q37" s="213"/>
      <c r="R37" s="31">
        <f>VLOOKUP(Q40,[18]TS!$B$10:$D$253,3,0)</f>
        <v>325</v>
      </c>
      <c r="S37" s="213"/>
      <c r="T37" s="31">
        <f>VLOOKUP(S40,[18]TS!$B$10:$D$253,3,0)</f>
        <v>430</v>
      </c>
      <c r="V37" s="31">
        <f>VLOOKUP(U40,[18]TS!$B$10:$D$253,3,0)</f>
        <v>298</v>
      </c>
      <c r="W37" s="62">
        <f>SUM(D37:V37)</f>
        <v>3806.4580000000001</v>
      </c>
    </row>
    <row r="38" spans="1:31" s="31" customFormat="1" ht="13.8" thickBot="1">
      <c r="A38" s="61">
        <f>A27+1</f>
        <v>3</v>
      </c>
      <c r="B38" s="61"/>
      <c r="C38" s="163" t="s">
        <v>239</v>
      </c>
      <c r="E38" s="163" t="s">
        <v>239</v>
      </c>
      <c r="G38" s="163" t="s">
        <v>239</v>
      </c>
      <c r="I38" s="163" t="s">
        <v>239</v>
      </c>
      <c r="K38" s="163" t="s">
        <v>239</v>
      </c>
      <c r="M38" s="163" t="s">
        <v>655</v>
      </c>
      <c r="O38" s="163" t="s">
        <v>655</v>
      </c>
      <c r="Q38" s="163" t="s">
        <v>239</v>
      </c>
      <c r="S38" s="163" t="s">
        <v>239</v>
      </c>
      <c r="U38" s="163" t="s">
        <v>655</v>
      </c>
      <c r="W38" s="62"/>
      <c r="X38" s="31">
        <v>10</v>
      </c>
      <c r="Y38" s="31">
        <v>10</v>
      </c>
      <c r="Z38" s="31">
        <v>10</v>
      </c>
      <c r="AA38" s="31">
        <v>0</v>
      </c>
      <c r="AB38" s="31">
        <f>2208+1598.458</f>
        <v>3806.4580000000001</v>
      </c>
      <c r="AC38" s="31" t="s">
        <v>65</v>
      </c>
    </row>
    <row r="39" spans="1:31" s="31" customFormat="1" ht="13.8" thickBot="1">
      <c r="A39" s="61"/>
      <c r="B39" s="61"/>
      <c r="C39" s="192"/>
      <c r="E39" s="269"/>
      <c r="G39" s="192"/>
      <c r="I39" s="192"/>
      <c r="K39" s="269"/>
      <c r="M39" s="269"/>
      <c r="O39" s="269"/>
      <c r="Q39" s="192"/>
      <c r="S39" s="192"/>
      <c r="U39" s="192"/>
      <c r="W39" s="64"/>
      <c r="X39" s="31">
        <v>0</v>
      </c>
      <c r="Y39" s="31">
        <v>0</v>
      </c>
      <c r="Z39" s="31">
        <v>0</v>
      </c>
      <c r="AA39" s="31">
        <v>0</v>
      </c>
      <c r="AB39" s="31">
        <v>0</v>
      </c>
      <c r="AC39" s="31" t="s">
        <v>56</v>
      </c>
    </row>
    <row r="40" spans="1:31">
      <c r="A40" s="11"/>
      <c r="B40" s="11"/>
      <c r="C40" s="222" t="s">
        <v>16</v>
      </c>
      <c r="D40" s="222"/>
      <c r="E40" s="222" t="s">
        <v>17</v>
      </c>
      <c r="F40" s="222"/>
      <c r="G40" s="222" t="s">
        <v>18</v>
      </c>
      <c r="H40" s="222"/>
      <c r="I40" s="222" t="s">
        <v>129</v>
      </c>
      <c r="J40" s="222"/>
      <c r="K40" s="215" t="s">
        <v>26</v>
      </c>
      <c r="L40" s="222"/>
      <c r="M40" s="222" t="s">
        <v>130</v>
      </c>
      <c r="N40" s="222"/>
      <c r="O40" s="222" t="s">
        <v>131</v>
      </c>
      <c r="P40" s="222"/>
      <c r="Q40" s="222" t="s">
        <v>132</v>
      </c>
      <c r="R40" s="222"/>
      <c r="S40" s="222" t="s">
        <v>133</v>
      </c>
      <c r="T40" s="222"/>
      <c r="U40" s="222" t="s">
        <v>134</v>
      </c>
      <c r="W40" s="12"/>
      <c r="X40" s="9">
        <f>COUNTIF($C$38:$U$38,"ROW")</f>
        <v>0</v>
      </c>
      <c r="Y40" s="9">
        <f>COUNTIF($B$39:$U$39,"ROW")</f>
        <v>0</v>
      </c>
      <c r="Z40" s="9">
        <f>COUNTIF($C$37:$V$37,"ROW")</f>
        <v>0</v>
      </c>
      <c r="AA40" s="9">
        <v>0</v>
      </c>
      <c r="AB40" s="9">
        <v>0</v>
      </c>
      <c r="AC40" s="9" t="s">
        <v>61</v>
      </c>
    </row>
    <row r="41" spans="1:31">
      <c r="A41" s="11"/>
      <c r="B41" s="11"/>
      <c r="C41" s="223" t="str">
        <f>VLOOKUP(C40,[18]TS!$B$10:$D$253,2,0)</f>
        <v>1DA+0</v>
      </c>
      <c r="D41" s="31"/>
      <c r="E41" s="223" t="str">
        <f>VLOOKUP(E40,[18]TS!$B$10:$D$253,2,0)</f>
        <v>1DA+0</v>
      </c>
      <c r="G41" s="223" t="str">
        <f>VLOOKUP(G40,[18]TS!$B$10:$D$253,2,0)</f>
        <v>1DA+0</v>
      </c>
      <c r="I41" s="223" t="str">
        <f>VLOOKUP(I40,[18]TS!$B$10:$D$253,2,0)</f>
        <v>1DA+3</v>
      </c>
      <c r="K41" s="223" t="str">
        <f>VLOOKUP(K40,[18]TS!$B$10:$D$253,2,0)</f>
        <v>1DB1+0</v>
      </c>
      <c r="M41" s="223" t="str">
        <f>VLOOKUP(M40,[18]TS!$B$10:$D$253,2,0)</f>
        <v>1DA+3</v>
      </c>
      <c r="O41" s="223" t="str">
        <f>VLOOKUP(O40,[18]TS!$B$10:$D$253,2,0)</f>
        <v>1DA+3</v>
      </c>
      <c r="Q41" s="223" t="str">
        <f>VLOOKUP(Q40,[18]TS!$B$10:$D$253,2,0)</f>
        <v>1DA-3</v>
      </c>
      <c r="S41" s="223" t="str">
        <f>VLOOKUP(S40,[18]TS!$B$10:$D$253,2,0)</f>
        <v>1DA+0</v>
      </c>
      <c r="U41" s="223" t="str">
        <f>VLOOKUP(U40,[18]TS!$B$10:$D$253,2,0)</f>
        <v>1DA+0</v>
      </c>
      <c r="W41" s="12"/>
      <c r="Y41" s="9">
        <f>X38-Y38-Y39-Y40</f>
        <v>0</v>
      </c>
      <c r="Z41" s="9">
        <f>X38-Z38-Z39-Z40</f>
        <v>0</v>
      </c>
      <c r="AA41" s="9">
        <f>Z38-AA39-AA40-AA38</f>
        <v>10</v>
      </c>
      <c r="AC41" s="9" t="s">
        <v>95</v>
      </c>
    </row>
    <row r="42" spans="1:31" s="103" customFormat="1" ht="13.5" customHeight="1">
      <c r="A42" s="107"/>
      <c r="B42" s="107"/>
      <c r="C42" s="925">
        <f>(L26+D37+F37+H37+J37)/1000</f>
        <v>1.9834580000000002</v>
      </c>
      <c r="D42" s="926"/>
      <c r="E42" s="925"/>
      <c r="F42" s="925"/>
      <c r="G42" s="925"/>
      <c r="H42" s="925"/>
      <c r="I42" s="925"/>
      <c r="J42" s="925"/>
      <c r="K42" s="925"/>
      <c r="L42" s="925"/>
      <c r="M42" s="925"/>
      <c r="N42" s="925"/>
      <c r="O42" s="925"/>
      <c r="P42" s="925"/>
      <c r="Q42" s="925"/>
      <c r="R42" s="925"/>
      <c r="S42" s="925"/>
      <c r="T42" s="925"/>
      <c r="U42" s="925"/>
      <c r="V42" s="925"/>
      <c r="W42" s="106"/>
    </row>
    <row r="43" spans="1:31" s="99" customFormat="1" ht="15" customHeight="1" thickBot="1">
      <c r="A43" s="102"/>
      <c r="B43" s="132"/>
      <c r="C43" s="118"/>
      <c r="D43" s="118"/>
      <c r="E43" s="118"/>
      <c r="F43" s="118"/>
      <c r="G43" s="916" t="s">
        <v>200</v>
      </c>
      <c r="H43" s="916"/>
      <c r="I43" s="118"/>
      <c r="J43" s="118"/>
      <c r="K43" s="118"/>
      <c r="L43" s="916"/>
      <c r="M43" s="916"/>
      <c r="N43" s="118"/>
      <c r="O43" s="118"/>
      <c r="P43" s="118"/>
      <c r="Q43" s="224"/>
      <c r="R43" s="224"/>
      <c r="S43" s="224"/>
      <c r="T43" s="916" t="s">
        <v>202</v>
      </c>
      <c r="U43" s="916"/>
      <c r="V43" s="118"/>
      <c r="W43" s="225"/>
    </row>
    <row r="44" spans="1:31" ht="10.95" customHeight="1">
      <c r="A44" s="11"/>
      <c r="B44" s="126"/>
      <c r="C44" s="226" t="s">
        <v>273</v>
      </c>
      <c r="D44" s="227"/>
      <c r="E44" s="226" t="s">
        <v>274</v>
      </c>
      <c r="F44" s="227"/>
      <c r="G44" s="226" t="s">
        <v>275</v>
      </c>
      <c r="H44" s="227"/>
      <c r="I44" s="226" t="s">
        <v>276</v>
      </c>
      <c r="J44" s="227"/>
      <c r="K44" s="226" t="s">
        <v>277</v>
      </c>
      <c r="L44" s="227"/>
      <c r="M44" s="226" t="s">
        <v>278</v>
      </c>
      <c r="N44" s="227"/>
      <c r="O44" s="226" t="s">
        <v>279</v>
      </c>
      <c r="P44" s="227"/>
      <c r="Q44" s="226" t="s">
        <v>280</v>
      </c>
      <c r="R44" s="227"/>
      <c r="S44" s="226" t="s">
        <v>281</v>
      </c>
      <c r="T44" s="227"/>
      <c r="U44" s="226" t="s">
        <v>282</v>
      </c>
      <c r="V44" s="227"/>
      <c r="W44" s="228"/>
    </row>
    <row r="45" spans="1:31">
      <c r="A45" s="11"/>
      <c r="B45" s="61"/>
      <c r="C45" s="31"/>
      <c r="D45" s="31"/>
      <c r="E45" s="31"/>
      <c r="F45" s="31"/>
      <c r="G45" s="31"/>
      <c r="H45" s="31"/>
      <c r="I45" s="31"/>
      <c r="J45" s="31"/>
      <c r="K45" s="31"/>
      <c r="L45" s="210" t="s">
        <v>241</v>
      </c>
      <c r="M45" s="210"/>
      <c r="N45" s="210" t="s">
        <v>242</v>
      </c>
      <c r="O45" s="31"/>
      <c r="P45" s="31"/>
      <c r="Q45" s="31"/>
      <c r="R45" s="204" t="s">
        <v>272</v>
      </c>
      <c r="S45" s="31"/>
      <c r="T45" s="31"/>
      <c r="U45" s="31"/>
      <c r="V45" s="31"/>
      <c r="W45" s="12"/>
    </row>
    <row r="46" spans="1:31" ht="13.8" thickBot="1">
      <c r="A46" s="11"/>
      <c r="B46" s="61"/>
      <c r="C46" s="213"/>
      <c r="D46" s="31">
        <f>VLOOKUP(C49,[18]TS!$B$10:$D$253,3,0)</f>
        <v>422</v>
      </c>
      <c r="E46" s="213"/>
      <c r="F46" s="31">
        <f>VLOOKUP(E49,[18]TS!$B$10:$D$253,3,0)</f>
        <v>345</v>
      </c>
      <c r="G46" s="213"/>
      <c r="H46" s="31">
        <f>VLOOKUP(G49,[18]TS!$B$10:$D$253,3,0)</f>
        <v>370</v>
      </c>
      <c r="I46" s="31"/>
      <c r="J46" s="31">
        <f>VLOOKUP(I49,[18]TS!$B$10:$D$253,3,0)</f>
        <v>320</v>
      </c>
      <c r="K46" s="213"/>
      <c r="L46" s="31">
        <f>VLOOKUP(K49,[18]TS!$B$10:$D$253,3,0)</f>
        <v>390</v>
      </c>
      <c r="M46" s="213"/>
      <c r="N46" s="31">
        <f>VLOOKUP(M49,[18]TS!$B$10:$D$253,3,0)</f>
        <v>425.02</v>
      </c>
      <c r="O46" s="213"/>
      <c r="P46" s="31">
        <f>VLOOKUP(O49,[18]TS!$B$10:$D$253,3,0)</f>
        <v>480</v>
      </c>
      <c r="Q46" s="213"/>
      <c r="R46" s="31">
        <f>VLOOKUP(Q49,[18]TS!$B$10:$D$253,3,0)</f>
        <v>297.315</v>
      </c>
      <c r="S46" s="213"/>
      <c r="T46" s="31">
        <f>VLOOKUP(S49,[18]TS!$B$10:$D$253,3,0)</f>
        <v>417</v>
      </c>
      <c r="U46" s="31"/>
      <c r="V46" s="31">
        <f>VLOOKUP(U49,[18]TS!$B$10:$D$253,3,0)</f>
        <v>409</v>
      </c>
      <c r="W46" s="14">
        <f>SUM(D46:V46)</f>
        <v>3875.335</v>
      </c>
      <c r="X46" s="9" t="s">
        <v>63</v>
      </c>
      <c r="Y46" s="9" t="s">
        <v>92</v>
      </c>
      <c r="Z46" s="9" t="s">
        <v>64</v>
      </c>
      <c r="AA46" s="20" t="s">
        <v>106</v>
      </c>
      <c r="AB46" s="9" t="s">
        <v>62</v>
      </c>
    </row>
    <row r="47" spans="1:31" ht="13.8" thickBot="1">
      <c r="A47" s="11">
        <f>A38+1</f>
        <v>4</v>
      </c>
      <c r="B47" s="61"/>
      <c r="C47" s="163" t="s">
        <v>239</v>
      </c>
      <c r="D47" s="31"/>
      <c r="E47" s="163" t="s">
        <v>239</v>
      </c>
      <c r="F47" s="31"/>
      <c r="G47" s="163" t="s">
        <v>239</v>
      </c>
      <c r="H47" s="31"/>
      <c r="I47" s="163" t="s">
        <v>655</v>
      </c>
      <c r="J47" s="229"/>
      <c r="K47" s="163" t="s">
        <v>655</v>
      </c>
      <c r="L47" s="31"/>
      <c r="M47" s="163" t="s">
        <v>239</v>
      </c>
      <c r="N47" s="31"/>
      <c r="O47" s="163" t="s">
        <v>239</v>
      </c>
      <c r="P47" s="31"/>
      <c r="Q47" s="163" t="s">
        <v>655</v>
      </c>
      <c r="R47" s="31"/>
      <c r="S47" s="163" t="s">
        <v>239</v>
      </c>
      <c r="T47" s="31"/>
      <c r="U47" s="163" t="s">
        <v>239</v>
      </c>
      <c r="V47" s="31"/>
      <c r="W47" s="14"/>
      <c r="X47" s="9">
        <v>10</v>
      </c>
      <c r="Y47" s="9">
        <v>10</v>
      </c>
      <c r="Z47" s="9">
        <v>10</v>
      </c>
      <c r="AA47" s="9">
        <v>0</v>
      </c>
      <c r="AB47" s="9">
        <f>P46+2272.02</f>
        <v>2752.02</v>
      </c>
      <c r="AC47" s="9" t="s">
        <v>65</v>
      </c>
    </row>
    <row r="48" spans="1:31" ht="13.8" thickBot="1">
      <c r="A48" s="11"/>
      <c r="B48" s="61"/>
      <c r="C48" s="192"/>
      <c r="D48" s="31"/>
      <c r="E48" s="192"/>
      <c r="F48" s="31"/>
      <c r="G48" s="192"/>
      <c r="H48" s="31"/>
      <c r="I48" s="192"/>
      <c r="J48" s="31"/>
      <c r="K48" s="269"/>
      <c r="L48" s="31"/>
      <c r="M48" s="192"/>
      <c r="N48" s="31"/>
      <c r="O48" s="192"/>
      <c r="P48" s="31"/>
      <c r="Q48" s="192"/>
      <c r="R48" s="31"/>
      <c r="S48" s="192"/>
      <c r="T48" s="31"/>
      <c r="U48" s="269"/>
      <c r="V48" s="31"/>
      <c r="W48" s="12"/>
      <c r="X48" s="9">
        <v>0</v>
      </c>
      <c r="Y48" s="9">
        <v>0</v>
      </c>
      <c r="Z48" s="9">
        <v>0</v>
      </c>
      <c r="AA48" s="9">
        <v>0</v>
      </c>
      <c r="AB48" s="50">
        <v>0</v>
      </c>
      <c r="AC48" s="9" t="s">
        <v>56</v>
      </c>
    </row>
    <row r="49" spans="1:29">
      <c r="A49" s="11"/>
      <c r="B49" s="61"/>
      <c r="C49" s="215" t="s">
        <v>135</v>
      </c>
      <c r="D49" s="215"/>
      <c r="E49" s="215" t="s">
        <v>136</v>
      </c>
      <c r="F49" s="215"/>
      <c r="G49" s="215" t="s">
        <v>137</v>
      </c>
      <c r="H49" s="215"/>
      <c r="I49" s="215" t="s">
        <v>138</v>
      </c>
      <c r="J49" s="215"/>
      <c r="K49" s="215" t="s">
        <v>139</v>
      </c>
      <c r="L49" s="215"/>
      <c r="M49" s="215" t="s">
        <v>140</v>
      </c>
      <c r="N49" s="215"/>
      <c r="O49" s="215" t="s">
        <v>27</v>
      </c>
      <c r="P49" s="215"/>
      <c r="Q49" s="215" t="s">
        <v>19</v>
      </c>
      <c r="R49" s="215"/>
      <c r="S49" s="215" t="s">
        <v>28</v>
      </c>
      <c r="T49" s="215"/>
      <c r="U49" s="215" t="s">
        <v>20</v>
      </c>
      <c r="V49" s="31"/>
      <c r="W49" s="12"/>
      <c r="X49" s="9">
        <f>COUNTIF($C$47:$U$47,"ROW")</f>
        <v>0</v>
      </c>
      <c r="Y49" s="9">
        <f>COUNTIF($B$48:$U$48,"ROW")</f>
        <v>0</v>
      </c>
      <c r="Z49" s="9">
        <f>COUNTIF($C$46:$V$46,"ROW")</f>
        <v>0</v>
      </c>
      <c r="AA49" s="9">
        <v>0</v>
      </c>
      <c r="AC49" s="9" t="s">
        <v>61</v>
      </c>
    </row>
    <row r="50" spans="1:29">
      <c r="A50" s="11"/>
      <c r="B50" s="61"/>
      <c r="C50" s="216" t="str">
        <f>VLOOKUP(C49,[18]TS!$B$10:$D$253,2,0)</f>
        <v>1DA+0</v>
      </c>
      <c r="D50" s="31"/>
      <c r="E50" s="216" t="str">
        <f>VLOOKUP(E49,[18]TS!$B$10:$D$253,2,0)</f>
        <v>1DA+9</v>
      </c>
      <c r="F50" s="31"/>
      <c r="G50" s="216" t="str">
        <f>VLOOKUP(G49,[18]TS!$B$10:$D$253,2,0)</f>
        <v>1DA+3</v>
      </c>
      <c r="H50" s="31"/>
      <c r="I50" s="216" t="str">
        <f>VLOOKUP(I49,[18]TS!$B$10:$D$253,2,0)</f>
        <v>1DA+9</v>
      </c>
      <c r="J50" s="31"/>
      <c r="K50" s="216" t="str">
        <f>VLOOKUP(K49,[18]TS!$B$10:$D$253,2,0)</f>
        <v>1DA+9</v>
      </c>
      <c r="L50" s="31"/>
      <c r="M50" s="216" t="str">
        <f>VLOOKUP(M49,[18]TS!$B$10:$D$253,2,0)</f>
        <v>1DA+3</v>
      </c>
      <c r="N50" s="31"/>
      <c r="O50" s="216" t="str">
        <f>VLOOKUP(O49,[18]TS!$B$10:$D$253,2,0)</f>
        <v>1DB1+3</v>
      </c>
      <c r="P50" s="31"/>
      <c r="Q50" s="216" t="str">
        <f>VLOOKUP(Q49,[18]TS!$B$10:$D$253,2,0)</f>
        <v>1DB1+9</v>
      </c>
      <c r="R50" s="31"/>
      <c r="S50" s="216" t="str">
        <f>VLOOKUP(S49,[18]TS!$B$10:$D$253,2,0)</f>
        <v>1DB2+3</v>
      </c>
      <c r="T50" s="31"/>
      <c r="U50" s="216" t="str">
        <f>VLOOKUP(U49,[18]TS!$B$10:$D$253,2,0)</f>
        <v>1DA+3</v>
      </c>
      <c r="V50" s="31"/>
      <c r="W50" s="12"/>
      <c r="Y50" s="9">
        <f>X47-Y47-Y48-Y49</f>
        <v>0</v>
      </c>
      <c r="Z50" s="9">
        <f>X47-Z47-Z48-Z49</f>
        <v>0</v>
      </c>
      <c r="AA50" s="9">
        <f>Z47-AA48-AA49-AA47</f>
        <v>10</v>
      </c>
      <c r="AC50" s="9" t="s">
        <v>95</v>
      </c>
    </row>
    <row r="51" spans="1:29" s="103" customFormat="1" ht="9" customHeight="1">
      <c r="A51" s="107"/>
      <c r="B51" s="104"/>
      <c r="C51" s="913">
        <f>SUM(L37+N37+P37+R37+T37+H46+J46+L46+N46+D46+V37+F46)/1000</f>
        <v>4.4800200000000006</v>
      </c>
      <c r="D51" s="913"/>
      <c r="E51" s="913"/>
      <c r="F51" s="913"/>
      <c r="G51" s="913"/>
      <c r="H51" s="913"/>
      <c r="I51" s="913"/>
      <c r="J51" s="913"/>
      <c r="K51" s="913"/>
      <c r="L51" s="913"/>
      <c r="M51" s="913"/>
      <c r="N51" s="913"/>
      <c r="O51" s="913">
        <f>(P46+R46)/1000</f>
        <v>0.77731500000000009</v>
      </c>
      <c r="P51" s="913"/>
      <c r="Q51" s="913"/>
      <c r="R51" s="913"/>
      <c r="S51" s="913"/>
      <c r="T51" s="913"/>
      <c r="U51" s="913"/>
      <c r="V51" s="913"/>
      <c r="W51" s="106"/>
    </row>
    <row r="52" spans="1:29" s="99" customFormat="1" ht="12" customHeight="1">
      <c r="A52" s="102"/>
      <c r="B52" s="100"/>
      <c r="C52" s="911"/>
      <c r="D52" s="911"/>
      <c r="E52" s="911"/>
      <c r="F52" s="230"/>
      <c r="G52" s="230"/>
      <c r="H52" s="230"/>
      <c r="I52" s="230"/>
      <c r="J52" s="907" t="s">
        <v>203</v>
      </c>
      <c r="K52" s="907"/>
      <c r="L52" s="907"/>
      <c r="M52" s="230"/>
      <c r="N52" s="230"/>
      <c r="O52" s="917"/>
      <c r="P52" s="917"/>
      <c r="Q52" s="917"/>
      <c r="R52" s="231"/>
      <c r="S52" s="230"/>
      <c r="T52" s="230"/>
      <c r="U52" s="230"/>
      <c r="V52" s="230"/>
      <c r="W52" s="101"/>
    </row>
    <row r="53" spans="1:29">
      <c r="A53" s="11"/>
      <c r="B53" s="61"/>
      <c r="C53" s="206" t="s">
        <v>283</v>
      </c>
      <c r="D53" s="232"/>
      <c r="E53" s="206" t="s">
        <v>284</v>
      </c>
      <c r="F53" s="31"/>
      <c r="G53" s="206" t="s">
        <v>285</v>
      </c>
      <c r="H53" s="31"/>
      <c r="I53" s="206" t="s">
        <v>286</v>
      </c>
      <c r="J53" s="31"/>
      <c r="K53" s="206" t="s">
        <v>287</v>
      </c>
      <c r="L53" s="233" t="s">
        <v>207</v>
      </c>
      <c r="M53" s="206" t="s">
        <v>288</v>
      </c>
      <c r="N53" s="31"/>
      <c r="O53" s="206" t="s">
        <v>289</v>
      </c>
      <c r="P53" s="31"/>
      <c r="Q53" s="206" t="s">
        <v>290</v>
      </c>
      <c r="R53" s="31"/>
      <c r="S53" s="206" t="s">
        <v>291</v>
      </c>
      <c r="T53" s="31"/>
      <c r="U53" s="206" t="s">
        <v>292</v>
      </c>
      <c r="V53" s="234"/>
      <c r="W53" s="12"/>
    </row>
    <row r="54" spans="1:29" ht="13.95" customHeight="1">
      <c r="A54" s="11"/>
      <c r="B54" s="61"/>
      <c r="C54" s="31"/>
      <c r="D54" s="234"/>
      <c r="E54" s="31"/>
      <c r="F54" s="235" t="s">
        <v>619</v>
      </c>
      <c r="G54" s="31"/>
      <c r="H54" s="235" t="s">
        <v>240</v>
      </c>
      <c r="I54" s="210"/>
      <c r="J54" s="210"/>
      <c r="K54" s="210"/>
      <c r="L54" s="233" t="s">
        <v>207</v>
      </c>
      <c r="M54" s="210"/>
      <c r="N54" s="210"/>
      <c r="O54" s="210"/>
      <c r="P54" s="210"/>
      <c r="Q54" s="210"/>
      <c r="R54" s="210"/>
      <c r="S54" s="210"/>
      <c r="T54" s="210" t="s">
        <v>240</v>
      </c>
      <c r="U54" s="31"/>
      <c r="V54" s="31"/>
      <c r="W54" s="12"/>
      <c r="X54" s="9" t="s">
        <v>63</v>
      </c>
      <c r="Y54" s="9" t="s">
        <v>92</v>
      </c>
      <c r="Z54" s="9" t="s">
        <v>64</v>
      </c>
      <c r="AA54" s="20" t="s">
        <v>106</v>
      </c>
      <c r="AB54" s="9" t="s">
        <v>62</v>
      </c>
    </row>
    <row r="55" spans="1:29" ht="16.2" customHeight="1" thickBot="1">
      <c r="A55" s="11"/>
      <c r="B55" s="61"/>
      <c r="C55" s="213"/>
      <c r="D55" s="31">
        <f>VLOOKUP(C58,[18]TS!$B$10:$D$253,3,0)</f>
        <v>432.78199999999998</v>
      </c>
      <c r="E55" s="213"/>
      <c r="F55" s="31">
        <f>VLOOKUP(E58,[18]TS!$B$10:$D$253,3,0)</f>
        <v>469</v>
      </c>
      <c r="G55" s="213"/>
      <c r="H55" s="31">
        <f>VLOOKUP(G58,[18]TS!$B$10:$D$253,3,0)</f>
        <v>387</v>
      </c>
      <c r="I55" s="213"/>
      <c r="J55" s="31">
        <v>444.76</v>
      </c>
      <c r="K55" s="213"/>
      <c r="L55" s="31">
        <v>230.87</v>
      </c>
      <c r="M55" s="213"/>
      <c r="N55" s="31">
        <f>VLOOKUP(M58,[18]TS!$B$10:$D$253,3,0)</f>
        <v>430</v>
      </c>
      <c r="O55" s="213"/>
      <c r="P55" s="31">
        <f>VLOOKUP(O58,[18]TS!$B$10:$D$253,3,0)</f>
        <v>400</v>
      </c>
      <c r="Q55" s="213"/>
      <c r="R55" s="31">
        <f>VLOOKUP(Q58,[18]TS!$B$10:$D$253,3,0)</f>
        <v>410</v>
      </c>
      <c r="S55" s="213"/>
      <c r="T55" s="31">
        <f>VLOOKUP(S58,[18]TS!$B$10:$D$253,3,0)</f>
        <v>435</v>
      </c>
      <c r="U55" s="213"/>
      <c r="V55" s="31">
        <f>VLOOKUP(U58,[18]TS!$B$10:$D$253,3,0)</f>
        <v>360</v>
      </c>
      <c r="W55" s="14">
        <f>SUM(D55:V55)</f>
        <v>3999.4119999999998</v>
      </c>
    </row>
    <row r="56" spans="1:29" ht="13.8" thickBot="1">
      <c r="A56" s="11">
        <f>A47+1</f>
        <v>5</v>
      </c>
      <c r="B56" s="61"/>
      <c r="C56" s="163" t="s">
        <v>239</v>
      </c>
      <c r="D56" s="31"/>
      <c r="E56" s="119"/>
      <c r="F56" s="31"/>
      <c r="G56" s="163" t="s">
        <v>239</v>
      </c>
      <c r="H56" s="66"/>
      <c r="I56" s="163" t="s">
        <v>239</v>
      </c>
      <c r="J56" s="66"/>
      <c r="K56" s="163" t="s">
        <v>239</v>
      </c>
      <c r="L56" s="66"/>
      <c r="M56" s="163" t="s">
        <v>239</v>
      </c>
      <c r="N56" s="31"/>
      <c r="O56" s="163" t="s">
        <v>239</v>
      </c>
      <c r="P56" s="31"/>
      <c r="Q56" s="163" t="s">
        <v>239</v>
      </c>
      <c r="R56" s="31"/>
      <c r="S56" s="163" t="s">
        <v>239</v>
      </c>
      <c r="T56" s="66"/>
      <c r="U56" s="163" t="s">
        <v>239</v>
      </c>
      <c r="V56" s="66"/>
      <c r="W56" s="14"/>
      <c r="X56" s="9">
        <v>9</v>
      </c>
      <c r="Y56" s="9">
        <v>9</v>
      </c>
      <c r="Z56" s="9">
        <v>9</v>
      </c>
      <c r="AA56" s="9">
        <v>0</v>
      </c>
      <c r="AB56" s="9">
        <f>N55+P55+R55+T55+V55</f>
        <v>2035</v>
      </c>
      <c r="AC56" s="9" t="s">
        <v>65</v>
      </c>
    </row>
    <row r="57" spans="1:29" ht="13.8" thickBot="1">
      <c r="A57" s="11"/>
      <c r="B57" s="61"/>
      <c r="C57" s="269"/>
      <c r="D57" s="31"/>
      <c r="E57" s="72"/>
      <c r="F57" s="31"/>
      <c r="G57" s="269"/>
      <c r="H57" s="31"/>
      <c r="I57" s="269"/>
      <c r="J57" s="31"/>
      <c r="K57" s="192"/>
      <c r="L57" s="31"/>
      <c r="M57" s="269"/>
      <c r="N57" s="31"/>
      <c r="O57" s="192"/>
      <c r="P57" s="31"/>
      <c r="Q57" s="185"/>
      <c r="R57" s="31"/>
      <c r="S57" s="185"/>
      <c r="T57" s="31"/>
      <c r="U57" s="192"/>
      <c r="V57" s="31"/>
      <c r="W57" s="12"/>
      <c r="X57" s="9">
        <v>0</v>
      </c>
      <c r="Y57" s="9">
        <f>COUNTIF($B$57:$U$57,"WIP")</f>
        <v>0</v>
      </c>
      <c r="Z57" s="9">
        <v>0</v>
      </c>
      <c r="AA57" s="9">
        <v>0</v>
      </c>
      <c r="AB57" s="9">
        <v>0</v>
      </c>
      <c r="AC57" s="9" t="s">
        <v>56</v>
      </c>
    </row>
    <row r="58" spans="1:29">
      <c r="A58" s="11"/>
      <c r="B58" s="61"/>
      <c r="C58" s="215" t="s">
        <v>21</v>
      </c>
      <c r="D58" s="215"/>
      <c r="E58" s="215" t="s">
        <v>22</v>
      </c>
      <c r="F58" s="215"/>
      <c r="G58" s="215" t="s">
        <v>142</v>
      </c>
      <c r="H58" s="215"/>
      <c r="I58" s="361" t="s">
        <v>615</v>
      </c>
      <c r="J58" s="215"/>
      <c r="K58" s="215" t="s">
        <v>29</v>
      </c>
      <c r="L58" s="215"/>
      <c r="M58" s="215" t="s">
        <v>30</v>
      </c>
      <c r="N58" s="215"/>
      <c r="O58" s="215" t="s">
        <v>2</v>
      </c>
      <c r="P58" s="215"/>
      <c r="Q58" s="215" t="s">
        <v>49</v>
      </c>
      <c r="R58" s="215"/>
      <c r="S58" s="215" t="s">
        <v>50</v>
      </c>
      <c r="T58" s="215"/>
      <c r="U58" s="215" t="s">
        <v>143</v>
      </c>
      <c r="V58" s="31"/>
      <c r="W58" s="12"/>
      <c r="X58" s="9">
        <f>COUNTIF($C$56:$U$56,"ROW")</f>
        <v>0</v>
      </c>
      <c r="Y58" s="9">
        <f>COUNTIF($B$57:$U$57,"ROW")</f>
        <v>0</v>
      </c>
      <c r="Z58" s="9">
        <f>COUNTIF($C$55:$V$55,"ROW")</f>
        <v>0</v>
      </c>
      <c r="AA58" s="9">
        <v>0</v>
      </c>
      <c r="AB58" s="9">
        <v>0</v>
      </c>
      <c r="AC58" s="9" t="s">
        <v>61</v>
      </c>
    </row>
    <row r="59" spans="1:29">
      <c r="A59" s="11"/>
      <c r="B59" s="61"/>
      <c r="C59" s="216" t="str">
        <f>VLOOKUP(C58,[18]TS!$B$10:$D$253,2,0)</f>
        <v>1DA+0</v>
      </c>
      <c r="D59" s="31"/>
      <c r="E59" s="216" t="str">
        <f>VLOOKUP(E58,[18]TS!$B$10:$D$253,2,0)</f>
        <v>1DD60+6</v>
      </c>
      <c r="F59" s="31"/>
      <c r="G59" s="216" t="str">
        <f>VLOOKUP(G58,[18]TS!$B$10:$D$253,2,0)</f>
        <v>1DA+9</v>
      </c>
      <c r="H59" s="31"/>
      <c r="I59" s="216" t="str">
        <f>VLOOKUP(I58,[18]TS!$B$10:$D$253,2,0)</f>
        <v>1DA+0</v>
      </c>
      <c r="J59" s="31"/>
      <c r="K59" s="216" t="s">
        <v>509</v>
      </c>
      <c r="L59" s="31"/>
      <c r="M59" s="216" t="str">
        <f>VLOOKUP(M58,[18]TS!$B$10:$D$253,2,0)</f>
        <v>1DB2+9</v>
      </c>
      <c r="N59" s="31"/>
      <c r="O59" s="216" t="str">
        <f>VLOOKUP(O58,[18]TS!$B$10:$D$253,2,0)</f>
        <v>1DA+0</v>
      </c>
      <c r="P59" s="31"/>
      <c r="Q59" s="216" t="str">
        <f>VLOOKUP(Q58,[18]TS!$B$10:$D$253,2,0)</f>
        <v>1DA+0</v>
      </c>
      <c r="R59" s="31"/>
      <c r="S59" s="216" t="str">
        <f>VLOOKUP(S58,[18]TS!$B$10:$D$253,2,0)</f>
        <v>1DA+3</v>
      </c>
      <c r="T59" s="31"/>
      <c r="U59" s="216" t="str">
        <f>VLOOKUP(U58,[18]TS!$B$10:$D$253,2,0)</f>
        <v>1DA+0</v>
      </c>
      <c r="V59" s="31"/>
      <c r="W59" s="12"/>
      <c r="Y59" s="9">
        <f>X56-Y56-Y57-Y58</f>
        <v>0</v>
      </c>
      <c r="Z59" s="9">
        <f>X56-Z56-Z57-Z58</f>
        <v>0</v>
      </c>
      <c r="AA59" s="9">
        <f>Z56-AA57-AA58-AA56</f>
        <v>9</v>
      </c>
      <c r="AC59" s="9" t="s">
        <v>95</v>
      </c>
    </row>
    <row r="60" spans="1:29" s="103" customFormat="1" ht="13.5" customHeight="1">
      <c r="A60" s="107"/>
      <c r="B60" s="104"/>
      <c r="C60" s="913">
        <f>SUM(T46+V46+D55+F55)/1000</f>
        <v>1.7277819999999999</v>
      </c>
      <c r="D60" s="913"/>
      <c r="E60" s="913"/>
      <c r="F60" s="913"/>
      <c r="G60" s="913">
        <f>SUM(H55+J55)/1000</f>
        <v>0.83175999999999994</v>
      </c>
      <c r="H60" s="913"/>
      <c r="I60" s="913"/>
      <c r="J60" s="913"/>
      <c r="K60" s="913">
        <f>SUM(L55)/1000</f>
        <v>0.23086999999999999</v>
      </c>
      <c r="L60" s="913"/>
      <c r="M60" s="913"/>
      <c r="N60" s="913"/>
      <c r="O60" s="913"/>
      <c r="P60" s="913"/>
      <c r="Q60" s="913"/>
      <c r="R60" s="913"/>
      <c r="S60" s="913"/>
      <c r="T60" s="913"/>
      <c r="U60" s="913"/>
      <c r="V60" s="105"/>
      <c r="W60" s="106"/>
    </row>
    <row r="61" spans="1:29" s="99" customFormat="1" ht="12">
      <c r="A61" s="102"/>
      <c r="B61" s="100"/>
      <c r="C61" s="230"/>
      <c r="D61" s="217" t="s">
        <v>204</v>
      </c>
      <c r="E61" s="217"/>
      <c r="F61" s="217"/>
      <c r="I61" s="230"/>
      <c r="J61" s="911"/>
      <c r="K61" s="911"/>
      <c r="L61" s="911"/>
      <c r="M61" s="230"/>
      <c r="N61" s="230"/>
      <c r="O61" s="230"/>
      <c r="P61" s="230"/>
      <c r="Q61" s="230"/>
      <c r="R61" s="930" t="s">
        <v>211</v>
      </c>
      <c r="S61" s="930"/>
      <c r="T61" s="230"/>
      <c r="U61" s="230"/>
      <c r="V61" s="230"/>
      <c r="W61" s="101"/>
    </row>
    <row r="62" spans="1:29" ht="3" customHeight="1" thickBot="1">
      <c r="A62" s="11"/>
      <c r="B62" s="68"/>
      <c r="C62" s="69"/>
      <c r="D62" s="73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29"/>
    </row>
    <row r="63" spans="1:29" ht="12.6" customHeight="1">
      <c r="A63" s="11"/>
      <c r="B63" s="61"/>
      <c r="C63" s="206" t="s">
        <v>293</v>
      </c>
      <c r="D63" s="232"/>
      <c r="E63" s="206" t="s">
        <v>294</v>
      </c>
      <c r="F63" s="31"/>
      <c r="G63" s="206" t="s">
        <v>295</v>
      </c>
      <c r="H63" s="31"/>
      <c r="I63" s="206" t="s">
        <v>296</v>
      </c>
      <c r="J63" s="31"/>
      <c r="K63" s="206" t="s">
        <v>297</v>
      </c>
      <c r="L63" s="31"/>
      <c r="M63" s="206" t="s">
        <v>298</v>
      </c>
      <c r="N63" s="31"/>
      <c r="O63" s="206" t="s">
        <v>299</v>
      </c>
      <c r="P63" s="31"/>
      <c r="Q63" s="206" t="s">
        <v>300</v>
      </c>
      <c r="R63" s="31"/>
      <c r="S63" s="206" t="s">
        <v>301</v>
      </c>
      <c r="T63" s="31"/>
      <c r="U63" s="206" t="s">
        <v>302</v>
      </c>
      <c r="V63" s="31"/>
      <c r="W63" s="12"/>
    </row>
    <row r="64" spans="1:29">
      <c r="A64" s="11"/>
      <c r="B64" s="61"/>
      <c r="C64" s="31"/>
      <c r="D64" s="234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210"/>
      <c r="R64" s="210"/>
      <c r="S64" s="31"/>
      <c r="T64" s="31"/>
      <c r="U64" s="31"/>
      <c r="V64" s="31"/>
      <c r="W64" s="12"/>
      <c r="X64" s="9" t="s">
        <v>63</v>
      </c>
      <c r="Y64" s="9" t="s">
        <v>92</v>
      </c>
      <c r="Z64" s="9" t="s">
        <v>64</v>
      </c>
      <c r="AA64" s="20" t="s">
        <v>106</v>
      </c>
      <c r="AB64" s="9" t="s">
        <v>62</v>
      </c>
    </row>
    <row r="65" spans="1:35" ht="13.8" thickBot="1">
      <c r="A65" s="11"/>
      <c r="B65" s="61"/>
      <c r="C65" s="31"/>
      <c r="D65" s="230">
        <f>VLOOKUP(C68,[18]TS!$B$10:$D$253,3,0)</f>
        <v>391.45100000000002</v>
      </c>
      <c r="E65" s="491"/>
      <c r="F65" s="230">
        <f>VLOOKUP(E68,[18]TS!$B$10:$D$253,3,0)</f>
        <v>380</v>
      </c>
      <c r="G65" s="230"/>
      <c r="H65" s="230">
        <f>VLOOKUP(G68,[18]TS!$B$10:$D$253,3,0)</f>
        <v>475</v>
      </c>
      <c r="I65" s="491"/>
      <c r="J65" s="230">
        <f>VLOOKUP(I68,[18]TS!$B$10:$D$253,3,0)</f>
        <v>380</v>
      </c>
      <c r="K65" s="491"/>
      <c r="L65" s="230">
        <f>VLOOKUP(K68,[18]TS!$B$10:$D$253,3,0)</f>
        <v>390</v>
      </c>
      <c r="M65" s="491"/>
      <c r="N65" s="230">
        <f>VLOOKUP(M68,[18]TS!$B$10:$D$253,3,0)</f>
        <v>465</v>
      </c>
      <c r="O65" s="491"/>
      <c r="P65" s="230">
        <f>VLOOKUP(O68,[18]TS!$B$10:$D$253,3,0)</f>
        <v>383.20800000000003</v>
      </c>
      <c r="Q65" s="213"/>
      <c r="R65" s="489">
        <f>VLOOKUP(Q68,[18]TS!$B$10:$D$253,3,0)</f>
        <v>380</v>
      </c>
      <c r="S65" s="490"/>
      <c r="T65" s="489">
        <f>VLOOKUP(S68,[18]TS!$B$10:$D$253,3,0)</f>
        <v>348</v>
      </c>
      <c r="U65" s="490"/>
      <c r="V65" s="489">
        <f>VLOOKUP(U68,[18]TS!$B$10:$D$253,3,0)</f>
        <v>377.78399999999999</v>
      </c>
      <c r="W65" s="14">
        <f>SUM(D65:V65)</f>
        <v>3970.4430000000002</v>
      </c>
    </row>
    <row r="66" spans="1:35" ht="13.8" thickBot="1">
      <c r="A66" s="11" t="e">
        <f>#REF!+1</f>
        <v>#REF!</v>
      </c>
      <c r="B66" s="61"/>
      <c r="C66" s="163" t="s">
        <v>239</v>
      </c>
      <c r="D66" s="31"/>
      <c r="E66" s="163" t="s">
        <v>239</v>
      </c>
      <c r="F66" s="31"/>
      <c r="G66" s="163" t="s">
        <v>239</v>
      </c>
      <c r="H66" s="31"/>
      <c r="I66" s="163" t="s">
        <v>239</v>
      </c>
      <c r="J66" s="31"/>
      <c r="K66" s="163" t="s">
        <v>239</v>
      </c>
      <c r="L66" s="31"/>
      <c r="M66" s="163" t="s">
        <v>239</v>
      </c>
      <c r="N66" s="31"/>
      <c r="O66" s="163" t="s">
        <v>655</v>
      </c>
      <c r="P66" s="31"/>
      <c r="Q66" s="378" t="s">
        <v>239</v>
      </c>
      <c r="R66" s="31"/>
      <c r="S66" s="163" t="s">
        <v>239</v>
      </c>
      <c r="T66" s="31"/>
      <c r="U66" s="163" t="s">
        <v>239</v>
      </c>
      <c r="V66" s="31"/>
      <c r="W66" s="14"/>
      <c r="X66" s="9">
        <v>10</v>
      </c>
      <c r="Y66" s="9">
        <v>10</v>
      </c>
      <c r="Z66" s="9">
        <v>10</v>
      </c>
      <c r="AA66" s="9">
        <v>0</v>
      </c>
      <c r="AB66" s="9">
        <f>R65+V65+T65+P65+N65+L65+J65+H65+F65+D65</f>
        <v>3970.4430000000002</v>
      </c>
      <c r="AC66" s="9" t="s">
        <v>65</v>
      </c>
    </row>
    <row r="67" spans="1:35" ht="13.8" thickBot="1">
      <c r="A67" s="11"/>
      <c r="B67" s="61"/>
      <c r="C67" s="193"/>
      <c r="D67" s="31"/>
      <c r="E67" s="269"/>
      <c r="F67" s="31"/>
      <c r="G67" s="192"/>
      <c r="H67" s="31"/>
      <c r="I67" s="192"/>
      <c r="J67" s="31"/>
      <c r="K67" s="185"/>
      <c r="L67" s="31"/>
      <c r="M67" s="192"/>
      <c r="N67" s="31"/>
      <c r="O67" s="269"/>
      <c r="P67" s="31"/>
      <c r="Q67" s="269"/>
      <c r="R67" s="31"/>
      <c r="S67" s="192"/>
      <c r="T67" s="31"/>
      <c r="U67" s="269"/>
      <c r="V67" s="31"/>
      <c r="W67" s="12"/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 t="s">
        <v>56</v>
      </c>
    </row>
    <row r="68" spans="1:35" ht="16.5" customHeight="1">
      <c r="A68" s="11"/>
      <c r="B68" s="61"/>
      <c r="C68" s="236" t="s">
        <v>144</v>
      </c>
      <c r="D68" s="236"/>
      <c r="E68" s="236" t="s">
        <v>31</v>
      </c>
      <c r="F68" s="236"/>
      <c r="G68" s="236" t="s">
        <v>145</v>
      </c>
      <c r="H68" s="236"/>
      <c r="I68" s="236" t="s">
        <v>146</v>
      </c>
      <c r="J68" s="236"/>
      <c r="K68" s="236" t="s">
        <v>147</v>
      </c>
      <c r="L68" s="236"/>
      <c r="M68" s="236" t="s">
        <v>148</v>
      </c>
      <c r="N68" s="236"/>
      <c r="O68" s="236" t="s">
        <v>149</v>
      </c>
      <c r="P68" s="236"/>
      <c r="Q68" s="236" t="s">
        <v>32</v>
      </c>
      <c r="R68" s="236"/>
      <c r="S68" s="236" t="s">
        <v>51</v>
      </c>
      <c r="T68" s="236"/>
      <c r="U68" s="236" t="s">
        <v>52</v>
      </c>
      <c r="V68" s="31"/>
      <c r="W68" s="12"/>
      <c r="X68" s="9">
        <v>0</v>
      </c>
      <c r="Y68" s="9">
        <f>COUNTIF($B$67:$U$67,"ROW")</f>
        <v>0</v>
      </c>
      <c r="Z68" s="9">
        <f>COUNTIF($C$65:$V$65,"ROW")</f>
        <v>0</v>
      </c>
      <c r="AA68" s="9">
        <v>0</v>
      </c>
      <c r="AB68" s="9">
        <v>0</v>
      </c>
      <c r="AC68" s="9" t="s">
        <v>61</v>
      </c>
    </row>
    <row r="69" spans="1:35" ht="16.5" customHeight="1">
      <c r="A69" s="11"/>
      <c r="B69" s="61"/>
      <c r="C69" s="237" t="str">
        <f>VLOOKUP(C68,[18]TS!$B$10:$D$253,2,0)</f>
        <v>1DA-3</v>
      </c>
      <c r="D69" s="31"/>
      <c r="E69" s="237" t="str">
        <f>VLOOKUP(E68,[18]TS!$B$10:$D$253,2,0)</f>
        <v>1DB1+0</v>
      </c>
      <c r="F69" s="31"/>
      <c r="G69" s="237" t="str">
        <f>VLOOKUP(G68,[18]TS!$B$10:$D$253,2,0)</f>
        <v>1DA+6</v>
      </c>
      <c r="H69" s="31"/>
      <c r="I69" s="237" t="str">
        <f>VLOOKUP(I68,[18]TS!$B$10:$D$253,2,0)</f>
        <v>1DA+3</v>
      </c>
      <c r="J69" s="31"/>
      <c r="K69" s="237" t="str">
        <f>VLOOKUP(K68,[18]TS!$B$10:$D$253,2,0)</f>
        <v>1DA+0</v>
      </c>
      <c r="L69" s="31"/>
      <c r="M69" s="237" t="str">
        <f>VLOOKUP(M68,[18]TS!$B$10:$D$253,2,0)</f>
        <v>1DA+3</v>
      </c>
      <c r="N69" s="31"/>
      <c r="O69" s="237" t="str">
        <f>VLOOKUP(O68,[18]TS!$B$10:$D$253,2,0)</f>
        <v>1DA+3</v>
      </c>
      <c r="P69" s="31"/>
      <c r="Q69" s="237" t="str">
        <f>VLOOKUP(Q68,[18]TS!$B$10:$D$253,2,0)</f>
        <v>1DB2+3</v>
      </c>
      <c r="R69" s="31"/>
      <c r="S69" s="237" t="str">
        <f>VLOOKUP(S68,[18]TS!$B$10:$D$253,2,0)</f>
        <v>1DA+0</v>
      </c>
      <c r="T69" s="31"/>
      <c r="U69" s="237" t="str">
        <f>VLOOKUP(U68,[18]TS!$B$10:$D$253,2,0)</f>
        <v>1DA+0</v>
      </c>
      <c r="V69" s="31"/>
      <c r="W69" s="12"/>
      <c r="Y69" s="9">
        <f>X66-Y66-Y67-Y68</f>
        <v>0</v>
      </c>
      <c r="Z69" s="9">
        <f>X66-Z66-Z67-Z68</f>
        <v>0</v>
      </c>
      <c r="AA69" s="9">
        <f>Z66-AA67-AA68-AA66</f>
        <v>10</v>
      </c>
      <c r="AC69" s="9" t="s">
        <v>95</v>
      </c>
    </row>
    <row r="70" spans="1:35" s="91" customFormat="1" ht="16.5" customHeight="1">
      <c r="A70" s="130"/>
      <c r="B70" s="92"/>
      <c r="C70" s="913">
        <f>SUM(N55+P55+R55+T55+V55+D65)/1000</f>
        <v>2.4264510000000001</v>
      </c>
      <c r="D70" s="913"/>
      <c r="E70" s="913">
        <f>SUM(F65+H65+J65+L65+N65+P65)/1000</f>
        <v>2.4732080000000001</v>
      </c>
      <c r="F70" s="913"/>
      <c r="G70" s="913"/>
      <c r="H70" s="913"/>
      <c r="I70" s="913"/>
      <c r="J70" s="913"/>
      <c r="K70" s="913"/>
      <c r="L70" s="913"/>
      <c r="M70" s="913"/>
      <c r="N70" s="913"/>
      <c r="O70" s="913"/>
      <c r="P70" s="913"/>
      <c r="Q70" s="913"/>
      <c r="R70" s="913">
        <f>SUM(R65+T65+V65)/1000</f>
        <v>1.1057840000000001</v>
      </c>
      <c r="S70" s="913"/>
      <c r="T70" s="913"/>
      <c r="U70" s="913"/>
      <c r="V70" s="913"/>
      <c r="W70" s="98"/>
    </row>
    <row r="71" spans="1:35" s="99" customFormat="1" ht="16.5" customHeight="1">
      <c r="A71" s="102"/>
      <c r="B71" s="100"/>
      <c r="C71" s="230"/>
      <c r="D71" s="230"/>
      <c r="E71" s="238" t="s">
        <v>212</v>
      </c>
      <c r="F71" s="230"/>
      <c r="G71" s="230"/>
      <c r="H71" s="230"/>
      <c r="I71" s="230"/>
      <c r="J71" s="230"/>
      <c r="K71" s="230"/>
      <c r="L71" s="217"/>
      <c r="M71" s="230"/>
      <c r="N71" s="230"/>
      <c r="O71" s="230"/>
      <c r="P71" s="230"/>
      <c r="Q71" s="230"/>
      <c r="R71" s="230"/>
      <c r="S71" s="230"/>
      <c r="T71" s="911" t="s">
        <v>213</v>
      </c>
      <c r="U71" s="911"/>
      <c r="V71" s="230"/>
      <c r="W71" s="101"/>
    </row>
    <row r="72" spans="1:35">
      <c r="A72" s="11"/>
      <c r="B72" s="61"/>
      <c r="C72" s="206" t="s">
        <v>303</v>
      </c>
      <c r="D72" s="31"/>
      <c r="E72" s="206" t="s">
        <v>304</v>
      </c>
      <c r="F72" s="31"/>
      <c r="G72" s="206" t="s">
        <v>305</v>
      </c>
      <c r="H72" s="31"/>
      <c r="I72" s="206" t="s">
        <v>306</v>
      </c>
      <c r="J72" s="31"/>
      <c r="K72" s="206" t="s">
        <v>307</v>
      </c>
      <c r="L72" s="31"/>
      <c r="M72" s="206" t="s">
        <v>308</v>
      </c>
      <c r="N72" s="31"/>
      <c r="O72" s="206" t="s">
        <v>309</v>
      </c>
      <c r="Q72" s="206" t="s">
        <v>310</v>
      </c>
      <c r="R72" s="31"/>
      <c r="S72" s="206" t="s">
        <v>311</v>
      </c>
      <c r="T72" s="31"/>
      <c r="U72" s="206" t="s">
        <v>312</v>
      </c>
      <c r="V72" s="31"/>
      <c r="W72" s="12"/>
    </row>
    <row r="73" spans="1:35">
      <c r="A73" s="11"/>
      <c r="B73" s="61"/>
      <c r="C73" s="31"/>
      <c r="D73" s="31"/>
      <c r="E73" s="31"/>
      <c r="F73" s="31"/>
      <c r="G73" s="31"/>
      <c r="H73" s="31"/>
      <c r="I73" s="31"/>
      <c r="J73" s="210" t="s">
        <v>242</v>
      </c>
      <c r="K73" s="31"/>
      <c r="L73" s="31"/>
      <c r="M73" s="31"/>
      <c r="N73" s="31"/>
      <c r="O73" s="31"/>
      <c r="P73" s="239" t="s">
        <v>206</v>
      </c>
      <c r="Q73" s="31"/>
      <c r="R73" s="210" t="s">
        <v>241</v>
      </c>
      <c r="S73" s="31"/>
      <c r="T73" s="210" t="s">
        <v>242</v>
      </c>
      <c r="U73" s="31"/>
      <c r="V73" s="31"/>
      <c r="W73" s="12"/>
      <c r="X73" s="9" t="s">
        <v>63</v>
      </c>
      <c r="Y73" s="9" t="s">
        <v>92</v>
      </c>
      <c r="Z73" s="9" t="s">
        <v>64</v>
      </c>
      <c r="AA73" s="20" t="s">
        <v>106</v>
      </c>
      <c r="AB73" s="9" t="s">
        <v>62</v>
      </c>
      <c r="AD73" s="9" t="s">
        <v>63</v>
      </c>
      <c r="AE73" s="9" t="s">
        <v>92</v>
      </c>
      <c r="AF73" s="9" t="s">
        <v>64</v>
      </c>
      <c r="AG73" s="20" t="s">
        <v>106</v>
      </c>
      <c r="AH73" s="9" t="s">
        <v>62</v>
      </c>
    </row>
    <row r="74" spans="1:35" ht="13.8" thickBot="1">
      <c r="A74" s="11"/>
      <c r="B74" s="61"/>
      <c r="C74" s="213"/>
      <c r="D74" s="31">
        <f>VLOOKUP(C77,[18]TS!$B$10:$D$253,3,0)</f>
        <v>410</v>
      </c>
      <c r="E74" s="213"/>
      <c r="F74" s="31">
        <f>VLOOKUP(E77,[18]TS!$B$10:$D$253,3,0)</f>
        <v>380</v>
      </c>
      <c r="G74" s="213"/>
      <c r="H74" s="31">
        <f>VLOOKUP(G77,[18]TS!$B$10:$D$253,3,0)</f>
        <v>325</v>
      </c>
      <c r="I74" s="213"/>
      <c r="J74" s="31">
        <f>VLOOKUP(I77,[18]TS!$B$10:$D$253,3,0)</f>
        <v>329.8</v>
      </c>
      <c r="K74" s="213"/>
      <c r="L74" s="31">
        <f>VLOOKUP(K77,[18]TS!$B$10:$D$253,3,0)</f>
        <v>385</v>
      </c>
      <c r="M74" s="213"/>
      <c r="N74" s="31">
        <f>VLOOKUP(M77,[18]TS!$B$10:$D$253,3,0)</f>
        <v>312.55799999999999</v>
      </c>
      <c r="O74" s="31"/>
      <c r="P74" s="31">
        <f>VLOOKUP(O77,[18]TS!$B$10:$D$253,3,0)</f>
        <v>242</v>
      </c>
      <c r="Q74" s="31"/>
      <c r="R74" s="31">
        <f>VLOOKUP(Q77,[18]TS!$B$10:$D$253,3,0)</f>
        <v>464</v>
      </c>
      <c r="S74" s="213"/>
      <c r="T74" s="31">
        <f>VLOOKUP(S77,[18]TS!$B$10:$D$253,3,0)</f>
        <v>391</v>
      </c>
      <c r="U74" s="213"/>
      <c r="V74" s="31">
        <f>VLOOKUP(U77,[18]TS!$B$10:$D$253,3,0)</f>
        <v>417.51799999999997</v>
      </c>
      <c r="W74" s="14">
        <f>SUM(D74:V74)</f>
        <v>3656.8760000000002</v>
      </c>
    </row>
    <row r="75" spans="1:35" ht="13.8" thickBot="1">
      <c r="A75" s="11" t="e">
        <f>A66+1</f>
        <v>#REF!</v>
      </c>
      <c r="B75" s="61"/>
      <c r="C75" s="163" t="s">
        <v>239</v>
      </c>
      <c r="D75" s="31"/>
      <c r="E75" s="163" t="s">
        <v>655</v>
      </c>
      <c r="F75" s="31"/>
      <c r="G75" s="163" t="s">
        <v>655</v>
      </c>
      <c r="H75" s="31"/>
      <c r="I75" s="163" t="s">
        <v>655</v>
      </c>
      <c r="J75" s="31"/>
      <c r="K75" s="163" t="s">
        <v>655</v>
      </c>
      <c r="L75" s="31"/>
      <c r="M75" s="163" t="s">
        <v>655</v>
      </c>
      <c r="N75" s="31"/>
      <c r="O75" s="163" t="s">
        <v>239</v>
      </c>
      <c r="P75" s="31"/>
      <c r="Q75" s="163" t="s">
        <v>239</v>
      </c>
      <c r="R75" s="31"/>
      <c r="S75" s="163" t="s">
        <v>239</v>
      </c>
      <c r="T75" s="31"/>
      <c r="U75" s="163" t="s">
        <v>655</v>
      </c>
      <c r="V75" s="31"/>
      <c r="W75" s="12"/>
      <c r="X75" s="9">
        <v>10</v>
      </c>
      <c r="Y75" s="9">
        <v>10</v>
      </c>
      <c r="Z75" s="9">
        <v>9</v>
      </c>
      <c r="AA75" s="9">
        <v>0</v>
      </c>
      <c r="AB75" s="9">
        <v>0</v>
      </c>
      <c r="AC75" s="9" t="s">
        <v>65</v>
      </c>
      <c r="AD75" s="9">
        <f>COUNTIF($L$75:$V$75,"F")</f>
        <v>0</v>
      </c>
      <c r="AE75" s="9">
        <f>COUNTIF($L$75:$V$75,"ET")</f>
        <v>0</v>
      </c>
      <c r="AF75" s="9">
        <f>COUNTIF($L$75:$V$75,"E")</f>
        <v>0</v>
      </c>
      <c r="AG75" s="9">
        <v>0</v>
      </c>
      <c r="AH75" s="9">
        <v>0</v>
      </c>
      <c r="AI75" s="9" t="s">
        <v>65</v>
      </c>
    </row>
    <row r="76" spans="1:35" ht="13.8" thickBot="1">
      <c r="A76" s="11"/>
      <c r="B76" s="61"/>
      <c r="C76" s="269"/>
      <c r="D76" s="31"/>
      <c r="E76" s="192"/>
      <c r="F76" s="31"/>
      <c r="G76" s="192"/>
      <c r="H76" s="31"/>
      <c r="I76" s="192"/>
      <c r="J76" s="31"/>
      <c r="K76" s="192"/>
      <c r="L76" s="31"/>
      <c r="M76" s="192"/>
      <c r="N76" s="31"/>
      <c r="O76" s="419"/>
      <c r="P76" s="31"/>
      <c r="Q76" s="269"/>
      <c r="R76" s="31"/>
      <c r="S76" s="269"/>
      <c r="T76" s="31"/>
      <c r="U76" s="185"/>
      <c r="V76" s="31"/>
      <c r="W76" s="12"/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 t="s">
        <v>56</v>
      </c>
      <c r="AD76" s="9">
        <f>COUNTIF($L$75:$V$75,"WIP")</f>
        <v>0</v>
      </c>
      <c r="AE76" s="9">
        <f>COUNTIF($L$75:$V$75,"WIP")</f>
        <v>0</v>
      </c>
      <c r="AF76" s="9">
        <f>COUNTIF($L$75:$V$75,"WIP")</f>
        <v>0</v>
      </c>
      <c r="AG76" s="9">
        <v>0</v>
      </c>
      <c r="AH76" s="9">
        <v>0</v>
      </c>
      <c r="AI76" s="9" t="s">
        <v>56</v>
      </c>
    </row>
    <row r="77" spans="1:35" ht="16.5" customHeight="1">
      <c r="A77" s="11"/>
      <c r="B77" s="61"/>
      <c r="C77" s="215" t="s">
        <v>33</v>
      </c>
      <c r="D77" s="215"/>
      <c r="E77" s="215" t="s">
        <v>150</v>
      </c>
      <c r="F77" s="215"/>
      <c r="G77" s="215" t="s">
        <v>151</v>
      </c>
      <c r="H77" s="215"/>
      <c r="I77" s="215" t="s">
        <v>152</v>
      </c>
      <c r="J77" s="215"/>
      <c r="K77" s="215" t="s">
        <v>34</v>
      </c>
      <c r="L77" s="215"/>
      <c r="M77" s="215" t="s">
        <v>153</v>
      </c>
      <c r="N77" s="215"/>
      <c r="O77" s="215" t="s">
        <v>35</v>
      </c>
      <c r="P77" s="215"/>
      <c r="Q77" s="215" t="s">
        <v>4</v>
      </c>
      <c r="R77" s="215"/>
      <c r="S77" s="215" t="s">
        <v>5</v>
      </c>
      <c r="T77" s="215"/>
      <c r="U77" s="215" t="s">
        <v>154</v>
      </c>
      <c r="V77" s="31"/>
      <c r="W77" s="12"/>
      <c r="X77" s="9">
        <f>COUNTIF($C$75:$K$75,"ROW")</f>
        <v>0</v>
      </c>
      <c r="Y77" s="9">
        <f>COUNTIF($C$75:$K$75,"ROW")</f>
        <v>0</v>
      </c>
      <c r="Z77" s="9">
        <f>COUNTIF($C$75:$K77,"ROW")</f>
        <v>0</v>
      </c>
      <c r="AA77" s="9">
        <v>0</v>
      </c>
      <c r="AB77" s="9">
        <v>0</v>
      </c>
      <c r="AC77" s="9" t="s">
        <v>61</v>
      </c>
      <c r="AD77" s="9">
        <f>COUNTIF($L$75:$V$75,"ROW")</f>
        <v>0</v>
      </c>
      <c r="AE77" s="9">
        <f>COUNTIF($L$75:$V$75,"ROW")</f>
        <v>0</v>
      </c>
      <c r="AF77" s="9">
        <f>COUNTIF($L$75:$V$75,"ROW")</f>
        <v>0</v>
      </c>
      <c r="AG77" s="9">
        <v>0</v>
      </c>
      <c r="AH77" s="9">
        <v>0</v>
      </c>
      <c r="AI77" s="9" t="s">
        <v>61</v>
      </c>
    </row>
    <row r="78" spans="1:35" ht="16.5" customHeight="1">
      <c r="A78" s="11"/>
      <c r="B78" s="61"/>
      <c r="C78" s="237" t="str">
        <f>VLOOKUP(C77,[18]TS!$B$10:$D$253,2,0)</f>
        <v>1DB1+0</v>
      </c>
      <c r="D78" s="31"/>
      <c r="E78" s="237" t="str">
        <f>VLOOKUP(E77,[18]TS!$B$10:$D$253,2,0)</f>
        <v>1DA+0</v>
      </c>
      <c r="F78" s="31"/>
      <c r="G78" s="237" t="str">
        <f>VLOOKUP(G77,[18]TS!$B$10:$D$253,2,0)</f>
        <v>1DA+0</v>
      </c>
      <c r="H78" s="31"/>
      <c r="I78" s="237" t="str">
        <f>VLOOKUP(I77,[18]TS!$B$10:$D$253,2,0)</f>
        <v>1DA-3</v>
      </c>
      <c r="J78" s="31"/>
      <c r="K78" s="237" t="str">
        <f>VLOOKUP(K77,[18]TS!$B$10:$D$253,2,0)</f>
        <v>1DC1-3</v>
      </c>
      <c r="L78" s="240"/>
      <c r="M78" s="237" t="str">
        <f>VLOOKUP(M77,[18]TS!$B$10:$D$253,2,0)</f>
        <v>1DA+0</v>
      </c>
      <c r="N78" s="31"/>
      <c r="O78" s="237" t="str">
        <f>VLOOKUP(O77,[18]TS!$B$10:$D$253,2,0)</f>
        <v>1DC1+3</v>
      </c>
      <c r="P78" s="31"/>
      <c r="Q78" s="237" t="str">
        <f>VLOOKUP(Q77,[18]TS!$B$10:$D$253,2,0)</f>
        <v>1DB1+6</v>
      </c>
      <c r="R78" s="31"/>
      <c r="S78" s="237" t="str">
        <f>VLOOKUP(S77,[18]TS!$B$10:$D$253,2,0)</f>
        <v>1DA+0</v>
      </c>
      <c r="T78" s="31"/>
      <c r="U78" s="237" t="str">
        <f>VLOOKUP(U77,[18]TS!$B$10:$D$253,2,0)</f>
        <v>1DA+6</v>
      </c>
      <c r="V78" s="31"/>
      <c r="W78" s="12"/>
      <c r="Y78" s="9">
        <f>X75-Y75-Y76-Y77</f>
        <v>0</v>
      </c>
      <c r="Z78" s="9">
        <f>X75-Z75-Z76-Z77</f>
        <v>1</v>
      </c>
      <c r="AA78" s="9">
        <f>Z75-AA76-AA77-AA75</f>
        <v>9</v>
      </c>
      <c r="AC78" s="9" t="s">
        <v>95</v>
      </c>
      <c r="AE78" s="9">
        <f>AD75-AE75-AE76-AE77</f>
        <v>0</v>
      </c>
      <c r="AF78" s="9">
        <f>AD75-AF75-AF76-AF77</f>
        <v>0</v>
      </c>
      <c r="AG78" s="9">
        <f>AF75-AG76-AG77-AG75</f>
        <v>0</v>
      </c>
      <c r="AI78" s="9" t="s">
        <v>95</v>
      </c>
    </row>
    <row r="79" spans="1:35" s="91" customFormat="1" ht="17.25" customHeight="1">
      <c r="A79" s="130"/>
      <c r="B79" s="92"/>
      <c r="C79" s="913">
        <f>SUM(D74+F74+H74+J74)/1000</f>
        <v>1.4447999999999999</v>
      </c>
      <c r="D79" s="913"/>
      <c r="E79" s="913"/>
      <c r="F79" s="913"/>
      <c r="G79" s="913"/>
      <c r="H79" s="913"/>
      <c r="I79" s="913"/>
      <c r="J79" s="913"/>
      <c r="K79" s="913"/>
      <c r="L79" s="913">
        <f>SUM(N74+L74)/1000</f>
        <v>0.69755800000000001</v>
      </c>
      <c r="M79" s="913"/>
      <c r="N79" s="913"/>
      <c r="O79" s="913"/>
      <c r="P79" s="913">
        <f>SUM(P74+R74+T74+V74)/1000</f>
        <v>1.514518</v>
      </c>
      <c r="Q79" s="913"/>
      <c r="R79" s="913"/>
      <c r="S79" s="913"/>
      <c r="T79" s="913"/>
      <c r="U79" s="913"/>
      <c r="V79" s="913"/>
      <c r="W79" s="93"/>
      <c r="X79" s="96">
        <f>X38+X47+X56+X66+X75</f>
        <v>49</v>
      </c>
      <c r="Y79" s="96">
        <f t="shared" ref="Y79:AB82" si="2">Y38+Y47+Y56+Y66+Y75</f>
        <v>49</v>
      </c>
      <c r="Z79" s="96">
        <f t="shared" si="2"/>
        <v>48</v>
      </c>
      <c r="AA79" s="96">
        <f t="shared" si="2"/>
        <v>0</v>
      </c>
      <c r="AB79" s="96">
        <f t="shared" si="2"/>
        <v>12563.920999999998</v>
      </c>
      <c r="AC79" s="97" t="s">
        <v>93</v>
      </c>
    </row>
    <row r="80" spans="1:35" s="99" customFormat="1" ht="17.25" customHeight="1">
      <c r="A80" s="102"/>
      <c r="B80" s="100"/>
      <c r="C80" s="911" t="s">
        <v>213</v>
      </c>
      <c r="D80" s="911"/>
      <c r="E80" s="230"/>
      <c r="F80" s="230"/>
      <c r="G80" s="230"/>
      <c r="H80" s="230"/>
      <c r="I80" s="230"/>
      <c r="J80" s="238" t="s">
        <v>214</v>
      </c>
      <c r="K80" s="230"/>
      <c r="L80" s="230"/>
      <c r="M80" s="241"/>
      <c r="N80" s="241"/>
      <c r="O80" s="241"/>
      <c r="P80" s="241"/>
      <c r="Q80" s="230"/>
      <c r="R80" s="230"/>
      <c r="S80" s="230"/>
      <c r="T80" s="911" t="s">
        <v>215</v>
      </c>
      <c r="U80" s="911"/>
      <c r="V80" s="230"/>
      <c r="W80" s="111"/>
      <c r="X80" s="94">
        <f>X39+X48+X57+X67+X76</f>
        <v>0</v>
      </c>
      <c r="Y80" s="94">
        <f t="shared" si="2"/>
        <v>0</v>
      </c>
      <c r="Z80" s="94">
        <f t="shared" si="2"/>
        <v>0</v>
      </c>
      <c r="AA80" s="94">
        <f t="shared" si="2"/>
        <v>0</v>
      </c>
      <c r="AB80" s="94">
        <f t="shared" si="2"/>
        <v>0</v>
      </c>
      <c r="AC80" s="95" t="s">
        <v>56</v>
      </c>
      <c r="AE80" s="112" t="s">
        <v>201</v>
      </c>
    </row>
    <row r="81" spans="1:29" ht="12.75" customHeight="1">
      <c r="A81" s="11"/>
      <c r="B81" s="61"/>
      <c r="C81" s="206" t="s">
        <v>313</v>
      </c>
      <c r="D81" s="31"/>
      <c r="E81" s="206" t="s">
        <v>314</v>
      </c>
      <c r="F81" s="232"/>
      <c r="G81" s="206" t="s">
        <v>315</v>
      </c>
      <c r="H81" s="232"/>
      <c r="I81" s="206" t="s">
        <v>316</v>
      </c>
      <c r="J81" s="232"/>
      <c r="K81" s="206" t="s">
        <v>317</v>
      </c>
      <c r="L81" s="232"/>
      <c r="M81" s="206" t="s">
        <v>318</v>
      </c>
      <c r="N81" s="232"/>
      <c r="O81" s="206" t="s">
        <v>320</v>
      </c>
      <c r="P81" s="31"/>
      <c r="Q81" s="206" t="s">
        <v>321</v>
      </c>
      <c r="R81" s="31"/>
      <c r="S81" s="206" t="s">
        <v>322</v>
      </c>
      <c r="T81" s="31"/>
      <c r="U81" s="206" t="s">
        <v>323</v>
      </c>
      <c r="V81" s="31"/>
      <c r="W81" s="12"/>
      <c r="X81" s="74">
        <f>X40+X49+X58+X68+X77</f>
        <v>0</v>
      </c>
      <c r="Y81" s="74">
        <f t="shared" si="2"/>
        <v>0</v>
      </c>
      <c r="Z81" s="74">
        <f t="shared" si="2"/>
        <v>0</v>
      </c>
      <c r="AA81" s="74">
        <f t="shared" si="2"/>
        <v>0</v>
      </c>
      <c r="AB81" s="74">
        <f t="shared" si="2"/>
        <v>0</v>
      </c>
      <c r="AC81" s="75" t="s">
        <v>61</v>
      </c>
    </row>
    <row r="82" spans="1:29" ht="20.399999999999999">
      <c r="A82" s="11"/>
      <c r="B82" s="61"/>
      <c r="C82" s="31"/>
      <c r="D82" s="210" t="s">
        <v>243</v>
      </c>
      <c r="E82" s="210"/>
      <c r="F82" s="210" t="s">
        <v>628</v>
      </c>
      <c r="G82" s="31"/>
      <c r="H82" s="234"/>
      <c r="I82" s="31"/>
      <c r="J82" s="31"/>
      <c r="K82" s="31"/>
      <c r="L82" s="234"/>
      <c r="M82" s="31"/>
      <c r="N82" s="234"/>
      <c r="O82" s="31"/>
      <c r="P82" s="31"/>
      <c r="Q82" s="31"/>
      <c r="R82" s="31"/>
      <c r="S82" s="31"/>
      <c r="T82" s="234"/>
      <c r="U82" s="31"/>
      <c r="V82" s="31"/>
      <c r="W82" s="12"/>
      <c r="X82" s="74">
        <f>X41+X50+X59+X69+X78</f>
        <v>0</v>
      </c>
      <c r="Y82" s="74">
        <f t="shared" si="2"/>
        <v>0</v>
      </c>
      <c r="Z82" s="74">
        <f t="shared" si="2"/>
        <v>1</v>
      </c>
      <c r="AA82" s="74">
        <f t="shared" si="2"/>
        <v>48</v>
      </c>
      <c r="AB82" s="74">
        <f t="shared" si="2"/>
        <v>0</v>
      </c>
      <c r="AC82" s="74" t="s">
        <v>95</v>
      </c>
    </row>
    <row r="83" spans="1:29" ht="13.8" thickBot="1">
      <c r="A83" s="11"/>
      <c r="B83" s="61"/>
      <c r="C83" s="213"/>
      <c r="D83" s="31">
        <f>VLOOKUP(C86,[18]TS!$B$10:$D$253,3,0)</f>
        <v>315</v>
      </c>
      <c r="E83" s="213"/>
      <c r="F83" s="31">
        <f>VLOOKUP(E86,[18]TS!$B$10:$D$253,3,0)</f>
        <v>375</v>
      </c>
      <c r="G83" s="213"/>
      <c r="H83" s="31">
        <f>VLOOKUP(G86,[18]TS!$B$10:$D$253,3,0)</f>
        <v>416</v>
      </c>
      <c r="I83" s="213"/>
      <c r="J83" s="31">
        <f>VLOOKUP(I86,[18]TS!$B$10:$D$253,3,0)</f>
        <v>422</v>
      </c>
      <c r="K83" s="213"/>
      <c r="L83" s="31">
        <f>VLOOKUP(K86,[18]TS!$B$10:$D$253,3,0)</f>
        <v>388</v>
      </c>
      <c r="M83" s="31"/>
      <c r="N83" s="31">
        <f>VLOOKUP(M86,[18]TS!$B$10:$D$253,3,0)</f>
        <v>409</v>
      </c>
      <c r="O83" s="31"/>
      <c r="P83" s="31">
        <f>VLOOKUP(O86,[18]TS!$B$10:$D$253,3,0)</f>
        <v>420</v>
      </c>
      <c r="Q83" s="213"/>
      <c r="R83" s="31">
        <f>VLOOKUP(Q86,[18]TS!$B$10:$D$253,3,0)</f>
        <v>399</v>
      </c>
      <c r="S83" s="31"/>
      <c r="T83" s="31">
        <f>VLOOKUP(S86,[18]TS!$B$10:$D$253,3,0)</f>
        <v>381</v>
      </c>
      <c r="U83" s="31"/>
      <c r="V83" s="31">
        <f>VLOOKUP(U86,[18]TS!$B$10:$D$253,3,0)</f>
        <v>382</v>
      </c>
      <c r="W83" s="14">
        <f>SUM(D83:V83)</f>
        <v>3907</v>
      </c>
    </row>
    <row r="84" spans="1:29" ht="13.8" thickBot="1">
      <c r="A84" s="11" t="e">
        <f>A75+1</f>
        <v>#REF!</v>
      </c>
      <c r="B84" s="61"/>
      <c r="C84" s="163" t="s">
        <v>239</v>
      </c>
      <c r="D84" s="31"/>
      <c r="E84" s="163" t="s">
        <v>239</v>
      </c>
      <c r="F84" s="31"/>
      <c r="G84" s="163" t="s">
        <v>445</v>
      </c>
      <c r="H84" s="31"/>
      <c r="I84" s="163" t="s">
        <v>655</v>
      </c>
      <c r="J84" s="31"/>
      <c r="K84" s="163" t="s">
        <v>239</v>
      </c>
      <c r="L84" s="31"/>
      <c r="M84" s="163" t="s">
        <v>239</v>
      </c>
      <c r="N84" s="31"/>
      <c r="O84" s="163" t="s">
        <v>653</v>
      </c>
      <c r="P84" s="31"/>
      <c r="Q84" s="163" t="s">
        <v>239</v>
      </c>
      <c r="R84" s="31"/>
      <c r="S84" s="163" t="s">
        <v>239</v>
      </c>
      <c r="T84" s="31"/>
      <c r="U84" s="163" t="s">
        <v>239</v>
      </c>
      <c r="V84" s="31"/>
      <c r="W84" s="14"/>
      <c r="X84" s="9">
        <v>10</v>
      </c>
      <c r="Y84" s="9">
        <v>10</v>
      </c>
      <c r="Z84" s="9">
        <v>9</v>
      </c>
      <c r="AA84" s="9">
        <v>0</v>
      </c>
      <c r="AB84" s="50">
        <v>0</v>
      </c>
      <c r="AC84" s="9" t="s">
        <v>65</v>
      </c>
    </row>
    <row r="85" spans="1:29" ht="13.8" thickBot="1">
      <c r="A85" s="11"/>
      <c r="B85" s="61"/>
      <c r="C85" s="269"/>
      <c r="D85" s="31"/>
      <c r="E85" s="192"/>
      <c r="F85" s="31"/>
      <c r="G85" s="269"/>
      <c r="H85" s="31"/>
      <c r="I85" s="192"/>
      <c r="J85" s="31"/>
      <c r="K85" s="269"/>
      <c r="L85" s="31"/>
      <c r="M85" s="269"/>
      <c r="N85" s="31"/>
      <c r="O85" s="192"/>
      <c r="P85" s="31"/>
      <c r="Q85" s="269"/>
      <c r="R85" s="31"/>
      <c r="S85" s="269"/>
      <c r="T85" s="31"/>
      <c r="U85" s="269"/>
      <c r="V85" s="31"/>
      <c r="W85" s="14"/>
      <c r="X85" s="9">
        <v>0</v>
      </c>
      <c r="Y85" s="9">
        <f>COUNTIF($B$85:$U$85,"WIP")</f>
        <v>0</v>
      </c>
      <c r="Z85" s="9">
        <v>0</v>
      </c>
      <c r="AA85" s="9">
        <v>0</v>
      </c>
      <c r="AB85" s="9">
        <v>0</v>
      </c>
      <c r="AC85" s="9" t="s">
        <v>56</v>
      </c>
    </row>
    <row r="86" spans="1:29" ht="16.5" customHeight="1">
      <c r="A86" s="11"/>
      <c r="B86" s="61"/>
      <c r="C86" s="215" t="s">
        <v>36</v>
      </c>
      <c r="D86" s="215"/>
      <c r="E86" s="215" t="s">
        <v>6</v>
      </c>
      <c r="F86" s="215"/>
      <c r="G86" s="215" t="s">
        <v>37</v>
      </c>
      <c r="H86" s="215"/>
      <c r="I86" s="215" t="s">
        <v>155</v>
      </c>
      <c r="J86" s="215"/>
      <c r="K86" s="215" t="s">
        <v>156</v>
      </c>
      <c r="L86" s="215"/>
      <c r="M86" s="215" t="s">
        <v>157</v>
      </c>
      <c r="N86" s="215"/>
      <c r="O86" s="215" t="s">
        <v>158</v>
      </c>
      <c r="P86" s="215"/>
      <c r="Q86" s="215" t="s">
        <v>159</v>
      </c>
      <c r="R86" s="215"/>
      <c r="S86" s="215" t="s">
        <v>160</v>
      </c>
      <c r="T86" s="215"/>
      <c r="U86" s="215" t="s">
        <v>161</v>
      </c>
      <c r="V86" s="31"/>
      <c r="W86" s="14"/>
      <c r="X86" s="9">
        <f>COUNTIF($C$84:$U$84,"ROW")</f>
        <v>0</v>
      </c>
      <c r="Y86" s="9">
        <f>COUNTIF($B$85:$U$85,"ROW")</f>
        <v>0</v>
      </c>
      <c r="Z86" s="9">
        <f>COUNTIF($C$83:$V$83,"ROW")</f>
        <v>0</v>
      </c>
      <c r="AA86" s="9">
        <v>0</v>
      </c>
      <c r="AC86" s="9" t="s">
        <v>61</v>
      </c>
    </row>
    <row r="87" spans="1:29" ht="16.5" customHeight="1">
      <c r="A87" s="11"/>
      <c r="B87" s="61"/>
      <c r="C87" s="237" t="str">
        <f>VLOOKUP(C86,[18]TS!$B$10:$D$253,2,0)</f>
        <v>1DB1+0</v>
      </c>
      <c r="D87" s="31"/>
      <c r="E87" s="237" t="str">
        <f>VLOOKUP(E86,[18]TS!$B$10:$D$253,2,0)</f>
        <v>1DA-3</v>
      </c>
      <c r="F87" s="31"/>
      <c r="G87" s="237" t="str">
        <f>VLOOKUP(G86,[18]TS!$B$10:$D$253,2,0)</f>
        <v>1DA+0</v>
      </c>
      <c r="H87" s="31"/>
      <c r="I87" s="237" t="str">
        <f>VLOOKUP(I86,[18]TS!$B$10:$D$253,2,0)</f>
        <v>1DA+0</v>
      </c>
      <c r="J87" s="31"/>
      <c r="K87" s="237" t="str">
        <f>VLOOKUP(K86,[18]TS!$B$10:$D$253,2,0)</f>
        <v>1DA+0</v>
      </c>
      <c r="L87" s="31"/>
      <c r="M87" s="237" t="str">
        <f>VLOOKUP(M86,[18]TS!$B$10:$D$253,2,0)</f>
        <v>1DA+6</v>
      </c>
      <c r="N87" s="31"/>
      <c r="O87" s="237" t="str">
        <f>VLOOKUP(O86,[18]TS!$B$10:$D$253,2,0)</f>
        <v>1DA+0</v>
      </c>
      <c r="P87" s="31"/>
      <c r="Q87" s="237" t="str">
        <f>VLOOKUP(Q86,[18]TS!$B$10:$D$253,2,0)</f>
        <v>1DB1+0</v>
      </c>
      <c r="R87" s="240"/>
      <c r="S87" s="237" t="str">
        <f>VLOOKUP(S86,[18]TS!$B$10:$D$253,2,0)</f>
        <v>1DA+3</v>
      </c>
      <c r="T87" s="31"/>
      <c r="U87" s="237" t="str">
        <f>VLOOKUP(U86,[18]TS!$B$10:$D$253,2,0)</f>
        <v>1DA+0</v>
      </c>
      <c r="V87" s="31"/>
      <c r="W87" s="14"/>
      <c r="Y87" s="9">
        <f>X84-Y84-Y85-Y86</f>
        <v>0</v>
      </c>
      <c r="Z87" s="9">
        <f>X84-Z84-Z85-Z86</f>
        <v>1</v>
      </c>
      <c r="AA87" s="9">
        <f>Z84-AA85-AA86-AA84</f>
        <v>9</v>
      </c>
      <c r="AC87" s="9" t="s">
        <v>95</v>
      </c>
    </row>
    <row r="88" spans="1:29" s="91" customFormat="1" ht="16.5" customHeight="1">
      <c r="A88" s="130"/>
      <c r="B88" s="92"/>
      <c r="C88" s="913"/>
      <c r="D88" s="913"/>
      <c r="E88" s="913"/>
      <c r="F88" s="913"/>
      <c r="G88" s="913"/>
      <c r="H88" s="913"/>
      <c r="I88" s="913"/>
      <c r="J88" s="913"/>
      <c r="K88" s="913"/>
      <c r="L88" s="913"/>
      <c r="M88" s="913"/>
      <c r="N88" s="913"/>
      <c r="O88" s="913"/>
      <c r="P88" s="913"/>
      <c r="Q88" s="913"/>
      <c r="R88" s="913"/>
      <c r="S88" s="913"/>
      <c r="T88" s="913"/>
      <c r="U88" s="913"/>
      <c r="V88" s="913"/>
      <c r="W88" s="93"/>
    </row>
    <row r="89" spans="1:29" s="99" customFormat="1" ht="17.25" customHeight="1" thickBot="1">
      <c r="A89" s="102"/>
      <c r="B89" s="113"/>
      <c r="C89" s="923" t="s">
        <v>215</v>
      </c>
      <c r="D89" s="923"/>
      <c r="E89" s="923"/>
      <c r="F89" s="114"/>
      <c r="G89" s="114"/>
      <c r="H89" s="114"/>
      <c r="I89" s="114"/>
      <c r="J89" s="114"/>
      <c r="K89" s="114"/>
      <c r="L89" s="114"/>
      <c r="M89" s="114"/>
      <c r="N89" s="114"/>
      <c r="O89" s="117"/>
      <c r="P89" s="114"/>
      <c r="Q89" s="114"/>
      <c r="R89" s="114"/>
      <c r="S89" s="114"/>
      <c r="T89" s="118"/>
      <c r="U89" s="923" t="s">
        <v>217</v>
      </c>
      <c r="V89" s="923"/>
      <c r="W89" s="116"/>
    </row>
    <row r="90" spans="1:29" ht="12.6" customHeight="1">
      <c r="A90" s="11"/>
      <c r="B90" s="242"/>
      <c r="C90" s="226" t="s">
        <v>324</v>
      </c>
      <c r="D90" s="243"/>
      <c r="E90" s="226" t="s">
        <v>325</v>
      </c>
      <c r="F90" s="243"/>
      <c r="G90" s="226" t="s">
        <v>326</v>
      </c>
      <c r="H90" s="243"/>
      <c r="I90" s="226" t="s">
        <v>327</v>
      </c>
      <c r="J90" s="243"/>
      <c r="K90" s="226" t="s">
        <v>328</v>
      </c>
      <c r="L90" s="243"/>
      <c r="M90" s="226" t="s">
        <v>329</v>
      </c>
      <c r="N90" s="243"/>
      <c r="O90" s="226" t="s">
        <v>330</v>
      </c>
      <c r="P90" s="243"/>
      <c r="Q90" s="226" t="s">
        <v>331</v>
      </c>
      <c r="R90" s="243"/>
      <c r="S90" s="226" t="s">
        <v>332</v>
      </c>
      <c r="T90" s="243"/>
      <c r="U90" s="226" t="s">
        <v>333</v>
      </c>
      <c r="V90" s="243"/>
      <c r="W90" s="244"/>
    </row>
    <row r="91" spans="1:29" ht="18.600000000000001" customHeight="1">
      <c r="A91" s="11"/>
      <c r="B91" s="61"/>
      <c r="C91" s="31"/>
      <c r="D91" s="31"/>
      <c r="E91" s="31"/>
      <c r="F91" s="31"/>
      <c r="G91" s="31"/>
      <c r="H91" s="31"/>
      <c r="I91" s="31"/>
      <c r="J91" s="210" t="s">
        <v>242</v>
      </c>
      <c r="K91" s="210"/>
      <c r="L91" s="210"/>
      <c r="M91" s="210"/>
      <c r="N91" s="210" t="s">
        <v>241</v>
      </c>
      <c r="O91" s="210"/>
      <c r="P91" s="210" t="s">
        <v>242</v>
      </c>
      <c r="Q91" s="210"/>
      <c r="R91" s="210" t="s">
        <v>242</v>
      </c>
      <c r="S91" s="210"/>
      <c r="T91" s="210" t="s">
        <v>621</v>
      </c>
      <c r="U91" s="31"/>
      <c r="V91" s="210" t="s">
        <v>240</v>
      </c>
      <c r="W91" s="14"/>
      <c r="X91" s="9" t="s">
        <v>63</v>
      </c>
      <c r="Y91" s="9" t="s">
        <v>92</v>
      </c>
      <c r="Z91" s="9" t="s">
        <v>64</v>
      </c>
      <c r="AA91" s="20" t="s">
        <v>106</v>
      </c>
      <c r="AB91" s="9" t="s">
        <v>62</v>
      </c>
    </row>
    <row r="92" spans="1:29" ht="13.8" thickBot="1">
      <c r="A92" s="11"/>
      <c r="B92" s="61"/>
      <c r="C92" s="31"/>
      <c r="D92" s="31">
        <f>VLOOKUP(C95,[18]TS!$B$10:$D$253,3,0)</f>
        <v>391</v>
      </c>
      <c r="E92" s="213"/>
      <c r="F92" s="31">
        <f>VLOOKUP(E95,[18]TS!$B$10:$D$253,3,0)</f>
        <v>433</v>
      </c>
      <c r="G92" s="213"/>
      <c r="H92" s="31">
        <f>VLOOKUP(G95,[18]TS!$B$10:$D$253,3,0)</f>
        <v>415</v>
      </c>
      <c r="I92" s="31"/>
      <c r="J92" s="31">
        <f>VLOOKUP(I95,[18]TS!$B$10:$D$253,3,0)</f>
        <v>430</v>
      </c>
      <c r="K92" s="213"/>
      <c r="L92" s="31">
        <f>VLOOKUP(K95,[18]TS!$B$10:$D$253,3,0)</f>
        <v>314</v>
      </c>
      <c r="M92" s="213"/>
      <c r="N92" s="31">
        <f>VLOOKUP(M95,[18]TS!$B$10:$D$253,3,0)</f>
        <v>402.24900000000002</v>
      </c>
      <c r="O92" s="31"/>
      <c r="P92" s="31">
        <f>VLOOKUP(O95,[18]TS!$B$10:$D$253,3,0)</f>
        <v>394</v>
      </c>
      <c r="Q92" s="31"/>
      <c r="R92" s="31">
        <f>VLOOKUP(Q95,[18]TS!$B$10:$D$253,3,0)</f>
        <v>419.44499999999999</v>
      </c>
      <c r="S92" s="31"/>
      <c r="T92" s="31">
        <f>VLOOKUP(S95,[18]TS!$B$10:$D$253,3,0)</f>
        <v>402</v>
      </c>
      <c r="U92" s="31"/>
      <c r="V92" s="31">
        <f>VLOOKUP(U95,[18]TS!$B$10:$D$253,3,0)</f>
        <v>426</v>
      </c>
      <c r="W92" s="14">
        <f>SUM(D92:V92)</f>
        <v>4026.694</v>
      </c>
    </row>
    <row r="93" spans="1:29" ht="13.8" thickBot="1">
      <c r="A93" s="11">
        <v>10</v>
      </c>
      <c r="B93" s="61"/>
      <c r="C93" s="163" t="s">
        <v>653</v>
      </c>
      <c r="D93" s="31"/>
      <c r="E93" s="163" t="s">
        <v>653</v>
      </c>
      <c r="F93" s="31"/>
      <c r="G93" s="163" t="s">
        <v>653</v>
      </c>
      <c r="H93" s="31"/>
      <c r="I93" s="163" t="s">
        <v>653</v>
      </c>
      <c r="J93" s="31"/>
      <c r="K93" s="163" t="s">
        <v>239</v>
      </c>
      <c r="L93" s="31"/>
      <c r="M93" s="163" t="s">
        <v>239</v>
      </c>
      <c r="N93" s="31"/>
      <c r="O93" s="163" t="s">
        <v>239</v>
      </c>
      <c r="P93" s="31"/>
      <c r="Q93" s="163" t="s">
        <v>239</v>
      </c>
      <c r="R93" s="31"/>
      <c r="S93" s="163" t="s">
        <v>239</v>
      </c>
      <c r="T93" s="31"/>
      <c r="U93" s="163" t="s">
        <v>653</v>
      </c>
      <c r="V93" s="31"/>
      <c r="W93" s="14"/>
      <c r="X93" s="9">
        <v>10</v>
      </c>
      <c r="Y93" s="9">
        <v>10</v>
      </c>
      <c r="Z93" s="9">
        <v>10</v>
      </c>
      <c r="AA93" s="9">
        <v>0</v>
      </c>
      <c r="AB93" s="13">
        <v>0</v>
      </c>
      <c r="AC93" s="9" t="s">
        <v>65</v>
      </c>
    </row>
    <row r="94" spans="1:29" ht="13.8" thickBot="1">
      <c r="A94" s="11"/>
      <c r="B94" s="61"/>
      <c r="C94" s="267"/>
      <c r="D94" s="31"/>
      <c r="E94" s="267"/>
      <c r="F94" s="31"/>
      <c r="G94" s="267"/>
      <c r="H94" s="31"/>
      <c r="I94" s="267"/>
      <c r="J94" s="31"/>
      <c r="K94" s="437"/>
      <c r="L94" s="31"/>
      <c r="M94" s="267"/>
      <c r="N94" s="31"/>
      <c r="O94" s="267"/>
      <c r="P94" s="31"/>
      <c r="Q94" s="439"/>
      <c r="R94" s="31"/>
      <c r="S94" s="267"/>
      <c r="T94" s="31"/>
      <c r="U94" s="267"/>
      <c r="V94" s="31"/>
      <c r="W94" s="14"/>
      <c r="X94" s="9">
        <v>0</v>
      </c>
      <c r="Y94" s="9">
        <f>COUNTIF($B$94:$U$94,"WIP")</f>
        <v>0</v>
      </c>
      <c r="Z94" s="9">
        <v>0</v>
      </c>
      <c r="AA94" s="9">
        <v>0</v>
      </c>
      <c r="AB94" s="50">
        <v>0</v>
      </c>
      <c r="AC94" s="9" t="s">
        <v>56</v>
      </c>
    </row>
    <row r="95" spans="1:29" ht="16.5" customHeight="1">
      <c r="A95" s="11"/>
      <c r="B95" s="61"/>
      <c r="C95" s="215" t="s">
        <v>162</v>
      </c>
      <c r="D95" s="215"/>
      <c r="E95" s="215" t="s">
        <v>163</v>
      </c>
      <c r="F95" s="215"/>
      <c r="G95" s="215" t="s">
        <v>164</v>
      </c>
      <c r="H95" s="215"/>
      <c r="I95" s="215" t="s">
        <v>165</v>
      </c>
      <c r="J95" s="215"/>
      <c r="K95" s="215" t="s">
        <v>166</v>
      </c>
      <c r="L95" s="215"/>
      <c r="M95" s="215" t="s">
        <v>167</v>
      </c>
      <c r="N95" s="215"/>
      <c r="O95" s="215" t="s">
        <v>38</v>
      </c>
      <c r="P95" s="215"/>
      <c r="Q95" s="215" t="s">
        <v>168</v>
      </c>
      <c r="R95" s="215"/>
      <c r="S95" s="215" t="s">
        <v>39</v>
      </c>
      <c r="T95" s="215"/>
      <c r="U95" s="215" t="s">
        <v>8</v>
      </c>
      <c r="V95" s="31"/>
      <c r="W95" s="14"/>
      <c r="X95" s="9">
        <v>0</v>
      </c>
      <c r="Y95" s="9">
        <f>COUNTIF($B$94:$U$94,"ROW")</f>
        <v>0</v>
      </c>
      <c r="Z95" s="9">
        <v>0</v>
      </c>
      <c r="AA95" s="9">
        <v>0</v>
      </c>
      <c r="AB95" s="9">
        <v>0</v>
      </c>
      <c r="AC95" s="9" t="s">
        <v>61</v>
      </c>
    </row>
    <row r="96" spans="1:29" ht="16.5" customHeight="1">
      <c r="A96" s="11"/>
      <c r="B96" s="61"/>
      <c r="C96" s="237" t="str">
        <f>VLOOKUP(C95,[18]TS!$B$10:$D$253,2,0)</f>
        <v>1DA+0</v>
      </c>
      <c r="D96" s="31"/>
      <c r="E96" s="237" t="str">
        <f>VLOOKUP(E95,[18]TS!$B$10:$D$253,2,0)</f>
        <v>1DA-1.5</v>
      </c>
      <c r="F96" s="31"/>
      <c r="G96" s="237" t="str">
        <f>VLOOKUP(G95,[18]TS!$B$10:$D$253,2,0)</f>
        <v>1DA+0</v>
      </c>
      <c r="H96" s="31"/>
      <c r="I96" s="237" t="str">
        <f>VLOOKUP(I95,[18]TS!$B$10:$D$253,2,0)</f>
        <v>1DA+0</v>
      </c>
      <c r="J96" s="31"/>
      <c r="K96" s="237" t="str">
        <f>VLOOKUP(K95,[18]TS!$B$10:$D$253,2,0)</f>
        <v>1DA+0</v>
      </c>
      <c r="L96" s="31"/>
      <c r="M96" s="237" t="str">
        <f>VLOOKUP(M95,[18]TS!$B$10:$D$253,2,0)</f>
        <v>1DA+9</v>
      </c>
      <c r="N96" s="240"/>
      <c r="O96" s="237" t="str">
        <f>VLOOKUP(O95,[18]TS!$B$10:$D$253,2,0)</f>
        <v>1DC1+0</v>
      </c>
      <c r="P96" s="31"/>
      <c r="Q96" s="237" t="str">
        <f>VLOOKUP(Q95,[18]TS!$B$10:$D$253,2,0)</f>
        <v>1DA+3</v>
      </c>
      <c r="R96" s="31"/>
      <c r="S96" s="237" t="str">
        <f>VLOOKUP(S95,[18]TS!$B$10:$D$253,2,0)</f>
        <v>1DB2+0</v>
      </c>
      <c r="T96" s="31"/>
      <c r="U96" s="237" t="str">
        <f>VLOOKUP(U95,[18]TS!$B$10:$D$253,2,0)</f>
        <v>1DA+6</v>
      </c>
      <c r="V96" s="31"/>
      <c r="W96" s="14"/>
      <c r="Y96" s="9">
        <f>X93-Y93-Y94-Y95</f>
        <v>0</v>
      </c>
      <c r="Z96" s="9">
        <f>X93-Z93-Z94-Z95</f>
        <v>0</v>
      </c>
      <c r="AA96" s="9">
        <f>Z93-AA94-AA95-AA93</f>
        <v>10</v>
      </c>
      <c r="AC96" s="9" t="s">
        <v>95</v>
      </c>
    </row>
    <row r="97" spans="1:33" s="91" customFormat="1" ht="16.5" customHeight="1">
      <c r="A97" s="130"/>
      <c r="B97" s="92"/>
      <c r="C97" s="913">
        <f>SUM(D83+F83+H83+J83+L83+N83+P83+R83+T83+V83+D92+F92+H92+J92+L92+N92)/1000</f>
        <v>6.292249</v>
      </c>
      <c r="D97" s="913"/>
      <c r="E97" s="913"/>
      <c r="F97" s="913"/>
      <c r="G97" s="913"/>
      <c r="H97" s="913"/>
      <c r="I97" s="913"/>
      <c r="J97" s="913"/>
      <c r="K97" s="913"/>
      <c r="L97" s="913"/>
      <c r="M97" s="913"/>
      <c r="N97" s="913"/>
      <c r="O97" s="913">
        <f>(P92+R92)/1000</f>
        <v>0.81344499999999997</v>
      </c>
      <c r="P97" s="913"/>
      <c r="Q97" s="913"/>
      <c r="R97" s="913"/>
      <c r="S97" s="913"/>
      <c r="T97" s="913"/>
      <c r="U97" s="913"/>
      <c r="V97" s="913"/>
      <c r="W97" s="93"/>
    </row>
    <row r="98" spans="1:33" s="99" customFormat="1" ht="19.5" customHeight="1">
      <c r="A98" s="102"/>
      <c r="B98" s="100"/>
      <c r="C98" s="230"/>
      <c r="D98" s="230"/>
      <c r="E98" s="230"/>
      <c r="F98" s="230"/>
      <c r="G98" s="230"/>
      <c r="H98" s="230"/>
      <c r="J98" s="911" t="s">
        <v>218</v>
      </c>
      <c r="K98" s="911"/>
      <c r="L98" s="230"/>
      <c r="M98" s="230"/>
      <c r="N98" s="245" t="s">
        <v>210</v>
      </c>
      <c r="O98" s="230"/>
      <c r="P98" s="230"/>
      <c r="Q98" s="230"/>
      <c r="R98" s="230"/>
      <c r="S98" s="230"/>
      <c r="T98" s="911" t="s">
        <v>219</v>
      </c>
      <c r="U98" s="911"/>
      <c r="V98" s="911"/>
      <c r="W98" s="111"/>
    </row>
    <row r="99" spans="1:33" ht="15" customHeight="1">
      <c r="A99" s="11"/>
      <c r="B99" s="61"/>
      <c r="C99" s="206" t="s">
        <v>334</v>
      </c>
      <c r="D99" s="31"/>
      <c r="E99" s="206" t="s">
        <v>335</v>
      </c>
      <c r="F99" s="31"/>
      <c r="G99" s="206" t="s">
        <v>336</v>
      </c>
      <c r="H99" s="31"/>
      <c r="I99" s="206" t="s">
        <v>337</v>
      </c>
      <c r="J99" s="31"/>
      <c r="K99" s="206" t="s">
        <v>338</v>
      </c>
      <c r="L99" s="31"/>
      <c r="M99" s="206" t="s">
        <v>339</v>
      </c>
      <c r="O99" s="206" t="s">
        <v>319</v>
      </c>
      <c r="P99" s="31"/>
      <c r="Q99" s="206" t="s">
        <v>340</v>
      </c>
      <c r="R99" s="31"/>
      <c r="S99" s="206" t="s">
        <v>341</v>
      </c>
      <c r="T99" s="31"/>
      <c r="U99" s="206" t="s">
        <v>342</v>
      </c>
      <c r="V99" s="31"/>
      <c r="W99" s="14"/>
      <c r="AG99" s="9">
        <f>36189-384</f>
        <v>35805</v>
      </c>
    </row>
    <row r="100" spans="1:33">
      <c r="A100" s="11"/>
      <c r="B100" s="61"/>
      <c r="C100" s="31"/>
      <c r="D100" s="210" t="s">
        <v>242</v>
      </c>
      <c r="E100" s="31"/>
      <c r="F100" s="210" t="s">
        <v>242</v>
      </c>
      <c r="G100" s="31"/>
      <c r="H100" s="31"/>
      <c r="I100" s="31"/>
      <c r="J100" s="31"/>
      <c r="K100" s="31"/>
      <c r="L100" s="210" t="s">
        <v>242</v>
      </c>
      <c r="M100" s="210"/>
      <c r="N100" s="210" t="s">
        <v>622</v>
      </c>
      <c r="O100" s="31"/>
      <c r="P100" s="31"/>
      <c r="Q100" s="31"/>
      <c r="R100" s="31"/>
      <c r="S100" s="31"/>
      <c r="T100" s="31"/>
      <c r="U100" s="31"/>
      <c r="V100" s="31"/>
      <c r="W100" s="14"/>
      <c r="X100" s="9" t="s">
        <v>63</v>
      </c>
      <c r="Y100" s="9" t="s">
        <v>92</v>
      </c>
      <c r="Z100" s="9" t="s">
        <v>64</v>
      </c>
      <c r="AA100" s="20" t="s">
        <v>106</v>
      </c>
      <c r="AB100" s="9" t="s">
        <v>62</v>
      </c>
    </row>
    <row r="101" spans="1:33" ht="13.8" thickBot="1">
      <c r="A101" s="11"/>
      <c r="B101" s="61"/>
      <c r="C101" s="31"/>
      <c r="D101" s="31">
        <f>VLOOKUP(C104,[18]TS!$B$10:$D$253,3,0)</f>
        <v>429.05900000000003</v>
      </c>
      <c r="E101" s="213"/>
      <c r="F101" s="31">
        <f>VLOOKUP(E104,[18]TS!$B$10:$D$253,3,0)</f>
        <v>336</v>
      </c>
      <c r="G101" s="213"/>
      <c r="H101" s="31">
        <f>VLOOKUP(G104,[18]TS!$B$10:$D$253,3,0)</f>
        <v>441</v>
      </c>
      <c r="I101" s="31"/>
      <c r="J101" s="31">
        <f>VLOOKUP(I104,[18]TS!$B$10:$D$253,3,0)</f>
        <v>324.04899999999998</v>
      </c>
      <c r="K101" s="213"/>
      <c r="L101" s="31">
        <f>VLOOKUP(K104,[18]TS!$B$10:$D$253,3,0)</f>
        <v>417.21899999999999</v>
      </c>
      <c r="M101" s="213"/>
      <c r="N101" s="31">
        <f>VLOOKUP(M104,[18]TS!$B$10:$D$253,3,0)</f>
        <v>249.602</v>
      </c>
      <c r="O101" s="31"/>
      <c r="P101" s="31">
        <f>VLOOKUP(O104,[18]TS!$B$10:$D$253,3,0)</f>
        <v>333.60199999999998</v>
      </c>
      <c r="Q101" s="31"/>
      <c r="R101" s="31">
        <f>VLOOKUP(Q104,[18]TS!$B$10:$D$253,3,0)</f>
        <v>313</v>
      </c>
      <c r="S101" s="31"/>
      <c r="T101" s="31">
        <f>VLOOKUP(S104,[18]TS!$B$10:$D$253,3,0)</f>
        <v>337</v>
      </c>
      <c r="U101" s="213"/>
      <c r="V101" s="31">
        <f>VLOOKUP(U104,[18]TS!$B$10:$D$253,3,0)</f>
        <v>384.09800000000001</v>
      </c>
      <c r="W101" s="14">
        <f>SUM(D101:V101)</f>
        <v>3564.6289999999999</v>
      </c>
    </row>
    <row r="102" spans="1:33" ht="13.8" thickBot="1">
      <c r="A102" s="11">
        <v>11</v>
      </c>
      <c r="B102" s="61"/>
      <c r="C102" s="163" t="s">
        <v>653</v>
      </c>
      <c r="D102" s="31"/>
      <c r="E102" s="163" t="s">
        <v>239</v>
      </c>
      <c r="F102" s="31"/>
      <c r="G102" s="266" t="s">
        <v>809</v>
      </c>
      <c r="H102" s="31"/>
      <c r="I102" s="163" t="s">
        <v>239</v>
      </c>
      <c r="J102" s="63"/>
      <c r="K102" s="163" t="s">
        <v>239</v>
      </c>
      <c r="L102" s="31"/>
      <c r="M102" s="163" t="s">
        <v>85</v>
      </c>
      <c r="N102" s="31"/>
      <c r="O102" s="163" t="s">
        <v>239</v>
      </c>
      <c r="P102" s="31"/>
      <c r="Q102" s="163" t="s">
        <v>239</v>
      </c>
      <c r="R102" s="31"/>
      <c r="S102" s="163" t="s">
        <v>239</v>
      </c>
      <c r="T102" s="31"/>
      <c r="U102" s="266" t="s">
        <v>239</v>
      </c>
      <c r="V102" s="31"/>
      <c r="W102" s="14"/>
      <c r="X102" s="9">
        <v>10</v>
      </c>
      <c r="Y102" s="9">
        <v>10</v>
      </c>
      <c r="Z102" s="9">
        <v>7</v>
      </c>
      <c r="AA102" s="9">
        <v>0</v>
      </c>
      <c r="AB102" s="9">
        <v>0</v>
      </c>
      <c r="AC102" s="9" t="s">
        <v>65</v>
      </c>
    </row>
    <row r="103" spans="1:33" ht="13.8" thickBot="1">
      <c r="A103" s="11"/>
      <c r="B103" s="61"/>
      <c r="C103" s="449"/>
      <c r="D103" s="31"/>
      <c r="E103" s="267"/>
      <c r="F103" s="31"/>
      <c r="G103" s="449"/>
      <c r="H103" s="31"/>
      <c r="I103" s="267"/>
      <c r="J103" s="31"/>
      <c r="K103" s="267"/>
      <c r="L103" s="31"/>
      <c r="M103" s="267"/>
      <c r="N103" s="31"/>
      <c r="O103" s="449"/>
      <c r="P103" s="31"/>
      <c r="Q103" s="267"/>
      <c r="R103" s="31"/>
      <c r="S103" s="267"/>
      <c r="T103" s="31"/>
      <c r="U103" s="267"/>
      <c r="V103" s="31"/>
      <c r="W103" s="14"/>
      <c r="X103" s="9">
        <v>0</v>
      </c>
      <c r="Y103" s="9">
        <f>COUNTIF($B$103:$U$103,"WIP")</f>
        <v>0</v>
      </c>
      <c r="Z103" s="9">
        <v>0</v>
      </c>
      <c r="AA103" s="9">
        <v>0</v>
      </c>
      <c r="AB103" s="9">
        <v>0</v>
      </c>
      <c r="AC103" s="9" t="s">
        <v>56</v>
      </c>
    </row>
    <row r="104" spans="1:33" ht="16.5" customHeight="1">
      <c r="A104" s="11"/>
      <c r="B104" s="61"/>
      <c r="C104" s="215" t="s">
        <v>40</v>
      </c>
      <c r="D104" s="215"/>
      <c r="E104" s="215" t="s">
        <v>620</v>
      </c>
      <c r="F104" s="215"/>
      <c r="G104" s="215" t="s">
        <v>616</v>
      </c>
      <c r="H104" s="215"/>
      <c r="I104" s="215" t="s">
        <v>617</v>
      </c>
      <c r="J104" s="215"/>
      <c r="K104" s="215" t="s">
        <v>41</v>
      </c>
      <c r="L104" s="215"/>
      <c r="M104" s="215" t="s">
        <v>42</v>
      </c>
      <c r="N104" s="215"/>
      <c r="O104" s="215" t="s">
        <v>43</v>
      </c>
      <c r="P104" s="215"/>
      <c r="Q104" s="215" t="s">
        <v>44</v>
      </c>
      <c r="R104" s="215"/>
      <c r="S104" s="215" t="s">
        <v>171</v>
      </c>
      <c r="T104" s="215"/>
      <c r="U104" s="215" t="s">
        <v>172</v>
      </c>
      <c r="V104" s="31"/>
      <c r="W104" s="14"/>
      <c r="X104" s="9">
        <f>COUNTIF($C$102:$U$102,"ROW")</f>
        <v>0</v>
      </c>
      <c r="Y104" s="9">
        <f>COUNTIF($B$103:$U$103,"ROW")</f>
        <v>0</v>
      </c>
      <c r="Z104" s="9">
        <f>COUNTIF($C$101:$V$101,"ROW")</f>
        <v>0</v>
      </c>
      <c r="AA104" s="9">
        <v>0</v>
      </c>
      <c r="AC104" s="9" t="s">
        <v>61</v>
      </c>
    </row>
    <row r="105" spans="1:33" ht="16.5" customHeight="1">
      <c r="A105" s="11"/>
      <c r="B105" s="61"/>
      <c r="C105" s="237" t="str">
        <f>VLOOKUP(C104,[18]TS!$B$10:$D$253,2,0)</f>
        <v>1DA+3</v>
      </c>
      <c r="D105" s="31"/>
      <c r="E105" s="237" t="str">
        <f>VLOOKUP(E104,[18]TS!$B$10:$D$253,2,0)</f>
        <v>1DC1+0</v>
      </c>
      <c r="F105" s="240"/>
      <c r="G105" s="237" t="str">
        <f>VLOOKUP(G104,[18]TS!$B$10:$D$253,2,0)</f>
        <v>1DA+9</v>
      </c>
      <c r="H105" s="31"/>
      <c r="I105" s="237" t="str">
        <f>VLOOKUP(I104,[18]TS!$B$10:$D$253,2,0)</f>
        <v>1DA-1.5</v>
      </c>
      <c r="J105" s="31"/>
      <c r="K105" s="237" t="str">
        <f>VLOOKUP(K104,[18]TS!$B$10:$D$253,2,0)</f>
        <v>1DC1+3</v>
      </c>
      <c r="L105" s="246"/>
      <c r="M105" s="237" t="str">
        <f>VLOOKUP(M104,[18]TS!$B$10:$D$253,2,0)</f>
        <v>1DC1+0</v>
      </c>
      <c r="N105" s="31"/>
      <c r="O105" s="237" t="str">
        <f>VLOOKUP(O104,[18]TS!$B$10:$D$253,2,0)</f>
        <v>1DB1-3</v>
      </c>
      <c r="P105" s="31"/>
      <c r="Q105" s="237" t="str">
        <f>VLOOKUP(Q104,[18]TS!$B$10:$D$253,2,0)</f>
        <v>1DC2+0</v>
      </c>
      <c r="R105" s="31"/>
      <c r="S105" s="237" t="str">
        <f>VLOOKUP(S104,[18]TS!$B$10:$D$253,2,0)</f>
        <v>1DA-3</v>
      </c>
      <c r="T105" s="31"/>
      <c r="U105" s="237" t="str">
        <f>VLOOKUP(U104,[18]TS!$B$10:$D$253,2,0)</f>
        <v>1DA-3</v>
      </c>
      <c r="V105" s="31"/>
      <c r="W105" s="14"/>
      <c r="Y105" s="9">
        <f>X102-Y102-Y103-Y104</f>
        <v>0</v>
      </c>
      <c r="Z105" s="9">
        <f>X102-Z102-Z103-Z104</f>
        <v>3</v>
      </c>
      <c r="AA105" s="9">
        <f>Z102-AA103-AA104-AA102</f>
        <v>7</v>
      </c>
      <c r="AC105" s="9" t="s">
        <v>95</v>
      </c>
    </row>
    <row r="106" spans="1:33" s="56" customFormat="1" ht="16.5" customHeight="1">
      <c r="A106" s="131"/>
      <c r="B106" s="67"/>
      <c r="C106" s="913">
        <f>(T92+V92+D101+F101+H101+J101)/1000</f>
        <v>2.3581080000000001</v>
      </c>
      <c r="D106" s="913"/>
      <c r="E106" s="913"/>
      <c r="F106" s="913"/>
      <c r="G106" s="913"/>
      <c r="H106" s="913"/>
      <c r="I106" s="913"/>
      <c r="J106" s="913"/>
      <c r="K106" s="913"/>
      <c r="L106" s="912">
        <f>L101/1000</f>
        <v>0.41721900000000001</v>
      </c>
      <c r="M106" s="912"/>
      <c r="N106" s="912">
        <f>N101/1000</f>
        <v>0.24960199999999999</v>
      </c>
      <c r="O106" s="912"/>
      <c r="P106" s="912">
        <f>P101/1000</f>
        <v>0.33360199999999995</v>
      </c>
      <c r="Q106" s="912"/>
      <c r="R106" s="913">
        <f>SUM(R101+T101+V101)/1000</f>
        <v>1.034098</v>
      </c>
      <c r="S106" s="913"/>
      <c r="T106" s="913"/>
      <c r="U106" s="913"/>
      <c r="V106" s="913"/>
      <c r="W106" s="57"/>
      <c r="AG106" s="41"/>
    </row>
    <row r="107" spans="1:33" s="99" customFormat="1" ht="21.75" customHeight="1" thickBot="1">
      <c r="A107" s="102"/>
      <c r="B107" s="113"/>
      <c r="C107" s="114"/>
      <c r="D107" s="115"/>
      <c r="E107" s="115"/>
      <c r="F107" s="115"/>
      <c r="G107" s="115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915" t="s">
        <v>220</v>
      </c>
      <c r="U107" s="915"/>
      <c r="V107" s="114"/>
      <c r="W107" s="116"/>
    </row>
    <row r="108" spans="1:33" ht="21.6" customHeight="1">
      <c r="A108" s="11"/>
      <c r="B108" s="61"/>
      <c r="C108" s="206" t="s">
        <v>343</v>
      </c>
      <c r="D108" s="247" t="s">
        <v>245</v>
      </c>
      <c r="E108" s="206" t="s">
        <v>344</v>
      </c>
      <c r="F108" s="31"/>
      <c r="G108" s="206" t="s">
        <v>345</v>
      </c>
      <c r="H108" s="31"/>
      <c r="I108" s="206" t="s">
        <v>346</v>
      </c>
      <c r="J108" s="31"/>
      <c r="K108" s="206" t="s">
        <v>347</v>
      </c>
      <c r="L108" s="232"/>
      <c r="M108" s="206" t="s">
        <v>348</v>
      </c>
      <c r="N108" s="232"/>
      <c r="O108" s="206" t="s">
        <v>349</v>
      </c>
      <c r="P108" s="248"/>
      <c r="Q108" s="206" t="s">
        <v>350</v>
      </c>
      <c r="R108" s="249"/>
      <c r="S108" s="206" t="s">
        <v>351</v>
      </c>
      <c r="T108" s="31"/>
      <c r="U108" s="206" t="s">
        <v>352</v>
      </c>
      <c r="V108" s="31"/>
      <c r="W108" s="14"/>
    </row>
    <row r="109" spans="1:33" ht="20.399999999999999">
      <c r="A109" s="11"/>
      <c r="B109" s="61"/>
      <c r="C109" s="31"/>
      <c r="D109" s="31"/>
      <c r="E109" s="31"/>
      <c r="F109" s="210" t="s">
        <v>623</v>
      </c>
      <c r="G109" s="210"/>
      <c r="H109" s="210"/>
      <c r="I109" s="210"/>
      <c r="J109" s="210"/>
      <c r="K109" s="210"/>
      <c r="L109" s="210" t="s">
        <v>579</v>
      </c>
      <c r="M109" s="210"/>
      <c r="N109" s="210" t="s">
        <v>624</v>
      </c>
      <c r="O109" s="31"/>
      <c r="P109" s="234"/>
      <c r="Q109" s="31"/>
      <c r="R109" s="210" t="s">
        <v>241</v>
      </c>
      <c r="S109" s="210"/>
      <c r="T109" s="210" t="s">
        <v>242</v>
      </c>
      <c r="U109" s="31"/>
      <c r="V109" s="210" t="s">
        <v>246</v>
      </c>
      <c r="W109" s="14"/>
      <c r="X109" s="9" t="s">
        <v>63</v>
      </c>
      <c r="Y109" s="9" t="s">
        <v>92</v>
      </c>
      <c r="Z109" s="9" t="s">
        <v>64</v>
      </c>
      <c r="AA109" s="20" t="s">
        <v>106</v>
      </c>
      <c r="AB109" s="9" t="s">
        <v>62</v>
      </c>
    </row>
    <row r="110" spans="1:33" ht="13.8" thickBot="1">
      <c r="A110" s="11"/>
      <c r="B110" s="61"/>
      <c r="C110" s="31"/>
      <c r="D110" s="31">
        <f>VLOOKUP(C113,[18]TS!$B$10:$D$253,3,0)</f>
        <v>258.61599999999999</v>
      </c>
      <c r="E110" s="213"/>
      <c r="F110" s="31">
        <f>VLOOKUP(E113,[18]TS!$B$10:$D$253,3,0)</f>
        <v>390</v>
      </c>
      <c r="G110" s="213"/>
      <c r="H110" s="31">
        <f>VLOOKUP(G113,[18]TS!$B$10:$D$253,3,0)</f>
        <v>290</v>
      </c>
      <c r="I110" s="31"/>
      <c r="J110" s="31">
        <f>VLOOKUP(I113,[18]TS!$B$10:$D$253,3,0)</f>
        <v>345</v>
      </c>
      <c r="K110" s="213"/>
      <c r="L110" s="31">
        <f>VLOOKUP(K113,[18]TS!$B$10:$D$253,3,0)</f>
        <v>423</v>
      </c>
      <c r="M110" s="213"/>
      <c r="N110" s="31">
        <f>VLOOKUP(M113,[18]TS!$B$10:$D$253,3,0)</f>
        <v>388.69299999999998</v>
      </c>
      <c r="O110" s="31"/>
      <c r="P110" s="31">
        <f>VLOOKUP(O113,[18]TS!$B$10:$D$253,3,0)</f>
        <v>405</v>
      </c>
      <c r="Q110" s="31"/>
      <c r="R110" s="31">
        <f>VLOOKUP(Q113,[18]TS!$B$10:$D$253,3,0)</f>
        <v>385</v>
      </c>
      <c r="S110" s="31"/>
      <c r="T110" s="31">
        <f>VLOOKUP(S113,[18]TS!$B$10:$D$253,3,0)</f>
        <v>366</v>
      </c>
      <c r="U110" s="213"/>
      <c r="V110" s="31">
        <f>VLOOKUP(U113,[18]TS!$B$10:$D$253,3,0)</f>
        <v>444</v>
      </c>
      <c r="W110" s="14">
        <f>SUM(D110:V110)</f>
        <v>3695.3090000000002</v>
      </c>
    </row>
    <row r="111" spans="1:33" ht="13.8" thickBot="1">
      <c r="A111" s="11">
        <v>12</v>
      </c>
      <c r="B111" s="61"/>
      <c r="C111" s="163" t="s">
        <v>239</v>
      </c>
      <c r="D111" s="31"/>
      <c r="E111" s="163" t="s">
        <v>239</v>
      </c>
      <c r="F111" s="31"/>
      <c r="G111" s="163" t="s">
        <v>651</v>
      </c>
      <c r="H111" s="31"/>
      <c r="I111" s="163" t="s">
        <v>239</v>
      </c>
      <c r="J111" s="31"/>
      <c r="K111" s="163" t="s">
        <v>239</v>
      </c>
      <c r="L111" s="31"/>
      <c r="M111" s="163" t="s">
        <v>445</v>
      </c>
      <c r="N111" s="71"/>
      <c r="O111" s="163" t="s">
        <v>239</v>
      </c>
      <c r="P111" s="31"/>
      <c r="Q111" s="163" t="s">
        <v>239</v>
      </c>
      <c r="R111" s="31"/>
      <c r="S111" s="163" t="s">
        <v>239</v>
      </c>
      <c r="T111" s="31"/>
      <c r="U111" s="163" t="s">
        <v>239</v>
      </c>
      <c r="V111" s="31"/>
      <c r="W111" s="14"/>
      <c r="X111" s="9">
        <v>10</v>
      </c>
      <c r="Y111" s="9">
        <v>8</v>
      </c>
      <c r="Z111" s="9">
        <v>9</v>
      </c>
      <c r="AA111" s="9">
        <v>0</v>
      </c>
      <c r="AB111" s="9">
        <v>0</v>
      </c>
      <c r="AC111" s="9" t="s">
        <v>65</v>
      </c>
    </row>
    <row r="112" spans="1:33" ht="13.8" thickBot="1">
      <c r="A112" s="11"/>
      <c r="B112" s="61"/>
      <c r="C112" s="267"/>
      <c r="D112" s="31"/>
      <c r="E112" s="267"/>
      <c r="F112" s="31"/>
      <c r="G112" s="419"/>
      <c r="H112" s="31"/>
      <c r="I112" s="438"/>
      <c r="J112" s="31"/>
      <c r="K112" s="120"/>
      <c r="L112" s="31"/>
      <c r="M112" s="419"/>
      <c r="N112" s="31"/>
      <c r="O112" s="419"/>
      <c r="P112" s="31"/>
      <c r="Q112" s="419"/>
      <c r="R112" s="31"/>
      <c r="S112" s="120"/>
      <c r="T112" s="31"/>
      <c r="U112" s="442"/>
      <c r="V112" s="31"/>
      <c r="W112" s="14"/>
      <c r="X112" s="9">
        <v>0</v>
      </c>
      <c r="Y112" s="9">
        <f>COUNTIF($B$112:$U$112,"WIP")</f>
        <v>0</v>
      </c>
      <c r="Z112" s="9">
        <v>0</v>
      </c>
      <c r="AA112" s="9">
        <v>0</v>
      </c>
      <c r="AB112" s="9">
        <v>0</v>
      </c>
      <c r="AC112" s="9" t="s">
        <v>56</v>
      </c>
    </row>
    <row r="113" spans="1:29" ht="16.5" customHeight="1">
      <c r="A113" s="11"/>
      <c r="B113" s="61"/>
      <c r="C113" s="215" t="s">
        <v>45</v>
      </c>
      <c r="D113" s="215"/>
      <c r="E113" s="215" t="s">
        <v>46</v>
      </c>
      <c r="F113" s="215"/>
      <c r="G113" s="215" t="s">
        <v>173</v>
      </c>
      <c r="H113" s="215"/>
      <c r="I113" s="215" t="s">
        <v>174</v>
      </c>
      <c r="J113" s="215"/>
      <c r="K113" s="215" t="s">
        <v>175</v>
      </c>
      <c r="L113" s="215"/>
      <c r="M113" s="215" t="s">
        <v>176</v>
      </c>
      <c r="N113" s="215"/>
      <c r="O113" s="215" t="s">
        <v>47</v>
      </c>
      <c r="P113" s="215"/>
      <c r="Q113" s="215" t="s">
        <v>177</v>
      </c>
      <c r="R113" s="215"/>
      <c r="S113" s="215" t="s">
        <v>178</v>
      </c>
      <c r="T113" s="215"/>
      <c r="U113" s="215" t="s">
        <v>179</v>
      </c>
      <c r="V113" s="31"/>
      <c r="W113" s="14"/>
      <c r="X113" s="9">
        <f>COUNTIF($C$111:$U$111,"ROW")</f>
        <v>0</v>
      </c>
      <c r="Y113" s="9">
        <f>COUNTIF($B$112:$U$112,"ROW")</f>
        <v>0</v>
      </c>
      <c r="Z113" s="9">
        <v>0</v>
      </c>
      <c r="AA113" s="9">
        <v>0</v>
      </c>
      <c r="AC113" s="9" t="s">
        <v>61</v>
      </c>
    </row>
    <row r="114" spans="1:29" ht="16.5" customHeight="1">
      <c r="A114" s="11"/>
      <c r="B114" s="61"/>
      <c r="C114" s="237" t="str">
        <f>VLOOKUP(C113,[18]TS!$B$10:$D$253,2,0)</f>
        <v>1DC2+6</v>
      </c>
      <c r="D114" s="31"/>
      <c r="E114" s="237" t="str">
        <f>VLOOKUP(E113,[18]TS!$B$10:$D$253,2,0)</f>
        <v>1DC1+6</v>
      </c>
      <c r="F114" s="240"/>
      <c r="G114" s="237" t="str">
        <f>VLOOKUP(G113,[18]TS!$B$10:$D$253,2,0)</f>
        <v>1DA-3</v>
      </c>
      <c r="H114" s="31"/>
      <c r="I114" s="237" t="str">
        <f>VLOOKUP(I113,[18]TS!$B$10:$D$253,2,0)</f>
        <v>1DA-3</v>
      </c>
      <c r="J114" s="31"/>
      <c r="K114" s="237" t="str">
        <f>VLOOKUP(K113,[18]TS!$B$10:$D$253,2,0)</f>
        <v>1DA+3</v>
      </c>
      <c r="L114" s="31"/>
      <c r="M114" s="237" t="str">
        <f>VLOOKUP(M113,[18]TS!$B$10:$D$253,2,0)</f>
        <v>1DA+0</v>
      </c>
      <c r="N114" s="31"/>
      <c r="O114" s="237" t="str">
        <f>VLOOKUP(O113,[18]TS!$B$10:$D$253,2,0)</f>
        <v>1DB2+0</v>
      </c>
      <c r="P114" s="31"/>
      <c r="Q114" s="237" t="str">
        <f>VLOOKUP(Q113,[18]TS!$B$10:$D$253,2,0)</f>
        <v>1DA+3</v>
      </c>
      <c r="R114" s="31"/>
      <c r="S114" s="237" t="str">
        <f>VLOOKUP(S113,[18]TS!$B$10:$D$253,2,0)</f>
        <v>1DA+0</v>
      </c>
      <c r="T114" s="31"/>
      <c r="U114" s="237" t="str">
        <f>VLOOKUP(U113,[18]TS!$B$10:$D$253,2,0)</f>
        <v>1DA+3</v>
      </c>
      <c r="V114" s="31"/>
      <c r="W114" s="14"/>
      <c r="Y114" s="9">
        <f>X111-Y111-Y112-Y113</f>
        <v>2</v>
      </c>
      <c r="Z114" s="9">
        <f>X111-Z111-Z112-Z113</f>
        <v>1</v>
      </c>
      <c r="AA114" s="9">
        <f>Z111-AA112-AA113-AA111</f>
        <v>9</v>
      </c>
      <c r="AC114" s="9" t="s">
        <v>95</v>
      </c>
    </row>
    <row r="115" spans="1:29" ht="16.5" customHeight="1">
      <c r="A115" s="11"/>
      <c r="B115" s="61"/>
      <c r="C115" s="912">
        <f>D110/1000</f>
        <v>0.25861600000000001</v>
      </c>
      <c r="D115" s="912"/>
      <c r="E115" s="912"/>
      <c r="F115" s="912">
        <f>SUM(F110+H110+J110+L110+N110)/1000</f>
        <v>1.8366929999999999</v>
      </c>
      <c r="G115" s="912"/>
      <c r="H115" s="912"/>
      <c r="I115" s="912"/>
      <c r="J115" s="912"/>
      <c r="K115" s="912"/>
      <c r="L115" s="912"/>
      <c r="M115" s="912"/>
      <c r="N115" s="912"/>
      <c r="O115" s="912"/>
      <c r="P115" s="912"/>
      <c r="Q115" s="912"/>
      <c r="R115" s="912"/>
      <c r="S115" s="912"/>
      <c r="T115" s="912"/>
      <c r="U115" s="912"/>
      <c r="V115" s="912"/>
      <c r="W115" s="14"/>
    </row>
    <row r="116" spans="1:29" s="99" customFormat="1" ht="16.5" customHeight="1">
      <c r="A116" s="102"/>
      <c r="B116" s="100"/>
      <c r="C116" s="230"/>
      <c r="D116" s="230"/>
      <c r="E116" s="230"/>
      <c r="F116" s="230"/>
      <c r="G116" s="230"/>
      <c r="H116" s="217"/>
      <c r="I116" s="230"/>
      <c r="J116" s="230"/>
      <c r="K116" s="230"/>
      <c r="L116" s="230"/>
      <c r="M116" s="230"/>
      <c r="N116" s="230"/>
      <c r="O116" s="230"/>
      <c r="P116" s="230"/>
      <c r="Q116" s="230"/>
      <c r="R116" s="230"/>
      <c r="S116" s="230"/>
      <c r="U116" s="217" t="s">
        <v>221</v>
      </c>
      <c r="V116" s="230"/>
      <c r="W116" s="111"/>
    </row>
    <row r="117" spans="1:29" ht="21" customHeight="1">
      <c r="A117" s="11"/>
      <c r="B117" s="61"/>
      <c r="C117" s="206" t="s">
        <v>353</v>
      </c>
      <c r="D117" s="232"/>
      <c r="E117" s="206" t="s">
        <v>354</v>
      </c>
      <c r="F117" s="31"/>
      <c r="G117" s="206" t="s">
        <v>355</v>
      </c>
      <c r="H117" s="31"/>
      <c r="I117" s="206" t="s">
        <v>356</v>
      </c>
      <c r="J117" s="31"/>
      <c r="K117" s="206" t="s">
        <v>357</v>
      </c>
      <c r="L117" s="31"/>
      <c r="M117" s="206" t="s">
        <v>359</v>
      </c>
      <c r="N117" s="232"/>
      <c r="O117" s="206" t="s">
        <v>358</v>
      </c>
      <c r="P117" s="416" t="s">
        <v>247</v>
      </c>
      <c r="Q117" s="206" t="s">
        <v>360</v>
      </c>
      <c r="R117" s="31"/>
      <c r="S117" s="206" t="s">
        <v>361</v>
      </c>
      <c r="T117" s="31"/>
      <c r="U117" s="206" t="s">
        <v>362</v>
      </c>
      <c r="V117" s="250"/>
      <c r="W117" s="14"/>
    </row>
    <row r="118" spans="1:29">
      <c r="A118" s="11"/>
      <c r="B118" s="61"/>
      <c r="C118" s="31"/>
      <c r="D118" s="210" t="s">
        <v>242</v>
      </c>
      <c r="E118" s="31"/>
      <c r="F118" s="234"/>
      <c r="G118" s="31"/>
      <c r="H118" s="31"/>
      <c r="I118" s="31"/>
      <c r="J118" s="210" t="s">
        <v>240</v>
      </c>
      <c r="K118" s="31"/>
      <c r="L118" s="210" t="s">
        <v>241</v>
      </c>
      <c r="M118" s="31"/>
      <c r="N118" s="234"/>
      <c r="O118" s="31"/>
      <c r="P118" s="210" t="s">
        <v>622</v>
      </c>
      <c r="Q118" s="31"/>
      <c r="R118" s="210" t="s">
        <v>578</v>
      </c>
      <c r="S118" s="31"/>
      <c r="T118" s="210" t="s">
        <v>241</v>
      </c>
      <c r="U118" s="31"/>
      <c r="V118" s="210"/>
      <c r="W118" s="14"/>
      <c r="X118" s="9" t="s">
        <v>63</v>
      </c>
      <c r="Y118" s="9" t="s">
        <v>92</v>
      </c>
      <c r="Z118" s="9" t="s">
        <v>64</v>
      </c>
      <c r="AA118" s="20" t="s">
        <v>106</v>
      </c>
      <c r="AB118" s="9" t="s">
        <v>62</v>
      </c>
    </row>
    <row r="119" spans="1:29" ht="13.8" thickBot="1">
      <c r="A119" s="11"/>
      <c r="B119" s="61"/>
      <c r="C119" s="31"/>
      <c r="D119" s="31">
        <f>VLOOKUP(C122,[18]TS!$B$10:$D$253,3,0)</f>
        <v>355</v>
      </c>
      <c r="E119" s="31"/>
      <c r="F119" s="31">
        <f>VLOOKUP(E122,[18]TS!$B$10:$D$253,3,0)</f>
        <v>375</v>
      </c>
      <c r="G119" s="31"/>
      <c r="H119" s="31">
        <f>VLOOKUP(G122,[18]TS!$B$10:$D$253,3,0)</f>
        <v>374.49</v>
      </c>
      <c r="I119" s="31"/>
      <c r="J119" s="31">
        <f>VLOOKUP(I122,[18]TS!$B$10:$D$253,3,0)</f>
        <v>434</v>
      </c>
      <c r="K119" s="31"/>
      <c r="L119" s="31">
        <f>VLOOKUP(K122,[18]TS!$B$10:$D$253,3,0)</f>
        <v>406</v>
      </c>
      <c r="M119" s="31"/>
      <c r="N119" s="31">
        <f>VLOOKUP(M122,[18]TS!$B$10:$D$253,3,0)</f>
        <v>390</v>
      </c>
      <c r="O119" s="31"/>
      <c r="P119" s="31">
        <f>VLOOKUP(O122,[18]TS!$B$10:$D$253,3,0)</f>
        <v>276.49200000000002</v>
      </c>
      <c r="Q119" s="31"/>
      <c r="R119" s="31">
        <f>VLOOKUP(Q122,[18]TS!$B$10:$D$253,3,0)</f>
        <v>397</v>
      </c>
      <c r="S119" s="31"/>
      <c r="T119" s="31">
        <f>VLOOKUP(S122,[18]TS!$B$10:$D$253,3,0)</f>
        <v>380</v>
      </c>
      <c r="U119" s="31"/>
      <c r="V119" s="31">
        <f>VLOOKUP(U122,[18]TS!$B$10:$D$253,3,0)</f>
        <v>342</v>
      </c>
      <c r="W119" s="14">
        <f>SUM(D119:V119)</f>
        <v>3729.982</v>
      </c>
    </row>
    <row r="120" spans="1:29" ht="13.8" thickBot="1">
      <c r="A120" s="11">
        <v>13</v>
      </c>
      <c r="B120" s="61"/>
      <c r="C120" s="266" t="s">
        <v>239</v>
      </c>
      <c r="D120" s="31"/>
      <c r="E120" s="266" t="s">
        <v>239</v>
      </c>
      <c r="F120" s="31"/>
      <c r="G120" s="266" t="s">
        <v>239</v>
      </c>
      <c r="H120" s="31"/>
      <c r="I120" s="163" t="s">
        <v>239</v>
      </c>
      <c r="J120" s="31"/>
      <c r="K120" s="163" t="s">
        <v>239</v>
      </c>
      <c r="L120" s="31"/>
      <c r="M120" s="163" t="s">
        <v>239</v>
      </c>
      <c r="N120" s="31"/>
      <c r="O120" s="163" t="s">
        <v>239</v>
      </c>
      <c r="P120" s="31"/>
      <c r="Q120" s="266" t="s">
        <v>239</v>
      </c>
      <c r="R120" s="31"/>
      <c r="S120" s="163" t="s">
        <v>653</v>
      </c>
      <c r="T120" s="31"/>
      <c r="U120" s="163" t="s">
        <v>653</v>
      </c>
      <c r="V120" s="31"/>
      <c r="W120" s="14"/>
      <c r="X120" s="9">
        <v>10</v>
      </c>
      <c r="Y120" s="9">
        <v>10</v>
      </c>
      <c r="Z120" s="9">
        <v>6</v>
      </c>
      <c r="AA120" s="9">
        <v>0</v>
      </c>
      <c r="AB120" s="9">
        <v>0</v>
      </c>
      <c r="AC120" s="9" t="s">
        <v>65</v>
      </c>
    </row>
    <row r="121" spans="1:29" ht="13.8" thickBot="1">
      <c r="A121" s="11"/>
      <c r="B121" s="61"/>
      <c r="C121" s="436"/>
      <c r="D121" s="31"/>
      <c r="E121" s="419"/>
      <c r="F121" s="31"/>
      <c r="G121" s="419"/>
      <c r="H121" s="31"/>
      <c r="I121" s="447"/>
      <c r="J121" s="31"/>
      <c r="K121" s="419"/>
      <c r="L121" s="31"/>
      <c r="M121" s="419"/>
      <c r="N121" s="31"/>
      <c r="O121" s="419"/>
      <c r="P121" s="31"/>
      <c r="Q121" s="438"/>
      <c r="R121" s="31"/>
      <c r="S121" s="419"/>
      <c r="T121" s="31"/>
      <c r="U121" s="436"/>
      <c r="V121" s="31"/>
      <c r="W121" s="14"/>
      <c r="X121" s="9">
        <v>0</v>
      </c>
      <c r="Y121" s="9">
        <f>COUNTIF($B$121:$U$121,"WIP")</f>
        <v>0</v>
      </c>
      <c r="Z121" s="9">
        <v>1</v>
      </c>
      <c r="AA121" s="9">
        <v>0</v>
      </c>
      <c r="AC121" s="9" t="s">
        <v>56</v>
      </c>
    </row>
    <row r="122" spans="1:29" ht="16.5" customHeight="1">
      <c r="A122" s="11"/>
      <c r="B122" s="61"/>
      <c r="C122" s="215" t="s">
        <v>180</v>
      </c>
      <c r="D122" s="215"/>
      <c r="E122" s="215" t="s">
        <v>181</v>
      </c>
      <c r="F122" s="215"/>
      <c r="G122" s="215" t="s">
        <v>182</v>
      </c>
      <c r="H122" s="215"/>
      <c r="I122" s="215" t="s">
        <v>48</v>
      </c>
      <c r="J122" s="215"/>
      <c r="K122" s="215" t="s">
        <v>183</v>
      </c>
      <c r="L122" s="215"/>
      <c r="M122" s="215" t="s">
        <v>184</v>
      </c>
      <c r="N122" s="215"/>
      <c r="O122" s="215" t="s">
        <v>185</v>
      </c>
      <c r="P122" s="215"/>
      <c r="Q122" s="215" t="s">
        <v>54</v>
      </c>
      <c r="R122" s="215"/>
      <c r="S122" s="215" t="s">
        <v>186</v>
      </c>
      <c r="T122" s="215"/>
      <c r="U122" s="215" t="s">
        <v>187</v>
      </c>
      <c r="V122" s="31"/>
      <c r="W122" s="14"/>
      <c r="X122" s="9">
        <v>0</v>
      </c>
      <c r="Y122" s="9">
        <f>COUNTIF($B$121:$U$121,"ROW")</f>
        <v>0</v>
      </c>
      <c r="Z122" s="9">
        <v>0</v>
      </c>
      <c r="AA122" s="9">
        <v>0</v>
      </c>
      <c r="AC122" s="9" t="s">
        <v>61</v>
      </c>
    </row>
    <row r="123" spans="1:29" ht="16.5" customHeight="1">
      <c r="A123" s="11"/>
      <c r="B123" s="61"/>
      <c r="C123" s="237" t="str">
        <f>VLOOKUP(C122,[18]TS!$B$10:$D$253,2,0)</f>
        <v>1DA+3</v>
      </c>
      <c r="D123" s="240"/>
      <c r="E123" s="237" t="str">
        <f>VLOOKUP(E122,[18]TS!$B$10:$D$253,2,0)</f>
        <v>1DA+0</v>
      </c>
      <c r="F123" s="240"/>
      <c r="G123" s="237" t="str">
        <f>VLOOKUP(G122,[18]TS!$B$10:$D$253,2,0)</f>
        <v>1DA-3</v>
      </c>
      <c r="H123" s="240"/>
      <c r="I123" s="237" t="str">
        <f>VLOOKUP(I122,[18]TS!$B$10:$D$253,2,0)</f>
        <v>1DB1+0</v>
      </c>
      <c r="J123" s="31"/>
      <c r="K123" s="237" t="str">
        <f>VLOOKUP(K122,[18]TS!$B$10:$D$253,2,0)</f>
        <v>1DA+6</v>
      </c>
      <c r="L123" s="240"/>
      <c r="M123" s="237" t="str">
        <f>VLOOKUP(M122,[18]TS!$B$10:$D$253,2,0)</f>
        <v>1DA-3</v>
      </c>
      <c r="N123" s="31"/>
      <c r="O123" s="237" t="str">
        <f>VLOOKUP(O122,[18]TS!$B$10:$D$253,2,0)</f>
        <v>1DB1+6</v>
      </c>
      <c r="P123" s="31"/>
      <c r="Q123" s="237" t="str">
        <f>VLOOKUP(Q122,[18]TS!$B$10:$D$253,2,0)</f>
        <v>1DC1+6</v>
      </c>
      <c r="R123" s="31"/>
      <c r="S123" s="237" t="str">
        <f>VLOOKUP(S122,[18]TS!$B$10:$D$253,2,0)</f>
        <v>1DA-1.5</v>
      </c>
      <c r="T123" s="240"/>
      <c r="U123" s="237" t="str">
        <f>VLOOKUP(U122,[18]TS!$B$10:$D$253,2,0)</f>
        <v>1DA+0</v>
      </c>
      <c r="V123" s="240"/>
      <c r="W123" s="14"/>
      <c r="Y123" s="9">
        <f>X120-Y120-Y121-Y122</f>
        <v>0</v>
      </c>
      <c r="Z123" s="9">
        <f>X120-Z120-Z121-Z122</f>
        <v>3</v>
      </c>
      <c r="AA123" s="9">
        <f>Z120-AA121-AA122-AA120</f>
        <v>6</v>
      </c>
      <c r="AC123" s="9" t="s">
        <v>95</v>
      </c>
    </row>
    <row r="124" spans="1:29" ht="16.5" customHeight="1">
      <c r="A124" s="11"/>
      <c r="B124" s="61"/>
      <c r="C124" s="912">
        <f>SUM(P110+D119+R110+T110+V110+F119+H119)/1000</f>
        <v>2.7044899999999998</v>
      </c>
      <c r="D124" s="912"/>
      <c r="E124" s="912"/>
      <c r="F124" s="912"/>
      <c r="G124" s="912"/>
      <c r="H124" s="912"/>
      <c r="I124" s="912"/>
      <c r="J124" s="912">
        <f>(J119+L119+N119+P119)/1000</f>
        <v>1.5064919999999999</v>
      </c>
      <c r="K124" s="912"/>
      <c r="L124" s="912"/>
      <c r="M124" s="912"/>
      <c r="N124" s="912"/>
      <c r="O124" s="912"/>
      <c r="P124" s="912"/>
      <c r="Q124" s="912"/>
      <c r="R124" s="912"/>
      <c r="S124" s="912"/>
      <c r="T124" s="912"/>
      <c r="U124" s="912"/>
      <c r="V124" s="912"/>
      <c r="W124" s="14"/>
    </row>
    <row r="125" spans="1:29" s="99" customFormat="1" ht="13.95" customHeight="1">
      <c r="A125" s="102"/>
      <c r="B125" s="100"/>
      <c r="C125" s="217"/>
      <c r="D125" s="230"/>
      <c r="E125" s="230"/>
      <c r="F125" s="230"/>
      <c r="G125" s="230"/>
      <c r="H125" s="230"/>
      <c r="I125" s="230"/>
      <c r="J125" s="230"/>
      <c r="K125" s="230"/>
      <c r="L125" s="230"/>
      <c r="M125" s="230"/>
      <c r="N125" s="911" t="s">
        <v>222</v>
      </c>
      <c r="O125" s="911"/>
      <c r="P125" s="230"/>
      <c r="Q125" s="230"/>
      <c r="R125" s="230"/>
      <c r="S125" s="911"/>
      <c r="T125" s="911"/>
      <c r="U125" s="230"/>
      <c r="V125" s="230"/>
      <c r="W125" s="111"/>
    </row>
    <row r="126" spans="1:29" ht="4.95" customHeight="1">
      <c r="A126" s="11"/>
      <c r="B126" s="6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W126" s="14"/>
    </row>
    <row r="127" spans="1:29" ht="12" customHeight="1">
      <c r="A127" s="11"/>
      <c r="B127" s="61"/>
      <c r="C127" s="206" t="s">
        <v>363</v>
      </c>
      <c r="D127" s="31"/>
      <c r="E127" s="206" t="s">
        <v>364</v>
      </c>
      <c r="F127" s="31"/>
      <c r="G127" s="206" t="s">
        <v>365</v>
      </c>
      <c r="H127" s="232"/>
      <c r="I127" s="206" t="s">
        <v>366</v>
      </c>
      <c r="J127" s="251"/>
      <c r="K127" s="206" t="s">
        <v>367</v>
      </c>
      <c r="L127" s="31"/>
      <c r="M127" s="206" t="s">
        <v>368</v>
      </c>
      <c r="N127" s="31"/>
      <c r="O127" s="206" t="s">
        <v>570</v>
      </c>
      <c r="P127" s="31"/>
      <c r="Q127" s="206" t="s">
        <v>571</v>
      </c>
      <c r="S127" s="206" t="s">
        <v>572</v>
      </c>
      <c r="U127" s="206" t="s">
        <v>573</v>
      </c>
      <c r="W127" s="14"/>
    </row>
    <row r="128" spans="1:29" ht="22.95" customHeight="1">
      <c r="A128" s="11"/>
      <c r="B128" s="61"/>
      <c r="C128" s="31"/>
      <c r="D128" s="210" t="s">
        <v>576</v>
      </c>
      <c r="E128" s="31"/>
      <c r="F128" s="362" t="s">
        <v>577</v>
      </c>
      <c r="G128" s="210"/>
      <c r="H128" s="210" t="s">
        <v>578</v>
      </c>
      <c r="I128" s="210"/>
      <c r="J128" s="210" t="s">
        <v>242</v>
      </c>
      <c r="K128" s="31"/>
      <c r="L128" s="210" t="s">
        <v>241</v>
      </c>
      <c r="M128" s="31"/>
      <c r="N128" s="210" t="s">
        <v>241</v>
      </c>
      <c r="O128" s="31"/>
      <c r="P128" s="31"/>
      <c r="Q128" s="31"/>
      <c r="S128" s="31"/>
      <c r="T128" s="210" t="s">
        <v>241</v>
      </c>
      <c r="U128" s="31"/>
      <c r="W128" s="36"/>
      <c r="X128" s="9" t="s">
        <v>63</v>
      </c>
      <c r="Y128" s="9" t="s">
        <v>92</v>
      </c>
      <c r="Z128" s="9" t="s">
        <v>64</v>
      </c>
      <c r="AA128" s="20" t="s">
        <v>106</v>
      </c>
      <c r="AB128" s="9" t="s">
        <v>62</v>
      </c>
    </row>
    <row r="129" spans="1:29" ht="13.8" thickBot="1">
      <c r="A129" s="11"/>
      <c r="B129" s="61"/>
      <c r="C129" s="31"/>
      <c r="D129" s="31">
        <f>VLOOKUP(C132,[18]TS!$B$10:$D$253,3,0)</f>
        <v>416.81</v>
      </c>
      <c r="E129" s="31"/>
      <c r="F129" s="31">
        <f>VLOOKUP(E132,[18]TS!$B$10:$D$253,3,0)</f>
        <v>203.90199999999999</v>
      </c>
      <c r="G129" s="31"/>
      <c r="H129" s="31">
        <f>VLOOKUP(G132,[18]TS!$B$10:$D$253,3,0)</f>
        <v>382</v>
      </c>
      <c r="I129" s="213"/>
      <c r="J129" s="31">
        <f>VLOOKUP(I132,[18]TS!$B$10:$D$253,3,0)</f>
        <v>320.79599999999999</v>
      </c>
      <c r="K129" s="213"/>
      <c r="L129" s="31">
        <f>VLOOKUP(K132,[18]TS!$B$10:$D$253,3,0)</f>
        <v>414</v>
      </c>
      <c r="M129" s="31"/>
      <c r="N129" s="31">
        <f>VLOOKUP(M132,[18]TS!$B$10:$D$253,3,0)</f>
        <v>425</v>
      </c>
      <c r="O129" s="31"/>
      <c r="P129" s="31">
        <f>VLOOKUP(O132,[18]TS!$B$10:$D$253,3,0)</f>
        <v>373</v>
      </c>
      <c r="Q129" s="31"/>
      <c r="R129" s="31">
        <f>VLOOKUP(Q132,[18]TS!$B$10:$D$263,3,0)</f>
        <v>357</v>
      </c>
      <c r="S129" s="31"/>
      <c r="T129" s="31">
        <f>VLOOKUP(S132,[18]TS!$B$10:$D$263,3,0)</f>
        <v>372.20100000000002</v>
      </c>
      <c r="U129" s="31"/>
      <c r="V129" s="31">
        <f>VLOOKUP(U132,[18]TS!$B$10:$D$263,3,0)</f>
        <v>358.08600000000001</v>
      </c>
      <c r="W129" s="14">
        <f>SUM(D129:V129)</f>
        <v>3622.7950000000001</v>
      </c>
    </row>
    <row r="130" spans="1:29" ht="13.8" thickBot="1">
      <c r="A130" s="11">
        <v>14</v>
      </c>
      <c r="B130" s="61"/>
      <c r="C130" s="163" t="s">
        <v>239</v>
      </c>
      <c r="D130" s="31"/>
      <c r="E130" s="163" t="s">
        <v>239</v>
      </c>
      <c r="F130" s="31"/>
      <c r="G130" s="163" t="s">
        <v>239</v>
      </c>
      <c r="H130" s="31"/>
      <c r="I130" s="266" t="s">
        <v>809</v>
      </c>
      <c r="J130" s="31"/>
      <c r="K130" s="163" t="s">
        <v>239</v>
      </c>
      <c r="L130" s="31"/>
      <c r="M130" s="163" t="s">
        <v>239</v>
      </c>
      <c r="N130" s="31"/>
      <c r="O130" s="163" t="s">
        <v>239</v>
      </c>
      <c r="P130" s="31"/>
      <c r="Q130" s="266" t="s">
        <v>239</v>
      </c>
      <c r="S130" s="163" t="s">
        <v>239</v>
      </c>
      <c r="U130" s="163" t="s">
        <v>239</v>
      </c>
      <c r="W130" s="14"/>
      <c r="X130" s="9">
        <v>10</v>
      </c>
      <c r="Y130" s="9">
        <v>10</v>
      </c>
      <c r="Z130" s="9">
        <v>6</v>
      </c>
      <c r="AA130" s="9">
        <v>0</v>
      </c>
      <c r="AB130" s="9">
        <v>0</v>
      </c>
      <c r="AC130" s="9" t="s">
        <v>65</v>
      </c>
    </row>
    <row r="131" spans="1:29" ht="13.8" thickBot="1">
      <c r="A131" s="11"/>
      <c r="B131" s="61"/>
      <c r="C131" s="192"/>
      <c r="D131" s="31"/>
      <c r="E131" s="192"/>
      <c r="F131" s="31"/>
      <c r="G131" s="269"/>
      <c r="H131" s="31"/>
      <c r="I131" s="419"/>
      <c r="J131" s="31"/>
      <c r="K131" s="269"/>
      <c r="L131" s="31"/>
      <c r="M131" s="419"/>
      <c r="N131" s="31"/>
      <c r="O131" s="419"/>
      <c r="P131" s="31"/>
      <c r="Q131" s="419"/>
      <c r="S131" s="419"/>
      <c r="U131" s="442"/>
      <c r="W131" s="14"/>
      <c r="X131" s="9">
        <v>0</v>
      </c>
      <c r="Y131" s="9">
        <f>COUNTIF($B$131:$U$131,"WIP")</f>
        <v>0</v>
      </c>
      <c r="Z131" s="9">
        <v>2</v>
      </c>
      <c r="AA131" s="9">
        <v>0</v>
      </c>
      <c r="AB131" s="9">
        <v>0</v>
      </c>
      <c r="AC131" s="9" t="s">
        <v>56</v>
      </c>
    </row>
    <row r="132" spans="1:29" ht="17.25" customHeight="1">
      <c r="A132" s="11"/>
      <c r="B132" s="61"/>
      <c r="C132" s="215" t="s">
        <v>188</v>
      </c>
      <c r="D132" s="215"/>
      <c r="E132" s="215" t="s">
        <v>190</v>
      </c>
      <c r="F132" s="215"/>
      <c r="G132" s="215" t="s">
        <v>192</v>
      </c>
      <c r="H132" s="215"/>
      <c r="I132" s="361" t="s">
        <v>556</v>
      </c>
      <c r="J132" s="215"/>
      <c r="K132" s="215" t="s">
        <v>193</v>
      </c>
      <c r="L132" s="215"/>
      <c r="M132" s="361" t="s">
        <v>558</v>
      </c>
      <c r="N132" s="215"/>
      <c r="O132" s="361" t="s">
        <v>559</v>
      </c>
      <c r="P132" s="215"/>
      <c r="Q132" s="361" t="s">
        <v>560</v>
      </c>
      <c r="S132" s="361" t="s">
        <v>561</v>
      </c>
      <c r="U132" s="215" t="s">
        <v>567</v>
      </c>
      <c r="W132" s="14"/>
      <c r="X132" s="9">
        <f>COUNTIF($C$130:$U$130,"ROW")</f>
        <v>0</v>
      </c>
      <c r="Y132" s="9">
        <f>COUNTIF($B$131:$U$131,"ROW")</f>
        <v>0</v>
      </c>
      <c r="Z132" s="9">
        <v>1</v>
      </c>
      <c r="AA132" s="9">
        <v>0</v>
      </c>
      <c r="AC132" s="9" t="s">
        <v>61</v>
      </c>
    </row>
    <row r="133" spans="1:29" ht="17.25" customHeight="1">
      <c r="A133" s="11"/>
      <c r="B133" s="61"/>
      <c r="C133" s="237" t="str">
        <f>VLOOKUP(C132,[18]TS!$B$10:$D$253,2,0)</f>
        <v>1DA-3</v>
      </c>
      <c r="D133" s="31"/>
      <c r="E133" s="237" t="str">
        <f>VLOOKUP(E132,[18]TS!$B$10:$D$253,2,0)</f>
        <v>1DD60+6</v>
      </c>
      <c r="F133" s="31"/>
      <c r="G133" s="237" t="str">
        <f>VLOOKUP(G132,[18]TS!$B$10:$D$253,2,0)</f>
        <v>1DD60+6</v>
      </c>
      <c r="H133" s="31"/>
      <c r="I133" s="237" t="str">
        <f>VLOOKUP(I132,[18]TS!$B$10:$D$253,2,0)</f>
        <v>1DA-3</v>
      </c>
      <c r="J133" s="31"/>
      <c r="K133" s="237" t="str">
        <f>VLOOKUP(K132,[18]TS!$B$10:$D$253,2,0)</f>
        <v>1DC2+0</v>
      </c>
      <c r="L133" s="31"/>
      <c r="M133" s="237" t="str">
        <f>VLOOKUP(M132,[18]TS!$B$10:$D$253,2,0)</f>
        <v>1DA+6</v>
      </c>
      <c r="N133" s="31"/>
      <c r="O133" s="237" t="str">
        <f>VLOOKUP(O132,[18]TS!$B$10:$D$253,2,0)</f>
        <v>1DA+0</v>
      </c>
      <c r="P133" s="31"/>
      <c r="Q133" s="237" t="str">
        <f>VLOOKUP(Q132,[18]TS!$B$10:$D$263,2,0)</f>
        <v>1DA+0</v>
      </c>
      <c r="R133" s="31"/>
      <c r="S133" s="237" t="str">
        <f>VLOOKUP(S132,[18]TS!$B$10:$D$263,2,0)</f>
        <v>1DA+0</v>
      </c>
      <c r="T133" s="31"/>
      <c r="U133" s="237" t="str">
        <f>VLOOKUP(U132,[18]TS!$B$10:$D$263,2,0)</f>
        <v>1DC2+0</v>
      </c>
      <c r="V133" s="31"/>
      <c r="W133" s="14"/>
      <c r="Y133" s="9">
        <f>X130-Y130-Y131-Y132</f>
        <v>0</v>
      </c>
      <c r="Z133" s="9">
        <f>X130-Z130-Z131-Z132</f>
        <v>1</v>
      </c>
      <c r="AA133" s="9">
        <f>Z130-AA131-AA132-AA130</f>
        <v>6</v>
      </c>
      <c r="AC133" s="9" t="s">
        <v>95</v>
      </c>
    </row>
    <row r="134" spans="1:29" ht="17.25" customHeight="1">
      <c r="A134" s="11"/>
      <c r="B134" s="61"/>
      <c r="C134" s="945">
        <f>(R119+T119+V119+D129)/1000</f>
        <v>1.5358099999999999</v>
      </c>
      <c r="D134" s="946"/>
      <c r="E134" s="945">
        <f>F129/1000</f>
        <v>0.203902</v>
      </c>
      <c r="F134" s="947"/>
      <c r="G134" s="946"/>
      <c r="H134" s="912">
        <f>(H129+J129)/1000</f>
        <v>0.70279600000000009</v>
      </c>
      <c r="I134" s="912"/>
      <c r="J134" s="912"/>
      <c r="K134" s="912"/>
      <c r="L134" s="945">
        <f>(L129+N129+P129+R129+T129)/1000</f>
        <v>1.941201</v>
      </c>
      <c r="M134" s="947"/>
      <c r="N134" s="947"/>
      <c r="O134" s="947"/>
      <c r="P134" s="947"/>
      <c r="Q134" s="947"/>
      <c r="R134" s="947"/>
      <c r="S134" s="947"/>
      <c r="T134" s="947"/>
      <c r="U134" s="946"/>
      <c r="V134" s="945">
        <f>V129/1000</f>
        <v>0.35808600000000002</v>
      </c>
      <c r="W134" s="946"/>
    </row>
    <row r="135" spans="1:29" s="99" customFormat="1" ht="17.25" customHeight="1" thickBot="1">
      <c r="A135" s="132"/>
      <c r="B135" s="113"/>
      <c r="C135" s="923" t="s">
        <v>223</v>
      </c>
      <c r="D135" s="923"/>
      <c r="E135" s="923"/>
      <c r="F135" s="114"/>
      <c r="G135" s="114"/>
      <c r="H135" s="118"/>
      <c r="I135" s="118"/>
      <c r="J135" s="118"/>
      <c r="K135" s="114"/>
      <c r="L135" s="114"/>
      <c r="M135" s="114"/>
      <c r="N135" s="114"/>
      <c r="O135" s="114"/>
      <c r="P135" s="117"/>
      <c r="Q135" s="114"/>
      <c r="R135" s="114"/>
      <c r="S135" s="114"/>
      <c r="T135" s="114"/>
      <c r="U135" s="114"/>
      <c r="V135" s="114"/>
      <c r="W135" s="116"/>
      <c r="X135" s="99" t="s">
        <v>63</v>
      </c>
      <c r="Y135" s="99" t="s">
        <v>92</v>
      </c>
      <c r="Z135" s="99" t="s">
        <v>64</v>
      </c>
      <c r="AA135" s="8" t="s">
        <v>106</v>
      </c>
      <c r="AB135" s="99" t="s">
        <v>62</v>
      </c>
    </row>
    <row r="136" spans="1:29" s="99" customFormat="1" ht="7.95" customHeight="1">
      <c r="B136" s="100"/>
      <c r="C136" s="217"/>
      <c r="D136" s="217"/>
      <c r="E136" s="217"/>
      <c r="F136" s="230"/>
      <c r="G136" s="230"/>
      <c r="K136" s="230"/>
      <c r="L136" s="230"/>
      <c r="M136" s="230"/>
      <c r="N136" s="230"/>
      <c r="O136" s="230"/>
      <c r="P136" s="217"/>
      <c r="Q136" s="230"/>
      <c r="R136" s="230"/>
      <c r="S136" s="230"/>
      <c r="T136" s="230"/>
      <c r="U136" s="230"/>
      <c r="V136" s="230"/>
      <c r="W136" s="111"/>
      <c r="AA136" s="8"/>
    </row>
    <row r="137" spans="1:29" s="99" customFormat="1" ht="17.25" customHeight="1">
      <c r="B137" s="100"/>
      <c r="C137" s="206" t="s">
        <v>574</v>
      </c>
      <c r="D137" s="31"/>
      <c r="E137" s="206" t="s">
        <v>575</v>
      </c>
      <c r="F137" s="230"/>
      <c r="G137" s="230"/>
      <c r="K137" s="230"/>
      <c r="L137" s="230"/>
      <c r="M137" s="230"/>
      <c r="N137" s="230"/>
      <c r="O137" s="230"/>
      <c r="P137" s="217"/>
      <c r="Q137" s="230"/>
      <c r="R137" s="230"/>
      <c r="S137" s="230"/>
      <c r="T137" s="230"/>
      <c r="U137" s="230"/>
      <c r="V137" s="230"/>
      <c r="W137" s="111"/>
      <c r="AA137" s="8"/>
    </row>
    <row r="138" spans="1:29" s="99" customFormat="1" ht="17.25" customHeight="1">
      <c r="B138" s="100"/>
      <c r="C138" s="31"/>
      <c r="D138" s="234"/>
      <c r="E138" s="31"/>
      <c r="F138" s="230"/>
      <c r="G138" s="230"/>
      <c r="K138" s="230"/>
      <c r="L138" s="230"/>
      <c r="M138" s="230"/>
      <c r="N138" s="230"/>
      <c r="O138" s="230"/>
      <c r="P138" s="217"/>
      <c r="Q138" s="230"/>
      <c r="R138" s="230"/>
      <c r="S138" s="230"/>
      <c r="T138" s="230"/>
      <c r="U138" s="230"/>
      <c r="V138" s="230"/>
      <c r="W138" s="111"/>
      <c r="X138" s="9" t="s">
        <v>63</v>
      </c>
      <c r="Y138" s="9" t="s">
        <v>92</v>
      </c>
      <c r="Z138" s="9" t="s">
        <v>64</v>
      </c>
      <c r="AA138" s="20" t="s">
        <v>106</v>
      </c>
      <c r="AB138" s="9" t="s">
        <v>62</v>
      </c>
      <c r="AC138" s="9"/>
    </row>
    <row r="139" spans="1:29" s="99" customFormat="1" ht="17.25" customHeight="1" thickBot="1">
      <c r="B139" s="100"/>
      <c r="C139" s="31"/>
      <c r="D139" s="31">
        <f>VLOOKUP(C142,[18]TS!$B$10:$D$263,3,0)</f>
        <v>278.70400000000001</v>
      </c>
      <c r="E139" s="31"/>
      <c r="F139" s="31">
        <f>VLOOKUP(E142,[18]TS!$B$10:$D$263,3,0)</f>
        <v>135.00800000000001</v>
      </c>
      <c r="G139" s="230"/>
      <c r="K139" s="230"/>
      <c r="L139" s="230"/>
      <c r="M139" s="230"/>
      <c r="N139" s="230"/>
      <c r="O139" s="230"/>
      <c r="P139" s="217"/>
      <c r="Q139" s="230"/>
      <c r="R139" s="230"/>
      <c r="S139" s="230"/>
      <c r="T139" s="230"/>
      <c r="U139" s="230"/>
      <c r="V139" s="105"/>
      <c r="W139" s="14">
        <f>SUM(D139:V139)</f>
        <v>413.71199999999999</v>
      </c>
      <c r="X139" s="9"/>
      <c r="Y139" s="9"/>
      <c r="Z139" s="9"/>
      <c r="AA139" s="9"/>
      <c r="AB139" s="9"/>
      <c r="AC139" s="9"/>
    </row>
    <row r="140" spans="1:29" s="99" customFormat="1" ht="17.25" customHeight="1" thickBot="1">
      <c r="B140" s="100"/>
      <c r="C140" s="163" t="s">
        <v>239</v>
      </c>
      <c r="D140" s="31"/>
      <c r="E140" s="163" t="s">
        <v>239</v>
      </c>
      <c r="F140" s="230"/>
      <c r="G140" s="230"/>
      <c r="K140" s="230"/>
      <c r="L140" s="230"/>
      <c r="M140" s="230"/>
      <c r="N140" s="230"/>
      <c r="O140" s="230"/>
      <c r="P140" s="217"/>
      <c r="Q140" s="230"/>
      <c r="R140" s="230"/>
      <c r="S140" s="230"/>
      <c r="T140" s="230"/>
      <c r="U140" s="230"/>
      <c r="V140" s="230"/>
      <c r="W140" s="111"/>
      <c r="X140" s="9">
        <v>2</v>
      </c>
      <c r="Y140" s="9">
        <v>1</v>
      </c>
      <c r="Z140" s="9">
        <v>1</v>
      </c>
      <c r="AA140" s="9">
        <v>0</v>
      </c>
      <c r="AB140" s="9">
        <v>0</v>
      </c>
      <c r="AC140" s="9" t="s">
        <v>65</v>
      </c>
    </row>
    <row r="141" spans="1:29" s="99" customFormat="1" ht="17.25" customHeight="1" thickBot="1">
      <c r="B141" s="100"/>
      <c r="C141" s="192"/>
      <c r="D141" s="31"/>
      <c r="E141" s="72"/>
      <c r="F141" s="230"/>
      <c r="G141" s="230"/>
      <c r="K141" s="230"/>
      <c r="L141" s="230"/>
      <c r="M141" s="230"/>
      <c r="N141" s="230"/>
      <c r="O141" s="230"/>
      <c r="P141" s="217"/>
      <c r="Q141" s="230"/>
      <c r="R141" s="230"/>
      <c r="S141" s="230"/>
      <c r="T141" s="230"/>
      <c r="U141" s="230"/>
      <c r="V141" s="230"/>
      <c r="W141" s="111"/>
      <c r="X141" s="9">
        <v>0</v>
      </c>
      <c r="Y141" s="9">
        <f>COUNTIF($B$141:$U$141,"ET")</f>
        <v>0</v>
      </c>
      <c r="Z141" s="9">
        <v>0</v>
      </c>
      <c r="AA141" s="9">
        <v>0</v>
      </c>
      <c r="AB141" s="9">
        <v>0</v>
      </c>
      <c r="AC141" s="9" t="s">
        <v>56</v>
      </c>
    </row>
    <row r="142" spans="1:29" s="99" customFormat="1" ht="17.25" customHeight="1">
      <c r="B142" s="100"/>
      <c r="C142" s="215" t="s">
        <v>568</v>
      </c>
      <c r="D142" s="215"/>
      <c r="E142" s="215" t="s">
        <v>569</v>
      </c>
      <c r="F142" s="230"/>
      <c r="G142" s="215" t="s">
        <v>89</v>
      </c>
      <c r="K142" s="230"/>
      <c r="L142" s="230"/>
      <c r="M142" s="230"/>
      <c r="N142" s="230"/>
      <c r="O142" s="230"/>
      <c r="P142" s="217"/>
      <c r="Q142" s="230"/>
      <c r="R142" s="230"/>
      <c r="S142" s="230"/>
      <c r="T142" s="230"/>
      <c r="U142" s="230"/>
      <c r="V142" s="230"/>
      <c r="W142" s="111"/>
      <c r="X142" s="9">
        <f>COUNTIF($C$140:$U$140,"F")</f>
        <v>0</v>
      </c>
      <c r="Y142" s="9">
        <f>COUNTIF($B$141:$U$141,"ET")</f>
        <v>0</v>
      </c>
      <c r="Z142" s="9">
        <f>COUNTIF($C$129:$V$129,"ROW")</f>
        <v>0</v>
      </c>
      <c r="AA142" s="9">
        <v>0</v>
      </c>
      <c r="AB142" s="9"/>
      <c r="AC142" s="9" t="s">
        <v>61</v>
      </c>
    </row>
    <row r="143" spans="1:29" s="99" customFormat="1">
      <c r="B143" s="100"/>
      <c r="C143" s="237" t="str">
        <f>VLOOKUP(C142,[18]TS!$B$10:$D$263,2,0)</f>
        <v>1DD60+0</v>
      </c>
      <c r="D143" s="31"/>
      <c r="E143" s="237" t="str">
        <f>VLOOKUP(E142,[18]TS!$B$10:$D$263,2,0)</f>
        <v>1DD60+0</v>
      </c>
      <c r="F143" s="230"/>
      <c r="G143" s="230"/>
      <c r="K143" s="230"/>
      <c r="L143" s="230"/>
      <c r="M143" s="230"/>
      <c r="N143" s="230"/>
      <c r="O143" s="230"/>
      <c r="P143" s="217"/>
      <c r="Q143" s="230"/>
      <c r="R143" s="230"/>
      <c r="S143" s="230"/>
      <c r="T143" s="230"/>
      <c r="U143" s="230"/>
      <c r="V143" s="230"/>
      <c r="W143" s="111"/>
      <c r="X143" s="9"/>
      <c r="Y143" s="9">
        <f>COUNTIF($B$141:$U$141,"ET")</f>
        <v>0</v>
      </c>
      <c r="Z143" s="9">
        <f>X140-Z140-Z141-Z142</f>
        <v>1</v>
      </c>
      <c r="AA143" s="9">
        <f>Z140-AA141-AA142-AA140</f>
        <v>1</v>
      </c>
      <c r="AB143" s="9"/>
      <c r="AC143" s="9" t="s">
        <v>95</v>
      </c>
    </row>
    <row r="144" spans="1:29" s="99" customFormat="1">
      <c r="B144" s="100"/>
      <c r="C144" s="918" t="s">
        <v>625</v>
      </c>
      <c r="D144" s="919"/>
      <c r="E144" s="919"/>
      <c r="F144" s="919"/>
      <c r="G144" s="919"/>
      <c r="K144" s="230"/>
      <c r="L144" s="230"/>
      <c r="M144" s="230"/>
      <c r="N144" s="230"/>
      <c r="O144" s="230"/>
      <c r="P144" s="217"/>
      <c r="Q144" s="230"/>
      <c r="R144" s="230"/>
      <c r="S144" s="230"/>
      <c r="T144" s="230"/>
      <c r="U144" s="230"/>
      <c r="V144" s="230"/>
      <c r="W144" s="111"/>
      <c r="X144" s="9"/>
      <c r="Y144" s="9"/>
      <c r="Z144" s="9"/>
      <c r="AA144" s="9"/>
      <c r="AB144" s="9"/>
      <c r="AC144" s="9"/>
    </row>
    <row r="145" spans="2:31" s="99" customFormat="1">
      <c r="B145" s="100"/>
      <c r="C145" s="237"/>
      <c r="D145" s="31"/>
      <c r="E145" s="237"/>
      <c r="F145" s="230"/>
      <c r="G145" s="230"/>
      <c r="K145" s="230"/>
      <c r="L145" s="230"/>
      <c r="M145" s="230"/>
      <c r="N145" s="230"/>
      <c r="O145" s="230"/>
      <c r="P145" s="217"/>
      <c r="Q145" s="230"/>
      <c r="R145" s="230"/>
      <c r="S145" s="230"/>
      <c r="T145" s="230"/>
      <c r="U145" s="230"/>
      <c r="V145" s="230"/>
      <c r="W145" s="111"/>
      <c r="X145" s="99" t="s">
        <v>63</v>
      </c>
      <c r="Y145" s="99" t="s">
        <v>92</v>
      </c>
      <c r="Z145" s="99" t="s">
        <v>64</v>
      </c>
      <c r="AA145" s="8" t="s">
        <v>106</v>
      </c>
      <c r="AB145" s="99" t="s">
        <v>62</v>
      </c>
    </row>
    <row r="146" spans="2:31" s="99" customFormat="1" ht="13.8" thickBot="1">
      <c r="B146" s="100"/>
      <c r="C146" s="237"/>
      <c r="D146" s="31"/>
      <c r="E146" s="237"/>
      <c r="F146" s="230"/>
      <c r="G146" s="230"/>
      <c r="K146" s="230"/>
      <c r="L146" s="230"/>
      <c r="M146" s="230"/>
      <c r="N146" s="230"/>
      <c r="O146" s="230"/>
      <c r="P146" s="217"/>
      <c r="Q146" s="230"/>
      <c r="R146" s="230"/>
      <c r="S146" s="230"/>
      <c r="T146" s="230"/>
      <c r="U146" s="230"/>
      <c r="V146" s="230"/>
      <c r="W146" s="111"/>
      <c r="AA146" s="8"/>
    </row>
    <row r="147" spans="2:31" ht="8.25" customHeight="1">
      <c r="B147" s="34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54"/>
      <c r="X147" s="52">
        <f t="shared" ref="X147:AB150" si="3">AD75+X84+X93+X102+X111+X120+X130+X140</f>
        <v>62</v>
      </c>
      <c r="Y147" s="52">
        <f t="shared" si="3"/>
        <v>59</v>
      </c>
      <c r="Z147" s="52">
        <f t="shared" si="3"/>
        <v>48</v>
      </c>
      <c r="AA147" s="52">
        <f t="shared" si="3"/>
        <v>0</v>
      </c>
      <c r="AB147" s="52">
        <f t="shared" si="3"/>
        <v>0</v>
      </c>
      <c r="AC147" s="9" t="s">
        <v>65</v>
      </c>
    </row>
    <row r="148" spans="2:31" ht="10.95" customHeight="1">
      <c r="B148" s="11"/>
      <c r="W148" s="12"/>
      <c r="X148" s="52">
        <f t="shared" si="3"/>
        <v>0</v>
      </c>
      <c r="Y148" s="52">
        <f t="shared" si="3"/>
        <v>0</v>
      </c>
      <c r="Z148" s="52">
        <f t="shared" si="3"/>
        <v>3</v>
      </c>
      <c r="AA148" s="52">
        <f t="shared" si="3"/>
        <v>0</v>
      </c>
      <c r="AB148" s="52">
        <f t="shared" si="3"/>
        <v>0</v>
      </c>
      <c r="AC148" s="9" t="s">
        <v>56</v>
      </c>
      <c r="AE148" s="48" t="s">
        <v>216</v>
      </c>
    </row>
    <row r="149" spans="2:31">
      <c r="B149" s="11"/>
      <c r="E149" s="133"/>
      <c r="F149" s="133"/>
      <c r="G149" s="133" t="s">
        <v>703</v>
      </c>
      <c r="H149" s="133"/>
      <c r="I149" s="133"/>
      <c r="J149" s="133" t="s">
        <v>67</v>
      </c>
      <c r="K149" s="133"/>
      <c r="L149" s="133"/>
      <c r="Q149" s="82"/>
      <c r="W149" s="12"/>
      <c r="X149" s="52">
        <f t="shared" si="3"/>
        <v>0</v>
      </c>
      <c r="Y149" s="52">
        <f t="shared" si="3"/>
        <v>0</v>
      </c>
      <c r="Z149" s="52">
        <f t="shared" si="3"/>
        <v>1</v>
      </c>
      <c r="AA149" s="52">
        <f t="shared" si="3"/>
        <v>0</v>
      </c>
      <c r="AB149" s="52">
        <f t="shared" si="3"/>
        <v>0</v>
      </c>
      <c r="AC149" s="9" t="s">
        <v>61</v>
      </c>
    </row>
    <row r="150" spans="2:31">
      <c r="B150" s="11"/>
      <c r="E150" s="133"/>
      <c r="F150" s="133"/>
      <c r="J150" s="133"/>
      <c r="L150" s="133"/>
      <c r="M150" s="9" t="s">
        <v>68</v>
      </c>
      <c r="Q150" s="82"/>
      <c r="S150" s="7" t="s">
        <v>69</v>
      </c>
      <c r="W150" s="12"/>
      <c r="X150" s="52">
        <f t="shared" si="3"/>
        <v>0</v>
      </c>
      <c r="Y150" s="52">
        <f t="shared" si="3"/>
        <v>2</v>
      </c>
      <c r="Z150" s="52">
        <f t="shared" si="3"/>
        <v>10</v>
      </c>
      <c r="AA150" s="52">
        <f t="shared" si="3"/>
        <v>48</v>
      </c>
      <c r="AB150" s="52">
        <f t="shared" si="3"/>
        <v>0</v>
      </c>
      <c r="AC150" s="9" t="s">
        <v>95</v>
      </c>
    </row>
    <row r="151" spans="2:31" ht="13.8" thickBot="1">
      <c r="B151" s="11"/>
      <c r="D151" s="134" t="s">
        <v>70</v>
      </c>
      <c r="E151" s="133"/>
      <c r="F151" s="133"/>
      <c r="J151" s="133"/>
      <c r="L151" s="133"/>
      <c r="Q151" s="82"/>
      <c r="W151" s="12"/>
    </row>
    <row r="152" spans="2:31" ht="15" thickTop="1" thickBot="1">
      <c r="B152" s="11"/>
      <c r="D152" s="134" t="s">
        <v>71</v>
      </c>
      <c r="E152" s="133"/>
      <c r="F152" s="133"/>
      <c r="G152" s="23"/>
      <c r="H152" s="16"/>
      <c r="I152" s="15"/>
      <c r="J152" s="133"/>
      <c r="K152" s="23"/>
      <c r="L152" s="133"/>
      <c r="M152" s="9" t="s">
        <v>72</v>
      </c>
      <c r="Q152" s="82"/>
      <c r="W152" s="12"/>
      <c r="X152" s="53">
        <f t="shared" ref="X152:AB155" si="4">X33+X147+X79</f>
        <v>126</v>
      </c>
      <c r="Y152" s="53">
        <f t="shared" si="4"/>
        <v>123</v>
      </c>
      <c r="Z152" s="53">
        <f t="shared" si="4"/>
        <v>111</v>
      </c>
      <c r="AA152" s="53">
        <f t="shared" si="4"/>
        <v>0</v>
      </c>
      <c r="AB152" s="53">
        <f t="shared" si="4"/>
        <v>12948.920999999998</v>
      </c>
      <c r="AC152" s="19" t="s">
        <v>65</v>
      </c>
      <c r="AD152" s="128" t="s">
        <v>58</v>
      </c>
    </row>
    <row r="153" spans="2:31" ht="14.4" thickTop="1" thickBot="1">
      <c r="B153" s="11"/>
      <c r="D153" s="134" t="s">
        <v>73</v>
      </c>
      <c r="E153" s="133"/>
      <c r="F153" s="133"/>
      <c r="G153" s="17"/>
      <c r="H153" s="16"/>
      <c r="I153" s="18" t="s">
        <v>59</v>
      </c>
      <c r="J153" s="133"/>
      <c r="K153" s="17"/>
      <c r="L153" s="133"/>
      <c r="Q153" s="82"/>
      <c r="S153" s="7" t="s">
        <v>74</v>
      </c>
      <c r="W153" s="12"/>
      <c r="X153" s="53">
        <f t="shared" si="4"/>
        <v>0</v>
      </c>
      <c r="Y153" s="53">
        <f t="shared" si="4"/>
        <v>0</v>
      </c>
      <c r="Z153" s="53">
        <f t="shared" si="4"/>
        <v>3</v>
      </c>
      <c r="AA153" s="53">
        <f t="shared" si="4"/>
        <v>0</v>
      </c>
      <c r="AB153" s="53">
        <f t="shared" si="4"/>
        <v>0</v>
      </c>
      <c r="AC153" s="39" t="s">
        <v>56</v>
      </c>
    </row>
    <row r="154" spans="2:31" ht="13.8" thickTop="1">
      <c r="B154" s="11"/>
      <c r="E154" s="133"/>
      <c r="F154" s="133"/>
      <c r="G154" s="133"/>
      <c r="H154" s="133"/>
      <c r="I154" s="133"/>
      <c r="J154" s="133"/>
      <c r="K154" s="133"/>
      <c r="L154" s="133"/>
      <c r="N154" s="135" t="s">
        <v>90</v>
      </c>
      <c r="Q154" s="82"/>
      <c r="W154" s="12"/>
      <c r="X154" s="53">
        <f t="shared" si="4"/>
        <v>0</v>
      </c>
      <c r="Y154" s="53">
        <f t="shared" si="4"/>
        <v>0</v>
      </c>
      <c r="Z154" s="53">
        <f t="shared" si="4"/>
        <v>1</v>
      </c>
      <c r="AA154" s="53">
        <f t="shared" si="4"/>
        <v>0</v>
      </c>
      <c r="AB154" s="53">
        <f t="shared" si="4"/>
        <v>0</v>
      </c>
      <c r="AC154" s="39" t="s">
        <v>61</v>
      </c>
    </row>
    <row r="155" spans="2:31">
      <c r="B155" s="11"/>
      <c r="D155" s="136"/>
      <c r="E155" s="137"/>
      <c r="F155" s="136"/>
      <c r="G155" s="135"/>
      <c r="H155" s="138"/>
      <c r="I155" s="85">
        <v>325</v>
      </c>
      <c r="J155" s="135" t="s">
        <v>75</v>
      </c>
      <c r="K155" s="137"/>
      <c r="L155" s="85"/>
      <c r="Q155" s="82"/>
      <c r="W155" s="12"/>
      <c r="X155" s="53">
        <f t="shared" si="4"/>
        <v>0</v>
      </c>
      <c r="Y155" s="53">
        <f t="shared" si="4"/>
        <v>2</v>
      </c>
      <c r="Z155" s="53">
        <f t="shared" si="4"/>
        <v>11</v>
      </c>
      <c r="AA155" s="53">
        <f t="shared" si="4"/>
        <v>111</v>
      </c>
      <c r="AB155" s="53">
        <f t="shared" si="4"/>
        <v>0</v>
      </c>
      <c r="AC155" s="39" t="s">
        <v>95</v>
      </c>
    </row>
    <row r="156" spans="2:31" ht="13.8" thickBot="1">
      <c r="B156" s="11"/>
      <c r="D156" s="136"/>
      <c r="E156" s="137"/>
      <c r="F156" s="136"/>
      <c r="G156" s="137"/>
      <c r="H156" s="138"/>
      <c r="I156" s="83"/>
      <c r="J156" s="136"/>
      <c r="K156" s="137"/>
      <c r="L156" s="85"/>
      <c r="M156" s="137"/>
      <c r="N156" s="135" t="s">
        <v>76</v>
      </c>
      <c r="O156" s="137"/>
      <c r="P156" s="136"/>
      <c r="Q156" s="83"/>
      <c r="R156" s="136"/>
      <c r="S156" s="139" t="s">
        <v>77</v>
      </c>
      <c r="T156" s="136"/>
      <c r="U156" s="137"/>
      <c r="V156" s="136"/>
      <c r="W156" s="12"/>
    </row>
    <row r="157" spans="2:31" ht="14.4" thickTop="1" thickBot="1">
      <c r="B157" s="11"/>
      <c r="D157" s="136"/>
      <c r="E157" s="137"/>
      <c r="F157" s="24" t="s">
        <v>61</v>
      </c>
      <c r="G157" s="9" t="s">
        <v>61</v>
      </c>
      <c r="H157" s="138"/>
      <c r="I157" s="83"/>
      <c r="J157" s="140" t="s">
        <v>84</v>
      </c>
      <c r="K157" s="137"/>
      <c r="L157" s="85"/>
      <c r="M157" s="137"/>
      <c r="N157" s="136"/>
      <c r="O157" s="137"/>
      <c r="P157" s="136"/>
      <c r="Q157" s="83"/>
      <c r="R157" s="137"/>
      <c r="S157" s="137"/>
      <c r="T157" s="136"/>
      <c r="U157" s="137"/>
      <c r="V157" s="136"/>
      <c r="W157" s="12"/>
    </row>
    <row r="158" spans="2:31" ht="21" customHeight="1" thickTop="1">
      <c r="B158" s="11"/>
      <c r="D158" s="914"/>
      <c r="E158" s="137"/>
      <c r="F158" s="136"/>
      <c r="G158" s="137"/>
      <c r="H158" s="138"/>
      <c r="I158" s="83"/>
      <c r="J158" s="136"/>
      <c r="K158" s="137"/>
      <c r="L158" s="85"/>
      <c r="M158" s="137"/>
      <c r="N158" s="136"/>
      <c r="O158" s="137"/>
      <c r="P158" s="136"/>
      <c r="Q158" s="83"/>
      <c r="R158" s="136"/>
      <c r="S158" s="137"/>
      <c r="T158" s="136"/>
      <c r="U158" s="137"/>
      <c r="V158" s="136"/>
      <c r="W158" s="12"/>
    </row>
    <row r="159" spans="2:31">
      <c r="B159" s="11"/>
      <c r="D159" s="914"/>
      <c r="E159" s="137"/>
      <c r="F159" s="138" t="s">
        <v>78</v>
      </c>
      <c r="G159" s="135" t="s">
        <v>60</v>
      </c>
      <c r="H159" s="138"/>
      <c r="I159" s="87"/>
      <c r="J159" s="905" t="s">
        <v>208</v>
      </c>
      <c r="K159" s="906"/>
      <c r="L159" s="85"/>
      <c r="M159" s="137"/>
      <c r="N159" s="141" t="s">
        <v>79</v>
      </c>
      <c r="O159" s="137"/>
      <c r="P159" s="136"/>
      <c r="Q159" s="83"/>
      <c r="R159" s="136"/>
      <c r="S159" s="142" t="s">
        <v>80</v>
      </c>
      <c r="T159" s="136"/>
      <c r="U159" s="137"/>
      <c r="V159" s="136"/>
      <c r="W159" s="12"/>
    </row>
    <row r="160" spans="2:31">
      <c r="B160" s="11"/>
      <c r="D160" s="136"/>
      <c r="E160" s="137"/>
      <c r="F160" s="138"/>
      <c r="G160" s="137"/>
      <c r="H160" s="138"/>
      <c r="I160" s="83"/>
      <c r="J160" s="136"/>
      <c r="K160" s="137"/>
      <c r="L160" s="85"/>
      <c r="M160" s="137"/>
      <c r="N160" s="136"/>
      <c r="O160" s="137"/>
      <c r="P160" s="136"/>
      <c r="Q160" s="83"/>
      <c r="R160" s="136"/>
      <c r="S160" s="142" t="s">
        <v>81</v>
      </c>
      <c r="T160" s="136"/>
      <c r="U160" s="137"/>
      <c r="V160" s="136"/>
      <c r="W160" s="12"/>
    </row>
    <row r="161" spans="2:23">
      <c r="B161" s="11"/>
      <c r="D161" s="137"/>
      <c r="E161" s="137"/>
      <c r="F161" s="143" t="s">
        <v>66</v>
      </c>
      <c r="G161" s="135" t="s">
        <v>82</v>
      </c>
      <c r="H161" s="138"/>
      <c r="I161" s="83"/>
      <c r="J161" s="136"/>
      <c r="K161" s="137"/>
      <c r="L161" s="85"/>
      <c r="M161" s="137"/>
      <c r="N161" s="135" t="s">
        <v>91</v>
      </c>
      <c r="O161" s="137"/>
      <c r="P161" s="136"/>
      <c r="Q161" s="83"/>
      <c r="R161" s="144"/>
      <c r="S161" s="137"/>
      <c r="T161" s="136"/>
      <c r="U161" s="137"/>
      <c r="V161" s="136"/>
      <c r="W161" s="12"/>
    </row>
    <row r="162" spans="2:23">
      <c r="B162" s="11"/>
      <c r="D162" s="137"/>
      <c r="E162" s="137"/>
      <c r="F162" s="138"/>
      <c r="G162" s="137"/>
      <c r="H162" s="137"/>
      <c r="I162" s="88"/>
      <c r="J162" s="134" t="s">
        <v>209</v>
      </c>
      <c r="K162" s="137"/>
      <c r="L162" s="85"/>
      <c r="M162" s="137"/>
      <c r="N162" s="145"/>
      <c r="O162" s="137"/>
      <c r="P162" s="136"/>
      <c r="Q162" s="83"/>
      <c r="R162" s="144"/>
      <c r="S162" s="146" t="s">
        <v>83</v>
      </c>
      <c r="T162" s="136"/>
      <c r="U162" s="137"/>
      <c r="V162" s="136"/>
      <c r="W162" s="12"/>
    </row>
    <row r="163" spans="2:23">
      <c r="B163" s="11"/>
      <c r="D163" s="137"/>
      <c r="E163" s="137"/>
      <c r="F163" s="147"/>
      <c r="G163" s="418" t="s">
        <v>627</v>
      </c>
      <c r="H163" s="138"/>
      <c r="I163" s="83"/>
      <c r="J163" s="136"/>
      <c r="K163" s="137"/>
      <c r="L163" s="85"/>
      <c r="M163" s="137"/>
      <c r="O163" s="137"/>
      <c r="P163" s="136"/>
      <c r="Q163" s="83"/>
      <c r="R163" s="136"/>
      <c r="S163" s="135"/>
      <c r="T163" s="136"/>
      <c r="U163" s="137"/>
      <c r="V163" s="136"/>
      <c r="W163" s="12"/>
    </row>
    <row r="164" spans="2:23">
      <c r="B164" s="11"/>
      <c r="D164" s="137"/>
      <c r="E164" s="137"/>
      <c r="F164" s="138"/>
      <c r="G164" s="137"/>
      <c r="H164" s="138"/>
      <c r="I164" s="83"/>
      <c r="J164" s="136"/>
      <c r="K164" s="137"/>
      <c r="L164" s="85"/>
      <c r="M164" s="137"/>
      <c r="N164" s="135" t="s">
        <v>369</v>
      </c>
      <c r="O164" s="137"/>
      <c r="P164" s="136"/>
      <c r="Q164" s="83"/>
      <c r="R164" s="136"/>
      <c r="S164" s="137"/>
      <c r="T164" s="136"/>
      <c r="U164" s="137"/>
      <c r="V164" s="136"/>
      <c r="W164" s="12"/>
    </row>
    <row r="165" spans="2:23">
      <c r="B165" s="11"/>
      <c r="D165" s="137"/>
      <c r="E165" s="137"/>
      <c r="F165" s="136" t="s">
        <v>85</v>
      </c>
      <c r="G165" s="137" t="s">
        <v>86</v>
      </c>
      <c r="H165" s="138"/>
      <c r="I165" s="83"/>
      <c r="J165" s="140" t="s">
        <v>87</v>
      </c>
      <c r="K165" s="137"/>
      <c r="L165" s="85"/>
      <c r="O165" s="137"/>
      <c r="P165" s="136"/>
      <c r="Q165" s="83"/>
      <c r="S165" s="135" t="s">
        <v>88</v>
      </c>
      <c r="T165" s="136"/>
      <c r="U165" s="137"/>
      <c r="V165" s="136"/>
      <c r="W165" s="12"/>
    </row>
    <row r="166" spans="2:23" ht="5.55" customHeight="1" thickBot="1">
      <c r="B166" s="21"/>
      <c r="C166" s="22"/>
      <c r="D166" s="25"/>
      <c r="E166" s="25"/>
      <c r="F166" s="25"/>
      <c r="G166" s="148"/>
      <c r="H166" s="27"/>
      <c r="I166" s="84"/>
      <c r="J166" s="28"/>
      <c r="K166" s="25"/>
      <c r="L166" s="86"/>
      <c r="M166" s="22"/>
      <c r="N166" s="26"/>
      <c r="O166" s="25"/>
      <c r="P166" s="28"/>
      <c r="Q166" s="84"/>
      <c r="R166" s="28"/>
      <c r="S166" s="25"/>
      <c r="T166" s="28"/>
      <c r="U166" s="25"/>
      <c r="V166" s="28"/>
      <c r="W166" s="29"/>
    </row>
    <row r="167" spans="2:23" ht="18.75" customHeight="1" thickBot="1">
      <c r="B167" s="888" t="s">
        <v>114</v>
      </c>
      <c r="C167" s="889"/>
      <c r="D167" s="889"/>
      <c r="E167" s="889"/>
      <c r="F167" s="889"/>
      <c r="G167" s="889"/>
      <c r="H167" s="889"/>
      <c r="I167" s="889"/>
      <c r="J167" s="889"/>
      <c r="K167" s="889"/>
      <c r="L167" s="889"/>
      <c r="M167" s="889"/>
      <c r="N167" s="889"/>
      <c r="O167" s="889"/>
      <c r="P167" s="889"/>
      <c r="Q167" s="889"/>
      <c r="R167" s="889"/>
      <c r="S167" s="889"/>
      <c r="T167" s="889"/>
      <c r="U167" s="889"/>
      <c r="V167" s="889"/>
      <c r="W167" s="890"/>
    </row>
    <row r="168" spans="2:23" ht="17.55" customHeight="1">
      <c r="B168" s="900" t="s">
        <v>99</v>
      </c>
      <c r="C168" s="891" t="s">
        <v>100</v>
      </c>
      <c r="D168" s="903" t="s">
        <v>97</v>
      </c>
      <c r="E168" s="903" t="s">
        <v>111</v>
      </c>
      <c r="F168" s="891" t="s">
        <v>101</v>
      </c>
      <c r="G168" s="891"/>
      <c r="H168" s="891"/>
      <c r="I168" s="891"/>
      <c r="J168" s="891"/>
      <c r="K168" s="891" t="s">
        <v>102</v>
      </c>
      <c r="L168" s="891"/>
      <c r="M168" s="891"/>
      <c r="N168" s="891" t="s">
        <v>103</v>
      </c>
      <c r="O168" s="891"/>
      <c r="P168" s="891"/>
      <c r="Q168" s="891"/>
      <c r="R168" s="891"/>
      <c r="S168" s="891" t="s">
        <v>104</v>
      </c>
      <c r="T168" s="891"/>
      <c r="U168" s="891"/>
      <c r="V168" s="891"/>
      <c r="W168" s="892"/>
    </row>
    <row r="169" spans="2:23" ht="21.75" customHeight="1">
      <c r="B169" s="901"/>
      <c r="C169" s="902"/>
      <c r="D169" s="904"/>
      <c r="E169" s="904"/>
      <c r="F169" s="51" t="s">
        <v>94</v>
      </c>
      <c r="G169" s="51" t="s">
        <v>56</v>
      </c>
      <c r="H169" s="51" t="s">
        <v>61</v>
      </c>
      <c r="I169" s="51" t="s">
        <v>95</v>
      </c>
      <c r="J169" s="51" t="s">
        <v>96</v>
      </c>
      <c r="K169" s="51" t="s">
        <v>94</v>
      </c>
      <c r="L169" s="51" t="s">
        <v>61</v>
      </c>
      <c r="M169" s="51" t="s">
        <v>96</v>
      </c>
      <c r="N169" s="51" t="s">
        <v>94</v>
      </c>
      <c r="O169" s="51" t="s">
        <v>56</v>
      </c>
      <c r="P169" s="51" t="s">
        <v>61</v>
      </c>
      <c r="Q169" s="51" t="s">
        <v>95</v>
      </c>
      <c r="R169" s="51" t="s">
        <v>96</v>
      </c>
      <c r="S169" s="51" t="s">
        <v>94</v>
      </c>
      <c r="T169" s="51" t="s">
        <v>56</v>
      </c>
      <c r="U169" s="51" t="s">
        <v>61</v>
      </c>
      <c r="V169" s="51" t="s">
        <v>95</v>
      </c>
      <c r="W169" s="42" t="s">
        <v>96</v>
      </c>
    </row>
    <row r="170" spans="2:23" ht="22.5" customHeight="1">
      <c r="B170" s="898" t="s">
        <v>225</v>
      </c>
      <c r="C170" s="125" t="s">
        <v>196</v>
      </c>
      <c r="D170" s="254">
        <v>15</v>
      </c>
      <c r="E170" s="440">
        <f>(W17+W26)/1000</f>
        <v>5.5670590000000004</v>
      </c>
      <c r="F170" s="274">
        <f>X33</f>
        <v>15</v>
      </c>
      <c r="G170" s="258">
        <f>X34</f>
        <v>0</v>
      </c>
      <c r="H170" s="258">
        <f>X35</f>
        <v>0</v>
      </c>
      <c r="I170" s="258">
        <f>X36</f>
        <v>0</v>
      </c>
      <c r="J170" s="254">
        <f>D170-F170</f>
        <v>0</v>
      </c>
      <c r="K170" s="254">
        <f>Y33</f>
        <v>15</v>
      </c>
      <c r="L170" s="258">
        <f>Y35</f>
        <v>0</v>
      </c>
      <c r="M170" s="271">
        <f t="shared" ref="M170:M173" si="5">D170-K170-L170</f>
        <v>0</v>
      </c>
      <c r="N170" s="254">
        <f>Z33</f>
        <v>15</v>
      </c>
      <c r="O170" s="258">
        <f>Z34</f>
        <v>0</v>
      </c>
      <c r="P170" s="258">
        <f>Z35</f>
        <v>0</v>
      </c>
      <c r="Q170" s="258">
        <v>1</v>
      </c>
      <c r="R170" s="254">
        <f>D170-N170</f>
        <v>0</v>
      </c>
      <c r="S170" s="259">
        <f>AB33/1000</f>
        <v>0.38500000000000001</v>
      </c>
      <c r="T170" s="498">
        <f>AB34/1000</f>
        <v>0</v>
      </c>
      <c r="U170" s="498">
        <f>AB35</f>
        <v>0</v>
      </c>
      <c r="V170" s="498">
        <f>AB36</f>
        <v>0</v>
      </c>
      <c r="W170" s="499">
        <f>E170-S170</f>
        <v>5.1820590000000006</v>
      </c>
    </row>
    <row r="171" spans="2:23" s="49" customFormat="1" ht="28.95" customHeight="1" thickBot="1">
      <c r="B171" s="899"/>
      <c r="C171" s="55" t="s">
        <v>11</v>
      </c>
      <c r="D171" s="275">
        <f t="shared" ref="D171:W171" si="6">SUM(D170:D170)</f>
        <v>15</v>
      </c>
      <c r="E171" s="275">
        <f t="shared" si="6"/>
        <v>5.5670590000000004</v>
      </c>
      <c r="F171" s="275">
        <f t="shared" si="6"/>
        <v>15</v>
      </c>
      <c r="G171" s="272">
        <f t="shared" si="6"/>
        <v>0</v>
      </c>
      <c r="H171" s="272">
        <f t="shared" si="6"/>
        <v>0</v>
      </c>
      <c r="I171" s="272">
        <f t="shared" si="6"/>
        <v>0</v>
      </c>
      <c r="J171" s="272">
        <f t="shared" si="6"/>
        <v>0</v>
      </c>
      <c r="K171" s="272">
        <f t="shared" si="6"/>
        <v>15</v>
      </c>
      <c r="L171" s="272">
        <f t="shared" si="6"/>
        <v>0</v>
      </c>
      <c r="M171" s="272">
        <f t="shared" si="6"/>
        <v>0</v>
      </c>
      <c r="N171" s="272">
        <f t="shared" si="6"/>
        <v>15</v>
      </c>
      <c r="O171" s="272">
        <f t="shared" si="6"/>
        <v>0</v>
      </c>
      <c r="P171" s="272">
        <f t="shared" si="6"/>
        <v>0</v>
      </c>
      <c r="Q171" s="272">
        <f>Q170</f>
        <v>1</v>
      </c>
      <c r="R171" s="272">
        <f t="shared" si="6"/>
        <v>0</v>
      </c>
      <c r="S171" s="494">
        <f t="shared" si="6"/>
        <v>0.38500000000000001</v>
      </c>
      <c r="T171" s="500">
        <f t="shared" si="6"/>
        <v>0</v>
      </c>
      <c r="U171" s="500">
        <f t="shared" si="6"/>
        <v>0</v>
      </c>
      <c r="V171" s="500">
        <f t="shared" si="6"/>
        <v>0</v>
      </c>
      <c r="W171" s="501">
        <f t="shared" si="6"/>
        <v>5.1820590000000006</v>
      </c>
    </row>
    <row r="172" spans="2:23" s="257" customFormat="1" ht="22.5" customHeight="1">
      <c r="B172" s="893" t="s">
        <v>226</v>
      </c>
      <c r="C172" s="253" t="s">
        <v>201</v>
      </c>
      <c r="D172" s="254">
        <v>50</v>
      </c>
      <c r="E172" s="441">
        <f>(W37+W46+W55+W65+W74)/1000</f>
        <v>19.308524000000002</v>
      </c>
      <c r="F172" s="255">
        <f>X79</f>
        <v>49</v>
      </c>
      <c r="G172" s="256">
        <f>X80</f>
        <v>0</v>
      </c>
      <c r="H172" s="256">
        <f>X81</f>
        <v>0</v>
      </c>
      <c r="I172" s="256">
        <f>X82</f>
        <v>0</v>
      </c>
      <c r="J172" s="255">
        <f t="shared" ref="J172:J173" si="7">D172-F172</f>
        <v>1</v>
      </c>
      <c r="K172" s="255">
        <f>Y79</f>
        <v>49</v>
      </c>
      <c r="L172" s="256">
        <f>Y81</f>
        <v>0</v>
      </c>
      <c r="M172" s="271">
        <f t="shared" si="5"/>
        <v>1</v>
      </c>
      <c r="N172" s="255">
        <f>Z79</f>
        <v>48</v>
      </c>
      <c r="O172" s="256">
        <f>Z80</f>
        <v>0</v>
      </c>
      <c r="P172" s="256">
        <f>Z81</f>
        <v>0</v>
      </c>
      <c r="Q172" s="256">
        <v>4</v>
      </c>
      <c r="R172" s="255">
        <f t="shared" ref="R172:R173" si="8">D172-N172</f>
        <v>2</v>
      </c>
      <c r="S172" s="495">
        <f>AB79/1000</f>
        <v>12.563920999999999</v>
      </c>
      <c r="T172" s="502">
        <f>AB80/1000</f>
        <v>0</v>
      </c>
      <c r="U172" s="502">
        <f>AB81/1000</f>
        <v>0</v>
      </c>
      <c r="V172" s="502">
        <f>AB82</f>
        <v>0</v>
      </c>
      <c r="W172" s="503">
        <f t="shared" ref="W172:W173" si="9">E172-S172</f>
        <v>6.7446030000000032</v>
      </c>
    </row>
    <row r="173" spans="2:23" s="257" customFormat="1" ht="22.5" customHeight="1">
      <c r="B173" s="894"/>
      <c r="C173" s="253" t="s">
        <v>216</v>
      </c>
      <c r="D173" s="254">
        <v>62</v>
      </c>
      <c r="E173" s="440">
        <f>(W83+W92+W101+W110+W119+W129+W139)/1000</f>
        <v>22.960121000000001</v>
      </c>
      <c r="F173" s="254">
        <f>X147</f>
        <v>62</v>
      </c>
      <c r="G173" s="258">
        <f>X148</f>
        <v>0</v>
      </c>
      <c r="H173" s="258">
        <f>X149</f>
        <v>0</v>
      </c>
      <c r="I173" s="258">
        <f>X150</f>
        <v>0</v>
      </c>
      <c r="J173" s="254">
        <f t="shared" si="7"/>
        <v>0</v>
      </c>
      <c r="K173" s="254">
        <f>Y147</f>
        <v>59</v>
      </c>
      <c r="L173" s="258">
        <f>Y149</f>
        <v>0</v>
      </c>
      <c r="M173" s="273">
        <f t="shared" si="5"/>
        <v>3</v>
      </c>
      <c r="N173" s="254">
        <f>Z147</f>
        <v>48</v>
      </c>
      <c r="O173" s="258">
        <f>Z148</f>
        <v>3</v>
      </c>
      <c r="P173" s="258">
        <f>Z149</f>
        <v>1</v>
      </c>
      <c r="Q173" s="258">
        <v>1</v>
      </c>
      <c r="R173" s="254">
        <f t="shared" si="8"/>
        <v>14</v>
      </c>
      <c r="S173" s="496">
        <f>AB147/1000</f>
        <v>0</v>
      </c>
      <c r="T173" s="498">
        <f>AB148/1000</f>
        <v>0</v>
      </c>
      <c r="U173" s="498">
        <f>AB149</f>
        <v>0</v>
      </c>
      <c r="V173" s="498">
        <f>AB150</f>
        <v>0</v>
      </c>
      <c r="W173" s="499">
        <f t="shared" si="9"/>
        <v>22.960121000000001</v>
      </c>
    </row>
    <row r="174" spans="2:23" s="262" customFormat="1" ht="22.5" customHeight="1">
      <c r="B174" s="895"/>
      <c r="C174" s="260" t="s">
        <v>11</v>
      </c>
      <c r="D174" s="260">
        <f>SUM(D172:D173)</f>
        <v>112</v>
      </c>
      <c r="E174" s="260">
        <f t="shared" ref="E174:W174" si="10">SUM(E172:E173)</f>
        <v>42.268645000000006</v>
      </c>
      <c r="F174" s="260">
        <f t="shared" si="10"/>
        <v>111</v>
      </c>
      <c r="G174" s="261">
        <f t="shared" si="10"/>
        <v>0</v>
      </c>
      <c r="H174" s="261">
        <f t="shared" si="10"/>
        <v>0</v>
      </c>
      <c r="I174" s="261">
        <f t="shared" si="10"/>
        <v>0</v>
      </c>
      <c r="J174" s="261">
        <f t="shared" si="10"/>
        <v>1</v>
      </c>
      <c r="K174" s="261">
        <f t="shared" si="10"/>
        <v>108</v>
      </c>
      <c r="L174" s="261">
        <f t="shared" si="10"/>
        <v>0</v>
      </c>
      <c r="M174" s="261">
        <f t="shared" si="10"/>
        <v>4</v>
      </c>
      <c r="N174" s="261">
        <f t="shared" si="10"/>
        <v>96</v>
      </c>
      <c r="O174" s="261">
        <f t="shared" si="10"/>
        <v>3</v>
      </c>
      <c r="P174" s="261">
        <f t="shared" si="10"/>
        <v>1</v>
      </c>
      <c r="Q174" s="261">
        <f t="shared" si="10"/>
        <v>5</v>
      </c>
      <c r="R174" s="261">
        <f t="shared" si="10"/>
        <v>16</v>
      </c>
      <c r="S174" s="497">
        <f t="shared" si="10"/>
        <v>12.563920999999999</v>
      </c>
      <c r="T174" s="504">
        <f t="shared" si="10"/>
        <v>0</v>
      </c>
      <c r="U174" s="504">
        <f t="shared" si="10"/>
        <v>0</v>
      </c>
      <c r="V174" s="504">
        <f t="shared" si="10"/>
        <v>0</v>
      </c>
      <c r="W174" s="505">
        <f t="shared" si="10"/>
        <v>29.704724000000006</v>
      </c>
    </row>
    <row r="175" spans="2:23" s="265" customFormat="1" ht="25.5" customHeight="1" thickBot="1">
      <c r="B175" s="896" t="s">
        <v>11</v>
      </c>
      <c r="C175" s="897"/>
      <c r="D175" s="263">
        <f>D171+D174</f>
        <v>127</v>
      </c>
      <c r="E175" s="263">
        <f t="shared" ref="E175:W175" si="11">E171+E174</f>
        <v>47.835704000000007</v>
      </c>
      <c r="F175" s="263">
        <f t="shared" si="11"/>
        <v>126</v>
      </c>
      <c r="G175" s="264">
        <f t="shared" si="11"/>
        <v>0</v>
      </c>
      <c r="H175" s="264">
        <f t="shared" si="11"/>
        <v>0</v>
      </c>
      <c r="I175" s="264">
        <f t="shared" si="11"/>
        <v>0</v>
      </c>
      <c r="J175" s="264">
        <f t="shared" si="11"/>
        <v>1</v>
      </c>
      <c r="K175" s="264">
        <f>K171+K174</f>
        <v>123</v>
      </c>
      <c r="L175" s="264">
        <f t="shared" si="11"/>
        <v>0</v>
      </c>
      <c r="M175" s="264">
        <f t="shared" si="11"/>
        <v>4</v>
      </c>
      <c r="N175" s="264">
        <f t="shared" si="11"/>
        <v>111</v>
      </c>
      <c r="O175" s="264">
        <f t="shared" si="11"/>
        <v>3</v>
      </c>
      <c r="P175" s="264">
        <f t="shared" si="11"/>
        <v>1</v>
      </c>
      <c r="Q175" s="264">
        <v>6</v>
      </c>
      <c r="R175" s="264">
        <f t="shared" si="11"/>
        <v>16</v>
      </c>
      <c r="S175" s="571">
        <f t="shared" si="11"/>
        <v>12.948920999999999</v>
      </c>
      <c r="T175" s="572">
        <f t="shared" si="11"/>
        <v>0</v>
      </c>
      <c r="U175" s="572">
        <f t="shared" si="11"/>
        <v>0</v>
      </c>
      <c r="V175" s="506">
        <f t="shared" si="11"/>
        <v>0</v>
      </c>
      <c r="W175" s="507">
        <f t="shared" si="11"/>
        <v>34.886783000000008</v>
      </c>
    </row>
    <row r="177" spans="7:7">
      <c r="G177" s="50"/>
    </row>
    <row r="180" spans="7:7">
      <c r="G180" s="50"/>
    </row>
  </sheetData>
  <mergeCells count="130">
    <mergeCell ref="C134:D134"/>
    <mergeCell ref="E134:G134"/>
    <mergeCell ref="L134:U134"/>
    <mergeCell ref="V134:W134"/>
    <mergeCell ref="I12:K12"/>
    <mergeCell ref="L12:N12"/>
    <mergeCell ref="O12:Q12"/>
    <mergeCell ref="B2:V2"/>
    <mergeCell ref="C11:F11"/>
    <mergeCell ref="G11:H11"/>
    <mergeCell ref="I11:K11"/>
    <mergeCell ref="L11:N11"/>
    <mergeCell ref="O11:Q11"/>
    <mergeCell ref="C10:F10"/>
    <mergeCell ref="G10:H10"/>
    <mergeCell ref="I10:K10"/>
    <mergeCell ref="L10:N10"/>
    <mergeCell ref="O10:Q10"/>
    <mergeCell ref="C9:F9"/>
    <mergeCell ref="G9:H9"/>
    <mergeCell ref="I9:K9"/>
    <mergeCell ref="L9:N9"/>
    <mergeCell ref="O9:Q9"/>
    <mergeCell ref="L7:N7"/>
    <mergeCell ref="O7:Q7"/>
    <mergeCell ref="C8:F8"/>
    <mergeCell ref="G8:H8"/>
    <mergeCell ref="I8:K8"/>
    <mergeCell ref="L8:N8"/>
    <mergeCell ref="O8:Q8"/>
    <mergeCell ref="U7:V7"/>
    <mergeCell ref="B3:Q3"/>
    <mergeCell ref="B4:Q4"/>
    <mergeCell ref="C5:F5"/>
    <mergeCell ref="G5:H5"/>
    <mergeCell ref="I5:K5"/>
    <mergeCell ref="L5:N5"/>
    <mergeCell ref="O5:Q5"/>
    <mergeCell ref="C6:F6"/>
    <mergeCell ref="G6:H6"/>
    <mergeCell ref="I6:K6"/>
    <mergeCell ref="L6:N6"/>
    <mergeCell ref="O6:Q6"/>
    <mergeCell ref="C7:F7"/>
    <mergeCell ref="G7:H7"/>
    <mergeCell ref="I7:K7"/>
    <mergeCell ref="T8:U8"/>
    <mergeCell ref="C51:N51"/>
    <mergeCell ref="O51:R51"/>
    <mergeCell ref="S51:V51"/>
    <mergeCell ref="C60:F60"/>
    <mergeCell ref="G60:J60"/>
    <mergeCell ref="K60:L60"/>
    <mergeCell ref="M60:U60"/>
    <mergeCell ref="C115:E115"/>
    <mergeCell ref="F115:O115"/>
    <mergeCell ref="P115:V115"/>
    <mergeCell ref="C80:D80"/>
    <mergeCell ref="T71:U71"/>
    <mergeCell ref="C70:D70"/>
    <mergeCell ref="J61:L61"/>
    <mergeCell ref="R70:V70"/>
    <mergeCell ref="R61:S61"/>
    <mergeCell ref="P79:V79"/>
    <mergeCell ref="T80:U80"/>
    <mergeCell ref="N106:O106"/>
    <mergeCell ref="P106:Q106"/>
    <mergeCell ref="R106:V106"/>
    <mergeCell ref="U89:V89"/>
    <mergeCell ref="J98:K98"/>
    <mergeCell ref="C12:F12"/>
    <mergeCell ref="G12:H12"/>
    <mergeCell ref="C1:V1"/>
    <mergeCell ref="U3:V3"/>
    <mergeCell ref="U9:V9"/>
    <mergeCell ref="U5:V5"/>
    <mergeCell ref="C135:E135"/>
    <mergeCell ref="D23:F23"/>
    <mergeCell ref="S23:U23"/>
    <mergeCell ref="G43:H43"/>
    <mergeCell ref="T43:U43"/>
    <mergeCell ref="B14:W14"/>
    <mergeCell ref="F22:V22"/>
    <mergeCell ref="C31:K31"/>
    <mergeCell ref="C42:K42"/>
    <mergeCell ref="L42:V42"/>
    <mergeCell ref="O32:Q32"/>
    <mergeCell ref="P31:Q31"/>
    <mergeCell ref="R31:V31"/>
    <mergeCell ref="C22:E22"/>
    <mergeCell ref="C124:I124"/>
    <mergeCell ref="C89:E89"/>
    <mergeCell ref="C32:E32"/>
    <mergeCell ref="N125:O125"/>
    <mergeCell ref="J159:K159"/>
    <mergeCell ref="J52:L52"/>
    <mergeCell ref="B13:W13"/>
    <mergeCell ref="S125:T125"/>
    <mergeCell ref="J124:Q124"/>
    <mergeCell ref="R124:V124"/>
    <mergeCell ref="E70:Q70"/>
    <mergeCell ref="C79:K79"/>
    <mergeCell ref="L79:O79"/>
    <mergeCell ref="D158:D159"/>
    <mergeCell ref="H134:K134"/>
    <mergeCell ref="T98:V98"/>
    <mergeCell ref="T107:U107"/>
    <mergeCell ref="C88:V88"/>
    <mergeCell ref="C97:N97"/>
    <mergeCell ref="O97:S97"/>
    <mergeCell ref="T97:V97"/>
    <mergeCell ref="C106:K106"/>
    <mergeCell ref="L106:M106"/>
    <mergeCell ref="C52:E52"/>
    <mergeCell ref="L43:M43"/>
    <mergeCell ref="B34:W34"/>
    <mergeCell ref="O52:Q52"/>
    <mergeCell ref="C144:G144"/>
    <mergeCell ref="B167:W167"/>
    <mergeCell ref="S168:W168"/>
    <mergeCell ref="B172:B174"/>
    <mergeCell ref="N168:R168"/>
    <mergeCell ref="B175:C175"/>
    <mergeCell ref="B170:B171"/>
    <mergeCell ref="B168:B169"/>
    <mergeCell ref="C168:C169"/>
    <mergeCell ref="D168:D169"/>
    <mergeCell ref="E168:E169"/>
    <mergeCell ref="F168:J168"/>
    <mergeCell ref="K168:M168"/>
  </mergeCells>
  <printOptions horizontalCentered="1"/>
  <pageMargins left="0" right="0" top="0.70866141732283472" bottom="0.19685039370078741" header="3.937007874015748E-2" footer="3.937007874015748E-2"/>
  <pageSetup paperSize="9" scale="70" fitToHeight="0" orientation="landscape" errors="blank" horizontalDpi="4294967292" r:id="rId1"/>
  <rowBreaks count="3" manualBreakCount="3">
    <brk id="52" min="1" max="22" man="1"/>
    <brk id="98" min="1" max="22" man="1"/>
    <brk id="144" min="1" max="22" man="1"/>
  </rowBreaks>
  <colBreaks count="1" manualBreakCount="1">
    <brk id="4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H59"/>
  <sheetViews>
    <sheetView zoomScale="70" zoomScaleNormal="70" workbookViewId="0">
      <selection activeCell="K8" sqref="K8"/>
    </sheetView>
  </sheetViews>
  <sheetFormatPr defaultRowHeight="14.4"/>
  <cols>
    <col min="2" max="2" width="22.109375" customWidth="1"/>
    <col min="3" max="3" width="15.88671875" customWidth="1"/>
    <col min="4" max="6" width="11.33203125" customWidth="1"/>
    <col min="7" max="7" width="11.88671875" customWidth="1"/>
    <col min="8" max="12" width="11.33203125" customWidth="1"/>
    <col min="13" max="13" width="12.21875" customWidth="1"/>
    <col min="14" max="30" width="11.33203125" customWidth="1"/>
    <col min="31" max="31" width="12.5546875" customWidth="1"/>
    <col min="32" max="33" width="11.33203125" customWidth="1"/>
    <col min="34" max="34" width="13.21875" customWidth="1"/>
  </cols>
  <sheetData>
    <row r="1" spans="1:34" ht="21.6" thickBot="1">
      <c r="A1" s="953" t="s">
        <v>820</v>
      </c>
      <c r="B1" s="954"/>
      <c r="C1" s="954"/>
      <c r="D1" s="954"/>
      <c r="E1" s="954"/>
      <c r="F1" s="954"/>
      <c r="G1" s="954"/>
      <c r="H1" s="954"/>
      <c r="I1" s="954"/>
      <c r="J1" s="954"/>
      <c r="K1" s="954"/>
      <c r="L1" s="954"/>
      <c r="M1" s="954"/>
      <c r="N1" s="954"/>
      <c r="O1" s="954"/>
      <c r="P1" s="954"/>
      <c r="Q1" s="954"/>
      <c r="R1" s="954"/>
      <c r="S1" s="954"/>
      <c r="T1" s="954"/>
      <c r="U1" s="954"/>
      <c r="V1" s="954"/>
      <c r="W1" s="954"/>
      <c r="X1" s="954"/>
      <c r="Y1" s="954"/>
      <c r="Z1" s="954"/>
      <c r="AA1" s="954"/>
      <c r="AB1" s="954"/>
      <c r="AC1" s="954"/>
      <c r="AD1" s="954"/>
      <c r="AE1" s="954"/>
      <c r="AF1" s="954"/>
      <c r="AG1" s="954"/>
      <c r="AH1" s="955"/>
    </row>
    <row r="2" spans="1:34" s="707" customFormat="1" ht="21.6" thickBot="1">
      <c r="A2" s="956" t="s">
        <v>872</v>
      </c>
      <c r="B2" s="957"/>
      <c r="C2" s="957"/>
      <c r="D2" s="957"/>
      <c r="E2" s="957"/>
      <c r="F2" s="957"/>
      <c r="G2" s="957"/>
      <c r="H2" s="957"/>
      <c r="I2" s="957"/>
      <c r="J2" s="957"/>
      <c r="K2" s="957"/>
      <c r="L2" s="957"/>
      <c r="M2" s="957"/>
      <c r="N2" s="957"/>
      <c r="O2" s="957"/>
      <c r="P2" s="957"/>
      <c r="Q2" s="957"/>
      <c r="R2" s="957"/>
      <c r="S2" s="957"/>
      <c r="T2" s="957"/>
      <c r="U2" s="957"/>
      <c r="V2" s="957"/>
      <c r="W2" s="957"/>
      <c r="X2" s="957"/>
      <c r="Y2" s="957"/>
      <c r="Z2" s="957"/>
      <c r="AA2" s="957"/>
      <c r="AB2" s="957"/>
      <c r="AC2" s="957"/>
      <c r="AD2" s="957"/>
      <c r="AE2" s="957"/>
      <c r="AF2" s="957"/>
      <c r="AG2" s="957"/>
      <c r="AH2" s="958"/>
    </row>
    <row r="3" spans="1:34" ht="18.600000000000001" thickBot="1">
      <c r="A3" s="687"/>
      <c r="B3" s="688"/>
      <c r="C3" s="617"/>
      <c r="D3" s="618"/>
      <c r="E3" s="688"/>
      <c r="F3" s="688"/>
      <c r="G3" s="688"/>
      <c r="H3" s="688"/>
      <c r="I3" s="688"/>
      <c r="J3" s="688"/>
      <c r="K3" s="688"/>
      <c r="L3" s="688"/>
      <c r="M3" s="688"/>
      <c r="N3" s="688"/>
      <c r="O3" s="688"/>
      <c r="P3" s="688"/>
      <c r="Q3" s="688"/>
      <c r="R3" s="688"/>
      <c r="S3" s="688"/>
      <c r="T3" s="688"/>
      <c r="U3" s="688"/>
      <c r="V3" s="688"/>
      <c r="W3" s="688"/>
      <c r="X3" s="688"/>
      <c r="Y3" s="688"/>
      <c r="Z3" s="688"/>
      <c r="AA3" s="688"/>
      <c r="AB3" s="688"/>
      <c r="AC3" s="688"/>
      <c r="AD3" s="688"/>
      <c r="AE3" s="688"/>
      <c r="AF3" s="688"/>
      <c r="AG3" s="688"/>
      <c r="AH3" s="689"/>
    </row>
    <row r="4" spans="1:34" ht="27" customHeight="1" thickBot="1">
      <c r="A4" s="716" t="s">
        <v>12</v>
      </c>
      <c r="B4" s="723" t="s">
        <v>672</v>
      </c>
      <c r="C4" s="722" t="s">
        <v>810</v>
      </c>
      <c r="D4" s="715">
        <v>46023</v>
      </c>
      <c r="E4" s="715">
        <v>46024</v>
      </c>
      <c r="F4" s="715">
        <v>46025</v>
      </c>
      <c r="G4" s="715">
        <v>46026</v>
      </c>
      <c r="H4" s="715">
        <v>46027</v>
      </c>
      <c r="I4" s="715">
        <v>46028</v>
      </c>
      <c r="J4" s="715">
        <v>46029</v>
      </c>
      <c r="K4" s="715">
        <v>46030</v>
      </c>
      <c r="L4" s="715">
        <v>46031</v>
      </c>
      <c r="M4" s="715">
        <v>46032</v>
      </c>
      <c r="N4" s="715">
        <v>46033</v>
      </c>
      <c r="O4" s="715">
        <v>46034</v>
      </c>
      <c r="P4" s="715">
        <v>46035</v>
      </c>
      <c r="Q4" s="715">
        <v>46036</v>
      </c>
      <c r="R4" s="715">
        <v>46037</v>
      </c>
      <c r="S4" s="715">
        <v>46038</v>
      </c>
      <c r="T4" s="715">
        <v>46039</v>
      </c>
      <c r="U4" s="715">
        <v>46040</v>
      </c>
      <c r="V4" s="715">
        <v>46041</v>
      </c>
      <c r="W4" s="715">
        <v>46042</v>
      </c>
      <c r="X4" s="715">
        <v>46043</v>
      </c>
      <c r="Y4" s="715">
        <v>46044</v>
      </c>
      <c r="Z4" s="715">
        <v>46045</v>
      </c>
      <c r="AA4" s="715">
        <v>46046</v>
      </c>
      <c r="AB4" s="715">
        <v>46047</v>
      </c>
      <c r="AC4" s="715">
        <v>46048</v>
      </c>
      <c r="AD4" s="715">
        <v>46049</v>
      </c>
      <c r="AE4" s="715">
        <v>46050</v>
      </c>
      <c r="AF4" s="715">
        <v>46051</v>
      </c>
      <c r="AG4" s="715">
        <v>46052</v>
      </c>
      <c r="AH4" s="715">
        <v>46053</v>
      </c>
    </row>
    <row r="5" spans="1:34" ht="32.4" customHeight="1">
      <c r="A5" s="717">
        <v>1</v>
      </c>
      <c r="B5" s="724" t="s">
        <v>812</v>
      </c>
      <c r="C5" s="732" t="s">
        <v>811</v>
      </c>
      <c r="D5" s="690" t="s">
        <v>816</v>
      </c>
      <c r="E5" s="690" t="s">
        <v>816</v>
      </c>
      <c r="F5" s="690" t="s">
        <v>816</v>
      </c>
      <c r="G5" s="515" t="s">
        <v>608</v>
      </c>
      <c r="H5" s="515" t="s">
        <v>608</v>
      </c>
      <c r="I5" s="515" t="s">
        <v>608</v>
      </c>
      <c r="J5" s="515" t="s">
        <v>608</v>
      </c>
      <c r="K5" s="515" t="s">
        <v>608</v>
      </c>
      <c r="L5" s="515" t="s">
        <v>608</v>
      </c>
      <c r="M5" s="738" t="s">
        <v>816</v>
      </c>
      <c r="N5" s="738" t="s">
        <v>816</v>
      </c>
      <c r="O5" s="738" t="s">
        <v>816</v>
      </c>
      <c r="P5" s="738" t="s">
        <v>816</v>
      </c>
      <c r="Q5" s="444"/>
      <c r="R5" s="444"/>
      <c r="S5" s="444"/>
      <c r="T5" s="444"/>
      <c r="U5" s="444"/>
      <c r="V5" s="444"/>
      <c r="W5" s="444"/>
      <c r="X5" s="708"/>
      <c r="Y5" s="708"/>
      <c r="Z5" s="444"/>
      <c r="AA5" s="708"/>
      <c r="AB5" s="708"/>
      <c r="AC5" s="708"/>
      <c r="AD5" s="708"/>
      <c r="AE5" s="708"/>
      <c r="AF5" s="708"/>
      <c r="AG5" s="708"/>
      <c r="AH5" s="708"/>
    </row>
    <row r="6" spans="1:34" ht="32.4" customHeight="1">
      <c r="A6" s="718">
        <v>2</v>
      </c>
      <c r="B6" s="725" t="s">
        <v>813</v>
      </c>
      <c r="C6" s="733" t="s">
        <v>811</v>
      </c>
      <c r="D6" s="690" t="s">
        <v>816</v>
      </c>
      <c r="E6" s="690" t="s">
        <v>816</v>
      </c>
      <c r="F6" s="690" t="s">
        <v>816</v>
      </c>
      <c r="G6" s="702" t="s">
        <v>836</v>
      </c>
      <c r="H6" s="702" t="s">
        <v>836</v>
      </c>
      <c r="I6" s="702" t="s">
        <v>836</v>
      </c>
      <c r="J6" s="702" t="s">
        <v>836</v>
      </c>
      <c r="K6" s="702" t="s">
        <v>836</v>
      </c>
      <c r="L6" s="702" t="s">
        <v>836</v>
      </c>
      <c r="M6" s="702" t="s">
        <v>836</v>
      </c>
      <c r="N6" s="702" t="s">
        <v>836</v>
      </c>
      <c r="O6" s="702" t="s">
        <v>836</v>
      </c>
      <c r="P6" s="702" t="s">
        <v>836</v>
      </c>
      <c r="Q6" s="444"/>
      <c r="R6" s="444"/>
      <c r="S6" s="444"/>
      <c r="T6" s="708"/>
      <c r="U6" s="444"/>
      <c r="V6" s="444"/>
      <c r="W6" s="444"/>
      <c r="X6" s="444"/>
      <c r="Y6" s="708"/>
      <c r="Z6" s="444"/>
      <c r="AA6" s="708"/>
      <c r="AB6" s="708"/>
      <c r="AC6" s="708"/>
      <c r="AD6" s="708"/>
      <c r="AE6" s="708"/>
      <c r="AF6" s="708"/>
      <c r="AG6" s="708"/>
      <c r="AH6" s="708"/>
    </row>
    <row r="7" spans="1:34" ht="32.4" customHeight="1">
      <c r="A7" s="719">
        <v>3</v>
      </c>
      <c r="B7" s="726" t="s">
        <v>697</v>
      </c>
      <c r="C7" s="734" t="s">
        <v>814</v>
      </c>
      <c r="D7" s="47" t="s">
        <v>617</v>
      </c>
      <c r="E7" s="47" t="s">
        <v>617</v>
      </c>
      <c r="F7" s="47" t="s">
        <v>617</v>
      </c>
      <c r="G7" s="47" t="s">
        <v>617</v>
      </c>
      <c r="H7" s="47" t="s">
        <v>617</v>
      </c>
      <c r="I7" s="47" t="s">
        <v>617</v>
      </c>
      <c r="J7" s="47" t="s">
        <v>555</v>
      </c>
      <c r="K7" s="47" t="s">
        <v>555</v>
      </c>
      <c r="L7" s="47" t="s">
        <v>555</v>
      </c>
      <c r="M7" s="47" t="s">
        <v>555</v>
      </c>
      <c r="N7" s="47" t="s">
        <v>555</v>
      </c>
      <c r="O7" s="47" t="s">
        <v>555</v>
      </c>
      <c r="P7" s="47" t="s">
        <v>555</v>
      </c>
      <c r="Q7" s="444"/>
      <c r="R7" s="444"/>
      <c r="S7" s="708"/>
      <c r="T7" s="444"/>
      <c r="U7" s="444"/>
      <c r="V7" s="444"/>
      <c r="W7" s="444"/>
      <c r="X7" s="444"/>
      <c r="Y7" s="444"/>
      <c r="Z7" s="444"/>
      <c r="AA7" s="444"/>
      <c r="AB7" s="444"/>
      <c r="AC7" s="444"/>
      <c r="AD7" s="444"/>
      <c r="AE7" s="444"/>
      <c r="AF7" s="444"/>
      <c r="AG7" s="444"/>
      <c r="AH7" s="708"/>
    </row>
    <row r="8" spans="1:34" ht="32.4" customHeight="1">
      <c r="A8" s="719">
        <v>4</v>
      </c>
      <c r="B8" s="726" t="s">
        <v>699</v>
      </c>
      <c r="C8" s="734" t="s">
        <v>814</v>
      </c>
      <c r="D8" s="690" t="s">
        <v>860</v>
      </c>
      <c r="E8" s="690" t="s">
        <v>860</v>
      </c>
      <c r="F8" s="690" t="s">
        <v>860</v>
      </c>
      <c r="G8" s="47" t="s">
        <v>553</v>
      </c>
      <c r="H8" s="47" t="s">
        <v>553</v>
      </c>
      <c r="I8" s="47" t="s">
        <v>553</v>
      </c>
      <c r="J8" s="47" t="s">
        <v>553</v>
      </c>
      <c r="K8" s="47" t="s">
        <v>553</v>
      </c>
      <c r="L8" s="47" t="s">
        <v>182</v>
      </c>
      <c r="M8" s="47" t="s">
        <v>182</v>
      </c>
      <c r="N8" s="47" t="s">
        <v>182</v>
      </c>
      <c r="O8" s="47" t="s">
        <v>182</v>
      </c>
      <c r="P8" s="47" t="s">
        <v>182</v>
      </c>
      <c r="Q8" s="444"/>
      <c r="R8" s="444"/>
      <c r="S8" s="444"/>
      <c r="T8" s="444"/>
      <c r="U8" s="444"/>
      <c r="V8" s="444"/>
      <c r="W8" s="444"/>
      <c r="X8" s="444"/>
      <c r="Y8" s="444"/>
      <c r="Z8" s="444"/>
      <c r="AA8" s="444"/>
      <c r="AB8" s="444"/>
      <c r="AC8" s="444"/>
      <c r="AD8" s="708"/>
      <c r="AE8" s="708"/>
      <c r="AF8" s="708"/>
      <c r="AG8" s="708"/>
      <c r="AH8" s="708"/>
    </row>
    <row r="9" spans="1:34" ht="32.4" customHeight="1">
      <c r="A9" s="719">
        <v>5</v>
      </c>
      <c r="B9" s="726" t="s">
        <v>815</v>
      </c>
      <c r="C9" s="734" t="s">
        <v>814</v>
      </c>
      <c r="D9" s="47" t="s">
        <v>186</v>
      </c>
      <c r="E9" s="47" t="s">
        <v>186</v>
      </c>
      <c r="F9" s="47" t="s">
        <v>186</v>
      </c>
      <c r="G9" s="47" t="s">
        <v>186</v>
      </c>
      <c r="H9" s="47" t="s">
        <v>186</v>
      </c>
      <c r="I9" s="47" t="s">
        <v>186</v>
      </c>
      <c r="J9" s="47" t="s">
        <v>186</v>
      </c>
      <c r="K9" s="690" t="s">
        <v>898</v>
      </c>
      <c r="L9" s="690" t="s">
        <v>898</v>
      </c>
      <c r="M9" s="690" t="s">
        <v>898</v>
      </c>
      <c r="N9" s="690" t="s">
        <v>898</v>
      </c>
      <c r="O9" s="47" t="s">
        <v>188</v>
      </c>
      <c r="P9" s="47" t="s">
        <v>188</v>
      </c>
      <c r="Q9" s="444"/>
      <c r="R9" s="708"/>
      <c r="S9" s="444"/>
      <c r="T9" s="444"/>
      <c r="U9" s="444"/>
      <c r="V9" s="444"/>
      <c r="W9" s="444"/>
      <c r="X9" s="444"/>
      <c r="Y9" s="444"/>
      <c r="Z9" s="444"/>
      <c r="AA9" s="444"/>
      <c r="AB9" s="444"/>
      <c r="AC9" s="444"/>
      <c r="AD9" s="708"/>
      <c r="AE9" s="444"/>
      <c r="AF9" s="444"/>
      <c r="AG9" s="444"/>
      <c r="AH9" s="708"/>
    </row>
    <row r="10" spans="1:34" ht="32.4" customHeight="1">
      <c r="A10" s="719">
        <v>6</v>
      </c>
      <c r="B10" s="726" t="s">
        <v>865</v>
      </c>
      <c r="C10" s="734" t="s">
        <v>814</v>
      </c>
      <c r="D10" s="690" t="s">
        <v>870</v>
      </c>
      <c r="E10" s="690" t="s">
        <v>870</v>
      </c>
      <c r="F10" s="690" t="s">
        <v>870</v>
      </c>
      <c r="G10" s="690" t="s">
        <v>870</v>
      </c>
      <c r="H10" s="690" t="s">
        <v>870</v>
      </c>
      <c r="I10" s="702" t="s">
        <v>836</v>
      </c>
      <c r="J10" s="702" t="s">
        <v>836</v>
      </c>
      <c r="K10" s="702" t="s">
        <v>836</v>
      </c>
      <c r="L10" s="702" t="s">
        <v>836</v>
      </c>
      <c r="M10" s="702" t="s">
        <v>836</v>
      </c>
      <c r="N10" s="702" t="s">
        <v>836</v>
      </c>
      <c r="O10" s="702" t="s">
        <v>836</v>
      </c>
      <c r="P10" s="702" t="s">
        <v>836</v>
      </c>
      <c r="Q10" s="444"/>
      <c r="R10" s="444"/>
      <c r="S10" s="444"/>
      <c r="T10" s="444"/>
      <c r="U10" s="444"/>
      <c r="V10" s="444"/>
      <c r="W10" s="444"/>
      <c r="X10" s="444"/>
      <c r="Y10" s="444"/>
      <c r="Z10" s="444"/>
      <c r="AA10" s="444"/>
      <c r="AB10" s="444"/>
      <c r="AC10" s="444"/>
      <c r="AD10" s="444"/>
      <c r="AE10" s="708"/>
      <c r="AF10" s="444"/>
      <c r="AG10" s="708"/>
      <c r="AH10" s="708"/>
    </row>
    <row r="11" spans="1:34" ht="32.4" customHeight="1">
      <c r="A11" s="719">
        <v>7</v>
      </c>
      <c r="B11" s="726" t="s">
        <v>866</v>
      </c>
      <c r="C11" s="734" t="s">
        <v>814</v>
      </c>
      <c r="D11" s="702" t="s">
        <v>836</v>
      </c>
      <c r="E11" s="702" t="s">
        <v>836</v>
      </c>
      <c r="F11" s="702" t="s">
        <v>836</v>
      </c>
      <c r="G11" s="702" t="s">
        <v>836</v>
      </c>
      <c r="H11" s="702" t="s">
        <v>836</v>
      </c>
      <c r="I11" s="702" t="s">
        <v>836</v>
      </c>
      <c r="J11" s="702" t="s">
        <v>836</v>
      </c>
      <c r="K11" s="702" t="s">
        <v>836</v>
      </c>
      <c r="L11" s="702" t="s">
        <v>836</v>
      </c>
      <c r="M11" s="702" t="s">
        <v>836</v>
      </c>
      <c r="N11" s="702" t="s">
        <v>836</v>
      </c>
      <c r="O11" s="702" t="s">
        <v>836</v>
      </c>
      <c r="P11" s="702" t="s">
        <v>836</v>
      </c>
      <c r="Q11" s="444"/>
      <c r="R11" s="444"/>
      <c r="S11" s="444"/>
      <c r="T11" s="444"/>
      <c r="U11" s="444"/>
      <c r="V11" s="444"/>
      <c r="W11" s="444"/>
      <c r="X11" s="444"/>
      <c r="Y11" s="444"/>
      <c r="Z11" s="444"/>
      <c r="AA11" s="444"/>
      <c r="AB11" s="444"/>
      <c r="AC11" s="444"/>
      <c r="AD11" s="444"/>
      <c r="AE11" s="444"/>
      <c r="AF11" s="708"/>
      <c r="AG11" s="708"/>
      <c r="AH11" s="737"/>
    </row>
    <row r="12" spans="1:34" ht="32.4" customHeight="1">
      <c r="A12" s="720">
        <v>8</v>
      </c>
      <c r="B12" s="727" t="s">
        <v>782</v>
      </c>
      <c r="C12" s="735" t="s">
        <v>781</v>
      </c>
      <c r="D12" s="636" t="s">
        <v>873</v>
      </c>
      <c r="E12" s="636" t="s">
        <v>873</v>
      </c>
      <c r="F12" s="636" t="s">
        <v>876</v>
      </c>
      <c r="G12" s="636" t="s">
        <v>876</v>
      </c>
      <c r="H12" s="636" t="s">
        <v>875</v>
      </c>
      <c r="I12" s="738" t="s">
        <v>816</v>
      </c>
      <c r="J12" s="738" t="s">
        <v>816</v>
      </c>
      <c r="K12" s="738" t="s">
        <v>816</v>
      </c>
      <c r="L12" s="738" t="s">
        <v>816</v>
      </c>
      <c r="M12" s="738" t="s">
        <v>816</v>
      </c>
      <c r="N12" s="738" t="s">
        <v>816</v>
      </c>
      <c r="O12" s="738" t="s">
        <v>816</v>
      </c>
      <c r="P12" s="738" t="s">
        <v>816</v>
      </c>
      <c r="Q12" s="708"/>
      <c r="R12" s="708"/>
      <c r="S12" s="708"/>
      <c r="T12" s="708"/>
      <c r="U12" s="708"/>
      <c r="V12" s="708"/>
      <c r="W12" s="635"/>
      <c r="X12" s="635"/>
      <c r="Y12" s="635"/>
      <c r="Z12" s="635"/>
      <c r="AA12" s="635"/>
      <c r="AB12" s="635"/>
      <c r="AC12" s="635"/>
      <c r="AD12" s="635"/>
      <c r="AE12" s="635"/>
      <c r="AF12" s="635"/>
      <c r="AG12" s="635"/>
      <c r="AH12" s="635"/>
    </row>
    <row r="13" spans="1:34" ht="32.4" customHeight="1">
      <c r="A13" s="720">
        <v>9</v>
      </c>
      <c r="B13" s="727" t="s">
        <v>831</v>
      </c>
      <c r="C13" s="735" t="s">
        <v>781</v>
      </c>
      <c r="D13" s="690" t="s">
        <v>816</v>
      </c>
      <c r="E13" s="690" t="s">
        <v>816</v>
      </c>
      <c r="F13" s="690" t="s">
        <v>816</v>
      </c>
      <c r="G13" s="690" t="s">
        <v>816</v>
      </c>
      <c r="H13" s="690" t="s">
        <v>816</v>
      </c>
      <c r="I13" s="690" t="s">
        <v>816</v>
      </c>
      <c r="J13" s="690" t="s">
        <v>816</v>
      </c>
      <c r="K13" s="690" t="s">
        <v>816</v>
      </c>
      <c r="L13" s="690" t="s">
        <v>816</v>
      </c>
      <c r="M13" s="690" t="s">
        <v>816</v>
      </c>
      <c r="N13" s="690" t="s">
        <v>816</v>
      </c>
      <c r="O13" s="690" t="s">
        <v>816</v>
      </c>
      <c r="P13" s="690" t="s">
        <v>816</v>
      </c>
      <c r="Q13" s="708"/>
      <c r="R13" s="708"/>
      <c r="S13" s="708"/>
      <c r="T13" s="708"/>
      <c r="U13" s="708"/>
      <c r="V13" s="708"/>
      <c r="W13" s="635"/>
      <c r="X13" s="635"/>
      <c r="Y13" s="635"/>
      <c r="Z13" s="635"/>
      <c r="AA13" s="635"/>
      <c r="AB13" s="635"/>
      <c r="AC13" s="635"/>
      <c r="AD13" s="635"/>
      <c r="AE13" s="635"/>
      <c r="AF13" s="635"/>
      <c r="AG13" s="635"/>
      <c r="AH13" s="635"/>
    </row>
    <row r="14" spans="1:34" ht="32.4" customHeight="1" thickBot="1">
      <c r="A14" s="721">
        <v>10</v>
      </c>
      <c r="B14" s="728" t="s">
        <v>877</v>
      </c>
      <c r="C14" s="736" t="s">
        <v>781</v>
      </c>
      <c r="D14" s="738" t="s">
        <v>816</v>
      </c>
      <c r="E14" s="738" t="s">
        <v>816</v>
      </c>
      <c r="F14" s="738" t="s">
        <v>816</v>
      </c>
      <c r="G14" s="738" t="s">
        <v>816</v>
      </c>
      <c r="H14" s="738" t="s">
        <v>816</v>
      </c>
      <c r="I14" s="738" t="s">
        <v>816</v>
      </c>
      <c r="J14" s="702" t="s">
        <v>836</v>
      </c>
      <c r="K14" s="702" t="s">
        <v>836</v>
      </c>
      <c r="L14" s="702" t="s">
        <v>836</v>
      </c>
      <c r="M14" s="702" t="s">
        <v>836</v>
      </c>
      <c r="N14" s="702" t="s">
        <v>836</v>
      </c>
      <c r="O14" s="702" t="s">
        <v>836</v>
      </c>
      <c r="P14" s="702" t="s">
        <v>836</v>
      </c>
      <c r="Q14" s="739"/>
      <c r="R14" s="709"/>
      <c r="S14" s="709"/>
      <c r="T14" s="709"/>
      <c r="U14" s="709"/>
      <c r="V14" s="709"/>
      <c r="W14" s="635"/>
      <c r="X14" s="635"/>
      <c r="Y14" s="635"/>
      <c r="Z14" s="635"/>
      <c r="AA14" s="635"/>
      <c r="AB14" s="635"/>
      <c r="AC14" s="635"/>
      <c r="AD14" s="739"/>
      <c r="AE14" s="739"/>
      <c r="AF14" s="739"/>
      <c r="AG14" s="739"/>
      <c r="AH14" s="739"/>
    </row>
    <row r="19" spans="1:34" ht="15" thickBot="1"/>
    <row r="20" spans="1:34" ht="21.6" thickBot="1">
      <c r="A20" s="953" t="s">
        <v>820</v>
      </c>
      <c r="B20" s="954"/>
      <c r="C20" s="954"/>
      <c r="D20" s="954"/>
      <c r="E20" s="954"/>
      <c r="F20" s="954"/>
      <c r="G20" s="954"/>
      <c r="H20" s="954"/>
      <c r="I20" s="954"/>
      <c r="J20" s="954"/>
      <c r="K20" s="954"/>
      <c r="L20" s="954"/>
      <c r="M20" s="954"/>
      <c r="N20" s="954"/>
      <c r="O20" s="954"/>
      <c r="P20" s="954"/>
      <c r="Q20" s="954"/>
      <c r="R20" s="954"/>
      <c r="S20" s="954"/>
      <c r="T20" s="954"/>
      <c r="U20" s="954"/>
      <c r="V20" s="954"/>
      <c r="W20" s="954"/>
      <c r="X20" s="954"/>
      <c r="Y20" s="954"/>
      <c r="Z20" s="954"/>
      <c r="AA20" s="954"/>
      <c r="AB20" s="954"/>
      <c r="AC20" s="954"/>
      <c r="AD20" s="954"/>
      <c r="AE20" s="954"/>
      <c r="AF20" s="954"/>
      <c r="AG20" s="954"/>
      <c r="AH20" s="955"/>
    </row>
    <row r="21" spans="1:34" ht="18.600000000000001" thickBot="1">
      <c r="A21" s="959" t="s">
        <v>821</v>
      </c>
      <c r="B21" s="960"/>
      <c r="C21" s="960"/>
      <c r="D21" s="960"/>
      <c r="E21" s="960"/>
      <c r="F21" s="960"/>
      <c r="G21" s="960"/>
      <c r="H21" s="960"/>
      <c r="I21" s="960"/>
      <c r="J21" s="960"/>
      <c r="K21" s="960"/>
      <c r="L21" s="960"/>
      <c r="M21" s="960"/>
      <c r="N21" s="960"/>
      <c r="O21" s="960"/>
      <c r="P21" s="960"/>
      <c r="Q21" s="960"/>
      <c r="R21" s="960"/>
      <c r="S21" s="960"/>
      <c r="T21" s="960"/>
      <c r="U21" s="960"/>
      <c r="V21" s="960"/>
      <c r="W21" s="960"/>
      <c r="X21" s="960"/>
      <c r="Y21" s="960"/>
      <c r="Z21" s="960"/>
      <c r="AA21" s="960"/>
      <c r="AB21" s="960"/>
      <c r="AC21" s="960"/>
      <c r="AD21" s="960"/>
      <c r="AE21" s="960"/>
      <c r="AF21" s="960"/>
      <c r="AG21" s="960"/>
      <c r="AH21" s="961"/>
    </row>
    <row r="22" spans="1:34" ht="18.600000000000001" thickBot="1">
      <c r="A22" s="615"/>
      <c r="B22" s="616"/>
      <c r="C22" s="617"/>
      <c r="D22" s="618"/>
      <c r="E22" s="616"/>
      <c r="F22" s="616"/>
      <c r="G22" s="616"/>
      <c r="H22" s="616"/>
      <c r="I22" s="616"/>
      <c r="J22" s="616"/>
      <c r="K22" s="616"/>
      <c r="L22" s="616"/>
      <c r="M22" s="616"/>
      <c r="N22" s="616"/>
      <c r="O22" s="616"/>
      <c r="P22" s="616"/>
      <c r="Q22" s="616"/>
      <c r="R22" s="616"/>
      <c r="S22" s="616"/>
      <c r="T22" s="616"/>
      <c r="U22" s="616"/>
      <c r="V22" s="616"/>
      <c r="W22" s="616"/>
      <c r="X22" s="616"/>
      <c r="Y22" s="616"/>
      <c r="Z22" s="616"/>
      <c r="AA22" s="616"/>
      <c r="AB22" s="616"/>
      <c r="AC22" s="616"/>
      <c r="AD22" s="616"/>
      <c r="AE22" s="616"/>
      <c r="AF22" s="616"/>
      <c r="AG22" s="616"/>
      <c r="AH22" s="619"/>
    </row>
    <row r="23" spans="1:34" s="582" customFormat="1" ht="31.2" customHeight="1" thickBot="1">
      <c r="A23" s="605" t="s">
        <v>12</v>
      </c>
      <c r="B23" s="606" t="s">
        <v>672</v>
      </c>
      <c r="C23" s="607" t="s">
        <v>810</v>
      </c>
      <c r="D23" s="611">
        <v>45992</v>
      </c>
      <c r="E23" s="612">
        <v>45993</v>
      </c>
      <c r="F23" s="612">
        <v>45994</v>
      </c>
      <c r="G23" s="612">
        <v>45995</v>
      </c>
      <c r="H23" s="612">
        <v>45996</v>
      </c>
      <c r="I23" s="612">
        <v>45997</v>
      </c>
      <c r="J23" s="612">
        <v>45998</v>
      </c>
      <c r="K23" s="612">
        <v>45999</v>
      </c>
      <c r="L23" s="612">
        <v>46000</v>
      </c>
      <c r="M23" s="612">
        <v>46001</v>
      </c>
      <c r="N23" s="612">
        <v>46002</v>
      </c>
      <c r="O23" s="612">
        <v>46003</v>
      </c>
      <c r="P23" s="612">
        <v>46004</v>
      </c>
      <c r="Q23" s="612">
        <v>46005</v>
      </c>
      <c r="R23" s="612">
        <v>46006</v>
      </c>
      <c r="S23" s="612">
        <v>46007</v>
      </c>
      <c r="T23" s="612">
        <v>46008</v>
      </c>
      <c r="U23" s="612">
        <v>46009</v>
      </c>
      <c r="V23" s="612">
        <v>46010</v>
      </c>
      <c r="W23" s="612">
        <v>46011</v>
      </c>
      <c r="X23" s="612">
        <v>46012</v>
      </c>
      <c r="Y23" s="612">
        <v>46013</v>
      </c>
      <c r="Z23" s="612">
        <v>46014</v>
      </c>
      <c r="AA23" s="612">
        <v>46015</v>
      </c>
      <c r="AB23" s="612">
        <v>46016</v>
      </c>
      <c r="AC23" s="612">
        <v>46017</v>
      </c>
      <c r="AD23" s="612">
        <v>46018</v>
      </c>
      <c r="AE23" s="612">
        <v>46019</v>
      </c>
      <c r="AF23" s="612">
        <v>46020</v>
      </c>
      <c r="AG23" s="612">
        <v>46021</v>
      </c>
      <c r="AH23" s="613">
        <v>46022</v>
      </c>
    </row>
    <row r="24" spans="1:34" s="514" customFormat="1" ht="26.4" customHeight="1">
      <c r="A24" s="691">
        <v>1</v>
      </c>
      <c r="B24" s="692" t="s">
        <v>812</v>
      </c>
      <c r="C24" s="693" t="s">
        <v>811</v>
      </c>
      <c r="D24" s="694" t="s">
        <v>816</v>
      </c>
      <c r="E24" s="695" t="s">
        <v>816</v>
      </c>
      <c r="F24" s="696" t="s">
        <v>606</v>
      </c>
      <c r="G24" s="696" t="s">
        <v>606</v>
      </c>
      <c r="H24" s="696" t="s">
        <v>606</v>
      </c>
      <c r="I24" s="696" t="s">
        <v>606</v>
      </c>
      <c r="J24" s="696" t="s">
        <v>606</v>
      </c>
      <c r="K24" s="696" t="s">
        <v>606</v>
      </c>
      <c r="L24" s="696" t="s">
        <v>606</v>
      </c>
      <c r="M24" s="696" t="s">
        <v>606</v>
      </c>
      <c r="N24" s="696" t="s">
        <v>617</v>
      </c>
      <c r="O24" s="696" t="s">
        <v>617</v>
      </c>
      <c r="P24" s="696" t="s">
        <v>617</v>
      </c>
      <c r="Q24" s="696" t="s">
        <v>519</v>
      </c>
      <c r="R24" s="696" t="s">
        <v>519</v>
      </c>
      <c r="S24" s="696" t="s">
        <v>519</v>
      </c>
      <c r="T24" s="696" t="s">
        <v>519</v>
      </c>
      <c r="U24" s="696" t="s">
        <v>519</v>
      </c>
      <c r="V24" s="696" t="s">
        <v>519</v>
      </c>
      <c r="W24" s="696" t="s">
        <v>519</v>
      </c>
      <c r="X24" s="695" t="s">
        <v>816</v>
      </c>
      <c r="Y24" s="695" t="s">
        <v>816</v>
      </c>
      <c r="Z24" s="696" t="s">
        <v>560</v>
      </c>
      <c r="AA24" s="695" t="s">
        <v>816</v>
      </c>
      <c r="AB24" s="695" t="s">
        <v>816</v>
      </c>
      <c r="AC24" s="695" t="s">
        <v>816</v>
      </c>
      <c r="AD24" s="695" t="s">
        <v>816</v>
      </c>
      <c r="AE24" s="695" t="s">
        <v>816</v>
      </c>
      <c r="AF24" s="695" t="s">
        <v>816</v>
      </c>
      <c r="AG24" s="695" t="s">
        <v>816</v>
      </c>
      <c r="AH24" s="703" t="s">
        <v>816</v>
      </c>
    </row>
    <row r="25" spans="1:34" s="514" customFormat="1" ht="26.4" customHeight="1">
      <c r="A25" s="697">
        <v>2</v>
      </c>
      <c r="B25" s="698" t="s">
        <v>813</v>
      </c>
      <c r="C25" s="699" t="s">
        <v>811</v>
      </c>
      <c r="D25" s="700" t="s">
        <v>816</v>
      </c>
      <c r="E25" s="690" t="s">
        <v>816</v>
      </c>
      <c r="F25" s="690" t="s">
        <v>816</v>
      </c>
      <c r="G25" s="690" t="s">
        <v>816</v>
      </c>
      <c r="H25" s="690" t="s">
        <v>816</v>
      </c>
      <c r="I25" s="690" t="s">
        <v>816</v>
      </c>
      <c r="J25" s="690" t="s">
        <v>816</v>
      </c>
      <c r="K25" s="690" t="s">
        <v>816</v>
      </c>
      <c r="L25" s="690" t="s">
        <v>816</v>
      </c>
      <c r="M25" s="690" t="s">
        <v>816</v>
      </c>
      <c r="N25" s="690" t="s">
        <v>816</v>
      </c>
      <c r="O25" s="690" t="s">
        <v>816</v>
      </c>
      <c r="P25" s="47" t="s">
        <v>556</v>
      </c>
      <c r="Q25" s="47" t="s">
        <v>556</v>
      </c>
      <c r="R25" s="47" t="s">
        <v>556</v>
      </c>
      <c r="S25" s="47" t="s">
        <v>556</v>
      </c>
      <c r="T25" s="690" t="s">
        <v>816</v>
      </c>
      <c r="U25" s="47" t="s">
        <v>560</v>
      </c>
      <c r="V25" s="47" t="s">
        <v>560</v>
      </c>
      <c r="W25" s="47" t="s">
        <v>560</v>
      </c>
      <c r="X25" s="47" t="s">
        <v>560</v>
      </c>
      <c r="Y25" s="690" t="s">
        <v>816</v>
      </c>
      <c r="Z25" s="47" t="s">
        <v>560</v>
      </c>
      <c r="AA25" s="690" t="s">
        <v>816</v>
      </c>
      <c r="AB25" s="690" t="s">
        <v>816</v>
      </c>
      <c r="AC25" s="690" t="s">
        <v>816</v>
      </c>
      <c r="AD25" s="690" t="s">
        <v>816</v>
      </c>
      <c r="AE25" s="690" t="s">
        <v>816</v>
      </c>
      <c r="AF25" s="690" t="s">
        <v>816</v>
      </c>
      <c r="AG25" s="690" t="s">
        <v>816</v>
      </c>
      <c r="AH25" s="704" t="s">
        <v>816</v>
      </c>
    </row>
    <row r="26" spans="1:34" s="514" customFormat="1" ht="26.4" customHeight="1">
      <c r="A26" s="697">
        <v>3</v>
      </c>
      <c r="B26" s="698" t="s">
        <v>697</v>
      </c>
      <c r="C26" s="699" t="s">
        <v>814</v>
      </c>
      <c r="D26" s="700" t="s">
        <v>816</v>
      </c>
      <c r="E26" s="47" t="s">
        <v>678</v>
      </c>
      <c r="F26" s="47" t="s">
        <v>678</v>
      </c>
      <c r="G26" s="47" t="s">
        <v>678</v>
      </c>
      <c r="H26" s="47" t="s">
        <v>678</v>
      </c>
      <c r="I26" s="47" t="s">
        <v>678</v>
      </c>
      <c r="J26" s="47" t="s">
        <v>678</v>
      </c>
      <c r="K26" s="47" t="s">
        <v>678</v>
      </c>
      <c r="L26" s="47" t="s">
        <v>678</v>
      </c>
      <c r="M26" s="47" t="s">
        <v>678</v>
      </c>
      <c r="N26" s="47" t="s">
        <v>171</v>
      </c>
      <c r="O26" s="47" t="s">
        <v>171</v>
      </c>
      <c r="P26" s="47" t="s">
        <v>171</v>
      </c>
      <c r="Q26" s="47" t="s">
        <v>171</v>
      </c>
      <c r="R26" s="47" t="s">
        <v>171</v>
      </c>
      <c r="S26" s="690" t="s">
        <v>816</v>
      </c>
      <c r="T26" s="47" t="s">
        <v>172</v>
      </c>
      <c r="U26" s="47" t="s">
        <v>172</v>
      </c>
      <c r="V26" s="47" t="s">
        <v>172</v>
      </c>
      <c r="W26" s="47" t="s">
        <v>172</v>
      </c>
      <c r="X26" s="47" t="s">
        <v>172</v>
      </c>
      <c r="Y26" s="47" t="s">
        <v>172</v>
      </c>
      <c r="Z26" s="47" t="s">
        <v>616</v>
      </c>
      <c r="AA26" s="47" t="s">
        <v>616</v>
      </c>
      <c r="AB26" s="47" t="s">
        <v>616</v>
      </c>
      <c r="AC26" s="47" t="s">
        <v>616</v>
      </c>
      <c r="AD26" s="47" t="s">
        <v>616</v>
      </c>
      <c r="AE26" s="47" t="s">
        <v>616</v>
      </c>
      <c r="AF26" s="47" t="s">
        <v>616</v>
      </c>
      <c r="AG26" s="47" t="s">
        <v>616</v>
      </c>
      <c r="AH26" s="704" t="s">
        <v>869</v>
      </c>
    </row>
    <row r="27" spans="1:34" s="514" customFormat="1" ht="34.200000000000003" customHeight="1">
      <c r="A27" s="697">
        <v>4</v>
      </c>
      <c r="B27" s="698" t="s">
        <v>699</v>
      </c>
      <c r="C27" s="699" t="s">
        <v>814</v>
      </c>
      <c r="D27" s="686" t="s">
        <v>557</v>
      </c>
      <c r="E27" s="47" t="s">
        <v>557</v>
      </c>
      <c r="F27" s="47" t="s">
        <v>557</v>
      </c>
      <c r="G27" s="47" t="s">
        <v>557</v>
      </c>
      <c r="H27" s="47" t="s">
        <v>557</v>
      </c>
      <c r="I27" s="47" t="s">
        <v>557</v>
      </c>
      <c r="J27" s="47" t="s">
        <v>557</v>
      </c>
      <c r="K27" s="47" t="s">
        <v>183</v>
      </c>
      <c r="L27" s="47" t="s">
        <v>183</v>
      </c>
      <c r="M27" s="47" t="s">
        <v>183</v>
      </c>
      <c r="N27" s="47" t="s">
        <v>183</v>
      </c>
      <c r="O27" s="47" t="s">
        <v>183</v>
      </c>
      <c r="P27" s="47" t="s">
        <v>183</v>
      </c>
      <c r="Q27" s="47" t="s">
        <v>183</v>
      </c>
      <c r="R27" s="47" t="s">
        <v>184</v>
      </c>
      <c r="S27" s="47" t="s">
        <v>184</v>
      </c>
      <c r="T27" s="47" t="s">
        <v>184</v>
      </c>
      <c r="U27" s="47" t="s">
        <v>184</v>
      </c>
      <c r="V27" s="47" t="s">
        <v>184</v>
      </c>
      <c r="W27" s="47" t="s">
        <v>185</v>
      </c>
      <c r="X27" s="47" t="s">
        <v>185</v>
      </c>
      <c r="Y27" s="47" t="s">
        <v>185</v>
      </c>
      <c r="Z27" s="47" t="s">
        <v>185</v>
      </c>
      <c r="AA27" s="47" t="s">
        <v>185</v>
      </c>
      <c r="AB27" s="47" t="s">
        <v>185</v>
      </c>
      <c r="AC27" s="47" t="s">
        <v>185</v>
      </c>
      <c r="AD27" s="690" t="s">
        <v>860</v>
      </c>
      <c r="AE27" s="47" t="s">
        <v>553</v>
      </c>
      <c r="AF27" s="47" t="s">
        <v>553</v>
      </c>
      <c r="AG27" s="47" t="s">
        <v>553</v>
      </c>
      <c r="AH27" s="704" t="s">
        <v>816</v>
      </c>
    </row>
    <row r="28" spans="1:34" s="514" customFormat="1" ht="26.4" customHeight="1">
      <c r="A28" s="697">
        <v>5</v>
      </c>
      <c r="B28" s="698" t="s">
        <v>815</v>
      </c>
      <c r="C28" s="699" t="s">
        <v>814</v>
      </c>
      <c r="D28" s="686" t="s">
        <v>153</v>
      </c>
      <c r="E28" s="47" t="s">
        <v>153</v>
      </c>
      <c r="F28" s="690" t="s">
        <v>816</v>
      </c>
      <c r="G28" s="621" t="s">
        <v>819</v>
      </c>
      <c r="H28" s="621" t="s">
        <v>819</v>
      </c>
      <c r="I28" s="47" t="s">
        <v>163</v>
      </c>
      <c r="J28" s="47" t="s">
        <v>163</v>
      </c>
      <c r="K28" s="47" t="s">
        <v>163</v>
      </c>
      <c r="L28" s="47" t="s">
        <v>163</v>
      </c>
      <c r="M28" s="47" t="s">
        <v>163</v>
      </c>
      <c r="N28" s="47" t="s">
        <v>163</v>
      </c>
      <c r="O28" s="47" t="s">
        <v>163</v>
      </c>
      <c r="P28" s="47" t="s">
        <v>163</v>
      </c>
      <c r="Q28" s="47" t="s">
        <v>163</v>
      </c>
      <c r="R28" s="690" t="s">
        <v>816</v>
      </c>
      <c r="S28" s="47" t="s">
        <v>558</v>
      </c>
      <c r="T28" s="47" t="s">
        <v>558</v>
      </c>
      <c r="U28" s="47" t="s">
        <v>558</v>
      </c>
      <c r="V28" s="47" t="s">
        <v>558</v>
      </c>
      <c r="W28" s="47" t="s">
        <v>558</v>
      </c>
      <c r="X28" s="47" t="s">
        <v>558</v>
      </c>
      <c r="Y28" s="47" t="s">
        <v>558</v>
      </c>
      <c r="Z28" s="47" t="s">
        <v>558</v>
      </c>
      <c r="AA28" s="47" t="s">
        <v>558</v>
      </c>
      <c r="AB28" s="47" t="s">
        <v>558</v>
      </c>
      <c r="AC28" s="47" t="s">
        <v>186</v>
      </c>
      <c r="AD28" s="690" t="s">
        <v>861</v>
      </c>
      <c r="AE28" s="690" t="s">
        <v>861</v>
      </c>
      <c r="AF28" s="690" t="s">
        <v>861</v>
      </c>
      <c r="AG28" s="690" t="s">
        <v>861</v>
      </c>
      <c r="AH28" s="704" t="s">
        <v>861</v>
      </c>
    </row>
    <row r="29" spans="1:34" s="514" customFormat="1" ht="26.4" customHeight="1">
      <c r="A29" s="697">
        <v>6</v>
      </c>
      <c r="B29" s="698" t="s">
        <v>865</v>
      </c>
      <c r="C29" s="699" t="s">
        <v>814</v>
      </c>
      <c r="D29" s="686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 t="s">
        <v>867</v>
      </c>
      <c r="AE29" s="690" t="s">
        <v>816</v>
      </c>
      <c r="AF29" s="47" t="s">
        <v>556</v>
      </c>
      <c r="AG29" s="690" t="s">
        <v>870</v>
      </c>
      <c r="AH29" s="704" t="s">
        <v>870</v>
      </c>
    </row>
    <row r="30" spans="1:34" s="514" customFormat="1" ht="26.4" customHeight="1">
      <c r="A30" s="697">
        <v>7</v>
      </c>
      <c r="B30" s="698" t="s">
        <v>866</v>
      </c>
      <c r="C30" s="699" t="s">
        <v>814</v>
      </c>
      <c r="D30" s="686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 t="s">
        <v>867</v>
      </c>
      <c r="AF30" s="690" t="s">
        <v>816</v>
      </c>
      <c r="AG30" s="690" t="s">
        <v>816</v>
      </c>
      <c r="AH30" s="705" t="s">
        <v>836</v>
      </c>
    </row>
    <row r="31" spans="1:34" s="514" customFormat="1" ht="40.200000000000003" customHeight="1">
      <c r="A31" s="697">
        <v>8</v>
      </c>
      <c r="B31" s="698" t="s">
        <v>782</v>
      </c>
      <c r="C31" s="699" t="s">
        <v>781</v>
      </c>
      <c r="D31" s="701" t="s">
        <v>817</v>
      </c>
      <c r="E31" s="603" t="s">
        <v>818</v>
      </c>
      <c r="F31" s="603" t="s">
        <v>818</v>
      </c>
      <c r="G31" s="603" t="s">
        <v>818</v>
      </c>
      <c r="H31" s="603" t="s">
        <v>818</v>
      </c>
      <c r="I31" s="603" t="s">
        <v>818</v>
      </c>
      <c r="J31" s="603" t="s">
        <v>818</v>
      </c>
      <c r="K31" s="603" t="s">
        <v>818</v>
      </c>
      <c r="L31" s="603" t="s">
        <v>818</v>
      </c>
      <c r="M31" s="603" t="s">
        <v>827</v>
      </c>
      <c r="N31" s="604" t="s">
        <v>826</v>
      </c>
      <c r="O31" s="604" t="s">
        <v>829</v>
      </c>
      <c r="P31" s="604" t="s">
        <v>829</v>
      </c>
      <c r="Q31" s="690" t="s">
        <v>816</v>
      </c>
      <c r="R31" s="690" t="s">
        <v>816</v>
      </c>
      <c r="S31" s="690" t="s">
        <v>816</v>
      </c>
      <c r="T31" s="690" t="s">
        <v>816</v>
      </c>
      <c r="U31" s="690" t="s">
        <v>816</v>
      </c>
      <c r="V31" s="690" t="s">
        <v>816</v>
      </c>
      <c r="W31" s="636" t="s">
        <v>849</v>
      </c>
      <c r="X31" s="636" t="s">
        <v>849</v>
      </c>
      <c r="Y31" s="636" t="s">
        <v>855</v>
      </c>
      <c r="Z31" s="636" t="s">
        <v>857</v>
      </c>
      <c r="AA31" s="636" t="s">
        <v>855</v>
      </c>
      <c r="AB31" s="636" t="s">
        <v>857</v>
      </c>
      <c r="AC31" s="636" t="s">
        <v>855</v>
      </c>
      <c r="AD31" s="636" t="s">
        <v>862</v>
      </c>
      <c r="AE31" s="636" t="s">
        <v>863</v>
      </c>
      <c r="AF31" s="636" t="s">
        <v>863</v>
      </c>
      <c r="AG31" s="636" t="s">
        <v>868</v>
      </c>
      <c r="AH31" s="706" t="s">
        <v>871</v>
      </c>
    </row>
    <row r="32" spans="1:34" s="45" customFormat="1" ht="40.200000000000003" customHeight="1" thickBot="1">
      <c r="A32" s="608">
        <v>9</v>
      </c>
      <c r="B32" s="609" t="s">
        <v>831</v>
      </c>
      <c r="C32" s="610" t="s">
        <v>781</v>
      </c>
      <c r="D32" s="585"/>
      <c r="E32" s="583"/>
      <c r="F32" s="583"/>
      <c r="G32" s="583"/>
      <c r="H32" s="583"/>
      <c r="I32" s="583"/>
      <c r="J32" s="583"/>
      <c r="K32" s="583"/>
      <c r="L32" s="583"/>
      <c r="M32" s="592"/>
      <c r="N32" s="591"/>
      <c r="O32" s="593"/>
      <c r="P32" s="593"/>
      <c r="Q32" s="602"/>
      <c r="R32" s="593" t="s">
        <v>832</v>
      </c>
      <c r="S32" s="593" t="s">
        <v>832</v>
      </c>
      <c r="T32" s="593" t="s">
        <v>832</v>
      </c>
      <c r="U32" s="593" t="s">
        <v>847</v>
      </c>
      <c r="V32" s="593" t="s">
        <v>847</v>
      </c>
      <c r="W32" s="637" t="s">
        <v>850</v>
      </c>
      <c r="X32" s="637" t="s">
        <v>850</v>
      </c>
      <c r="Y32" s="637" t="s">
        <v>856</v>
      </c>
      <c r="Z32" s="637" t="s">
        <v>856</v>
      </c>
      <c r="AA32" s="637" t="s">
        <v>856</v>
      </c>
      <c r="AB32" s="637" t="s">
        <v>856</v>
      </c>
      <c r="AC32" s="637" t="s">
        <v>856</v>
      </c>
      <c r="AD32" s="633" t="s">
        <v>816</v>
      </c>
      <c r="AE32" s="633" t="s">
        <v>816</v>
      </c>
      <c r="AF32" s="633" t="s">
        <v>816</v>
      </c>
      <c r="AG32" s="633" t="s">
        <v>816</v>
      </c>
      <c r="AH32" s="634" t="s">
        <v>816</v>
      </c>
    </row>
    <row r="35" spans="1:34" ht="15" thickBot="1"/>
    <row r="36" spans="1:34" ht="21.6" thickBot="1">
      <c r="A36" s="953" t="s">
        <v>820</v>
      </c>
      <c r="B36" s="954"/>
      <c r="C36" s="954"/>
      <c r="D36" s="954"/>
      <c r="E36" s="954"/>
      <c r="F36" s="954"/>
      <c r="G36" s="954"/>
      <c r="H36" s="954"/>
      <c r="I36" s="954"/>
      <c r="J36" s="954"/>
      <c r="K36" s="954"/>
      <c r="L36" s="954"/>
      <c r="M36" s="954"/>
      <c r="N36" s="954"/>
      <c r="O36" s="954"/>
      <c r="P36" s="954"/>
      <c r="Q36" s="954"/>
      <c r="R36" s="954"/>
      <c r="S36" s="954"/>
      <c r="T36" s="954"/>
      <c r="U36" s="954"/>
      <c r="V36" s="954"/>
      <c r="W36" s="954"/>
      <c r="X36" s="954"/>
      <c r="Y36" s="954"/>
      <c r="Z36" s="954"/>
      <c r="AA36" s="954"/>
      <c r="AB36" s="954"/>
      <c r="AC36" s="954"/>
      <c r="AD36" s="954"/>
      <c r="AE36" s="954"/>
      <c r="AF36" s="954"/>
      <c r="AG36" s="954"/>
      <c r="AH36" s="955"/>
    </row>
    <row r="37" spans="1:34" ht="18.600000000000001" thickBot="1">
      <c r="A37" s="959" t="s">
        <v>833</v>
      </c>
      <c r="B37" s="960"/>
      <c r="C37" s="960"/>
      <c r="D37" s="960"/>
      <c r="E37" s="960"/>
      <c r="F37" s="960"/>
      <c r="G37" s="960"/>
      <c r="H37" s="960"/>
      <c r="I37" s="960"/>
      <c r="J37" s="960"/>
      <c r="K37" s="960"/>
      <c r="L37" s="960"/>
      <c r="M37" s="960"/>
      <c r="N37" s="960"/>
      <c r="O37" s="960"/>
      <c r="P37" s="960"/>
      <c r="Q37" s="960"/>
      <c r="R37" s="960"/>
      <c r="S37" s="960"/>
      <c r="T37" s="960"/>
      <c r="U37" s="960"/>
      <c r="V37" s="960"/>
      <c r="W37" s="960"/>
      <c r="X37" s="960"/>
      <c r="Y37" s="960"/>
      <c r="Z37" s="960"/>
      <c r="AA37" s="960"/>
      <c r="AB37" s="960"/>
      <c r="AC37" s="960"/>
      <c r="AD37" s="960"/>
      <c r="AE37" s="960"/>
      <c r="AF37" s="960"/>
      <c r="AG37" s="960"/>
      <c r="AH37" s="961"/>
    </row>
    <row r="38" spans="1:34" ht="19.2" customHeight="1">
      <c r="A38" s="622" t="s">
        <v>12</v>
      </c>
      <c r="B38" s="623" t="s">
        <v>672</v>
      </c>
      <c r="C38" s="624" t="s">
        <v>810</v>
      </c>
      <c r="D38" s="625">
        <v>45962</v>
      </c>
      <c r="E38" s="625">
        <v>45963</v>
      </c>
      <c r="F38" s="625">
        <v>45964</v>
      </c>
      <c r="G38" s="625">
        <v>45965</v>
      </c>
      <c r="H38" s="625">
        <v>45966</v>
      </c>
      <c r="I38" s="625">
        <v>45967</v>
      </c>
      <c r="J38" s="625">
        <v>45968</v>
      </c>
      <c r="K38" s="625">
        <v>45969</v>
      </c>
      <c r="L38" s="625">
        <v>45970</v>
      </c>
      <c r="M38" s="625">
        <v>45971</v>
      </c>
      <c r="N38" s="625">
        <v>45972</v>
      </c>
      <c r="O38" s="625">
        <v>45973</v>
      </c>
      <c r="P38" s="625">
        <v>45974</v>
      </c>
      <c r="Q38" s="625">
        <v>45975</v>
      </c>
      <c r="R38" s="625">
        <v>45976</v>
      </c>
      <c r="S38" s="625">
        <v>45977</v>
      </c>
      <c r="T38" s="625">
        <v>45978</v>
      </c>
      <c r="U38" s="625">
        <v>45979</v>
      </c>
      <c r="V38" s="625">
        <v>45980</v>
      </c>
      <c r="W38" s="625">
        <v>45981</v>
      </c>
      <c r="X38" s="625">
        <v>45982</v>
      </c>
      <c r="Y38" s="625">
        <v>45983</v>
      </c>
      <c r="Z38" s="625">
        <v>45984</v>
      </c>
      <c r="AA38" s="625">
        <v>45985</v>
      </c>
      <c r="AB38" s="625">
        <v>45986</v>
      </c>
      <c r="AC38" s="625">
        <v>45987</v>
      </c>
      <c r="AD38" s="625">
        <v>45988</v>
      </c>
      <c r="AE38" s="625">
        <v>45989</v>
      </c>
      <c r="AF38" s="625">
        <v>45990</v>
      </c>
      <c r="AG38" s="625">
        <v>45991</v>
      </c>
      <c r="AH38" s="625"/>
    </row>
    <row r="39" spans="1:34" ht="21.6" customHeight="1">
      <c r="A39" s="161">
        <v>1</v>
      </c>
      <c r="B39" s="599" t="s">
        <v>834</v>
      </c>
      <c r="C39" s="600" t="s">
        <v>811</v>
      </c>
      <c r="D39" s="620" t="s">
        <v>816</v>
      </c>
      <c r="E39" s="584" t="s">
        <v>182</v>
      </c>
      <c r="F39" s="584" t="s">
        <v>182</v>
      </c>
      <c r="G39" s="584" t="s">
        <v>182</v>
      </c>
      <c r="H39" s="584" t="s">
        <v>182</v>
      </c>
      <c r="I39" s="584" t="s">
        <v>182</v>
      </c>
      <c r="J39" s="584" t="s">
        <v>182</v>
      </c>
      <c r="K39" s="584" t="s">
        <v>182</v>
      </c>
      <c r="L39" s="584" t="s">
        <v>182</v>
      </c>
      <c r="M39" s="584" t="s">
        <v>182</v>
      </c>
      <c r="N39" s="596" t="s">
        <v>181</v>
      </c>
      <c r="O39" s="596" t="s">
        <v>181</v>
      </c>
      <c r="P39" s="596" t="s">
        <v>181</v>
      </c>
      <c r="Q39" s="596" t="s">
        <v>181</v>
      </c>
      <c r="R39" s="620" t="s">
        <v>816</v>
      </c>
      <c r="S39" s="620" t="s">
        <v>816</v>
      </c>
      <c r="T39" s="620" t="s">
        <v>816</v>
      </c>
      <c r="U39" s="620" t="s">
        <v>816</v>
      </c>
      <c r="V39" s="620" t="s">
        <v>816</v>
      </c>
      <c r="W39" s="620" t="s">
        <v>816</v>
      </c>
      <c r="X39" s="620" t="s">
        <v>816</v>
      </c>
      <c r="Y39" s="620" t="s">
        <v>816</v>
      </c>
      <c r="Z39" s="620" t="s">
        <v>816</v>
      </c>
      <c r="AA39" s="620" t="s">
        <v>816</v>
      </c>
      <c r="AB39" s="620" t="s">
        <v>816</v>
      </c>
      <c r="AC39" s="620" t="s">
        <v>816</v>
      </c>
      <c r="AD39" s="620" t="s">
        <v>816</v>
      </c>
      <c r="AE39" s="620" t="s">
        <v>816</v>
      </c>
      <c r="AF39" s="620" t="s">
        <v>816</v>
      </c>
      <c r="AG39" s="620" t="s">
        <v>816</v>
      </c>
      <c r="AH39" s="576"/>
    </row>
    <row r="40" spans="1:34" ht="21.6" customHeight="1">
      <c r="A40" s="161">
        <v>2</v>
      </c>
      <c r="B40" s="599" t="s">
        <v>835</v>
      </c>
      <c r="C40" s="600" t="s">
        <v>811</v>
      </c>
      <c r="D40" s="626" t="s">
        <v>836</v>
      </c>
      <c r="E40" s="626" t="s">
        <v>836</v>
      </c>
      <c r="F40" s="626" t="s">
        <v>836</v>
      </c>
      <c r="G40" s="626" t="s">
        <v>836</v>
      </c>
      <c r="H40" s="626" t="s">
        <v>836</v>
      </c>
      <c r="I40" s="626" t="s">
        <v>836</v>
      </c>
      <c r="J40" s="626" t="s">
        <v>836</v>
      </c>
      <c r="K40" s="626" t="s">
        <v>836</v>
      </c>
      <c r="L40" s="626" t="s">
        <v>836</v>
      </c>
      <c r="M40" s="626" t="s">
        <v>836</v>
      </c>
      <c r="N40" s="626" t="s">
        <v>836</v>
      </c>
      <c r="O40" s="596" t="s">
        <v>799</v>
      </c>
      <c r="P40" s="596" t="s">
        <v>799</v>
      </c>
      <c r="Q40" s="596" t="s">
        <v>799</v>
      </c>
      <c r="R40" s="596" t="s">
        <v>799</v>
      </c>
      <c r="S40" s="620" t="s">
        <v>816</v>
      </c>
      <c r="T40" s="596" t="s">
        <v>799</v>
      </c>
      <c r="U40" s="596" t="s">
        <v>799</v>
      </c>
      <c r="V40" s="596" t="s">
        <v>799</v>
      </c>
      <c r="W40" s="596" t="s">
        <v>799</v>
      </c>
      <c r="X40" s="596" t="s">
        <v>799</v>
      </c>
      <c r="Y40" s="620" t="s">
        <v>816</v>
      </c>
      <c r="Z40" s="620" t="s">
        <v>816</v>
      </c>
      <c r="AA40" s="620" t="s">
        <v>816</v>
      </c>
      <c r="AB40" s="596" t="s">
        <v>616</v>
      </c>
      <c r="AC40" s="596" t="s">
        <v>616</v>
      </c>
      <c r="AD40" s="596" t="s">
        <v>616</v>
      </c>
      <c r="AE40" s="596" t="s">
        <v>616</v>
      </c>
      <c r="AF40" s="620" t="s">
        <v>816</v>
      </c>
      <c r="AG40" s="620" t="s">
        <v>816</v>
      </c>
      <c r="AH40" s="576"/>
    </row>
    <row r="41" spans="1:34" ht="21.6" customHeight="1">
      <c r="A41" s="161">
        <v>3</v>
      </c>
      <c r="B41" s="599" t="s">
        <v>837</v>
      </c>
      <c r="C41" s="600" t="s">
        <v>811</v>
      </c>
      <c r="D41" s="626" t="s">
        <v>836</v>
      </c>
      <c r="E41" s="626" t="s">
        <v>836</v>
      </c>
      <c r="F41" s="626" t="s">
        <v>836</v>
      </c>
      <c r="G41" s="626" t="s">
        <v>836</v>
      </c>
      <c r="H41" s="626" t="s">
        <v>836</v>
      </c>
      <c r="I41" s="626" t="s">
        <v>836</v>
      </c>
      <c r="J41" s="626" t="s">
        <v>836</v>
      </c>
      <c r="K41" s="626" t="s">
        <v>836</v>
      </c>
      <c r="L41" s="626" t="s">
        <v>836</v>
      </c>
      <c r="M41" s="626" t="s">
        <v>836</v>
      </c>
      <c r="N41" s="626" t="s">
        <v>836</v>
      </c>
      <c r="O41" s="626" t="s">
        <v>836</v>
      </c>
      <c r="P41" s="626" t="s">
        <v>836</v>
      </c>
      <c r="Q41" s="596" t="s">
        <v>800</v>
      </c>
      <c r="R41" s="596" t="s">
        <v>800</v>
      </c>
      <c r="S41" s="620" t="s">
        <v>816</v>
      </c>
      <c r="T41" s="620" t="s">
        <v>816</v>
      </c>
      <c r="U41" s="596" t="s">
        <v>800</v>
      </c>
      <c r="V41" s="596" t="s">
        <v>800</v>
      </c>
      <c r="W41" s="596" t="s">
        <v>800</v>
      </c>
      <c r="X41" s="596" t="s">
        <v>800</v>
      </c>
      <c r="Y41" s="596" t="s">
        <v>800</v>
      </c>
      <c r="Z41" s="596" t="s">
        <v>800</v>
      </c>
      <c r="AA41" s="596" t="s">
        <v>800</v>
      </c>
      <c r="AB41" s="596" t="s">
        <v>800</v>
      </c>
      <c r="AC41" s="620" t="s">
        <v>816</v>
      </c>
      <c r="AD41" s="620" t="s">
        <v>816</v>
      </c>
      <c r="AE41" s="620" t="s">
        <v>816</v>
      </c>
      <c r="AF41" s="620" t="s">
        <v>816</v>
      </c>
      <c r="AG41" s="620" t="s">
        <v>816</v>
      </c>
      <c r="AH41" s="576"/>
    </row>
    <row r="42" spans="1:34" ht="21.6" customHeight="1">
      <c r="A42" s="161">
        <v>4</v>
      </c>
      <c r="B42" s="599" t="s">
        <v>815</v>
      </c>
      <c r="C42" s="600" t="s">
        <v>814</v>
      </c>
      <c r="D42" s="584" t="s">
        <v>162</v>
      </c>
      <c r="E42" s="584" t="s">
        <v>162</v>
      </c>
      <c r="F42" s="584" t="s">
        <v>162</v>
      </c>
      <c r="G42" s="584" t="s">
        <v>162</v>
      </c>
      <c r="H42" s="584" t="s">
        <v>162</v>
      </c>
      <c r="I42" s="584" t="s">
        <v>162</v>
      </c>
      <c r="J42" s="584" t="s">
        <v>158</v>
      </c>
      <c r="K42" s="584" t="s">
        <v>158</v>
      </c>
      <c r="L42" s="584" t="s">
        <v>158</v>
      </c>
      <c r="M42" s="584" t="s">
        <v>158</v>
      </c>
      <c r="N42" s="584" t="s">
        <v>158</v>
      </c>
      <c r="O42" s="584" t="s">
        <v>158</v>
      </c>
      <c r="P42" s="596" t="s">
        <v>120</v>
      </c>
      <c r="Q42" s="596" t="s">
        <v>120</v>
      </c>
      <c r="R42" s="596" t="s">
        <v>120</v>
      </c>
      <c r="S42" s="596" t="s">
        <v>120</v>
      </c>
      <c r="T42" s="596" t="s">
        <v>120</v>
      </c>
      <c r="U42" s="596" t="s">
        <v>120</v>
      </c>
      <c r="V42" s="596" t="s">
        <v>120</v>
      </c>
      <c r="W42" s="596" t="s">
        <v>120</v>
      </c>
      <c r="X42" s="596" t="s">
        <v>120</v>
      </c>
      <c r="Y42" s="620" t="s">
        <v>816</v>
      </c>
      <c r="Z42" s="596" t="s">
        <v>153</v>
      </c>
      <c r="AA42" s="596" t="s">
        <v>153</v>
      </c>
      <c r="AB42" s="596" t="s">
        <v>153</v>
      </c>
      <c r="AC42" s="596" t="s">
        <v>153</v>
      </c>
      <c r="AD42" s="596" t="s">
        <v>153</v>
      </c>
      <c r="AE42" s="596" t="s">
        <v>153</v>
      </c>
      <c r="AF42" s="596" t="s">
        <v>153</v>
      </c>
      <c r="AG42" s="596" t="s">
        <v>153</v>
      </c>
      <c r="AH42" s="576"/>
    </row>
    <row r="43" spans="1:34" ht="21.6" customHeight="1">
      <c r="A43" s="161">
        <v>5</v>
      </c>
      <c r="B43" s="599" t="s">
        <v>699</v>
      </c>
      <c r="C43" s="600" t="s">
        <v>814</v>
      </c>
      <c r="D43" s="584" t="s">
        <v>658</v>
      </c>
      <c r="E43" s="584" t="s">
        <v>658</v>
      </c>
      <c r="F43" s="584" t="s">
        <v>658</v>
      </c>
      <c r="G43" s="584" t="s">
        <v>658</v>
      </c>
      <c r="H43" s="584" t="s">
        <v>658</v>
      </c>
      <c r="I43" s="584" t="s">
        <v>658</v>
      </c>
      <c r="J43" s="584" t="s">
        <v>658</v>
      </c>
      <c r="K43" s="620" t="s">
        <v>816</v>
      </c>
      <c r="L43" s="620" t="s">
        <v>816</v>
      </c>
      <c r="M43" s="584" t="s">
        <v>674</v>
      </c>
      <c r="N43" s="584" t="s">
        <v>674</v>
      </c>
      <c r="O43" s="584" t="s">
        <v>674</v>
      </c>
      <c r="P43" s="584" t="s">
        <v>674</v>
      </c>
      <c r="Q43" s="584" t="s">
        <v>674</v>
      </c>
      <c r="R43" s="584" t="s">
        <v>674</v>
      </c>
      <c r="S43" s="584" t="s">
        <v>674</v>
      </c>
      <c r="T43" s="584" t="s">
        <v>674</v>
      </c>
      <c r="U43" s="584" t="s">
        <v>674</v>
      </c>
      <c r="V43" s="584" t="s">
        <v>168</v>
      </c>
      <c r="W43" s="584" t="s">
        <v>168</v>
      </c>
      <c r="X43" s="584" t="s">
        <v>168</v>
      </c>
      <c r="Y43" s="584" t="s">
        <v>168</v>
      </c>
      <c r="Z43" s="584" t="s">
        <v>168</v>
      </c>
      <c r="AA43" s="584" t="s">
        <v>168</v>
      </c>
      <c r="AB43" s="584" t="s">
        <v>168</v>
      </c>
      <c r="AC43" s="584" t="s">
        <v>168</v>
      </c>
      <c r="AD43" s="584" t="s">
        <v>168</v>
      </c>
      <c r="AE43" s="620" t="s">
        <v>816</v>
      </c>
      <c r="AF43" s="596" t="s">
        <v>557</v>
      </c>
      <c r="AG43" s="596" t="s">
        <v>557</v>
      </c>
      <c r="AH43" s="576"/>
    </row>
    <row r="44" spans="1:34" ht="21.6" customHeight="1">
      <c r="A44" s="161">
        <v>6</v>
      </c>
      <c r="B44" s="599" t="s">
        <v>697</v>
      </c>
      <c r="C44" s="600" t="s">
        <v>814</v>
      </c>
      <c r="D44" s="584" t="s">
        <v>663</v>
      </c>
      <c r="E44" s="584" t="s">
        <v>663</v>
      </c>
      <c r="F44" s="584" t="s">
        <v>663</v>
      </c>
      <c r="G44" s="584" t="s">
        <v>663</v>
      </c>
      <c r="H44" s="584" t="s">
        <v>663</v>
      </c>
      <c r="I44" s="584" t="s">
        <v>663</v>
      </c>
      <c r="J44" s="584" t="s">
        <v>663</v>
      </c>
      <c r="K44" s="584" t="s">
        <v>663</v>
      </c>
      <c r="L44" s="584" t="s">
        <v>151</v>
      </c>
      <c r="M44" s="584" t="s">
        <v>151</v>
      </c>
      <c r="N44" s="584" t="s">
        <v>151</v>
      </c>
      <c r="O44" s="584" t="s">
        <v>151</v>
      </c>
      <c r="P44" s="584" t="s">
        <v>151</v>
      </c>
      <c r="Q44" s="584" t="s">
        <v>663</v>
      </c>
      <c r="R44" s="584" t="s">
        <v>663</v>
      </c>
      <c r="S44" s="584" t="s">
        <v>663</v>
      </c>
      <c r="T44" s="584" t="s">
        <v>663</v>
      </c>
      <c r="U44" s="584" t="s">
        <v>663</v>
      </c>
      <c r="V44" s="584" t="s">
        <v>663</v>
      </c>
      <c r="W44" s="584" t="s">
        <v>663</v>
      </c>
      <c r="X44" s="584" t="s">
        <v>663</v>
      </c>
      <c r="Y44" s="584" t="s">
        <v>663</v>
      </c>
      <c r="Z44" s="584" t="s">
        <v>663</v>
      </c>
      <c r="AA44" s="584" t="s">
        <v>663</v>
      </c>
      <c r="AB44" s="584" t="s">
        <v>663</v>
      </c>
      <c r="AC44" s="584" t="s">
        <v>663</v>
      </c>
      <c r="AD44" s="584" t="s">
        <v>663</v>
      </c>
      <c r="AE44" s="584" t="s">
        <v>663</v>
      </c>
      <c r="AF44" s="584" t="s">
        <v>663</v>
      </c>
      <c r="AG44" s="620" t="s">
        <v>816</v>
      </c>
      <c r="AH44" s="576"/>
    </row>
    <row r="45" spans="1:34" ht="21.6" customHeight="1" thickBot="1">
      <c r="A45" s="149">
        <v>7</v>
      </c>
      <c r="B45" s="598" t="s">
        <v>782</v>
      </c>
      <c r="C45" s="601" t="s">
        <v>781</v>
      </c>
      <c r="D45" s="627" t="s">
        <v>795</v>
      </c>
      <c r="E45" s="627" t="s">
        <v>795</v>
      </c>
      <c r="F45" s="627" t="s">
        <v>795</v>
      </c>
      <c r="G45" s="620" t="s">
        <v>816</v>
      </c>
      <c r="H45" s="627" t="s">
        <v>774</v>
      </c>
      <c r="I45" s="627" t="s">
        <v>774</v>
      </c>
      <c r="J45" s="627" t="s">
        <v>774</v>
      </c>
      <c r="K45" s="627" t="s">
        <v>774</v>
      </c>
      <c r="L45" s="627" t="s">
        <v>774</v>
      </c>
      <c r="M45" s="627" t="s">
        <v>795</v>
      </c>
      <c r="N45" s="627" t="s">
        <v>795</v>
      </c>
      <c r="O45" s="627" t="s">
        <v>774</v>
      </c>
      <c r="P45" s="627" t="s">
        <v>795</v>
      </c>
      <c r="Q45" s="627" t="s">
        <v>774</v>
      </c>
      <c r="R45" s="627" t="s">
        <v>795</v>
      </c>
      <c r="S45" s="627" t="s">
        <v>774</v>
      </c>
      <c r="T45" s="627" t="s">
        <v>774</v>
      </c>
      <c r="U45" s="628" t="s">
        <v>792</v>
      </c>
      <c r="V45" s="628" t="s">
        <v>792</v>
      </c>
      <c r="W45" s="628" t="s">
        <v>792</v>
      </c>
      <c r="X45" s="628" t="s">
        <v>792</v>
      </c>
      <c r="Y45" s="628" t="s">
        <v>792</v>
      </c>
      <c r="Z45" s="628" t="s">
        <v>792</v>
      </c>
      <c r="AA45" s="628" t="s">
        <v>792</v>
      </c>
      <c r="AB45" s="628" t="s">
        <v>792</v>
      </c>
      <c r="AC45" s="628" t="s">
        <v>792</v>
      </c>
      <c r="AD45" s="628" t="s">
        <v>792</v>
      </c>
      <c r="AE45" s="628" t="s">
        <v>792</v>
      </c>
      <c r="AF45" s="628" t="s">
        <v>792</v>
      </c>
      <c r="AG45" s="628" t="s">
        <v>792</v>
      </c>
      <c r="AH45" s="629"/>
    </row>
    <row r="49" spans="1:34" ht="15" thickBot="1"/>
    <row r="50" spans="1:34" ht="21.6" thickBot="1">
      <c r="A50" s="953" t="s">
        <v>820</v>
      </c>
      <c r="B50" s="954"/>
      <c r="C50" s="954"/>
      <c r="D50" s="954"/>
      <c r="E50" s="954"/>
      <c r="F50" s="954"/>
      <c r="G50" s="954"/>
      <c r="H50" s="954"/>
      <c r="I50" s="954"/>
      <c r="J50" s="954"/>
      <c r="K50" s="954"/>
      <c r="L50" s="954"/>
      <c r="M50" s="954"/>
      <c r="N50" s="954"/>
      <c r="O50" s="954"/>
      <c r="P50" s="954"/>
      <c r="Q50" s="954"/>
      <c r="R50" s="954"/>
      <c r="S50" s="954"/>
      <c r="T50" s="954"/>
      <c r="U50" s="954"/>
      <c r="V50" s="954"/>
      <c r="W50" s="954"/>
      <c r="X50" s="954"/>
      <c r="Y50" s="954"/>
      <c r="Z50" s="954"/>
      <c r="AA50" s="954"/>
      <c r="AB50" s="954"/>
      <c r="AC50" s="954"/>
      <c r="AD50" s="954"/>
      <c r="AE50" s="954"/>
      <c r="AF50" s="954"/>
      <c r="AG50" s="954"/>
      <c r="AH50" s="955"/>
    </row>
    <row r="51" spans="1:34" ht="18.600000000000001" thickBot="1">
      <c r="A51" s="959" t="s">
        <v>838</v>
      </c>
      <c r="B51" s="960"/>
      <c r="C51" s="960"/>
      <c r="D51" s="960"/>
      <c r="E51" s="960"/>
      <c r="F51" s="960"/>
      <c r="G51" s="960"/>
      <c r="H51" s="960"/>
      <c r="I51" s="960"/>
      <c r="J51" s="960"/>
      <c r="K51" s="960"/>
      <c r="L51" s="960"/>
      <c r="M51" s="960"/>
      <c r="N51" s="960"/>
      <c r="O51" s="960"/>
      <c r="P51" s="960"/>
      <c r="Q51" s="960"/>
      <c r="R51" s="960"/>
      <c r="S51" s="960"/>
      <c r="T51" s="960"/>
      <c r="U51" s="960"/>
      <c r="V51" s="960"/>
      <c r="W51" s="960"/>
      <c r="X51" s="960"/>
      <c r="Y51" s="960"/>
      <c r="Z51" s="960"/>
      <c r="AA51" s="960"/>
      <c r="AB51" s="960"/>
      <c r="AC51" s="960"/>
      <c r="AD51" s="960"/>
      <c r="AE51" s="960"/>
      <c r="AF51" s="960"/>
      <c r="AG51" s="960"/>
      <c r="AH51" s="961"/>
    </row>
    <row r="52" spans="1:34" ht="22.8" customHeight="1">
      <c r="A52" s="622" t="s">
        <v>12</v>
      </c>
      <c r="B52" s="623" t="s">
        <v>672</v>
      </c>
      <c r="C52" s="624" t="s">
        <v>810</v>
      </c>
      <c r="D52" s="625">
        <v>45931</v>
      </c>
      <c r="E52" s="625">
        <v>45932</v>
      </c>
      <c r="F52" s="625">
        <v>45933</v>
      </c>
      <c r="G52" s="625">
        <v>45934</v>
      </c>
      <c r="H52" s="625">
        <v>45935</v>
      </c>
      <c r="I52" s="625">
        <v>45936</v>
      </c>
      <c r="J52" s="625">
        <v>45937</v>
      </c>
      <c r="K52" s="625">
        <v>45938</v>
      </c>
      <c r="L52" s="625">
        <v>45939</v>
      </c>
      <c r="M52" s="625">
        <v>45940</v>
      </c>
      <c r="N52" s="625">
        <v>45941</v>
      </c>
      <c r="O52" s="625">
        <v>45942</v>
      </c>
      <c r="P52" s="625">
        <v>45943</v>
      </c>
      <c r="Q52" s="625">
        <v>45944</v>
      </c>
      <c r="R52" s="625">
        <v>45945</v>
      </c>
      <c r="S52" s="625">
        <v>45946</v>
      </c>
      <c r="T52" s="625">
        <v>45947</v>
      </c>
      <c r="U52" s="625">
        <v>45948</v>
      </c>
      <c r="V52" s="625">
        <v>45949</v>
      </c>
      <c r="W52" s="625">
        <v>45950</v>
      </c>
      <c r="X52" s="625">
        <v>45951</v>
      </c>
      <c r="Y52" s="625">
        <v>45952</v>
      </c>
      <c r="Z52" s="625">
        <v>45953</v>
      </c>
      <c r="AA52" s="625">
        <v>45954</v>
      </c>
      <c r="AB52" s="625">
        <v>45955</v>
      </c>
      <c r="AC52" s="625">
        <v>45956</v>
      </c>
      <c r="AD52" s="625">
        <v>45957</v>
      </c>
      <c r="AE52" s="625">
        <v>45958</v>
      </c>
      <c r="AF52" s="625">
        <v>45959</v>
      </c>
      <c r="AG52" s="625">
        <v>45960</v>
      </c>
      <c r="AH52" s="630">
        <v>45961</v>
      </c>
    </row>
    <row r="53" spans="1:34" ht="22.8" customHeight="1">
      <c r="A53" s="161">
        <v>1</v>
      </c>
      <c r="B53" s="599" t="s">
        <v>834</v>
      </c>
      <c r="C53" s="600" t="s">
        <v>811</v>
      </c>
      <c r="D53" s="620" t="s">
        <v>816</v>
      </c>
      <c r="E53" s="620" t="s">
        <v>816</v>
      </c>
      <c r="F53" s="620" t="s">
        <v>816</v>
      </c>
      <c r="G53" s="631" t="s">
        <v>836</v>
      </c>
      <c r="H53" s="597" t="s">
        <v>839</v>
      </c>
      <c r="I53" s="597" t="s">
        <v>839</v>
      </c>
      <c r="J53" s="597" t="s">
        <v>839</v>
      </c>
      <c r="K53" s="597" t="s">
        <v>839</v>
      </c>
      <c r="L53" s="597" t="s">
        <v>839</v>
      </c>
      <c r="M53" s="597" t="s">
        <v>839</v>
      </c>
      <c r="N53" s="597" t="s">
        <v>839</v>
      </c>
      <c r="O53" s="597" t="s">
        <v>839</v>
      </c>
      <c r="P53" s="597" t="s">
        <v>839</v>
      </c>
      <c r="Q53" s="597" t="s">
        <v>839</v>
      </c>
      <c r="R53" s="597" t="s">
        <v>839</v>
      </c>
      <c r="S53" s="597" t="s">
        <v>839</v>
      </c>
      <c r="T53" s="597" t="s">
        <v>839</v>
      </c>
      <c r="U53" s="597" t="s">
        <v>839</v>
      </c>
      <c r="V53" s="597" t="s">
        <v>839</v>
      </c>
      <c r="W53" s="597" t="s">
        <v>839</v>
      </c>
      <c r="X53" s="597" t="s">
        <v>839</v>
      </c>
      <c r="Y53" s="597" t="s">
        <v>839</v>
      </c>
      <c r="Z53" s="597" t="s">
        <v>839</v>
      </c>
      <c r="AA53" s="597" t="s">
        <v>839</v>
      </c>
      <c r="AB53" s="597" t="s">
        <v>839</v>
      </c>
      <c r="AC53" s="597" t="s">
        <v>839</v>
      </c>
      <c r="AD53" s="597" t="s">
        <v>839</v>
      </c>
      <c r="AE53" s="597" t="s">
        <v>839</v>
      </c>
      <c r="AF53" s="597" t="s">
        <v>839</v>
      </c>
      <c r="AG53" s="597" t="s">
        <v>839</v>
      </c>
      <c r="AH53" s="586" t="s">
        <v>839</v>
      </c>
    </row>
    <row r="54" spans="1:34" ht="22.8" customHeight="1">
      <c r="A54" s="161">
        <v>2</v>
      </c>
      <c r="B54" s="599" t="s">
        <v>840</v>
      </c>
      <c r="C54" s="600" t="s">
        <v>814</v>
      </c>
      <c r="D54" s="620" t="s">
        <v>816</v>
      </c>
      <c r="E54" s="620" t="s">
        <v>816</v>
      </c>
      <c r="F54" s="620" t="s">
        <v>816</v>
      </c>
      <c r="G54" s="631" t="s">
        <v>841</v>
      </c>
      <c r="H54" s="631" t="s">
        <v>841</v>
      </c>
      <c r="I54" s="631" t="s">
        <v>841</v>
      </c>
      <c r="J54" s="631" t="s">
        <v>841</v>
      </c>
      <c r="K54" s="631" t="s">
        <v>841</v>
      </c>
      <c r="L54" s="631" t="s">
        <v>841</v>
      </c>
      <c r="M54" s="631" t="s">
        <v>841</v>
      </c>
      <c r="N54" s="631" t="s">
        <v>841</v>
      </c>
      <c r="O54" s="631" t="s">
        <v>841</v>
      </c>
      <c r="P54" s="631" t="s">
        <v>841</v>
      </c>
      <c r="Q54" s="631" t="s">
        <v>841</v>
      </c>
      <c r="R54" s="631" t="s">
        <v>841</v>
      </c>
      <c r="S54" s="631" t="s">
        <v>841</v>
      </c>
      <c r="T54" s="631" t="s">
        <v>841</v>
      </c>
      <c r="U54" s="631" t="s">
        <v>841</v>
      </c>
      <c r="V54" s="631" t="s">
        <v>841</v>
      </c>
      <c r="W54" s="631" t="s">
        <v>841</v>
      </c>
      <c r="X54" s="631" t="s">
        <v>841</v>
      </c>
      <c r="Y54" s="631" t="s">
        <v>841</v>
      </c>
      <c r="Z54" s="631" t="s">
        <v>841</v>
      </c>
      <c r="AA54" s="631" t="s">
        <v>841</v>
      </c>
      <c r="AB54" s="631" t="s">
        <v>841</v>
      </c>
      <c r="AC54" s="631" t="s">
        <v>841</v>
      </c>
      <c r="AD54" s="631" t="s">
        <v>841</v>
      </c>
      <c r="AE54" s="631" t="s">
        <v>841</v>
      </c>
      <c r="AF54" s="631" t="s">
        <v>841</v>
      </c>
      <c r="AG54" s="631" t="s">
        <v>841</v>
      </c>
      <c r="AH54" s="632" t="s">
        <v>841</v>
      </c>
    </row>
    <row r="55" spans="1:34" ht="22.8" customHeight="1">
      <c r="A55" s="161">
        <v>3</v>
      </c>
      <c r="B55" s="599" t="s">
        <v>842</v>
      </c>
      <c r="C55" s="600" t="s">
        <v>814</v>
      </c>
      <c r="D55" s="597" t="s">
        <v>173</v>
      </c>
      <c r="E55" s="597" t="s">
        <v>173</v>
      </c>
      <c r="F55" s="597" t="s">
        <v>173</v>
      </c>
      <c r="G55" s="597" t="s">
        <v>173</v>
      </c>
      <c r="H55" s="597" t="s">
        <v>173</v>
      </c>
      <c r="I55" s="620" t="s">
        <v>816</v>
      </c>
      <c r="J55" s="620" t="s">
        <v>816</v>
      </c>
      <c r="K55" s="620" t="s">
        <v>816</v>
      </c>
      <c r="L55" s="620" t="s">
        <v>816</v>
      </c>
      <c r="M55" s="620" t="s">
        <v>816</v>
      </c>
      <c r="N55" s="620" t="s">
        <v>816</v>
      </c>
      <c r="O55" s="620" t="s">
        <v>816</v>
      </c>
      <c r="P55" s="620" t="s">
        <v>816</v>
      </c>
      <c r="Q55" s="620" t="s">
        <v>816</v>
      </c>
      <c r="R55" s="597" t="s">
        <v>559</v>
      </c>
      <c r="S55" s="597" t="s">
        <v>559</v>
      </c>
      <c r="T55" s="597" t="s">
        <v>559</v>
      </c>
      <c r="U55" s="620" t="s">
        <v>816</v>
      </c>
      <c r="V55" s="597" t="s">
        <v>561</v>
      </c>
      <c r="W55" s="597" t="s">
        <v>561</v>
      </c>
      <c r="X55" s="597" t="s">
        <v>561</v>
      </c>
      <c r="Y55" s="597" t="s">
        <v>561</v>
      </c>
      <c r="Z55" s="597" t="s">
        <v>561</v>
      </c>
      <c r="AA55" s="620" t="s">
        <v>816</v>
      </c>
      <c r="AB55" s="597" t="s">
        <v>561</v>
      </c>
      <c r="AC55" s="597" t="s">
        <v>561</v>
      </c>
      <c r="AD55" s="597" t="s">
        <v>561</v>
      </c>
      <c r="AE55" s="620" t="s">
        <v>816</v>
      </c>
      <c r="AF55" s="620" t="s">
        <v>816</v>
      </c>
      <c r="AG55" s="597" t="s">
        <v>162</v>
      </c>
      <c r="AH55" s="586" t="s">
        <v>162</v>
      </c>
    </row>
    <row r="56" spans="1:34" ht="22.8" customHeight="1">
      <c r="A56" s="161">
        <v>4</v>
      </c>
      <c r="B56" s="599" t="s">
        <v>699</v>
      </c>
      <c r="C56" s="600" t="s">
        <v>814</v>
      </c>
      <c r="D56" s="620" t="s">
        <v>816</v>
      </c>
      <c r="E56" s="597" t="s">
        <v>597</v>
      </c>
      <c r="F56" s="597" t="s">
        <v>597</v>
      </c>
      <c r="G56" s="620" t="s">
        <v>816</v>
      </c>
      <c r="H56" s="620" t="s">
        <v>816</v>
      </c>
      <c r="I56" s="620" t="s">
        <v>816</v>
      </c>
      <c r="J56" s="620" t="s">
        <v>816</v>
      </c>
      <c r="K56" s="620" t="s">
        <v>816</v>
      </c>
      <c r="L56" s="620" t="s">
        <v>816</v>
      </c>
      <c r="M56" s="597" t="s">
        <v>597</v>
      </c>
      <c r="N56" s="597" t="s">
        <v>597</v>
      </c>
      <c r="O56" s="597" t="s">
        <v>597</v>
      </c>
      <c r="P56" s="597" t="s">
        <v>597</v>
      </c>
      <c r="Q56" s="597" t="s">
        <v>597</v>
      </c>
      <c r="R56" s="597" t="s">
        <v>597</v>
      </c>
      <c r="S56" s="597" t="s">
        <v>597</v>
      </c>
      <c r="T56" s="597" t="s">
        <v>597</v>
      </c>
      <c r="U56" s="597" t="s">
        <v>658</v>
      </c>
      <c r="V56" s="597" t="s">
        <v>658</v>
      </c>
      <c r="W56" s="597" t="s">
        <v>658</v>
      </c>
      <c r="X56" s="597" t="s">
        <v>658</v>
      </c>
      <c r="Y56" s="597" t="s">
        <v>658</v>
      </c>
      <c r="Z56" s="620" t="s">
        <v>816</v>
      </c>
      <c r="AA56" s="597" t="s">
        <v>658</v>
      </c>
      <c r="AB56" s="597" t="s">
        <v>658</v>
      </c>
      <c r="AC56" s="597" t="s">
        <v>658</v>
      </c>
      <c r="AD56" s="597" t="s">
        <v>658</v>
      </c>
      <c r="AE56" s="597" t="s">
        <v>658</v>
      </c>
      <c r="AF56" s="597" t="s">
        <v>658</v>
      </c>
      <c r="AG56" s="597" t="s">
        <v>658</v>
      </c>
      <c r="AH56" s="586" t="s">
        <v>658</v>
      </c>
    </row>
    <row r="57" spans="1:34" ht="22.8" customHeight="1">
      <c r="A57" s="161">
        <v>5</v>
      </c>
      <c r="B57" s="599" t="s">
        <v>843</v>
      </c>
      <c r="C57" s="600" t="s">
        <v>814</v>
      </c>
      <c r="D57" s="584" t="s">
        <v>665</v>
      </c>
      <c r="E57" s="620" t="s">
        <v>816</v>
      </c>
      <c r="F57" s="620" t="s">
        <v>816</v>
      </c>
      <c r="G57" s="620" t="s">
        <v>816</v>
      </c>
      <c r="H57" s="631" t="s">
        <v>841</v>
      </c>
      <c r="I57" s="631" t="s">
        <v>841</v>
      </c>
      <c r="J57" s="631" t="s">
        <v>841</v>
      </c>
      <c r="K57" s="631" t="s">
        <v>841</v>
      </c>
      <c r="L57" s="631" t="s">
        <v>841</v>
      </c>
      <c r="M57" s="631" t="s">
        <v>841</v>
      </c>
      <c r="N57" s="631" t="s">
        <v>841</v>
      </c>
      <c r="O57" s="631" t="s">
        <v>841</v>
      </c>
      <c r="P57" s="631" t="s">
        <v>841</v>
      </c>
      <c r="Q57" s="631" t="s">
        <v>841</v>
      </c>
      <c r="R57" s="631" t="s">
        <v>841</v>
      </c>
      <c r="S57" s="631" t="s">
        <v>841</v>
      </c>
      <c r="T57" s="631" t="s">
        <v>841</v>
      </c>
      <c r="U57" s="631" t="s">
        <v>841</v>
      </c>
      <c r="V57" s="631" t="s">
        <v>841</v>
      </c>
      <c r="W57" s="631" t="s">
        <v>841</v>
      </c>
      <c r="X57" s="631" t="s">
        <v>841</v>
      </c>
      <c r="Y57" s="631" t="s">
        <v>841</v>
      </c>
      <c r="Z57" s="631" t="s">
        <v>841</v>
      </c>
      <c r="AA57" s="631" t="s">
        <v>841</v>
      </c>
      <c r="AB57" s="631" t="s">
        <v>841</v>
      </c>
      <c r="AC57" s="631" t="s">
        <v>841</v>
      </c>
      <c r="AD57" s="631" t="s">
        <v>841</v>
      </c>
      <c r="AE57" s="631" t="s">
        <v>841</v>
      </c>
      <c r="AF57" s="631" t="s">
        <v>841</v>
      </c>
      <c r="AG57" s="631" t="s">
        <v>841</v>
      </c>
      <c r="AH57" s="632" t="s">
        <v>841</v>
      </c>
    </row>
    <row r="58" spans="1:34" ht="22.8" customHeight="1">
      <c r="A58" s="161">
        <v>6</v>
      </c>
      <c r="B58" s="599" t="s">
        <v>697</v>
      </c>
      <c r="C58" s="600" t="s">
        <v>814</v>
      </c>
      <c r="D58" s="584" t="s">
        <v>689</v>
      </c>
      <c r="E58" s="584" t="s">
        <v>689</v>
      </c>
      <c r="F58" s="584" t="s">
        <v>689</v>
      </c>
      <c r="G58" s="584" t="s">
        <v>689</v>
      </c>
      <c r="H58" s="584" t="s">
        <v>689</v>
      </c>
      <c r="I58" s="584" t="s">
        <v>689</v>
      </c>
      <c r="J58" s="584" t="s">
        <v>689</v>
      </c>
      <c r="K58" s="584" t="s">
        <v>689</v>
      </c>
      <c r="L58" s="584" t="s">
        <v>689</v>
      </c>
      <c r="M58" s="584" t="s">
        <v>689</v>
      </c>
      <c r="N58" s="584" t="s">
        <v>689</v>
      </c>
      <c r="O58" s="584" t="s">
        <v>689</v>
      </c>
      <c r="P58" s="584" t="s">
        <v>689</v>
      </c>
      <c r="Q58" s="584" t="s">
        <v>689</v>
      </c>
      <c r="R58" s="584" t="s">
        <v>689</v>
      </c>
      <c r="S58" s="584" t="s">
        <v>689</v>
      </c>
      <c r="T58" s="584" t="s">
        <v>689</v>
      </c>
      <c r="U58" s="597" t="s">
        <v>663</v>
      </c>
      <c r="V58" s="597" t="s">
        <v>663</v>
      </c>
      <c r="W58" s="597" t="s">
        <v>663</v>
      </c>
      <c r="X58" s="597" t="s">
        <v>663</v>
      </c>
      <c r="Y58" s="597" t="s">
        <v>663</v>
      </c>
      <c r="Z58" s="597" t="s">
        <v>663</v>
      </c>
      <c r="AA58" s="597" t="s">
        <v>663</v>
      </c>
      <c r="AB58" s="597" t="s">
        <v>663</v>
      </c>
      <c r="AC58" s="597" t="s">
        <v>663</v>
      </c>
      <c r="AD58" s="597" t="s">
        <v>663</v>
      </c>
      <c r="AE58" s="597" t="s">
        <v>663</v>
      </c>
      <c r="AF58" s="597" t="s">
        <v>663</v>
      </c>
      <c r="AG58" s="597" t="s">
        <v>663</v>
      </c>
      <c r="AH58" s="586" t="s">
        <v>663</v>
      </c>
    </row>
    <row r="59" spans="1:34" ht="22.8" customHeight="1" thickBot="1">
      <c r="A59" s="149">
        <v>7</v>
      </c>
      <c r="B59" s="598" t="s">
        <v>782</v>
      </c>
      <c r="C59" s="601" t="s">
        <v>781</v>
      </c>
      <c r="D59" s="585" t="s">
        <v>704</v>
      </c>
      <c r="E59" s="585" t="s">
        <v>704</v>
      </c>
      <c r="F59" s="585" t="s">
        <v>704</v>
      </c>
      <c r="G59" s="585" t="s">
        <v>704</v>
      </c>
      <c r="H59" s="585" t="s">
        <v>704</v>
      </c>
      <c r="I59" s="585" t="s">
        <v>704</v>
      </c>
      <c r="J59" s="585" t="s">
        <v>704</v>
      </c>
      <c r="K59" s="585" t="s">
        <v>704</v>
      </c>
      <c r="L59" s="583" t="s">
        <v>844</v>
      </c>
      <c r="M59" s="633" t="s">
        <v>816</v>
      </c>
      <c r="N59" s="633" t="s">
        <v>816</v>
      </c>
      <c r="O59" s="633" t="s">
        <v>816</v>
      </c>
      <c r="P59" s="593" t="s">
        <v>845</v>
      </c>
      <c r="Q59" s="593" t="s">
        <v>845</v>
      </c>
      <c r="R59" s="593" t="s">
        <v>845</v>
      </c>
      <c r="S59" s="557" t="s">
        <v>846</v>
      </c>
      <c r="T59" s="557" t="s">
        <v>846</v>
      </c>
      <c r="U59" s="593" t="s">
        <v>845</v>
      </c>
      <c r="V59" s="593" t="s">
        <v>845</v>
      </c>
      <c r="W59" s="633" t="s">
        <v>816</v>
      </c>
      <c r="X59" s="557" t="s">
        <v>846</v>
      </c>
      <c r="Y59" s="557" t="s">
        <v>846</v>
      </c>
      <c r="Z59" s="633" t="s">
        <v>816</v>
      </c>
      <c r="AA59" s="633" t="s">
        <v>816</v>
      </c>
      <c r="AB59" s="557" t="s">
        <v>846</v>
      </c>
      <c r="AC59" s="557" t="s">
        <v>846</v>
      </c>
      <c r="AD59" s="633" t="s">
        <v>816</v>
      </c>
      <c r="AE59" s="633" t="s">
        <v>816</v>
      </c>
      <c r="AF59" s="633" t="s">
        <v>816</v>
      </c>
      <c r="AG59" s="633" t="s">
        <v>816</v>
      </c>
      <c r="AH59" s="634" t="s">
        <v>816</v>
      </c>
    </row>
  </sheetData>
  <mergeCells count="8">
    <mergeCell ref="A1:AH1"/>
    <mergeCell ref="A2:AH2"/>
    <mergeCell ref="A51:AH51"/>
    <mergeCell ref="A20:AH20"/>
    <mergeCell ref="A21:AH21"/>
    <mergeCell ref="A36:AH36"/>
    <mergeCell ref="A37:AH37"/>
    <mergeCell ref="A50:AH5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H6"/>
  <sheetViews>
    <sheetView zoomScale="80" zoomScaleNormal="80" workbookViewId="0">
      <selection activeCell="B13" sqref="B13"/>
    </sheetView>
  </sheetViews>
  <sheetFormatPr defaultColWidth="9.21875" defaultRowHeight="15.6"/>
  <cols>
    <col min="1" max="1" width="6.21875" style="45" customWidth="1"/>
    <col min="2" max="5" width="21" style="432" customWidth="1"/>
    <col min="6" max="7" width="21" style="45" customWidth="1"/>
    <col min="8" max="8" width="32.77734375" style="45" customWidth="1"/>
    <col min="9" max="9" width="7.21875" style="45" customWidth="1"/>
    <col min="10" max="10" width="15.77734375" style="45" customWidth="1"/>
    <col min="11" max="11" width="12.109375" style="45" customWidth="1"/>
    <col min="12" max="12" width="15.33203125" style="45" customWidth="1"/>
    <col min="13" max="13" width="14.33203125" style="45" customWidth="1"/>
    <col min="14" max="14" width="17.88671875" style="45" customWidth="1"/>
    <col min="15" max="15" width="17.77734375" style="45" customWidth="1"/>
    <col min="16" max="16" width="15.21875" style="45" customWidth="1"/>
    <col min="17" max="16384" width="9.21875" style="45"/>
  </cols>
  <sheetData>
    <row r="1" spans="1:8" ht="24.75" customHeight="1">
      <c r="A1" s="962" t="s">
        <v>634</v>
      </c>
      <c r="B1" s="963"/>
      <c r="C1" s="963"/>
      <c r="D1" s="963"/>
      <c r="E1" s="963"/>
      <c r="F1" s="963"/>
      <c r="G1" s="963"/>
      <c r="H1" s="963"/>
    </row>
    <row r="2" spans="1:8" s="426" customFormat="1" ht="54" customHeight="1">
      <c r="A2" s="423" t="s">
        <v>437</v>
      </c>
      <c r="B2" s="424" t="s">
        <v>632</v>
      </c>
      <c r="C2" s="423" t="s">
        <v>14</v>
      </c>
      <c r="D2" s="423" t="s">
        <v>638</v>
      </c>
      <c r="E2" s="423" t="s">
        <v>100</v>
      </c>
      <c r="F2" s="425" t="s">
        <v>633</v>
      </c>
      <c r="G2" s="425" t="s">
        <v>635</v>
      </c>
      <c r="H2" s="425" t="s">
        <v>636</v>
      </c>
    </row>
    <row r="3" spans="1:8" ht="18" customHeight="1">
      <c r="A3" s="427"/>
      <c r="B3" s="427"/>
      <c r="C3" s="427"/>
      <c r="D3" s="427"/>
      <c r="E3" s="427"/>
      <c r="F3" s="427"/>
      <c r="G3" s="427"/>
      <c r="H3" s="427"/>
    </row>
    <row r="4" spans="1:8" ht="19.95" customHeight="1">
      <c r="A4" s="43">
        <v>1</v>
      </c>
      <c r="B4" s="430" t="s">
        <v>22</v>
      </c>
      <c r="C4" s="430" t="s">
        <v>554</v>
      </c>
      <c r="D4" s="430" t="s">
        <v>640</v>
      </c>
      <c r="E4" s="428" t="s">
        <v>639</v>
      </c>
      <c r="F4" s="433" t="s">
        <v>61</v>
      </c>
      <c r="G4" s="433" t="s">
        <v>61</v>
      </c>
      <c r="H4" s="434" t="s">
        <v>637</v>
      </c>
    </row>
    <row r="5" spans="1:8">
      <c r="A5" s="43"/>
      <c r="B5" s="431" t="s">
        <v>618</v>
      </c>
      <c r="C5" s="431" t="s">
        <v>618</v>
      </c>
      <c r="D5" s="428" t="s">
        <v>642</v>
      </c>
      <c r="E5" s="428" t="s">
        <v>641</v>
      </c>
      <c r="F5" s="282"/>
      <c r="G5" s="282"/>
      <c r="H5" s="282"/>
    </row>
    <row r="6" spans="1:8">
      <c r="A6" s="43"/>
      <c r="B6" s="429"/>
      <c r="C6" s="429"/>
      <c r="D6" s="429"/>
      <c r="E6" s="429"/>
      <c r="F6" s="282"/>
      <c r="G6" s="282"/>
      <c r="H6" s="282"/>
    </row>
  </sheetData>
  <autoFilter ref="A3:AD5"/>
  <mergeCells count="1">
    <mergeCell ref="A1:H1"/>
  </mergeCells>
  <conditionalFormatting sqref="H1:H1048576">
    <cfRule type="containsText" dxfId="36" priority="41" operator="containsText" text="Pending">
      <formula>NOT(ISERROR(SEARCH("Pending",H1)))</formula>
    </cfRule>
  </conditionalFormatting>
  <conditionalFormatting sqref="F5:F6 H4:H6">
    <cfRule type="containsText" dxfId="35" priority="55" operator="containsText" text="WIP">
      <formula>NOT(ISERROR(SEARCH("WIP",F4)))</formula>
    </cfRule>
    <cfRule type="containsText" dxfId="34" priority="56" operator="containsText" text="ROW">
      <formula>NOT(ISERROR(SEARCH("ROW",F4)))</formula>
    </cfRule>
    <cfRule type="containsText" dxfId="33" priority="57" operator="containsText" text="Pending">
      <formula>NOT(ISERROR(SEARCH("Pending",F4)))</formula>
    </cfRule>
    <cfRule type="containsText" dxfId="32" priority="58" operator="containsText" text="Completed">
      <formula>NOT(ISERROR(SEARCH("Completed",F4)))</formula>
    </cfRule>
  </conditionalFormatting>
  <pageMargins left="0.7" right="0.7" top="0.75" bottom="0.75" header="0.3" footer="0.3"/>
  <pageSetup paperSize="9" scale="7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3:G21"/>
  <sheetViews>
    <sheetView workbookViewId="0">
      <selection activeCell="E18" sqref="E18"/>
    </sheetView>
  </sheetViews>
  <sheetFormatPr defaultRowHeight="14.4"/>
  <cols>
    <col min="3" max="3" width="14.109375" customWidth="1"/>
    <col min="4" max="5" width="17.77734375" customWidth="1"/>
    <col min="6" max="6" width="15.109375" customWidth="1"/>
    <col min="7" max="7" width="21.5546875" customWidth="1"/>
  </cols>
  <sheetData>
    <row r="3" spans="1:7" ht="19.8" customHeight="1">
      <c r="A3" s="962" t="s">
        <v>634</v>
      </c>
      <c r="B3" s="963"/>
      <c r="C3" s="963"/>
      <c r="D3" s="963"/>
      <c r="E3" s="963"/>
      <c r="F3" s="963"/>
      <c r="G3" s="963"/>
    </row>
    <row r="4" spans="1:7" ht="15.6">
      <c r="A4" s="423" t="s">
        <v>437</v>
      </c>
      <c r="B4" s="424" t="s">
        <v>632</v>
      </c>
      <c r="C4" s="423" t="s">
        <v>14</v>
      </c>
      <c r="D4" s="425" t="s">
        <v>633</v>
      </c>
      <c r="E4" s="425" t="s">
        <v>692</v>
      </c>
      <c r="F4" s="425" t="s">
        <v>635</v>
      </c>
      <c r="G4" s="425" t="s">
        <v>636</v>
      </c>
    </row>
    <row r="5" spans="1:7">
      <c r="A5" s="427"/>
      <c r="B5" s="427"/>
      <c r="C5" s="427"/>
      <c r="D5" s="427"/>
      <c r="E5" s="427"/>
      <c r="F5" s="427"/>
      <c r="G5" s="427"/>
    </row>
    <row r="6" spans="1:7">
      <c r="A6" s="493">
        <v>1</v>
      </c>
      <c r="B6" s="430" t="s">
        <v>22</v>
      </c>
      <c r="C6" s="430" t="s">
        <v>554</v>
      </c>
      <c r="D6" s="283" t="s">
        <v>694</v>
      </c>
      <c r="E6" s="283" t="s">
        <v>694</v>
      </c>
      <c r="F6" s="433" t="s">
        <v>61</v>
      </c>
      <c r="G6" s="434" t="s">
        <v>637</v>
      </c>
    </row>
    <row r="7" spans="1:7" ht="15.6">
      <c r="A7" s="569">
        <f>A6+1</f>
        <v>2</v>
      </c>
      <c r="B7" s="429" t="s">
        <v>152</v>
      </c>
      <c r="C7" s="429" t="s">
        <v>457</v>
      </c>
      <c r="D7" s="283" t="s">
        <v>693</v>
      </c>
      <c r="E7" s="283" t="s">
        <v>694</v>
      </c>
      <c r="F7" s="433" t="s">
        <v>61</v>
      </c>
      <c r="G7" s="434" t="s">
        <v>637</v>
      </c>
    </row>
    <row r="8" spans="1:7" ht="15.6">
      <c r="A8" s="595">
        <f t="shared" ref="A8:A21" si="0">A7+1</f>
        <v>3</v>
      </c>
      <c r="B8" s="429" t="s">
        <v>6</v>
      </c>
      <c r="C8" s="429" t="s">
        <v>457</v>
      </c>
      <c r="D8" s="283" t="s">
        <v>693</v>
      </c>
      <c r="E8" s="283" t="s">
        <v>694</v>
      </c>
      <c r="F8" s="433" t="s">
        <v>61</v>
      </c>
      <c r="G8" s="434" t="s">
        <v>637</v>
      </c>
    </row>
    <row r="9" spans="1:7" ht="15.6">
      <c r="A9" s="711">
        <f t="shared" si="0"/>
        <v>4</v>
      </c>
      <c r="B9" s="428" t="s">
        <v>41</v>
      </c>
      <c r="C9" s="428" t="s">
        <v>468</v>
      </c>
      <c r="D9" s="283" t="s">
        <v>693</v>
      </c>
      <c r="E9" s="283" t="s">
        <v>694</v>
      </c>
      <c r="F9" s="433" t="s">
        <v>61</v>
      </c>
      <c r="G9" s="434" t="s">
        <v>637</v>
      </c>
    </row>
    <row r="10" spans="1:7" ht="15.6">
      <c r="A10" s="711">
        <f t="shared" si="0"/>
        <v>5</v>
      </c>
      <c r="B10" s="428" t="s">
        <v>42</v>
      </c>
      <c r="C10" s="428" t="s">
        <v>469</v>
      </c>
      <c r="D10" s="283" t="s">
        <v>693</v>
      </c>
      <c r="E10" s="283" t="s">
        <v>694</v>
      </c>
      <c r="F10" s="433" t="s">
        <v>61</v>
      </c>
      <c r="G10" s="434" t="s">
        <v>637</v>
      </c>
    </row>
    <row r="11" spans="1:7" ht="15.6">
      <c r="A11" s="711">
        <f t="shared" si="0"/>
        <v>6</v>
      </c>
      <c r="B11" s="428" t="s">
        <v>43</v>
      </c>
      <c r="C11" s="428" t="s">
        <v>470</v>
      </c>
      <c r="D11" s="283" t="s">
        <v>693</v>
      </c>
      <c r="E11" s="283" t="s">
        <v>694</v>
      </c>
      <c r="F11" s="433" t="s">
        <v>61</v>
      </c>
      <c r="G11" s="434" t="s">
        <v>637</v>
      </c>
    </row>
    <row r="12" spans="1:7" ht="15.6">
      <c r="A12" s="711">
        <f t="shared" si="0"/>
        <v>7</v>
      </c>
      <c r="B12" s="429" t="s">
        <v>174</v>
      </c>
      <c r="C12" s="429" t="s">
        <v>457</v>
      </c>
      <c r="D12" s="283" t="s">
        <v>693</v>
      </c>
      <c r="E12" s="283" t="s">
        <v>694</v>
      </c>
      <c r="F12" s="433" t="s">
        <v>61</v>
      </c>
      <c r="G12" s="434" t="s">
        <v>637</v>
      </c>
    </row>
    <row r="13" spans="1:7" ht="15.6">
      <c r="A13" s="711">
        <f t="shared" si="0"/>
        <v>8</v>
      </c>
      <c r="B13" s="429" t="s">
        <v>181</v>
      </c>
      <c r="C13" s="429" t="s">
        <v>455</v>
      </c>
      <c r="D13" s="283" t="s">
        <v>693</v>
      </c>
      <c r="E13" s="283" t="s">
        <v>694</v>
      </c>
      <c r="F13" s="433" t="s">
        <v>61</v>
      </c>
      <c r="G13" s="434" t="s">
        <v>637</v>
      </c>
    </row>
    <row r="14" spans="1:7" ht="15.6">
      <c r="A14" s="711">
        <f t="shared" si="0"/>
        <v>9</v>
      </c>
      <c r="B14" s="429" t="s">
        <v>182</v>
      </c>
      <c r="C14" s="429" t="s">
        <v>457</v>
      </c>
      <c r="D14" s="283" t="s">
        <v>693</v>
      </c>
      <c r="E14" s="283" t="s">
        <v>56</v>
      </c>
      <c r="F14" s="468" t="s">
        <v>56</v>
      </c>
      <c r="G14" s="468" t="s">
        <v>56</v>
      </c>
    </row>
    <row r="15" spans="1:7" ht="15.6">
      <c r="A15" s="711">
        <f t="shared" si="0"/>
        <v>10</v>
      </c>
      <c r="B15" s="428" t="s">
        <v>54</v>
      </c>
      <c r="C15" s="428" t="s">
        <v>472</v>
      </c>
      <c r="D15" s="283" t="s">
        <v>693</v>
      </c>
      <c r="E15" s="283" t="s">
        <v>694</v>
      </c>
      <c r="F15" s="433" t="s">
        <v>61</v>
      </c>
      <c r="G15" s="434" t="s">
        <v>637</v>
      </c>
    </row>
    <row r="16" spans="1:7" ht="15.6">
      <c r="A16" s="714">
        <f t="shared" si="0"/>
        <v>11</v>
      </c>
      <c r="B16" s="429" t="s">
        <v>187</v>
      </c>
      <c r="C16" s="429" t="s">
        <v>455</v>
      </c>
      <c r="D16" s="283" t="s">
        <v>693</v>
      </c>
      <c r="E16" s="283" t="s">
        <v>694</v>
      </c>
      <c r="F16" s="433" t="s">
        <v>61</v>
      </c>
      <c r="G16" s="434" t="s">
        <v>637</v>
      </c>
    </row>
    <row r="17" spans="1:7" ht="15.6">
      <c r="A17" s="714">
        <f t="shared" si="0"/>
        <v>12</v>
      </c>
      <c r="B17" s="429" t="s">
        <v>188</v>
      </c>
      <c r="C17" s="429" t="s">
        <v>457</v>
      </c>
      <c r="D17" s="283" t="s">
        <v>693</v>
      </c>
      <c r="E17" s="283" t="s">
        <v>56</v>
      </c>
      <c r="F17" s="468" t="s">
        <v>56</v>
      </c>
      <c r="G17" s="468" t="s">
        <v>56</v>
      </c>
    </row>
    <row r="18" spans="1:7" ht="15.6">
      <c r="A18" s="714">
        <f t="shared" si="0"/>
        <v>13</v>
      </c>
      <c r="B18" s="428" t="s">
        <v>555</v>
      </c>
      <c r="C18" s="428" t="s">
        <v>554</v>
      </c>
      <c r="D18" s="283" t="s">
        <v>693</v>
      </c>
      <c r="E18" s="283" t="s">
        <v>56</v>
      </c>
      <c r="F18" s="468" t="s">
        <v>56</v>
      </c>
      <c r="G18" s="468" t="s">
        <v>56</v>
      </c>
    </row>
    <row r="19" spans="1:7" ht="15.6">
      <c r="A19" s="714">
        <f t="shared" si="0"/>
        <v>14</v>
      </c>
      <c r="B19" s="429" t="s">
        <v>556</v>
      </c>
      <c r="C19" s="429" t="s">
        <v>457</v>
      </c>
      <c r="D19" s="283" t="s">
        <v>693</v>
      </c>
      <c r="E19" s="283" t="s">
        <v>56</v>
      </c>
      <c r="F19" s="433" t="s">
        <v>61</v>
      </c>
      <c r="G19" s="681" t="s">
        <v>61</v>
      </c>
    </row>
    <row r="20" spans="1:7" ht="15.6">
      <c r="A20" s="714">
        <f t="shared" si="0"/>
        <v>15</v>
      </c>
      <c r="B20" s="429" t="s">
        <v>560</v>
      </c>
      <c r="C20" s="429" t="s">
        <v>455</v>
      </c>
      <c r="D20" s="283" t="s">
        <v>693</v>
      </c>
      <c r="E20" s="283" t="s">
        <v>694</v>
      </c>
      <c r="F20" s="433" t="s">
        <v>61</v>
      </c>
      <c r="G20" s="434" t="s">
        <v>637</v>
      </c>
    </row>
    <row r="21" spans="1:7" ht="15.6">
      <c r="A21" s="714">
        <f t="shared" si="0"/>
        <v>16</v>
      </c>
      <c r="B21" s="428" t="s">
        <v>608</v>
      </c>
      <c r="C21" s="428" t="s">
        <v>511</v>
      </c>
      <c r="D21" s="283" t="s">
        <v>694</v>
      </c>
      <c r="E21" s="283" t="s">
        <v>694</v>
      </c>
      <c r="F21" s="433" t="s">
        <v>61</v>
      </c>
      <c r="G21" s="434" t="s">
        <v>637</v>
      </c>
    </row>
  </sheetData>
  <autoFilter ref="A5:G21"/>
  <mergeCells count="1">
    <mergeCell ref="A3:G3"/>
  </mergeCells>
  <conditionalFormatting sqref="D20:E21 D6:E13 D15:E16 D14 D17:D19">
    <cfRule type="containsText" dxfId="31" priority="217" operator="containsText" text="PENDING">
      <formula>NOT(ISERROR(SEARCH("PENDING",D6)))</formula>
    </cfRule>
    <cfRule type="containsText" dxfId="30" priority="218" operator="containsText" text="COMPLETED">
      <formula>NOT(ISERROR(SEARCH("COMPLETED",D6)))</formula>
    </cfRule>
    <cfRule type="cellIs" dxfId="29" priority="225" operator="greaterThan">
      <formula>0</formula>
    </cfRule>
  </conditionalFormatting>
  <conditionalFormatting sqref="G4:G5">
    <cfRule type="containsText" dxfId="28" priority="219" operator="containsText" text="Pending">
      <formula>NOT(ISERROR(SEARCH("Pending",G4)))</formula>
    </cfRule>
  </conditionalFormatting>
  <conditionalFormatting sqref="E20:E21 E6:E13 E15:E16">
    <cfRule type="containsText" dxfId="27" priority="216" operator="containsText" text="WIP">
      <formula>NOT(ISERROR(SEARCH("WIP",E6)))</formula>
    </cfRule>
  </conditionalFormatting>
  <conditionalFormatting sqref="G20:G21 G6:G13 G15:G16">
    <cfRule type="containsText" dxfId="26" priority="211" operator="containsText" text="Pending">
      <formula>NOT(ISERROR(SEARCH("Pending",G6)))</formula>
    </cfRule>
  </conditionalFormatting>
  <conditionalFormatting sqref="G20:G21 G6:G13 G15:G16">
    <cfRule type="containsText" dxfId="25" priority="212" operator="containsText" text="WIP">
      <formula>NOT(ISERROR(SEARCH("WIP",G6)))</formula>
    </cfRule>
    <cfRule type="containsText" dxfId="24" priority="213" operator="containsText" text="ROW">
      <formula>NOT(ISERROR(SEARCH("ROW",G6)))</formula>
    </cfRule>
    <cfRule type="containsText" dxfId="23" priority="214" operator="containsText" text="Pending">
      <formula>NOT(ISERROR(SEARCH("Pending",G6)))</formula>
    </cfRule>
    <cfRule type="containsText" dxfId="22" priority="215" operator="containsText" text="Completed">
      <formula>NOT(ISERROR(SEARCH("Completed",G6)))</formula>
    </cfRule>
  </conditionalFormatting>
  <conditionalFormatting sqref="D15">
    <cfRule type="containsText" dxfId="21" priority="47" operator="containsText" text="WIP">
      <formula>NOT(ISERROR(SEARCH("WIP",D15)))</formula>
    </cfRule>
  </conditionalFormatting>
  <conditionalFormatting sqref="D20">
    <cfRule type="containsText" dxfId="20" priority="46" operator="containsText" text="WIP">
      <formula>NOT(ISERROR(SEARCH("WIP",D20)))</formula>
    </cfRule>
  </conditionalFormatting>
  <conditionalFormatting sqref="E19">
    <cfRule type="containsText" dxfId="19" priority="22" operator="containsText" text="PENDING">
      <formula>NOT(ISERROR(SEARCH("PENDING",E19)))</formula>
    </cfRule>
    <cfRule type="containsText" dxfId="18" priority="23" operator="containsText" text="COMPLETED">
      <formula>NOT(ISERROR(SEARCH("COMPLETED",E19)))</formula>
    </cfRule>
    <cfRule type="cellIs" dxfId="17" priority="24" operator="greaterThan">
      <formula>0</formula>
    </cfRule>
  </conditionalFormatting>
  <conditionalFormatting sqref="E19">
    <cfRule type="containsText" dxfId="16" priority="21" operator="containsText" text="WIP">
      <formula>NOT(ISERROR(SEARCH("WIP",E19)))</formula>
    </cfRule>
  </conditionalFormatting>
  <conditionalFormatting sqref="E14">
    <cfRule type="containsText" dxfId="15" priority="10" operator="containsText" text="PENDING">
      <formula>NOT(ISERROR(SEARCH("PENDING",E14)))</formula>
    </cfRule>
    <cfRule type="containsText" dxfId="14" priority="11" operator="containsText" text="COMPLETED">
      <formula>NOT(ISERROR(SEARCH("COMPLETED",E14)))</formula>
    </cfRule>
    <cfRule type="cellIs" dxfId="13" priority="12" operator="greaterThan">
      <formula>0</formula>
    </cfRule>
  </conditionalFormatting>
  <conditionalFormatting sqref="E14">
    <cfRule type="containsText" dxfId="12" priority="9" operator="containsText" text="WIP">
      <formula>NOT(ISERROR(SEARCH("WIP",E14)))</formula>
    </cfRule>
  </conditionalFormatting>
  <conditionalFormatting sqref="E17">
    <cfRule type="containsText" dxfId="11" priority="6" operator="containsText" text="PENDING">
      <formula>NOT(ISERROR(SEARCH("PENDING",E17)))</formula>
    </cfRule>
    <cfRule type="containsText" dxfId="10" priority="7" operator="containsText" text="COMPLETED">
      <formula>NOT(ISERROR(SEARCH("COMPLETED",E17)))</formula>
    </cfRule>
    <cfRule type="cellIs" dxfId="9" priority="8" operator="greaterThan">
      <formula>0</formula>
    </cfRule>
  </conditionalFormatting>
  <conditionalFormatting sqref="E17">
    <cfRule type="containsText" dxfId="8" priority="5" operator="containsText" text="WIP">
      <formula>NOT(ISERROR(SEARCH("WIP",E17)))</formula>
    </cfRule>
  </conditionalFormatting>
  <conditionalFormatting sqref="E18">
    <cfRule type="containsText" dxfId="7" priority="2" operator="containsText" text="PENDING">
      <formula>NOT(ISERROR(SEARCH("PENDING",E18)))</formula>
    </cfRule>
    <cfRule type="containsText" dxfId="6" priority="3" operator="containsText" text="COMPLETED">
      <formula>NOT(ISERROR(SEARCH("COMPLETED",E18)))</formula>
    </cfRule>
    <cfRule type="cellIs" dxfId="5" priority="4" operator="greaterThan">
      <formula>0</formula>
    </cfRule>
  </conditionalFormatting>
  <conditionalFormatting sqref="E18">
    <cfRule type="containsText" dxfId="4" priority="1" operator="containsText" text="WIP">
      <formula>NOT(ISERROR(SEARCH("WIP",E18)))</formula>
    </cfRule>
  </conditionalFormatting>
  <pageMargins left="0.51181102362204722" right="0.51181102362204722" top="0.55118110236220474" bottom="0.55118110236220474" header="0.31496062992125984" footer="0.31496062992125984"/>
  <pageSetup paperSize="9" scale="90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"/>
  <sheetViews>
    <sheetView zoomScale="80" zoomScaleNormal="80" workbookViewId="0">
      <selection activeCell="I20" sqref="I20"/>
    </sheetView>
  </sheetViews>
  <sheetFormatPr defaultRowHeight="18"/>
  <cols>
    <col min="1" max="1" width="7.88671875" style="380" customWidth="1"/>
    <col min="2" max="4" width="10.44140625" style="381" customWidth="1"/>
    <col min="5" max="5" width="12" style="381" customWidth="1"/>
    <col min="6" max="6" width="17.5546875" style="381" customWidth="1"/>
    <col min="7" max="7" width="12.77734375" style="381" customWidth="1"/>
    <col min="8" max="8" width="12.5546875" style="382" customWidth="1"/>
    <col min="9" max="10" width="12.5546875" style="381" customWidth="1"/>
    <col min="11" max="13" width="12.5546875" style="432" customWidth="1"/>
  </cols>
  <sheetData>
    <row r="1" spans="1:15" ht="7.95" customHeight="1" thickBot="1"/>
    <row r="2" spans="1:15" s="32" customFormat="1" ht="15" customHeight="1">
      <c r="A2" s="966" t="s">
        <v>520</v>
      </c>
      <c r="B2" s="967"/>
      <c r="C2" s="967"/>
      <c r="D2" s="967"/>
      <c r="E2" s="967"/>
      <c r="F2" s="967"/>
      <c r="G2" s="967"/>
      <c r="H2" s="967"/>
      <c r="I2" s="967"/>
      <c r="J2" s="967"/>
      <c r="K2" s="967"/>
      <c r="L2" s="967"/>
      <c r="M2" s="968"/>
    </row>
    <row r="3" spans="1:15" ht="15.6">
      <c r="A3" s="973" t="s">
        <v>513</v>
      </c>
      <c r="B3" s="969" t="s">
        <v>514</v>
      </c>
      <c r="C3" s="969"/>
      <c r="D3" s="964" t="s">
        <v>600</v>
      </c>
      <c r="E3" s="964" t="s">
        <v>879</v>
      </c>
      <c r="F3" s="964" t="s">
        <v>880</v>
      </c>
      <c r="G3" s="964" t="s">
        <v>881</v>
      </c>
      <c r="H3" s="964" t="s">
        <v>601</v>
      </c>
      <c r="I3" s="964" t="s">
        <v>602</v>
      </c>
      <c r="J3" s="964" t="s">
        <v>603</v>
      </c>
      <c r="K3" s="969" t="s">
        <v>109</v>
      </c>
      <c r="L3" s="969" t="s">
        <v>501</v>
      </c>
      <c r="M3" s="970" t="s">
        <v>515</v>
      </c>
    </row>
    <row r="4" spans="1:15" ht="26.55" customHeight="1">
      <c r="A4" s="973"/>
      <c r="B4" s="383" t="s">
        <v>516</v>
      </c>
      <c r="C4" s="383" t="s">
        <v>517</v>
      </c>
      <c r="D4" s="965"/>
      <c r="E4" s="965"/>
      <c r="F4" s="965"/>
      <c r="G4" s="965"/>
      <c r="H4" s="965"/>
      <c r="I4" s="965"/>
      <c r="J4" s="965"/>
      <c r="K4" s="969"/>
      <c r="L4" s="969"/>
      <c r="M4" s="970"/>
    </row>
    <row r="5" spans="1:15" ht="18" customHeight="1">
      <c r="A5" s="384">
        <v>1</v>
      </c>
      <c r="B5" s="385" t="s">
        <v>23</v>
      </c>
      <c r="C5" s="385" t="s">
        <v>24</v>
      </c>
      <c r="D5" s="386">
        <v>249.63499999999999</v>
      </c>
      <c r="E5" s="745" t="s">
        <v>882</v>
      </c>
      <c r="F5" s="745" t="s">
        <v>882</v>
      </c>
      <c r="G5" s="386" t="s">
        <v>889</v>
      </c>
      <c r="H5" s="387">
        <v>0</v>
      </c>
      <c r="I5" s="388"/>
      <c r="J5" s="389">
        <f>D5</f>
        <v>249.63499999999999</v>
      </c>
      <c r="K5" s="470">
        <v>1</v>
      </c>
      <c r="L5" s="470">
        <v>1</v>
      </c>
      <c r="M5" s="471">
        <v>0</v>
      </c>
    </row>
    <row r="6" spans="1:15" ht="18" customHeight="1">
      <c r="A6" s="384">
        <f>A5+1</f>
        <v>2</v>
      </c>
      <c r="B6" s="385" t="str">
        <f>C5</f>
        <v>AP33</v>
      </c>
      <c r="C6" s="385" t="s">
        <v>121</v>
      </c>
      <c r="D6" s="386">
        <v>2015</v>
      </c>
      <c r="E6" s="745" t="s">
        <v>882</v>
      </c>
      <c r="F6" s="745" t="s">
        <v>882</v>
      </c>
      <c r="G6" s="386" t="s">
        <v>889</v>
      </c>
      <c r="H6" s="387">
        <v>4</v>
      </c>
      <c r="I6" s="389">
        <f>D6</f>
        <v>2015</v>
      </c>
      <c r="J6" s="388"/>
      <c r="K6" s="470">
        <v>1</v>
      </c>
      <c r="L6" s="470">
        <v>1</v>
      </c>
      <c r="M6" s="471">
        <v>1</v>
      </c>
    </row>
    <row r="7" spans="1:15" ht="18" customHeight="1">
      <c r="A7" s="384">
        <f t="shared" ref="A7:A43" si="0">A6+1</f>
        <v>3</v>
      </c>
      <c r="B7" s="385" t="str">
        <f t="shared" ref="B7:B43" si="1">C6</f>
        <v>33/5</v>
      </c>
      <c r="C7" s="385" t="s">
        <v>122</v>
      </c>
      <c r="D7" s="386">
        <v>380</v>
      </c>
      <c r="E7" s="745" t="s">
        <v>882</v>
      </c>
      <c r="F7" s="745" t="s">
        <v>882</v>
      </c>
      <c r="G7" s="386" t="s">
        <v>889</v>
      </c>
      <c r="H7" s="387">
        <v>0</v>
      </c>
      <c r="I7" s="388"/>
      <c r="J7" s="389">
        <f>D7</f>
        <v>380</v>
      </c>
      <c r="K7" s="470">
        <v>0</v>
      </c>
      <c r="L7" s="470">
        <v>0</v>
      </c>
      <c r="M7" s="471">
        <v>0</v>
      </c>
    </row>
    <row r="8" spans="1:15" ht="18" customHeight="1">
      <c r="A8" s="384">
        <f t="shared" si="0"/>
        <v>4</v>
      </c>
      <c r="B8" s="385" t="str">
        <f t="shared" si="1"/>
        <v>33/6</v>
      </c>
      <c r="C8" s="385" t="s">
        <v>489</v>
      </c>
      <c r="D8" s="386">
        <v>2537.42</v>
      </c>
      <c r="E8" s="745" t="s">
        <v>882</v>
      </c>
      <c r="F8" s="745" t="s">
        <v>882</v>
      </c>
      <c r="G8" s="386" t="s">
        <v>889</v>
      </c>
      <c r="H8" s="387">
        <v>6</v>
      </c>
      <c r="I8" s="389">
        <f t="shared" ref="I8:I10" si="2">D8</f>
        <v>2537.42</v>
      </c>
      <c r="J8" s="389"/>
      <c r="K8" s="470">
        <v>2</v>
      </c>
      <c r="L8" s="470">
        <v>6</v>
      </c>
      <c r="M8" s="471">
        <v>2</v>
      </c>
    </row>
    <row r="9" spans="1:15" ht="18" customHeight="1">
      <c r="A9" s="384">
        <f t="shared" si="0"/>
        <v>5</v>
      </c>
      <c r="B9" s="385" t="str">
        <f t="shared" si="1"/>
        <v>34/0</v>
      </c>
      <c r="C9" s="385" t="s">
        <v>26</v>
      </c>
      <c r="D9" s="564">
        <v>1983.46</v>
      </c>
      <c r="E9" s="745" t="s">
        <v>882</v>
      </c>
      <c r="F9" s="745" t="s">
        <v>882</v>
      </c>
      <c r="G9" s="386" t="s">
        <v>889</v>
      </c>
      <c r="H9" s="387">
        <v>4</v>
      </c>
      <c r="I9" s="389">
        <f t="shared" si="2"/>
        <v>1983.46</v>
      </c>
      <c r="J9" s="389"/>
      <c r="K9" s="470">
        <v>5</v>
      </c>
      <c r="L9" s="470">
        <v>3</v>
      </c>
      <c r="M9" s="471">
        <v>0</v>
      </c>
      <c r="O9" s="461"/>
    </row>
    <row r="10" spans="1:15" ht="18" customHeight="1">
      <c r="A10" s="384">
        <f t="shared" si="0"/>
        <v>6</v>
      </c>
      <c r="B10" s="385" t="str">
        <f t="shared" si="1"/>
        <v>AP35</v>
      </c>
      <c r="C10" s="385" t="s">
        <v>27</v>
      </c>
      <c r="D10" s="564">
        <v>4480.0200000000004</v>
      </c>
      <c r="E10" s="745" t="s">
        <v>882</v>
      </c>
      <c r="F10" s="745" t="s">
        <v>882</v>
      </c>
      <c r="G10" s="386" t="s">
        <v>889</v>
      </c>
      <c r="H10" s="387">
        <v>11</v>
      </c>
      <c r="I10" s="389">
        <f t="shared" si="2"/>
        <v>4480.0200000000004</v>
      </c>
      <c r="J10" s="389"/>
      <c r="K10" s="470">
        <v>8</v>
      </c>
      <c r="L10" s="470">
        <v>3</v>
      </c>
      <c r="M10" s="471">
        <v>0</v>
      </c>
      <c r="O10" s="461"/>
    </row>
    <row r="11" spans="1:15" ht="18" customHeight="1">
      <c r="A11" s="384">
        <f t="shared" si="0"/>
        <v>7</v>
      </c>
      <c r="B11" s="385" t="str">
        <f t="shared" si="1"/>
        <v>AP36</v>
      </c>
      <c r="C11" s="385" t="s">
        <v>19</v>
      </c>
      <c r="D11" s="564">
        <v>480</v>
      </c>
      <c r="E11" s="745" t="s">
        <v>882</v>
      </c>
      <c r="F11" s="745" t="s">
        <v>882</v>
      </c>
      <c r="G11" s="386" t="s">
        <v>889</v>
      </c>
      <c r="H11" s="387">
        <v>0</v>
      </c>
      <c r="I11" s="389"/>
      <c r="J11" s="389">
        <f t="shared" ref="J11:J12" si="3">D11</f>
        <v>480</v>
      </c>
      <c r="K11" s="470">
        <v>0</v>
      </c>
      <c r="L11" s="470">
        <v>0</v>
      </c>
      <c r="M11" s="471">
        <v>0</v>
      </c>
      <c r="O11" s="461"/>
    </row>
    <row r="12" spans="1:15" ht="18" customHeight="1">
      <c r="A12" s="384">
        <f t="shared" si="0"/>
        <v>8</v>
      </c>
      <c r="B12" s="385" t="str">
        <f t="shared" si="1"/>
        <v>36/1</v>
      </c>
      <c r="C12" s="385" t="s">
        <v>518</v>
      </c>
      <c r="D12" s="386">
        <v>297.32</v>
      </c>
      <c r="E12" s="745" t="s">
        <v>882</v>
      </c>
      <c r="F12" s="745" t="s">
        <v>882</v>
      </c>
      <c r="G12" s="386" t="s">
        <v>889</v>
      </c>
      <c r="H12" s="387">
        <v>0</v>
      </c>
      <c r="I12" s="389"/>
      <c r="J12" s="389">
        <f t="shared" si="3"/>
        <v>297.32</v>
      </c>
      <c r="K12" s="470">
        <v>0</v>
      </c>
      <c r="L12" s="470">
        <v>0</v>
      </c>
      <c r="M12" s="471">
        <v>0</v>
      </c>
      <c r="O12" s="461"/>
    </row>
    <row r="13" spans="1:15" ht="15" customHeight="1">
      <c r="A13" s="384">
        <f t="shared" si="0"/>
        <v>9</v>
      </c>
      <c r="B13" s="385" t="str">
        <f t="shared" si="1"/>
        <v>37/0</v>
      </c>
      <c r="C13" s="385" t="s">
        <v>22</v>
      </c>
      <c r="D13" s="386">
        <v>1258.78</v>
      </c>
      <c r="E13" s="745" t="s">
        <v>883</v>
      </c>
      <c r="F13" s="745" t="s">
        <v>883</v>
      </c>
      <c r="G13" s="386" t="s">
        <v>890</v>
      </c>
      <c r="H13" s="387">
        <v>2</v>
      </c>
      <c r="I13" s="389">
        <f t="shared" ref="I13:I14" si="4">D13</f>
        <v>1258.78</v>
      </c>
      <c r="J13" s="389"/>
      <c r="K13" s="470">
        <v>2</v>
      </c>
      <c r="L13" s="470">
        <v>2</v>
      </c>
      <c r="M13" s="471">
        <v>0</v>
      </c>
      <c r="O13" s="461"/>
    </row>
    <row r="14" spans="1:15" ht="15" customHeight="1">
      <c r="A14" s="384">
        <f t="shared" si="0"/>
        <v>10</v>
      </c>
      <c r="B14" s="385" t="str">
        <f t="shared" si="1"/>
        <v>AP38</v>
      </c>
      <c r="C14" s="385" t="s">
        <v>29</v>
      </c>
      <c r="D14" s="386">
        <v>1284.8800000000001</v>
      </c>
      <c r="E14" s="745" t="s">
        <v>883</v>
      </c>
      <c r="F14" s="745" t="s">
        <v>883</v>
      </c>
      <c r="G14" s="386" t="s">
        <v>890</v>
      </c>
      <c r="H14" s="387">
        <v>2</v>
      </c>
      <c r="I14" s="389">
        <f t="shared" si="4"/>
        <v>1284.8800000000001</v>
      </c>
      <c r="J14" s="389"/>
      <c r="K14" s="470">
        <v>4</v>
      </c>
      <c r="L14" s="470">
        <v>2</v>
      </c>
      <c r="M14" s="471">
        <v>0</v>
      </c>
    </row>
    <row r="15" spans="1:15" ht="15" customHeight="1">
      <c r="A15" s="384">
        <f t="shared" si="0"/>
        <v>11</v>
      </c>
      <c r="B15" s="385" t="str">
        <f t="shared" si="1"/>
        <v>AP39</v>
      </c>
      <c r="C15" s="385" t="s">
        <v>30</v>
      </c>
      <c r="D15" s="386">
        <v>248.04</v>
      </c>
      <c r="E15" s="745" t="s">
        <v>882</v>
      </c>
      <c r="F15" s="745" t="s">
        <v>882</v>
      </c>
      <c r="G15" s="386" t="s">
        <v>889</v>
      </c>
      <c r="H15" s="387">
        <v>0</v>
      </c>
      <c r="I15" s="389"/>
      <c r="J15" s="389">
        <f>D15</f>
        <v>248.04</v>
      </c>
      <c r="K15" s="470">
        <v>1</v>
      </c>
      <c r="L15" s="470">
        <v>0</v>
      </c>
      <c r="M15" s="471">
        <v>0</v>
      </c>
    </row>
    <row r="16" spans="1:15" ht="15" customHeight="1">
      <c r="A16" s="384">
        <f t="shared" si="0"/>
        <v>12</v>
      </c>
      <c r="B16" s="385" t="str">
        <f t="shared" si="1"/>
        <v>AP40</v>
      </c>
      <c r="C16" s="385" t="s">
        <v>31</v>
      </c>
      <c r="D16" s="564">
        <v>2426.4499999999998</v>
      </c>
      <c r="E16" s="745" t="s">
        <v>882</v>
      </c>
      <c r="F16" s="745" t="s">
        <v>882</v>
      </c>
      <c r="G16" s="386" t="s">
        <v>889</v>
      </c>
      <c r="H16" s="387">
        <v>5</v>
      </c>
      <c r="I16" s="389">
        <f t="shared" ref="I16:I20" si="5">D16</f>
        <v>2426.4499999999998</v>
      </c>
      <c r="J16" s="389"/>
      <c r="K16" s="470">
        <v>2</v>
      </c>
      <c r="L16" s="470">
        <v>2</v>
      </c>
      <c r="M16" s="471">
        <v>0</v>
      </c>
    </row>
    <row r="17" spans="1:13" ht="15" customHeight="1">
      <c r="A17" s="384">
        <f t="shared" si="0"/>
        <v>13</v>
      </c>
      <c r="B17" s="385" t="str">
        <f t="shared" si="1"/>
        <v>AP41</v>
      </c>
      <c r="C17" s="385" t="s">
        <v>32</v>
      </c>
      <c r="D17" s="564">
        <v>2473.21</v>
      </c>
      <c r="E17" s="745" t="s">
        <v>882</v>
      </c>
      <c r="F17" s="745" t="s">
        <v>882</v>
      </c>
      <c r="G17" s="386" t="s">
        <v>889</v>
      </c>
      <c r="H17" s="387">
        <v>5</v>
      </c>
      <c r="I17" s="389">
        <f t="shared" si="5"/>
        <v>2473.21</v>
      </c>
      <c r="J17" s="389"/>
      <c r="K17" s="470">
        <v>2</v>
      </c>
      <c r="L17" s="470">
        <v>1</v>
      </c>
      <c r="M17" s="471">
        <v>0</v>
      </c>
    </row>
    <row r="18" spans="1:13" ht="15" customHeight="1">
      <c r="A18" s="384">
        <f t="shared" si="0"/>
        <v>14</v>
      </c>
      <c r="B18" s="385" t="str">
        <f t="shared" si="1"/>
        <v>AP42</v>
      </c>
      <c r="C18" s="385" t="s">
        <v>33</v>
      </c>
      <c r="D18" s="564">
        <v>1105.78</v>
      </c>
      <c r="E18" s="745" t="s">
        <v>882</v>
      </c>
      <c r="F18" s="745" t="s">
        <v>882</v>
      </c>
      <c r="G18" s="386" t="s">
        <v>889</v>
      </c>
      <c r="H18" s="387">
        <v>2</v>
      </c>
      <c r="I18" s="389">
        <f t="shared" si="5"/>
        <v>1105.78</v>
      </c>
      <c r="J18" s="389"/>
      <c r="K18" s="470">
        <v>2</v>
      </c>
      <c r="L18" s="470">
        <v>3</v>
      </c>
      <c r="M18" s="471">
        <v>0</v>
      </c>
    </row>
    <row r="19" spans="1:13" ht="15" customHeight="1">
      <c r="A19" s="384">
        <f t="shared" si="0"/>
        <v>15</v>
      </c>
      <c r="B19" s="385" t="str">
        <f t="shared" si="1"/>
        <v>AP43</v>
      </c>
      <c r="C19" s="385" t="s">
        <v>34</v>
      </c>
      <c r="D19" s="386">
        <v>1444.8</v>
      </c>
      <c r="E19" s="745" t="s">
        <v>882</v>
      </c>
      <c r="F19" s="746" t="s">
        <v>152</v>
      </c>
      <c r="G19" s="386" t="s">
        <v>890</v>
      </c>
      <c r="H19" s="387">
        <v>3</v>
      </c>
      <c r="I19" s="389">
        <f t="shared" si="5"/>
        <v>1444.8</v>
      </c>
      <c r="J19" s="389"/>
      <c r="K19" s="470">
        <v>4</v>
      </c>
      <c r="L19" s="470">
        <v>1</v>
      </c>
      <c r="M19" s="471">
        <v>0</v>
      </c>
    </row>
    <row r="20" spans="1:13" ht="15" customHeight="1">
      <c r="A20" s="384">
        <f t="shared" si="0"/>
        <v>16</v>
      </c>
      <c r="B20" s="385" t="str">
        <f t="shared" si="1"/>
        <v>AP44</v>
      </c>
      <c r="C20" s="385" t="s">
        <v>35</v>
      </c>
      <c r="D20" s="386">
        <v>697.56</v>
      </c>
      <c r="E20" s="745" t="s">
        <v>882</v>
      </c>
      <c r="F20" s="745" t="s">
        <v>882</v>
      </c>
      <c r="G20" s="386" t="s">
        <v>889</v>
      </c>
      <c r="H20" s="387">
        <v>1</v>
      </c>
      <c r="I20" s="389">
        <f t="shared" si="5"/>
        <v>697.56</v>
      </c>
      <c r="J20" s="389"/>
      <c r="K20" s="470">
        <v>2</v>
      </c>
      <c r="L20" s="470">
        <v>2</v>
      </c>
      <c r="M20" s="471">
        <v>0</v>
      </c>
    </row>
    <row r="21" spans="1:13" ht="15" customHeight="1">
      <c r="A21" s="384">
        <f t="shared" si="0"/>
        <v>17</v>
      </c>
      <c r="B21" s="385" t="str">
        <f t="shared" si="1"/>
        <v>AP45</v>
      </c>
      <c r="C21" s="385" t="s">
        <v>4</v>
      </c>
      <c r="D21" s="386">
        <v>242</v>
      </c>
      <c r="E21" s="745" t="s">
        <v>882</v>
      </c>
      <c r="F21" s="745" t="s">
        <v>882</v>
      </c>
      <c r="G21" s="386" t="s">
        <v>889</v>
      </c>
      <c r="H21" s="387">
        <v>0</v>
      </c>
      <c r="I21" s="389"/>
      <c r="J21" s="389">
        <f>D21</f>
        <v>242</v>
      </c>
      <c r="K21" s="470">
        <v>0</v>
      </c>
      <c r="L21" s="470">
        <v>0</v>
      </c>
      <c r="M21" s="471">
        <v>0</v>
      </c>
    </row>
    <row r="22" spans="1:13" ht="15" customHeight="1">
      <c r="A22" s="384">
        <f t="shared" si="0"/>
        <v>18</v>
      </c>
      <c r="B22" s="385" t="str">
        <f t="shared" si="1"/>
        <v>45/1</v>
      </c>
      <c r="C22" s="385" t="s">
        <v>36</v>
      </c>
      <c r="D22" s="386">
        <v>1272.52</v>
      </c>
      <c r="E22" s="745" t="s">
        <v>882</v>
      </c>
      <c r="F22" s="745" t="s">
        <v>882</v>
      </c>
      <c r="G22" s="386" t="s">
        <v>889</v>
      </c>
      <c r="H22" s="387">
        <v>2</v>
      </c>
      <c r="I22" s="389">
        <f t="shared" ref="I22:I27" si="6">D22</f>
        <v>1272.52</v>
      </c>
      <c r="J22" s="389"/>
      <c r="K22" s="470">
        <v>5</v>
      </c>
      <c r="L22" s="470">
        <v>2</v>
      </c>
      <c r="M22" s="471">
        <v>0</v>
      </c>
    </row>
    <row r="23" spans="1:13" ht="15" customHeight="1">
      <c r="A23" s="384">
        <f t="shared" si="0"/>
        <v>19</v>
      </c>
      <c r="B23" s="385" t="str">
        <f t="shared" si="1"/>
        <v>AP46</v>
      </c>
      <c r="C23" s="385" t="s">
        <v>159</v>
      </c>
      <c r="D23" s="386">
        <v>2745</v>
      </c>
      <c r="E23" s="745" t="s">
        <v>882</v>
      </c>
      <c r="F23" s="746" t="s">
        <v>6</v>
      </c>
      <c r="G23" s="386" t="s">
        <v>890</v>
      </c>
      <c r="H23" s="387">
        <v>6</v>
      </c>
      <c r="I23" s="389">
        <f t="shared" si="6"/>
        <v>2745</v>
      </c>
      <c r="J23" s="389"/>
      <c r="K23" s="470">
        <v>5</v>
      </c>
      <c r="L23" s="470">
        <v>6</v>
      </c>
      <c r="M23" s="471">
        <v>1</v>
      </c>
    </row>
    <row r="24" spans="1:13" ht="15" customHeight="1">
      <c r="A24" s="384">
        <f t="shared" si="0"/>
        <v>20</v>
      </c>
      <c r="B24" s="385" t="str">
        <f t="shared" si="1"/>
        <v>46/7</v>
      </c>
      <c r="C24" s="385" t="s">
        <v>604</v>
      </c>
      <c r="D24" s="386">
        <v>3547.25</v>
      </c>
      <c r="E24" s="745" t="s">
        <v>882</v>
      </c>
      <c r="F24" s="745" t="s">
        <v>882</v>
      </c>
      <c r="G24" s="386" t="s">
        <v>889</v>
      </c>
      <c r="H24" s="387">
        <v>8</v>
      </c>
      <c r="I24" s="389">
        <f t="shared" si="6"/>
        <v>3547.25</v>
      </c>
      <c r="J24" s="389"/>
      <c r="K24" s="470">
        <v>8</v>
      </c>
      <c r="L24" s="470">
        <v>4</v>
      </c>
      <c r="M24" s="471">
        <v>1</v>
      </c>
    </row>
    <row r="25" spans="1:13" ht="15" customHeight="1">
      <c r="A25" s="384">
        <f>A23+1</f>
        <v>20</v>
      </c>
      <c r="B25" s="385" t="str">
        <f t="shared" si="1"/>
        <v>AP47/0</v>
      </c>
      <c r="C25" s="385" t="s">
        <v>39</v>
      </c>
      <c r="D25" s="386">
        <v>813.45</v>
      </c>
      <c r="E25" s="745" t="s">
        <v>882</v>
      </c>
      <c r="F25" s="745" t="s">
        <v>882</v>
      </c>
      <c r="G25" s="386" t="s">
        <v>889</v>
      </c>
      <c r="H25" s="387">
        <v>1</v>
      </c>
      <c r="I25" s="389">
        <f t="shared" si="6"/>
        <v>813.45</v>
      </c>
      <c r="J25" s="389"/>
      <c r="K25" s="470">
        <v>3</v>
      </c>
      <c r="L25" s="470">
        <v>1</v>
      </c>
      <c r="M25" s="471">
        <v>1</v>
      </c>
    </row>
    <row r="26" spans="1:13" ht="15" customHeight="1">
      <c r="A26" s="384">
        <f t="shared" si="0"/>
        <v>21</v>
      </c>
      <c r="B26" s="385" t="str">
        <f t="shared" si="1"/>
        <v>AP48</v>
      </c>
      <c r="C26" s="385" t="s">
        <v>605</v>
      </c>
      <c r="D26" s="386">
        <v>1257.06</v>
      </c>
      <c r="E26" s="745" t="s">
        <v>882</v>
      </c>
      <c r="F26" s="745" t="s">
        <v>882</v>
      </c>
      <c r="G26" s="386" t="s">
        <v>889</v>
      </c>
      <c r="H26" s="387">
        <v>2</v>
      </c>
      <c r="I26" s="389">
        <f t="shared" si="6"/>
        <v>1257.06</v>
      </c>
      <c r="J26" s="389"/>
      <c r="K26" s="470">
        <v>5</v>
      </c>
      <c r="L26" s="470">
        <v>4</v>
      </c>
      <c r="M26" s="471">
        <v>1</v>
      </c>
    </row>
    <row r="27" spans="1:13" ht="15" customHeight="1">
      <c r="A27" s="384"/>
      <c r="B27" s="385" t="str">
        <f t="shared" si="1"/>
        <v>48A/0</v>
      </c>
      <c r="C27" s="390" t="s">
        <v>606</v>
      </c>
      <c r="D27" s="386">
        <v>1101.05</v>
      </c>
      <c r="E27" s="745" t="s">
        <v>882</v>
      </c>
      <c r="F27" s="746" t="s">
        <v>606</v>
      </c>
      <c r="G27" s="386" t="s">
        <v>890</v>
      </c>
      <c r="H27" s="387">
        <v>2</v>
      </c>
      <c r="I27" s="389">
        <f t="shared" si="6"/>
        <v>1101.05</v>
      </c>
      <c r="J27" s="389"/>
      <c r="K27" s="470">
        <v>3</v>
      </c>
      <c r="L27" s="470"/>
      <c r="M27" s="471"/>
    </row>
    <row r="28" spans="1:13" ht="15" customHeight="1">
      <c r="A28" s="384">
        <f>A26+1</f>
        <v>22</v>
      </c>
      <c r="B28" s="385" t="str">
        <f t="shared" si="1"/>
        <v>49/0</v>
      </c>
      <c r="C28" s="385" t="s">
        <v>42</v>
      </c>
      <c r="D28" s="386">
        <v>417.22</v>
      </c>
      <c r="E28" s="745" t="s">
        <v>882</v>
      </c>
      <c r="F28" s="746" t="s">
        <v>884</v>
      </c>
      <c r="G28" s="386" t="s">
        <v>890</v>
      </c>
      <c r="H28" s="387">
        <v>0</v>
      </c>
      <c r="I28" s="389"/>
      <c r="J28" s="389">
        <f t="shared" ref="J28:J30" si="7">D28</f>
        <v>417.22</v>
      </c>
      <c r="K28" s="470">
        <v>2</v>
      </c>
      <c r="L28" s="470">
        <v>0</v>
      </c>
      <c r="M28" s="471">
        <v>0</v>
      </c>
    </row>
    <row r="29" spans="1:13" ht="15" customHeight="1">
      <c r="A29" s="384">
        <f t="shared" si="0"/>
        <v>23</v>
      </c>
      <c r="B29" s="385" t="str">
        <f t="shared" si="1"/>
        <v>AP50</v>
      </c>
      <c r="C29" s="385" t="s">
        <v>43</v>
      </c>
      <c r="D29" s="386">
        <v>249.6</v>
      </c>
      <c r="E29" s="745" t="s">
        <v>882</v>
      </c>
      <c r="F29" s="746" t="s">
        <v>885</v>
      </c>
      <c r="G29" s="386" t="s">
        <v>890</v>
      </c>
      <c r="H29" s="387">
        <v>0</v>
      </c>
      <c r="I29" s="389"/>
      <c r="J29" s="389">
        <f t="shared" si="7"/>
        <v>249.6</v>
      </c>
      <c r="K29" s="470">
        <v>0</v>
      </c>
      <c r="L29" s="470">
        <v>3</v>
      </c>
      <c r="M29" s="471">
        <v>0</v>
      </c>
    </row>
    <row r="30" spans="1:13" ht="15" customHeight="1">
      <c r="A30" s="384">
        <f t="shared" si="0"/>
        <v>24</v>
      </c>
      <c r="B30" s="385" t="str">
        <f t="shared" si="1"/>
        <v>AP51</v>
      </c>
      <c r="C30" s="385" t="s">
        <v>44</v>
      </c>
      <c r="D30" s="386">
        <v>333.6</v>
      </c>
      <c r="E30" s="745" t="s">
        <v>882</v>
      </c>
      <c r="F30" s="746" t="s">
        <v>799</v>
      </c>
      <c r="G30" s="386" t="s">
        <v>890</v>
      </c>
      <c r="H30" s="387">
        <v>0</v>
      </c>
      <c r="I30" s="389"/>
      <c r="J30" s="389">
        <f t="shared" si="7"/>
        <v>333.6</v>
      </c>
      <c r="K30" s="470">
        <v>0</v>
      </c>
      <c r="L30" s="470">
        <v>0</v>
      </c>
      <c r="M30" s="471">
        <v>0</v>
      </c>
    </row>
    <row r="31" spans="1:13" ht="15" customHeight="1">
      <c r="A31" s="384">
        <f t="shared" si="0"/>
        <v>25</v>
      </c>
      <c r="B31" s="385" t="str">
        <f t="shared" si="1"/>
        <v>AP52</v>
      </c>
      <c r="C31" s="385" t="s">
        <v>45</v>
      </c>
      <c r="D31" s="386">
        <v>1034.0999999999999</v>
      </c>
      <c r="E31" s="745" t="s">
        <v>882</v>
      </c>
      <c r="F31" s="745" t="s">
        <v>882</v>
      </c>
      <c r="G31" s="386" t="s">
        <v>889</v>
      </c>
      <c r="H31" s="387">
        <v>2</v>
      </c>
      <c r="I31" s="389">
        <f>D31</f>
        <v>1034.0999999999999</v>
      </c>
      <c r="J31" s="389"/>
      <c r="K31" s="470">
        <v>1</v>
      </c>
      <c r="L31" s="470">
        <v>0</v>
      </c>
      <c r="M31" s="471">
        <v>0</v>
      </c>
    </row>
    <row r="32" spans="1:13" ht="15" customHeight="1">
      <c r="A32" s="384">
        <f t="shared" si="0"/>
        <v>26</v>
      </c>
      <c r="B32" s="385" t="str">
        <f t="shared" si="1"/>
        <v>AP53</v>
      </c>
      <c r="C32" s="385" t="s">
        <v>46</v>
      </c>
      <c r="D32" s="386">
        <v>258.62</v>
      </c>
      <c r="E32" s="745" t="s">
        <v>882</v>
      </c>
      <c r="F32" s="745" t="s">
        <v>882</v>
      </c>
      <c r="G32" s="386" t="s">
        <v>889</v>
      </c>
      <c r="H32" s="387">
        <v>0</v>
      </c>
      <c r="I32" s="389"/>
      <c r="J32" s="389">
        <f>D32</f>
        <v>258.62</v>
      </c>
      <c r="K32" s="470">
        <v>0</v>
      </c>
      <c r="L32" s="470">
        <v>0</v>
      </c>
      <c r="M32" s="471">
        <v>0</v>
      </c>
    </row>
    <row r="33" spans="1:18" ht="15" customHeight="1">
      <c r="A33" s="384">
        <f t="shared" si="0"/>
        <v>27</v>
      </c>
      <c r="B33" s="385" t="str">
        <f t="shared" si="1"/>
        <v>AP54</v>
      </c>
      <c r="C33" s="385" t="s">
        <v>47</v>
      </c>
      <c r="D33" s="386">
        <v>1836.69</v>
      </c>
      <c r="E33" s="745" t="s">
        <v>882</v>
      </c>
      <c r="F33" s="746" t="s">
        <v>174</v>
      </c>
      <c r="G33" s="386" t="s">
        <v>890</v>
      </c>
      <c r="H33" s="387">
        <v>4</v>
      </c>
      <c r="I33" s="389">
        <f t="shared" ref="I33:I35" si="8">D33</f>
        <v>1836.69</v>
      </c>
      <c r="J33" s="389"/>
      <c r="K33" s="470">
        <v>11</v>
      </c>
      <c r="L33" s="470">
        <v>12</v>
      </c>
      <c r="M33" s="471">
        <v>0</v>
      </c>
    </row>
    <row r="34" spans="1:18" ht="15" customHeight="1">
      <c r="A34" s="384">
        <f t="shared" si="0"/>
        <v>28</v>
      </c>
      <c r="B34" s="385" t="str">
        <f t="shared" si="1"/>
        <v>AP55</v>
      </c>
      <c r="C34" s="385" t="s">
        <v>48</v>
      </c>
      <c r="D34" s="386">
        <v>2704.49</v>
      </c>
      <c r="E34" s="745" t="s">
        <v>882</v>
      </c>
      <c r="F34" s="745" t="s">
        <v>886</v>
      </c>
      <c r="G34" s="386" t="s">
        <v>890</v>
      </c>
      <c r="H34" s="387">
        <v>6</v>
      </c>
      <c r="I34" s="389">
        <f t="shared" si="8"/>
        <v>2704.49</v>
      </c>
      <c r="J34" s="389"/>
      <c r="K34" s="470">
        <v>13</v>
      </c>
      <c r="L34" s="470">
        <v>5</v>
      </c>
      <c r="M34" s="471">
        <v>0</v>
      </c>
    </row>
    <row r="35" spans="1:18" ht="15" customHeight="1">
      <c r="A35" s="384">
        <f t="shared" si="0"/>
        <v>29</v>
      </c>
      <c r="B35" s="385" t="str">
        <f t="shared" si="1"/>
        <v>AP56</v>
      </c>
      <c r="C35" s="385" t="s">
        <v>185</v>
      </c>
      <c r="D35" s="386">
        <v>1230</v>
      </c>
      <c r="E35" s="745" t="s">
        <v>882</v>
      </c>
      <c r="F35" s="745" t="s">
        <v>882</v>
      </c>
      <c r="G35" s="386" t="s">
        <v>889</v>
      </c>
      <c r="H35" s="387">
        <v>2</v>
      </c>
      <c r="I35" s="389">
        <f t="shared" si="8"/>
        <v>1230</v>
      </c>
      <c r="J35" s="389"/>
      <c r="K35" s="470">
        <v>4</v>
      </c>
      <c r="L35" s="470">
        <v>2</v>
      </c>
      <c r="M35" s="471"/>
    </row>
    <row r="36" spans="1:18" ht="18" customHeight="1">
      <c r="A36" s="384">
        <f t="shared" si="0"/>
        <v>30</v>
      </c>
      <c r="B36" s="385" t="str">
        <f t="shared" si="1"/>
        <v>56/3</v>
      </c>
      <c r="C36" s="391" t="s">
        <v>519</v>
      </c>
      <c r="D36" s="392">
        <v>276.49</v>
      </c>
      <c r="E36" s="745" t="s">
        <v>882</v>
      </c>
      <c r="F36" s="746" t="s">
        <v>519</v>
      </c>
      <c r="G36" s="386" t="s">
        <v>890</v>
      </c>
      <c r="H36" s="387">
        <v>0</v>
      </c>
      <c r="I36" s="389"/>
      <c r="J36" s="389">
        <f>D36</f>
        <v>276.49</v>
      </c>
      <c r="K36" s="472">
        <v>0</v>
      </c>
      <c r="L36" s="472">
        <v>3</v>
      </c>
      <c r="M36" s="473">
        <v>0</v>
      </c>
    </row>
    <row r="37" spans="1:18" ht="18" customHeight="1">
      <c r="A37" s="384">
        <f t="shared" si="0"/>
        <v>31</v>
      </c>
      <c r="B37" s="385" t="str">
        <f t="shared" si="1"/>
        <v>57/0</v>
      </c>
      <c r="C37" s="393" t="s">
        <v>553</v>
      </c>
      <c r="D37" s="394">
        <v>1535.81</v>
      </c>
      <c r="E37" s="745" t="s">
        <v>882</v>
      </c>
      <c r="F37" s="746" t="s">
        <v>887</v>
      </c>
      <c r="G37" s="386" t="s">
        <v>890</v>
      </c>
      <c r="H37" s="387">
        <v>3</v>
      </c>
      <c r="I37" s="389">
        <f>D37</f>
        <v>1535.81</v>
      </c>
      <c r="J37" s="389"/>
      <c r="K37" s="472">
        <v>10</v>
      </c>
      <c r="L37" s="472">
        <v>3</v>
      </c>
      <c r="M37" s="473">
        <v>0</v>
      </c>
      <c r="R37" s="2"/>
    </row>
    <row r="38" spans="1:18" ht="18" customHeight="1">
      <c r="A38" s="384">
        <f t="shared" si="0"/>
        <v>32</v>
      </c>
      <c r="B38" s="385" t="str">
        <f t="shared" si="1"/>
        <v>58/0</v>
      </c>
      <c r="C38" s="393" t="s">
        <v>555</v>
      </c>
      <c r="D38" s="394">
        <v>203.9</v>
      </c>
      <c r="E38" s="745" t="s">
        <v>882</v>
      </c>
      <c r="F38" s="746" t="s">
        <v>555</v>
      </c>
      <c r="G38" s="386" t="s">
        <v>890</v>
      </c>
      <c r="H38" s="387">
        <v>0</v>
      </c>
      <c r="I38" s="389"/>
      <c r="J38" s="389">
        <f>D38</f>
        <v>203.9</v>
      </c>
      <c r="K38" s="472">
        <v>0</v>
      </c>
      <c r="L38" s="472">
        <v>0</v>
      </c>
      <c r="M38" s="473">
        <v>0</v>
      </c>
    </row>
    <row r="39" spans="1:18" ht="18" customHeight="1">
      <c r="A39" s="384">
        <f t="shared" si="0"/>
        <v>33</v>
      </c>
      <c r="B39" s="385" t="str">
        <f t="shared" si="1"/>
        <v>59/0</v>
      </c>
      <c r="C39" s="393" t="s">
        <v>557</v>
      </c>
      <c r="D39" s="394">
        <v>702.8</v>
      </c>
      <c r="E39" s="745" t="s">
        <v>882</v>
      </c>
      <c r="F39" s="746" t="s">
        <v>888</v>
      </c>
      <c r="G39" s="386" t="s">
        <v>890</v>
      </c>
      <c r="H39" s="387">
        <v>1</v>
      </c>
      <c r="I39" s="389">
        <f t="shared" ref="I39:I40" si="9">D39</f>
        <v>702.8</v>
      </c>
      <c r="J39" s="389"/>
      <c r="K39" s="472">
        <v>5</v>
      </c>
      <c r="L39" s="472">
        <v>1</v>
      </c>
      <c r="M39" s="473">
        <v>0</v>
      </c>
    </row>
    <row r="40" spans="1:18" ht="18" customHeight="1">
      <c r="A40" s="384">
        <f t="shared" si="0"/>
        <v>34</v>
      </c>
      <c r="B40" s="385" t="str">
        <f t="shared" si="1"/>
        <v>60/0</v>
      </c>
      <c r="C40" s="393" t="s">
        <v>562</v>
      </c>
      <c r="D40" s="394">
        <v>1942</v>
      </c>
      <c r="E40" s="745" t="s">
        <v>882</v>
      </c>
      <c r="F40" s="746" t="s">
        <v>560</v>
      </c>
      <c r="G40" s="386" t="s">
        <v>890</v>
      </c>
      <c r="H40" s="387">
        <v>4</v>
      </c>
      <c r="I40" s="389">
        <f t="shared" si="9"/>
        <v>1942</v>
      </c>
      <c r="J40" s="389"/>
      <c r="K40" s="472">
        <v>10</v>
      </c>
      <c r="L40" s="472">
        <v>1</v>
      </c>
      <c r="M40" s="473">
        <v>0</v>
      </c>
    </row>
    <row r="41" spans="1:18" ht="18" customHeight="1">
      <c r="A41" s="384">
        <f t="shared" si="0"/>
        <v>35</v>
      </c>
      <c r="B41" s="385" t="str">
        <f t="shared" si="1"/>
        <v>61/0</v>
      </c>
      <c r="C41" s="393" t="s">
        <v>607</v>
      </c>
      <c r="D41" s="394">
        <v>358.1</v>
      </c>
      <c r="E41" s="745" t="s">
        <v>882</v>
      </c>
      <c r="F41" s="745" t="s">
        <v>882</v>
      </c>
      <c r="G41" s="386" t="s">
        <v>889</v>
      </c>
      <c r="H41" s="387">
        <v>0</v>
      </c>
      <c r="I41" s="388"/>
      <c r="J41" s="389">
        <f t="shared" ref="J41:J43" si="10">D41</f>
        <v>358.1</v>
      </c>
      <c r="K41" s="472">
        <v>1</v>
      </c>
      <c r="L41" s="470">
        <v>0</v>
      </c>
      <c r="M41" s="471">
        <v>0</v>
      </c>
    </row>
    <row r="42" spans="1:18" ht="18" customHeight="1">
      <c r="A42" s="384">
        <f t="shared" si="0"/>
        <v>36</v>
      </c>
      <c r="B42" s="385" t="str">
        <f t="shared" si="1"/>
        <v>62/0</v>
      </c>
      <c r="C42" s="393" t="s">
        <v>608</v>
      </c>
      <c r="D42" s="394">
        <v>278.7</v>
      </c>
      <c r="E42" s="745" t="s">
        <v>882</v>
      </c>
      <c r="F42" s="746" t="s">
        <v>608</v>
      </c>
      <c r="G42" s="386" t="s">
        <v>890</v>
      </c>
      <c r="H42" s="387">
        <v>0</v>
      </c>
      <c r="I42" s="388"/>
      <c r="J42" s="389">
        <f t="shared" si="10"/>
        <v>278.7</v>
      </c>
      <c r="K42" s="470">
        <v>0</v>
      </c>
      <c r="L42" s="472">
        <v>1</v>
      </c>
      <c r="M42" s="471">
        <v>0</v>
      </c>
    </row>
    <row r="43" spans="1:18" ht="18" customHeight="1">
      <c r="A43" s="384">
        <f t="shared" si="0"/>
        <v>37</v>
      </c>
      <c r="B43" s="385" t="str">
        <f t="shared" si="1"/>
        <v>63/0</v>
      </c>
      <c r="C43" s="393" t="s">
        <v>609</v>
      </c>
      <c r="D43" s="394">
        <v>135</v>
      </c>
      <c r="E43" s="745" t="s">
        <v>882</v>
      </c>
      <c r="F43" s="745" t="s">
        <v>882</v>
      </c>
      <c r="G43" s="386" t="s">
        <v>889</v>
      </c>
      <c r="H43" s="387">
        <v>0</v>
      </c>
      <c r="I43" s="388"/>
      <c r="J43" s="389">
        <f t="shared" si="10"/>
        <v>135</v>
      </c>
      <c r="K43" s="470">
        <v>0</v>
      </c>
      <c r="L43" s="472">
        <v>1</v>
      </c>
      <c r="M43" s="471">
        <v>0</v>
      </c>
    </row>
    <row r="44" spans="1:18" s="398" customFormat="1" ht="15" thickBot="1">
      <c r="A44" s="971" t="s">
        <v>58</v>
      </c>
      <c r="B44" s="972"/>
      <c r="C44" s="972"/>
      <c r="D44" s="395">
        <f>SUM(D5:D43)</f>
        <v>47837.805</v>
      </c>
      <c r="E44" s="395"/>
      <c r="F44" s="395"/>
      <c r="G44" s="395"/>
      <c r="H44" s="396">
        <f>SUM(H5:H43)</f>
        <v>88</v>
      </c>
      <c r="I44" s="397">
        <f>SUM(I5:I43)/1000</f>
        <v>43.429580000000001</v>
      </c>
      <c r="J44" s="397">
        <f>SUM(J5:J43)/1000</f>
        <v>4.4082249999999998</v>
      </c>
      <c r="K44" s="474">
        <f>SUM(K5:K43)</f>
        <v>122</v>
      </c>
      <c r="L44" s="474">
        <f>SUM(L5:L43)</f>
        <v>76</v>
      </c>
      <c r="M44" s="475">
        <f>SUM(M5:M43)</f>
        <v>7</v>
      </c>
    </row>
  </sheetData>
  <mergeCells count="14">
    <mergeCell ref="A44:C44"/>
    <mergeCell ref="A3:A4"/>
    <mergeCell ref="B3:C3"/>
    <mergeCell ref="D3:D4"/>
    <mergeCell ref="H3:H4"/>
    <mergeCell ref="I3:I4"/>
    <mergeCell ref="A2:M2"/>
    <mergeCell ref="J3:J4"/>
    <mergeCell ref="K3:K4"/>
    <mergeCell ref="L3:L4"/>
    <mergeCell ref="M3:M4"/>
    <mergeCell ref="E3:E4"/>
    <mergeCell ref="F3:F4"/>
    <mergeCell ref="G3:G4"/>
  </mergeCells>
  <conditionalFormatting sqref="G1:G1048576">
    <cfRule type="containsText" dxfId="3" priority="1" operator="containsText" text="Pending">
      <formula>NOT(ISERROR(SEARCH("Pending",G1)))</formula>
    </cfRule>
    <cfRule type="containsText" dxfId="2" priority="2" operator="containsText" text="Ready">
      <formula>NOT(ISERROR(SEARCH("Ready",G1)))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7"/>
  <sheetViews>
    <sheetView view="pageBreakPreview" topLeftCell="A4" zoomScale="60" zoomScaleNormal="80" workbookViewId="0">
      <selection activeCell="F23" sqref="F23"/>
    </sheetView>
  </sheetViews>
  <sheetFormatPr defaultColWidth="9.21875" defaultRowHeight="14.4"/>
  <cols>
    <col min="1" max="1" width="19.88671875" style="312" customWidth="1"/>
    <col min="2" max="2" width="14.88671875" style="312" customWidth="1"/>
    <col min="3" max="3" width="15.109375" style="312" customWidth="1"/>
    <col min="4" max="4" width="57" style="301" customWidth="1"/>
    <col min="5" max="5" width="16.21875" style="301" customWidth="1"/>
    <col min="6" max="6" width="16.21875" style="313" customWidth="1"/>
    <col min="7" max="7" width="19.33203125" style="314" customWidth="1"/>
    <col min="8" max="8" width="16.21875" style="315" customWidth="1"/>
    <col min="9" max="9" width="16.21875" style="316" customWidth="1"/>
    <col min="10" max="10" width="30.5546875" style="301" customWidth="1"/>
    <col min="11" max="256" width="9.21875" style="301"/>
    <col min="257" max="257" width="19.88671875" style="301" customWidth="1"/>
    <col min="258" max="258" width="14.88671875" style="301" customWidth="1"/>
    <col min="259" max="259" width="15.109375" style="301" customWidth="1"/>
    <col min="260" max="260" width="57" style="301" customWidth="1"/>
    <col min="261" max="265" width="16.21875" style="301" customWidth="1"/>
    <col min="266" max="266" width="30.5546875" style="301" customWidth="1"/>
    <col min="267" max="512" width="9.21875" style="301"/>
    <col min="513" max="513" width="19.88671875" style="301" customWidth="1"/>
    <col min="514" max="514" width="14.88671875" style="301" customWidth="1"/>
    <col min="515" max="515" width="15.109375" style="301" customWidth="1"/>
    <col min="516" max="516" width="57" style="301" customWidth="1"/>
    <col min="517" max="521" width="16.21875" style="301" customWidth="1"/>
    <col min="522" max="522" width="30.5546875" style="301" customWidth="1"/>
    <col min="523" max="768" width="9.21875" style="301"/>
    <col min="769" max="769" width="19.88671875" style="301" customWidth="1"/>
    <col min="770" max="770" width="14.88671875" style="301" customWidth="1"/>
    <col min="771" max="771" width="15.109375" style="301" customWidth="1"/>
    <col min="772" max="772" width="57" style="301" customWidth="1"/>
    <col min="773" max="777" width="16.21875" style="301" customWidth="1"/>
    <col min="778" max="778" width="30.5546875" style="301" customWidth="1"/>
    <col min="779" max="1024" width="9.21875" style="301"/>
    <col min="1025" max="1025" width="19.88671875" style="301" customWidth="1"/>
    <col min="1026" max="1026" width="14.88671875" style="301" customWidth="1"/>
    <col min="1027" max="1027" width="15.109375" style="301" customWidth="1"/>
    <col min="1028" max="1028" width="57" style="301" customWidth="1"/>
    <col min="1029" max="1033" width="16.21875" style="301" customWidth="1"/>
    <col min="1034" max="1034" width="30.5546875" style="301" customWidth="1"/>
    <col min="1035" max="1280" width="9.21875" style="301"/>
    <col min="1281" max="1281" width="19.88671875" style="301" customWidth="1"/>
    <col min="1282" max="1282" width="14.88671875" style="301" customWidth="1"/>
    <col min="1283" max="1283" width="15.109375" style="301" customWidth="1"/>
    <col min="1284" max="1284" width="57" style="301" customWidth="1"/>
    <col min="1285" max="1289" width="16.21875" style="301" customWidth="1"/>
    <col min="1290" max="1290" width="30.5546875" style="301" customWidth="1"/>
    <col min="1291" max="1536" width="9.21875" style="301"/>
    <col min="1537" max="1537" width="19.88671875" style="301" customWidth="1"/>
    <col min="1538" max="1538" width="14.88671875" style="301" customWidth="1"/>
    <col min="1539" max="1539" width="15.109375" style="301" customWidth="1"/>
    <col min="1540" max="1540" width="57" style="301" customWidth="1"/>
    <col min="1541" max="1545" width="16.21875" style="301" customWidth="1"/>
    <col min="1546" max="1546" width="30.5546875" style="301" customWidth="1"/>
    <col min="1547" max="1792" width="9.21875" style="301"/>
    <col min="1793" max="1793" width="19.88671875" style="301" customWidth="1"/>
    <col min="1794" max="1794" width="14.88671875" style="301" customWidth="1"/>
    <col min="1795" max="1795" width="15.109375" style="301" customWidth="1"/>
    <col min="1796" max="1796" width="57" style="301" customWidth="1"/>
    <col min="1797" max="1801" width="16.21875" style="301" customWidth="1"/>
    <col min="1802" max="1802" width="30.5546875" style="301" customWidth="1"/>
    <col min="1803" max="2048" width="9.21875" style="301"/>
    <col min="2049" max="2049" width="19.88671875" style="301" customWidth="1"/>
    <col min="2050" max="2050" width="14.88671875" style="301" customWidth="1"/>
    <col min="2051" max="2051" width="15.109375" style="301" customWidth="1"/>
    <col min="2052" max="2052" width="57" style="301" customWidth="1"/>
    <col min="2053" max="2057" width="16.21875" style="301" customWidth="1"/>
    <col min="2058" max="2058" width="30.5546875" style="301" customWidth="1"/>
    <col min="2059" max="2304" width="9.21875" style="301"/>
    <col min="2305" max="2305" width="19.88671875" style="301" customWidth="1"/>
    <col min="2306" max="2306" width="14.88671875" style="301" customWidth="1"/>
    <col min="2307" max="2307" width="15.109375" style="301" customWidth="1"/>
    <col min="2308" max="2308" width="57" style="301" customWidth="1"/>
    <col min="2309" max="2313" width="16.21875" style="301" customWidth="1"/>
    <col min="2314" max="2314" width="30.5546875" style="301" customWidth="1"/>
    <col min="2315" max="2560" width="9.21875" style="301"/>
    <col min="2561" max="2561" width="19.88671875" style="301" customWidth="1"/>
    <col min="2562" max="2562" width="14.88671875" style="301" customWidth="1"/>
    <col min="2563" max="2563" width="15.109375" style="301" customWidth="1"/>
    <col min="2564" max="2564" width="57" style="301" customWidth="1"/>
    <col min="2565" max="2569" width="16.21875" style="301" customWidth="1"/>
    <col min="2570" max="2570" width="30.5546875" style="301" customWidth="1"/>
    <col min="2571" max="2816" width="9.21875" style="301"/>
    <col min="2817" max="2817" width="19.88671875" style="301" customWidth="1"/>
    <col min="2818" max="2818" width="14.88671875" style="301" customWidth="1"/>
    <col min="2819" max="2819" width="15.109375" style="301" customWidth="1"/>
    <col min="2820" max="2820" width="57" style="301" customWidth="1"/>
    <col min="2821" max="2825" width="16.21875" style="301" customWidth="1"/>
    <col min="2826" max="2826" width="30.5546875" style="301" customWidth="1"/>
    <col min="2827" max="3072" width="9.21875" style="301"/>
    <col min="3073" max="3073" width="19.88671875" style="301" customWidth="1"/>
    <col min="3074" max="3074" width="14.88671875" style="301" customWidth="1"/>
    <col min="3075" max="3075" width="15.109375" style="301" customWidth="1"/>
    <col min="3076" max="3076" width="57" style="301" customWidth="1"/>
    <col min="3077" max="3081" width="16.21875" style="301" customWidth="1"/>
    <col min="3082" max="3082" width="30.5546875" style="301" customWidth="1"/>
    <col min="3083" max="3328" width="9.21875" style="301"/>
    <col min="3329" max="3329" width="19.88671875" style="301" customWidth="1"/>
    <col min="3330" max="3330" width="14.88671875" style="301" customWidth="1"/>
    <col min="3331" max="3331" width="15.109375" style="301" customWidth="1"/>
    <col min="3332" max="3332" width="57" style="301" customWidth="1"/>
    <col min="3333" max="3337" width="16.21875" style="301" customWidth="1"/>
    <col min="3338" max="3338" width="30.5546875" style="301" customWidth="1"/>
    <col min="3339" max="3584" width="9.21875" style="301"/>
    <col min="3585" max="3585" width="19.88671875" style="301" customWidth="1"/>
    <col min="3586" max="3586" width="14.88671875" style="301" customWidth="1"/>
    <col min="3587" max="3587" width="15.109375" style="301" customWidth="1"/>
    <col min="3588" max="3588" width="57" style="301" customWidth="1"/>
    <col min="3589" max="3593" width="16.21875" style="301" customWidth="1"/>
    <col min="3594" max="3594" width="30.5546875" style="301" customWidth="1"/>
    <col min="3595" max="3840" width="9.21875" style="301"/>
    <col min="3841" max="3841" width="19.88671875" style="301" customWidth="1"/>
    <col min="3842" max="3842" width="14.88671875" style="301" customWidth="1"/>
    <col min="3843" max="3843" width="15.109375" style="301" customWidth="1"/>
    <col min="3844" max="3844" width="57" style="301" customWidth="1"/>
    <col min="3845" max="3849" width="16.21875" style="301" customWidth="1"/>
    <col min="3850" max="3850" width="30.5546875" style="301" customWidth="1"/>
    <col min="3851" max="4096" width="9.21875" style="301"/>
    <col min="4097" max="4097" width="19.88671875" style="301" customWidth="1"/>
    <col min="4098" max="4098" width="14.88671875" style="301" customWidth="1"/>
    <col min="4099" max="4099" width="15.109375" style="301" customWidth="1"/>
    <col min="4100" max="4100" width="57" style="301" customWidth="1"/>
    <col min="4101" max="4105" width="16.21875" style="301" customWidth="1"/>
    <col min="4106" max="4106" width="30.5546875" style="301" customWidth="1"/>
    <col min="4107" max="4352" width="9.21875" style="301"/>
    <col min="4353" max="4353" width="19.88671875" style="301" customWidth="1"/>
    <col min="4354" max="4354" width="14.88671875" style="301" customWidth="1"/>
    <col min="4355" max="4355" width="15.109375" style="301" customWidth="1"/>
    <col min="4356" max="4356" width="57" style="301" customWidth="1"/>
    <col min="4357" max="4361" width="16.21875" style="301" customWidth="1"/>
    <col min="4362" max="4362" width="30.5546875" style="301" customWidth="1"/>
    <col min="4363" max="4608" width="9.21875" style="301"/>
    <col min="4609" max="4609" width="19.88671875" style="301" customWidth="1"/>
    <col min="4610" max="4610" width="14.88671875" style="301" customWidth="1"/>
    <col min="4611" max="4611" width="15.109375" style="301" customWidth="1"/>
    <col min="4612" max="4612" width="57" style="301" customWidth="1"/>
    <col min="4613" max="4617" width="16.21875" style="301" customWidth="1"/>
    <col min="4618" max="4618" width="30.5546875" style="301" customWidth="1"/>
    <col min="4619" max="4864" width="9.21875" style="301"/>
    <col min="4865" max="4865" width="19.88671875" style="301" customWidth="1"/>
    <col min="4866" max="4866" width="14.88671875" style="301" customWidth="1"/>
    <col min="4867" max="4867" width="15.109375" style="301" customWidth="1"/>
    <col min="4868" max="4868" width="57" style="301" customWidth="1"/>
    <col min="4869" max="4873" width="16.21875" style="301" customWidth="1"/>
    <col min="4874" max="4874" width="30.5546875" style="301" customWidth="1"/>
    <col min="4875" max="5120" width="9.21875" style="301"/>
    <col min="5121" max="5121" width="19.88671875" style="301" customWidth="1"/>
    <col min="5122" max="5122" width="14.88671875" style="301" customWidth="1"/>
    <col min="5123" max="5123" width="15.109375" style="301" customWidth="1"/>
    <col min="5124" max="5124" width="57" style="301" customWidth="1"/>
    <col min="5125" max="5129" width="16.21875" style="301" customWidth="1"/>
    <col min="5130" max="5130" width="30.5546875" style="301" customWidth="1"/>
    <col min="5131" max="5376" width="9.21875" style="301"/>
    <col min="5377" max="5377" width="19.88671875" style="301" customWidth="1"/>
    <col min="5378" max="5378" width="14.88671875" style="301" customWidth="1"/>
    <col min="5379" max="5379" width="15.109375" style="301" customWidth="1"/>
    <col min="5380" max="5380" width="57" style="301" customWidth="1"/>
    <col min="5381" max="5385" width="16.21875" style="301" customWidth="1"/>
    <col min="5386" max="5386" width="30.5546875" style="301" customWidth="1"/>
    <col min="5387" max="5632" width="9.21875" style="301"/>
    <col min="5633" max="5633" width="19.88671875" style="301" customWidth="1"/>
    <col min="5634" max="5634" width="14.88671875" style="301" customWidth="1"/>
    <col min="5635" max="5635" width="15.109375" style="301" customWidth="1"/>
    <col min="5636" max="5636" width="57" style="301" customWidth="1"/>
    <col min="5637" max="5641" width="16.21875" style="301" customWidth="1"/>
    <col min="5642" max="5642" width="30.5546875" style="301" customWidth="1"/>
    <col min="5643" max="5888" width="9.21875" style="301"/>
    <col min="5889" max="5889" width="19.88671875" style="301" customWidth="1"/>
    <col min="5890" max="5890" width="14.88671875" style="301" customWidth="1"/>
    <col min="5891" max="5891" width="15.109375" style="301" customWidth="1"/>
    <col min="5892" max="5892" width="57" style="301" customWidth="1"/>
    <col min="5893" max="5897" width="16.21875" style="301" customWidth="1"/>
    <col min="5898" max="5898" width="30.5546875" style="301" customWidth="1"/>
    <col min="5899" max="6144" width="9.21875" style="301"/>
    <col min="6145" max="6145" width="19.88671875" style="301" customWidth="1"/>
    <col min="6146" max="6146" width="14.88671875" style="301" customWidth="1"/>
    <col min="6147" max="6147" width="15.109375" style="301" customWidth="1"/>
    <col min="6148" max="6148" width="57" style="301" customWidth="1"/>
    <col min="6149" max="6153" width="16.21875" style="301" customWidth="1"/>
    <col min="6154" max="6154" width="30.5546875" style="301" customWidth="1"/>
    <col min="6155" max="6400" width="9.21875" style="301"/>
    <col min="6401" max="6401" width="19.88671875" style="301" customWidth="1"/>
    <col min="6402" max="6402" width="14.88671875" style="301" customWidth="1"/>
    <col min="6403" max="6403" width="15.109375" style="301" customWidth="1"/>
    <col min="6404" max="6404" width="57" style="301" customWidth="1"/>
    <col min="6405" max="6409" width="16.21875" style="301" customWidth="1"/>
    <col min="6410" max="6410" width="30.5546875" style="301" customWidth="1"/>
    <col min="6411" max="6656" width="9.21875" style="301"/>
    <col min="6657" max="6657" width="19.88671875" style="301" customWidth="1"/>
    <col min="6658" max="6658" width="14.88671875" style="301" customWidth="1"/>
    <col min="6659" max="6659" width="15.109375" style="301" customWidth="1"/>
    <col min="6660" max="6660" width="57" style="301" customWidth="1"/>
    <col min="6661" max="6665" width="16.21875" style="301" customWidth="1"/>
    <col min="6666" max="6666" width="30.5546875" style="301" customWidth="1"/>
    <col min="6667" max="6912" width="9.21875" style="301"/>
    <col min="6913" max="6913" width="19.88671875" style="301" customWidth="1"/>
    <col min="6914" max="6914" width="14.88671875" style="301" customWidth="1"/>
    <col min="6915" max="6915" width="15.109375" style="301" customWidth="1"/>
    <col min="6916" max="6916" width="57" style="301" customWidth="1"/>
    <col min="6917" max="6921" width="16.21875" style="301" customWidth="1"/>
    <col min="6922" max="6922" width="30.5546875" style="301" customWidth="1"/>
    <col min="6923" max="7168" width="9.21875" style="301"/>
    <col min="7169" max="7169" width="19.88671875" style="301" customWidth="1"/>
    <col min="7170" max="7170" width="14.88671875" style="301" customWidth="1"/>
    <col min="7171" max="7171" width="15.109375" style="301" customWidth="1"/>
    <col min="7172" max="7172" width="57" style="301" customWidth="1"/>
    <col min="7173" max="7177" width="16.21875" style="301" customWidth="1"/>
    <col min="7178" max="7178" width="30.5546875" style="301" customWidth="1"/>
    <col min="7179" max="7424" width="9.21875" style="301"/>
    <col min="7425" max="7425" width="19.88671875" style="301" customWidth="1"/>
    <col min="7426" max="7426" width="14.88671875" style="301" customWidth="1"/>
    <col min="7427" max="7427" width="15.109375" style="301" customWidth="1"/>
    <col min="7428" max="7428" width="57" style="301" customWidth="1"/>
    <col min="7429" max="7433" width="16.21875" style="301" customWidth="1"/>
    <col min="7434" max="7434" width="30.5546875" style="301" customWidth="1"/>
    <col min="7435" max="7680" width="9.21875" style="301"/>
    <col min="7681" max="7681" width="19.88671875" style="301" customWidth="1"/>
    <col min="7682" max="7682" width="14.88671875" style="301" customWidth="1"/>
    <col min="7683" max="7683" width="15.109375" style="301" customWidth="1"/>
    <col min="7684" max="7684" width="57" style="301" customWidth="1"/>
    <col min="7685" max="7689" width="16.21875" style="301" customWidth="1"/>
    <col min="7690" max="7690" width="30.5546875" style="301" customWidth="1"/>
    <col min="7691" max="7936" width="9.21875" style="301"/>
    <col min="7937" max="7937" width="19.88671875" style="301" customWidth="1"/>
    <col min="7938" max="7938" width="14.88671875" style="301" customWidth="1"/>
    <col min="7939" max="7939" width="15.109375" style="301" customWidth="1"/>
    <col min="7940" max="7940" width="57" style="301" customWidth="1"/>
    <col min="7941" max="7945" width="16.21875" style="301" customWidth="1"/>
    <col min="7946" max="7946" width="30.5546875" style="301" customWidth="1"/>
    <col min="7947" max="8192" width="9.21875" style="301"/>
    <col min="8193" max="8193" width="19.88671875" style="301" customWidth="1"/>
    <col min="8194" max="8194" width="14.88671875" style="301" customWidth="1"/>
    <col min="8195" max="8195" width="15.109375" style="301" customWidth="1"/>
    <col min="8196" max="8196" width="57" style="301" customWidth="1"/>
    <col min="8197" max="8201" width="16.21875" style="301" customWidth="1"/>
    <col min="8202" max="8202" width="30.5546875" style="301" customWidth="1"/>
    <col min="8203" max="8448" width="9.21875" style="301"/>
    <col min="8449" max="8449" width="19.88671875" style="301" customWidth="1"/>
    <col min="8450" max="8450" width="14.88671875" style="301" customWidth="1"/>
    <col min="8451" max="8451" width="15.109375" style="301" customWidth="1"/>
    <col min="8452" max="8452" width="57" style="301" customWidth="1"/>
    <col min="8453" max="8457" width="16.21875" style="301" customWidth="1"/>
    <col min="8458" max="8458" width="30.5546875" style="301" customWidth="1"/>
    <col min="8459" max="8704" width="9.21875" style="301"/>
    <col min="8705" max="8705" width="19.88671875" style="301" customWidth="1"/>
    <col min="8706" max="8706" width="14.88671875" style="301" customWidth="1"/>
    <col min="8707" max="8707" width="15.109375" style="301" customWidth="1"/>
    <col min="8708" max="8708" width="57" style="301" customWidth="1"/>
    <col min="8709" max="8713" width="16.21875" style="301" customWidth="1"/>
    <col min="8714" max="8714" width="30.5546875" style="301" customWidth="1"/>
    <col min="8715" max="8960" width="9.21875" style="301"/>
    <col min="8961" max="8961" width="19.88671875" style="301" customWidth="1"/>
    <col min="8962" max="8962" width="14.88671875" style="301" customWidth="1"/>
    <col min="8963" max="8963" width="15.109375" style="301" customWidth="1"/>
    <col min="8964" max="8964" width="57" style="301" customWidth="1"/>
    <col min="8965" max="8969" width="16.21875" style="301" customWidth="1"/>
    <col min="8970" max="8970" width="30.5546875" style="301" customWidth="1"/>
    <col min="8971" max="9216" width="9.21875" style="301"/>
    <col min="9217" max="9217" width="19.88671875" style="301" customWidth="1"/>
    <col min="9218" max="9218" width="14.88671875" style="301" customWidth="1"/>
    <col min="9219" max="9219" width="15.109375" style="301" customWidth="1"/>
    <col min="9220" max="9220" width="57" style="301" customWidth="1"/>
    <col min="9221" max="9225" width="16.21875" style="301" customWidth="1"/>
    <col min="9226" max="9226" width="30.5546875" style="301" customWidth="1"/>
    <col min="9227" max="9472" width="9.21875" style="301"/>
    <col min="9473" max="9473" width="19.88671875" style="301" customWidth="1"/>
    <col min="9474" max="9474" width="14.88671875" style="301" customWidth="1"/>
    <col min="9475" max="9475" width="15.109375" style="301" customWidth="1"/>
    <col min="9476" max="9476" width="57" style="301" customWidth="1"/>
    <col min="9477" max="9481" width="16.21875" style="301" customWidth="1"/>
    <col min="9482" max="9482" width="30.5546875" style="301" customWidth="1"/>
    <col min="9483" max="9728" width="9.21875" style="301"/>
    <col min="9729" max="9729" width="19.88671875" style="301" customWidth="1"/>
    <col min="9730" max="9730" width="14.88671875" style="301" customWidth="1"/>
    <col min="9731" max="9731" width="15.109375" style="301" customWidth="1"/>
    <col min="9732" max="9732" width="57" style="301" customWidth="1"/>
    <col min="9733" max="9737" width="16.21875" style="301" customWidth="1"/>
    <col min="9738" max="9738" width="30.5546875" style="301" customWidth="1"/>
    <col min="9739" max="9984" width="9.21875" style="301"/>
    <col min="9985" max="9985" width="19.88671875" style="301" customWidth="1"/>
    <col min="9986" max="9986" width="14.88671875" style="301" customWidth="1"/>
    <col min="9987" max="9987" width="15.109375" style="301" customWidth="1"/>
    <col min="9988" max="9988" width="57" style="301" customWidth="1"/>
    <col min="9989" max="9993" width="16.21875" style="301" customWidth="1"/>
    <col min="9994" max="9994" width="30.5546875" style="301" customWidth="1"/>
    <col min="9995" max="10240" width="9.21875" style="301"/>
    <col min="10241" max="10241" width="19.88671875" style="301" customWidth="1"/>
    <col min="10242" max="10242" width="14.88671875" style="301" customWidth="1"/>
    <col min="10243" max="10243" width="15.109375" style="301" customWidth="1"/>
    <col min="10244" max="10244" width="57" style="301" customWidth="1"/>
    <col min="10245" max="10249" width="16.21875" style="301" customWidth="1"/>
    <col min="10250" max="10250" width="30.5546875" style="301" customWidth="1"/>
    <col min="10251" max="10496" width="9.21875" style="301"/>
    <col min="10497" max="10497" width="19.88671875" style="301" customWidth="1"/>
    <col min="10498" max="10498" width="14.88671875" style="301" customWidth="1"/>
    <col min="10499" max="10499" width="15.109375" style="301" customWidth="1"/>
    <col min="10500" max="10500" width="57" style="301" customWidth="1"/>
    <col min="10501" max="10505" width="16.21875" style="301" customWidth="1"/>
    <col min="10506" max="10506" width="30.5546875" style="301" customWidth="1"/>
    <col min="10507" max="10752" width="9.21875" style="301"/>
    <col min="10753" max="10753" width="19.88671875" style="301" customWidth="1"/>
    <col min="10754" max="10754" width="14.88671875" style="301" customWidth="1"/>
    <col min="10755" max="10755" width="15.109375" style="301" customWidth="1"/>
    <col min="10756" max="10756" width="57" style="301" customWidth="1"/>
    <col min="10757" max="10761" width="16.21875" style="301" customWidth="1"/>
    <col min="10762" max="10762" width="30.5546875" style="301" customWidth="1"/>
    <col min="10763" max="11008" width="9.21875" style="301"/>
    <col min="11009" max="11009" width="19.88671875" style="301" customWidth="1"/>
    <col min="11010" max="11010" width="14.88671875" style="301" customWidth="1"/>
    <col min="11011" max="11011" width="15.109375" style="301" customWidth="1"/>
    <col min="11012" max="11012" width="57" style="301" customWidth="1"/>
    <col min="11013" max="11017" width="16.21875" style="301" customWidth="1"/>
    <col min="11018" max="11018" width="30.5546875" style="301" customWidth="1"/>
    <col min="11019" max="11264" width="9.21875" style="301"/>
    <col min="11265" max="11265" width="19.88671875" style="301" customWidth="1"/>
    <col min="11266" max="11266" width="14.88671875" style="301" customWidth="1"/>
    <col min="11267" max="11267" width="15.109375" style="301" customWidth="1"/>
    <col min="11268" max="11268" width="57" style="301" customWidth="1"/>
    <col min="11269" max="11273" width="16.21875" style="301" customWidth="1"/>
    <col min="11274" max="11274" width="30.5546875" style="301" customWidth="1"/>
    <col min="11275" max="11520" width="9.21875" style="301"/>
    <col min="11521" max="11521" width="19.88671875" style="301" customWidth="1"/>
    <col min="11522" max="11522" width="14.88671875" style="301" customWidth="1"/>
    <col min="11523" max="11523" width="15.109375" style="301" customWidth="1"/>
    <col min="11524" max="11524" width="57" style="301" customWidth="1"/>
    <col min="11525" max="11529" width="16.21875" style="301" customWidth="1"/>
    <col min="11530" max="11530" width="30.5546875" style="301" customWidth="1"/>
    <col min="11531" max="11776" width="9.21875" style="301"/>
    <col min="11777" max="11777" width="19.88671875" style="301" customWidth="1"/>
    <col min="11778" max="11778" width="14.88671875" style="301" customWidth="1"/>
    <col min="11779" max="11779" width="15.109375" style="301" customWidth="1"/>
    <col min="11780" max="11780" width="57" style="301" customWidth="1"/>
    <col min="11781" max="11785" width="16.21875" style="301" customWidth="1"/>
    <col min="11786" max="11786" width="30.5546875" style="301" customWidth="1"/>
    <col min="11787" max="12032" width="9.21875" style="301"/>
    <col min="12033" max="12033" width="19.88671875" style="301" customWidth="1"/>
    <col min="12034" max="12034" width="14.88671875" style="301" customWidth="1"/>
    <col min="12035" max="12035" width="15.109375" style="301" customWidth="1"/>
    <col min="12036" max="12036" width="57" style="301" customWidth="1"/>
    <col min="12037" max="12041" width="16.21875" style="301" customWidth="1"/>
    <col min="12042" max="12042" width="30.5546875" style="301" customWidth="1"/>
    <col min="12043" max="12288" width="9.21875" style="301"/>
    <col min="12289" max="12289" width="19.88671875" style="301" customWidth="1"/>
    <col min="12290" max="12290" width="14.88671875" style="301" customWidth="1"/>
    <col min="12291" max="12291" width="15.109375" style="301" customWidth="1"/>
    <col min="12292" max="12292" width="57" style="301" customWidth="1"/>
    <col min="12293" max="12297" width="16.21875" style="301" customWidth="1"/>
    <col min="12298" max="12298" width="30.5546875" style="301" customWidth="1"/>
    <col min="12299" max="12544" width="9.21875" style="301"/>
    <col min="12545" max="12545" width="19.88671875" style="301" customWidth="1"/>
    <col min="12546" max="12546" width="14.88671875" style="301" customWidth="1"/>
    <col min="12547" max="12547" width="15.109375" style="301" customWidth="1"/>
    <col min="12548" max="12548" width="57" style="301" customWidth="1"/>
    <col min="12549" max="12553" width="16.21875" style="301" customWidth="1"/>
    <col min="12554" max="12554" width="30.5546875" style="301" customWidth="1"/>
    <col min="12555" max="12800" width="9.21875" style="301"/>
    <col min="12801" max="12801" width="19.88671875" style="301" customWidth="1"/>
    <col min="12802" max="12802" width="14.88671875" style="301" customWidth="1"/>
    <col min="12803" max="12803" width="15.109375" style="301" customWidth="1"/>
    <col min="12804" max="12804" width="57" style="301" customWidth="1"/>
    <col min="12805" max="12809" width="16.21875" style="301" customWidth="1"/>
    <col min="12810" max="12810" width="30.5546875" style="301" customWidth="1"/>
    <col min="12811" max="13056" width="9.21875" style="301"/>
    <col min="13057" max="13057" width="19.88671875" style="301" customWidth="1"/>
    <col min="13058" max="13058" width="14.88671875" style="301" customWidth="1"/>
    <col min="13059" max="13059" width="15.109375" style="301" customWidth="1"/>
    <col min="13060" max="13060" width="57" style="301" customWidth="1"/>
    <col min="13061" max="13065" width="16.21875" style="301" customWidth="1"/>
    <col min="13066" max="13066" width="30.5546875" style="301" customWidth="1"/>
    <col min="13067" max="13312" width="9.21875" style="301"/>
    <col min="13313" max="13313" width="19.88671875" style="301" customWidth="1"/>
    <col min="13314" max="13314" width="14.88671875" style="301" customWidth="1"/>
    <col min="13315" max="13315" width="15.109375" style="301" customWidth="1"/>
    <col min="13316" max="13316" width="57" style="301" customWidth="1"/>
    <col min="13317" max="13321" width="16.21875" style="301" customWidth="1"/>
    <col min="13322" max="13322" width="30.5546875" style="301" customWidth="1"/>
    <col min="13323" max="13568" width="9.21875" style="301"/>
    <col min="13569" max="13569" width="19.88671875" style="301" customWidth="1"/>
    <col min="13570" max="13570" width="14.88671875" style="301" customWidth="1"/>
    <col min="13571" max="13571" width="15.109375" style="301" customWidth="1"/>
    <col min="13572" max="13572" width="57" style="301" customWidth="1"/>
    <col min="13573" max="13577" width="16.21875" style="301" customWidth="1"/>
    <col min="13578" max="13578" width="30.5546875" style="301" customWidth="1"/>
    <col min="13579" max="13824" width="9.21875" style="301"/>
    <col min="13825" max="13825" width="19.88671875" style="301" customWidth="1"/>
    <col min="13826" max="13826" width="14.88671875" style="301" customWidth="1"/>
    <col min="13827" max="13827" width="15.109375" style="301" customWidth="1"/>
    <col min="13828" max="13828" width="57" style="301" customWidth="1"/>
    <col min="13829" max="13833" width="16.21875" style="301" customWidth="1"/>
    <col min="13834" max="13834" width="30.5546875" style="301" customWidth="1"/>
    <col min="13835" max="14080" width="9.21875" style="301"/>
    <col min="14081" max="14081" width="19.88671875" style="301" customWidth="1"/>
    <col min="14082" max="14082" width="14.88671875" style="301" customWidth="1"/>
    <col min="14083" max="14083" width="15.109375" style="301" customWidth="1"/>
    <col min="14084" max="14084" width="57" style="301" customWidth="1"/>
    <col min="14085" max="14089" width="16.21875" style="301" customWidth="1"/>
    <col min="14090" max="14090" width="30.5546875" style="301" customWidth="1"/>
    <col min="14091" max="14336" width="9.21875" style="301"/>
    <col min="14337" max="14337" width="19.88671875" style="301" customWidth="1"/>
    <col min="14338" max="14338" width="14.88671875" style="301" customWidth="1"/>
    <col min="14339" max="14339" width="15.109375" style="301" customWidth="1"/>
    <col min="14340" max="14340" width="57" style="301" customWidth="1"/>
    <col min="14341" max="14345" width="16.21875" style="301" customWidth="1"/>
    <col min="14346" max="14346" width="30.5546875" style="301" customWidth="1"/>
    <col min="14347" max="14592" width="9.21875" style="301"/>
    <col min="14593" max="14593" width="19.88671875" style="301" customWidth="1"/>
    <col min="14594" max="14594" width="14.88671875" style="301" customWidth="1"/>
    <col min="14595" max="14595" width="15.109375" style="301" customWidth="1"/>
    <col min="14596" max="14596" width="57" style="301" customWidth="1"/>
    <col min="14597" max="14601" width="16.21875" style="301" customWidth="1"/>
    <col min="14602" max="14602" width="30.5546875" style="301" customWidth="1"/>
    <col min="14603" max="14848" width="9.21875" style="301"/>
    <col min="14849" max="14849" width="19.88671875" style="301" customWidth="1"/>
    <col min="14850" max="14850" width="14.88671875" style="301" customWidth="1"/>
    <col min="14851" max="14851" width="15.109375" style="301" customWidth="1"/>
    <col min="14852" max="14852" width="57" style="301" customWidth="1"/>
    <col min="14853" max="14857" width="16.21875" style="301" customWidth="1"/>
    <col min="14858" max="14858" width="30.5546875" style="301" customWidth="1"/>
    <col min="14859" max="15104" width="9.21875" style="301"/>
    <col min="15105" max="15105" width="19.88671875" style="301" customWidth="1"/>
    <col min="15106" max="15106" width="14.88671875" style="301" customWidth="1"/>
    <col min="15107" max="15107" width="15.109375" style="301" customWidth="1"/>
    <col min="15108" max="15108" width="57" style="301" customWidth="1"/>
    <col min="15109" max="15113" width="16.21875" style="301" customWidth="1"/>
    <col min="15114" max="15114" width="30.5546875" style="301" customWidth="1"/>
    <col min="15115" max="15360" width="9.21875" style="301"/>
    <col min="15361" max="15361" width="19.88671875" style="301" customWidth="1"/>
    <col min="15362" max="15362" width="14.88671875" style="301" customWidth="1"/>
    <col min="15363" max="15363" width="15.109375" style="301" customWidth="1"/>
    <col min="15364" max="15364" width="57" style="301" customWidth="1"/>
    <col min="15365" max="15369" width="16.21875" style="301" customWidth="1"/>
    <col min="15370" max="15370" width="30.5546875" style="301" customWidth="1"/>
    <col min="15371" max="15616" width="9.21875" style="301"/>
    <col min="15617" max="15617" width="19.88671875" style="301" customWidth="1"/>
    <col min="15618" max="15618" width="14.88671875" style="301" customWidth="1"/>
    <col min="15619" max="15619" width="15.109375" style="301" customWidth="1"/>
    <col min="15620" max="15620" width="57" style="301" customWidth="1"/>
    <col min="15621" max="15625" width="16.21875" style="301" customWidth="1"/>
    <col min="15626" max="15626" width="30.5546875" style="301" customWidth="1"/>
    <col min="15627" max="15872" width="9.21875" style="301"/>
    <col min="15873" max="15873" width="19.88671875" style="301" customWidth="1"/>
    <col min="15874" max="15874" width="14.88671875" style="301" customWidth="1"/>
    <col min="15875" max="15875" width="15.109375" style="301" customWidth="1"/>
    <col min="15876" max="15876" width="57" style="301" customWidth="1"/>
    <col min="15877" max="15881" width="16.21875" style="301" customWidth="1"/>
    <col min="15882" max="15882" width="30.5546875" style="301" customWidth="1"/>
    <col min="15883" max="16128" width="9.21875" style="301"/>
    <col min="16129" max="16129" width="19.88671875" style="301" customWidth="1"/>
    <col min="16130" max="16130" width="14.88671875" style="301" customWidth="1"/>
    <col min="16131" max="16131" width="15.109375" style="301" customWidth="1"/>
    <col min="16132" max="16132" width="57" style="301" customWidth="1"/>
    <col min="16133" max="16137" width="16.21875" style="301" customWidth="1"/>
    <col min="16138" max="16138" width="30.5546875" style="301" customWidth="1"/>
    <col min="16139" max="16384" width="9.21875" style="301"/>
  </cols>
  <sheetData>
    <row r="1" spans="1:10" s="292" customFormat="1" ht="18">
      <c r="A1" s="974" t="s">
        <v>521</v>
      </c>
      <c r="B1" s="975"/>
      <c r="C1" s="975"/>
      <c r="D1" s="288"/>
      <c r="E1" s="288"/>
      <c r="F1" s="287"/>
      <c r="G1" s="289"/>
      <c r="H1" s="287"/>
      <c r="I1" s="290"/>
      <c r="J1" s="291"/>
    </row>
    <row r="2" spans="1:10" s="292" customFormat="1" ht="18">
      <c r="A2" s="976" t="str">
        <f>[19]Transmittal!B11</f>
        <v>765kV D/c  Koppal II (PS)-Raichur (Part-1) transmission line project</v>
      </c>
      <c r="B2" s="977"/>
      <c r="C2" s="977"/>
      <c r="D2" s="977"/>
      <c r="E2" s="977"/>
      <c r="F2" s="977"/>
      <c r="G2" s="978"/>
      <c r="H2" s="293"/>
      <c r="I2" s="294"/>
      <c r="J2" s="295"/>
    </row>
    <row r="3" spans="1:10">
      <c r="A3" s="296"/>
      <c r="B3" s="297"/>
      <c r="C3" s="297"/>
      <c r="D3" s="297"/>
      <c r="E3" s="297"/>
      <c r="F3" s="297"/>
      <c r="G3" s="298"/>
      <c r="H3" s="297"/>
      <c r="I3" s="299"/>
      <c r="J3" s="300"/>
    </row>
    <row r="4" spans="1:10" ht="15" thickBot="1">
      <c r="A4" s="296"/>
      <c r="B4" s="297"/>
      <c r="C4" s="297"/>
      <c r="D4" s="297"/>
      <c r="E4" s="297"/>
      <c r="F4" s="297"/>
      <c r="G4" s="298"/>
      <c r="H4" s="297"/>
      <c r="I4" s="299"/>
      <c r="J4" s="300"/>
    </row>
    <row r="5" spans="1:10" s="302" customFormat="1" ht="18">
      <c r="A5" s="325" t="s">
        <v>522</v>
      </c>
      <c r="B5" s="326" t="s">
        <v>523</v>
      </c>
      <c r="C5" s="326" t="s">
        <v>524</v>
      </c>
      <c r="D5" s="326" t="s">
        <v>525</v>
      </c>
      <c r="E5" s="326" t="s">
        <v>526</v>
      </c>
      <c r="F5" s="327" t="s">
        <v>527</v>
      </c>
      <c r="G5" s="327" t="s">
        <v>528</v>
      </c>
      <c r="H5" s="328" t="s">
        <v>529</v>
      </c>
      <c r="I5" s="326" t="s">
        <v>11</v>
      </c>
      <c r="J5" s="329" t="s">
        <v>113</v>
      </c>
    </row>
    <row r="6" spans="1:10" s="307" customFormat="1" ht="18">
      <c r="A6" s="303" t="s">
        <v>530</v>
      </c>
      <c r="B6" s="304">
        <v>6</v>
      </c>
      <c r="C6" s="304">
        <v>3</v>
      </c>
      <c r="D6" s="304">
        <v>0</v>
      </c>
      <c r="E6" s="304">
        <v>0</v>
      </c>
      <c r="F6" s="304">
        <v>4</v>
      </c>
      <c r="G6" s="305">
        <v>1</v>
      </c>
      <c r="H6" s="304">
        <v>0</v>
      </c>
      <c r="I6" s="306">
        <f>SUM(B6:H6)</f>
        <v>14</v>
      </c>
      <c r="J6" s="330"/>
    </row>
    <row r="7" spans="1:10" s="307" customFormat="1" ht="36">
      <c r="A7" s="303" t="s">
        <v>531</v>
      </c>
      <c r="B7" s="304">
        <v>0</v>
      </c>
      <c r="C7" s="304">
        <v>0</v>
      </c>
      <c r="D7" s="304">
        <v>0</v>
      </c>
      <c r="E7" s="304">
        <v>0</v>
      </c>
      <c r="F7" s="304">
        <v>0</v>
      </c>
      <c r="G7" s="304">
        <v>0</v>
      </c>
      <c r="H7" s="304">
        <v>0</v>
      </c>
      <c r="I7" s="306">
        <f>SUM(B7:H7)</f>
        <v>0</v>
      </c>
      <c r="J7" s="331"/>
    </row>
    <row r="8" spans="1:10" s="307" customFormat="1" ht="36">
      <c r="A8" s="303" t="s">
        <v>532</v>
      </c>
      <c r="B8" s="304">
        <v>0</v>
      </c>
      <c r="C8" s="304">
        <v>0</v>
      </c>
      <c r="D8" s="304">
        <v>0</v>
      </c>
      <c r="E8" s="304">
        <v>0</v>
      </c>
      <c r="F8" s="304">
        <v>0</v>
      </c>
      <c r="G8" s="304">
        <v>0</v>
      </c>
      <c r="H8" s="304">
        <v>0</v>
      </c>
      <c r="I8" s="306">
        <f>SUM(B8:H8)</f>
        <v>0</v>
      </c>
      <c r="J8" s="331"/>
    </row>
    <row r="9" spans="1:10" s="307" customFormat="1" ht="36.6" thickBot="1">
      <c r="A9" s="332" t="s">
        <v>533</v>
      </c>
      <c r="B9" s="333">
        <v>0</v>
      </c>
      <c r="C9" s="333">
        <v>0</v>
      </c>
      <c r="D9" s="333">
        <f t="shared" ref="D9:I9" si="0">D6-D8</f>
        <v>0</v>
      </c>
      <c r="E9" s="333">
        <f>E6-E8</f>
        <v>0</v>
      </c>
      <c r="F9" s="333">
        <f t="shared" si="0"/>
        <v>4</v>
      </c>
      <c r="G9" s="333">
        <v>0</v>
      </c>
      <c r="H9" s="333">
        <f t="shared" si="0"/>
        <v>0</v>
      </c>
      <c r="I9" s="334">
        <f t="shared" si="0"/>
        <v>14</v>
      </c>
      <c r="J9" s="335"/>
    </row>
    <row r="10" spans="1:10" s="307" customFormat="1" ht="18.600000000000001" thickBot="1">
      <c r="A10" s="323"/>
      <c r="B10" s="324"/>
      <c r="C10" s="324"/>
      <c r="D10" s="324"/>
      <c r="E10" s="324"/>
      <c r="F10" s="324"/>
      <c r="G10" s="320"/>
      <c r="H10" s="320"/>
      <c r="I10" s="321"/>
      <c r="J10" s="322"/>
    </row>
    <row r="11" spans="1:10" ht="29.55" customHeight="1" thickBot="1">
      <c r="A11" s="979" t="s">
        <v>534</v>
      </c>
      <c r="B11" s="980"/>
      <c r="C11" s="980"/>
      <c r="D11" s="980"/>
      <c r="E11" s="980"/>
      <c r="F11" s="980"/>
      <c r="G11" s="980"/>
      <c r="H11" s="980"/>
      <c r="I11" s="981"/>
      <c r="J11" s="317"/>
    </row>
    <row r="12" spans="1:10" s="307" customFormat="1" ht="54">
      <c r="A12" s="482" t="s">
        <v>437</v>
      </c>
      <c r="B12" s="483" t="s">
        <v>535</v>
      </c>
      <c r="C12" s="483" t="s">
        <v>536</v>
      </c>
      <c r="D12" s="483" t="s">
        <v>537</v>
      </c>
      <c r="E12" s="483" t="s">
        <v>538</v>
      </c>
      <c r="F12" s="483" t="s">
        <v>611</v>
      </c>
      <c r="G12" s="483" t="s">
        <v>612</v>
      </c>
      <c r="H12" s="484" t="s">
        <v>613</v>
      </c>
      <c r="I12" s="484" t="s">
        <v>113</v>
      </c>
      <c r="J12" s="318"/>
    </row>
    <row r="13" spans="1:10" s="309" customFormat="1" ht="24.6" customHeight="1">
      <c r="A13" s="336">
        <v>1</v>
      </c>
      <c r="B13" s="337" t="s">
        <v>121</v>
      </c>
      <c r="C13" s="338" t="s">
        <v>122</v>
      </c>
      <c r="D13" s="308" t="s">
        <v>539</v>
      </c>
      <c r="E13" s="339" t="s">
        <v>540</v>
      </c>
      <c r="F13" s="399">
        <v>45576</v>
      </c>
      <c r="G13" s="400" t="s">
        <v>55</v>
      </c>
      <c r="H13" s="403" t="s">
        <v>614</v>
      </c>
      <c r="I13" s="481" t="s">
        <v>700</v>
      </c>
      <c r="J13" s="319"/>
    </row>
    <row r="14" spans="1:10" s="310" customFormat="1" ht="24.6" customHeight="1">
      <c r="A14" s="336">
        <f>A13+1</f>
        <v>2</v>
      </c>
      <c r="B14" s="338" t="s">
        <v>19</v>
      </c>
      <c r="C14" s="338" t="s">
        <v>28</v>
      </c>
      <c r="D14" s="340" t="s">
        <v>541</v>
      </c>
      <c r="E14" s="339" t="s">
        <v>540</v>
      </c>
      <c r="F14" s="399">
        <v>45576</v>
      </c>
      <c r="G14" s="400" t="s">
        <v>55</v>
      </c>
      <c r="H14" s="403" t="s">
        <v>614</v>
      </c>
      <c r="I14" s="481" t="s">
        <v>700</v>
      </c>
      <c r="J14" s="319"/>
    </row>
    <row r="15" spans="1:10" s="310" customFormat="1" ht="24.6" customHeight="1">
      <c r="A15" s="336">
        <f t="shared" ref="A15:A26" si="1">A14+1</f>
        <v>3</v>
      </c>
      <c r="B15" s="338" t="s">
        <v>35</v>
      </c>
      <c r="C15" s="338" t="s">
        <v>4</v>
      </c>
      <c r="D15" s="340" t="s">
        <v>541</v>
      </c>
      <c r="E15" s="339" t="s">
        <v>540</v>
      </c>
      <c r="F15" s="399">
        <v>45576</v>
      </c>
      <c r="G15" s="400" t="s">
        <v>55</v>
      </c>
      <c r="H15" s="403" t="s">
        <v>614</v>
      </c>
      <c r="I15" s="481" t="s">
        <v>700</v>
      </c>
      <c r="J15" s="319"/>
    </row>
    <row r="16" spans="1:10" s="310" customFormat="1" ht="24.6" customHeight="1">
      <c r="A16" s="336">
        <f t="shared" si="1"/>
        <v>4</v>
      </c>
      <c r="B16" s="338" t="s">
        <v>45</v>
      </c>
      <c r="C16" s="338" t="s">
        <v>46</v>
      </c>
      <c r="D16" s="340" t="s">
        <v>542</v>
      </c>
      <c r="E16" s="339" t="s">
        <v>540</v>
      </c>
      <c r="F16" s="399">
        <v>45576</v>
      </c>
      <c r="G16" s="400" t="s">
        <v>55</v>
      </c>
      <c r="H16" s="403" t="s">
        <v>614</v>
      </c>
      <c r="I16" s="481" t="s">
        <v>700</v>
      </c>
      <c r="J16" s="319"/>
    </row>
    <row r="17" spans="1:10" s="310" customFormat="1" ht="24.6" customHeight="1">
      <c r="A17" s="336">
        <f t="shared" si="1"/>
        <v>5</v>
      </c>
      <c r="B17" s="338" t="s">
        <v>190</v>
      </c>
      <c r="C17" s="338" t="s">
        <v>192</v>
      </c>
      <c r="D17" s="340" t="s">
        <v>610</v>
      </c>
      <c r="E17" s="339" t="s">
        <v>540</v>
      </c>
      <c r="F17" s="399">
        <v>45687</v>
      </c>
      <c r="G17" s="400" t="s">
        <v>55</v>
      </c>
      <c r="H17" s="403" t="s">
        <v>614</v>
      </c>
      <c r="I17" s="481" t="s">
        <v>700</v>
      </c>
      <c r="J17" s="319"/>
    </row>
    <row r="18" spans="1:10" s="310" customFormat="1" ht="24.6" customHeight="1">
      <c r="A18" s="336">
        <f t="shared" si="1"/>
        <v>6</v>
      </c>
      <c r="B18" s="338" t="s">
        <v>185</v>
      </c>
      <c r="C18" s="338" t="s">
        <v>54</v>
      </c>
      <c r="D18" s="341" t="s">
        <v>543</v>
      </c>
      <c r="E18" s="339" t="s">
        <v>540</v>
      </c>
      <c r="F18" s="399">
        <v>45645</v>
      </c>
      <c r="G18" s="400" t="s">
        <v>55</v>
      </c>
      <c r="H18" s="403" t="s">
        <v>614</v>
      </c>
      <c r="I18" s="481" t="s">
        <v>700</v>
      </c>
      <c r="J18" s="319"/>
    </row>
    <row r="19" spans="1:10" s="309" customFormat="1" ht="24.6" customHeight="1">
      <c r="A19" s="336">
        <f t="shared" si="1"/>
        <v>7</v>
      </c>
      <c r="B19" s="338" t="s">
        <v>23</v>
      </c>
      <c r="C19" s="338" t="s">
        <v>24</v>
      </c>
      <c r="D19" s="308" t="s">
        <v>544</v>
      </c>
      <c r="E19" s="339" t="s">
        <v>540</v>
      </c>
      <c r="F19" s="399">
        <v>45576</v>
      </c>
      <c r="G19" s="400" t="s">
        <v>55</v>
      </c>
      <c r="H19" s="403" t="s">
        <v>614</v>
      </c>
      <c r="I19" s="481" t="s">
        <v>700</v>
      </c>
      <c r="J19" s="319"/>
    </row>
    <row r="20" spans="1:10" s="310" customFormat="1" ht="24.6" customHeight="1">
      <c r="A20" s="336">
        <f t="shared" si="1"/>
        <v>8</v>
      </c>
      <c r="B20" s="338" t="s">
        <v>29</v>
      </c>
      <c r="C20" s="338" t="s">
        <v>30</v>
      </c>
      <c r="D20" s="340" t="s">
        <v>207</v>
      </c>
      <c r="E20" s="339" t="s">
        <v>540</v>
      </c>
      <c r="F20" s="399">
        <v>45576</v>
      </c>
      <c r="G20" s="400" t="s">
        <v>55</v>
      </c>
      <c r="H20" s="403" t="s">
        <v>614</v>
      </c>
      <c r="I20" s="481" t="s">
        <v>700</v>
      </c>
      <c r="J20" s="319"/>
    </row>
    <row r="21" spans="1:10" s="310" customFormat="1" ht="24.6" customHeight="1">
      <c r="A21" s="336">
        <f t="shared" si="1"/>
        <v>9</v>
      </c>
      <c r="B21" s="338" t="s">
        <v>29</v>
      </c>
      <c r="C21" s="338" t="s">
        <v>30</v>
      </c>
      <c r="D21" s="340" t="s">
        <v>207</v>
      </c>
      <c r="E21" s="339" t="s">
        <v>540</v>
      </c>
      <c r="F21" s="399">
        <v>45576</v>
      </c>
      <c r="G21" s="400" t="s">
        <v>55</v>
      </c>
      <c r="H21" s="403" t="s">
        <v>614</v>
      </c>
      <c r="I21" s="481" t="s">
        <v>700</v>
      </c>
      <c r="J21" s="319"/>
    </row>
    <row r="22" spans="1:10" s="310" customFormat="1" ht="24.6" customHeight="1">
      <c r="A22" s="336">
        <f t="shared" si="1"/>
        <v>10</v>
      </c>
      <c r="B22" s="342" t="s">
        <v>122</v>
      </c>
      <c r="C22" s="342" t="s">
        <v>123</v>
      </c>
      <c r="D22" s="340" t="s">
        <v>545</v>
      </c>
      <c r="E22" s="339" t="s">
        <v>546</v>
      </c>
      <c r="F22" s="399"/>
      <c r="G22" s="401"/>
      <c r="H22" s="403"/>
      <c r="I22" s="403"/>
      <c r="J22" s="319"/>
    </row>
    <row r="23" spans="1:10" s="310" customFormat="1" ht="24.6" customHeight="1">
      <c r="A23" s="336">
        <f t="shared" si="1"/>
        <v>11</v>
      </c>
      <c r="B23" s="342" t="s">
        <v>22</v>
      </c>
      <c r="C23" s="342" t="s">
        <v>142</v>
      </c>
      <c r="D23" s="340" t="s">
        <v>547</v>
      </c>
      <c r="E23" s="339" t="s">
        <v>546</v>
      </c>
      <c r="F23" s="399"/>
      <c r="G23" s="401"/>
      <c r="H23" s="403"/>
      <c r="I23" s="403"/>
      <c r="J23" s="319"/>
    </row>
    <row r="24" spans="1:10" s="310" customFormat="1" ht="24.6" customHeight="1">
      <c r="A24" s="336">
        <f t="shared" si="1"/>
        <v>12</v>
      </c>
      <c r="B24" s="338" t="s">
        <v>185</v>
      </c>
      <c r="C24" s="338" t="s">
        <v>54</v>
      </c>
      <c r="D24" s="343" t="s">
        <v>548</v>
      </c>
      <c r="E24" s="344" t="s">
        <v>546</v>
      </c>
      <c r="F24" s="399"/>
      <c r="G24" s="401"/>
      <c r="H24" s="403"/>
      <c r="I24" s="403"/>
      <c r="J24" s="319"/>
    </row>
    <row r="25" spans="1:10" s="310" customFormat="1" ht="24.6" customHeight="1">
      <c r="A25" s="336">
        <f t="shared" si="1"/>
        <v>13</v>
      </c>
      <c r="B25" s="342" t="s">
        <v>187</v>
      </c>
      <c r="C25" s="342" t="s">
        <v>188</v>
      </c>
      <c r="D25" s="340" t="s">
        <v>549</v>
      </c>
      <c r="E25" s="339" t="s">
        <v>546</v>
      </c>
      <c r="F25" s="399"/>
      <c r="G25" s="401"/>
      <c r="H25" s="403"/>
      <c r="I25" s="403"/>
      <c r="J25" s="319"/>
    </row>
    <row r="26" spans="1:10" s="310" customFormat="1" ht="24.6" customHeight="1" thickBot="1">
      <c r="A26" s="404">
        <f t="shared" si="1"/>
        <v>14</v>
      </c>
      <c r="B26" s="345" t="s">
        <v>42</v>
      </c>
      <c r="C26" s="345" t="s">
        <v>43</v>
      </c>
      <c r="D26" s="346" t="s">
        <v>550</v>
      </c>
      <c r="E26" s="347" t="s">
        <v>551</v>
      </c>
      <c r="F26" s="402">
        <v>45549</v>
      </c>
      <c r="G26" s="406" t="s">
        <v>55</v>
      </c>
      <c r="H26" s="405" t="s">
        <v>614</v>
      </c>
      <c r="I26" s="485" t="s">
        <v>700</v>
      </c>
      <c r="J26" s="319"/>
    </row>
    <row r="27" spans="1:10" ht="18">
      <c r="A27" s="311"/>
    </row>
  </sheetData>
  <mergeCells count="3">
    <mergeCell ref="A1:C1"/>
    <mergeCell ref="A2:G2"/>
    <mergeCell ref="A11:I11"/>
  </mergeCells>
  <pageMargins left="0.7" right="0.7" top="0.75" bottom="0.75" header="0.3" footer="0.3"/>
  <pageSetup paperSize="9" scale="5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selection activeCell="I7" sqref="I7"/>
    </sheetView>
  </sheetViews>
  <sheetFormatPr defaultRowHeight="14.4"/>
  <cols>
    <col min="1" max="1" width="9" style="2" customWidth="1"/>
    <col min="2" max="2" width="21" style="2" customWidth="1"/>
    <col min="3" max="3" width="8.88671875" style="2"/>
    <col min="4" max="5" width="11.109375" style="2" customWidth="1"/>
    <col min="6" max="9" width="8.88671875" style="2"/>
    <col min="10" max="10" width="15.5546875" style="2" customWidth="1"/>
    <col min="11" max="11" width="14.88671875" style="2" customWidth="1"/>
    <col min="12" max="16384" width="8.88671875" style="2"/>
  </cols>
  <sheetData>
    <row r="1" spans="1:11" s="516" customFormat="1" ht="28.8">
      <c r="A1" s="515" t="s">
        <v>406</v>
      </c>
      <c r="B1" s="515" t="s">
        <v>411</v>
      </c>
      <c r="C1" s="515" t="s">
        <v>414</v>
      </c>
      <c r="D1" s="515" t="s">
        <v>477</v>
      </c>
      <c r="E1" s="515" t="s">
        <v>710</v>
      </c>
      <c r="F1" s="515" t="s">
        <v>419</v>
      </c>
      <c r="G1" s="515" t="s">
        <v>413</v>
      </c>
      <c r="H1" s="515" t="s">
        <v>417</v>
      </c>
      <c r="I1" s="515" t="s">
        <v>421</v>
      </c>
      <c r="J1" s="515" t="s">
        <v>711</v>
      </c>
      <c r="K1" s="515" t="s">
        <v>712</v>
      </c>
    </row>
    <row r="2" spans="1:11" ht="43.2">
      <c r="A2" s="444" t="s">
        <v>714</v>
      </c>
      <c r="B2" s="511" t="s">
        <v>715</v>
      </c>
      <c r="C2" s="444" t="s">
        <v>713</v>
      </c>
      <c r="D2" s="510" t="s">
        <v>478</v>
      </c>
      <c r="E2" s="510" t="s">
        <v>416</v>
      </c>
      <c r="F2" s="444" t="s">
        <v>716</v>
      </c>
      <c r="G2" s="444" t="s">
        <v>798</v>
      </c>
      <c r="H2" s="444" t="s">
        <v>418</v>
      </c>
      <c r="I2" s="444" t="s">
        <v>422</v>
      </c>
      <c r="J2" s="444" t="s">
        <v>717</v>
      </c>
      <c r="K2" s="444" t="s">
        <v>718</v>
      </c>
    </row>
    <row r="3" spans="1:11" ht="28.8">
      <c r="A3" s="512"/>
      <c r="B3" s="512"/>
      <c r="C3" s="512"/>
      <c r="D3" s="512"/>
      <c r="E3" s="512"/>
      <c r="F3" s="512"/>
      <c r="G3" s="512"/>
      <c r="H3" s="512"/>
      <c r="I3" s="512"/>
      <c r="J3" s="513" t="s">
        <v>716</v>
      </c>
      <c r="K3" s="444" t="s">
        <v>720</v>
      </c>
    </row>
    <row r="4" spans="1:11">
      <c r="A4" s="512"/>
      <c r="B4" s="512"/>
      <c r="C4" s="512"/>
      <c r="D4" s="512"/>
      <c r="E4" s="512"/>
      <c r="F4" s="512"/>
      <c r="G4" s="512"/>
      <c r="H4" s="512"/>
      <c r="I4" s="512"/>
      <c r="J4" s="444" t="s">
        <v>719</v>
      </c>
      <c r="K4" s="444" t="s">
        <v>721</v>
      </c>
    </row>
    <row r="5" spans="1:11">
      <c r="A5" s="512"/>
      <c r="B5" s="512"/>
      <c r="C5" s="512"/>
      <c r="D5" s="512"/>
      <c r="E5" s="512"/>
      <c r="F5" s="512"/>
      <c r="G5" s="512"/>
      <c r="H5" s="512"/>
      <c r="I5" s="512"/>
      <c r="J5" s="512"/>
      <c r="K5" s="444" t="s">
        <v>722</v>
      </c>
    </row>
    <row r="6" spans="1:11">
      <c r="A6" s="512"/>
      <c r="B6" s="512"/>
      <c r="C6" s="512"/>
      <c r="D6" s="512"/>
      <c r="E6" s="512"/>
      <c r="F6" s="512"/>
      <c r="G6" s="512"/>
      <c r="H6" s="512"/>
      <c r="I6" s="512"/>
      <c r="J6" s="512"/>
      <c r="K6" s="444" t="s">
        <v>723</v>
      </c>
    </row>
    <row r="7" spans="1:11">
      <c r="A7" s="512"/>
      <c r="B7" s="512"/>
      <c r="C7" s="512"/>
      <c r="D7" s="512"/>
      <c r="E7" s="512"/>
      <c r="F7" s="512"/>
      <c r="G7" s="512"/>
      <c r="H7" s="512"/>
      <c r="I7" s="512"/>
      <c r="J7" s="512"/>
      <c r="K7" s="444" t="s">
        <v>724</v>
      </c>
    </row>
    <row r="8" spans="1:11">
      <c r="A8" s="512"/>
      <c r="B8" s="512"/>
      <c r="C8" s="512"/>
      <c r="D8" s="512"/>
      <c r="E8" s="512"/>
      <c r="F8" s="512"/>
      <c r="G8" s="512"/>
      <c r="H8" s="512"/>
      <c r="I8" s="512"/>
      <c r="J8" s="512"/>
      <c r="K8" s="444" t="s">
        <v>725</v>
      </c>
    </row>
    <row r="9" spans="1:11">
      <c r="A9" s="512"/>
      <c r="B9" s="512"/>
      <c r="C9" s="512"/>
      <c r="D9" s="512"/>
      <c r="E9" s="512"/>
      <c r="F9" s="512"/>
      <c r="G9" s="512"/>
      <c r="H9" s="512"/>
      <c r="I9" s="512"/>
      <c r="J9" s="512"/>
      <c r="K9" s="444" t="s">
        <v>726</v>
      </c>
    </row>
    <row r="10" spans="1:11">
      <c r="A10" s="512"/>
      <c r="B10" s="512"/>
      <c r="C10" s="512"/>
      <c r="D10" s="512"/>
      <c r="E10" s="512"/>
      <c r="F10" s="512"/>
      <c r="G10" s="512"/>
      <c r="H10" s="512"/>
      <c r="I10" s="512"/>
      <c r="J10" s="512"/>
      <c r="K10" s="444" t="s">
        <v>727</v>
      </c>
    </row>
    <row r="11" spans="1:11">
      <c r="A11" s="512"/>
      <c r="B11" s="512"/>
      <c r="C11" s="512"/>
      <c r="D11" s="512"/>
      <c r="E11" s="512"/>
      <c r="F11" s="512"/>
      <c r="G11" s="512"/>
      <c r="H11" s="512"/>
      <c r="I11" s="512"/>
      <c r="J11" s="512"/>
      <c r="K11" s="444" t="s">
        <v>728</v>
      </c>
    </row>
    <row r="12" spans="1:11">
      <c r="A12" s="512"/>
      <c r="B12" s="512"/>
      <c r="C12" s="512"/>
      <c r="D12" s="512"/>
      <c r="E12" s="512"/>
      <c r="F12" s="512"/>
      <c r="G12" s="512"/>
      <c r="H12" s="512"/>
      <c r="I12" s="512"/>
      <c r="J12" s="512"/>
      <c r="K12" s="444"/>
    </row>
    <row r="13" spans="1:11">
      <c r="A13" s="512"/>
      <c r="B13" s="512"/>
      <c r="C13" s="512"/>
      <c r="D13" s="512"/>
      <c r="E13" s="512"/>
      <c r="F13" s="512"/>
      <c r="G13" s="512"/>
      <c r="H13" s="512"/>
      <c r="I13" s="512"/>
      <c r="J13" s="512"/>
      <c r="K13" s="512"/>
    </row>
    <row r="14" spans="1:11">
      <c r="A14" s="512"/>
      <c r="B14" s="512"/>
      <c r="C14" s="512"/>
      <c r="D14" s="512"/>
      <c r="E14" s="512"/>
      <c r="F14" s="512"/>
      <c r="G14" s="512"/>
      <c r="H14" s="512"/>
      <c r="I14" s="512"/>
      <c r="J14" s="512"/>
      <c r="K14" s="512"/>
    </row>
    <row r="15" spans="1:11">
      <c r="A15" s="514"/>
      <c r="B15" s="514"/>
      <c r="C15" s="514"/>
      <c r="D15" s="514"/>
      <c r="E15" s="514"/>
      <c r="F15" s="514"/>
      <c r="G15" s="514"/>
      <c r="H15" s="514"/>
      <c r="I15" s="514"/>
      <c r="J15" s="514"/>
      <c r="K15" s="514"/>
    </row>
    <row r="16" spans="1:11">
      <c r="A16" s="514"/>
      <c r="B16" s="514"/>
      <c r="C16" s="514"/>
      <c r="D16" s="514"/>
      <c r="E16" s="514"/>
      <c r="F16" s="514"/>
      <c r="G16" s="514"/>
      <c r="H16" s="514"/>
      <c r="I16" s="514"/>
      <c r="J16" s="514"/>
      <c r="K16" s="514"/>
    </row>
    <row r="17" spans="1:11">
      <c r="A17" s="514"/>
      <c r="B17" s="514"/>
      <c r="C17" s="514"/>
      <c r="D17" s="514"/>
      <c r="E17" s="514"/>
      <c r="F17" s="514"/>
      <c r="G17" s="514"/>
      <c r="H17" s="514"/>
      <c r="I17" s="514"/>
      <c r="J17" s="514"/>
      <c r="K17" s="514"/>
    </row>
    <row r="18" spans="1:11">
      <c r="A18" s="514"/>
      <c r="B18" s="514"/>
      <c r="C18" s="514"/>
      <c r="D18" s="514"/>
      <c r="E18" s="514"/>
      <c r="F18" s="514"/>
      <c r="G18" s="514"/>
      <c r="H18" s="514"/>
      <c r="I18" s="514"/>
      <c r="J18" s="514"/>
      <c r="K18" s="514"/>
    </row>
    <row r="19" spans="1:11">
      <c r="A19" s="514"/>
      <c r="B19" s="514"/>
      <c r="C19" s="514"/>
      <c r="D19" s="514"/>
      <c r="E19" s="514"/>
      <c r="F19" s="514"/>
      <c r="G19" s="514"/>
      <c r="H19" s="514"/>
      <c r="I19" s="514"/>
      <c r="J19" s="514"/>
      <c r="K19" s="514"/>
    </row>
    <row r="20" spans="1:11">
      <c r="A20" s="514"/>
      <c r="B20" s="514"/>
      <c r="C20" s="514"/>
      <c r="D20" s="514"/>
      <c r="E20" s="514"/>
      <c r="F20" s="514"/>
      <c r="G20" s="514"/>
      <c r="H20" s="514"/>
      <c r="I20" s="514"/>
      <c r="J20" s="514"/>
      <c r="K20" s="51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A264"/>
  <sheetViews>
    <sheetView topLeftCell="A79" zoomScale="83" zoomScaleNormal="80" workbookViewId="0">
      <selection activeCell="C89" sqref="C89"/>
    </sheetView>
  </sheetViews>
  <sheetFormatPr defaultColWidth="9.21875" defaultRowHeight="14.4"/>
  <cols>
    <col min="1" max="1" width="9.21875" style="2"/>
    <col min="2" max="2" width="9.88671875" style="2" customWidth="1"/>
    <col min="3" max="3" width="14.5546875" customWidth="1"/>
    <col min="4" max="4" width="10.44140625" style="194" bestFit="1" customWidth="1"/>
  </cols>
  <sheetData>
    <row r="6" spans="1:27">
      <c r="A6" s="985" t="s">
        <v>234</v>
      </c>
      <c r="B6" s="985"/>
      <c r="C6" s="985"/>
      <c r="D6" s="985"/>
      <c r="E6" s="985"/>
      <c r="F6" s="985"/>
    </row>
    <row r="7" spans="1:27" ht="15" thickBot="1"/>
    <row r="8" spans="1:27" ht="15" customHeight="1">
      <c r="A8" s="986" t="s">
        <v>12</v>
      </c>
      <c r="B8" s="988" t="s">
        <v>13</v>
      </c>
      <c r="C8" s="990" t="s">
        <v>14</v>
      </c>
      <c r="D8" s="992" t="s">
        <v>15</v>
      </c>
    </row>
    <row r="9" spans="1:27" ht="15" thickBot="1">
      <c r="A9" s="987"/>
      <c r="B9" s="989"/>
      <c r="C9" s="991"/>
      <c r="D9" s="993"/>
    </row>
    <row r="10" spans="1:27" ht="19.2" customHeight="1" thickBot="1">
      <c r="A10" s="5">
        <v>1</v>
      </c>
      <c r="B10" s="58" t="s">
        <v>23</v>
      </c>
      <c r="C10" s="199" t="s">
        <v>471</v>
      </c>
      <c r="D10" s="410">
        <v>249.63499999999999</v>
      </c>
      <c r="E10" s="70" t="s">
        <v>224</v>
      </c>
      <c r="F10" s="982"/>
      <c r="G10" s="982"/>
      <c r="H10" s="982"/>
      <c r="I10" s="982"/>
      <c r="J10" s="982"/>
      <c r="K10" s="983"/>
      <c r="L10" s="983"/>
      <c r="M10" s="983"/>
      <c r="N10" s="983"/>
      <c r="O10" s="983"/>
      <c r="P10" s="983"/>
      <c r="Q10" s="983"/>
      <c r="R10" s="983"/>
      <c r="S10" s="984"/>
    </row>
    <row r="11" spans="1:27" ht="19.2" customHeight="1">
      <c r="A11" s="1"/>
      <c r="B11" s="59"/>
      <c r="C11" s="199"/>
      <c r="D11" s="410"/>
      <c r="F11" s="76" t="s">
        <v>229</v>
      </c>
      <c r="G11" s="76" t="s">
        <v>230</v>
      </c>
      <c r="H11" s="76" t="s">
        <v>231</v>
      </c>
      <c r="I11" s="76" t="s">
        <v>232</v>
      </c>
      <c r="J11" s="76" t="s">
        <v>233</v>
      </c>
      <c r="K11" s="76" t="s">
        <v>0</v>
      </c>
      <c r="L11" s="76" t="s">
        <v>227</v>
      </c>
      <c r="M11" s="76" t="s">
        <v>7</v>
      </c>
      <c r="N11" s="76" t="s">
        <v>228</v>
      </c>
      <c r="O11" s="76" t="s">
        <v>3</v>
      </c>
      <c r="P11" s="76" t="s">
        <v>1</v>
      </c>
      <c r="Q11" s="76" t="s">
        <v>9</v>
      </c>
      <c r="R11" s="76"/>
      <c r="S11" s="77" t="s">
        <v>11</v>
      </c>
    </row>
    <row r="12" spans="1:27" ht="19.2" customHeight="1">
      <c r="A12" s="1">
        <v>2</v>
      </c>
      <c r="B12" s="60" t="s">
        <v>24</v>
      </c>
      <c r="C12" s="199" t="s">
        <v>509</v>
      </c>
      <c r="D12" s="410">
        <v>425</v>
      </c>
      <c r="E12" s="363" t="s">
        <v>582</v>
      </c>
      <c r="F12" s="122">
        <f>COUNTIF($C$10:$C$253,"1DA-0")</f>
        <v>0</v>
      </c>
      <c r="G12" s="122">
        <v>10</v>
      </c>
      <c r="H12" s="122">
        <v>7</v>
      </c>
      <c r="I12" s="122">
        <v>3</v>
      </c>
      <c r="J12" s="122">
        <v>1</v>
      </c>
      <c r="K12" s="122">
        <v>26</v>
      </c>
      <c r="L12" s="122">
        <v>2</v>
      </c>
      <c r="M12" s="122">
        <v>21</v>
      </c>
      <c r="N12" s="122">
        <v>2</v>
      </c>
      <c r="O12" s="122">
        <v>8</v>
      </c>
      <c r="P12" s="122">
        <v>6</v>
      </c>
      <c r="Q12" s="122">
        <f>COUNTIF($C$10:$C$253,"1DA+18")</f>
        <v>0</v>
      </c>
      <c r="R12" s="43"/>
      <c r="S12" s="80">
        <f t="shared" ref="S12:S18" si="0">SUM(F12:R12)</f>
        <v>86</v>
      </c>
      <c r="T12" s="286"/>
    </row>
    <row r="13" spans="1:27" ht="16.2" thickBot="1">
      <c r="A13" s="1"/>
      <c r="B13" s="59"/>
      <c r="C13" s="199"/>
      <c r="D13" s="410"/>
      <c r="E13" s="363" t="s">
        <v>583</v>
      </c>
      <c r="F13" s="122">
        <f>COUNTIF($C$10:$C$253,"1DB1-0")</f>
        <v>0</v>
      </c>
      <c r="G13" s="122">
        <f>COUNTIF($C$10:$C$253,"1DB1-1.5")</f>
        <v>0</v>
      </c>
      <c r="H13" s="122">
        <v>0</v>
      </c>
      <c r="I13" s="122">
        <f>COUNTIF($C$10:$C$253,"1DB1-4.5")</f>
        <v>0</v>
      </c>
      <c r="J13" s="122">
        <f>COUNTIF($C$10:$C$253,"1DB1-6")</f>
        <v>0</v>
      </c>
      <c r="K13" s="122">
        <v>6</v>
      </c>
      <c r="L13" s="122">
        <f>COUNTIF($C$10:$C$253,"1DB1+1.5")</f>
        <v>0</v>
      </c>
      <c r="M13" s="122">
        <v>2</v>
      </c>
      <c r="N13" s="122">
        <f>COUNTIF($C$10:$C$253,"1DB1+4.5")</f>
        <v>0</v>
      </c>
      <c r="O13" s="122">
        <v>1</v>
      </c>
      <c r="P13" s="122">
        <v>5</v>
      </c>
      <c r="Q13" s="122">
        <f>COUNTIF($C$10:$C$253,"1DB1+18")</f>
        <v>0</v>
      </c>
      <c r="R13" s="43"/>
      <c r="S13" s="80">
        <f t="shared" si="0"/>
        <v>14</v>
      </c>
      <c r="T13" s="286"/>
      <c r="U13" s="6">
        <v>113</v>
      </c>
      <c r="V13" s="60" t="s">
        <v>54</v>
      </c>
      <c r="W13" s="279" t="s">
        <v>471</v>
      </c>
      <c r="Y13" s="199" t="s">
        <v>519</v>
      </c>
      <c r="Z13" s="199" t="s">
        <v>468</v>
      </c>
      <c r="AA13" s="348">
        <v>73.125</v>
      </c>
    </row>
    <row r="14" spans="1:27" ht="15.6">
      <c r="A14" s="1">
        <v>3</v>
      </c>
      <c r="B14" s="59" t="s">
        <v>117</v>
      </c>
      <c r="C14" s="186" t="s">
        <v>457</v>
      </c>
      <c r="D14" s="410">
        <v>425</v>
      </c>
      <c r="E14" s="363" t="s">
        <v>584</v>
      </c>
      <c r="F14" s="122">
        <f>COUNTIF($C$10:$C$253,"1DB2-0")</f>
        <v>0</v>
      </c>
      <c r="G14" s="122">
        <f>COUNTIF($C$10:$C$253,"1DB2-1.5")</f>
        <v>0</v>
      </c>
      <c r="H14" s="122">
        <f>COUNTIF($C$10:$C$253,"1DB2-3")</f>
        <v>0</v>
      </c>
      <c r="I14" s="122">
        <f>COUNTIF($C$10:$C$253,"1DB2-4.5")</f>
        <v>0</v>
      </c>
      <c r="J14" s="122">
        <f>COUNTIF($C$10:$C$253,"1DB2-6")</f>
        <v>0</v>
      </c>
      <c r="K14" s="122">
        <v>1</v>
      </c>
      <c r="L14" s="122">
        <f>COUNTIF($C$10:$C$253,"1DB2+1.5")</f>
        <v>0</v>
      </c>
      <c r="M14" s="122">
        <v>2</v>
      </c>
      <c r="N14" s="122">
        <f>COUNTIF($C$10:$C$253,"1DB2+4.5")</f>
        <v>0</v>
      </c>
      <c r="O14" s="122">
        <v>2</v>
      </c>
      <c r="P14" s="122">
        <v>2</v>
      </c>
      <c r="Q14" s="122">
        <f>COUNTIF($C$10:$C$253,"1DB2+18")</f>
        <v>0</v>
      </c>
      <c r="R14" s="43"/>
      <c r="S14" s="80">
        <f t="shared" si="0"/>
        <v>7</v>
      </c>
      <c r="T14" s="286"/>
      <c r="U14" s="6"/>
      <c r="V14" s="59"/>
      <c r="W14" s="59"/>
      <c r="Y14" s="199"/>
      <c r="Z14" s="199"/>
      <c r="AA14" s="348"/>
    </row>
    <row r="15" spans="1:27" ht="15.6">
      <c r="A15" s="1"/>
      <c r="B15" s="59"/>
      <c r="C15" s="199"/>
      <c r="D15" s="410"/>
      <c r="E15" s="363" t="s">
        <v>585</v>
      </c>
      <c r="F15" s="122">
        <f>COUNTIF($C$10:$C$253,"1DC1-0")</f>
        <v>0</v>
      </c>
      <c r="G15" s="122">
        <f>COUNTIF($C$10:$C$253,"1DC1-1.5")</f>
        <v>0</v>
      </c>
      <c r="H15" s="122">
        <v>0</v>
      </c>
      <c r="I15" s="122">
        <f>COUNTIF($C$10:$C$253,"1DC1-4.5")</f>
        <v>0</v>
      </c>
      <c r="J15" s="122">
        <f>COUNTIF($C$10:$C$253,"1DC1-6")</f>
        <v>0</v>
      </c>
      <c r="K15" s="122">
        <v>3</v>
      </c>
      <c r="L15" s="122">
        <f>COUNTIF($C$10:$C$253,"1DC1+1.5")</f>
        <v>0</v>
      </c>
      <c r="M15" s="122">
        <v>1</v>
      </c>
      <c r="N15" s="122">
        <f>COUNTIF($C$10:$C$253,"1DC1+4.5")</f>
        <v>0</v>
      </c>
      <c r="O15" s="122">
        <v>1</v>
      </c>
      <c r="P15" s="122">
        <v>1</v>
      </c>
      <c r="Q15" s="122">
        <f>COUNTIF($C$10:$C$253,"1DC1+18")</f>
        <v>0</v>
      </c>
      <c r="R15" s="43"/>
      <c r="S15" s="80">
        <f t="shared" si="0"/>
        <v>6</v>
      </c>
      <c r="T15" s="286"/>
      <c r="U15" s="6">
        <f>U13+1</f>
        <v>114</v>
      </c>
      <c r="V15" s="59" t="s">
        <v>186</v>
      </c>
      <c r="W15" s="59" t="s">
        <v>455</v>
      </c>
      <c r="Y15" s="199" t="s">
        <v>186</v>
      </c>
      <c r="Z15" s="199" t="s">
        <v>455</v>
      </c>
      <c r="AA15" s="348">
        <v>71.430000000000007</v>
      </c>
    </row>
    <row r="16" spans="1:27" ht="15.6">
      <c r="A16" s="1">
        <v>4</v>
      </c>
      <c r="B16" s="59" t="s">
        <v>118</v>
      </c>
      <c r="C16" s="186" t="s">
        <v>465</v>
      </c>
      <c r="D16" s="410">
        <v>390</v>
      </c>
      <c r="E16" s="363" t="s">
        <v>586</v>
      </c>
      <c r="F16" s="122">
        <f>COUNTIF($C$10:$C$253,"1DC2-0")</f>
        <v>0</v>
      </c>
      <c r="G16" s="122">
        <f>COUNTIF($C$10:$C$253,"1DC2-1.5")</f>
        <v>0</v>
      </c>
      <c r="H16" s="122">
        <f>COUNTIF($C$10:$C$253,"1DC2-3")</f>
        <v>0</v>
      </c>
      <c r="I16" s="122">
        <f>COUNTIF($C$10:$C$253,"1DC2-4.5")</f>
        <v>0</v>
      </c>
      <c r="J16" s="122">
        <f>COUNTIF($C$10:$C$253,"1DC2-6")</f>
        <v>0</v>
      </c>
      <c r="K16" s="122">
        <v>2</v>
      </c>
      <c r="L16" s="122">
        <f>COUNTIF($C$10:$C$253,"1DC2+1.5")</f>
        <v>0</v>
      </c>
      <c r="M16" s="122">
        <v>2</v>
      </c>
      <c r="N16" s="122">
        <f>COUNTIF($C$10:$C$253,"1DC2+4.5")</f>
        <v>0</v>
      </c>
      <c r="O16" s="122">
        <f>COUNTIF($C$10:$C$253,"1DC2+6")</f>
        <v>2</v>
      </c>
      <c r="P16" s="122">
        <f>COUNTIF($C$10:$C$253,"1DC2+9")</f>
        <v>0</v>
      </c>
      <c r="Q16" s="122">
        <f>COUNTIF($C$10:$C$253,"1DC2+18")</f>
        <v>0</v>
      </c>
      <c r="R16" s="43"/>
      <c r="S16" s="80">
        <f t="shared" si="0"/>
        <v>6</v>
      </c>
      <c r="T16" s="286"/>
      <c r="U16" s="6"/>
      <c r="V16" s="59"/>
      <c r="W16" s="59"/>
      <c r="Y16" s="199"/>
      <c r="Z16" s="199"/>
      <c r="AA16" s="348"/>
    </row>
    <row r="17" spans="1:27" ht="15.6">
      <c r="A17" s="1"/>
      <c r="B17" s="59"/>
      <c r="C17" s="199"/>
      <c r="D17" s="410"/>
      <c r="E17" s="363" t="s">
        <v>587</v>
      </c>
      <c r="F17" s="122">
        <f>COUNTIF($C$10:$C$253,"1DD45-0")</f>
        <v>0</v>
      </c>
      <c r="G17" s="122">
        <f>COUNTIF($C$10:$C$253,"1DD45-1.5")</f>
        <v>0</v>
      </c>
      <c r="H17" s="122">
        <f>COUNTIF($C$10:$C$253,"1DD45-3")</f>
        <v>0</v>
      </c>
      <c r="I17" s="122">
        <f>COUNTIF($C$10:$C$253,"1DD45-4.5")</f>
        <v>0</v>
      </c>
      <c r="J17" s="122">
        <f>COUNTIF($C$10:$C$253,"1DD45-6")</f>
        <v>0</v>
      </c>
      <c r="K17" s="122">
        <v>1</v>
      </c>
      <c r="L17" s="122">
        <f>COUNTIF($C$10:$C$253,"1DD45+1.5")</f>
        <v>0</v>
      </c>
      <c r="M17" s="122">
        <f>COUNTIF($C$10:$C$253,"1DD45+3")</f>
        <v>0</v>
      </c>
      <c r="N17" s="122">
        <f>COUNTIF($C$10:$C$253,"1DD45+4.5")</f>
        <v>0</v>
      </c>
      <c r="O17" s="122">
        <f>COUNTIF($C$10:$C$253,"1DD45+6")</f>
        <v>0</v>
      </c>
      <c r="P17" s="122">
        <f>COUNTIF($C$10:$C$253,"1DD45+9")</f>
        <v>0</v>
      </c>
      <c r="Q17" s="122">
        <v>1</v>
      </c>
      <c r="R17" s="43"/>
      <c r="S17" s="80">
        <f t="shared" si="0"/>
        <v>2</v>
      </c>
      <c r="T17" s="286"/>
      <c r="U17" s="6">
        <f>U15+1</f>
        <v>115</v>
      </c>
      <c r="V17" s="59" t="s">
        <v>187</v>
      </c>
      <c r="W17" s="59" t="s">
        <v>465</v>
      </c>
      <c r="Y17" s="199" t="s">
        <v>187</v>
      </c>
      <c r="Z17" s="199" t="s">
        <v>455</v>
      </c>
      <c r="AA17" s="348">
        <v>71.430000000000007</v>
      </c>
    </row>
    <row r="18" spans="1:27" ht="16.2" thickBot="1">
      <c r="A18" s="1">
        <v>5</v>
      </c>
      <c r="B18" s="59" t="s">
        <v>119</v>
      </c>
      <c r="C18" s="186" t="s">
        <v>458</v>
      </c>
      <c r="D18" s="410">
        <v>265</v>
      </c>
      <c r="E18" s="363" t="s">
        <v>588</v>
      </c>
      <c r="F18" s="123">
        <f>COUNTIF($C$10:$C$253,"1DD60-0")</f>
        <v>0</v>
      </c>
      <c r="G18" s="123">
        <f>COUNTIF($C$10:$C$253,"1DD60-1.5")</f>
        <v>0</v>
      </c>
      <c r="H18" s="123">
        <f>COUNTIF($C$10:$C$253,"1DD60-3")</f>
        <v>0</v>
      </c>
      <c r="I18" s="123">
        <f>COUNTIF($C$10:$C$253,"1DD60-4.5")</f>
        <v>0</v>
      </c>
      <c r="J18" s="123">
        <f>COUNTIF($C$10:$C$253,"1DD60-6")</f>
        <v>0</v>
      </c>
      <c r="K18" s="123">
        <v>3</v>
      </c>
      <c r="L18" s="123">
        <f>COUNTIF($C$10:$C$253,"1DD60+1.5")</f>
        <v>0</v>
      </c>
      <c r="M18" s="123">
        <f>COUNTIF($C$10:$C$253,"1DD60+3")</f>
        <v>0</v>
      </c>
      <c r="N18" s="123">
        <f>COUNTIF($C$10:$C$253,"1DD60+4.5")</f>
        <v>0</v>
      </c>
      <c r="O18" s="123">
        <v>0</v>
      </c>
      <c r="P18" s="123">
        <f>COUNTIF($C$10:$C$253,"1DD60+9")</f>
        <v>0</v>
      </c>
      <c r="Q18" s="123">
        <f>COUNTIF($C$10:$C$253,"1DD60+18")</f>
        <v>0</v>
      </c>
      <c r="R18" s="44"/>
      <c r="S18" s="81">
        <f t="shared" si="0"/>
        <v>3</v>
      </c>
      <c r="T18" s="286"/>
      <c r="U18" s="6"/>
      <c r="V18" s="59"/>
      <c r="W18" s="59"/>
      <c r="Y18" s="199"/>
      <c r="Z18" s="199"/>
      <c r="AA18" s="348"/>
    </row>
    <row r="19" spans="1:27" ht="16.2" thickBot="1">
      <c r="A19" s="1"/>
      <c r="B19" s="59"/>
      <c r="C19" s="199"/>
      <c r="D19" s="410"/>
      <c r="F19" s="124">
        <f>SUM(F12:F18)</f>
        <v>0</v>
      </c>
      <c r="G19" s="124">
        <f t="shared" ref="G19:S19" si="1">SUM(G12:G18)</f>
        <v>10</v>
      </c>
      <c r="H19" s="124">
        <f t="shared" si="1"/>
        <v>7</v>
      </c>
      <c r="I19" s="124">
        <f t="shared" si="1"/>
        <v>3</v>
      </c>
      <c r="J19" s="124">
        <f t="shared" si="1"/>
        <v>1</v>
      </c>
      <c r="K19" s="124">
        <f t="shared" si="1"/>
        <v>42</v>
      </c>
      <c r="L19" s="124">
        <f t="shared" si="1"/>
        <v>2</v>
      </c>
      <c r="M19" s="124">
        <f t="shared" si="1"/>
        <v>28</v>
      </c>
      <c r="N19" s="124">
        <f t="shared" si="1"/>
        <v>2</v>
      </c>
      <c r="O19" s="124">
        <f t="shared" si="1"/>
        <v>14</v>
      </c>
      <c r="P19" s="124">
        <f t="shared" si="1"/>
        <v>14</v>
      </c>
      <c r="Q19" s="124">
        <f t="shared" si="1"/>
        <v>1</v>
      </c>
      <c r="R19" s="78"/>
      <c r="S19" s="79">
        <f t="shared" si="1"/>
        <v>124</v>
      </c>
      <c r="U19" s="6">
        <f>U17+1</f>
        <v>116</v>
      </c>
      <c r="V19" s="59" t="s">
        <v>188</v>
      </c>
      <c r="W19" s="59" t="s">
        <v>455</v>
      </c>
      <c r="Y19" s="199" t="s">
        <v>188</v>
      </c>
      <c r="Z19" s="199" t="s">
        <v>457</v>
      </c>
      <c r="AA19" s="348">
        <v>68.430000000000007</v>
      </c>
    </row>
    <row r="20" spans="1:27" ht="15">
      <c r="A20" s="1">
        <v>6</v>
      </c>
      <c r="B20" s="59" t="s">
        <v>120</v>
      </c>
      <c r="C20" s="186" t="s">
        <v>456</v>
      </c>
      <c r="D20" s="410">
        <v>510</v>
      </c>
      <c r="U20" s="6"/>
      <c r="V20" s="59"/>
      <c r="W20" s="59"/>
      <c r="Y20" s="199"/>
      <c r="Z20" s="199"/>
      <c r="AA20" s="348"/>
    </row>
    <row r="21" spans="1:27" ht="15">
      <c r="A21" s="1"/>
      <c r="B21" s="59"/>
      <c r="C21" s="199"/>
      <c r="D21" s="410"/>
      <c r="U21" s="6">
        <f>U19+1</f>
        <v>117</v>
      </c>
      <c r="V21" s="59" t="s">
        <v>189</v>
      </c>
      <c r="W21" s="59" t="s">
        <v>456</v>
      </c>
      <c r="Y21" s="199" t="s">
        <v>553</v>
      </c>
      <c r="Z21" s="199" t="s">
        <v>554</v>
      </c>
      <c r="AA21" s="348">
        <v>76.525000000000006</v>
      </c>
    </row>
    <row r="22" spans="1:27" ht="15">
      <c r="A22" s="1">
        <v>7</v>
      </c>
      <c r="B22" s="59" t="s">
        <v>121</v>
      </c>
      <c r="C22" s="199" t="s">
        <v>460</v>
      </c>
      <c r="D22" s="410">
        <v>380</v>
      </c>
      <c r="U22" s="6"/>
      <c r="V22" s="59"/>
      <c r="W22" s="59"/>
      <c r="Y22" s="199"/>
      <c r="Z22" s="199"/>
      <c r="AA22" s="348"/>
    </row>
    <row r="23" spans="1:27" ht="15">
      <c r="A23" s="1"/>
      <c r="B23" s="59"/>
      <c r="C23" s="199"/>
      <c r="D23" s="410"/>
      <c r="U23" s="6">
        <f>U21+1</f>
        <v>118</v>
      </c>
      <c r="V23" s="60" t="s">
        <v>190</v>
      </c>
      <c r="W23" s="60" t="s">
        <v>510</v>
      </c>
      <c r="Y23" s="199" t="s">
        <v>555</v>
      </c>
      <c r="Z23" s="199" t="s">
        <v>554</v>
      </c>
      <c r="AA23" s="348">
        <v>76.525000000000006</v>
      </c>
    </row>
    <row r="24" spans="1:27" ht="15">
      <c r="A24" s="1">
        <v>8</v>
      </c>
      <c r="B24" s="59" t="s">
        <v>122</v>
      </c>
      <c r="C24" s="199" t="s">
        <v>460</v>
      </c>
      <c r="D24" s="410">
        <v>420</v>
      </c>
      <c r="U24" s="6"/>
      <c r="V24" s="59"/>
      <c r="W24" s="59"/>
      <c r="Y24" s="199"/>
      <c r="Z24" s="199"/>
      <c r="AA24" s="348"/>
    </row>
    <row r="25" spans="1:27" ht="15.6" thickBot="1">
      <c r="A25" s="1"/>
      <c r="B25" s="59"/>
      <c r="C25" s="199"/>
      <c r="D25" s="410"/>
      <c r="U25" s="6">
        <f>U23+1</f>
        <v>119</v>
      </c>
      <c r="V25" s="59" t="s">
        <v>191</v>
      </c>
      <c r="W25" s="59" t="s">
        <v>508</v>
      </c>
      <c r="Y25" s="199" t="s">
        <v>556</v>
      </c>
      <c r="Z25" s="199" t="s">
        <v>457</v>
      </c>
      <c r="AA25" s="348">
        <v>68.430000000000007</v>
      </c>
    </row>
    <row r="26" spans="1:27" ht="16.2" thickBot="1">
      <c r="A26" s="1">
        <v>9</v>
      </c>
      <c r="B26" s="59" t="s">
        <v>123</v>
      </c>
      <c r="C26" s="186" t="s">
        <v>457</v>
      </c>
      <c r="D26" s="410">
        <v>335</v>
      </c>
      <c r="F26" s="982"/>
      <c r="G26" s="982"/>
      <c r="H26" s="982"/>
      <c r="I26" s="982"/>
      <c r="J26" s="982"/>
      <c r="K26" s="983"/>
      <c r="L26" s="983"/>
      <c r="M26" s="983"/>
      <c r="N26" s="983"/>
      <c r="O26" s="983"/>
      <c r="P26" s="983"/>
      <c r="Q26" s="983"/>
      <c r="R26" s="983"/>
      <c r="S26" s="984"/>
      <c r="U26" s="6"/>
      <c r="V26" s="59"/>
      <c r="W26" s="59"/>
      <c r="Y26" s="199"/>
      <c r="Z26" s="199"/>
      <c r="AA26" s="348"/>
    </row>
    <row r="27" spans="1:27" ht="15.6">
      <c r="A27" s="1"/>
      <c r="B27" s="59"/>
      <c r="C27" s="199"/>
      <c r="D27" s="410"/>
      <c r="F27" s="76" t="s">
        <v>229</v>
      </c>
      <c r="G27" s="76" t="s">
        <v>230</v>
      </c>
      <c r="H27" s="76" t="s">
        <v>231</v>
      </c>
      <c r="I27" s="76" t="s">
        <v>232</v>
      </c>
      <c r="J27" s="76" t="s">
        <v>233</v>
      </c>
      <c r="K27" s="76" t="s">
        <v>0</v>
      </c>
      <c r="L27" s="76" t="s">
        <v>227</v>
      </c>
      <c r="M27" s="76" t="s">
        <v>7</v>
      </c>
      <c r="N27" s="76" t="s">
        <v>228</v>
      </c>
      <c r="O27" s="76" t="s">
        <v>3</v>
      </c>
      <c r="P27" s="76" t="s">
        <v>1</v>
      </c>
      <c r="Q27" s="76" t="s">
        <v>9</v>
      </c>
      <c r="R27" s="76"/>
      <c r="S27" s="77" t="s">
        <v>11</v>
      </c>
      <c r="U27" s="6">
        <f>U25+1</f>
        <v>120</v>
      </c>
      <c r="V27" s="60" t="s">
        <v>192</v>
      </c>
      <c r="W27" s="60" t="s">
        <v>466</v>
      </c>
      <c r="Y27" s="199" t="s">
        <v>557</v>
      </c>
      <c r="Z27" s="199" t="s">
        <v>462</v>
      </c>
      <c r="AA27" s="348">
        <v>70.125</v>
      </c>
    </row>
    <row r="28" spans="1:27" ht="15.6">
      <c r="A28" s="1">
        <v>10</v>
      </c>
      <c r="B28" s="59" t="s">
        <v>124</v>
      </c>
      <c r="C28" s="186" t="s">
        <v>457</v>
      </c>
      <c r="D28" s="410">
        <v>345</v>
      </c>
      <c r="E28" s="363" t="s">
        <v>582</v>
      </c>
      <c r="F28" s="122">
        <v>0</v>
      </c>
      <c r="G28" s="122">
        <v>2</v>
      </c>
      <c r="H28" s="122">
        <v>18</v>
      </c>
      <c r="I28" s="122">
        <v>0</v>
      </c>
      <c r="J28" s="122">
        <v>0</v>
      </c>
      <c r="K28" s="122">
        <v>37</v>
      </c>
      <c r="L28" s="122">
        <v>0</v>
      </c>
      <c r="M28" s="122">
        <v>19</v>
      </c>
      <c r="N28" s="122">
        <v>0</v>
      </c>
      <c r="O28" s="122">
        <v>7</v>
      </c>
      <c r="P28" s="122">
        <v>6</v>
      </c>
      <c r="Q28" s="122">
        <v>0</v>
      </c>
      <c r="R28" s="43"/>
      <c r="S28" s="80">
        <f t="shared" ref="S28:S34" si="2">SUM(F28:R28)</f>
        <v>89</v>
      </c>
      <c r="U28" s="6"/>
      <c r="V28" s="59"/>
      <c r="W28" s="59"/>
      <c r="Y28" s="199"/>
      <c r="Z28" s="199"/>
      <c r="AA28" s="348"/>
    </row>
    <row r="29" spans="1:27" ht="15.6">
      <c r="A29" s="1"/>
      <c r="B29" s="59"/>
      <c r="C29" s="199"/>
      <c r="D29" s="410"/>
      <c r="E29" s="363" t="s">
        <v>583</v>
      </c>
      <c r="F29" s="122">
        <v>0</v>
      </c>
      <c r="G29" s="122">
        <v>0</v>
      </c>
      <c r="H29" s="122">
        <v>1</v>
      </c>
      <c r="I29" s="122">
        <v>0</v>
      </c>
      <c r="J29" s="122">
        <v>0</v>
      </c>
      <c r="K29" s="122">
        <v>7</v>
      </c>
      <c r="L29" s="122">
        <v>0</v>
      </c>
      <c r="M29" s="122">
        <v>1</v>
      </c>
      <c r="N29" s="122">
        <v>0</v>
      </c>
      <c r="O29" s="122">
        <v>2</v>
      </c>
      <c r="P29" s="122">
        <v>4</v>
      </c>
      <c r="Q29" s="122">
        <v>0</v>
      </c>
      <c r="R29" s="43"/>
      <c r="S29" s="80">
        <f t="shared" si="2"/>
        <v>15</v>
      </c>
      <c r="U29" s="6">
        <f>U27+1</f>
        <v>121</v>
      </c>
      <c r="V29" s="60" t="s">
        <v>193</v>
      </c>
      <c r="W29" s="60" t="s">
        <v>511</v>
      </c>
      <c r="Y29" s="199" t="s">
        <v>558</v>
      </c>
      <c r="Z29" s="199" t="s">
        <v>465</v>
      </c>
      <c r="AA29" s="348">
        <v>77.430000000000007</v>
      </c>
    </row>
    <row r="30" spans="1:27" ht="15.6">
      <c r="A30" s="1">
        <v>11</v>
      </c>
      <c r="B30" s="59" t="s">
        <v>125</v>
      </c>
      <c r="C30" s="186" t="s">
        <v>457</v>
      </c>
      <c r="D30" s="410">
        <v>365</v>
      </c>
      <c r="E30" s="363" t="s">
        <v>584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1</v>
      </c>
      <c r="L30" s="122">
        <v>0</v>
      </c>
      <c r="M30" s="122">
        <v>2</v>
      </c>
      <c r="N30" s="122">
        <v>0</v>
      </c>
      <c r="O30" s="122">
        <v>0</v>
      </c>
      <c r="P30" s="122">
        <v>1</v>
      </c>
      <c r="Q30" s="122">
        <v>0</v>
      </c>
      <c r="R30" s="43"/>
      <c r="S30" s="80">
        <f t="shared" si="2"/>
        <v>4</v>
      </c>
      <c r="U30" s="6"/>
      <c r="V30" s="59"/>
      <c r="W30" s="59"/>
      <c r="Y30" s="199"/>
      <c r="Z30" s="199"/>
      <c r="AA30" s="348"/>
    </row>
    <row r="31" spans="1:27" ht="15.6">
      <c r="A31" s="1"/>
      <c r="B31" s="59"/>
      <c r="C31" s="199"/>
      <c r="D31" s="410"/>
      <c r="E31" s="363" t="s">
        <v>585</v>
      </c>
      <c r="F31" s="122">
        <v>0</v>
      </c>
      <c r="G31" s="122">
        <v>0</v>
      </c>
      <c r="H31" s="122">
        <v>1</v>
      </c>
      <c r="I31" s="122">
        <v>0</v>
      </c>
      <c r="J31" s="122">
        <v>0</v>
      </c>
      <c r="K31" s="122">
        <v>2</v>
      </c>
      <c r="L31" s="122">
        <v>0</v>
      </c>
      <c r="M31" s="122">
        <v>3</v>
      </c>
      <c r="N31" s="122">
        <v>0</v>
      </c>
      <c r="O31" s="122">
        <v>1</v>
      </c>
      <c r="P31" s="122">
        <v>0</v>
      </c>
      <c r="Q31" s="122">
        <v>0</v>
      </c>
      <c r="R31" s="43"/>
      <c r="S31" s="80">
        <f t="shared" si="2"/>
        <v>7</v>
      </c>
      <c r="U31" s="6">
        <f>U29+1</f>
        <v>122</v>
      </c>
      <c r="V31" s="60" t="s">
        <v>89</v>
      </c>
      <c r="W31" s="60" t="s">
        <v>89</v>
      </c>
      <c r="Y31" s="199" t="s">
        <v>559</v>
      </c>
      <c r="Z31" s="199" t="s">
        <v>455</v>
      </c>
      <c r="AA31" s="348">
        <v>71.430000000000007</v>
      </c>
    </row>
    <row r="32" spans="1:27" ht="15.6">
      <c r="A32" s="1">
        <v>12</v>
      </c>
      <c r="B32" s="59" t="s">
        <v>126</v>
      </c>
      <c r="C32" s="186" t="s">
        <v>455</v>
      </c>
      <c r="D32" s="410">
        <v>356</v>
      </c>
      <c r="E32" s="363" t="s">
        <v>586</v>
      </c>
      <c r="F32" s="122">
        <v>0</v>
      </c>
      <c r="G32" s="122">
        <v>0</v>
      </c>
      <c r="H32" s="122">
        <v>0</v>
      </c>
      <c r="I32" s="122">
        <v>0</v>
      </c>
      <c r="J32" s="122">
        <v>0</v>
      </c>
      <c r="K32" s="122">
        <v>3</v>
      </c>
      <c r="L32" s="122">
        <v>0</v>
      </c>
      <c r="M32" s="122">
        <v>1</v>
      </c>
      <c r="N32" s="122">
        <v>0</v>
      </c>
      <c r="O32" s="122">
        <v>2</v>
      </c>
      <c r="P32" s="122">
        <v>0</v>
      </c>
      <c r="Q32" s="122">
        <v>0</v>
      </c>
      <c r="R32" s="43"/>
      <c r="S32" s="80">
        <f t="shared" si="2"/>
        <v>6</v>
      </c>
      <c r="U32" s="6"/>
      <c r="V32" s="33"/>
      <c r="W32" s="33"/>
      <c r="Y32" s="199"/>
      <c r="Z32" s="199"/>
      <c r="AA32" s="348"/>
    </row>
    <row r="33" spans="1:27" ht="15.6">
      <c r="A33" s="1"/>
      <c r="B33" s="59"/>
      <c r="C33" s="199"/>
      <c r="D33" s="410"/>
      <c r="E33" s="363" t="s">
        <v>587</v>
      </c>
      <c r="F33" s="122">
        <v>0</v>
      </c>
      <c r="G33" s="122">
        <v>0</v>
      </c>
      <c r="H33" s="122">
        <v>0</v>
      </c>
      <c r="I33" s="122">
        <v>0</v>
      </c>
      <c r="J33" s="122">
        <v>0</v>
      </c>
      <c r="K33" s="122">
        <v>0</v>
      </c>
      <c r="L33" s="122">
        <v>0</v>
      </c>
      <c r="M33" s="122">
        <v>0</v>
      </c>
      <c r="N33" s="122">
        <v>0</v>
      </c>
      <c r="O33" s="122">
        <v>1</v>
      </c>
      <c r="P33" s="122">
        <v>0</v>
      </c>
      <c r="Q33" s="122">
        <v>1</v>
      </c>
      <c r="R33" s="43"/>
      <c r="S33" s="80">
        <f t="shared" si="2"/>
        <v>2</v>
      </c>
      <c r="U33" s="2"/>
      <c r="V33" s="2"/>
      <c r="Y33" s="199" t="s">
        <v>560</v>
      </c>
      <c r="Z33" s="199" t="s">
        <v>455</v>
      </c>
      <c r="AA33" s="348">
        <v>71.430000000000007</v>
      </c>
    </row>
    <row r="34" spans="1:27" ht="16.2" thickBot="1">
      <c r="A34" s="1">
        <v>13</v>
      </c>
      <c r="B34" s="59" t="s">
        <v>127</v>
      </c>
      <c r="C34" s="186" t="s">
        <v>457</v>
      </c>
      <c r="D34" s="410">
        <v>332</v>
      </c>
      <c r="E34" s="363" t="s">
        <v>588</v>
      </c>
      <c r="F34" s="123">
        <v>0</v>
      </c>
      <c r="G34" s="123">
        <v>0</v>
      </c>
      <c r="H34" s="123">
        <v>0</v>
      </c>
      <c r="I34" s="123">
        <v>0</v>
      </c>
      <c r="J34" s="123">
        <v>0</v>
      </c>
      <c r="K34" s="123">
        <v>2</v>
      </c>
      <c r="L34" s="123">
        <v>0</v>
      </c>
      <c r="M34" s="123">
        <v>0</v>
      </c>
      <c r="N34" s="123">
        <v>0</v>
      </c>
      <c r="O34" s="123">
        <v>2</v>
      </c>
      <c r="P34" s="123">
        <v>0</v>
      </c>
      <c r="Q34" s="123">
        <v>0</v>
      </c>
      <c r="R34" s="44"/>
      <c r="S34" s="81">
        <f t="shared" si="2"/>
        <v>4</v>
      </c>
      <c r="U34" s="2"/>
      <c r="V34" s="2"/>
      <c r="Y34" s="199"/>
      <c r="Z34" s="199"/>
      <c r="AA34" s="348"/>
    </row>
    <row r="35" spans="1:27" ht="16.2" thickBot="1">
      <c r="A35" s="1"/>
      <c r="B35" s="59"/>
      <c r="C35" s="199"/>
      <c r="D35" s="410"/>
      <c r="F35" s="124">
        <f>SUM(F28:F34)</f>
        <v>0</v>
      </c>
      <c r="G35" s="124">
        <f t="shared" ref="G35:Q35" si="3">SUM(G28:G34)</f>
        <v>2</v>
      </c>
      <c r="H35" s="124">
        <f t="shared" si="3"/>
        <v>20</v>
      </c>
      <c r="I35" s="124">
        <f t="shared" si="3"/>
        <v>0</v>
      </c>
      <c r="J35" s="124">
        <f t="shared" si="3"/>
        <v>0</v>
      </c>
      <c r="K35" s="124">
        <f t="shared" si="3"/>
        <v>52</v>
      </c>
      <c r="L35" s="124">
        <f t="shared" si="3"/>
        <v>0</v>
      </c>
      <c r="M35" s="124">
        <f t="shared" si="3"/>
        <v>26</v>
      </c>
      <c r="N35" s="124">
        <f t="shared" si="3"/>
        <v>0</v>
      </c>
      <c r="O35" s="124">
        <f t="shared" si="3"/>
        <v>15</v>
      </c>
      <c r="P35" s="124">
        <f t="shared" si="3"/>
        <v>11</v>
      </c>
      <c r="Q35" s="124">
        <f t="shared" si="3"/>
        <v>1</v>
      </c>
      <c r="R35" s="78"/>
      <c r="S35" s="79">
        <f t="shared" ref="S35" si="4">SUM(S28:S34)</f>
        <v>127</v>
      </c>
      <c r="U35" s="2"/>
      <c r="V35" s="2"/>
      <c r="Y35" s="199" t="s">
        <v>561</v>
      </c>
      <c r="Z35" s="199" t="s">
        <v>508</v>
      </c>
      <c r="AA35" s="348">
        <v>69.930000000000007</v>
      </c>
    </row>
    <row r="36" spans="1:27" ht="15">
      <c r="A36" s="1">
        <v>14</v>
      </c>
      <c r="B36" s="59" t="s">
        <v>128</v>
      </c>
      <c r="C36" s="186" t="s">
        <v>455</v>
      </c>
      <c r="D36" s="410">
        <v>384.42399999999998</v>
      </c>
      <c r="U36" s="2"/>
      <c r="V36" s="2"/>
      <c r="Y36" s="199"/>
      <c r="Z36" s="199"/>
      <c r="AA36" s="348"/>
    </row>
    <row r="37" spans="1:27" ht="15">
      <c r="A37" s="1"/>
      <c r="B37" s="59"/>
      <c r="C37" s="59"/>
      <c r="D37" s="410"/>
      <c r="U37" s="2"/>
      <c r="V37" s="2"/>
      <c r="Y37" s="199" t="s">
        <v>562</v>
      </c>
      <c r="Z37" s="199" t="s">
        <v>563</v>
      </c>
      <c r="AA37" s="348">
        <v>76.525000000000006</v>
      </c>
    </row>
    <row r="38" spans="1:27" ht="15">
      <c r="A38" s="1">
        <v>15</v>
      </c>
      <c r="B38" s="60" t="s">
        <v>25</v>
      </c>
      <c r="C38" s="186" t="s">
        <v>454</v>
      </c>
      <c r="D38" s="409">
        <v>385</v>
      </c>
      <c r="U38" s="2"/>
      <c r="V38" s="2"/>
    </row>
    <row r="39" spans="1:27" ht="18">
      <c r="A39" s="1"/>
      <c r="B39" s="59"/>
      <c r="C39" s="186"/>
      <c r="D39" s="409"/>
      <c r="U39" s="2"/>
      <c r="V39" s="2"/>
      <c r="Y39" s="349" t="s">
        <v>564</v>
      </c>
      <c r="Z39" s="350" t="s">
        <v>565</v>
      </c>
    </row>
    <row r="40" spans="1:27" ht="18">
      <c r="A40" s="1">
        <v>16</v>
      </c>
      <c r="B40" s="59" t="s">
        <v>16</v>
      </c>
      <c r="C40" s="186" t="s">
        <v>455</v>
      </c>
      <c r="D40" s="409">
        <v>423</v>
      </c>
      <c r="U40" s="2"/>
      <c r="V40" s="2"/>
      <c r="Y40" s="351"/>
      <c r="Z40" s="352"/>
    </row>
    <row r="41" spans="1:27" ht="18">
      <c r="A41" s="1"/>
      <c r="B41" s="59"/>
      <c r="C41" s="186"/>
      <c r="D41" s="409"/>
      <c r="U41" s="2"/>
      <c r="V41" s="2"/>
      <c r="Y41" s="349" t="s">
        <v>566</v>
      </c>
      <c r="Z41" s="350" t="s">
        <v>565</v>
      </c>
    </row>
    <row r="42" spans="1:27" ht="15">
      <c r="A42" s="1">
        <v>17</v>
      </c>
      <c r="B42" s="59" t="s">
        <v>17</v>
      </c>
      <c r="C42" s="186" t="s">
        <v>455</v>
      </c>
      <c r="D42" s="409">
        <v>382</v>
      </c>
    </row>
    <row r="43" spans="1:27" ht="15">
      <c r="A43" s="1"/>
      <c r="B43" s="59"/>
      <c r="C43" s="186"/>
      <c r="D43" s="409"/>
    </row>
    <row r="44" spans="1:27" ht="15">
      <c r="A44" s="1">
        <v>18</v>
      </c>
      <c r="B44" s="59" t="s">
        <v>18</v>
      </c>
      <c r="C44" s="186" t="s">
        <v>455</v>
      </c>
      <c r="D44" s="409">
        <v>405</v>
      </c>
    </row>
    <row r="45" spans="1:27" ht="15">
      <c r="A45" s="1"/>
      <c r="B45" s="59"/>
      <c r="C45" s="186"/>
      <c r="D45" s="409"/>
    </row>
    <row r="46" spans="1:27" ht="15">
      <c r="A46" s="1">
        <v>19</v>
      </c>
      <c r="B46" s="59" t="s">
        <v>129</v>
      </c>
      <c r="C46" s="186" t="s">
        <v>456</v>
      </c>
      <c r="D46" s="409">
        <v>388.45800000000003</v>
      </c>
    </row>
    <row r="47" spans="1:27" ht="15">
      <c r="A47" s="1"/>
      <c r="B47" s="59"/>
      <c r="C47" s="186"/>
      <c r="D47" s="409"/>
    </row>
    <row r="48" spans="1:27" ht="15">
      <c r="A48" s="1">
        <v>20</v>
      </c>
      <c r="B48" s="60" t="s">
        <v>26</v>
      </c>
      <c r="C48" s="186" t="s">
        <v>454</v>
      </c>
      <c r="D48" s="409">
        <v>405</v>
      </c>
    </row>
    <row r="49" spans="1:4" ht="15">
      <c r="A49" s="1"/>
      <c r="B49" s="59"/>
      <c r="C49" s="186"/>
      <c r="D49" s="409"/>
    </row>
    <row r="50" spans="1:4" ht="15">
      <c r="A50" s="1">
        <v>21</v>
      </c>
      <c r="B50" s="59" t="s">
        <v>130</v>
      </c>
      <c r="C50" s="186" t="s">
        <v>456</v>
      </c>
      <c r="D50" s="409">
        <v>360</v>
      </c>
    </row>
    <row r="51" spans="1:4" ht="15">
      <c r="A51" s="1"/>
      <c r="B51" s="59"/>
      <c r="C51" s="186"/>
      <c r="D51" s="409"/>
    </row>
    <row r="52" spans="1:4" ht="15">
      <c r="A52" s="1">
        <v>22</v>
      </c>
      <c r="B52" s="59" t="s">
        <v>131</v>
      </c>
      <c r="C52" s="186" t="s">
        <v>456</v>
      </c>
      <c r="D52" s="409">
        <v>390</v>
      </c>
    </row>
    <row r="53" spans="1:4" ht="15">
      <c r="A53" s="1"/>
      <c r="B53" s="59"/>
      <c r="C53" s="186"/>
      <c r="D53" s="409"/>
    </row>
    <row r="54" spans="1:4" ht="15">
      <c r="A54" s="1">
        <v>23</v>
      </c>
      <c r="B54" s="59" t="s">
        <v>132</v>
      </c>
      <c r="C54" s="186" t="s">
        <v>457</v>
      </c>
      <c r="D54" s="409">
        <v>325</v>
      </c>
    </row>
    <row r="55" spans="1:4" ht="15">
      <c r="A55" s="1"/>
      <c r="B55" s="59"/>
      <c r="C55" s="186"/>
      <c r="D55" s="409"/>
    </row>
    <row r="56" spans="1:4" ht="15">
      <c r="A56" s="1">
        <v>24</v>
      </c>
      <c r="B56" s="59" t="s">
        <v>133</v>
      </c>
      <c r="C56" s="186" t="s">
        <v>455</v>
      </c>
      <c r="D56" s="409">
        <v>430</v>
      </c>
    </row>
    <row r="57" spans="1:4" ht="15">
      <c r="A57" s="1"/>
      <c r="B57" s="59"/>
      <c r="C57" s="186"/>
      <c r="D57" s="409"/>
    </row>
    <row r="58" spans="1:4" ht="15">
      <c r="A58" s="1">
        <v>25</v>
      </c>
      <c r="B58" s="59" t="s">
        <v>134</v>
      </c>
      <c r="C58" s="186" t="s">
        <v>455</v>
      </c>
      <c r="D58" s="409">
        <v>298</v>
      </c>
    </row>
    <row r="59" spans="1:4" ht="15">
      <c r="A59" s="1"/>
      <c r="B59" s="59"/>
      <c r="C59" s="186"/>
      <c r="D59" s="409"/>
    </row>
    <row r="60" spans="1:4" ht="15">
      <c r="A60" s="1">
        <v>26</v>
      </c>
      <c r="B60" s="59" t="s">
        <v>135</v>
      </c>
      <c r="C60" s="186" t="s">
        <v>455</v>
      </c>
      <c r="D60" s="409">
        <v>422</v>
      </c>
    </row>
    <row r="61" spans="1:4" ht="15">
      <c r="A61" s="1"/>
      <c r="B61" s="59"/>
      <c r="C61" s="186"/>
      <c r="D61" s="409"/>
    </row>
    <row r="62" spans="1:4" ht="15">
      <c r="A62" s="1">
        <v>27</v>
      </c>
      <c r="B62" s="59" t="s">
        <v>136</v>
      </c>
      <c r="C62" s="186" t="s">
        <v>458</v>
      </c>
      <c r="D62" s="409">
        <v>345</v>
      </c>
    </row>
    <row r="63" spans="1:4" ht="15">
      <c r="A63" s="1"/>
      <c r="B63" s="59"/>
      <c r="C63" s="186"/>
      <c r="D63" s="409"/>
    </row>
    <row r="64" spans="1:4" ht="15">
      <c r="A64" s="1">
        <v>28</v>
      </c>
      <c r="B64" s="59" t="s">
        <v>137</v>
      </c>
      <c r="C64" s="186" t="s">
        <v>456</v>
      </c>
      <c r="D64" s="409">
        <v>370</v>
      </c>
    </row>
    <row r="65" spans="1:4" ht="15">
      <c r="A65" s="1"/>
      <c r="B65" s="59"/>
      <c r="C65" s="186"/>
      <c r="D65" s="409"/>
    </row>
    <row r="66" spans="1:4" ht="15">
      <c r="A66" s="1">
        <v>29</v>
      </c>
      <c r="B66" s="59" t="s">
        <v>138</v>
      </c>
      <c r="C66" s="186" t="s">
        <v>458</v>
      </c>
      <c r="D66" s="409">
        <v>320</v>
      </c>
    </row>
    <row r="67" spans="1:4" ht="15">
      <c r="A67" s="1"/>
      <c r="B67" s="59"/>
      <c r="C67" s="186"/>
      <c r="D67" s="409"/>
    </row>
    <row r="68" spans="1:4" ht="15">
      <c r="A68" s="1">
        <v>30</v>
      </c>
      <c r="B68" s="59" t="s">
        <v>139</v>
      </c>
      <c r="C68" s="186" t="s">
        <v>458</v>
      </c>
      <c r="D68" s="409">
        <v>390</v>
      </c>
    </row>
    <row r="69" spans="1:4" ht="15">
      <c r="A69" s="1"/>
      <c r="B69" s="59"/>
      <c r="C69" s="186"/>
      <c r="D69" s="409"/>
    </row>
    <row r="70" spans="1:4" ht="15">
      <c r="A70" s="1">
        <v>31</v>
      </c>
      <c r="B70" s="59" t="s">
        <v>140</v>
      </c>
      <c r="C70" s="186" t="s">
        <v>456</v>
      </c>
      <c r="D70" s="409">
        <v>425.02</v>
      </c>
    </row>
    <row r="71" spans="1:4" ht="15">
      <c r="A71" s="1"/>
      <c r="B71" s="59"/>
      <c r="C71" s="186"/>
      <c r="D71" s="409"/>
    </row>
    <row r="72" spans="1:4" ht="15">
      <c r="A72" s="1">
        <v>32</v>
      </c>
      <c r="B72" s="60" t="s">
        <v>27</v>
      </c>
      <c r="C72" s="186" t="s">
        <v>459</v>
      </c>
      <c r="D72" s="409">
        <v>480</v>
      </c>
    </row>
    <row r="73" spans="1:4" ht="15">
      <c r="A73" s="1"/>
      <c r="B73" s="59"/>
      <c r="C73" s="186"/>
      <c r="D73" s="409"/>
    </row>
    <row r="74" spans="1:4" ht="15">
      <c r="A74" s="1">
        <v>33</v>
      </c>
      <c r="B74" s="59" t="s">
        <v>19</v>
      </c>
      <c r="C74" s="186" t="s">
        <v>460</v>
      </c>
      <c r="D74" s="409">
        <v>297.315</v>
      </c>
    </row>
    <row r="75" spans="1:4" ht="15">
      <c r="A75" s="1"/>
      <c r="B75" s="59"/>
      <c r="C75" s="186"/>
      <c r="D75" s="409"/>
    </row>
    <row r="76" spans="1:4" ht="15">
      <c r="A76" s="1">
        <v>34</v>
      </c>
      <c r="B76" s="60" t="s">
        <v>28</v>
      </c>
      <c r="C76" s="186" t="s">
        <v>466</v>
      </c>
      <c r="D76" s="409">
        <v>417</v>
      </c>
    </row>
    <row r="77" spans="1:4" ht="15">
      <c r="A77" s="1"/>
      <c r="B77" s="59"/>
      <c r="C77" s="186"/>
      <c r="D77" s="409"/>
    </row>
    <row r="78" spans="1:4" ht="15">
      <c r="A78" s="1">
        <v>35</v>
      </c>
      <c r="B78" s="59" t="s">
        <v>20</v>
      </c>
      <c r="C78" s="186" t="s">
        <v>456</v>
      </c>
      <c r="D78" s="409">
        <v>409</v>
      </c>
    </row>
    <row r="79" spans="1:4" ht="15">
      <c r="A79" s="1"/>
      <c r="B79" s="59"/>
      <c r="C79" s="186"/>
      <c r="D79" s="409"/>
    </row>
    <row r="80" spans="1:4" ht="15">
      <c r="A80" s="1">
        <v>36</v>
      </c>
      <c r="B80" s="59" t="s">
        <v>21</v>
      </c>
      <c r="C80" s="186" t="s">
        <v>455</v>
      </c>
      <c r="D80" s="409">
        <v>432.78199999999998</v>
      </c>
    </row>
    <row r="81" spans="1:4" ht="15">
      <c r="A81" s="1"/>
      <c r="B81" s="59"/>
      <c r="C81" s="186"/>
      <c r="D81" s="409"/>
    </row>
    <row r="82" spans="1:4" ht="15">
      <c r="A82" s="407">
        <v>37</v>
      </c>
      <c r="B82" s="59" t="s">
        <v>22</v>
      </c>
      <c r="C82" s="186" t="s">
        <v>554</v>
      </c>
      <c r="D82" s="409">
        <v>469</v>
      </c>
    </row>
    <row r="83" spans="1:4" ht="15">
      <c r="A83" s="407"/>
      <c r="B83" s="59"/>
      <c r="C83" s="186"/>
      <c r="D83" s="409"/>
    </row>
    <row r="84" spans="1:4" ht="15">
      <c r="A84" s="407">
        <v>38</v>
      </c>
      <c r="B84" s="60" t="s">
        <v>142</v>
      </c>
      <c r="C84" s="186" t="s">
        <v>458</v>
      </c>
      <c r="D84" s="409">
        <v>387</v>
      </c>
    </row>
    <row r="85" spans="1:4" ht="15">
      <c r="A85" s="407"/>
      <c r="B85" s="59"/>
      <c r="C85" s="186"/>
      <c r="D85" s="409"/>
    </row>
    <row r="86" spans="1:4" ht="15">
      <c r="A86" s="407">
        <v>39</v>
      </c>
      <c r="B86" s="59" t="s">
        <v>615</v>
      </c>
      <c r="C86" s="186" t="s">
        <v>455</v>
      </c>
      <c r="D86" s="409">
        <v>428.87599999999998</v>
      </c>
    </row>
    <row r="87" spans="1:4" ht="15">
      <c r="A87" s="1"/>
      <c r="B87" s="59"/>
      <c r="C87" s="186"/>
      <c r="D87" s="409"/>
    </row>
    <row r="88" spans="1:4" ht="15">
      <c r="A88" s="1">
        <v>40</v>
      </c>
      <c r="B88" s="60" t="s">
        <v>29</v>
      </c>
      <c r="C88" s="186" t="s">
        <v>509</v>
      </c>
      <c r="D88" s="409">
        <v>248.03800000000001</v>
      </c>
    </row>
    <row r="89" spans="1:4" ht="15">
      <c r="A89" s="1"/>
      <c r="B89" s="59"/>
      <c r="C89" s="186"/>
      <c r="D89" s="409"/>
    </row>
    <row r="90" spans="1:4" ht="15">
      <c r="A90" s="1">
        <v>41</v>
      </c>
      <c r="B90" s="60" t="s">
        <v>30</v>
      </c>
      <c r="C90" s="186" t="s">
        <v>464</v>
      </c>
      <c r="D90" s="409">
        <v>430</v>
      </c>
    </row>
    <row r="91" spans="1:4" ht="15">
      <c r="A91" s="1"/>
      <c r="B91" s="59"/>
      <c r="C91" s="186"/>
      <c r="D91" s="409"/>
    </row>
    <row r="92" spans="1:4" ht="15">
      <c r="A92" s="1">
        <v>42</v>
      </c>
      <c r="B92" s="59" t="s">
        <v>2</v>
      </c>
      <c r="C92" s="186" t="s">
        <v>455</v>
      </c>
      <c r="D92" s="409">
        <v>400</v>
      </c>
    </row>
    <row r="93" spans="1:4" ht="15">
      <c r="A93" s="1"/>
      <c r="B93" s="59"/>
      <c r="C93" s="186"/>
      <c r="D93" s="409"/>
    </row>
    <row r="94" spans="1:4" ht="15">
      <c r="A94" s="1">
        <v>43</v>
      </c>
      <c r="B94" s="59" t="s">
        <v>49</v>
      </c>
      <c r="C94" s="186" t="s">
        <v>455</v>
      </c>
      <c r="D94" s="409">
        <v>410</v>
      </c>
    </row>
    <row r="95" spans="1:4" ht="15">
      <c r="A95" s="1"/>
      <c r="B95" s="59"/>
      <c r="C95" s="186"/>
      <c r="D95" s="409"/>
    </row>
    <row r="96" spans="1:4" ht="15">
      <c r="A96" s="1">
        <v>44</v>
      </c>
      <c r="B96" s="59" t="s">
        <v>50</v>
      </c>
      <c r="C96" s="186" t="s">
        <v>456</v>
      </c>
      <c r="D96" s="409">
        <v>435</v>
      </c>
    </row>
    <row r="97" spans="1:4" ht="15">
      <c r="A97" s="1"/>
      <c r="B97" s="59"/>
      <c r="C97" s="186"/>
      <c r="D97" s="409"/>
    </row>
    <row r="98" spans="1:4" ht="15">
      <c r="A98" s="1">
        <v>45</v>
      </c>
      <c r="B98" s="59" t="s">
        <v>143</v>
      </c>
      <c r="C98" s="186" t="s">
        <v>455</v>
      </c>
      <c r="D98" s="409">
        <v>360</v>
      </c>
    </row>
    <row r="99" spans="1:4" ht="15">
      <c r="A99" s="1"/>
      <c r="B99" s="59"/>
      <c r="C99" s="186"/>
      <c r="D99" s="409"/>
    </row>
    <row r="100" spans="1:4" ht="15">
      <c r="A100" s="1">
        <v>46</v>
      </c>
      <c r="B100" s="59" t="s">
        <v>144</v>
      </c>
      <c r="C100" s="186" t="s">
        <v>457</v>
      </c>
      <c r="D100" s="409">
        <v>391.45100000000002</v>
      </c>
    </row>
    <row r="101" spans="1:4" ht="15">
      <c r="A101" s="1"/>
      <c r="B101" s="59"/>
      <c r="C101" s="186"/>
      <c r="D101" s="409"/>
    </row>
    <row r="102" spans="1:4" ht="15">
      <c r="A102" s="1">
        <v>47</v>
      </c>
      <c r="B102" s="60" t="s">
        <v>31</v>
      </c>
      <c r="C102" s="186" t="s">
        <v>454</v>
      </c>
      <c r="D102" s="409">
        <v>380</v>
      </c>
    </row>
    <row r="103" spans="1:4" ht="15">
      <c r="A103" s="1"/>
      <c r="B103" s="59"/>
      <c r="C103" s="186"/>
      <c r="D103" s="409"/>
    </row>
    <row r="104" spans="1:4" ht="15">
      <c r="A104" s="1">
        <v>48</v>
      </c>
      <c r="B104" s="59" t="s">
        <v>145</v>
      </c>
      <c r="C104" s="186" t="s">
        <v>465</v>
      </c>
      <c r="D104" s="409">
        <v>475</v>
      </c>
    </row>
    <row r="105" spans="1:4" ht="15">
      <c r="A105" s="1"/>
      <c r="B105" s="59"/>
      <c r="C105" s="186"/>
      <c r="D105" s="409"/>
    </row>
    <row r="106" spans="1:4" ht="15">
      <c r="A106" s="1">
        <v>49</v>
      </c>
      <c r="B106" s="59" t="s">
        <v>146</v>
      </c>
      <c r="C106" s="186" t="s">
        <v>456</v>
      </c>
      <c r="D106" s="409">
        <v>380</v>
      </c>
    </row>
    <row r="107" spans="1:4" ht="15">
      <c r="A107" s="1"/>
      <c r="B107" s="59"/>
      <c r="C107" s="186"/>
      <c r="D107" s="409"/>
    </row>
    <row r="108" spans="1:4" ht="15">
      <c r="A108" s="1">
        <v>50</v>
      </c>
      <c r="B108" s="59" t="s">
        <v>147</v>
      </c>
      <c r="C108" s="186" t="s">
        <v>455</v>
      </c>
      <c r="D108" s="409">
        <v>390</v>
      </c>
    </row>
    <row r="109" spans="1:4" ht="15">
      <c r="A109" s="1"/>
      <c r="B109" s="59"/>
      <c r="C109" s="186"/>
      <c r="D109" s="409"/>
    </row>
    <row r="110" spans="1:4" ht="15">
      <c r="A110" s="1">
        <v>51</v>
      </c>
      <c r="B110" s="59" t="s">
        <v>148</v>
      </c>
      <c r="C110" s="186" t="s">
        <v>456</v>
      </c>
      <c r="D110" s="409">
        <v>465</v>
      </c>
    </row>
    <row r="111" spans="1:4" ht="15">
      <c r="A111" s="1"/>
      <c r="B111" s="59"/>
      <c r="C111" s="186"/>
      <c r="D111" s="409"/>
    </row>
    <row r="112" spans="1:4" ht="15">
      <c r="A112" s="1">
        <v>52</v>
      </c>
      <c r="B112" s="59" t="s">
        <v>149</v>
      </c>
      <c r="C112" s="186" t="s">
        <v>456</v>
      </c>
      <c r="D112" s="409">
        <v>383.20800000000003</v>
      </c>
    </row>
    <row r="113" spans="1:4" ht="15">
      <c r="A113" s="1"/>
      <c r="B113" s="59"/>
      <c r="C113" s="186"/>
      <c r="D113" s="409"/>
    </row>
    <row r="114" spans="1:4" ht="15">
      <c r="A114" s="1">
        <v>53</v>
      </c>
      <c r="B114" s="60" t="s">
        <v>32</v>
      </c>
      <c r="C114" s="186" t="s">
        <v>466</v>
      </c>
      <c r="D114" s="409">
        <v>380</v>
      </c>
    </row>
    <row r="115" spans="1:4" ht="15">
      <c r="A115" s="1"/>
      <c r="B115" s="59"/>
      <c r="C115" s="186"/>
      <c r="D115" s="409"/>
    </row>
    <row r="116" spans="1:4" ht="15">
      <c r="A116" s="1">
        <v>54</v>
      </c>
      <c r="B116" s="59" t="s">
        <v>51</v>
      </c>
      <c r="C116" s="186" t="s">
        <v>455</v>
      </c>
      <c r="D116" s="409">
        <v>348</v>
      </c>
    </row>
    <row r="117" spans="1:4" ht="15">
      <c r="A117" s="1"/>
      <c r="B117" s="59"/>
      <c r="C117" s="186"/>
      <c r="D117" s="409"/>
    </row>
    <row r="118" spans="1:4" ht="15">
      <c r="A118" s="1">
        <v>55</v>
      </c>
      <c r="B118" s="59" t="s">
        <v>52</v>
      </c>
      <c r="C118" s="186" t="s">
        <v>455</v>
      </c>
      <c r="D118" s="409">
        <v>377.78399999999999</v>
      </c>
    </row>
    <row r="119" spans="1:4" ht="15">
      <c r="A119" s="1"/>
      <c r="B119" s="59"/>
      <c r="C119" s="186"/>
      <c r="D119" s="409"/>
    </row>
    <row r="120" spans="1:4" ht="15">
      <c r="A120" s="1">
        <v>56</v>
      </c>
      <c r="B120" s="60" t="s">
        <v>33</v>
      </c>
      <c r="C120" s="186" t="s">
        <v>454</v>
      </c>
      <c r="D120" s="409">
        <v>410</v>
      </c>
    </row>
    <row r="121" spans="1:4" ht="15">
      <c r="A121" s="1"/>
      <c r="B121" s="59"/>
      <c r="C121" s="186"/>
      <c r="D121" s="409"/>
    </row>
    <row r="122" spans="1:4" ht="15">
      <c r="A122" s="1">
        <v>57</v>
      </c>
      <c r="B122" s="59" t="s">
        <v>150</v>
      </c>
      <c r="C122" s="186" t="s">
        <v>455</v>
      </c>
      <c r="D122" s="409">
        <v>380</v>
      </c>
    </row>
    <row r="123" spans="1:4" ht="15">
      <c r="A123" s="1"/>
      <c r="B123" s="59"/>
      <c r="C123" s="186"/>
      <c r="D123" s="409"/>
    </row>
    <row r="124" spans="1:4" ht="15">
      <c r="A124" s="1">
        <v>58</v>
      </c>
      <c r="B124" s="59" t="s">
        <v>151</v>
      </c>
      <c r="C124" s="186" t="s">
        <v>455</v>
      </c>
      <c r="D124" s="409">
        <v>325</v>
      </c>
    </row>
    <row r="125" spans="1:4" ht="15">
      <c r="A125" s="1"/>
      <c r="B125" s="59"/>
      <c r="C125" s="186"/>
      <c r="D125" s="409"/>
    </row>
    <row r="126" spans="1:4" ht="15">
      <c r="A126" s="1">
        <v>59</v>
      </c>
      <c r="B126" s="59" t="s">
        <v>152</v>
      </c>
      <c r="C126" s="186" t="s">
        <v>457</v>
      </c>
      <c r="D126" s="409">
        <v>329.8</v>
      </c>
    </row>
    <row r="127" spans="1:4" ht="15">
      <c r="A127" s="1"/>
      <c r="B127" s="59"/>
      <c r="C127" s="186"/>
      <c r="D127" s="409"/>
    </row>
    <row r="128" spans="1:4" ht="15">
      <c r="A128" s="1">
        <v>60</v>
      </c>
      <c r="B128" s="60" t="s">
        <v>34</v>
      </c>
      <c r="C128" s="186" t="s">
        <v>467</v>
      </c>
      <c r="D128" s="409">
        <v>385</v>
      </c>
    </row>
    <row r="129" spans="1:4" ht="15">
      <c r="A129" s="1"/>
      <c r="B129" s="59"/>
      <c r="C129" s="186"/>
      <c r="D129" s="409"/>
    </row>
    <row r="130" spans="1:4" ht="15">
      <c r="A130" s="1">
        <v>61</v>
      </c>
      <c r="B130" s="59" t="s">
        <v>153</v>
      </c>
      <c r="C130" s="186" t="s">
        <v>455</v>
      </c>
      <c r="D130" s="409">
        <v>312.55799999999999</v>
      </c>
    </row>
    <row r="131" spans="1:4" ht="15">
      <c r="A131" s="1"/>
      <c r="B131" s="59"/>
      <c r="C131" s="186"/>
      <c r="D131" s="409"/>
    </row>
    <row r="132" spans="1:4" ht="15">
      <c r="A132" s="1">
        <v>62</v>
      </c>
      <c r="B132" s="60" t="s">
        <v>35</v>
      </c>
      <c r="C132" s="186" t="s">
        <v>468</v>
      </c>
      <c r="D132" s="409">
        <v>242</v>
      </c>
    </row>
    <row r="133" spans="1:4" ht="15">
      <c r="A133" s="1"/>
      <c r="B133" s="59"/>
      <c r="C133" s="186"/>
      <c r="D133" s="409"/>
    </row>
    <row r="134" spans="1:4" ht="15">
      <c r="A134" s="1">
        <v>63</v>
      </c>
      <c r="B134" s="59" t="s">
        <v>4</v>
      </c>
      <c r="C134" s="186" t="s">
        <v>463</v>
      </c>
      <c r="D134" s="409">
        <v>464</v>
      </c>
    </row>
    <row r="135" spans="1:4" ht="15">
      <c r="A135" s="1"/>
      <c r="B135" s="59"/>
      <c r="C135" s="186"/>
      <c r="D135" s="409"/>
    </row>
    <row r="136" spans="1:4" ht="15">
      <c r="A136" s="1">
        <v>64</v>
      </c>
      <c r="B136" s="59" t="s">
        <v>5</v>
      </c>
      <c r="C136" s="187" t="s">
        <v>455</v>
      </c>
      <c r="D136" s="409">
        <v>391</v>
      </c>
    </row>
    <row r="137" spans="1:4" ht="15">
      <c r="A137" s="1"/>
      <c r="B137" s="59"/>
      <c r="C137" s="186"/>
      <c r="D137" s="409"/>
    </row>
    <row r="138" spans="1:4" ht="15">
      <c r="A138" s="1">
        <v>65</v>
      </c>
      <c r="B138" s="59" t="s">
        <v>154</v>
      </c>
      <c r="C138" s="186" t="s">
        <v>465</v>
      </c>
      <c r="D138" s="409">
        <v>417.51799999999997</v>
      </c>
    </row>
    <row r="139" spans="1:4" ht="15">
      <c r="A139" s="1"/>
      <c r="B139" s="59"/>
      <c r="C139" s="186"/>
      <c r="D139" s="410"/>
    </row>
    <row r="140" spans="1:4" ht="15">
      <c r="A140" s="1">
        <v>66</v>
      </c>
      <c r="B140" s="60" t="s">
        <v>36</v>
      </c>
      <c r="C140" s="188" t="s">
        <v>454</v>
      </c>
      <c r="D140" s="411">
        <v>315</v>
      </c>
    </row>
    <row r="141" spans="1:4">
      <c r="A141" s="1"/>
      <c r="B141" s="59"/>
      <c r="C141" s="59"/>
      <c r="D141" s="411"/>
    </row>
    <row r="142" spans="1:4" ht="15">
      <c r="A142" s="1">
        <v>67</v>
      </c>
      <c r="B142" s="59" t="s">
        <v>6</v>
      </c>
      <c r="C142" s="186" t="s">
        <v>457</v>
      </c>
      <c r="D142" s="411">
        <v>375</v>
      </c>
    </row>
    <row r="143" spans="1:4" ht="15">
      <c r="A143" s="1"/>
      <c r="B143" s="59"/>
      <c r="C143" s="186"/>
      <c r="D143" s="411"/>
    </row>
    <row r="144" spans="1:4" ht="15">
      <c r="A144" s="1">
        <v>68</v>
      </c>
      <c r="B144" s="59" t="s">
        <v>37</v>
      </c>
      <c r="C144" s="186" t="s">
        <v>455</v>
      </c>
      <c r="D144" s="411">
        <v>416</v>
      </c>
    </row>
    <row r="145" spans="1:4" ht="15">
      <c r="A145" s="1"/>
      <c r="B145" s="59"/>
      <c r="C145" s="186"/>
      <c r="D145" s="411"/>
    </row>
    <row r="146" spans="1:4" ht="15">
      <c r="A146" s="1">
        <v>69</v>
      </c>
      <c r="B146" s="59" t="s">
        <v>155</v>
      </c>
      <c r="C146" s="186" t="s">
        <v>455</v>
      </c>
      <c r="D146" s="411">
        <v>422</v>
      </c>
    </row>
    <row r="147" spans="1:4" ht="15">
      <c r="A147" s="1"/>
      <c r="B147" s="59"/>
      <c r="C147" s="186"/>
      <c r="D147" s="411"/>
    </row>
    <row r="148" spans="1:4" ht="15">
      <c r="A148" s="1">
        <v>70</v>
      </c>
      <c r="B148" s="59" t="s">
        <v>156</v>
      </c>
      <c r="C148" s="186" t="s">
        <v>455</v>
      </c>
      <c r="D148" s="411">
        <v>388</v>
      </c>
    </row>
    <row r="149" spans="1:4" ht="15">
      <c r="A149" s="1"/>
      <c r="B149" s="59"/>
      <c r="C149" s="186"/>
      <c r="D149" s="411"/>
    </row>
    <row r="150" spans="1:4" ht="15">
      <c r="A150" s="1">
        <v>71</v>
      </c>
      <c r="B150" s="59" t="s">
        <v>157</v>
      </c>
      <c r="C150" s="186" t="s">
        <v>465</v>
      </c>
      <c r="D150" s="411">
        <v>409</v>
      </c>
    </row>
    <row r="151" spans="1:4" ht="15">
      <c r="A151" s="1"/>
      <c r="B151" s="59"/>
      <c r="C151" s="186"/>
      <c r="D151" s="411"/>
    </row>
    <row r="152" spans="1:4" ht="15">
      <c r="A152" s="1">
        <v>72</v>
      </c>
      <c r="B152" s="59" t="s">
        <v>158</v>
      </c>
      <c r="C152" s="186" t="s">
        <v>455</v>
      </c>
      <c r="D152" s="411">
        <v>420</v>
      </c>
    </row>
    <row r="153" spans="1:4" ht="15">
      <c r="A153" s="1"/>
      <c r="B153" s="59"/>
      <c r="C153" s="186"/>
      <c r="D153" s="411"/>
    </row>
    <row r="154" spans="1:4" ht="15">
      <c r="A154" s="1">
        <v>73</v>
      </c>
      <c r="B154" s="59" t="s">
        <v>159</v>
      </c>
      <c r="C154" s="186" t="s">
        <v>454</v>
      </c>
      <c r="D154" s="411">
        <v>399</v>
      </c>
    </row>
    <row r="155" spans="1:4" ht="15">
      <c r="A155" s="1"/>
      <c r="B155" s="59"/>
      <c r="C155" s="186"/>
      <c r="D155" s="411"/>
    </row>
    <row r="156" spans="1:4" ht="15">
      <c r="A156" s="1">
        <v>74</v>
      </c>
      <c r="B156" s="59" t="s">
        <v>160</v>
      </c>
      <c r="C156" s="186" t="s">
        <v>456</v>
      </c>
      <c r="D156" s="411">
        <v>381</v>
      </c>
    </row>
    <row r="157" spans="1:4" ht="15">
      <c r="A157" s="1"/>
      <c r="B157" s="59"/>
      <c r="C157" s="186"/>
      <c r="D157" s="411"/>
    </row>
    <row r="158" spans="1:4" ht="15">
      <c r="A158" s="1">
        <v>75</v>
      </c>
      <c r="B158" s="59" t="s">
        <v>161</v>
      </c>
      <c r="C158" s="186" t="s">
        <v>455</v>
      </c>
      <c r="D158" s="411">
        <v>382</v>
      </c>
    </row>
    <row r="159" spans="1:4" ht="15">
      <c r="A159" s="1"/>
      <c r="B159" s="59"/>
      <c r="C159" s="186"/>
      <c r="D159" s="411"/>
    </row>
    <row r="160" spans="1:4" ht="15">
      <c r="A160" s="1">
        <v>76</v>
      </c>
      <c r="B160" s="59" t="s">
        <v>162</v>
      </c>
      <c r="C160" s="186" t="s">
        <v>455</v>
      </c>
      <c r="D160" s="411">
        <v>391</v>
      </c>
    </row>
    <row r="161" spans="1:4" ht="15">
      <c r="A161" s="1"/>
      <c r="B161" s="59"/>
      <c r="C161" s="186"/>
      <c r="D161" s="411"/>
    </row>
    <row r="162" spans="1:4" ht="15">
      <c r="A162" s="1">
        <v>77</v>
      </c>
      <c r="B162" s="59" t="s">
        <v>163</v>
      </c>
      <c r="C162" s="186" t="s">
        <v>508</v>
      </c>
      <c r="D162" s="411">
        <v>433</v>
      </c>
    </row>
    <row r="163" spans="1:4" ht="15">
      <c r="A163" s="1"/>
      <c r="B163" s="59"/>
      <c r="C163" s="186"/>
      <c r="D163" s="411"/>
    </row>
    <row r="164" spans="1:4" ht="15">
      <c r="A164" s="1">
        <v>78</v>
      </c>
      <c r="B164" s="59" t="s">
        <v>164</v>
      </c>
      <c r="C164" s="186" t="s">
        <v>455</v>
      </c>
      <c r="D164" s="411">
        <v>415</v>
      </c>
    </row>
    <row r="165" spans="1:4" ht="15">
      <c r="A165" s="1"/>
      <c r="B165" s="59"/>
      <c r="C165" s="186"/>
      <c r="D165" s="411"/>
    </row>
    <row r="166" spans="1:4" ht="15">
      <c r="A166" s="1">
        <v>79</v>
      </c>
      <c r="B166" s="59" t="s">
        <v>165</v>
      </c>
      <c r="C166" s="186" t="s">
        <v>455</v>
      </c>
      <c r="D166" s="411">
        <v>430</v>
      </c>
    </row>
    <row r="167" spans="1:4" ht="15">
      <c r="A167" s="1"/>
      <c r="B167" s="59"/>
      <c r="C167" s="186"/>
      <c r="D167" s="411"/>
    </row>
    <row r="168" spans="1:4" ht="15">
      <c r="A168" s="1">
        <v>80</v>
      </c>
      <c r="B168" s="59" t="s">
        <v>166</v>
      </c>
      <c r="C168" s="186" t="s">
        <v>455</v>
      </c>
      <c r="D168" s="411">
        <v>314</v>
      </c>
    </row>
    <row r="169" spans="1:4" ht="15">
      <c r="A169" s="1"/>
      <c r="B169" s="59"/>
      <c r="C169" s="186"/>
      <c r="D169" s="411"/>
    </row>
    <row r="170" spans="1:4" ht="15">
      <c r="A170" s="1">
        <v>81</v>
      </c>
      <c r="B170" s="59" t="s">
        <v>167</v>
      </c>
      <c r="C170" s="186" t="s">
        <v>458</v>
      </c>
      <c r="D170" s="411">
        <v>402.24900000000002</v>
      </c>
    </row>
    <row r="171" spans="1:4" ht="15">
      <c r="A171" s="1"/>
      <c r="B171" s="59"/>
      <c r="C171" s="186"/>
      <c r="D171" s="412"/>
    </row>
    <row r="172" spans="1:4" ht="15">
      <c r="A172" s="1">
        <v>82</v>
      </c>
      <c r="B172" s="60" t="s">
        <v>38</v>
      </c>
      <c r="C172" s="186" t="s">
        <v>469</v>
      </c>
      <c r="D172" s="412">
        <v>394</v>
      </c>
    </row>
    <row r="173" spans="1:4">
      <c r="A173" s="6"/>
      <c r="B173" s="59"/>
      <c r="C173" s="59"/>
      <c r="D173" s="412"/>
    </row>
    <row r="174" spans="1:4">
      <c r="A174" s="6">
        <f>A172+1</f>
        <v>83</v>
      </c>
      <c r="B174" s="59" t="s">
        <v>168</v>
      </c>
      <c r="C174" s="59" t="s">
        <v>456</v>
      </c>
      <c r="D174" s="412">
        <v>419.44499999999999</v>
      </c>
    </row>
    <row r="175" spans="1:4">
      <c r="A175" s="6"/>
      <c r="B175" s="59"/>
      <c r="C175" s="59"/>
      <c r="D175" s="412"/>
    </row>
    <row r="176" spans="1:4">
      <c r="A176" s="6">
        <f>A174+1</f>
        <v>84</v>
      </c>
      <c r="B176" s="60" t="s">
        <v>39</v>
      </c>
      <c r="C176" s="60" t="s">
        <v>473</v>
      </c>
      <c r="D176" s="412">
        <v>402</v>
      </c>
    </row>
    <row r="177" spans="1:18" ht="15">
      <c r="A177" s="6"/>
      <c r="B177" s="59"/>
      <c r="C177" s="59"/>
      <c r="D177" s="412"/>
      <c r="M177" s="3"/>
      <c r="N177" s="3"/>
      <c r="O177" s="3"/>
      <c r="P177" s="3"/>
      <c r="Q177" s="4"/>
      <c r="R177" s="4"/>
    </row>
    <row r="178" spans="1:18" ht="15">
      <c r="A178" s="6">
        <f>A176+1</f>
        <v>85</v>
      </c>
      <c r="B178" s="59" t="s">
        <v>8</v>
      </c>
      <c r="C178" s="59" t="s">
        <v>465</v>
      </c>
      <c r="D178" s="412">
        <v>426</v>
      </c>
      <c r="M178" s="3"/>
      <c r="N178" s="3"/>
      <c r="O178" s="3"/>
      <c r="P178" s="3"/>
      <c r="Q178" s="4"/>
      <c r="R178" s="4"/>
    </row>
    <row r="179" spans="1:18" ht="15">
      <c r="A179" s="408"/>
      <c r="B179" s="59"/>
      <c r="C179" s="59"/>
      <c r="D179" s="412"/>
      <c r="M179" s="3"/>
      <c r="N179" s="3"/>
      <c r="O179" s="3"/>
      <c r="P179" s="3"/>
      <c r="Q179" s="4"/>
      <c r="R179" s="4"/>
    </row>
    <row r="180" spans="1:18" ht="15">
      <c r="A180" s="408">
        <f>A178+1</f>
        <v>86</v>
      </c>
      <c r="B180" s="59" t="s">
        <v>40</v>
      </c>
      <c r="C180" s="59" t="s">
        <v>456</v>
      </c>
      <c r="D180" s="412">
        <v>429.05900000000003</v>
      </c>
      <c r="M180" s="3"/>
      <c r="N180" s="3"/>
      <c r="O180" s="3"/>
      <c r="P180" s="3"/>
      <c r="Q180" s="4"/>
      <c r="R180" s="4"/>
    </row>
    <row r="181" spans="1:18" ht="15">
      <c r="A181" s="408"/>
      <c r="B181" s="59"/>
      <c r="C181" s="59"/>
      <c r="D181" s="412"/>
      <c r="M181" s="3"/>
      <c r="N181" s="3"/>
      <c r="O181" s="3"/>
      <c r="P181" s="3"/>
      <c r="Q181" s="4"/>
      <c r="R181" s="4"/>
    </row>
    <row r="182" spans="1:18" ht="15">
      <c r="A182" s="408">
        <f>A180+1</f>
        <v>87</v>
      </c>
      <c r="B182" s="59" t="s">
        <v>620</v>
      </c>
      <c r="C182" s="59" t="s">
        <v>469</v>
      </c>
      <c r="D182" s="412">
        <v>336</v>
      </c>
      <c r="M182" s="3"/>
      <c r="N182" s="3"/>
      <c r="O182" s="3"/>
      <c r="P182" s="3"/>
      <c r="Q182" s="4"/>
      <c r="R182" s="4"/>
    </row>
    <row r="183" spans="1:18" ht="15">
      <c r="A183" s="408"/>
      <c r="B183" s="59"/>
      <c r="C183" s="59"/>
      <c r="D183" s="412"/>
      <c r="M183" s="3"/>
      <c r="N183" s="3"/>
      <c r="O183" s="3"/>
      <c r="P183" s="3"/>
      <c r="Q183" s="4"/>
      <c r="R183" s="4"/>
    </row>
    <row r="184" spans="1:18" ht="15">
      <c r="A184" s="408">
        <f>A182+1</f>
        <v>88</v>
      </c>
      <c r="B184" s="59" t="s">
        <v>616</v>
      </c>
      <c r="C184" s="59" t="s">
        <v>458</v>
      </c>
      <c r="D184" s="412">
        <v>441</v>
      </c>
      <c r="M184" s="3"/>
      <c r="N184" s="3"/>
      <c r="O184" s="3"/>
      <c r="P184" s="3"/>
      <c r="Q184" s="4"/>
      <c r="R184" s="4"/>
    </row>
    <row r="185" spans="1:18" ht="15">
      <c r="A185" s="408"/>
      <c r="B185" s="59"/>
      <c r="C185" s="59"/>
      <c r="D185" s="412"/>
      <c r="M185" s="3"/>
      <c r="N185" s="3"/>
      <c r="O185" s="3"/>
      <c r="P185" s="3"/>
      <c r="Q185" s="4"/>
      <c r="R185" s="4"/>
    </row>
    <row r="186" spans="1:18" ht="15">
      <c r="A186" s="408">
        <f>A184+1</f>
        <v>89</v>
      </c>
      <c r="B186" s="59" t="s">
        <v>617</v>
      </c>
      <c r="C186" s="59" t="s">
        <v>508</v>
      </c>
      <c r="D186" s="412">
        <v>324.04899999999998</v>
      </c>
      <c r="M186" s="3"/>
      <c r="N186" s="3"/>
      <c r="O186" s="3"/>
      <c r="P186" s="3"/>
      <c r="Q186" s="4"/>
      <c r="R186" s="4"/>
    </row>
    <row r="187" spans="1:18" ht="15">
      <c r="A187" s="6"/>
      <c r="B187" s="59"/>
      <c r="C187" s="59"/>
      <c r="D187" s="412"/>
      <c r="M187" s="3"/>
      <c r="N187" s="3"/>
      <c r="O187" s="3"/>
      <c r="P187" s="3"/>
      <c r="Q187" s="4"/>
      <c r="R187" s="4"/>
    </row>
    <row r="188" spans="1:18" ht="15">
      <c r="A188" s="6">
        <f>A186+1</f>
        <v>90</v>
      </c>
      <c r="B188" s="60" t="s">
        <v>41</v>
      </c>
      <c r="C188" s="189" t="s">
        <v>468</v>
      </c>
      <c r="D188" s="409">
        <v>417.21899999999999</v>
      </c>
      <c r="M188" s="3"/>
      <c r="N188" s="3"/>
      <c r="O188" s="3"/>
      <c r="P188" s="3"/>
      <c r="Q188" s="4"/>
      <c r="R188" s="4"/>
    </row>
    <row r="189" spans="1:18" ht="15">
      <c r="A189" s="6"/>
      <c r="B189" s="59"/>
      <c r="C189" s="189"/>
      <c r="D189" s="409"/>
      <c r="M189" s="3"/>
      <c r="N189" s="3"/>
      <c r="O189" s="3"/>
      <c r="P189" s="3"/>
      <c r="Q189" s="4"/>
      <c r="R189" s="4"/>
    </row>
    <row r="190" spans="1:18" ht="15">
      <c r="A190" s="6">
        <f>A188+1</f>
        <v>91</v>
      </c>
      <c r="B190" s="60" t="s">
        <v>42</v>
      </c>
      <c r="C190" s="189" t="s">
        <v>469</v>
      </c>
      <c r="D190" s="409">
        <v>249.602</v>
      </c>
      <c r="M190" s="3"/>
      <c r="N190" s="3"/>
      <c r="O190" s="3"/>
      <c r="P190" s="3"/>
      <c r="Q190" s="4"/>
      <c r="R190" s="4"/>
    </row>
    <row r="191" spans="1:18" ht="15">
      <c r="A191" s="6"/>
      <c r="B191" s="59"/>
      <c r="C191" s="189"/>
      <c r="D191" s="409"/>
      <c r="M191" s="3"/>
      <c r="N191" s="3"/>
      <c r="O191" s="3"/>
      <c r="P191" s="3"/>
      <c r="Q191" s="4"/>
      <c r="R191" s="4"/>
    </row>
    <row r="192" spans="1:18" ht="15">
      <c r="A192" s="6">
        <f>A190+1</f>
        <v>92</v>
      </c>
      <c r="B192" s="60" t="s">
        <v>43</v>
      </c>
      <c r="C192" s="190" t="s">
        <v>470</v>
      </c>
      <c r="D192" s="409">
        <v>333.60199999999998</v>
      </c>
      <c r="M192" s="3"/>
      <c r="N192" s="3"/>
      <c r="O192" s="3"/>
      <c r="P192" s="3"/>
      <c r="Q192" s="4"/>
      <c r="R192" s="4"/>
    </row>
    <row r="193" spans="1:18" ht="15">
      <c r="A193" s="6"/>
      <c r="B193" s="59"/>
      <c r="C193" s="189"/>
      <c r="D193" s="409"/>
      <c r="M193" s="3"/>
      <c r="N193" s="3"/>
      <c r="O193" s="3"/>
      <c r="P193" s="3"/>
      <c r="Q193" s="4"/>
      <c r="R193" s="4"/>
    </row>
    <row r="194" spans="1:18" ht="15">
      <c r="A194" s="6">
        <f>A192+1</f>
        <v>93</v>
      </c>
      <c r="B194" s="60" t="s">
        <v>44</v>
      </c>
      <c r="C194" s="189" t="s">
        <v>462</v>
      </c>
      <c r="D194" s="409">
        <v>313</v>
      </c>
      <c r="M194" s="3"/>
      <c r="N194" s="3"/>
      <c r="O194" s="3"/>
      <c r="P194" s="3"/>
      <c r="Q194" s="4"/>
      <c r="R194" s="4"/>
    </row>
    <row r="195" spans="1:18" ht="15">
      <c r="A195" s="6"/>
      <c r="B195" s="59"/>
      <c r="C195" s="189"/>
      <c r="D195" s="409"/>
      <c r="M195" s="3"/>
      <c r="N195" s="3"/>
      <c r="O195" s="3"/>
      <c r="P195" s="3"/>
      <c r="Q195" s="4"/>
      <c r="R195" s="4"/>
    </row>
    <row r="196" spans="1:18" ht="15">
      <c r="A196" s="6">
        <f>A194+1</f>
        <v>94</v>
      </c>
      <c r="B196" s="59" t="s">
        <v>171</v>
      </c>
      <c r="C196" s="189" t="s">
        <v>457</v>
      </c>
      <c r="D196" s="409">
        <v>337</v>
      </c>
      <c r="M196" s="3"/>
      <c r="N196" s="3"/>
      <c r="O196" s="3"/>
      <c r="P196" s="3"/>
      <c r="Q196" s="4"/>
      <c r="R196" s="4"/>
    </row>
    <row r="197" spans="1:18" ht="15">
      <c r="A197" s="6"/>
      <c r="B197" s="59"/>
      <c r="C197" s="189"/>
      <c r="D197" s="409"/>
      <c r="M197" s="3"/>
      <c r="N197" s="3"/>
      <c r="O197" s="3"/>
      <c r="P197" s="3"/>
      <c r="Q197" s="4"/>
      <c r="R197" s="4"/>
    </row>
    <row r="198" spans="1:18" ht="15">
      <c r="A198" s="6">
        <f>A196+1</f>
        <v>95</v>
      </c>
      <c r="B198" s="59" t="s">
        <v>172</v>
      </c>
      <c r="C198" s="189" t="s">
        <v>457</v>
      </c>
      <c r="D198" s="409">
        <v>384.09800000000001</v>
      </c>
      <c r="M198" s="3"/>
      <c r="N198" s="3"/>
      <c r="O198" s="3"/>
      <c r="P198" s="3"/>
      <c r="Q198" s="4"/>
      <c r="R198" s="4"/>
    </row>
    <row r="199" spans="1:18" ht="15">
      <c r="A199" s="6"/>
      <c r="B199" s="59"/>
      <c r="C199" s="189"/>
      <c r="D199" s="409"/>
      <c r="M199" s="3"/>
      <c r="N199" s="3"/>
      <c r="O199" s="3"/>
      <c r="P199" s="3"/>
      <c r="Q199" s="4"/>
      <c r="R199" s="4"/>
    </row>
    <row r="200" spans="1:18" ht="15">
      <c r="A200" s="6">
        <f>A198+1</f>
        <v>96</v>
      </c>
      <c r="B200" s="60" t="s">
        <v>45</v>
      </c>
      <c r="C200" s="189" t="s">
        <v>471</v>
      </c>
      <c r="D200" s="409">
        <v>258.61599999999999</v>
      </c>
      <c r="M200" s="3"/>
      <c r="N200" s="3"/>
      <c r="O200" s="3"/>
      <c r="P200" s="3"/>
      <c r="Q200" s="4"/>
      <c r="R200" s="4"/>
    </row>
    <row r="201" spans="1:18" ht="15">
      <c r="A201" s="6"/>
      <c r="B201" s="59"/>
      <c r="C201" s="189"/>
      <c r="D201" s="409"/>
      <c r="M201" s="3"/>
      <c r="N201" s="3"/>
      <c r="O201" s="3"/>
      <c r="P201" s="3"/>
      <c r="Q201" s="4"/>
      <c r="R201" s="4"/>
    </row>
    <row r="202" spans="1:18" ht="15">
      <c r="A202" s="6">
        <f>A200+1</f>
        <v>97</v>
      </c>
      <c r="B202" s="60" t="s">
        <v>46</v>
      </c>
      <c r="C202" s="189" t="s">
        <v>472</v>
      </c>
      <c r="D202" s="409">
        <v>390</v>
      </c>
      <c r="M202" s="3"/>
      <c r="N202" s="3"/>
      <c r="O202" s="3"/>
      <c r="P202" s="3"/>
      <c r="Q202" s="4"/>
      <c r="R202" s="4"/>
    </row>
    <row r="203" spans="1:18" ht="15">
      <c r="A203" s="6"/>
      <c r="B203" s="59"/>
      <c r="C203" s="189"/>
      <c r="D203" s="409"/>
      <c r="M203" s="3"/>
      <c r="N203" s="3"/>
      <c r="O203" s="3"/>
      <c r="P203" s="3"/>
      <c r="Q203" s="4"/>
      <c r="R203" s="4"/>
    </row>
    <row r="204" spans="1:18" ht="15">
      <c r="A204" s="6">
        <f>A202+1</f>
        <v>98</v>
      </c>
      <c r="B204" s="59" t="s">
        <v>173</v>
      </c>
      <c r="C204" s="189" t="s">
        <v>457</v>
      </c>
      <c r="D204" s="409">
        <v>290</v>
      </c>
      <c r="M204" s="3"/>
      <c r="N204" s="3"/>
      <c r="O204" s="3"/>
      <c r="P204" s="3"/>
      <c r="Q204" s="4"/>
      <c r="R204" s="4"/>
    </row>
    <row r="205" spans="1:18" ht="15">
      <c r="A205" s="6"/>
      <c r="B205" s="59"/>
      <c r="C205" s="189"/>
      <c r="D205" s="409"/>
      <c r="M205" s="3"/>
      <c r="N205" s="3"/>
      <c r="O205" s="3"/>
      <c r="P205" s="3"/>
      <c r="Q205" s="4"/>
      <c r="R205" s="4"/>
    </row>
    <row r="206" spans="1:18" ht="15">
      <c r="A206" s="6">
        <f>A204+1</f>
        <v>99</v>
      </c>
      <c r="B206" s="59" t="s">
        <v>174</v>
      </c>
      <c r="C206" s="189" t="s">
        <v>457</v>
      </c>
      <c r="D206" s="409">
        <v>345</v>
      </c>
      <c r="M206" s="3"/>
      <c r="N206" s="3"/>
      <c r="O206" s="3"/>
      <c r="P206" s="3"/>
      <c r="Q206" s="4"/>
      <c r="R206" s="4"/>
    </row>
    <row r="207" spans="1:18" ht="15">
      <c r="A207" s="6"/>
      <c r="B207" s="59"/>
      <c r="C207" s="189"/>
      <c r="D207" s="409"/>
      <c r="M207" s="3"/>
      <c r="N207" s="3"/>
      <c r="O207" s="3"/>
      <c r="P207" s="3"/>
      <c r="Q207" s="4"/>
      <c r="R207" s="4"/>
    </row>
    <row r="208" spans="1:18" ht="15">
      <c r="A208" s="6">
        <f>A206+1</f>
        <v>100</v>
      </c>
      <c r="B208" s="59" t="s">
        <v>175</v>
      </c>
      <c r="C208" s="189" t="s">
        <v>456</v>
      </c>
      <c r="D208" s="409">
        <v>423</v>
      </c>
      <c r="M208" s="3"/>
      <c r="N208" s="3"/>
      <c r="O208" s="3"/>
      <c r="P208" s="3"/>
      <c r="Q208" s="4"/>
      <c r="R208" s="4"/>
    </row>
    <row r="209" spans="1:18" ht="15">
      <c r="A209" s="6"/>
      <c r="B209" s="59"/>
      <c r="C209" s="189"/>
      <c r="D209" s="409"/>
      <c r="M209" s="3"/>
      <c r="N209" s="3"/>
      <c r="O209" s="3"/>
      <c r="P209" s="3"/>
      <c r="Q209" s="4"/>
      <c r="R209" s="4"/>
    </row>
    <row r="210" spans="1:18" ht="15">
      <c r="A210" s="6">
        <f>A208+1</f>
        <v>101</v>
      </c>
      <c r="B210" s="59" t="s">
        <v>176</v>
      </c>
      <c r="C210" s="189" t="s">
        <v>455</v>
      </c>
      <c r="D210" s="409">
        <v>388.69299999999998</v>
      </c>
      <c r="M210" s="3"/>
      <c r="N210" s="3"/>
      <c r="O210" s="3"/>
      <c r="P210" s="3"/>
      <c r="Q210" s="4"/>
      <c r="R210" s="4"/>
    </row>
    <row r="211" spans="1:18" ht="15">
      <c r="A211" s="6"/>
      <c r="B211" s="59"/>
      <c r="C211" s="189"/>
      <c r="D211" s="409"/>
      <c r="M211" s="3"/>
      <c r="N211" s="3"/>
      <c r="O211" s="3"/>
      <c r="P211" s="3"/>
      <c r="Q211" s="4"/>
      <c r="R211" s="4"/>
    </row>
    <row r="212" spans="1:18" ht="15">
      <c r="A212" s="6">
        <f>A210+1</f>
        <v>102</v>
      </c>
      <c r="B212" s="60" t="s">
        <v>47</v>
      </c>
      <c r="C212" s="189" t="s">
        <v>473</v>
      </c>
      <c r="D212" s="409">
        <v>405</v>
      </c>
      <c r="M212" s="3"/>
      <c r="N212" s="3"/>
      <c r="O212" s="3"/>
      <c r="P212" s="3"/>
      <c r="Q212" s="4"/>
      <c r="R212" s="4"/>
    </row>
    <row r="213" spans="1:18" ht="15">
      <c r="A213" s="6"/>
      <c r="B213" s="59"/>
      <c r="C213" s="189"/>
      <c r="D213" s="409"/>
      <c r="M213" s="3"/>
      <c r="N213" s="3"/>
      <c r="O213" s="3"/>
      <c r="P213" s="3"/>
      <c r="Q213" s="4"/>
      <c r="R213" s="4"/>
    </row>
    <row r="214" spans="1:18" ht="15">
      <c r="A214" s="6">
        <f>A212+1</f>
        <v>103</v>
      </c>
      <c r="B214" s="59" t="s">
        <v>177</v>
      </c>
      <c r="C214" s="189" t="s">
        <v>456</v>
      </c>
      <c r="D214" s="409">
        <v>385</v>
      </c>
      <c r="M214" s="3"/>
      <c r="N214" s="3"/>
      <c r="O214" s="3"/>
      <c r="P214" s="3"/>
      <c r="Q214" s="4"/>
      <c r="R214" s="4"/>
    </row>
    <row r="215" spans="1:18" ht="15">
      <c r="A215" s="6"/>
      <c r="B215" s="59"/>
      <c r="C215" s="189"/>
      <c r="D215" s="409"/>
      <c r="M215" s="3"/>
      <c r="N215" s="3"/>
      <c r="O215" s="3"/>
      <c r="P215" s="3"/>
      <c r="Q215" s="4"/>
      <c r="R215" s="4"/>
    </row>
    <row r="216" spans="1:18" ht="15">
      <c r="A216" s="6">
        <f>A214+1</f>
        <v>104</v>
      </c>
      <c r="B216" s="59" t="s">
        <v>178</v>
      </c>
      <c r="C216" s="189" t="s">
        <v>455</v>
      </c>
      <c r="D216" s="409">
        <v>366</v>
      </c>
      <c r="M216" s="3"/>
      <c r="N216" s="3"/>
      <c r="O216" s="3"/>
      <c r="P216" s="3"/>
      <c r="Q216" s="4"/>
      <c r="R216" s="4"/>
    </row>
    <row r="217" spans="1:18" ht="15">
      <c r="A217" s="6"/>
      <c r="B217" s="59"/>
      <c r="C217" s="189"/>
      <c r="D217" s="409"/>
      <c r="M217" s="3"/>
      <c r="N217" s="3"/>
      <c r="O217" s="3"/>
      <c r="P217" s="3"/>
      <c r="Q217" s="4"/>
      <c r="R217" s="4"/>
    </row>
    <row r="218" spans="1:18" ht="15">
      <c r="A218" s="6">
        <f>A216+1</f>
        <v>105</v>
      </c>
      <c r="B218" s="59" t="s">
        <v>179</v>
      </c>
      <c r="C218" s="189" t="s">
        <v>456</v>
      </c>
      <c r="D218" s="409">
        <v>444</v>
      </c>
      <c r="M218" s="3"/>
      <c r="N218" s="3"/>
      <c r="O218" s="3"/>
      <c r="P218" s="3"/>
      <c r="Q218" s="4"/>
      <c r="R218" s="4"/>
    </row>
    <row r="219" spans="1:18" ht="15">
      <c r="A219" s="6"/>
      <c r="B219" s="59"/>
      <c r="C219" s="189"/>
      <c r="D219" s="409"/>
      <c r="M219" s="3"/>
      <c r="N219" s="3"/>
      <c r="O219" s="3"/>
      <c r="P219" s="3"/>
      <c r="Q219" s="4"/>
      <c r="R219" s="4"/>
    </row>
    <row r="220" spans="1:18" ht="15">
      <c r="A220" s="6">
        <f>A218+1</f>
        <v>106</v>
      </c>
      <c r="B220" s="59" t="s">
        <v>180</v>
      </c>
      <c r="C220" s="189" t="s">
        <v>456</v>
      </c>
      <c r="D220" s="409">
        <v>355</v>
      </c>
      <c r="M220" s="3"/>
      <c r="N220" s="3"/>
      <c r="O220" s="3"/>
      <c r="P220" s="3"/>
      <c r="Q220" s="4"/>
      <c r="R220" s="4"/>
    </row>
    <row r="221" spans="1:18" ht="15">
      <c r="A221" s="6"/>
      <c r="B221" s="59"/>
      <c r="C221" s="189"/>
      <c r="D221" s="409"/>
      <c r="M221" s="3"/>
      <c r="N221" s="3"/>
      <c r="O221" s="3"/>
      <c r="P221" s="3"/>
      <c r="Q221" s="4"/>
      <c r="R221" s="4"/>
    </row>
    <row r="222" spans="1:18" ht="15">
      <c r="A222" s="6">
        <f>A220+1</f>
        <v>107</v>
      </c>
      <c r="B222" s="59" t="s">
        <v>181</v>
      </c>
      <c r="C222" s="189" t="s">
        <v>455</v>
      </c>
      <c r="D222" s="409">
        <v>375</v>
      </c>
      <c r="M222" s="3"/>
      <c r="N222" s="3"/>
      <c r="O222" s="3"/>
      <c r="P222" s="3"/>
      <c r="Q222" s="4"/>
      <c r="R222" s="4"/>
    </row>
    <row r="223" spans="1:18" ht="15">
      <c r="A223" s="6"/>
      <c r="B223" s="59"/>
      <c r="C223" s="189"/>
      <c r="D223" s="409"/>
      <c r="M223" s="3"/>
      <c r="N223" s="3"/>
      <c r="O223" s="3"/>
      <c r="P223" s="3"/>
      <c r="Q223" s="4"/>
      <c r="R223" s="4"/>
    </row>
    <row r="224" spans="1:18" ht="15">
      <c r="A224" s="6">
        <f>A222+1</f>
        <v>108</v>
      </c>
      <c r="B224" s="59" t="s">
        <v>182</v>
      </c>
      <c r="C224" s="189" t="s">
        <v>457</v>
      </c>
      <c r="D224" s="409">
        <v>374.49</v>
      </c>
      <c r="M224" s="3"/>
      <c r="N224" s="3"/>
      <c r="O224" s="3"/>
      <c r="P224" s="3"/>
      <c r="Q224" s="4"/>
      <c r="R224" s="4"/>
    </row>
    <row r="225" spans="1:18" ht="15">
      <c r="A225" s="6"/>
      <c r="B225" s="59"/>
      <c r="C225" s="189"/>
      <c r="D225" s="412"/>
      <c r="M225" s="3"/>
      <c r="N225" s="3"/>
      <c r="O225" s="3"/>
      <c r="P225" s="3"/>
      <c r="Q225" s="4"/>
      <c r="R225" s="4"/>
    </row>
    <row r="226" spans="1:18" ht="15.6" thickBot="1">
      <c r="A226" s="6">
        <f>A224+1</f>
        <v>109</v>
      </c>
      <c r="B226" s="60" t="s">
        <v>48</v>
      </c>
      <c r="C226" s="191" t="s">
        <v>454</v>
      </c>
      <c r="D226" s="413">
        <v>434</v>
      </c>
      <c r="M226" s="3"/>
      <c r="N226" s="3"/>
      <c r="O226" s="3"/>
      <c r="P226" s="3"/>
      <c r="Q226" s="4"/>
      <c r="R226" s="4"/>
    </row>
    <row r="227" spans="1:18" ht="15">
      <c r="A227" s="6"/>
      <c r="B227" s="59"/>
      <c r="C227" s="59"/>
      <c r="D227" s="413"/>
      <c r="M227" s="3"/>
      <c r="N227" s="3"/>
      <c r="O227" s="3"/>
      <c r="P227" s="3"/>
      <c r="Q227" s="4"/>
      <c r="R227" s="4"/>
    </row>
    <row r="228" spans="1:18" ht="15">
      <c r="A228" s="6">
        <f>A226+1</f>
        <v>110</v>
      </c>
      <c r="B228" s="59" t="s">
        <v>183</v>
      </c>
      <c r="C228" s="199" t="s">
        <v>465</v>
      </c>
      <c r="D228" s="413">
        <v>406</v>
      </c>
      <c r="M228" s="3"/>
      <c r="N228" s="3"/>
      <c r="O228" s="3"/>
      <c r="P228" s="3"/>
      <c r="Q228" s="4"/>
      <c r="R228" s="4"/>
    </row>
    <row r="229" spans="1:18" ht="15">
      <c r="A229" s="6"/>
      <c r="B229" s="59"/>
      <c r="C229" s="199"/>
      <c r="D229" s="413"/>
      <c r="M229" s="3"/>
      <c r="N229" s="3"/>
      <c r="O229" s="3"/>
      <c r="P229" s="3"/>
      <c r="Q229" s="4"/>
      <c r="R229" s="4"/>
    </row>
    <row r="230" spans="1:18" ht="15">
      <c r="A230" s="6">
        <f>A228+1</f>
        <v>111</v>
      </c>
      <c r="B230" s="59" t="s">
        <v>184</v>
      </c>
      <c r="C230" s="199" t="s">
        <v>457</v>
      </c>
      <c r="D230" s="413">
        <v>390</v>
      </c>
      <c r="M230" s="3"/>
      <c r="N230" s="3"/>
      <c r="O230" s="3"/>
      <c r="P230" s="3"/>
      <c r="Q230" s="4"/>
      <c r="R230" s="4"/>
    </row>
    <row r="231" spans="1:18" ht="15">
      <c r="A231" s="6"/>
      <c r="B231" s="59"/>
      <c r="C231" s="199"/>
      <c r="D231" s="413"/>
      <c r="M231" s="3"/>
      <c r="N231" s="3"/>
      <c r="O231" s="3"/>
      <c r="P231" s="3"/>
      <c r="Q231" s="4"/>
      <c r="R231" s="4"/>
    </row>
    <row r="232" spans="1:18" ht="15">
      <c r="A232" s="6">
        <f>A230+1</f>
        <v>112</v>
      </c>
      <c r="B232" s="59" t="s">
        <v>185</v>
      </c>
      <c r="C232" s="199" t="s">
        <v>463</v>
      </c>
      <c r="D232" s="413">
        <v>276.49200000000002</v>
      </c>
      <c r="M232" s="3"/>
      <c r="N232" s="3"/>
      <c r="O232" s="3"/>
      <c r="P232" s="3"/>
      <c r="Q232" s="4"/>
      <c r="R232" s="4"/>
    </row>
    <row r="233" spans="1:18" ht="15">
      <c r="A233" s="6"/>
      <c r="B233" s="59"/>
      <c r="C233" s="199"/>
      <c r="D233" s="412"/>
      <c r="M233" s="3"/>
      <c r="N233" s="3"/>
      <c r="O233" s="3"/>
      <c r="P233" s="3"/>
      <c r="Q233" s="4"/>
      <c r="R233" s="4"/>
    </row>
    <row r="234" spans="1:18" ht="15">
      <c r="A234" s="6">
        <v>113</v>
      </c>
      <c r="B234" s="60" t="s">
        <v>54</v>
      </c>
      <c r="C234" s="199" t="s">
        <v>472</v>
      </c>
      <c r="D234" s="414">
        <v>397</v>
      </c>
      <c r="M234" s="3"/>
      <c r="N234" s="3"/>
      <c r="O234" s="3"/>
      <c r="P234" s="3"/>
      <c r="Q234" s="4"/>
      <c r="R234" s="4"/>
    </row>
    <row r="235" spans="1:18" ht="15">
      <c r="A235" s="6"/>
      <c r="B235" s="199"/>
      <c r="C235" s="199"/>
      <c r="D235" s="414"/>
      <c r="M235" s="3"/>
      <c r="N235" s="3"/>
      <c r="O235" s="3"/>
      <c r="P235" s="3"/>
      <c r="Q235" s="4"/>
      <c r="R235" s="4"/>
    </row>
    <row r="236" spans="1:18" ht="15">
      <c r="A236" s="6">
        <f>A234+1</f>
        <v>114</v>
      </c>
      <c r="B236" s="59" t="s">
        <v>186</v>
      </c>
      <c r="C236" s="199" t="s">
        <v>508</v>
      </c>
      <c r="D236" s="414">
        <v>380</v>
      </c>
      <c r="M236" s="3"/>
      <c r="N236" s="3"/>
      <c r="O236" s="3"/>
      <c r="P236" s="3"/>
      <c r="Q236" s="4"/>
      <c r="R236" s="4"/>
    </row>
    <row r="237" spans="1:18" ht="15">
      <c r="A237" s="6"/>
      <c r="B237" s="59"/>
      <c r="C237" s="199"/>
      <c r="D237" s="414"/>
      <c r="M237" s="3"/>
      <c r="N237" s="3"/>
      <c r="O237" s="3"/>
      <c r="P237" s="3"/>
      <c r="Q237" s="4"/>
      <c r="R237" s="4"/>
    </row>
    <row r="238" spans="1:18" ht="15">
      <c r="A238" s="6">
        <f>A236+1</f>
        <v>115</v>
      </c>
      <c r="B238" s="59" t="s">
        <v>187</v>
      </c>
      <c r="C238" s="199" t="s">
        <v>455</v>
      </c>
      <c r="D238" s="414">
        <v>342</v>
      </c>
      <c r="M238" s="3"/>
      <c r="N238" s="3"/>
      <c r="O238" s="3"/>
      <c r="P238" s="3"/>
      <c r="Q238" s="4"/>
      <c r="R238" s="4"/>
    </row>
    <row r="239" spans="1:18" ht="15">
      <c r="A239" s="6"/>
      <c r="B239" s="59"/>
      <c r="C239" s="199"/>
      <c r="D239" s="414"/>
      <c r="M239" s="3"/>
      <c r="N239" s="3"/>
      <c r="O239" s="3"/>
      <c r="P239" s="3"/>
      <c r="Q239" s="4"/>
      <c r="R239" s="4"/>
    </row>
    <row r="240" spans="1:18" ht="15">
      <c r="A240" s="6">
        <f>A238+1</f>
        <v>116</v>
      </c>
      <c r="B240" s="59" t="s">
        <v>188</v>
      </c>
      <c r="C240" s="199" t="s">
        <v>457</v>
      </c>
      <c r="D240" s="414">
        <v>416.81</v>
      </c>
      <c r="M240" s="3"/>
      <c r="N240" s="3"/>
      <c r="O240" s="3"/>
      <c r="P240" s="3"/>
      <c r="Q240" s="4"/>
      <c r="R240" s="4"/>
    </row>
    <row r="241" spans="1:18" ht="15">
      <c r="A241" s="6"/>
      <c r="B241" s="199"/>
      <c r="C241" s="199"/>
      <c r="D241" s="414"/>
      <c r="M241" s="3"/>
      <c r="N241" s="3"/>
      <c r="O241" s="3"/>
      <c r="P241" s="3"/>
      <c r="Q241" s="4"/>
      <c r="R241" s="4"/>
    </row>
    <row r="242" spans="1:18" ht="15">
      <c r="A242" s="6">
        <f>A240+1</f>
        <v>117</v>
      </c>
      <c r="B242" s="60" t="s">
        <v>190</v>
      </c>
      <c r="C242" s="199" t="s">
        <v>554</v>
      </c>
      <c r="D242" s="414">
        <v>203.90199999999999</v>
      </c>
      <c r="M242" s="3"/>
      <c r="N242" s="3"/>
      <c r="O242" s="3"/>
      <c r="P242" s="3"/>
      <c r="Q242" s="4"/>
      <c r="R242" s="4"/>
    </row>
    <row r="243" spans="1:18" ht="15">
      <c r="A243" s="6"/>
      <c r="B243" s="199"/>
      <c r="C243" s="199"/>
      <c r="D243" s="414"/>
      <c r="M243" s="3"/>
      <c r="N243" s="3"/>
      <c r="O243" s="3"/>
      <c r="P243" s="3"/>
      <c r="Q243" s="4"/>
      <c r="R243" s="4"/>
    </row>
    <row r="244" spans="1:18" ht="15">
      <c r="A244" s="6">
        <f>A242+1</f>
        <v>118</v>
      </c>
      <c r="B244" s="60" t="s">
        <v>192</v>
      </c>
      <c r="C244" s="199" t="s">
        <v>554</v>
      </c>
      <c r="D244" s="414">
        <v>382</v>
      </c>
      <c r="M244" s="3"/>
      <c r="N244" s="3"/>
      <c r="O244" s="3"/>
      <c r="P244" s="3"/>
      <c r="Q244" s="4"/>
      <c r="R244" s="4"/>
    </row>
    <row r="245" spans="1:18" ht="15">
      <c r="A245" s="6"/>
      <c r="B245" s="199"/>
      <c r="C245" s="199"/>
      <c r="D245" s="414"/>
      <c r="M245" s="3"/>
      <c r="N245" s="3"/>
      <c r="O245" s="3"/>
      <c r="P245" s="3"/>
      <c r="Q245" s="4"/>
      <c r="R245" s="4"/>
    </row>
    <row r="246" spans="1:18" ht="15">
      <c r="A246" s="6">
        <f>A244+1</f>
        <v>119</v>
      </c>
      <c r="B246" s="355" t="s">
        <v>556</v>
      </c>
      <c r="C246" s="199" t="s">
        <v>457</v>
      </c>
      <c r="D246" s="414">
        <v>320.79599999999999</v>
      </c>
      <c r="M246" s="3"/>
      <c r="N246" s="3"/>
      <c r="O246" s="3"/>
      <c r="P246" s="3"/>
      <c r="Q246" s="4"/>
      <c r="R246" s="4"/>
    </row>
    <row r="247" spans="1:18" ht="15">
      <c r="A247" s="6"/>
      <c r="B247" s="199"/>
      <c r="C247" s="199"/>
      <c r="D247" s="414"/>
      <c r="M247" s="3"/>
      <c r="N247" s="3"/>
      <c r="O247" s="3"/>
      <c r="P247" s="3"/>
      <c r="Q247" s="4"/>
      <c r="R247" s="4"/>
    </row>
    <row r="248" spans="1:18" ht="15">
      <c r="A248" s="6">
        <f>A246+1</f>
        <v>120</v>
      </c>
      <c r="B248" s="60" t="s">
        <v>193</v>
      </c>
      <c r="C248" s="199" t="s">
        <v>462</v>
      </c>
      <c r="D248" s="414">
        <v>414</v>
      </c>
      <c r="M248" s="3"/>
      <c r="N248" s="3"/>
      <c r="O248" s="3"/>
      <c r="P248" s="3"/>
      <c r="Q248" s="4"/>
      <c r="R248" s="4"/>
    </row>
    <row r="249" spans="1:18" ht="15">
      <c r="A249" s="6"/>
      <c r="B249" s="199"/>
      <c r="C249" s="199"/>
      <c r="D249" s="414"/>
      <c r="M249" s="3"/>
      <c r="N249" s="3"/>
      <c r="O249" s="3"/>
      <c r="P249" s="3"/>
      <c r="Q249" s="4"/>
      <c r="R249" s="4"/>
    </row>
    <row r="250" spans="1:18" ht="15">
      <c r="A250" s="6">
        <f>A248+1</f>
        <v>121</v>
      </c>
      <c r="B250" s="355" t="s">
        <v>558</v>
      </c>
      <c r="C250" s="199" t="s">
        <v>465</v>
      </c>
      <c r="D250" s="414">
        <v>425</v>
      </c>
      <c r="M250" s="3"/>
      <c r="N250" s="3"/>
      <c r="O250" s="3"/>
      <c r="P250" s="3"/>
      <c r="Q250" s="4"/>
      <c r="R250" s="4"/>
    </row>
    <row r="251" spans="1:18" ht="15">
      <c r="A251" s="6"/>
      <c r="B251" s="199"/>
      <c r="C251" s="199"/>
      <c r="D251" s="414"/>
      <c r="M251" s="3"/>
      <c r="N251" s="3"/>
      <c r="O251" s="3"/>
      <c r="P251" s="3"/>
      <c r="Q251" s="4"/>
      <c r="R251" s="4"/>
    </row>
    <row r="252" spans="1:18" ht="15">
      <c r="A252" s="356">
        <f>A250+1</f>
        <v>122</v>
      </c>
      <c r="B252" s="355" t="s">
        <v>559</v>
      </c>
      <c r="C252" s="199" t="s">
        <v>455</v>
      </c>
      <c r="D252" s="414">
        <v>373</v>
      </c>
      <c r="M252" s="3"/>
      <c r="N252" s="3"/>
      <c r="O252" s="3"/>
      <c r="P252" s="3"/>
    </row>
    <row r="253" spans="1:18" ht="15">
      <c r="A253" s="6"/>
      <c r="B253" s="199"/>
      <c r="C253" s="199"/>
      <c r="D253" s="414"/>
      <c r="M253" s="3"/>
      <c r="N253" s="3"/>
      <c r="O253" s="3"/>
      <c r="P253" s="3"/>
      <c r="Q253" s="4"/>
      <c r="R253" s="4"/>
    </row>
    <row r="254" spans="1:18" ht="15">
      <c r="A254" s="356">
        <f>A252+1</f>
        <v>123</v>
      </c>
      <c r="B254" s="355" t="s">
        <v>560</v>
      </c>
      <c r="C254" s="199" t="s">
        <v>455</v>
      </c>
      <c r="D254" s="414">
        <v>357</v>
      </c>
    </row>
    <row r="255" spans="1:18" ht="15">
      <c r="A255" s="356"/>
      <c r="B255" s="199"/>
      <c r="C255" s="199"/>
      <c r="D255" s="414"/>
    </row>
    <row r="256" spans="1:18" ht="15">
      <c r="A256" s="356">
        <f>A254+1</f>
        <v>124</v>
      </c>
      <c r="B256" s="355" t="s">
        <v>561</v>
      </c>
      <c r="C256" s="199" t="s">
        <v>455</v>
      </c>
      <c r="D256" s="414">
        <v>372.20100000000002</v>
      </c>
    </row>
    <row r="257" spans="1:4" ht="15">
      <c r="A257" s="356"/>
      <c r="B257" s="199"/>
      <c r="C257" s="199"/>
      <c r="D257" s="414"/>
    </row>
    <row r="258" spans="1:4" ht="15">
      <c r="A258" s="356">
        <f>A256+1</f>
        <v>125</v>
      </c>
      <c r="B258" s="60" t="s">
        <v>567</v>
      </c>
      <c r="C258" s="199" t="s">
        <v>462</v>
      </c>
      <c r="D258" s="414">
        <v>358.08600000000001</v>
      </c>
    </row>
    <row r="259" spans="1:4">
      <c r="A259" s="356"/>
      <c r="B259" s="357"/>
      <c r="C259" s="357"/>
      <c r="D259" s="415"/>
    </row>
    <row r="260" spans="1:4" ht="18">
      <c r="A260" s="356">
        <f>A258+1</f>
        <v>126</v>
      </c>
      <c r="B260" s="60" t="s">
        <v>568</v>
      </c>
      <c r="C260" s="358" t="s">
        <v>511</v>
      </c>
      <c r="D260" s="414">
        <v>278.70400000000001</v>
      </c>
    </row>
    <row r="261" spans="1:4" ht="18">
      <c r="A261" s="356"/>
      <c r="B261" s="359"/>
      <c r="C261" s="360"/>
      <c r="D261" s="415"/>
    </row>
    <row r="262" spans="1:4" ht="18">
      <c r="A262" s="356">
        <f>A260+1</f>
        <v>127</v>
      </c>
      <c r="B262" s="60" t="s">
        <v>569</v>
      </c>
      <c r="C262" s="358" t="s">
        <v>511</v>
      </c>
      <c r="D262" s="414">
        <v>135.00800000000001</v>
      </c>
    </row>
    <row r="263" spans="1:4">
      <c r="D263" s="194">
        <f>SUM(D10:D262)</f>
        <v>47836.987999999998</v>
      </c>
    </row>
    <row r="264" spans="1:4">
      <c r="B264" s="2" t="s">
        <v>618</v>
      </c>
      <c r="C264" t="s">
        <v>89</v>
      </c>
    </row>
  </sheetData>
  <autoFilter ref="B10:B264"/>
  <mergeCells count="7">
    <mergeCell ref="F26:S26"/>
    <mergeCell ref="A6:F6"/>
    <mergeCell ref="F10:S10"/>
    <mergeCell ref="A8:A9"/>
    <mergeCell ref="B8:B9"/>
    <mergeCell ref="C8:C9"/>
    <mergeCell ref="D8:D9"/>
  </mergeCells>
  <conditionalFormatting sqref="D10:D37 D132:D169">
    <cfRule type="cellIs" dxfId="1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A264"/>
  <sheetViews>
    <sheetView topLeftCell="A22" zoomScale="83" zoomScaleNormal="80" workbookViewId="0">
      <selection activeCell="C89" sqref="C89"/>
    </sheetView>
  </sheetViews>
  <sheetFormatPr defaultColWidth="9.21875" defaultRowHeight="14.4"/>
  <cols>
    <col min="1" max="1" width="9.21875" style="2"/>
    <col min="2" max="2" width="9.88671875" style="2" customWidth="1"/>
    <col min="3" max="3" width="14.5546875" customWidth="1"/>
    <col min="4" max="4" width="10.44140625" style="194" bestFit="1" customWidth="1"/>
  </cols>
  <sheetData>
    <row r="6" spans="1:27">
      <c r="A6" s="985" t="s">
        <v>234</v>
      </c>
      <c r="B6" s="985"/>
      <c r="C6" s="985"/>
      <c r="D6" s="985"/>
      <c r="E6" s="985"/>
      <c r="F6" s="985"/>
    </row>
    <row r="7" spans="1:27" ht="15" thickBot="1"/>
    <row r="8" spans="1:27" ht="15" customHeight="1">
      <c r="A8" s="986" t="s">
        <v>12</v>
      </c>
      <c r="B8" s="988" t="s">
        <v>13</v>
      </c>
      <c r="C8" s="990" t="s">
        <v>14</v>
      </c>
      <c r="D8" s="992" t="s">
        <v>15</v>
      </c>
    </row>
    <row r="9" spans="1:27" ht="15" thickBot="1">
      <c r="A9" s="987"/>
      <c r="B9" s="989"/>
      <c r="C9" s="991"/>
      <c r="D9" s="993"/>
    </row>
    <row r="10" spans="1:27" ht="19.2" customHeight="1" thickBot="1">
      <c r="A10" s="5">
        <v>1</v>
      </c>
      <c r="B10" s="58" t="s">
        <v>23</v>
      </c>
      <c r="C10" s="199" t="s">
        <v>471</v>
      </c>
      <c r="D10" s="276">
        <v>249.63499999999999</v>
      </c>
      <c r="E10" s="70" t="s">
        <v>224</v>
      </c>
      <c r="F10" s="994"/>
      <c r="G10" s="982"/>
      <c r="H10" s="982"/>
      <c r="I10" s="982"/>
      <c r="J10" s="982"/>
      <c r="K10" s="983"/>
      <c r="L10" s="983"/>
      <c r="M10" s="983"/>
      <c r="N10" s="983"/>
      <c r="O10" s="983"/>
      <c r="P10" s="983"/>
      <c r="Q10" s="983"/>
      <c r="R10" s="983"/>
      <c r="S10" s="984"/>
    </row>
    <row r="11" spans="1:27" ht="19.2" customHeight="1">
      <c r="A11" s="1"/>
      <c r="B11" s="59"/>
      <c r="C11" s="199"/>
      <c r="D11" s="276"/>
      <c r="F11" s="364" t="s">
        <v>229</v>
      </c>
      <c r="G11" s="76" t="s">
        <v>230</v>
      </c>
      <c r="H11" s="76" t="s">
        <v>231</v>
      </c>
      <c r="I11" s="76" t="s">
        <v>232</v>
      </c>
      <c r="J11" s="76" t="s">
        <v>233</v>
      </c>
      <c r="K11" s="76" t="s">
        <v>0</v>
      </c>
      <c r="L11" s="76" t="s">
        <v>227</v>
      </c>
      <c r="M11" s="76" t="s">
        <v>7</v>
      </c>
      <c r="N11" s="76" t="s">
        <v>228</v>
      </c>
      <c r="O11" s="76" t="s">
        <v>3</v>
      </c>
      <c r="P11" s="76" t="s">
        <v>1</v>
      </c>
      <c r="Q11" s="76" t="s">
        <v>9</v>
      </c>
      <c r="R11" s="76"/>
      <c r="S11" s="77" t="s">
        <v>11</v>
      </c>
    </row>
    <row r="12" spans="1:27" ht="19.2" customHeight="1">
      <c r="A12" s="1">
        <v>2</v>
      </c>
      <c r="B12" s="60" t="s">
        <v>24</v>
      </c>
      <c r="C12" s="199" t="s">
        <v>509</v>
      </c>
      <c r="D12" s="276">
        <v>425</v>
      </c>
      <c r="E12" s="363" t="s">
        <v>582</v>
      </c>
      <c r="F12" s="365">
        <f>COUNTIF($C$10:$C$253,"1DA-0")</f>
        <v>0</v>
      </c>
      <c r="G12" s="122">
        <f>COUNTIF($C$10:$C$253,"1DA-1.5")</f>
        <v>3</v>
      </c>
      <c r="H12" s="122">
        <f>COUNTIF($C$10:$C$253,"1DA-3")</f>
        <v>18</v>
      </c>
      <c r="I12" s="122">
        <f>COUNTIF($C$10:$C$253,"1DA-4.5")</f>
        <v>0</v>
      </c>
      <c r="J12" s="122">
        <f>COUNTIF($C$10:$C$253,"1DA-6")</f>
        <v>0</v>
      </c>
      <c r="K12" s="122">
        <f>COUNTIF($C$10:$C$253,"1DA+0")</f>
        <v>34</v>
      </c>
      <c r="L12" s="122">
        <f>COUNTIF($C$10:$C$253,"1DA+1.5")</f>
        <v>0</v>
      </c>
      <c r="M12" s="122">
        <f>COUNTIF($C$10:$C$253,"1DA+3")</f>
        <v>19</v>
      </c>
      <c r="N12" s="122">
        <f>COUNTIF($C$10:$C$253,"1DA+4.5")</f>
        <v>0</v>
      </c>
      <c r="O12" s="122">
        <f>COUNTIF($C$10:$C$253,"1DA+6")</f>
        <v>7</v>
      </c>
      <c r="P12" s="122">
        <f>COUNTIF($C$10:$C$253,"1DA+9")</f>
        <v>6</v>
      </c>
      <c r="Q12" s="122">
        <f>COUNTIF($C$10:$C$253,"1DA+18")</f>
        <v>0</v>
      </c>
      <c r="R12" s="43"/>
      <c r="S12" s="80">
        <f t="shared" ref="S12:S18" si="0">SUM(F12:R12)</f>
        <v>87</v>
      </c>
      <c r="T12" s="286">
        <f>S28-S12</f>
        <v>2</v>
      </c>
    </row>
    <row r="13" spans="1:27" ht="16.2" thickBot="1">
      <c r="A13" s="1"/>
      <c r="B13" s="59"/>
      <c r="C13" s="199"/>
      <c r="D13" s="276"/>
      <c r="E13" s="363" t="s">
        <v>583</v>
      </c>
      <c r="F13" s="365">
        <f>COUNTIF($C$10:$C$253,"1DB1-0")</f>
        <v>0</v>
      </c>
      <c r="G13" s="122">
        <f>COUNTIF($C$10:$C$253,"1DB1-1.5")</f>
        <v>0</v>
      </c>
      <c r="H13" s="122">
        <f>COUNTIF($C$10:$C$253,"1DB1-3")</f>
        <v>1</v>
      </c>
      <c r="I13" s="122">
        <f>COUNTIF($C$10:$C$253,"1DB1-4.5")</f>
        <v>0</v>
      </c>
      <c r="J13" s="122">
        <f>COUNTIF($C$10:$C$253,"1DB1-6")</f>
        <v>0</v>
      </c>
      <c r="K13" s="122">
        <f>COUNTIF($C$10:$C$253,"1DB1+0")</f>
        <v>7</v>
      </c>
      <c r="L13" s="122">
        <f>COUNTIF($C$10:$C$253,"1DB1+1.5")</f>
        <v>0</v>
      </c>
      <c r="M13" s="122">
        <f>COUNTIF($C$10:$C$253,"1DB1+3")</f>
        <v>1</v>
      </c>
      <c r="N13" s="122">
        <f>COUNTIF($C$10:$C$253,"1DB1+4.5")</f>
        <v>0</v>
      </c>
      <c r="O13" s="122">
        <f>COUNTIF($C$10:$C$253,"1DB1+6")</f>
        <v>1</v>
      </c>
      <c r="P13" s="122">
        <f>COUNTIF($C$10:$C$253,"1DB1+9")</f>
        <v>4</v>
      </c>
      <c r="Q13" s="122">
        <f>COUNTIF($C$10:$C$253,"1DB1+18")</f>
        <v>0</v>
      </c>
      <c r="R13" s="43"/>
      <c r="S13" s="80">
        <f t="shared" si="0"/>
        <v>14</v>
      </c>
      <c r="T13" s="286">
        <f t="shared" ref="T13:T18" si="1">S29-S13</f>
        <v>0</v>
      </c>
      <c r="U13" s="6">
        <v>113</v>
      </c>
      <c r="V13" s="60" t="s">
        <v>54</v>
      </c>
      <c r="W13" s="279" t="s">
        <v>471</v>
      </c>
      <c r="Y13" s="199" t="s">
        <v>519</v>
      </c>
      <c r="Z13" s="199" t="s">
        <v>468</v>
      </c>
      <c r="AA13" s="348">
        <v>73.125</v>
      </c>
    </row>
    <row r="14" spans="1:27" ht="15.6">
      <c r="A14" s="1">
        <v>3</v>
      </c>
      <c r="B14" s="59" t="s">
        <v>117</v>
      </c>
      <c r="C14" s="186" t="s">
        <v>457</v>
      </c>
      <c r="D14" s="276">
        <v>425</v>
      </c>
      <c r="E14" s="363" t="s">
        <v>584</v>
      </c>
      <c r="F14" s="365">
        <f>COUNTIF($C$10:$C$253,"1DB2-0")</f>
        <v>0</v>
      </c>
      <c r="G14" s="122">
        <f>COUNTIF($C$10:$C$253,"1DB2-1.5")</f>
        <v>0</v>
      </c>
      <c r="H14" s="122">
        <f>COUNTIF($C$10:$C$253,"1DB2-3")</f>
        <v>0</v>
      </c>
      <c r="I14" s="122">
        <f>COUNTIF($C$10:$C$253,"1DB2-4.5")</f>
        <v>0</v>
      </c>
      <c r="J14" s="122">
        <f>COUNTIF($C$10:$C$253,"1DB2-6")</f>
        <v>0</v>
      </c>
      <c r="K14" s="122">
        <f>COUNTIF($C$10:$C$253,"1DB2+0")</f>
        <v>1</v>
      </c>
      <c r="L14" s="122">
        <f>COUNTIF($C$10:$C$253,"1DB2+1.5")</f>
        <v>0</v>
      </c>
      <c r="M14" s="122">
        <f>COUNTIF($C$10:$C$253,"1DB2+3")</f>
        <v>2</v>
      </c>
      <c r="N14" s="122">
        <f>COUNTIF($C$10:$C$253,"1DB2+4.5")</f>
        <v>0</v>
      </c>
      <c r="O14" s="122">
        <f>COUNTIF($C$10:$C$253,"1DB2+6")</f>
        <v>0</v>
      </c>
      <c r="P14" s="122">
        <f>COUNTIF($C$10:$C$253,"1DB2+9")</f>
        <v>1</v>
      </c>
      <c r="Q14" s="122">
        <f>COUNTIF($C$10:$C$253,"1DB2+18")</f>
        <v>0</v>
      </c>
      <c r="R14" s="43"/>
      <c r="S14" s="80">
        <f t="shared" si="0"/>
        <v>4</v>
      </c>
      <c r="T14" s="286">
        <f t="shared" si="1"/>
        <v>0</v>
      </c>
      <c r="U14" s="6"/>
      <c r="V14" s="59"/>
      <c r="W14" s="59"/>
      <c r="Y14" s="199"/>
      <c r="Z14" s="199"/>
      <c r="AA14" s="348"/>
    </row>
    <row r="15" spans="1:27" ht="15.6">
      <c r="A15" s="1"/>
      <c r="B15" s="59"/>
      <c r="C15" s="199"/>
      <c r="D15" s="276"/>
      <c r="E15" s="363" t="s">
        <v>585</v>
      </c>
      <c r="F15" s="365">
        <f>COUNTIF($C$10:$C$253,"1DC1-0")</f>
        <v>0</v>
      </c>
      <c r="G15" s="122">
        <f>COUNTIF($C$10:$C$253,"1DC1-1.5")</f>
        <v>0</v>
      </c>
      <c r="H15" s="122">
        <f>COUNTIF($C$10:$C$253,"1DC1-3")</f>
        <v>1</v>
      </c>
      <c r="I15" s="122">
        <f>COUNTIF($C$10:$C$253,"1DC1-4.5")</f>
        <v>0</v>
      </c>
      <c r="J15" s="122">
        <f>COUNTIF($C$10:$C$253,"1DC1-6")</f>
        <v>0</v>
      </c>
      <c r="K15" s="122">
        <f>COUNTIF($C$10:$C$253,"1DC1+0")</f>
        <v>2</v>
      </c>
      <c r="L15" s="122">
        <f>COUNTIF($C$10:$C$253,"1DC1+1.5")</f>
        <v>0</v>
      </c>
      <c r="M15" s="122">
        <f>COUNTIF($C$10:$C$253,"1DC1+3")</f>
        <v>2</v>
      </c>
      <c r="N15" s="122">
        <f>COUNTIF($C$10:$C$253,"1DC1+4.5")</f>
        <v>0</v>
      </c>
      <c r="O15" s="122">
        <f>COUNTIF($C$10:$C$253,"1DC1+6")</f>
        <v>2</v>
      </c>
      <c r="P15" s="122">
        <f>COUNTIF($C$10:$C$253,"1DC1+9")</f>
        <v>0</v>
      </c>
      <c r="Q15" s="122">
        <f>COUNTIF($C$10:$C$253,"1DC1+18")</f>
        <v>0</v>
      </c>
      <c r="R15" s="43"/>
      <c r="S15" s="80">
        <f t="shared" si="0"/>
        <v>7</v>
      </c>
      <c r="T15" s="286">
        <f t="shared" si="1"/>
        <v>0</v>
      </c>
      <c r="U15" s="6">
        <f>U13+1</f>
        <v>114</v>
      </c>
      <c r="V15" s="59" t="s">
        <v>186</v>
      </c>
      <c r="W15" s="59" t="s">
        <v>455</v>
      </c>
      <c r="Y15" s="199" t="s">
        <v>186</v>
      </c>
      <c r="Z15" s="199" t="s">
        <v>455</v>
      </c>
      <c r="AA15" s="348">
        <v>71.430000000000007</v>
      </c>
    </row>
    <row r="16" spans="1:27" ht="15.6">
      <c r="A16" s="1">
        <v>4</v>
      </c>
      <c r="B16" s="59" t="s">
        <v>118</v>
      </c>
      <c r="C16" s="186" t="s">
        <v>465</v>
      </c>
      <c r="D16" s="276">
        <v>390</v>
      </c>
      <c r="E16" s="363" t="s">
        <v>586</v>
      </c>
      <c r="F16" s="365">
        <f>COUNTIF($C$10:$C$253,"1DC2-0")</f>
        <v>0</v>
      </c>
      <c r="G16" s="122">
        <f>COUNTIF($C$10:$C$253,"1DC2-1.5")</f>
        <v>0</v>
      </c>
      <c r="H16" s="122">
        <f>COUNTIF($C$10:$C$253,"1DC2-3")</f>
        <v>0</v>
      </c>
      <c r="I16" s="122">
        <f>COUNTIF($C$10:$C$253,"1DC2-4.5")</f>
        <v>0</v>
      </c>
      <c r="J16" s="122">
        <f>COUNTIF($C$10:$C$253,"1DC2-6")</f>
        <v>0</v>
      </c>
      <c r="K16" s="122">
        <f>COUNTIF($C$10:$C$253,"1DC2+0")</f>
        <v>3</v>
      </c>
      <c r="L16" s="122">
        <f>COUNTIF($C$10:$C$253,"1DC2+1.5")</f>
        <v>0</v>
      </c>
      <c r="M16" s="122">
        <f>COUNTIF($C$10:$C$253,"1DC2+3")</f>
        <v>1</v>
      </c>
      <c r="N16" s="122">
        <f>COUNTIF($C$10:$C$253,"1DC2+4.5")</f>
        <v>0</v>
      </c>
      <c r="O16" s="122">
        <f>COUNTIF($C$10:$C$253,"1DC2+6")</f>
        <v>2</v>
      </c>
      <c r="P16" s="122">
        <f>COUNTIF($C$10:$C$253,"1DC2+9")</f>
        <v>0</v>
      </c>
      <c r="Q16" s="122">
        <f>COUNTIF($C$10:$C$253,"1DC2+18")</f>
        <v>0</v>
      </c>
      <c r="R16" s="43"/>
      <c r="S16" s="80">
        <f t="shared" si="0"/>
        <v>6</v>
      </c>
      <c r="T16" s="286">
        <f t="shared" si="1"/>
        <v>1</v>
      </c>
      <c r="U16" s="6"/>
      <c r="V16" s="59"/>
      <c r="W16" s="59"/>
      <c r="Y16" s="199"/>
      <c r="Z16" s="199"/>
      <c r="AA16" s="348"/>
    </row>
    <row r="17" spans="1:27" ht="15.6">
      <c r="A17" s="1"/>
      <c r="B17" s="59"/>
      <c r="C17" s="199"/>
      <c r="D17" s="276"/>
      <c r="E17" s="363" t="s">
        <v>587</v>
      </c>
      <c r="F17" s="365">
        <f>COUNTIF($C$10:$C$253,"1DD45-0")</f>
        <v>0</v>
      </c>
      <c r="G17" s="122">
        <f>COUNTIF($C$10:$C$253,"1DD45-1.5")</f>
        <v>0</v>
      </c>
      <c r="H17" s="122">
        <f>COUNTIF($C$10:$C$253,"1DD45-3")</f>
        <v>0</v>
      </c>
      <c r="I17" s="122">
        <f>COUNTIF($C$10:$C$253,"1DD45-4.5")</f>
        <v>0</v>
      </c>
      <c r="J17" s="122">
        <f>COUNTIF($C$10:$C$253,"1DD45-6")</f>
        <v>0</v>
      </c>
      <c r="K17" s="122">
        <f>COUNTIF($C$10:$C$253,"1DD45+0")</f>
        <v>0</v>
      </c>
      <c r="L17" s="122">
        <f>COUNTIF($C$10:$C$253,"1DD45+1.5")</f>
        <v>0</v>
      </c>
      <c r="M17" s="122">
        <f>COUNTIF($C$10:$C$253,"1DD45+3")</f>
        <v>0</v>
      </c>
      <c r="N17" s="122">
        <f>COUNTIF($C$10:$C$253,"1DD45+4.5")</f>
        <v>0</v>
      </c>
      <c r="O17" s="122">
        <f>COUNTIF($C$10:$C$253,"1DD45+6")</f>
        <v>0</v>
      </c>
      <c r="P17" s="122">
        <f>COUNTIF($C$10:$C$253,"1DD45+9")</f>
        <v>0</v>
      </c>
      <c r="Q17" s="122">
        <f>COUNTIF($C$10:$C$253,"1DD45+18")</f>
        <v>2</v>
      </c>
      <c r="R17" s="43"/>
      <c r="S17" s="80">
        <f t="shared" si="0"/>
        <v>2</v>
      </c>
      <c r="T17" s="286">
        <f t="shared" si="1"/>
        <v>0</v>
      </c>
      <c r="U17" s="6">
        <f>U15+1</f>
        <v>115</v>
      </c>
      <c r="V17" s="59" t="s">
        <v>187</v>
      </c>
      <c r="W17" s="59" t="s">
        <v>465</v>
      </c>
      <c r="Y17" s="199" t="s">
        <v>187</v>
      </c>
      <c r="Z17" s="199" t="s">
        <v>455</v>
      </c>
      <c r="AA17" s="348">
        <v>71.430000000000007</v>
      </c>
    </row>
    <row r="18" spans="1:27" ht="16.2" thickBot="1">
      <c r="A18" s="1">
        <v>5</v>
      </c>
      <c r="B18" s="59" t="s">
        <v>119</v>
      </c>
      <c r="C18" s="186" t="s">
        <v>458</v>
      </c>
      <c r="D18" s="276">
        <v>265</v>
      </c>
      <c r="E18" s="363" t="s">
        <v>588</v>
      </c>
      <c r="F18" s="366">
        <f>COUNTIF($C$10:$C$253,"1DD60-0")</f>
        <v>0</v>
      </c>
      <c r="G18" s="123">
        <f>COUNTIF($C$10:$C$253,"1DD60-1.5")</f>
        <v>0</v>
      </c>
      <c r="H18" s="123">
        <f>COUNTIF($C$10:$C$253,"1DD60-3")</f>
        <v>0</v>
      </c>
      <c r="I18" s="123">
        <f>COUNTIF($C$10:$C$253,"1DD60-4.5")</f>
        <v>0</v>
      </c>
      <c r="J18" s="123">
        <f>COUNTIF($C$10:$C$253,"1DD60-6")</f>
        <v>0</v>
      </c>
      <c r="K18" s="123">
        <f>COUNTIF($C$10:$C$253,"1DD60+0")</f>
        <v>0</v>
      </c>
      <c r="L18" s="123">
        <f>COUNTIF($C$10:$C$253,"1DD60+1.5")</f>
        <v>0</v>
      </c>
      <c r="M18" s="123">
        <f>COUNTIF($C$10:$C$253,"1DD60+3")</f>
        <v>0</v>
      </c>
      <c r="N18" s="123">
        <f>COUNTIF($C$10:$C$253,"1DD60+4.5")</f>
        <v>0</v>
      </c>
      <c r="O18" s="123">
        <f>COUNTIF($C$10:$C$253,"1DD60+6")</f>
        <v>2</v>
      </c>
      <c r="P18" s="123">
        <f>COUNTIF($C$10:$C$253,"1DD60+9")</f>
        <v>0</v>
      </c>
      <c r="Q18" s="123">
        <f>COUNTIF($C$10:$C$253,"1DD60+18")</f>
        <v>0</v>
      </c>
      <c r="R18" s="44"/>
      <c r="S18" s="81">
        <f t="shared" si="0"/>
        <v>2</v>
      </c>
      <c r="T18" s="286">
        <f t="shared" si="1"/>
        <v>2</v>
      </c>
      <c r="U18" s="6"/>
      <c r="V18" s="59"/>
      <c r="W18" s="59"/>
      <c r="Y18" s="199"/>
      <c r="Z18" s="199"/>
      <c r="AA18" s="348"/>
    </row>
    <row r="19" spans="1:27" ht="16.2" thickBot="1">
      <c r="A19" s="1"/>
      <c r="B19" s="59"/>
      <c r="C19" s="199"/>
      <c r="D19" s="276"/>
      <c r="E19" s="363"/>
      <c r="F19" s="367">
        <f>SUM(F12:F18)</f>
        <v>0</v>
      </c>
      <c r="G19" s="124">
        <f t="shared" ref="G19:S19" si="2">SUM(G12:G18)</f>
        <v>3</v>
      </c>
      <c r="H19" s="124">
        <f t="shared" si="2"/>
        <v>20</v>
      </c>
      <c r="I19" s="124">
        <f t="shared" si="2"/>
        <v>0</v>
      </c>
      <c r="J19" s="124">
        <f t="shared" si="2"/>
        <v>0</v>
      </c>
      <c r="K19" s="124">
        <f t="shared" si="2"/>
        <v>47</v>
      </c>
      <c r="L19" s="124">
        <f t="shared" si="2"/>
        <v>0</v>
      </c>
      <c r="M19" s="124">
        <f t="shared" si="2"/>
        <v>25</v>
      </c>
      <c r="N19" s="124">
        <f t="shared" si="2"/>
        <v>0</v>
      </c>
      <c r="O19" s="124">
        <f t="shared" si="2"/>
        <v>14</v>
      </c>
      <c r="P19" s="124">
        <f t="shared" si="2"/>
        <v>11</v>
      </c>
      <c r="Q19" s="124">
        <f t="shared" si="2"/>
        <v>2</v>
      </c>
      <c r="R19" s="78"/>
      <c r="S19" s="79">
        <f t="shared" si="2"/>
        <v>122</v>
      </c>
      <c r="U19" s="6">
        <f>U17+1</f>
        <v>116</v>
      </c>
      <c r="V19" s="59" t="s">
        <v>188</v>
      </c>
      <c r="W19" s="59" t="s">
        <v>455</v>
      </c>
      <c r="Y19" s="199" t="s">
        <v>188</v>
      </c>
      <c r="Z19" s="199" t="s">
        <v>457</v>
      </c>
      <c r="AA19" s="348">
        <v>68.430000000000007</v>
      </c>
    </row>
    <row r="20" spans="1:27" ht="15.6">
      <c r="A20" s="1">
        <v>6</v>
      </c>
      <c r="B20" s="59" t="s">
        <v>120</v>
      </c>
      <c r="C20" s="186" t="s">
        <v>456</v>
      </c>
      <c r="D20" s="276">
        <v>510</v>
      </c>
      <c r="E20" s="363"/>
      <c r="U20" s="6"/>
      <c r="V20" s="59"/>
      <c r="W20" s="59"/>
      <c r="Y20" s="199"/>
      <c r="Z20" s="199"/>
      <c r="AA20" s="348"/>
    </row>
    <row r="21" spans="1:27" ht="15.6">
      <c r="A21" s="1"/>
      <c r="B21" s="59"/>
      <c r="C21" s="199"/>
      <c r="D21" s="276"/>
      <c r="E21" s="363"/>
      <c r="U21" s="6">
        <f>U19+1</f>
        <v>117</v>
      </c>
      <c r="V21" s="59" t="s">
        <v>189</v>
      </c>
      <c r="W21" s="59" t="s">
        <v>456</v>
      </c>
      <c r="Y21" s="199" t="s">
        <v>553</v>
      </c>
      <c r="Z21" s="199" t="s">
        <v>554</v>
      </c>
      <c r="AA21" s="348">
        <v>76.525000000000006</v>
      </c>
    </row>
    <row r="22" spans="1:27" ht="15.6">
      <c r="A22" s="1">
        <v>7</v>
      </c>
      <c r="B22" s="59" t="s">
        <v>121</v>
      </c>
      <c r="C22" s="199" t="s">
        <v>460</v>
      </c>
      <c r="D22" s="276">
        <v>380</v>
      </c>
      <c r="E22" s="363"/>
      <c r="U22" s="6"/>
      <c r="V22" s="59"/>
      <c r="W22" s="59"/>
      <c r="Y22" s="199"/>
      <c r="Z22" s="199"/>
      <c r="AA22" s="348"/>
    </row>
    <row r="23" spans="1:27" ht="15.6">
      <c r="A23" s="1"/>
      <c r="B23" s="59"/>
      <c r="C23" s="199"/>
      <c r="D23" s="276"/>
      <c r="E23" s="363"/>
      <c r="U23" s="6">
        <f>U21+1</f>
        <v>118</v>
      </c>
      <c r="V23" s="60" t="s">
        <v>190</v>
      </c>
      <c r="W23" s="60" t="s">
        <v>510</v>
      </c>
      <c r="Y23" s="199" t="s">
        <v>555</v>
      </c>
      <c r="Z23" s="199" t="s">
        <v>554</v>
      </c>
      <c r="AA23" s="348">
        <v>76.525000000000006</v>
      </c>
    </row>
    <row r="24" spans="1:27" ht="15.6">
      <c r="A24" s="1">
        <v>8</v>
      </c>
      <c r="B24" s="59" t="s">
        <v>122</v>
      </c>
      <c r="C24" s="199" t="s">
        <v>460</v>
      </c>
      <c r="D24" s="276">
        <v>420</v>
      </c>
      <c r="E24" s="363"/>
      <c r="U24" s="6"/>
      <c r="V24" s="59"/>
      <c r="W24" s="59"/>
      <c r="Y24" s="199"/>
      <c r="Z24" s="199"/>
      <c r="AA24" s="348"/>
    </row>
    <row r="25" spans="1:27" ht="16.2" thickBot="1">
      <c r="A25" s="1"/>
      <c r="B25" s="59"/>
      <c r="C25" s="199"/>
      <c r="D25" s="276"/>
      <c r="E25" s="363"/>
      <c r="U25" s="6">
        <f>U23+1</f>
        <v>119</v>
      </c>
      <c r="V25" s="59" t="s">
        <v>191</v>
      </c>
      <c r="W25" s="59" t="s">
        <v>508</v>
      </c>
      <c r="Y25" s="199" t="s">
        <v>556</v>
      </c>
      <c r="Z25" s="199" t="s">
        <v>457</v>
      </c>
      <c r="AA25" s="348">
        <v>68.430000000000007</v>
      </c>
    </row>
    <row r="26" spans="1:27" ht="16.2" thickBot="1">
      <c r="A26" s="1">
        <v>9</v>
      </c>
      <c r="B26" s="59" t="s">
        <v>123</v>
      </c>
      <c r="C26" s="186" t="s">
        <v>457</v>
      </c>
      <c r="D26" s="276">
        <v>335</v>
      </c>
      <c r="E26" s="363"/>
      <c r="F26" s="982"/>
      <c r="G26" s="982"/>
      <c r="H26" s="982"/>
      <c r="I26" s="982"/>
      <c r="J26" s="982"/>
      <c r="K26" s="983"/>
      <c r="L26" s="983"/>
      <c r="M26" s="983"/>
      <c r="N26" s="983"/>
      <c r="O26" s="983"/>
      <c r="P26" s="983"/>
      <c r="Q26" s="983"/>
      <c r="R26" s="983"/>
      <c r="S26" s="984"/>
      <c r="U26" s="6"/>
      <c r="V26" s="59"/>
      <c r="W26" s="59"/>
      <c r="Y26" s="199"/>
      <c r="Z26" s="199"/>
      <c r="AA26" s="348"/>
    </row>
    <row r="27" spans="1:27" ht="15.6">
      <c r="A27" s="1"/>
      <c r="B27" s="59"/>
      <c r="C27" s="199"/>
      <c r="D27" s="276"/>
      <c r="E27" s="363"/>
      <c r="F27" s="76" t="s">
        <v>229</v>
      </c>
      <c r="G27" s="76" t="s">
        <v>230</v>
      </c>
      <c r="H27" s="76" t="s">
        <v>231</v>
      </c>
      <c r="I27" s="76" t="s">
        <v>232</v>
      </c>
      <c r="J27" s="76" t="s">
        <v>233</v>
      </c>
      <c r="K27" s="76" t="s">
        <v>0</v>
      </c>
      <c r="L27" s="76" t="s">
        <v>227</v>
      </c>
      <c r="M27" s="76" t="s">
        <v>7</v>
      </c>
      <c r="N27" s="76" t="s">
        <v>228</v>
      </c>
      <c r="O27" s="76" t="s">
        <v>3</v>
      </c>
      <c r="P27" s="76" t="s">
        <v>1</v>
      </c>
      <c r="Q27" s="76" t="s">
        <v>9</v>
      </c>
      <c r="R27" s="76"/>
      <c r="S27" s="77" t="s">
        <v>11</v>
      </c>
      <c r="U27" s="6">
        <f>U25+1</f>
        <v>120</v>
      </c>
      <c r="V27" s="60" t="s">
        <v>192</v>
      </c>
      <c r="W27" s="60" t="s">
        <v>466</v>
      </c>
      <c r="Y27" s="199" t="s">
        <v>557</v>
      </c>
      <c r="Z27" s="199" t="s">
        <v>462</v>
      </c>
      <c r="AA27" s="348">
        <v>70.125</v>
      </c>
    </row>
    <row r="28" spans="1:27" ht="15.6">
      <c r="A28" s="1">
        <v>10</v>
      </c>
      <c r="B28" s="59" t="s">
        <v>124</v>
      </c>
      <c r="C28" s="186" t="s">
        <v>457</v>
      </c>
      <c r="D28" s="276">
        <v>345</v>
      </c>
      <c r="E28" s="363" t="s">
        <v>582</v>
      </c>
      <c r="F28" s="122">
        <f>COUNTIF($C$10:$C$253,"1DA-0")</f>
        <v>0</v>
      </c>
      <c r="G28" s="122">
        <f>COUNTIF($C$10:$C$262,"1DA-1.5")</f>
        <v>4</v>
      </c>
      <c r="H28" s="122">
        <f>COUNTIF($C$10:$C$262,"1DA-3")</f>
        <v>18</v>
      </c>
      <c r="I28" s="122">
        <f>COUNTIF($C$10:$C$262,"1DA-4.5")</f>
        <v>0</v>
      </c>
      <c r="J28" s="122">
        <f>COUNTIF($C$10:$C$262,"1DA-6")</f>
        <v>0</v>
      </c>
      <c r="K28" s="122">
        <f>COUNTIF($C$10:$C$262,"1DA+0")</f>
        <v>35</v>
      </c>
      <c r="L28" s="122">
        <f>COUNTIF($C$10:$C$262,"1DA+1.5")</f>
        <v>0</v>
      </c>
      <c r="M28" s="122">
        <f>COUNTIF($C$10:$C$262,"1DA+3")</f>
        <v>19</v>
      </c>
      <c r="N28" s="122">
        <f>COUNTIF($C$10:$C$262,"1DA+4.5")</f>
        <v>0</v>
      </c>
      <c r="O28" s="122">
        <f>COUNTIF($C$10:$C$262,"1DA+6")</f>
        <v>7</v>
      </c>
      <c r="P28" s="122">
        <f>COUNTIF($C$10:$C$262,"1DA+9")</f>
        <v>6</v>
      </c>
      <c r="Q28" s="122">
        <f>COUNTIF($C$10:$C$262,"1DA+18")</f>
        <v>0</v>
      </c>
      <c r="R28" s="43"/>
      <c r="S28" s="80">
        <f t="shared" ref="S28:S34" si="3">SUM(F28:R28)</f>
        <v>89</v>
      </c>
      <c r="U28" s="6"/>
      <c r="V28" s="59"/>
      <c r="W28" s="59"/>
      <c r="Y28" s="199"/>
      <c r="Z28" s="199"/>
      <c r="AA28" s="348"/>
    </row>
    <row r="29" spans="1:27" ht="15.6">
      <c r="A29" s="1"/>
      <c r="B29" s="59"/>
      <c r="C29" s="199"/>
      <c r="D29" s="276"/>
      <c r="E29" s="363" t="s">
        <v>583</v>
      </c>
      <c r="F29" s="122">
        <f>COUNTIF($C$10:$C$262,"1DB1-0")</f>
        <v>0</v>
      </c>
      <c r="G29" s="122">
        <f>COUNTIF($C$10:$C$262,"1DB1-1.5")</f>
        <v>0</v>
      </c>
      <c r="H29" s="122">
        <f>COUNTIF($C$10:$C$262,"1DB1-3")</f>
        <v>1</v>
      </c>
      <c r="I29" s="122">
        <f>COUNTIF($C$10:$C$262,"1DB1-4.5")</f>
        <v>0</v>
      </c>
      <c r="J29" s="122">
        <f>COUNTIF($C$10:$C$262,"1DB1-6")</f>
        <v>0</v>
      </c>
      <c r="K29" s="122">
        <f>COUNTIF($C$10:$C$262,"1DB1+0")</f>
        <v>7</v>
      </c>
      <c r="L29" s="122">
        <f>COUNTIF($C$10:$C$262,"1DB1+1.5")</f>
        <v>0</v>
      </c>
      <c r="M29" s="122">
        <f>COUNTIF($C$10:$C$262,"1DB1+3")</f>
        <v>1</v>
      </c>
      <c r="N29" s="122">
        <f>COUNTIF($C$10:$C$262,"1DB1+4.5")</f>
        <v>0</v>
      </c>
      <c r="O29" s="122">
        <f>COUNTIF($C$10:$C$262,"1DB1+6")</f>
        <v>1</v>
      </c>
      <c r="P29" s="122">
        <f>COUNTIF($C$10:$C$262,"1DB1+9")</f>
        <v>4</v>
      </c>
      <c r="Q29" s="122">
        <f>COUNTIF($C$10:$C$262,"1DB1+18")</f>
        <v>0</v>
      </c>
      <c r="R29" s="43"/>
      <c r="S29" s="80">
        <f t="shared" si="3"/>
        <v>14</v>
      </c>
      <c r="U29" s="6">
        <f>U27+1</f>
        <v>121</v>
      </c>
      <c r="V29" s="60" t="s">
        <v>193</v>
      </c>
      <c r="W29" s="60" t="s">
        <v>511</v>
      </c>
      <c r="Y29" s="199" t="s">
        <v>558</v>
      </c>
      <c r="Z29" s="199" t="s">
        <v>465</v>
      </c>
      <c r="AA29" s="348">
        <v>77.430000000000007</v>
      </c>
    </row>
    <row r="30" spans="1:27" ht="15.6">
      <c r="A30" s="1">
        <v>11</v>
      </c>
      <c r="B30" s="59" t="s">
        <v>125</v>
      </c>
      <c r="C30" s="186" t="s">
        <v>457</v>
      </c>
      <c r="D30" s="276">
        <v>365</v>
      </c>
      <c r="E30" s="363" t="s">
        <v>584</v>
      </c>
      <c r="F30" s="122">
        <f>COUNTIF($C$10:$C$262,"1DB2-0")</f>
        <v>0</v>
      </c>
      <c r="G30" s="122">
        <f>COUNTIF($C$10:$C$262,"1DB2-1.5")</f>
        <v>0</v>
      </c>
      <c r="H30" s="122">
        <f>COUNTIF($C$10:$C$262,"1DB2-3")</f>
        <v>0</v>
      </c>
      <c r="I30" s="122">
        <f>COUNTIF($C$10:$C$262,"1DB2-4.5")</f>
        <v>0</v>
      </c>
      <c r="J30" s="122">
        <f>COUNTIF($C$10:$C$262,"1DB2-6")</f>
        <v>0</v>
      </c>
      <c r="K30" s="122">
        <f>COUNTIF($C$10:$C$262,"1DB2+0")</f>
        <v>1</v>
      </c>
      <c r="L30" s="122">
        <f>COUNTIF($C$10:$C$262,"1DB2+1.5")</f>
        <v>0</v>
      </c>
      <c r="M30" s="122">
        <f>COUNTIF($C$10:$C$262,"1DB2+3")</f>
        <v>2</v>
      </c>
      <c r="N30" s="122">
        <f>COUNTIF($C$10:$C$262,"1DB2+4.5")</f>
        <v>0</v>
      </c>
      <c r="O30" s="122">
        <f>COUNTIF($C$10:$C$262,"1DB2+6")</f>
        <v>0</v>
      </c>
      <c r="P30" s="122">
        <f>COUNTIF($C$10:$C$262,"1DB2+9")</f>
        <v>1</v>
      </c>
      <c r="Q30" s="122">
        <f>COUNTIF($C$10:$C$262,"1DB2+18")</f>
        <v>0</v>
      </c>
      <c r="R30" s="43"/>
      <c r="S30" s="80">
        <f t="shared" si="3"/>
        <v>4</v>
      </c>
      <c r="U30" s="6"/>
      <c r="V30" s="59"/>
      <c r="W30" s="59"/>
      <c r="Y30" s="199"/>
      <c r="Z30" s="199"/>
      <c r="AA30" s="348"/>
    </row>
    <row r="31" spans="1:27" ht="15.6">
      <c r="A31" s="1"/>
      <c r="B31" s="59"/>
      <c r="C31" s="199"/>
      <c r="D31" s="276"/>
      <c r="E31" s="363" t="s">
        <v>585</v>
      </c>
      <c r="F31" s="122">
        <f>COUNTIF($C$10:$C$262,"1DC1-0")</f>
        <v>0</v>
      </c>
      <c r="G31" s="122">
        <f>COUNTIF($C$10:$C$262,"1DC1-1.5")</f>
        <v>0</v>
      </c>
      <c r="H31" s="122">
        <f>COUNTIF($C$10:$C$262,"1DC1-3")</f>
        <v>1</v>
      </c>
      <c r="I31" s="122">
        <f>COUNTIF($C$10:$C$262,"1DC1-4.5")</f>
        <v>0</v>
      </c>
      <c r="J31" s="122">
        <f>COUNTIF($C$10:$C$262,"1DC1-6")</f>
        <v>0</v>
      </c>
      <c r="K31" s="122">
        <f>COUNTIF($C$10:$C$262,"1DC1+0")</f>
        <v>2</v>
      </c>
      <c r="L31" s="122">
        <f>COUNTIF($C$10:$C$262,"1DC1+1.5")</f>
        <v>0</v>
      </c>
      <c r="M31" s="122">
        <f>COUNTIF($C$10:$C$262,"1DC1+3")</f>
        <v>2</v>
      </c>
      <c r="N31" s="122">
        <f>COUNTIF($C$10:$C$262,"1DC1+4.5")</f>
        <v>0</v>
      </c>
      <c r="O31" s="122">
        <f>COUNTIF($C$10:$C$262,"1DC1+6")</f>
        <v>2</v>
      </c>
      <c r="P31" s="122">
        <f>COUNTIF($C$10:$C$262,"1DC1+9")</f>
        <v>0</v>
      </c>
      <c r="Q31" s="122">
        <f>COUNTIF($C$10:$C$262,"1DC1+18")</f>
        <v>0</v>
      </c>
      <c r="R31" s="43"/>
      <c r="S31" s="80">
        <f t="shared" si="3"/>
        <v>7</v>
      </c>
      <c r="U31" s="6">
        <f>U29+1</f>
        <v>122</v>
      </c>
      <c r="V31" s="60" t="s">
        <v>89</v>
      </c>
      <c r="W31" s="60" t="s">
        <v>89</v>
      </c>
      <c r="Y31" s="199" t="s">
        <v>559</v>
      </c>
      <c r="Z31" s="199" t="s">
        <v>455</v>
      </c>
      <c r="AA31" s="348">
        <v>71.430000000000007</v>
      </c>
    </row>
    <row r="32" spans="1:27" ht="15.6">
      <c r="A32" s="1">
        <v>12</v>
      </c>
      <c r="B32" s="59" t="s">
        <v>126</v>
      </c>
      <c r="C32" s="186" t="s">
        <v>455</v>
      </c>
      <c r="D32" s="276">
        <v>356</v>
      </c>
      <c r="E32" s="363" t="s">
        <v>586</v>
      </c>
      <c r="F32" s="122">
        <f>COUNTIF($C$10:$C$262,"1DC2-0")</f>
        <v>0</v>
      </c>
      <c r="G32" s="122">
        <f>COUNTIF($C$10:$C$262,"1DC2-1.5")</f>
        <v>0</v>
      </c>
      <c r="H32" s="122">
        <f>COUNTIF($C$10:$C$262,"1DC2-3")</f>
        <v>0</v>
      </c>
      <c r="I32" s="122">
        <f>COUNTIF($C$10:$C$262,"1DC2-4.5")</f>
        <v>0</v>
      </c>
      <c r="J32" s="122">
        <f>COUNTIF($C$10:$C$262,"1DC2-6")</f>
        <v>0</v>
      </c>
      <c r="K32" s="122">
        <f>COUNTIF($C$10:$C$262,"1DC2+0")</f>
        <v>3</v>
      </c>
      <c r="L32" s="122">
        <f>COUNTIF($C$10:$C$262,"1DC2+1.5")</f>
        <v>0</v>
      </c>
      <c r="M32" s="122">
        <f>COUNTIF($C$10:$C$262,"1DC2+3")</f>
        <v>1</v>
      </c>
      <c r="N32" s="122">
        <f>COUNTIF($C$10:$C$262,"1DC2+4.5")</f>
        <v>0</v>
      </c>
      <c r="O32" s="122">
        <f>COUNTIF($C$10:$C$262,"1DC2+6")</f>
        <v>3</v>
      </c>
      <c r="P32" s="122">
        <f>COUNTIF($C$10:$C$262,"1DC2+9")</f>
        <v>0</v>
      </c>
      <c r="Q32" s="122">
        <f>COUNTIF($C$10:$C$262,"1DC2+18")</f>
        <v>0</v>
      </c>
      <c r="R32" s="43"/>
      <c r="S32" s="80">
        <f t="shared" si="3"/>
        <v>7</v>
      </c>
      <c r="U32" s="6"/>
      <c r="V32" s="33"/>
      <c r="W32" s="33"/>
      <c r="Y32" s="199"/>
      <c r="Z32" s="199"/>
      <c r="AA32" s="348"/>
    </row>
    <row r="33" spans="1:27" ht="15.6">
      <c r="A33" s="1"/>
      <c r="B33" s="59"/>
      <c r="C33" s="199"/>
      <c r="D33" s="276"/>
      <c r="E33" s="363" t="s">
        <v>587</v>
      </c>
      <c r="F33" s="122">
        <f>COUNTIF($C$10:$C$262,"1DD45-0")</f>
        <v>0</v>
      </c>
      <c r="G33" s="122">
        <f>COUNTIF($C$10:$C$262,"1DD45-1.5")</f>
        <v>0</v>
      </c>
      <c r="H33" s="122">
        <f>COUNTIF($C$10:$C$262,"1DD45-3")</f>
        <v>0</v>
      </c>
      <c r="I33" s="122">
        <f>COUNTIF($C$10:$C$262,"1DD45-4.5")</f>
        <v>0</v>
      </c>
      <c r="J33" s="122">
        <f>COUNTIF($C$10:$C$262,"1DD45-6")</f>
        <v>0</v>
      </c>
      <c r="K33" s="122">
        <f>COUNTIF($C$10:$C$262,"1DD45+0")</f>
        <v>0</v>
      </c>
      <c r="L33" s="122">
        <f>COUNTIF($C$10:$C$262,"1DD45+1.5")</f>
        <v>0</v>
      </c>
      <c r="M33" s="122">
        <f>COUNTIF($C$10:$C$262,"1DD45+3")</f>
        <v>0</v>
      </c>
      <c r="N33" s="122">
        <f>COUNTIF($C$10:$C$262,"1DD45+4.5")</f>
        <v>0</v>
      </c>
      <c r="O33" s="122">
        <f>COUNTIF($C$10:$C$262,"1DD45+6")</f>
        <v>0</v>
      </c>
      <c r="P33" s="122">
        <f>COUNTIF($C$10:$C$262,"1DD45+9")</f>
        <v>0</v>
      </c>
      <c r="Q33" s="122">
        <f>COUNTIF($C$10:$C$262,"1DD45+18")</f>
        <v>2</v>
      </c>
      <c r="R33" s="43"/>
      <c r="S33" s="80">
        <f t="shared" si="3"/>
        <v>2</v>
      </c>
      <c r="U33" s="2"/>
      <c r="V33" s="2"/>
      <c r="Y33" s="199" t="s">
        <v>560</v>
      </c>
      <c r="Z33" s="199" t="s">
        <v>455</v>
      </c>
      <c r="AA33" s="348">
        <v>71.430000000000007</v>
      </c>
    </row>
    <row r="34" spans="1:27" ht="16.2" thickBot="1">
      <c r="A34" s="1">
        <v>13</v>
      </c>
      <c r="B34" s="59" t="s">
        <v>127</v>
      </c>
      <c r="C34" s="186" t="s">
        <v>457</v>
      </c>
      <c r="D34" s="276">
        <v>332</v>
      </c>
      <c r="E34" s="363" t="s">
        <v>588</v>
      </c>
      <c r="F34" s="123">
        <f>COUNTIF($C$10:$C$262,"1DD60-0")</f>
        <v>0</v>
      </c>
      <c r="G34" s="123">
        <f>COUNTIF($C$10:$C$262,"1DD60-1.5")</f>
        <v>0</v>
      </c>
      <c r="H34" s="123">
        <f>COUNTIF($C$10:$C$262,"1DD60-3")</f>
        <v>0</v>
      </c>
      <c r="I34" s="123">
        <f>COUNTIF($C$10:$C$262,"1DD60-4.5")</f>
        <v>0</v>
      </c>
      <c r="J34" s="123">
        <f>COUNTIF($C$10:$C$262,"1DD60-6")</f>
        <v>0</v>
      </c>
      <c r="K34" s="123">
        <f>COUNTIF($C$10:$C$262,"1DD60+0")</f>
        <v>2</v>
      </c>
      <c r="L34" s="123">
        <f>COUNTIF($C$10:$C$262,"1DD60+1.5")</f>
        <v>0</v>
      </c>
      <c r="M34" s="123">
        <f>COUNTIF($C$10:$C$262,"1DD60+3")</f>
        <v>0</v>
      </c>
      <c r="N34" s="123">
        <f>COUNTIF($C$10:$C$262,"1DD60+4.5")</f>
        <v>0</v>
      </c>
      <c r="O34" s="123">
        <f>COUNTIF($C$10:$C$262,"1DD60+6")</f>
        <v>2</v>
      </c>
      <c r="P34" s="123">
        <f>COUNTIF($C$10:$C$262,"1DD60+9")</f>
        <v>0</v>
      </c>
      <c r="Q34" s="123">
        <f>COUNTIF($C$10:$C$262,"1DD60+18")</f>
        <v>0</v>
      </c>
      <c r="R34" s="44"/>
      <c r="S34" s="81">
        <f t="shared" si="3"/>
        <v>4</v>
      </c>
      <c r="U34" s="2"/>
      <c r="V34" s="2"/>
      <c r="Y34" s="199"/>
      <c r="Z34" s="199"/>
      <c r="AA34" s="348"/>
    </row>
    <row r="35" spans="1:27" ht="16.2" thickBot="1">
      <c r="A35" s="1"/>
      <c r="B35" s="59"/>
      <c r="C35" s="199"/>
      <c r="D35" s="276"/>
      <c r="E35" s="363"/>
      <c r="F35" s="124">
        <f>SUM(F28:F34)</f>
        <v>0</v>
      </c>
      <c r="G35" s="124">
        <f t="shared" ref="G35:Q35" si="4">SUM(G28:G34)</f>
        <v>4</v>
      </c>
      <c r="H35" s="124">
        <f t="shared" si="4"/>
        <v>20</v>
      </c>
      <c r="I35" s="124">
        <f t="shared" si="4"/>
        <v>0</v>
      </c>
      <c r="J35" s="124">
        <f t="shared" si="4"/>
        <v>0</v>
      </c>
      <c r="K35" s="124">
        <f t="shared" si="4"/>
        <v>50</v>
      </c>
      <c r="L35" s="124">
        <f t="shared" si="4"/>
        <v>0</v>
      </c>
      <c r="M35" s="124">
        <f t="shared" si="4"/>
        <v>25</v>
      </c>
      <c r="N35" s="124">
        <f t="shared" si="4"/>
        <v>0</v>
      </c>
      <c r="O35" s="124">
        <f t="shared" si="4"/>
        <v>15</v>
      </c>
      <c r="P35" s="124">
        <f t="shared" si="4"/>
        <v>11</v>
      </c>
      <c r="Q35" s="124">
        <f t="shared" si="4"/>
        <v>2</v>
      </c>
      <c r="R35" s="78"/>
      <c r="S35" s="79">
        <f t="shared" ref="S35" si="5">SUM(S28:S34)</f>
        <v>127</v>
      </c>
      <c r="U35" s="2"/>
      <c r="V35" s="2"/>
      <c r="Y35" s="199" t="s">
        <v>561</v>
      </c>
      <c r="Z35" s="199" t="s">
        <v>508</v>
      </c>
      <c r="AA35" s="348">
        <v>69.930000000000007</v>
      </c>
    </row>
    <row r="36" spans="1:27" ht="15.6">
      <c r="A36" s="1">
        <v>14</v>
      </c>
      <c r="B36" s="59" t="s">
        <v>128</v>
      </c>
      <c r="C36" s="186" t="s">
        <v>455</v>
      </c>
      <c r="D36" s="276">
        <v>384.42399999999998</v>
      </c>
      <c r="E36" s="363"/>
      <c r="U36" s="2"/>
      <c r="V36" s="2"/>
      <c r="Y36" s="199"/>
      <c r="Z36" s="199"/>
      <c r="AA36" s="348"/>
    </row>
    <row r="37" spans="1:27" ht="15.6">
      <c r="A37" s="1"/>
      <c r="B37" s="59"/>
      <c r="C37" s="59"/>
      <c r="D37" s="276"/>
      <c r="E37" s="363"/>
      <c r="U37" s="2"/>
      <c r="V37" s="2"/>
      <c r="Y37" s="199" t="s">
        <v>562</v>
      </c>
      <c r="Z37" s="199" t="s">
        <v>563</v>
      </c>
      <c r="AA37" s="348">
        <v>76.525000000000006</v>
      </c>
    </row>
    <row r="38" spans="1:27" ht="15.6">
      <c r="A38" s="1">
        <v>15</v>
      </c>
      <c r="B38" s="60" t="s">
        <v>25</v>
      </c>
      <c r="C38" s="186" t="s">
        <v>454</v>
      </c>
      <c r="D38" s="277">
        <v>385</v>
      </c>
      <c r="E38" s="363"/>
      <c r="U38" s="2"/>
      <c r="V38" s="2"/>
    </row>
    <row r="39" spans="1:27" ht="18">
      <c r="A39" s="1"/>
      <c r="B39" s="59"/>
      <c r="C39" s="186"/>
      <c r="D39" s="277"/>
      <c r="E39" s="363"/>
      <c r="U39" s="2"/>
      <c r="V39" s="2"/>
      <c r="Y39" s="349" t="s">
        <v>564</v>
      </c>
      <c r="Z39" s="350" t="s">
        <v>565</v>
      </c>
    </row>
    <row r="40" spans="1:27" ht="18">
      <c r="A40" s="1">
        <v>16</v>
      </c>
      <c r="B40" s="59" t="s">
        <v>16</v>
      </c>
      <c r="C40" s="186" t="s">
        <v>455</v>
      </c>
      <c r="D40" s="196">
        <v>423</v>
      </c>
      <c r="E40" s="363"/>
      <c r="U40" s="2"/>
      <c r="V40" s="2"/>
      <c r="Y40" s="351"/>
      <c r="Z40" s="352"/>
    </row>
    <row r="41" spans="1:27" ht="18">
      <c r="A41" s="1"/>
      <c r="B41" s="59"/>
      <c r="C41" s="186"/>
      <c r="D41" s="196"/>
      <c r="E41" s="363"/>
      <c r="U41" s="2"/>
      <c r="V41" s="2"/>
      <c r="Y41" s="349" t="s">
        <v>566</v>
      </c>
      <c r="Z41" s="350" t="s">
        <v>565</v>
      </c>
    </row>
    <row r="42" spans="1:27" ht="15.6">
      <c r="A42" s="1">
        <v>17</v>
      </c>
      <c r="B42" s="59" t="s">
        <v>17</v>
      </c>
      <c r="C42" s="186" t="s">
        <v>455</v>
      </c>
      <c r="D42" s="196">
        <v>382</v>
      </c>
      <c r="E42" s="363"/>
    </row>
    <row r="43" spans="1:27" ht="15.6">
      <c r="A43" s="1"/>
      <c r="B43" s="59"/>
      <c r="C43" s="186"/>
      <c r="D43" s="196"/>
      <c r="E43" s="363"/>
    </row>
    <row r="44" spans="1:27" ht="15.6">
      <c r="A44" s="1">
        <v>18</v>
      </c>
      <c r="B44" s="59" t="s">
        <v>18</v>
      </c>
      <c r="C44" s="186" t="s">
        <v>455</v>
      </c>
      <c r="D44" s="196">
        <v>405</v>
      </c>
      <c r="E44" s="363"/>
    </row>
    <row r="45" spans="1:27" ht="15.6">
      <c r="A45" s="1"/>
      <c r="B45" s="59"/>
      <c r="C45" s="186"/>
      <c r="D45" s="196"/>
      <c r="E45" s="363"/>
    </row>
    <row r="46" spans="1:27" ht="15.6">
      <c r="A46" s="1">
        <v>19</v>
      </c>
      <c r="B46" s="59" t="s">
        <v>129</v>
      </c>
      <c r="C46" s="186" t="s">
        <v>456</v>
      </c>
      <c r="D46" s="196">
        <v>388.45800000000003</v>
      </c>
      <c r="E46" s="363"/>
    </row>
    <row r="47" spans="1:27" ht="15.6">
      <c r="A47" s="1"/>
      <c r="B47" s="59"/>
      <c r="C47" s="186"/>
      <c r="D47" s="196"/>
      <c r="E47" s="363"/>
    </row>
    <row r="48" spans="1:27" ht="15.6">
      <c r="A48" s="1">
        <v>20</v>
      </c>
      <c r="B48" s="60" t="s">
        <v>26</v>
      </c>
      <c r="C48" s="186" t="s">
        <v>454</v>
      </c>
      <c r="D48" s="196">
        <v>405</v>
      </c>
      <c r="E48" s="363"/>
    </row>
    <row r="49" spans="1:5" ht="15.6">
      <c r="A49" s="1"/>
      <c r="B49" s="59"/>
      <c r="C49" s="186"/>
      <c r="D49" s="196"/>
      <c r="E49" s="363"/>
    </row>
    <row r="50" spans="1:5" ht="15.6">
      <c r="A50" s="1">
        <v>21</v>
      </c>
      <c r="B50" s="59" t="s">
        <v>130</v>
      </c>
      <c r="C50" s="186" t="s">
        <v>456</v>
      </c>
      <c r="D50" s="196">
        <v>360</v>
      </c>
      <c r="E50" s="363"/>
    </row>
    <row r="51" spans="1:5" ht="15.6">
      <c r="A51" s="1"/>
      <c r="B51" s="59"/>
      <c r="C51" s="186"/>
      <c r="D51" s="196"/>
      <c r="E51" s="363"/>
    </row>
    <row r="52" spans="1:5" ht="15.6">
      <c r="A52" s="1">
        <v>22</v>
      </c>
      <c r="B52" s="59" t="s">
        <v>131</v>
      </c>
      <c r="C52" s="186" t="s">
        <v>456</v>
      </c>
      <c r="D52" s="196">
        <v>390</v>
      </c>
      <c r="E52" s="363"/>
    </row>
    <row r="53" spans="1:5" ht="15.6">
      <c r="A53" s="1"/>
      <c r="B53" s="59"/>
      <c r="C53" s="186"/>
      <c r="D53" s="196"/>
      <c r="E53" s="363"/>
    </row>
    <row r="54" spans="1:5" ht="15.6">
      <c r="A54" s="1">
        <v>23</v>
      </c>
      <c r="B54" s="59" t="s">
        <v>132</v>
      </c>
      <c r="C54" s="186" t="s">
        <v>457</v>
      </c>
      <c r="D54" s="196">
        <v>325</v>
      </c>
      <c r="E54" s="363"/>
    </row>
    <row r="55" spans="1:5" ht="15.6">
      <c r="A55" s="1"/>
      <c r="B55" s="59"/>
      <c r="C55" s="186"/>
      <c r="D55" s="196"/>
      <c r="E55" s="363"/>
    </row>
    <row r="56" spans="1:5" ht="15.6">
      <c r="A56" s="1">
        <v>24</v>
      </c>
      <c r="B56" s="59" t="s">
        <v>133</v>
      </c>
      <c r="C56" s="186" t="s">
        <v>455</v>
      </c>
      <c r="D56" s="196">
        <v>430</v>
      </c>
      <c r="E56" s="363"/>
    </row>
    <row r="57" spans="1:5" ht="15.6">
      <c r="A57" s="1"/>
      <c r="B57" s="59"/>
      <c r="C57" s="186"/>
      <c r="D57" s="196"/>
      <c r="E57" s="363"/>
    </row>
    <row r="58" spans="1:5" ht="15.6">
      <c r="A58" s="1">
        <v>25</v>
      </c>
      <c r="B58" s="59" t="s">
        <v>134</v>
      </c>
      <c r="C58" s="186" t="s">
        <v>455</v>
      </c>
      <c r="D58" s="196">
        <v>298</v>
      </c>
      <c r="E58" s="363"/>
    </row>
    <row r="59" spans="1:5" ht="15.6">
      <c r="A59" s="1"/>
      <c r="B59" s="59"/>
      <c r="C59" s="186"/>
      <c r="D59" s="196"/>
      <c r="E59" s="363"/>
    </row>
    <row r="60" spans="1:5" ht="15.6">
      <c r="A60" s="1">
        <v>26</v>
      </c>
      <c r="B60" s="59" t="s">
        <v>135</v>
      </c>
      <c r="C60" s="186" t="s">
        <v>455</v>
      </c>
      <c r="D60" s="196">
        <v>422</v>
      </c>
      <c r="E60" s="363"/>
    </row>
    <row r="61" spans="1:5" ht="15.6">
      <c r="A61" s="1"/>
      <c r="B61" s="59"/>
      <c r="C61" s="186"/>
      <c r="D61" s="196"/>
      <c r="E61" s="363"/>
    </row>
    <row r="62" spans="1:5" ht="15.6">
      <c r="A62" s="1">
        <v>27</v>
      </c>
      <c r="B62" s="59" t="s">
        <v>136</v>
      </c>
      <c r="C62" s="186" t="s">
        <v>458</v>
      </c>
      <c r="D62" s="196">
        <v>345</v>
      </c>
      <c r="E62" s="363"/>
    </row>
    <row r="63" spans="1:5" ht="15.6">
      <c r="A63" s="1"/>
      <c r="B63" s="59"/>
      <c r="C63" s="186"/>
      <c r="D63" s="196"/>
      <c r="E63" s="363"/>
    </row>
    <row r="64" spans="1:5" ht="15.6">
      <c r="A64" s="1">
        <v>28</v>
      </c>
      <c r="B64" s="59" t="s">
        <v>137</v>
      </c>
      <c r="C64" s="186" t="s">
        <v>456</v>
      </c>
      <c r="D64" s="196">
        <v>370</v>
      </c>
      <c r="E64" s="363"/>
    </row>
    <row r="65" spans="1:5" ht="15.6">
      <c r="A65" s="1"/>
      <c r="B65" s="59"/>
      <c r="C65" s="186"/>
      <c r="D65" s="196"/>
      <c r="E65" s="363"/>
    </row>
    <row r="66" spans="1:5" ht="15.6">
      <c r="A66" s="1">
        <v>29</v>
      </c>
      <c r="B66" s="59" t="s">
        <v>138</v>
      </c>
      <c r="C66" s="186" t="s">
        <v>458</v>
      </c>
      <c r="D66" s="196">
        <v>320</v>
      </c>
      <c r="E66" s="363"/>
    </row>
    <row r="67" spans="1:5" ht="15.6">
      <c r="A67" s="1"/>
      <c r="B67" s="59"/>
      <c r="C67" s="186"/>
      <c r="D67" s="196"/>
      <c r="E67" s="363"/>
    </row>
    <row r="68" spans="1:5" ht="15.6">
      <c r="A68" s="1">
        <v>30</v>
      </c>
      <c r="B68" s="59" t="s">
        <v>139</v>
      </c>
      <c r="C68" s="186" t="s">
        <v>458</v>
      </c>
      <c r="D68" s="196">
        <v>390</v>
      </c>
      <c r="E68" s="363"/>
    </row>
    <row r="69" spans="1:5" ht="15.6">
      <c r="A69" s="1"/>
      <c r="B69" s="59"/>
      <c r="C69" s="186"/>
      <c r="D69" s="196"/>
      <c r="E69" s="363"/>
    </row>
    <row r="70" spans="1:5" ht="15.6">
      <c r="A70" s="1">
        <v>31</v>
      </c>
      <c r="B70" s="59" t="s">
        <v>140</v>
      </c>
      <c r="C70" s="186" t="s">
        <v>456</v>
      </c>
      <c r="D70" s="196">
        <v>425.02</v>
      </c>
      <c r="E70" s="363"/>
    </row>
    <row r="71" spans="1:5" ht="15.6">
      <c r="A71" s="1"/>
      <c r="B71" s="59"/>
      <c r="C71" s="186"/>
      <c r="D71" s="196"/>
      <c r="E71" s="363"/>
    </row>
    <row r="72" spans="1:5" ht="15.6">
      <c r="A72" s="1">
        <v>32</v>
      </c>
      <c r="B72" s="60" t="s">
        <v>27</v>
      </c>
      <c r="C72" s="186" t="s">
        <v>459</v>
      </c>
      <c r="D72" s="196">
        <v>480</v>
      </c>
      <c r="E72" s="363"/>
    </row>
    <row r="73" spans="1:5" ht="15.6">
      <c r="A73" s="1"/>
      <c r="B73" s="59"/>
      <c r="C73" s="186"/>
      <c r="D73" s="196"/>
      <c r="E73" s="363"/>
    </row>
    <row r="74" spans="1:5" ht="15.6">
      <c r="A74" s="1">
        <v>33</v>
      </c>
      <c r="B74" s="59" t="s">
        <v>19</v>
      </c>
      <c r="C74" s="186" t="s">
        <v>460</v>
      </c>
      <c r="D74" s="196">
        <v>297.315</v>
      </c>
      <c r="E74" s="363"/>
    </row>
    <row r="75" spans="1:5" ht="15.6">
      <c r="A75" s="1"/>
      <c r="B75" s="59"/>
      <c r="C75" s="186"/>
      <c r="D75" s="196"/>
      <c r="E75" s="363"/>
    </row>
    <row r="76" spans="1:5" ht="15.6">
      <c r="A76" s="1">
        <v>34</v>
      </c>
      <c r="B76" s="60" t="s">
        <v>28</v>
      </c>
      <c r="C76" s="186" t="s">
        <v>461</v>
      </c>
      <c r="D76" s="196">
        <v>415</v>
      </c>
      <c r="E76" s="363"/>
    </row>
    <row r="77" spans="1:5" ht="15.6">
      <c r="A77" s="1"/>
      <c r="B77" s="59"/>
      <c r="C77" s="186"/>
      <c r="D77" s="196"/>
      <c r="E77" s="363"/>
    </row>
    <row r="78" spans="1:5" ht="15.6">
      <c r="A78" s="1">
        <v>35</v>
      </c>
      <c r="B78" s="59" t="s">
        <v>20</v>
      </c>
      <c r="C78" s="186" t="s">
        <v>456</v>
      </c>
      <c r="D78" s="196">
        <v>425</v>
      </c>
      <c r="E78" s="363"/>
    </row>
    <row r="79" spans="1:5" ht="15.6">
      <c r="A79" s="1"/>
      <c r="B79" s="59"/>
      <c r="C79" s="186"/>
      <c r="D79" s="196"/>
      <c r="E79" s="363"/>
    </row>
    <row r="80" spans="1:5" ht="15.6">
      <c r="A80" s="1">
        <v>36</v>
      </c>
      <c r="B80" s="59" t="s">
        <v>21</v>
      </c>
      <c r="C80" s="186" t="s">
        <v>456</v>
      </c>
      <c r="D80" s="196">
        <v>395</v>
      </c>
      <c r="E80" s="363"/>
    </row>
    <row r="81" spans="1:5" ht="15.6">
      <c r="A81" s="1"/>
      <c r="B81" s="59"/>
      <c r="C81" s="186"/>
      <c r="D81" s="196"/>
      <c r="E81" s="363"/>
    </row>
    <row r="82" spans="1:5" ht="15.6">
      <c r="A82" s="1">
        <v>37</v>
      </c>
      <c r="B82" s="59" t="s">
        <v>141</v>
      </c>
      <c r="C82" s="186" t="s">
        <v>457</v>
      </c>
      <c r="D82" s="196">
        <v>329.07400000000001</v>
      </c>
      <c r="E82" s="363"/>
    </row>
    <row r="83" spans="1:5" ht="15.6">
      <c r="A83" s="1"/>
      <c r="B83" s="59"/>
      <c r="C83" s="186"/>
      <c r="D83" s="196"/>
      <c r="E83" s="363"/>
    </row>
    <row r="84" spans="1:5" ht="15.6">
      <c r="A84" s="1">
        <v>38</v>
      </c>
      <c r="B84" s="60" t="s">
        <v>22</v>
      </c>
      <c r="C84" s="186" t="s">
        <v>462</v>
      </c>
      <c r="D84" s="196">
        <v>390</v>
      </c>
      <c r="E84" s="363"/>
    </row>
    <row r="85" spans="1:5" ht="15.6">
      <c r="A85" s="1"/>
      <c r="B85" s="59"/>
      <c r="C85" s="186"/>
      <c r="D85" s="196"/>
      <c r="E85" s="363"/>
    </row>
    <row r="86" spans="1:5" ht="15.6">
      <c r="A86" s="1">
        <v>39</v>
      </c>
      <c r="B86" s="59" t="s">
        <v>142</v>
      </c>
      <c r="C86" s="186" t="s">
        <v>456</v>
      </c>
      <c r="D86" s="196">
        <v>444.77100000000002</v>
      </c>
      <c r="E86" s="363"/>
    </row>
    <row r="87" spans="1:5" ht="15">
      <c r="A87" s="1"/>
      <c r="B87" s="59"/>
      <c r="C87" s="186"/>
      <c r="D87" s="196"/>
    </row>
    <row r="88" spans="1:5" ht="15">
      <c r="A88" s="1">
        <v>40</v>
      </c>
      <c r="B88" s="60" t="s">
        <v>29</v>
      </c>
      <c r="C88" s="186" t="s">
        <v>509</v>
      </c>
      <c r="D88" s="196">
        <v>248.03800000000001</v>
      </c>
    </row>
    <row r="89" spans="1:5" ht="15">
      <c r="A89" s="1"/>
      <c r="B89" s="59"/>
      <c r="C89" s="186"/>
      <c r="D89" s="196"/>
    </row>
    <row r="90" spans="1:5" ht="15">
      <c r="A90" s="1">
        <v>41</v>
      </c>
      <c r="B90" s="60" t="s">
        <v>30</v>
      </c>
      <c r="C90" s="186" t="s">
        <v>464</v>
      </c>
      <c r="D90" s="196">
        <v>430</v>
      </c>
    </row>
    <row r="91" spans="1:5" ht="15">
      <c r="A91" s="1"/>
      <c r="B91" s="59"/>
      <c r="C91" s="186"/>
      <c r="D91" s="196"/>
    </row>
    <row r="92" spans="1:5" ht="15">
      <c r="A92" s="1">
        <v>42</v>
      </c>
      <c r="B92" s="59" t="s">
        <v>2</v>
      </c>
      <c r="C92" s="186" t="s">
        <v>455</v>
      </c>
      <c r="D92" s="196">
        <v>400</v>
      </c>
    </row>
    <row r="93" spans="1:5" ht="15">
      <c r="A93" s="1"/>
      <c r="B93" s="59"/>
      <c r="C93" s="186"/>
      <c r="D93" s="196"/>
    </row>
    <row r="94" spans="1:5" ht="15">
      <c r="A94" s="1">
        <v>43</v>
      </c>
      <c r="B94" s="59" t="s">
        <v>49</v>
      </c>
      <c r="C94" s="186" t="s">
        <v>455</v>
      </c>
      <c r="D94" s="196">
        <v>410</v>
      </c>
    </row>
    <row r="95" spans="1:5" ht="15">
      <c r="A95" s="1"/>
      <c r="B95" s="59"/>
      <c r="C95" s="186"/>
      <c r="D95" s="196"/>
    </row>
    <row r="96" spans="1:5" ht="15">
      <c r="A96" s="1">
        <v>44</v>
      </c>
      <c r="B96" s="59" t="s">
        <v>50</v>
      </c>
      <c r="C96" s="186" t="s">
        <v>456</v>
      </c>
      <c r="D96" s="196">
        <v>435</v>
      </c>
    </row>
    <row r="97" spans="1:4" ht="15">
      <c r="A97" s="1"/>
      <c r="B97" s="59"/>
      <c r="C97" s="186"/>
      <c r="D97" s="196"/>
    </row>
    <row r="98" spans="1:4" ht="15">
      <c r="A98" s="1">
        <v>45</v>
      </c>
      <c r="B98" s="59" t="s">
        <v>143</v>
      </c>
      <c r="C98" s="186" t="s">
        <v>455</v>
      </c>
      <c r="D98" s="196">
        <v>360</v>
      </c>
    </row>
    <row r="99" spans="1:4" ht="15">
      <c r="A99" s="1"/>
      <c r="B99" s="59"/>
      <c r="C99" s="186"/>
      <c r="D99" s="196"/>
    </row>
    <row r="100" spans="1:4" ht="15">
      <c r="A100" s="1">
        <v>46</v>
      </c>
      <c r="B100" s="59" t="s">
        <v>144</v>
      </c>
      <c r="C100" s="186" t="s">
        <v>457</v>
      </c>
      <c r="D100" s="196">
        <v>391.45100000000002</v>
      </c>
    </row>
    <row r="101" spans="1:4" ht="15">
      <c r="A101" s="1"/>
      <c r="B101" s="59"/>
      <c r="C101" s="186"/>
      <c r="D101" s="196"/>
    </row>
    <row r="102" spans="1:4" ht="15">
      <c r="A102" s="1">
        <v>47</v>
      </c>
      <c r="B102" s="60" t="s">
        <v>31</v>
      </c>
      <c r="C102" s="186" t="s">
        <v>454</v>
      </c>
      <c r="D102" s="196">
        <v>380</v>
      </c>
    </row>
    <row r="103" spans="1:4" ht="15">
      <c r="A103" s="1"/>
      <c r="B103" s="59"/>
      <c r="C103" s="186"/>
      <c r="D103" s="196"/>
    </row>
    <row r="104" spans="1:4" ht="15">
      <c r="A104" s="1">
        <v>48</v>
      </c>
      <c r="B104" s="59" t="s">
        <v>145</v>
      </c>
      <c r="C104" s="186" t="s">
        <v>465</v>
      </c>
      <c r="D104" s="196">
        <v>475</v>
      </c>
    </row>
    <row r="105" spans="1:4" ht="15">
      <c r="A105" s="1"/>
      <c r="B105" s="59"/>
      <c r="C105" s="186"/>
      <c r="D105" s="196"/>
    </row>
    <row r="106" spans="1:4" ht="15">
      <c r="A106" s="1">
        <v>49</v>
      </c>
      <c r="B106" s="59" t="s">
        <v>146</v>
      </c>
      <c r="C106" s="186" t="s">
        <v>456</v>
      </c>
      <c r="D106" s="196">
        <v>380</v>
      </c>
    </row>
    <row r="107" spans="1:4" ht="15">
      <c r="A107" s="1"/>
      <c r="B107" s="59"/>
      <c r="C107" s="186"/>
      <c r="D107" s="196"/>
    </row>
    <row r="108" spans="1:4" ht="15">
      <c r="A108" s="1">
        <v>50</v>
      </c>
      <c r="B108" s="59" t="s">
        <v>147</v>
      </c>
      <c r="C108" s="186" t="s">
        <v>455</v>
      </c>
      <c r="D108" s="196">
        <v>390</v>
      </c>
    </row>
    <row r="109" spans="1:4" ht="15">
      <c r="A109" s="1"/>
      <c r="B109" s="59"/>
      <c r="C109" s="186"/>
      <c r="D109" s="196"/>
    </row>
    <row r="110" spans="1:4" ht="15">
      <c r="A110" s="1">
        <v>51</v>
      </c>
      <c r="B110" s="59" t="s">
        <v>148</v>
      </c>
      <c r="C110" s="186" t="s">
        <v>456</v>
      </c>
      <c r="D110" s="196">
        <v>465</v>
      </c>
    </row>
    <row r="111" spans="1:4" ht="15">
      <c r="A111" s="1"/>
      <c r="B111" s="59"/>
      <c r="C111" s="186"/>
      <c r="D111" s="196"/>
    </row>
    <row r="112" spans="1:4" ht="15">
      <c r="A112" s="1">
        <v>52</v>
      </c>
      <c r="B112" s="59" t="s">
        <v>149</v>
      </c>
      <c r="C112" s="186" t="s">
        <v>456</v>
      </c>
      <c r="D112" s="196">
        <v>383.20800000000003</v>
      </c>
    </row>
    <row r="113" spans="1:4" ht="15">
      <c r="A113" s="1"/>
      <c r="B113" s="59"/>
      <c r="C113" s="186"/>
      <c r="D113" s="196"/>
    </row>
    <row r="114" spans="1:4" ht="15">
      <c r="A114" s="1">
        <v>53</v>
      </c>
      <c r="B114" s="60" t="s">
        <v>32</v>
      </c>
      <c r="C114" s="186" t="s">
        <v>466</v>
      </c>
      <c r="D114" s="196">
        <v>380</v>
      </c>
    </row>
    <row r="115" spans="1:4" ht="15">
      <c r="A115" s="1"/>
      <c r="B115" s="59"/>
      <c r="C115" s="186"/>
      <c r="D115" s="196"/>
    </row>
    <row r="116" spans="1:4" ht="15">
      <c r="A116" s="1">
        <v>54</v>
      </c>
      <c r="B116" s="59" t="s">
        <v>51</v>
      </c>
      <c r="C116" s="186" t="s">
        <v>455</v>
      </c>
      <c r="D116" s="196">
        <v>348</v>
      </c>
    </row>
    <row r="117" spans="1:4" ht="15">
      <c r="A117" s="1"/>
      <c r="B117" s="59"/>
      <c r="C117" s="186"/>
      <c r="D117" s="196"/>
    </row>
    <row r="118" spans="1:4" ht="15">
      <c r="A118" s="1">
        <v>55</v>
      </c>
      <c r="B118" s="59" t="s">
        <v>52</v>
      </c>
      <c r="C118" s="186" t="s">
        <v>455</v>
      </c>
      <c r="D118" s="196">
        <v>377.78399999999999</v>
      </c>
    </row>
    <row r="119" spans="1:4" ht="15">
      <c r="A119" s="1"/>
      <c r="B119" s="59"/>
      <c r="C119" s="186"/>
      <c r="D119" s="196"/>
    </row>
    <row r="120" spans="1:4" ht="15">
      <c r="A120" s="1">
        <v>56</v>
      </c>
      <c r="B120" s="60" t="s">
        <v>33</v>
      </c>
      <c r="C120" s="186" t="s">
        <v>454</v>
      </c>
      <c r="D120" s="196">
        <v>410</v>
      </c>
    </row>
    <row r="121" spans="1:4" ht="15">
      <c r="A121" s="1"/>
      <c r="B121" s="59"/>
      <c r="C121" s="186"/>
      <c r="D121" s="196"/>
    </row>
    <row r="122" spans="1:4" ht="15">
      <c r="A122" s="1">
        <v>57</v>
      </c>
      <c r="B122" s="59" t="s">
        <v>150</v>
      </c>
      <c r="C122" s="186" t="s">
        <v>455</v>
      </c>
      <c r="D122" s="196">
        <v>380</v>
      </c>
    </row>
    <row r="123" spans="1:4" ht="15">
      <c r="A123" s="1"/>
      <c r="B123" s="59"/>
      <c r="C123" s="186"/>
      <c r="D123" s="196"/>
    </row>
    <row r="124" spans="1:4" ht="15">
      <c r="A124" s="1">
        <v>58</v>
      </c>
      <c r="B124" s="59" t="s">
        <v>151</v>
      </c>
      <c r="C124" s="186" t="s">
        <v>455</v>
      </c>
      <c r="D124" s="196">
        <v>325</v>
      </c>
    </row>
    <row r="125" spans="1:4" ht="15">
      <c r="A125" s="1"/>
      <c r="B125" s="59"/>
      <c r="C125" s="186"/>
      <c r="D125" s="196"/>
    </row>
    <row r="126" spans="1:4" ht="15">
      <c r="A126" s="1">
        <v>59</v>
      </c>
      <c r="B126" s="59" t="s">
        <v>152</v>
      </c>
      <c r="C126" s="186" t="s">
        <v>457</v>
      </c>
      <c r="D126" s="196">
        <v>329.8</v>
      </c>
    </row>
    <row r="127" spans="1:4" ht="15">
      <c r="A127" s="1"/>
      <c r="B127" s="59"/>
      <c r="C127" s="186"/>
      <c r="D127" s="196"/>
    </row>
    <row r="128" spans="1:4" ht="15">
      <c r="A128" s="1">
        <v>60</v>
      </c>
      <c r="B128" s="60" t="s">
        <v>34</v>
      </c>
      <c r="C128" s="186" t="s">
        <v>467</v>
      </c>
      <c r="D128" s="196">
        <v>385</v>
      </c>
    </row>
    <row r="129" spans="1:4" ht="15">
      <c r="A129" s="1"/>
      <c r="B129" s="59"/>
      <c r="C129" s="186"/>
      <c r="D129" s="196"/>
    </row>
    <row r="130" spans="1:4" ht="15">
      <c r="A130" s="1">
        <v>61</v>
      </c>
      <c r="B130" s="59" t="s">
        <v>153</v>
      </c>
      <c r="C130" s="186" t="s">
        <v>455</v>
      </c>
      <c r="D130" s="196">
        <v>312.55799999999999</v>
      </c>
    </row>
    <row r="131" spans="1:4" ht="15">
      <c r="A131" s="1"/>
      <c r="B131" s="59"/>
      <c r="C131" s="186"/>
      <c r="D131" s="196"/>
    </row>
    <row r="132" spans="1:4" ht="15">
      <c r="A132" s="1">
        <v>62</v>
      </c>
      <c r="B132" s="60" t="s">
        <v>35</v>
      </c>
      <c r="C132" s="186" t="s">
        <v>468</v>
      </c>
      <c r="D132" s="197">
        <v>242</v>
      </c>
    </row>
    <row r="133" spans="1:4" ht="15">
      <c r="A133" s="1"/>
      <c r="B133" s="59"/>
      <c r="C133" s="186"/>
      <c r="D133" s="197"/>
    </row>
    <row r="134" spans="1:4" ht="15">
      <c r="A134" s="1">
        <v>63</v>
      </c>
      <c r="B134" s="59" t="s">
        <v>4</v>
      </c>
      <c r="C134" s="186" t="s">
        <v>463</v>
      </c>
      <c r="D134" s="197">
        <v>464</v>
      </c>
    </row>
    <row r="135" spans="1:4" ht="15">
      <c r="A135" s="1"/>
      <c r="B135" s="59"/>
      <c r="C135" s="186"/>
      <c r="D135" s="197"/>
    </row>
    <row r="136" spans="1:4" ht="15">
      <c r="A136" s="1">
        <v>64</v>
      </c>
      <c r="B136" s="59" t="s">
        <v>5</v>
      </c>
      <c r="C136" s="187" t="s">
        <v>455</v>
      </c>
      <c r="D136" s="197">
        <v>391</v>
      </c>
    </row>
    <row r="137" spans="1:4" ht="15">
      <c r="A137" s="1"/>
      <c r="B137" s="59"/>
      <c r="C137" s="186"/>
      <c r="D137" s="197"/>
    </row>
    <row r="138" spans="1:4" ht="15">
      <c r="A138" s="1">
        <v>65</v>
      </c>
      <c r="B138" s="59" t="s">
        <v>154</v>
      </c>
      <c r="C138" s="186" t="s">
        <v>465</v>
      </c>
      <c r="D138" s="197">
        <v>417.51799999999997</v>
      </c>
    </row>
    <row r="139" spans="1:4" ht="15">
      <c r="A139" s="1"/>
      <c r="B139" s="59"/>
      <c r="C139" s="186"/>
      <c r="D139" s="195"/>
    </row>
    <row r="140" spans="1:4" ht="15">
      <c r="A140" s="1">
        <v>66</v>
      </c>
      <c r="B140" s="60" t="s">
        <v>36</v>
      </c>
      <c r="C140" s="188" t="s">
        <v>454</v>
      </c>
      <c r="D140" s="281">
        <v>315</v>
      </c>
    </row>
    <row r="141" spans="1:4">
      <c r="A141" s="1"/>
      <c r="B141" s="59"/>
      <c r="C141" s="59"/>
      <c r="D141" s="281"/>
    </row>
    <row r="142" spans="1:4" ht="15">
      <c r="A142" s="1">
        <v>67</v>
      </c>
      <c r="B142" s="59" t="s">
        <v>6</v>
      </c>
      <c r="C142" s="186" t="s">
        <v>457</v>
      </c>
      <c r="D142" s="281">
        <v>375</v>
      </c>
    </row>
    <row r="143" spans="1:4" ht="15">
      <c r="A143" s="1"/>
      <c r="B143" s="59"/>
      <c r="C143" s="186"/>
      <c r="D143" s="281"/>
    </row>
    <row r="144" spans="1:4" ht="15">
      <c r="A144" s="1">
        <v>68</v>
      </c>
      <c r="B144" s="59" t="s">
        <v>37</v>
      </c>
      <c r="C144" s="186" t="s">
        <v>455</v>
      </c>
      <c r="D144" s="281">
        <v>416</v>
      </c>
    </row>
    <row r="145" spans="1:4" ht="15">
      <c r="A145" s="1"/>
      <c r="B145" s="59"/>
      <c r="C145" s="186"/>
      <c r="D145" s="281"/>
    </row>
    <row r="146" spans="1:4" ht="15">
      <c r="A146" s="1">
        <v>69</v>
      </c>
      <c r="B146" s="59" t="s">
        <v>155</v>
      </c>
      <c r="C146" s="186" t="s">
        <v>455</v>
      </c>
      <c r="D146" s="281">
        <v>422</v>
      </c>
    </row>
    <row r="147" spans="1:4" ht="15">
      <c r="A147" s="1"/>
      <c r="B147" s="59"/>
      <c r="C147" s="186"/>
      <c r="D147" s="281"/>
    </row>
    <row r="148" spans="1:4" ht="15">
      <c r="A148" s="1">
        <v>70</v>
      </c>
      <c r="B148" s="59" t="s">
        <v>156</v>
      </c>
      <c r="C148" s="186" t="s">
        <v>455</v>
      </c>
      <c r="D148" s="281">
        <v>388</v>
      </c>
    </row>
    <row r="149" spans="1:4" ht="15">
      <c r="A149" s="1"/>
      <c r="B149" s="59"/>
      <c r="C149" s="186"/>
      <c r="D149" s="281"/>
    </row>
    <row r="150" spans="1:4" ht="15">
      <c r="A150" s="1">
        <v>71</v>
      </c>
      <c r="B150" s="59" t="s">
        <v>157</v>
      </c>
      <c r="C150" s="186" t="s">
        <v>465</v>
      </c>
      <c r="D150" s="281">
        <v>409</v>
      </c>
    </row>
    <row r="151" spans="1:4" ht="15">
      <c r="A151" s="1"/>
      <c r="B151" s="59"/>
      <c r="C151" s="186"/>
      <c r="D151" s="281"/>
    </row>
    <row r="152" spans="1:4" ht="15">
      <c r="A152" s="1">
        <v>72</v>
      </c>
      <c r="B152" s="59" t="s">
        <v>158</v>
      </c>
      <c r="C152" s="186" t="s">
        <v>455</v>
      </c>
      <c r="D152" s="281">
        <v>420</v>
      </c>
    </row>
    <row r="153" spans="1:4" ht="15">
      <c r="A153" s="1"/>
      <c r="B153" s="59"/>
      <c r="C153" s="186"/>
      <c r="D153" s="281"/>
    </row>
    <row r="154" spans="1:4" ht="15">
      <c r="A154" s="1">
        <v>73</v>
      </c>
      <c r="B154" s="59" t="s">
        <v>159</v>
      </c>
      <c r="C154" s="186" t="s">
        <v>454</v>
      </c>
      <c r="D154" s="281">
        <v>399</v>
      </c>
    </row>
    <row r="155" spans="1:4" ht="15">
      <c r="A155" s="1"/>
      <c r="B155" s="59"/>
      <c r="C155" s="186"/>
      <c r="D155" s="281"/>
    </row>
    <row r="156" spans="1:4" ht="15">
      <c r="A156" s="1">
        <v>74</v>
      </c>
      <c r="B156" s="59" t="s">
        <v>160</v>
      </c>
      <c r="C156" s="186" t="s">
        <v>456</v>
      </c>
      <c r="D156" s="281">
        <v>381</v>
      </c>
    </row>
    <row r="157" spans="1:4" ht="15">
      <c r="A157" s="1"/>
      <c r="B157" s="59"/>
      <c r="C157" s="186"/>
      <c r="D157" s="281"/>
    </row>
    <row r="158" spans="1:4" ht="15">
      <c r="A158" s="1">
        <v>75</v>
      </c>
      <c r="B158" s="59" t="s">
        <v>161</v>
      </c>
      <c r="C158" s="186" t="s">
        <v>455</v>
      </c>
      <c r="D158" s="281">
        <v>382</v>
      </c>
    </row>
    <row r="159" spans="1:4" ht="15">
      <c r="A159" s="1"/>
      <c r="B159" s="59"/>
      <c r="C159" s="186"/>
      <c r="D159" s="281"/>
    </row>
    <row r="160" spans="1:4" ht="15">
      <c r="A160" s="1">
        <v>76</v>
      </c>
      <c r="B160" s="59" t="s">
        <v>162</v>
      </c>
      <c r="C160" s="186" t="s">
        <v>455</v>
      </c>
      <c r="D160" s="281">
        <v>391</v>
      </c>
    </row>
    <row r="161" spans="1:4" ht="15">
      <c r="A161" s="1"/>
      <c r="B161" s="59"/>
      <c r="C161" s="186"/>
      <c r="D161" s="281"/>
    </row>
    <row r="162" spans="1:4" ht="15">
      <c r="A162" s="1">
        <v>77</v>
      </c>
      <c r="B162" s="59" t="s">
        <v>163</v>
      </c>
      <c r="C162" s="186" t="s">
        <v>508</v>
      </c>
      <c r="D162" s="281">
        <v>433</v>
      </c>
    </row>
    <row r="163" spans="1:4" ht="15">
      <c r="A163" s="1"/>
      <c r="B163" s="59"/>
      <c r="C163" s="186"/>
      <c r="D163" s="281"/>
    </row>
    <row r="164" spans="1:4" ht="15">
      <c r="A164" s="1">
        <v>78</v>
      </c>
      <c r="B164" s="59" t="s">
        <v>164</v>
      </c>
      <c r="C164" s="186" t="s">
        <v>455</v>
      </c>
      <c r="D164" s="281">
        <v>415</v>
      </c>
    </row>
    <row r="165" spans="1:4" ht="15">
      <c r="A165" s="1"/>
      <c r="B165" s="59"/>
      <c r="C165" s="186"/>
      <c r="D165" s="281"/>
    </row>
    <row r="166" spans="1:4" ht="15">
      <c r="A166" s="1">
        <v>79</v>
      </c>
      <c r="B166" s="59" t="s">
        <v>165</v>
      </c>
      <c r="C166" s="186" t="s">
        <v>455</v>
      </c>
      <c r="D166" s="281">
        <v>430</v>
      </c>
    </row>
    <row r="167" spans="1:4" ht="15">
      <c r="A167" s="1"/>
      <c r="B167" s="59"/>
      <c r="C167" s="186"/>
      <c r="D167" s="281"/>
    </row>
    <row r="168" spans="1:4" ht="15">
      <c r="A168" s="1">
        <v>80</v>
      </c>
      <c r="B168" s="59" t="s">
        <v>166</v>
      </c>
      <c r="C168" s="186" t="s">
        <v>455</v>
      </c>
      <c r="D168" s="281">
        <v>314</v>
      </c>
    </row>
    <row r="169" spans="1:4" ht="15">
      <c r="A169" s="1"/>
      <c r="B169" s="59"/>
      <c r="C169" s="186"/>
      <c r="D169" s="281"/>
    </row>
    <row r="170" spans="1:4" ht="15">
      <c r="A170" s="1">
        <v>81</v>
      </c>
      <c r="B170" s="59" t="s">
        <v>167</v>
      </c>
      <c r="C170" s="186" t="s">
        <v>458</v>
      </c>
      <c r="D170" s="281">
        <v>402.24900000000002</v>
      </c>
    </row>
    <row r="171" spans="1:4" ht="15">
      <c r="A171" s="1"/>
      <c r="B171" s="59"/>
      <c r="C171" s="186"/>
      <c r="D171" s="278"/>
    </row>
    <row r="172" spans="1:4" ht="15">
      <c r="A172" s="1">
        <v>82</v>
      </c>
      <c r="B172" s="60" t="s">
        <v>38</v>
      </c>
      <c r="C172" s="186" t="s">
        <v>469</v>
      </c>
      <c r="D172" s="278">
        <v>400</v>
      </c>
    </row>
    <row r="173" spans="1:4">
      <c r="A173" s="6"/>
      <c r="B173" s="59"/>
      <c r="C173" s="59"/>
      <c r="D173" s="198"/>
    </row>
    <row r="174" spans="1:4">
      <c r="A174" s="6">
        <f>A172+1</f>
        <v>83</v>
      </c>
      <c r="B174" s="59" t="s">
        <v>168</v>
      </c>
      <c r="C174" s="59" t="s">
        <v>456</v>
      </c>
      <c r="D174" s="198">
        <v>435</v>
      </c>
    </row>
    <row r="175" spans="1:4">
      <c r="A175" s="6"/>
      <c r="B175" s="59"/>
      <c r="C175" s="59"/>
      <c r="D175" s="198"/>
    </row>
    <row r="176" spans="1:4">
      <c r="A176" s="6">
        <f>A174+1</f>
        <v>84</v>
      </c>
      <c r="B176" s="60" t="s">
        <v>39</v>
      </c>
      <c r="C176" s="60" t="s">
        <v>468</v>
      </c>
      <c r="D176" s="198">
        <v>345</v>
      </c>
    </row>
    <row r="177" spans="1:18" ht="15">
      <c r="A177" s="6"/>
      <c r="B177" s="59"/>
      <c r="C177" s="59"/>
      <c r="D177" s="198"/>
      <c r="M177" s="3"/>
      <c r="N177" s="3"/>
      <c r="O177" s="3"/>
      <c r="P177" s="3"/>
      <c r="Q177" s="4"/>
      <c r="R177" s="4"/>
    </row>
    <row r="178" spans="1:18" ht="15">
      <c r="A178" s="6">
        <f>A176+1</f>
        <v>85</v>
      </c>
      <c r="B178" s="59" t="s">
        <v>8</v>
      </c>
      <c r="C178" s="59" t="s">
        <v>455</v>
      </c>
      <c r="D178" s="198">
        <v>410</v>
      </c>
      <c r="M178" s="3"/>
      <c r="N178" s="3"/>
      <c r="O178" s="3"/>
      <c r="P178" s="3"/>
      <c r="Q178" s="4"/>
      <c r="R178" s="4"/>
    </row>
    <row r="179" spans="1:18" ht="15">
      <c r="A179" s="6"/>
      <c r="B179" s="59"/>
      <c r="C179" s="59"/>
      <c r="D179" s="198"/>
      <c r="M179" s="3"/>
      <c r="N179" s="3"/>
      <c r="O179" s="3"/>
      <c r="P179" s="3"/>
      <c r="Q179" s="4"/>
      <c r="R179" s="4"/>
    </row>
    <row r="180" spans="1:18" ht="15">
      <c r="A180" s="6">
        <f>A178+1</f>
        <v>86</v>
      </c>
      <c r="B180" s="59" t="s">
        <v>40</v>
      </c>
      <c r="C180" s="59" t="s">
        <v>455</v>
      </c>
      <c r="D180" s="198">
        <v>410</v>
      </c>
      <c r="M180" s="3"/>
      <c r="N180" s="3"/>
      <c r="O180" s="3"/>
      <c r="P180" s="3"/>
      <c r="Q180" s="4"/>
      <c r="R180" s="4"/>
    </row>
    <row r="181" spans="1:18" ht="15">
      <c r="A181" s="6"/>
      <c r="B181" s="59"/>
      <c r="C181" s="59"/>
      <c r="D181" s="198"/>
      <c r="M181" s="3"/>
      <c r="N181" s="3"/>
      <c r="O181" s="3"/>
      <c r="P181" s="3"/>
      <c r="Q181" s="4"/>
      <c r="R181" s="4"/>
    </row>
    <row r="182" spans="1:18" ht="15">
      <c r="A182" s="6">
        <f>A180+1</f>
        <v>87</v>
      </c>
      <c r="B182" s="59" t="s">
        <v>53</v>
      </c>
      <c r="C182" s="59" t="s">
        <v>508</v>
      </c>
      <c r="D182" s="198">
        <v>320</v>
      </c>
      <c r="M182" s="3"/>
      <c r="N182" s="3"/>
      <c r="O182" s="3"/>
      <c r="P182" s="3"/>
      <c r="Q182" s="4"/>
      <c r="R182" s="4"/>
    </row>
    <row r="183" spans="1:18" ht="15">
      <c r="A183" s="6"/>
      <c r="B183" s="59"/>
      <c r="C183" s="59"/>
      <c r="D183" s="198"/>
      <c r="M183" s="3"/>
      <c r="N183" s="3"/>
      <c r="O183" s="3"/>
      <c r="P183" s="3"/>
      <c r="Q183" s="4"/>
      <c r="R183" s="4"/>
    </row>
    <row r="184" spans="1:18" ht="15">
      <c r="A184" s="6">
        <f>A182+1</f>
        <v>88</v>
      </c>
      <c r="B184" s="59" t="s">
        <v>169</v>
      </c>
      <c r="C184" s="59" t="s">
        <v>465</v>
      </c>
      <c r="D184" s="198">
        <v>400</v>
      </c>
      <c r="M184" s="3"/>
      <c r="N184" s="3"/>
      <c r="O184" s="3"/>
      <c r="P184" s="3"/>
      <c r="Q184" s="4"/>
      <c r="R184" s="4"/>
    </row>
    <row r="185" spans="1:18" ht="15">
      <c r="A185" s="6"/>
      <c r="B185" s="59"/>
      <c r="C185" s="59"/>
      <c r="D185" s="198"/>
      <c r="M185" s="3"/>
      <c r="N185" s="3"/>
      <c r="O185" s="3"/>
      <c r="P185" s="3"/>
      <c r="Q185" s="4"/>
      <c r="R185" s="4"/>
    </row>
    <row r="186" spans="1:18" ht="15">
      <c r="A186" s="6">
        <f>A184+1</f>
        <v>89</v>
      </c>
      <c r="B186" s="59" t="s">
        <v>170</v>
      </c>
      <c r="C186" s="59" t="s">
        <v>458</v>
      </c>
      <c r="D186" s="198">
        <v>410.1</v>
      </c>
      <c r="M186" s="3"/>
      <c r="N186" s="3"/>
      <c r="O186" s="3"/>
      <c r="P186" s="3"/>
      <c r="Q186" s="4"/>
      <c r="R186" s="4"/>
    </row>
    <row r="187" spans="1:18" ht="15">
      <c r="A187" s="6"/>
      <c r="B187" s="59"/>
      <c r="C187" s="59"/>
      <c r="D187" s="198"/>
      <c r="M187" s="3"/>
      <c r="N187" s="3"/>
      <c r="O187" s="3"/>
      <c r="P187" s="3"/>
      <c r="Q187" s="4"/>
      <c r="R187" s="4"/>
    </row>
    <row r="188" spans="1:18" ht="15">
      <c r="A188" s="6">
        <f>A186+1</f>
        <v>90</v>
      </c>
      <c r="B188" s="60" t="s">
        <v>41</v>
      </c>
      <c r="C188" s="189" t="s">
        <v>466</v>
      </c>
      <c r="D188" s="197">
        <v>417.21899999999999</v>
      </c>
      <c r="M188" s="3"/>
      <c r="N188" s="3"/>
      <c r="O188" s="3"/>
      <c r="P188" s="3"/>
      <c r="Q188" s="4"/>
      <c r="R188" s="4"/>
    </row>
    <row r="189" spans="1:18" ht="15">
      <c r="A189" s="6"/>
      <c r="B189" s="59"/>
      <c r="C189" s="189"/>
      <c r="D189" s="197"/>
      <c r="M189" s="3"/>
      <c r="N189" s="3"/>
      <c r="O189" s="3"/>
      <c r="P189" s="3"/>
      <c r="Q189" s="4"/>
      <c r="R189" s="4"/>
    </row>
    <row r="190" spans="1:18" ht="15">
      <c r="A190" s="6">
        <f>A188+1</f>
        <v>91</v>
      </c>
      <c r="B190" s="60" t="s">
        <v>42</v>
      </c>
      <c r="C190" s="189" t="s">
        <v>469</v>
      </c>
      <c r="D190" s="197">
        <v>249.602</v>
      </c>
      <c r="M190" s="3"/>
      <c r="N190" s="3"/>
      <c r="O190" s="3"/>
      <c r="P190" s="3"/>
      <c r="Q190" s="4"/>
      <c r="R190" s="4"/>
    </row>
    <row r="191" spans="1:18" ht="15">
      <c r="A191" s="6"/>
      <c r="B191" s="59"/>
      <c r="C191" s="189"/>
      <c r="D191" s="197"/>
      <c r="M191" s="3"/>
      <c r="N191" s="3"/>
      <c r="O191" s="3"/>
      <c r="P191" s="3"/>
      <c r="Q191" s="4"/>
      <c r="R191" s="4"/>
    </row>
    <row r="192" spans="1:18" ht="15">
      <c r="A192" s="6">
        <f>A190+1</f>
        <v>92</v>
      </c>
      <c r="B192" s="60" t="s">
        <v>43</v>
      </c>
      <c r="C192" s="190" t="s">
        <v>470</v>
      </c>
      <c r="D192" s="197">
        <v>333.60199999999998</v>
      </c>
      <c r="M192" s="3"/>
      <c r="N192" s="3"/>
      <c r="O192" s="3"/>
      <c r="P192" s="3"/>
      <c r="Q192" s="4"/>
      <c r="R192" s="4"/>
    </row>
    <row r="193" spans="1:18" ht="15">
      <c r="A193" s="6"/>
      <c r="B193" s="59"/>
      <c r="C193" s="189"/>
      <c r="D193" s="197"/>
      <c r="M193" s="3"/>
      <c r="N193" s="3"/>
      <c r="O193" s="3"/>
      <c r="P193" s="3"/>
      <c r="Q193" s="4"/>
      <c r="R193" s="4"/>
    </row>
    <row r="194" spans="1:18" ht="15">
      <c r="A194" s="6">
        <f>A192+1</f>
        <v>93</v>
      </c>
      <c r="B194" s="60" t="s">
        <v>44</v>
      </c>
      <c r="C194" s="189" t="s">
        <v>462</v>
      </c>
      <c r="D194" s="197">
        <v>313</v>
      </c>
      <c r="M194" s="3"/>
      <c r="N194" s="3"/>
      <c r="O194" s="3"/>
      <c r="P194" s="3"/>
      <c r="Q194" s="4"/>
      <c r="R194" s="4"/>
    </row>
    <row r="195" spans="1:18" ht="15">
      <c r="A195" s="6"/>
      <c r="B195" s="59"/>
      <c r="C195" s="189"/>
      <c r="D195" s="197"/>
      <c r="M195" s="3"/>
      <c r="N195" s="3"/>
      <c r="O195" s="3"/>
      <c r="P195" s="3"/>
      <c r="Q195" s="4"/>
      <c r="R195" s="4"/>
    </row>
    <row r="196" spans="1:18" ht="15">
      <c r="A196" s="6">
        <f>A194+1</f>
        <v>94</v>
      </c>
      <c r="B196" s="59" t="s">
        <v>171</v>
      </c>
      <c r="C196" s="189" t="s">
        <v>457</v>
      </c>
      <c r="D196" s="197">
        <v>337</v>
      </c>
      <c r="M196" s="3"/>
      <c r="N196" s="3"/>
      <c r="O196" s="3"/>
      <c r="P196" s="3"/>
      <c r="Q196" s="4"/>
      <c r="R196" s="4"/>
    </row>
    <row r="197" spans="1:18" ht="15">
      <c r="A197" s="6"/>
      <c r="B197" s="59"/>
      <c r="C197" s="189"/>
      <c r="D197" s="197"/>
      <c r="M197" s="3"/>
      <c r="N197" s="3"/>
      <c r="O197" s="3"/>
      <c r="P197" s="3"/>
      <c r="Q197" s="4"/>
      <c r="R197" s="4"/>
    </row>
    <row r="198" spans="1:18" ht="15">
      <c r="A198" s="6">
        <f>A196+1</f>
        <v>95</v>
      </c>
      <c r="B198" s="59" t="s">
        <v>172</v>
      </c>
      <c r="C198" s="189" t="s">
        <v>457</v>
      </c>
      <c r="D198" s="197">
        <v>384.09800000000001</v>
      </c>
      <c r="M198" s="3"/>
      <c r="N198" s="3"/>
      <c r="O198" s="3"/>
      <c r="P198" s="3"/>
      <c r="Q198" s="4"/>
      <c r="R198" s="4"/>
    </row>
    <row r="199" spans="1:18" ht="15">
      <c r="A199" s="6"/>
      <c r="B199" s="59"/>
      <c r="C199" s="189"/>
      <c r="D199" s="197"/>
      <c r="M199" s="3"/>
      <c r="N199" s="3"/>
      <c r="O199" s="3"/>
      <c r="P199" s="3"/>
      <c r="Q199" s="4"/>
      <c r="R199" s="4"/>
    </row>
    <row r="200" spans="1:18" ht="15">
      <c r="A200" s="6">
        <f>A198+1</f>
        <v>96</v>
      </c>
      <c r="B200" s="60" t="s">
        <v>45</v>
      </c>
      <c r="C200" s="189" t="s">
        <v>471</v>
      </c>
      <c r="D200" s="197">
        <v>258.61599999999999</v>
      </c>
      <c r="M200" s="3"/>
      <c r="N200" s="3"/>
      <c r="O200" s="3"/>
      <c r="P200" s="3"/>
      <c r="Q200" s="4"/>
      <c r="R200" s="4"/>
    </row>
    <row r="201" spans="1:18" ht="15">
      <c r="A201" s="6"/>
      <c r="B201" s="59"/>
      <c r="C201" s="189"/>
      <c r="D201" s="197"/>
      <c r="M201" s="3"/>
      <c r="N201" s="3"/>
      <c r="O201" s="3"/>
      <c r="P201" s="3"/>
      <c r="Q201" s="4"/>
      <c r="R201" s="4"/>
    </row>
    <row r="202" spans="1:18" ht="15">
      <c r="A202" s="6">
        <f>A200+1</f>
        <v>97</v>
      </c>
      <c r="B202" s="60" t="s">
        <v>46</v>
      </c>
      <c r="C202" s="189" t="s">
        <v>472</v>
      </c>
      <c r="D202" s="197">
        <v>390</v>
      </c>
      <c r="M202" s="3"/>
      <c r="N202" s="3"/>
      <c r="O202" s="3"/>
      <c r="P202" s="3"/>
      <c r="Q202" s="4"/>
      <c r="R202" s="4"/>
    </row>
    <row r="203" spans="1:18" ht="15">
      <c r="A203" s="6"/>
      <c r="B203" s="59"/>
      <c r="C203" s="189"/>
      <c r="D203" s="197"/>
      <c r="M203" s="3"/>
      <c r="N203" s="3"/>
      <c r="O203" s="3"/>
      <c r="P203" s="3"/>
      <c r="Q203" s="4"/>
      <c r="R203" s="4"/>
    </row>
    <row r="204" spans="1:18" ht="15">
      <c r="A204" s="6">
        <f>A202+1</f>
        <v>98</v>
      </c>
      <c r="B204" s="59" t="s">
        <v>173</v>
      </c>
      <c r="C204" s="189" t="s">
        <v>457</v>
      </c>
      <c r="D204" s="197">
        <v>290</v>
      </c>
      <c r="M204" s="3"/>
      <c r="N204" s="3"/>
      <c r="O204" s="3"/>
      <c r="P204" s="3"/>
      <c r="Q204" s="4"/>
      <c r="R204" s="4"/>
    </row>
    <row r="205" spans="1:18" ht="15">
      <c r="A205" s="6"/>
      <c r="B205" s="59"/>
      <c r="C205" s="189"/>
      <c r="D205" s="197"/>
      <c r="M205" s="3"/>
      <c r="N205" s="3"/>
      <c r="O205" s="3"/>
      <c r="P205" s="3"/>
      <c r="Q205" s="4"/>
      <c r="R205" s="4"/>
    </row>
    <row r="206" spans="1:18" ht="15">
      <c r="A206" s="6">
        <f>A204+1</f>
        <v>99</v>
      </c>
      <c r="B206" s="59" t="s">
        <v>174</v>
      </c>
      <c r="C206" s="189" t="s">
        <v>457</v>
      </c>
      <c r="D206" s="197">
        <v>345</v>
      </c>
      <c r="M206" s="3"/>
      <c r="N206" s="3"/>
      <c r="O206" s="3"/>
      <c r="P206" s="3"/>
      <c r="Q206" s="4"/>
      <c r="R206" s="4"/>
    </row>
    <row r="207" spans="1:18" ht="15">
      <c r="A207" s="6"/>
      <c r="B207" s="59"/>
      <c r="C207" s="189"/>
      <c r="D207" s="197"/>
      <c r="M207" s="3"/>
      <c r="N207" s="3"/>
      <c r="O207" s="3"/>
      <c r="P207" s="3"/>
      <c r="Q207" s="4"/>
      <c r="R207" s="4"/>
    </row>
    <row r="208" spans="1:18" ht="15">
      <c r="A208" s="6">
        <f>A206+1</f>
        <v>100</v>
      </c>
      <c r="B208" s="59" t="s">
        <v>175</v>
      </c>
      <c r="C208" s="189" t="s">
        <v>456</v>
      </c>
      <c r="D208" s="197">
        <v>423</v>
      </c>
      <c r="M208" s="3"/>
      <c r="N208" s="3"/>
      <c r="O208" s="3"/>
      <c r="P208" s="3"/>
      <c r="Q208" s="4"/>
      <c r="R208" s="4"/>
    </row>
    <row r="209" spans="1:18" ht="15">
      <c r="A209" s="6"/>
      <c r="B209" s="59"/>
      <c r="C209" s="189"/>
      <c r="D209" s="197"/>
      <c r="M209" s="3"/>
      <c r="N209" s="3"/>
      <c r="O209" s="3"/>
      <c r="P209" s="3"/>
      <c r="Q209" s="4"/>
      <c r="R209" s="4"/>
    </row>
    <row r="210" spans="1:18" ht="15">
      <c r="A210" s="6">
        <f>A208+1</f>
        <v>101</v>
      </c>
      <c r="B210" s="59" t="s">
        <v>176</v>
      </c>
      <c r="C210" s="189" t="s">
        <v>455</v>
      </c>
      <c r="D210" s="197">
        <v>388.69299999999998</v>
      </c>
      <c r="M210" s="3"/>
      <c r="N210" s="3"/>
      <c r="O210" s="3"/>
      <c r="P210" s="3"/>
      <c r="Q210" s="4"/>
      <c r="R210" s="4"/>
    </row>
    <row r="211" spans="1:18" ht="15">
      <c r="A211" s="6"/>
      <c r="B211" s="59"/>
      <c r="C211" s="189"/>
      <c r="D211" s="197"/>
      <c r="M211" s="3"/>
      <c r="N211" s="3"/>
      <c r="O211" s="3"/>
      <c r="P211" s="3"/>
      <c r="Q211" s="4"/>
      <c r="R211" s="4"/>
    </row>
    <row r="212" spans="1:18" ht="15">
      <c r="A212" s="6">
        <f>A210+1</f>
        <v>102</v>
      </c>
      <c r="B212" s="60" t="s">
        <v>47</v>
      </c>
      <c r="C212" s="189" t="s">
        <v>473</v>
      </c>
      <c r="D212" s="197">
        <v>405</v>
      </c>
      <c r="M212" s="3"/>
      <c r="N212" s="3"/>
      <c r="O212" s="3"/>
      <c r="P212" s="3"/>
      <c r="Q212" s="4"/>
      <c r="R212" s="4"/>
    </row>
    <row r="213" spans="1:18" ht="15">
      <c r="A213" s="6"/>
      <c r="B213" s="59"/>
      <c r="C213" s="189"/>
      <c r="D213" s="197"/>
      <c r="M213" s="3"/>
      <c r="N213" s="3"/>
      <c r="O213" s="3"/>
      <c r="P213" s="3"/>
      <c r="Q213" s="4"/>
      <c r="R213" s="4"/>
    </row>
    <row r="214" spans="1:18" ht="15">
      <c r="A214" s="6">
        <f>A212+1</f>
        <v>103</v>
      </c>
      <c r="B214" s="59" t="s">
        <v>177</v>
      </c>
      <c r="C214" s="189" t="s">
        <v>456</v>
      </c>
      <c r="D214" s="197">
        <v>385</v>
      </c>
      <c r="M214" s="3"/>
      <c r="N214" s="3"/>
      <c r="O214" s="3"/>
      <c r="P214" s="3"/>
      <c r="Q214" s="4"/>
      <c r="R214" s="4"/>
    </row>
    <row r="215" spans="1:18" ht="15">
      <c r="A215" s="6"/>
      <c r="B215" s="59"/>
      <c r="C215" s="189"/>
      <c r="D215" s="197"/>
      <c r="M215" s="3"/>
      <c r="N215" s="3"/>
      <c r="O215" s="3"/>
      <c r="P215" s="3"/>
      <c r="Q215" s="4"/>
      <c r="R215" s="4"/>
    </row>
    <row r="216" spans="1:18" ht="15">
      <c r="A216" s="6">
        <f>A214+1</f>
        <v>104</v>
      </c>
      <c r="B216" s="59" t="s">
        <v>178</v>
      </c>
      <c r="C216" s="189" t="s">
        <v>455</v>
      </c>
      <c r="D216" s="197">
        <v>366</v>
      </c>
      <c r="M216" s="3"/>
      <c r="N216" s="3"/>
      <c r="O216" s="3"/>
      <c r="P216" s="3"/>
      <c r="Q216" s="4"/>
      <c r="R216" s="4"/>
    </row>
    <row r="217" spans="1:18" ht="15">
      <c r="A217" s="6"/>
      <c r="B217" s="59"/>
      <c r="C217" s="189"/>
      <c r="D217" s="197"/>
      <c r="M217" s="3"/>
      <c r="N217" s="3"/>
      <c r="O217" s="3"/>
      <c r="P217" s="3"/>
      <c r="Q217" s="4"/>
      <c r="R217" s="4"/>
    </row>
    <row r="218" spans="1:18" ht="15">
      <c r="A218" s="6">
        <f>A216+1</f>
        <v>105</v>
      </c>
      <c r="B218" s="59" t="s">
        <v>179</v>
      </c>
      <c r="C218" s="189" t="s">
        <v>456</v>
      </c>
      <c r="D218" s="197">
        <v>444</v>
      </c>
      <c r="M218" s="3"/>
      <c r="N218" s="3"/>
      <c r="O218" s="3"/>
      <c r="P218" s="3"/>
      <c r="Q218" s="4"/>
      <c r="R218" s="4"/>
    </row>
    <row r="219" spans="1:18" ht="15">
      <c r="A219" s="6"/>
      <c r="B219" s="59"/>
      <c r="C219" s="189"/>
      <c r="D219" s="197"/>
      <c r="M219" s="3"/>
      <c r="N219" s="3"/>
      <c r="O219" s="3"/>
      <c r="P219" s="3"/>
      <c r="Q219" s="4"/>
      <c r="R219" s="4"/>
    </row>
    <row r="220" spans="1:18" ht="15">
      <c r="A220" s="6">
        <f>A218+1</f>
        <v>106</v>
      </c>
      <c r="B220" s="59" t="s">
        <v>180</v>
      </c>
      <c r="C220" s="189" t="s">
        <v>456</v>
      </c>
      <c r="D220" s="197">
        <v>355</v>
      </c>
      <c r="M220" s="3"/>
      <c r="N220" s="3"/>
      <c r="O220" s="3"/>
      <c r="P220" s="3"/>
      <c r="Q220" s="4"/>
      <c r="R220" s="4"/>
    </row>
    <row r="221" spans="1:18" ht="15">
      <c r="A221" s="6"/>
      <c r="B221" s="59"/>
      <c r="C221" s="189"/>
      <c r="D221" s="197"/>
      <c r="M221" s="3"/>
      <c r="N221" s="3"/>
      <c r="O221" s="3"/>
      <c r="P221" s="3"/>
      <c r="Q221" s="4"/>
      <c r="R221" s="4"/>
    </row>
    <row r="222" spans="1:18" ht="15">
      <c r="A222" s="6">
        <f>A220+1</f>
        <v>107</v>
      </c>
      <c r="B222" s="59" t="s">
        <v>181</v>
      </c>
      <c r="C222" s="189" t="s">
        <v>455</v>
      </c>
      <c r="D222" s="197">
        <v>375</v>
      </c>
      <c r="M222" s="3"/>
      <c r="N222" s="3"/>
      <c r="O222" s="3"/>
      <c r="P222" s="3"/>
      <c r="Q222" s="4"/>
      <c r="R222" s="4"/>
    </row>
    <row r="223" spans="1:18" ht="15">
      <c r="A223" s="6"/>
      <c r="B223" s="59"/>
      <c r="C223" s="189"/>
      <c r="D223" s="197"/>
      <c r="M223" s="3"/>
      <c r="N223" s="3"/>
      <c r="O223" s="3"/>
      <c r="P223" s="3"/>
      <c r="Q223" s="4"/>
      <c r="R223" s="4"/>
    </row>
    <row r="224" spans="1:18" ht="15">
      <c r="A224" s="6">
        <f>A222+1</f>
        <v>108</v>
      </c>
      <c r="B224" s="59" t="s">
        <v>182</v>
      </c>
      <c r="C224" s="189" t="s">
        <v>457</v>
      </c>
      <c r="D224" s="197">
        <v>374.49</v>
      </c>
      <c r="M224" s="3"/>
      <c r="N224" s="3"/>
      <c r="O224" s="3"/>
      <c r="P224" s="3"/>
      <c r="Q224" s="4"/>
      <c r="R224" s="4"/>
    </row>
    <row r="225" spans="1:18" ht="15">
      <c r="A225" s="6"/>
      <c r="B225" s="59"/>
      <c r="C225" s="189"/>
      <c r="D225" s="198"/>
      <c r="M225" s="3"/>
      <c r="N225" s="3"/>
      <c r="O225" s="3"/>
      <c r="P225" s="3"/>
      <c r="Q225" s="4"/>
      <c r="R225" s="4"/>
    </row>
    <row r="226" spans="1:18" ht="15.6" thickBot="1">
      <c r="A226" s="6">
        <f>A224+1</f>
        <v>109</v>
      </c>
      <c r="B226" s="60" t="s">
        <v>48</v>
      </c>
      <c r="C226" s="191" t="s">
        <v>454</v>
      </c>
      <c r="D226" s="280">
        <v>434</v>
      </c>
      <c r="M226" s="3"/>
      <c r="N226" s="3"/>
      <c r="O226" s="3"/>
      <c r="P226" s="3"/>
      <c r="Q226" s="4"/>
      <c r="R226" s="4"/>
    </row>
    <row r="227" spans="1:18" ht="15">
      <c r="A227" s="6"/>
      <c r="B227" s="59"/>
      <c r="C227" s="59"/>
      <c r="D227" s="280"/>
      <c r="M227" s="3"/>
      <c r="N227" s="3"/>
      <c r="O227" s="3"/>
      <c r="P227" s="3"/>
      <c r="Q227" s="4"/>
      <c r="R227" s="4"/>
    </row>
    <row r="228" spans="1:18" ht="15">
      <c r="A228" s="6">
        <f>A226+1</f>
        <v>110</v>
      </c>
      <c r="B228" s="59" t="s">
        <v>183</v>
      </c>
      <c r="C228" s="199" t="s">
        <v>465</v>
      </c>
      <c r="D228" s="280">
        <v>406</v>
      </c>
      <c r="M228" s="3"/>
      <c r="N228" s="3"/>
      <c r="O228" s="3"/>
      <c r="P228" s="3"/>
      <c r="Q228" s="4"/>
      <c r="R228" s="4"/>
    </row>
    <row r="229" spans="1:18" ht="15">
      <c r="A229" s="6"/>
      <c r="B229" s="59"/>
      <c r="C229" s="199"/>
      <c r="D229" s="280"/>
      <c r="M229" s="3"/>
      <c r="N229" s="3"/>
      <c r="O229" s="3"/>
      <c r="P229" s="3"/>
      <c r="Q229" s="4"/>
      <c r="R229" s="4"/>
    </row>
    <row r="230" spans="1:18" ht="15">
      <c r="A230" s="6">
        <f>A228+1</f>
        <v>111</v>
      </c>
      <c r="B230" s="59" t="s">
        <v>184</v>
      </c>
      <c r="C230" s="199" t="s">
        <v>457</v>
      </c>
      <c r="D230" s="280">
        <v>390</v>
      </c>
      <c r="M230" s="3"/>
      <c r="N230" s="3"/>
      <c r="O230" s="3"/>
      <c r="P230" s="3"/>
      <c r="Q230" s="4"/>
      <c r="R230" s="4"/>
    </row>
    <row r="231" spans="1:18" ht="15">
      <c r="A231" s="6"/>
      <c r="B231" s="59"/>
      <c r="C231" s="199"/>
      <c r="D231" s="280"/>
      <c r="M231" s="3"/>
      <c r="N231" s="3"/>
      <c r="O231" s="3"/>
      <c r="P231" s="3"/>
      <c r="Q231" s="4"/>
      <c r="R231" s="4"/>
    </row>
    <row r="232" spans="1:18" ht="15">
      <c r="A232" s="6">
        <f>A230+1</f>
        <v>112</v>
      </c>
      <c r="B232" s="59" t="s">
        <v>185</v>
      </c>
      <c r="C232" s="199" t="s">
        <v>460</v>
      </c>
      <c r="D232" s="280">
        <v>276.49200000000002</v>
      </c>
      <c r="M232" s="3"/>
      <c r="N232" s="3"/>
      <c r="O232" s="3"/>
      <c r="P232" s="3"/>
      <c r="Q232" s="4"/>
      <c r="R232" s="4"/>
    </row>
    <row r="233" spans="1:18" ht="15">
      <c r="A233" s="6"/>
      <c r="B233" s="59"/>
      <c r="C233" s="199"/>
      <c r="D233" s="198"/>
      <c r="M233" s="3"/>
      <c r="N233" s="3"/>
      <c r="O233" s="3"/>
      <c r="P233" s="3"/>
      <c r="Q233" s="4"/>
      <c r="R233" s="4"/>
    </row>
    <row r="234" spans="1:18" ht="15">
      <c r="A234" s="6">
        <v>113</v>
      </c>
      <c r="B234" s="60" t="s">
        <v>54</v>
      </c>
      <c r="C234" s="199" t="s">
        <v>472</v>
      </c>
      <c r="D234" s="348">
        <v>397</v>
      </c>
      <c r="M234" s="3"/>
      <c r="N234" s="3"/>
      <c r="O234" s="3"/>
      <c r="P234" s="3"/>
      <c r="Q234" s="4"/>
      <c r="R234" s="4"/>
    </row>
    <row r="235" spans="1:18" ht="15">
      <c r="A235" s="6"/>
      <c r="B235" s="199"/>
      <c r="C235" s="199"/>
      <c r="D235" s="348"/>
      <c r="M235" s="3"/>
      <c r="N235" s="3"/>
      <c r="O235" s="3"/>
      <c r="P235" s="3"/>
      <c r="Q235" s="4"/>
      <c r="R235" s="4"/>
    </row>
    <row r="236" spans="1:18" ht="15">
      <c r="A236" s="6">
        <f>A234+1</f>
        <v>114</v>
      </c>
      <c r="B236" s="59" t="s">
        <v>186</v>
      </c>
      <c r="C236" s="199" t="s">
        <v>508</v>
      </c>
      <c r="D236" s="348">
        <v>380</v>
      </c>
      <c r="M236" s="3"/>
      <c r="N236" s="3"/>
      <c r="O236" s="3"/>
      <c r="P236" s="3"/>
      <c r="Q236" s="4"/>
      <c r="R236" s="4"/>
    </row>
    <row r="237" spans="1:18" ht="15">
      <c r="A237" s="6"/>
      <c r="B237" s="59"/>
      <c r="C237" s="199"/>
      <c r="D237" s="348"/>
      <c r="M237" s="3"/>
      <c r="N237" s="3"/>
      <c r="O237" s="3"/>
      <c r="P237" s="3"/>
      <c r="Q237" s="4"/>
      <c r="R237" s="4"/>
    </row>
    <row r="238" spans="1:18" ht="15">
      <c r="A238" s="6">
        <f>A236+1</f>
        <v>115</v>
      </c>
      <c r="B238" s="59" t="s">
        <v>187</v>
      </c>
      <c r="C238" s="199" t="s">
        <v>455</v>
      </c>
      <c r="D238" s="348">
        <v>342</v>
      </c>
      <c r="M238" s="3"/>
      <c r="N238" s="3"/>
      <c r="O238" s="3"/>
      <c r="P238" s="3"/>
      <c r="Q238" s="4"/>
      <c r="R238" s="4"/>
    </row>
    <row r="239" spans="1:18" ht="15">
      <c r="A239" s="6"/>
      <c r="B239" s="59"/>
      <c r="C239" s="199"/>
      <c r="D239" s="348"/>
      <c r="M239" s="3"/>
      <c r="N239" s="3"/>
      <c r="O239" s="3"/>
      <c r="P239" s="3"/>
      <c r="Q239" s="4"/>
      <c r="R239" s="4"/>
    </row>
    <row r="240" spans="1:18" ht="15">
      <c r="A240" s="6">
        <f>A238+1</f>
        <v>116</v>
      </c>
      <c r="B240" s="59" t="s">
        <v>188</v>
      </c>
      <c r="C240" s="199" t="s">
        <v>457</v>
      </c>
      <c r="D240" s="348">
        <v>416.81</v>
      </c>
      <c r="M240" s="3"/>
      <c r="N240" s="3"/>
      <c r="O240" s="3"/>
      <c r="P240" s="3"/>
      <c r="Q240" s="4"/>
      <c r="R240" s="4"/>
    </row>
    <row r="241" spans="1:18" ht="15">
      <c r="A241" s="6"/>
      <c r="B241" s="199"/>
      <c r="C241" s="199"/>
      <c r="D241" s="348"/>
      <c r="M241" s="3"/>
      <c r="N241" s="3"/>
      <c r="O241" s="3"/>
      <c r="P241" s="3"/>
      <c r="Q241" s="4"/>
      <c r="R241" s="4"/>
    </row>
    <row r="242" spans="1:18" ht="15">
      <c r="A242" s="6">
        <f>A240+1</f>
        <v>117</v>
      </c>
      <c r="B242" s="60" t="s">
        <v>190</v>
      </c>
      <c r="C242" s="199" t="s">
        <v>554</v>
      </c>
      <c r="D242" s="348">
        <v>203.90199999999999</v>
      </c>
      <c r="M242" s="3"/>
      <c r="N242" s="3"/>
      <c r="O242" s="3"/>
      <c r="P242" s="3"/>
      <c r="Q242" s="4"/>
      <c r="R242" s="4"/>
    </row>
    <row r="243" spans="1:18" ht="15">
      <c r="A243" s="6"/>
      <c r="B243" s="199"/>
      <c r="C243" s="199"/>
      <c r="D243" s="348"/>
      <c r="M243" s="3"/>
      <c r="N243" s="3"/>
      <c r="O243" s="3"/>
      <c r="P243" s="3"/>
      <c r="Q243" s="4"/>
      <c r="R243" s="4"/>
    </row>
    <row r="244" spans="1:18" ht="15">
      <c r="A244" s="6">
        <f>A242+1</f>
        <v>118</v>
      </c>
      <c r="B244" s="60" t="s">
        <v>192</v>
      </c>
      <c r="C244" s="199" t="s">
        <v>554</v>
      </c>
      <c r="D244" s="348">
        <v>382</v>
      </c>
      <c r="M244" s="3"/>
      <c r="N244" s="3"/>
      <c r="O244" s="3"/>
      <c r="P244" s="3"/>
      <c r="Q244" s="4"/>
      <c r="R244" s="4"/>
    </row>
    <row r="245" spans="1:18" ht="15">
      <c r="A245" s="6"/>
      <c r="B245" s="199"/>
      <c r="C245" s="199"/>
      <c r="D245" s="348"/>
      <c r="M245" s="3"/>
      <c r="N245" s="3"/>
      <c r="O245" s="3"/>
      <c r="P245" s="3"/>
      <c r="Q245" s="4"/>
      <c r="R245" s="4"/>
    </row>
    <row r="246" spans="1:18" ht="15">
      <c r="A246" s="6">
        <f>A244+1</f>
        <v>119</v>
      </c>
      <c r="B246" s="355" t="s">
        <v>556</v>
      </c>
      <c r="C246" s="199" t="s">
        <v>457</v>
      </c>
      <c r="D246" s="348">
        <v>320.79599999999999</v>
      </c>
      <c r="M246" s="3"/>
      <c r="N246" s="3"/>
      <c r="O246" s="3"/>
      <c r="P246" s="3"/>
      <c r="Q246" s="4"/>
      <c r="R246" s="4"/>
    </row>
    <row r="247" spans="1:18" ht="15">
      <c r="A247" s="6"/>
      <c r="B247" s="199"/>
      <c r="C247" s="199"/>
      <c r="D247" s="348"/>
      <c r="M247" s="3"/>
      <c r="N247" s="3"/>
      <c r="O247" s="3"/>
      <c r="P247" s="3"/>
      <c r="Q247" s="4"/>
      <c r="R247" s="4"/>
    </row>
    <row r="248" spans="1:18" ht="15">
      <c r="A248" s="6">
        <f>A246+1</f>
        <v>120</v>
      </c>
      <c r="B248" s="60" t="s">
        <v>193</v>
      </c>
      <c r="C248" s="199" t="s">
        <v>462</v>
      </c>
      <c r="D248" s="348">
        <v>414</v>
      </c>
      <c r="M248" s="3"/>
      <c r="N248" s="3"/>
      <c r="O248" s="3"/>
      <c r="P248" s="3"/>
      <c r="Q248" s="4"/>
      <c r="R248" s="4"/>
    </row>
    <row r="249" spans="1:18" ht="15">
      <c r="A249" s="6"/>
      <c r="B249" s="199"/>
      <c r="C249" s="199"/>
      <c r="D249" s="348"/>
      <c r="M249" s="3"/>
      <c r="N249" s="3"/>
      <c r="O249" s="3"/>
      <c r="P249" s="3"/>
      <c r="Q249" s="4"/>
      <c r="R249" s="4"/>
    </row>
    <row r="250" spans="1:18" ht="15">
      <c r="A250" s="6">
        <f>A248+1</f>
        <v>121</v>
      </c>
      <c r="B250" s="355" t="s">
        <v>558</v>
      </c>
      <c r="C250" s="199" t="s">
        <v>465</v>
      </c>
      <c r="D250" s="348">
        <v>425</v>
      </c>
      <c r="M250" s="3"/>
      <c r="N250" s="3"/>
      <c r="O250" s="3"/>
      <c r="P250" s="3"/>
      <c r="Q250" s="4"/>
      <c r="R250" s="4"/>
    </row>
    <row r="251" spans="1:18" ht="15">
      <c r="A251" s="6"/>
      <c r="B251" s="199"/>
      <c r="C251" s="199"/>
      <c r="D251" s="348"/>
      <c r="M251" s="3"/>
      <c r="N251" s="3"/>
      <c r="O251" s="3"/>
      <c r="P251" s="3"/>
      <c r="Q251" s="4"/>
      <c r="R251" s="4"/>
    </row>
    <row r="252" spans="1:18" ht="15">
      <c r="A252" s="356">
        <f>A250+1</f>
        <v>122</v>
      </c>
      <c r="B252" s="355" t="s">
        <v>559</v>
      </c>
      <c r="C252" s="199" t="s">
        <v>455</v>
      </c>
      <c r="D252" s="348">
        <v>373</v>
      </c>
      <c r="M252" s="3"/>
      <c r="N252" s="3"/>
      <c r="O252" s="3"/>
      <c r="P252" s="3"/>
    </row>
    <row r="253" spans="1:18" ht="15">
      <c r="A253" s="6"/>
      <c r="B253" s="199"/>
      <c r="C253" s="199"/>
      <c r="D253" s="348"/>
      <c r="M253" s="3"/>
      <c r="N253" s="3"/>
      <c r="O253" s="3"/>
      <c r="P253" s="3"/>
      <c r="Q253" s="4"/>
      <c r="R253" s="4"/>
    </row>
    <row r="254" spans="1:18" ht="15">
      <c r="A254" s="356">
        <f>A252+1</f>
        <v>123</v>
      </c>
      <c r="B254" s="355" t="s">
        <v>560</v>
      </c>
      <c r="C254" s="199" t="s">
        <v>455</v>
      </c>
      <c r="D254" s="348">
        <v>357</v>
      </c>
    </row>
    <row r="255" spans="1:18" ht="15">
      <c r="A255" s="356"/>
      <c r="B255" s="199"/>
      <c r="C255" s="199"/>
      <c r="D255" s="348"/>
    </row>
    <row r="256" spans="1:18" ht="15">
      <c r="A256" s="356">
        <f>A254+1</f>
        <v>124</v>
      </c>
      <c r="B256" s="355" t="s">
        <v>561</v>
      </c>
      <c r="C256" s="199" t="s">
        <v>508</v>
      </c>
      <c r="D256" s="348">
        <v>402.19900000000001</v>
      </c>
    </row>
    <row r="257" spans="1:4" ht="15">
      <c r="A257" s="356"/>
      <c r="B257" s="199"/>
      <c r="C257" s="199"/>
      <c r="D257" s="348"/>
    </row>
    <row r="258" spans="1:4" ht="15">
      <c r="A258" s="356">
        <f>A256+1</f>
        <v>125</v>
      </c>
      <c r="B258" s="60" t="s">
        <v>567</v>
      </c>
      <c r="C258" s="199" t="s">
        <v>471</v>
      </c>
      <c r="D258" s="348">
        <v>419</v>
      </c>
    </row>
    <row r="259" spans="1:4">
      <c r="A259" s="356"/>
      <c r="B259" s="357"/>
      <c r="C259" s="357"/>
      <c r="D259" s="357"/>
    </row>
    <row r="260" spans="1:4" ht="18">
      <c r="A260" s="356">
        <f>A258+1</f>
        <v>126</v>
      </c>
      <c r="B260" s="60" t="s">
        <v>568</v>
      </c>
      <c r="C260" s="358" t="s">
        <v>511</v>
      </c>
      <c r="D260" s="348">
        <v>231</v>
      </c>
    </row>
    <row r="261" spans="1:4" ht="18">
      <c r="A261" s="356"/>
      <c r="B261" s="359"/>
      <c r="C261" s="360"/>
      <c r="D261" s="357"/>
    </row>
    <row r="262" spans="1:4" ht="18">
      <c r="A262" s="356">
        <f>A260+1</f>
        <v>127</v>
      </c>
      <c r="B262" s="60" t="s">
        <v>569</v>
      </c>
      <c r="C262" s="358" t="s">
        <v>511</v>
      </c>
      <c r="D262" s="348">
        <v>103</v>
      </c>
    </row>
    <row r="263" spans="1:4">
      <c r="D263" s="194">
        <f>SUM(D10:D262)</f>
        <v>47661.921999999991</v>
      </c>
    </row>
    <row r="264" spans="1:4">
      <c r="B264" s="2" t="s">
        <v>89</v>
      </c>
    </row>
  </sheetData>
  <autoFilter ref="C8:C254"/>
  <mergeCells count="7">
    <mergeCell ref="F26:S26"/>
    <mergeCell ref="A6:F6"/>
    <mergeCell ref="A8:A9"/>
    <mergeCell ref="B8:B9"/>
    <mergeCell ref="C8:C9"/>
    <mergeCell ref="D8:D9"/>
    <mergeCell ref="F10:S10"/>
  </mergeCells>
  <conditionalFormatting sqref="D10:D37 D132:D169">
    <cfRule type="cellIs" dxfId="0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MASTER SHEET</vt:lpstr>
      <vt:lpstr>Progress</vt:lpstr>
      <vt:lpstr>Erection Compiled</vt:lpstr>
      <vt:lpstr>Visual Chart</vt:lpstr>
      <vt:lpstr>ROW TRACKER</vt:lpstr>
      <vt:lpstr>PENDING FDN DETAILS</vt:lpstr>
      <vt:lpstr>PENDING ERE DETAILS</vt:lpstr>
      <vt:lpstr>TSE-MANUAL-LT-11KV-33KV Details</vt:lpstr>
      <vt:lpstr>Crossing Details</vt:lpstr>
      <vt:lpstr>Project Details</vt:lpstr>
      <vt:lpstr>TS</vt:lpstr>
      <vt:lpstr>TS (2)</vt:lpstr>
      <vt:lpstr>'Visual Chart'!Print_Area</vt:lpstr>
      <vt:lpstr>Progress!Print_Titles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User</cp:lastModifiedBy>
  <cp:lastPrinted>2025-11-23T04:38:43Z</cp:lastPrinted>
  <dcterms:created xsi:type="dcterms:W3CDTF">2016-07-05T06:15:08Z</dcterms:created>
  <dcterms:modified xsi:type="dcterms:W3CDTF">2026-01-13T18:01:47Z</dcterms:modified>
</cp:coreProperties>
</file>