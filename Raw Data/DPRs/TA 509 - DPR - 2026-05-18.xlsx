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C-765kV MKTL" sheetId="1" r:id="rId4"/>
    <sheet state="visible" name="SUMMARY" sheetId="2" r:id="rId5"/>
    <sheet state="hidden" name="FDN pivot" sheetId="3" r:id="rId6"/>
    <sheet state="hidden" name="Erc pivot" sheetId="4" r:id="rId7"/>
    <sheet state="visible" name="ERECTION" sheetId="5" r:id="rId8"/>
    <sheet state="visible" name="FOUNDATION" sheetId="6" r:id="rId9"/>
    <sheet state="hidden" name="XING" sheetId="7" r:id="rId10"/>
    <sheet state="visible" name="EARTHING" sheetId="8" r:id="rId11"/>
    <sheet state="visible" name="DPR" sheetId="9" r:id="rId12"/>
    <sheet state="visible" name="SUPPLY" sheetId="10" r:id="rId13"/>
    <sheet state="visible" name="CST Gantry To AP 68 Common Poin" sheetId="11" r:id="rId14"/>
    <sheet state="hidden" name="Sheet1" sheetId="12" r:id="rId15"/>
    <sheet state="hidden" name="SURVEY SUMMARY" sheetId="13" r:id="rId16"/>
    <sheet state="hidden" name="SURVEY STATUS " sheetId="14" r:id="rId17"/>
    <sheet state="hidden" name="Erection productivity" sheetId="15" r:id="rId18"/>
  </sheets>
  <externalReferences>
    <externalReference r:id="rId19"/>
    <externalReference r:id="rId20"/>
    <externalReference r:id="rId21"/>
  </externalReferences>
  <definedNames>
    <definedName name="MS_Royalty">#REF!</definedName>
    <definedName name="Kwfa">#REF!</definedName>
    <definedName name="Zst">#REF!</definedName>
    <definedName name="_____DET4">#REF!</definedName>
    <definedName name="ad">#REF!</definedName>
    <definedName name="UÀ1576">#REF!</definedName>
    <definedName name="Km___13">#REF!</definedName>
    <definedName name="XRefPaste36">#REF!</definedName>
    <definedName name="Excel_BuiltIn_Print_Area_8_1_1_1_1">#REF!</definedName>
    <definedName name="Date2">#REF!</definedName>
    <definedName name="Nx___13">#REF!</definedName>
    <definedName name="BF">#REF!</definedName>
    <definedName name="Excel_BuiltIn_Print_Area_12_1_1_1_1_4">#REF!</definedName>
    <definedName name="Excel_BuiltIn_Print_Area_7_1_1_9_16">#REF!</definedName>
    <definedName name="___Ki1">#REF!</definedName>
    <definedName name="sss">#REF!</definedName>
    <definedName name="OO">#REF!</definedName>
    <definedName name="EM_017_8">#REF!</definedName>
    <definedName name="Excel_BuiltIn_Print_Area_9_1_14_4">#REF!</definedName>
    <definedName name="Indra">#REF!</definedName>
    <definedName name="小計">#REF!</definedName>
    <definedName name="Individual_YTD">#REF!</definedName>
    <definedName name="Excel_BuiltIn_Print_Area_5_1_1_17_2">#REF!</definedName>
    <definedName name="__sch2">#REF!</definedName>
    <definedName name="Bn">#REF!</definedName>
    <definedName name="Excel_BuiltIn_Print_Area_12_1_1_1_27">#REF!</definedName>
    <definedName name="________dol12">#REF!</definedName>
    <definedName name="Excel_BuiltIn_Print_Area_18_1_16">#REF!</definedName>
    <definedName name="btb_musd">#REF!</definedName>
    <definedName name="____del1">#REF!</definedName>
    <definedName name="__CFB2">#REF!</definedName>
    <definedName name="__LMH1">#REF!</definedName>
    <definedName name="ErectionPckg_2">#REF!</definedName>
    <definedName name="EM_031_1">#REF!</definedName>
    <definedName name="inter">#REF!</definedName>
    <definedName name="Fst">#REF!</definedName>
    <definedName name="____________________________________________________in18900">#REF!</definedName>
    <definedName localSheetId="8" name="____________drg1">#REF!</definedName>
    <definedName name="EM_059_18">#REF!</definedName>
    <definedName name="Excel_BuiltIn_Print_Area_12_1_16_2">#REF!</definedName>
    <definedName name="XRefCopy6">#REF!</definedName>
    <definedName name="_____________VS2004">#REF!</definedName>
    <definedName name="XRefCopy15Row">#REF!</definedName>
    <definedName name="CoeftMatIDR">#REF!</definedName>
    <definedName name="Excel_BuiltIn_Print_Area_12_1_1_20_16">#REF!</definedName>
    <definedName name="Rlead">#REF!</definedName>
    <definedName name="EM_028_10">#REF!</definedName>
    <definedName name="HI">#REF!</definedName>
    <definedName name="Edistr_SS">#REF!</definedName>
    <definedName name="EM_011_11">#REF!</definedName>
    <definedName name="Excel_BuiltIn_Print_Area_2_1_8_2">#REF!</definedName>
    <definedName name="Excel_BuiltIn_Print_Area_4_1_1_11_2">#REF!</definedName>
    <definedName name="_AXX4">#REF!</definedName>
    <definedName localSheetId="8" name="___________A655600">#REF!</definedName>
    <definedName name="Excel_BuiltIn_Print_Area_28_15_4">#REF!</definedName>
    <definedName name="SER_TAX">#REF!</definedName>
    <definedName name="AuxRelay">#REF!</definedName>
    <definedName localSheetId="8" name="jjj">#REF!</definedName>
    <definedName name="__________a999999">#REF!</definedName>
    <definedName name="__CCT220">#REF!</definedName>
    <definedName name="__SDF2">#REF!</definedName>
    <definedName name="Excel_BuiltIn_Print_Area_9_1_16_27">#REF!</definedName>
    <definedName name="____4___123Graph_ACHART_1">#REF!</definedName>
    <definedName localSheetId="8" name="____xlnm.Print_Area_11">#REF!</definedName>
    <definedName name="pImcc.1">#REF!</definedName>
    <definedName localSheetId="8" name="sheet1">#REF!</definedName>
    <definedName name="Excel_BuiltIn_Print_Area_14_1_9_27">#REF!</definedName>
    <definedName name="원가">#REF!</definedName>
    <definedName name="FIN_MAT">#REF!</definedName>
    <definedName name="ZY">#REF!</definedName>
    <definedName name="Hlp">#REF!</definedName>
    <definedName name="_Key1">#REF!</definedName>
    <definedName name="Excel_BuiltIn_Print_Area_12_1_1_11">#REF!</definedName>
    <definedName name="Excel_BuiltIn_Print_Area_3_1_12">#REF!</definedName>
    <definedName name="Excel_BuiltIn_Print_Area_12_1_15_4">#REF!</definedName>
    <definedName name="Excel_BuiltIn_Print_Area_10_1_11_27">#REF!</definedName>
    <definedName name="Excel_BuiltIn_Print_Area_9_1_10_27">#REF!</definedName>
    <definedName name="_HM10">#REF!</definedName>
    <definedName name="EM_014_1">#REF!</definedName>
    <definedName name="EM_019_5">#REF!</definedName>
    <definedName name="fri">#REF!</definedName>
    <definedName name="EM_002_11">#REF!</definedName>
    <definedName name="____xlnm._FilterDatabase_3">#REF!</definedName>
    <definedName name="Excel_BuiltIn_Print_Area_4_1_1_11_27">#REF!</definedName>
    <definedName name="cf_musd">#REF!</definedName>
    <definedName name="Excel_BuiltIn_Print_Area_2_1_1_1_1_1_1_1_1_1_1">#REF!</definedName>
    <definedName name="SelectD1OrC1">#REF!</definedName>
    <definedName name="__17__123Graph_BCHART_1">#REF!</definedName>
    <definedName name="ACTN">#REF!</definedName>
    <definedName name="EM_021_16">#REF!</definedName>
    <definedName name="Excel_BuiltIn_Print_Area_4_1_1_15_27">#REF!</definedName>
    <definedName name="Excel_BuiltIn_Print_Area_5_1_1_8">#REF!</definedName>
    <definedName name="_hfi1">#REF!</definedName>
    <definedName name="LOA">#REF!</definedName>
    <definedName name="EM_006_5">#REF!</definedName>
    <definedName name="______________________iv19000">#REF!</definedName>
    <definedName name="__run2">#REF!</definedName>
    <definedName name="______________________________________________in18900">#REF!</definedName>
    <definedName name="Excel_BuiltIn_Print_Area_11_1_27">#REF!</definedName>
    <definedName name="Excel_BuiltIn_Print_Area_7_1_1_16_2">#REF!</definedName>
    <definedName name="Excel_BuiltIn_Print_Area_28_27">#REF!</definedName>
    <definedName name="___SDF2">#REF!</definedName>
    <definedName name="Excel_BuiltIn_Print_Area_2_1_1_1_20_4">#REF!</definedName>
    <definedName name="____xlnm.Print_Titles">#REF!</definedName>
    <definedName name="A_A">#REF!</definedName>
    <definedName name="EM_039_15">#REF!</definedName>
    <definedName name="Code">#REF!</definedName>
    <definedName name="m2_e_f">#REF!</definedName>
    <definedName name="excavtion_offset">#REF!</definedName>
    <definedName localSheetId="8" name="PRINT_AREA_MI">#REF!</definedName>
    <definedName name="Excel_BuiltIn_Print_Area_17_1_1_20">#REF!</definedName>
    <definedName name="Excel_BuiltIn_Print_Area_4_1_9_4">#REF!</definedName>
    <definedName name="_______xlnm.Print_Area_13">#REF!</definedName>
    <definedName name="Excel_BuiltIn_Print_Area_8_1_1_7">#REF!</definedName>
    <definedName name="En">#REF!</definedName>
    <definedName name="Excel_BuiltIn_Print_Area_7_1_15_4">#REF!</definedName>
    <definedName name="Excel_BuiltIn_Print_Area_12_1_2_27">#REF!</definedName>
    <definedName name="hhhhhhhh">#REF!</definedName>
    <definedName name="_________g1">#REF!</definedName>
    <definedName name="XRefPaste37">#REF!</definedName>
    <definedName name="ㅣ814">#REF!</definedName>
    <definedName name="_TR315">#REF!</definedName>
    <definedName name="_V">#REF!</definedName>
    <definedName name="GROUPX">#REF!</definedName>
    <definedName name="________________________________in18900">#REF!</definedName>
    <definedName name="asfsd">#REF!</definedName>
    <definedName name="__________________________________IDA1">#REF!</definedName>
    <definedName name="_17Excel_BuiltIn_Print_Titles_4_1">#REF!</definedName>
    <definedName name="CD_HW">#REF!</definedName>
    <definedName name="PhaseCode">#REF!</definedName>
    <definedName name="_________xlnm._FilterDatabase_2">#REF!</definedName>
    <definedName name="Excel_BuiltIn_Print_Area_12_1_3_16">#REF!</definedName>
    <definedName name="LAMP___13">#REF!</definedName>
    <definedName name="p1abbfdr">#REF!</definedName>
    <definedName name="Excel_BuiltIn_Print_Area_12_1_1_10_27">#REF!</definedName>
    <definedName name="____________aoc3">#REF!</definedName>
    <definedName name="_SAP5">#REF!</definedName>
    <definedName name="__SAP5">#REF!</definedName>
    <definedName name="_3____________123Graph_CCHART_1">#REF!</definedName>
    <definedName name="Excel_BuiltIn_Print_Area_8_1_14_4">#REF!</definedName>
    <definedName name="___xlnm.Print_Area_2">#REF!</definedName>
    <definedName name="E_T">#REF!</definedName>
    <definedName name="clt">#REF!</definedName>
    <definedName name="PS">#REF!</definedName>
    <definedName name="____run3">#REF!</definedName>
    <definedName name="Excel_BuiltIn_Print_Area_28_5">#REF!</definedName>
    <definedName name="ms">#REF!</definedName>
    <definedName name="한강진">#REF!</definedName>
    <definedName name="Excel_BuiltIn_Print_Area_4_1_1_16_1">#REF!</definedName>
    <definedName name="BD1StateInd">#REF!</definedName>
    <definedName name="Excel_BuiltIn_Print_Area_5_1_2_2">#REF!</definedName>
    <definedName name="__bct75">#REF!</definedName>
    <definedName name="BD1HC">#REF!</definedName>
    <definedName name="A13____0">#REF!</definedName>
    <definedName name="EM_028_6">#REF!</definedName>
    <definedName name="Excel_BuiltIn_Print_Area_13_1_5_2">#REF!</definedName>
    <definedName name="DelDm">#REF!</definedName>
    <definedName name="Excel_BuiltIn_Print_Area_15_1_2_16">#REF!</definedName>
    <definedName name="HR">#REF!</definedName>
    <definedName name="__Ki1">#REF!</definedName>
    <definedName name="MARGINPLAN">#REF!</definedName>
    <definedName name="XRefPaste26Row">#REF!</definedName>
    <definedName name="ConstEqt_Cost_002FC">#REF!</definedName>
    <definedName name="Excel_BuiltIn_Print_Area_13_1_6_4">#REF!</definedName>
    <definedName name="_________________________________dol12">#REF!</definedName>
    <definedName name="CAPA33">#REF!</definedName>
    <definedName name="cee">#REF!</definedName>
    <definedName name="_3Excel_BuiltIn_Print_Titles_3_1">#REF!</definedName>
    <definedName name="d___13">#REF!</definedName>
    <definedName name="______________________dol12">#REF!</definedName>
    <definedName name="Excel_BuiltIn_Print_Area_17_1_1_20_2">#REF!</definedName>
    <definedName name="___new1">#REF!</definedName>
    <definedName name="___xlfn_SUMIFS">#REF!</definedName>
    <definedName name="EP_Per_Key">#REF!</definedName>
    <definedName name="SS421_422">#REF!</definedName>
    <definedName name="CRP_Barelliey">#REF!</definedName>
    <definedName name="Excel_BuiltIn_Print_Area_8_1_1_12_2">#REF!</definedName>
    <definedName name="XREF_COLUMN_13">#REF!</definedName>
    <definedName name="______DAT12">#REF!</definedName>
    <definedName name="red">#REF!</definedName>
    <definedName name="FI_SITEHW">#REF!</definedName>
    <definedName name="Excel_BuiltIn_Print_Area_29_16_27">#REF!</definedName>
    <definedName name="agedump">#REF!</definedName>
    <definedName name="Excel_BuiltIn_Print_Area_5_1_1_3_16">#REF!</definedName>
    <definedName name="Excel_BuiltIn_Print_Area_17_1_1_5_2">#REF!</definedName>
    <definedName name="___________________xlnm.Print_Area_2">#REF!</definedName>
    <definedName name="______kd3">#REF!</definedName>
    <definedName name="_pdp1">#REF!</definedName>
    <definedName name="Excel_BuiltIn_Print_Area_29_3_16">#REF!</definedName>
    <definedName name="End_Bal">#REF!</definedName>
    <definedName name="_14BS">#REF!</definedName>
    <definedName name="Excel_BuiltIn_Print_Area_13_1_15">#REF!</definedName>
    <definedName name="Excel_BuiltIn_Print_Area_10">#REF!</definedName>
    <definedName name="EM_023_2">#REF!</definedName>
    <definedName name="___Rl1">#REF!</definedName>
    <definedName name="Ex_Rate_LC_per_FC">#REF!</definedName>
    <definedName name="____________________________________________________iv19000">#REF!</definedName>
    <definedName name="Excel_BuiltIn_Print_Area_29_11_16">#REF!</definedName>
    <definedName name="_RE96">#REF!</definedName>
    <definedName name="___SAP5">#REF!</definedName>
    <definedName name="__sit75">#REF!</definedName>
    <definedName name="Excel_BuiltIn_Print_Area_2_1_14">#REF!</definedName>
    <definedName name="EM_025_14">#REF!</definedName>
    <definedName name="_________________________________________________________dol12">#REF!</definedName>
    <definedName name="PCC_Offset">#REF!</definedName>
    <definedName localSheetId="8" name="print1">#REF!</definedName>
    <definedName name="Excel_BuiltIn_Print_Area_12_1_11_27">#REF!</definedName>
    <definedName name="____________________xlnm.Print_Area_2">#REF!</definedName>
    <definedName name="amin">#REF!</definedName>
    <definedName name="SS_COU">#REF!</definedName>
    <definedName localSheetId="8" name="___SS402">#REF!</definedName>
    <definedName name="_R1">#REF!</definedName>
    <definedName name="Excel_BuiltIn_Print_Area_29_12_4">#REF!</definedName>
    <definedName name="_____a655601">#REF!</definedName>
    <definedName name="lc350mcfdr">#REF!</definedName>
    <definedName name="_________xlnm._FilterDatabase_4">#REF!</definedName>
    <definedName name="EM_009_4">#REF!</definedName>
    <definedName name="Excel_BuiltIn_Print_Area_5_14_16">#REF!</definedName>
    <definedName name="Excel_BuiltIn_Print_Area_8_1_1">#REF!</definedName>
    <definedName name="________________________________________iv19000">#REF!</definedName>
    <definedName name="rani">#REF!</definedName>
    <definedName name="FC">#REF!</definedName>
    <definedName name="Excel_BuiltIn_Print_Area_6_1_11_16">#REF!</definedName>
    <definedName name="TEST4">#REF!</definedName>
    <definedName name="_____kd2">#REF!</definedName>
    <definedName name="__xlnm.Print_Area_3">#REF!</definedName>
    <definedName name="BL2CC">#REF!</definedName>
    <definedName name="sii">#REF!</definedName>
    <definedName name="EM_007_13">#REF!</definedName>
    <definedName name="Excel_BuiltIn_Print_Area_2_1_1_1_9_16">#REF!</definedName>
    <definedName name="Excel_BuiltIn_Print_Area_12_1_1_8_2">#REF!</definedName>
    <definedName name="________________A91614">#REF!</definedName>
    <definedName name="__________________xlnm.Print_Area_3">#REF!</definedName>
    <definedName name="EM_026_3">#REF!</definedName>
    <definedName name="______________________TAB1">#REF!</definedName>
    <definedName name="Fv">#REF!</definedName>
    <definedName name="TTX">#REF!</definedName>
    <definedName name="______________iv19000">#REF!</definedName>
    <definedName name="Excel_BuiltIn_Print_Area_17_1_1_15_27">#REF!</definedName>
    <definedName name="Excel_BuiltIn_Print_Area_2_1_1_1_1_1_1_4">#REF!</definedName>
    <definedName name="LAMP">#REF!</definedName>
    <definedName name="dcrwk4">#REF!</definedName>
    <definedName name="___a655601">#REF!</definedName>
    <definedName name="___CTR220">#REF!</definedName>
    <definedName name="Excel_BuiltIn_Print_Area_2_1_1_1_1_27">#REF!</definedName>
    <definedName name="p1ssb1">#REF!</definedName>
    <definedName name="___________________________iv19000">#REF!</definedName>
    <definedName name="SCHEDULE_NO_10">#REF!</definedName>
    <definedName name="_______xlnm.Print_Area_5">#REF!</definedName>
    <definedName name="Excel_BuiltIn_Print_Area_16_1_1_3_4">#REF!</definedName>
    <definedName name="BOLT">#REF!</definedName>
    <definedName name="pH___0">#REF!</definedName>
    <definedName name="EM_012_17">#REF!</definedName>
    <definedName name="ETC_CST_HDG">#REF!</definedName>
    <definedName name="EM_020_1">#REF!</definedName>
    <definedName name="Excel_BuiltIn_Print_Area_2_1_1_4">#REF!</definedName>
    <definedName name="________lb2">#REF!</definedName>
    <definedName name="___hxa2">#REF!</definedName>
    <definedName name="ss9_ic_w">#REF!</definedName>
    <definedName name="Excel_BuiltIn_Print_Area_29_16_1">#REF!</definedName>
    <definedName name="Excel_BuiltIn_Print_Area_6_1_1_4">#REF!</definedName>
    <definedName name="Excel_BuiltIn_Print_Area_7_1_1_8_2">#REF!</definedName>
    <definedName name="__________________________________xlnm.Print_Area_1">#REF!</definedName>
    <definedName localSheetId="8" name="WFR">#REF!</definedName>
    <definedName name="Formula">#REF!</definedName>
    <definedName name="lcs">#REF!</definedName>
    <definedName name="EM_028_1">#REF!</definedName>
    <definedName name="EM_069_17">#REF!</definedName>
    <definedName name="PATHLA3">#REF!</definedName>
    <definedName name="Excel_BuiltIn_Print_Area_2_1_1_1_7_2">#REF!</definedName>
    <definedName name="Et___0">#REF!</definedName>
    <definedName name="Excel_BuiltIn_Print_Area_4_1_1_15_4">#REF!</definedName>
    <definedName name="m8_e_v">#REF!</definedName>
    <definedName name="Excel_BuiltIn_Print_Area_2_1_1_20_2">#REF!</definedName>
    <definedName name="__________________________b111121">#REF!</definedName>
    <definedName name="hhmm">#REF!</definedName>
    <definedName name="__bhh2">#REF!</definedName>
    <definedName name="XRefPaste14Row">#REF!</definedName>
    <definedName name="ss9_cond_w">#REF!</definedName>
    <definedName name="__aoc3">#REF!</definedName>
    <definedName name="______drg1">#REF!</definedName>
    <definedName name="p12i1bc8f">#REF!</definedName>
    <definedName name="p1upsip">#REF!</definedName>
    <definedName name="rts">#REF!</definedName>
    <definedName name="EM_003_16">#REF!</definedName>
    <definedName name="Excel_BuiltIn_Print_Area_2_1_1_7_2">#REF!</definedName>
    <definedName name="project_lookup">#REF!</definedName>
    <definedName name="ch_area1">#REF!</definedName>
    <definedName name="RUPEES">#REF!</definedName>
    <definedName name="_C___13">#REF!</definedName>
    <definedName localSheetId="8" name="hkg">#REF!</definedName>
    <definedName name="Excel_BuiltIn_Print_Area_9_1_3_16">#REF!</definedName>
    <definedName localSheetId="8" name="qq">#REF!</definedName>
    <definedName name="Excel_BuiltIn_Print_Area_2_1_1_1_12">#REF!</definedName>
    <definedName name="Value22">#REF!</definedName>
    <definedName name="Excel_BuiltIn_Print_Titles_9_1">#REF!</definedName>
    <definedName name="Excel_BuiltIn_Print_Area_16_1_3_16">#REF!</definedName>
    <definedName name="DFHGFKLJHG">#REF!</definedName>
    <definedName name="Excel_BuiltIn_Print_Area_4_1_20_16">#REF!</definedName>
    <definedName name="Excel_BuiltIn_Print_Area_15_1_3_4">#REF!</definedName>
    <definedName name="fwi">#REF!</definedName>
    <definedName name="XRefCopy43Row">#REF!</definedName>
    <definedName name="_____iv19000">#REF!</definedName>
    <definedName name="Excel_BuiltIn_Print_Area_5_16_4">#REF!</definedName>
    <definedName name="Excel_BuiltIn_Print_Area_7_1_1_27">#REF!</definedName>
    <definedName name="PKGFRD_SW">#REF!</definedName>
    <definedName name="XRefCopy65Row">#REF!</definedName>
    <definedName name="ere">#REF!</definedName>
    <definedName name="_hfi8">#REF!</definedName>
    <definedName name="ＨＭ_ＨＥ_合__計">#REF!</definedName>
    <definedName name="MANU22">#REF!</definedName>
    <definedName name="______mlc33">#REF!</definedName>
    <definedName name="XRefCopy28Row">#REF!</definedName>
    <definedName name="___pep99">#REF!</definedName>
    <definedName name="__cff2">#REF!</definedName>
    <definedName name="BaseCement">#REF!</definedName>
    <definedName name="EM_030_1">#REF!</definedName>
    <definedName name="BILLNOWISE">#REF!</definedName>
    <definedName name="Excel_BuiltIn_Print_Area_14_1_4">#REF!</definedName>
    <definedName name="Excel_BuiltIn_Print_Area_4_1_3_2">#REF!</definedName>
    <definedName name="Excel_BuiltIn_Print_Area_6_1_12_4">#REF!</definedName>
    <definedName name="RODS">#REF!</definedName>
    <definedName name="Excel_BuiltIn_Print_Area_15_1_14_16">#REF!</definedName>
    <definedName name="StrID">#REF!</definedName>
    <definedName name="__xlnm.Print_Area_1">#REF!</definedName>
    <definedName name="fill">#REF!</definedName>
    <definedName name="___VS2004">#REF!</definedName>
    <definedName name="ZSS">#REF!</definedName>
    <definedName name="BL4A">#REF!</definedName>
    <definedName name="Excel_BuiltIn_Print_Area_5_1_1_17_27">#REF!</definedName>
    <definedName name="BL2A2">#REF!</definedName>
    <definedName name="EM_017_1">#REF!</definedName>
    <definedName name="m8_gtax_f">#REF!</definedName>
    <definedName name="progress4">#REF!</definedName>
    <definedName name="XRefCopy48Row">#REF!</definedName>
    <definedName name="Excel_BuiltIn_Print_Area_12_1_1_16_27">#REF!</definedName>
    <definedName name="EM_074_14">#REF!</definedName>
    <definedName name="Bxx">#REF!</definedName>
    <definedName name="Excel_BuiltIn_Print_Area_8_1_8">#REF!</definedName>
    <definedName name="SCADA">#REF!</definedName>
    <definedName name="flow">#REF!</definedName>
    <definedName name="______xlnm.Print_Titles_7">#REF!</definedName>
    <definedName name="Excel_BuiltIn_Print_Area_11_1_17_16">#REF!</definedName>
    <definedName name="WFR">#REF!</definedName>
    <definedName name="_____lb2">#REF!</definedName>
    <definedName name="wwww">#REF!</definedName>
    <definedName name="p1mcc14">#REF!</definedName>
    <definedName name="XRefPaste21">#REF!</definedName>
    <definedName name="DCARRAY">#REF!</definedName>
    <definedName name="Excel_BuiltIn_Print_Area_28_14_16">#REF!</definedName>
    <definedName name="Excel_BuiltIn_Print_Area_11_1_10_4">#REF!</definedName>
    <definedName name="_18Excel_BuiltIn_Print_Area_3_1_1_1_1">#REF!</definedName>
    <definedName name="Excel_BuiltIn_Print_Area_16_1_8_2">#REF!</definedName>
    <definedName name="Excel_BuiltIn_Print_Area_29_4">#REF!</definedName>
    <definedName name="FRRRRR">#REF!</definedName>
    <definedName name="EM_003_1">#REF!</definedName>
    <definedName name="____________________________xlnm.Print_Titles_1">#REF!</definedName>
    <definedName name="__________________________dol6">#REF!</definedName>
    <definedName name="_____Rl1">#REF!</definedName>
    <definedName name="Package2">#REF!</definedName>
    <definedName name="PRINT_AREA_MI">#REF!</definedName>
    <definedName name="__cli2">#REF!</definedName>
    <definedName name="RCS">#REF!</definedName>
    <definedName name="SandI_Mth">#REF!</definedName>
    <definedName name="EM_029_2">#REF!</definedName>
    <definedName name="EM_030_12">#REF!</definedName>
    <definedName name="Excel_BuiltIn_Print_Area_2_1_1_3_4">#REF!</definedName>
    <definedName name="Excel_BuiltIn_Print_Area_12_1_1_6_27">#REF!</definedName>
    <definedName name="Excel_BuiltIn_Print_Area_29_10_16">#REF!</definedName>
    <definedName name="XRefPaste51Row">#REF!</definedName>
    <definedName name="eml">#REF!</definedName>
    <definedName name="PriceEach">#REF!</definedName>
    <definedName name="_DAT2">#REF!</definedName>
    <definedName localSheetId="8" name="kb">#REF!</definedName>
    <definedName name="_HFI7">#REF!</definedName>
    <definedName name="PATHJVPR11">#REF!</definedName>
    <definedName name="BL3B">#REF!</definedName>
    <definedName name="MC_ABB_peenya">#REF!</definedName>
    <definedName name="DATA_22">#REF!</definedName>
    <definedName name="OPTION5">#REF!</definedName>
    <definedName name="___________cem124">#REF!</definedName>
    <definedName name="Excel_BuiltIn_Print_Area_29_1">#REF!</definedName>
    <definedName name="HANDL">#REF!</definedName>
    <definedName name="Excel_BuiltIn_Print_Area_3_1_12_16">#REF!</definedName>
    <definedName name="________xlnm.Print_Titles_7">#REF!</definedName>
    <definedName name="Description">#REF!</definedName>
    <definedName name="CalcAgencyPrice">#REF!</definedName>
    <definedName name="_____A81614">#REF!</definedName>
    <definedName name="LTR_1">#REF!</definedName>
    <definedName name="XRefPaste4">#REF!</definedName>
    <definedName name="Excel_BuiltIn_Print_Area_16_1_3_4">#REF!</definedName>
    <definedName name="__________________________________________xlnm.Print_Area_1">#REF!</definedName>
    <definedName name="EH_002_10">#REF!</definedName>
    <definedName name="EM_002_17">#REF!</definedName>
    <definedName name="_ISO220">#REF!</definedName>
    <definedName name="Excel_BuiltIn_Print_Area_13_1_6_2">#REF!</definedName>
    <definedName name="Excel_BuiltIn_Print_Area_2_1_1_12_2">#REF!</definedName>
    <definedName name="Excel_BuiltIn_Print_Area_2_1_17_2">#REF!</definedName>
    <definedName name="Ds___13">#REF!</definedName>
    <definedName name="Excel_BuiltIn_Print_Area_10_1_10">#REF!</definedName>
    <definedName name="EM_012_18">#REF!</definedName>
    <definedName name="sdjghkkjhg">#REF!</definedName>
    <definedName name="___________________in18900">#REF!</definedName>
    <definedName name="Excel_BuiltIn_Print_Area_12_1_1_13_27">#REF!</definedName>
    <definedName name="Le">#REF!</definedName>
    <definedName name="kst_4.20">#REF!</definedName>
    <definedName name="job___0">#REF!</definedName>
    <definedName name="____DIS1">#REF!</definedName>
    <definedName name="m8_bop_w">#REF!</definedName>
    <definedName name="Excel_BuiltIn_Print_Area_28_2_1">#REF!</definedName>
    <definedName name="_____________xlnm.Print_Area_1">#REF!</definedName>
    <definedName name="Excel_BuiltIn_Print_Area_28_9_4">#REF!</definedName>
    <definedName name="Excel_BuiltIn_Print_Area_15_1_3_16">#REF!</definedName>
    <definedName name="Excel_BuiltIn_Print_Area_17_1_1_16_4">#REF!</definedName>
    <definedName name="_____CFB3">#REF!</definedName>
    <definedName name="_________________________________________xlnm.Print_Area_3">#REF!</definedName>
    <definedName name="____tl2">#REF!</definedName>
    <definedName name="Excel_BuiltIn_Print_Area_12_1_1_14_16">#REF!</definedName>
    <definedName name="Excel_BuiltIn_Print_Area_5_11_16">#REF!</definedName>
    <definedName name="Excel_BuiltIn_Print_Area_29_12_2">#REF!</definedName>
    <definedName name="EM_027_15">#REF!</definedName>
    <definedName name="___________________________xlnm.Print_Area_2">#REF!</definedName>
    <definedName name="LUX___13">#REF!</definedName>
    <definedName name="Excel_BuiltIn_Print_Area_15_1_16_27">#REF!</definedName>
    <definedName name="p1mcc4">#REF!</definedName>
    <definedName name="Excel_BuiltIn_Print_Area_15_1_1">#REF!</definedName>
    <definedName name="_HE02">#REF!</definedName>
    <definedName localSheetId="8" name="RFGF">#REF!</definedName>
    <definedName name="EM_018_12">#REF!</definedName>
    <definedName name="EM_024_16">#REF!</definedName>
    <definedName name="__run3">#REF!</definedName>
    <definedName name="K3V">#REF!</definedName>
    <definedName name="Excel_BuiltIn_Print_Area_2_1_6">#REF!</definedName>
    <definedName name="_______lb1">#REF!</definedName>
    <definedName name="Hz">#REF!</definedName>
    <definedName name="m8_ec_w">#REF!</definedName>
    <definedName name="Excel_BuiltIn_Print_Area_17_1_1_3_4">#REF!</definedName>
    <definedName name="ASSSSSSSSSSSSSSSSSSSSSSSS">#REF!</definedName>
    <definedName name="TSK">#REF!</definedName>
    <definedName name="Excel_BuiltIn_Print_Area_5_1_1_12_4">#REF!</definedName>
    <definedName name="EM_001_8">#REF!</definedName>
    <definedName name="Excel_BuiltIn_Print_Area_11_1_6">#REF!</definedName>
    <definedName name="______________________________dol6">#REF!</definedName>
    <definedName name="Excel_BuiltIn_Print_Area_28_13">#REF!</definedName>
    <definedName name="Line_3">#REF!</definedName>
    <definedName name="Excel_BuiltIn_Print_Area_19_1_16">#REF!</definedName>
    <definedName name="Excel_BuiltIn_Print_Area_14_1_5_2">#REF!</definedName>
    <definedName name="sm">#REF!</definedName>
    <definedName name="root2">#REF!</definedName>
    <definedName name="tw">#REF!</definedName>
    <definedName name="n2y">#REF!</definedName>
    <definedName name="____cem124">#REF!</definedName>
    <definedName name="DEBTORS">#REF!</definedName>
    <definedName name="mm">#REF!</definedName>
    <definedName name="EM_022_14">#REF!</definedName>
    <definedName name="_____DAT11">#REF!</definedName>
    <definedName name="Excel_BuiltIn_Print_Area_7_1_1_8_27">#REF!</definedName>
    <definedName name="EM_019_1">#REF!</definedName>
    <definedName name="간경1">#REF!</definedName>
    <definedName name="______DAT16">#REF!</definedName>
    <definedName name="EM_018_6">#REF!</definedName>
    <definedName name="Excel_BuiltIn_Print_Area_29_16_2">#REF!</definedName>
    <definedName name="July">#REF!</definedName>
    <definedName name="_hfi5">#REF!</definedName>
    <definedName name="XRefCopy13Row">#REF!</definedName>
    <definedName name="hysdqrate">#REF!</definedName>
    <definedName name="TR220FIRE">#REF!</definedName>
    <definedName name="VVVV">#REF!</definedName>
    <definedName name="Excel_BuiltIn_Print_Area_4_1_1_2_4">#REF!</definedName>
    <definedName name="GGF">#REF!</definedName>
    <definedName name="pccthk">#REF!</definedName>
    <definedName name="EM_003_15">#REF!</definedName>
    <definedName name="Excel_BuiltIn_Print_Area_16_1_15">#REF!</definedName>
    <definedName name="Excel_BuiltIn_Print_Area_7_1_1_8_4">#REF!</definedName>
    <definedName name="EM_012_3">#REF!</definedName>
    <definedName name="Excel_BuiltIn_Print_Titles_9_2">#REF!</definedName>
    <definedName name="TL_Oct">#REF!</definedName>
    <definedName name="wktable">#REF!</definedName>
    <definedName name="Excel_BuiltIn_Print_Area_19_1">#REF!</definedName>
    <definedName name="Excel_BuiltIn_Print_Area_7_1_1_11_27">#REF!</definedName>
    <definedName name="sffitting_idr">#REF!</definedName>
    <definedName name="price">#REF!</definedName>
    <definedName name="_Tk2">#REF!</definedName>
    <definedName name="EM_018_15">#REF!</definedName>
    <definedName name="ROLLFCCASHFLOW">#REF!</definedName>
    <definedName name="SCHEDULE_NO._4___UnSecured_Loans">#REF!</definedName>
    <definedName name="Excel_BuiltIn_Print_Area_5_15_4">#REF!</definedName>
    <definedName name="ss9_bop_v">#REF!</definedName>
    <definedName name="_____Wc1">#REF!</definedName>
    <definedName name="A_B">#REF!</definedName>
    <definedName name="EM_017_3">#REF!</definedName>
    <definedName name="Excel_BuiltIn_Print_Area_10_1_6_27">#REF!</definedName>
    <definedName name="XRefPaste31Row">#REF!</definedName>
    <definedName name="A7____13">#REF!</definedName>
    <definedName name="BD1P_leave">#REF!</definedName>
    <definedName name="Excel_BuiltIn_Print_Area_3_1_16_1">#REF!</definedName>
    <definedName name="Excel_BuiltIn_Print_Area_15_1_12_16">#REF!</definedName>
    <definedName name="Excel_BuiltIn_Print_Area_17_1_8_27">#REF!</definedName>
    <definedName name="Excel_BuiltIn_Print_Area_28_7_2">#REF!</definedName>
    <definedName name="______mm3">#REF!</definedName>
    <definedName name="PAGE3">#REF!</definedName>
    <definedName name="_6Excel_BuiltIn_Print_Area_4_1_1">#REF!</definedName>
    <definedName name="EM_034_15">#REF!</definedName>
    <definedName name="______________TAB1">#REF!</definedName>
    <definedName name="dfsdf">#REF!</definedName>
    <definedName name="gn">#REF!</definedName>
    <definedName name="werwer">#REF!</definedName>
    <definedName name="EB_Total">#REF!</definedName>
    <definedName name="Excel_BuiltIn_Print_Area_15_1_5_16">#REF!</definedName>
    <definedName name="ced_tr">#REF!</definedName>
    <definedName name="__acs2">#REF!</definedName>
    <definedName name="Excel_BuiltIn_Print_Area_2_1_9_27">#REF!</definedName>
    <definedName name="XRefCopy50">#REF!</definedName>
    <definedName name="XRefPaste34">#REF!</definedName>
    <definedName name="_lb1">#REF!</definedName>
    <definedName name="EM_074_18">#REF!</definedName>
    <definedName name="m2_fuel_v">#REF!</definedName>
    <definedName name="___18__123Graph_CCHART_1">#REF!</definedName>
    <definedName name="__axx5">#REF!</definedName>
    <definedName name="dfdf">#REF!</definedName>
    <definedName name="Excel_BuiltIn__FilterDatabase_31_27">#REF!</definedName>
    <definedName name="PAGE6">#REF!</definedName>
    <definedName name="EP_Avg_WC_Key">#REF!</definedName>
    <definedName name="ho___13">#REF!</definedName>
    <definedName name="IE_Avg_Stk">#REF!</definedName>
    <definedName name="Excel_BuiltIn_Print_Area_14_1_17_2">#REF!</definedName>
    <definedName localSheetId="8" name="FDN">#REF!</definedName>
    <definedName name="EM_019_13">#REF!</definedName>
    <definedName name="Excel_BuiltIn_Print_Area_29_14_27">#REF!</definedName>
    <definedName name="Excel_BuiltIn_Print_Area_3_1_16">#REF!</definedName>
    <definedName name="m8_st_f">#REF!</definedName>
    <definedName name="_4Excel_BuiltIn_Print_Area_4_1_1_1">#REF!</definedName>
    <definedName name="EM_002_8">#REF!</definedName>
    <definedName name="HV">#REF!</definedName>
    <definedName name="ss8_ct_v">#REF!</definedName>
    <definedName name="mss">#REF!</definedName>
    <definedName name="EM_016_2">#REF!</definedName>
    <definedName name="period_selected">#REF!</definedName>
    <definedName name="Y">#REF!</definedName>
    <definedName name="TL_OI_Cust">#REF!</definedName>
    <definedName name="_____INT1">#REF!</definedName>
    <definedName name="_b111121">#REF!</definedName>
    <definedName name="cl33kv">#REF!</definedName>
    <definedName name="Excel_BuiltIn_Print_Area_13_1_16_1">#REF!</definedName>
    <definedName name="zptb">#REF!</definedName>
    <definedName name="____SS402">#REF!</definedName>
    <definedName name="Excel_BuiltIn_Print_Area_16_1_15_16">#REF!</definedName>
    <definedName name="________________m234">#REF!</definedName>
    <definedName name="Excel_BuiltIn_Print_Area_9_1_12_2">#REF!</definedName>
    <definedName name="EM_020_17">#REF!</definedName>
    <definedName name="______________b111121">#REF!</definedName>
    <definedName name="__DAT9">#REF!</definedName>
    <definedName name="_18__123Graph_CCHART_1">#REF!</definedName>
    <definedName name="_HM12">#REF!</definedName>
    <definedName name="Excel_BuiltIn_Print_Area_2_1_1_9_2">#REF!</definedName>
    <definedName name="Excel_BuiltIn_Print_Area_5_1_2">#REF!</definedName>
    <definedName name="_______xlnm._FilterDatabase_1">#REF!</definedName>
    <definedName name="______________________xlnm.Print_Area_3">#REF!</definedName>
    <definedName name="sscost_config1">#REF!</definedName>
    <definedName name="ProjectTitle">#REF!</definedName>
    <definedName name="___________________________________________xlnm.Print_Area_3">#REF!</definedName>
    <definedName name="_______m234">#REF!</definedName>
    <definedName name="M2A_KPI2">#REF!</definedName>
    <definedName name="revstatuspage2">#REF!</definedName>
    <definedName name="adfa">#REF!</definedName>
    <definedName name="check_OOHLT">#REF!</definedName>
    <definedName name="Excel_BuiltIn_Print_Area_7_1_13_27">#REF!</definedName>
    <definedName name="____m20">#REF!</definedName>
    <definedName name="m2_gt_f">#REF!</definedName>
    <definedName name="Excel_BuiltIn_Print_Area_15_1_17_27">#REF!</definedName>
    <definedName name="Excel_BuiltIn_Print_Area_11_1_3_16">#REF!</definedName>
    <definedName name="Excel_BuiltIn_Print_Area_28_7_16">#REF!</definedName>
    <definedName name="Typerate">#REF!</definedName>
    <definedName name="Xl">#REF!</definedName>
    <definedName name="Excel_BuiltIn_Print_Area_2_1_1_1_4_1">#REF!</definedName>
    <definedName name="Excel_BuiltIn_Print_Area_3_1_17">#REF!</definedName>
    <definedName name="____xlnm._FilterDatabase">#REF!</definedName>
    <definedName name="MC_FIMHW">#REF!</definedName>
    <definedName name="___________xlnm.Print_Area_6">#REF!</definedName>
    <definedName name="__tl2">#REF!</definedName>
    <definedName name="Excel_BuiltIn_Print_Area_15_1_1_2">#REF!</definedName>
    <definedName name="_______pep99">#REF!</definedName>
    <definedName name="agrP">#REF!</definedName>
    <definedName name="Proffees">#REF!</definedName>
    <definedName name="_PLC220">#REF!</definedName>
    <definedName name="X2G">#REF!</definedName>
    <definedName name="PRINT_TITLES_MI">#REF!</definedName>
    <definedName name="____wp1">#REF!</definedName>
    <definedName name="EM_034_8">#REF!</definedName>
    <definedName name="Forecast_Receivables">#REF!</definedName>
    <definedName name="P4R">#REF!</definedName>
    <definedName name="_______iv19000">#REF!</definedName>
    <definedName name="Excel_BuiltIn_Print_Area_17_1_17_27">#REF!</definedName>
    <definedName name="Total_YTD">#REF!</definedName>
    <definedName name="______PAN2">#REF!</definedName>
    <definedName name="Admixture">#REF!</definedName>
    <definedName name="EM_011_18">#REF!</definedName>
    <definedName name="XRefCopy44">#REF!</definedName>
    <definedName name="ED_list1">#REF!</definedName>
    <definedName name="XRefCopy62">#REF!</definedName>
    <definedName name="Excel_BuiltIn_Print_Titles_5">#REF!</definedName>
    <definedName name="__ZS1">#REF!</definedName>
    <definedName name="carpet">#REF!</definedName>
    <definedName localSheetId="8" name="De">#REF!</definedName>
    <definedName localSheetId="8" name="___MAN1">#REF!</definedName>
    <definedName name="MUNON">#REF!</definedName>
    <definedName name="Puz">#REF!</definedName>
    <definedName name="Excel_BuiltIn_Print_Titles_6">#REF!</definedName>
    <definedName name="EP_OI_IU">#REF!</definedName>
    <definedName name="Int_CFsheet">#REF!</definedName>
    <definedName name="SC_percentage">#REF!</definedName>
    <definedName localSheetId="8" name="______CFB1">#REF!</definedName>
    <definedName name="Excel_BuiltIn_Print_Area_5_1_1_13_4">#REF!</definedName>
    <definedName name="T4_">#REF!</definedName>
    <definedName name="TEST0">#REF!</definedName>
    <definedName name="______run3">#REF!</definedName>
    <definedName name="__________________dol12">#REF!</definedName>
    <definedName name="______4___123Graph_ACHART_1">#REF!</definedName>
    <definedName name="Excel_BuiltIn_Print_Area_15_1_6_16">#REF!</definedName>
    <definedName name="EM_026_18">#REF!</definedName>
    <definedName name="XREF_COLUMN_1">#REF!</definedName>
    <definedName name="ISO2E220">#REF!</definedName>
    <definedName name="______________________________________xlnm.Print_Titles_1">#REF!</definedName>
    <definedName name="BaseI1">#REF!</definedName>
    <definedName name="m8_civ_w">#REF!</definedName>
    <definedName name="wndf">#REF!</definedName>
    <definedName name="_______________TAB1">#REF!</definedName>
    <definedName name="ADFFG">#REF!</definedName>
    <definedName name="F">#REF!</definedName>
    <definedName name="dhgh">#REF!</definedName>
    <definedName name="oh">#REF!</definedName>
    <definedName name="Quantity">#REF!</definedName>
    <definedName name="Excel_BuiltIn_Print_Area_5_1_9_16">#REF!</definedName>
    <definedName name="IG0.48">#REF!</definedName>
    <definedName name="Instrument_Index">#REF!</definedName>
    <definedName name="Excel_BuiltIn_Print_Area_12_1_1_16_1">#REF!</definedName>
    <definedName name="ss9_e_f">#REF!</definedName>
    <definedName name="PKG_NO">#REF!</definedName>
    <definedName name="Excel_BuiltIn_Print_Area_10_1_4_1">#REF!</definedName>
    <definedName name="Agr6mm">#REF!</definedName>
    <definedName name="M10cement">#REF!</definedName>
    <definedName name="Z0s">#REF!</definedName>
    <definedName name="Nsu">#REF!</definedName>
    <definedName name="ss9_gt_v">#REF!</definedName>
    <definedName name="dsdf">#REF!</definedName>
    <definedName name="Excel_BuiltIn_Print_Area_3_1_1_1_1_2_1">#REF!</definedName>
    <definedName name="Excel_BuiltIn_Print_Area_8_1_10_4">#REF!</definedName>
    <definedName name="PATH33">#REF!</definedName>
    <definedName name="_A71614">#REF!</definedName>
    <definedName name="EM_003_4">#REF!</definedName>
    <definedName name="Excel_BuiltIn_Print_Area_4_1_2_27">#REF!</definedName>
    <definedName name="___________tab1">#REF!</definedName>
    <definedName name="Excel_BuiltIn_Print_Area_17_1_1_1_1_16">#REF!</definedName>
    <definedName name="MARGIN_MAT">#REF!</definedName>
    <definedName name="_DAT1">#REF!</definedName>
    <definedName name="XRefCopy24Row">#REF!</definedName>
    <definedName name="l_2">#REF!</definedName>
    <definedName name="QWEWEQ">#REF!</definedName>
    <definedName name="pa___13">#REF!</definedName>
    <definedName name="Excel_BuiltIn_Print_Area_8_1_8_4">#REF!</definedName>
    <definedName name="____WC3">#REF!</definedName>
    <definedName name="EM_019_6">#REF!</definedName>
    <definedName name="Excel_BuiltIn_Print_Area_16_1_1_7_4">#REF!</definedName>
    <definedName name="Excel_BuiltIn_Print_Area_4_1_1_10_27">#REF!</definedName>
    <definedName name="_________________iv19000">#REF!</definedName>
    <definedName name="sourceF">#REF!</definedName>
    <definedName name="EM_015_5">#REF!</definedName>
    <definedName name="sfmisc">#REF!</definedName>
    <definedName localSheetId="8" name="A.T.RAJAN">#REF!</definedName>
    <definedName name="Kh___13">#REF!</definedName>
    <definedName name="SATYA">#REF!</definedName>
    <definedName name="EM_035_10">#REF!</definedName>
    <definedName name="___acs1">#REF!</definedName>
    <definedName name="Excel_BuiltIn_Print_Area_8_1_1_20">#REF!</definedName>
    <definedName name="FCR">#REF!</definedName>
    <definedName name="_______SAP3">#REF!</definedName>
    <definedName name="_mhr2">#REF!</definedName>
    <definedName name="BD1Event">#REF!</definedName>
    <definedName name="________aoc1">#REF!</definedName>
    <definedName name="__sig4">#REF!</definedName>
    <definedName name="Excel_BuiltIn_Print_Area_5_1_5_4">#REF!</definedName>
    <definedName name="Excel_BuiltIn_Print_Area_12_1_5">#REF!</definedName>
    <definedName name="Excel_BuiltIn_Print_Area_7_1_5_4">#REF!</definedName>
    <definedName name="Qf___13">#REF!</definedName>
    <definedName name="___SS409">#REF!</definedName>
    <definedName name="DaRWk8">#REF!</definedName>
    <definedName name="___bhh2">#REF!</definedName>
    <definedName name="Excel_BuiltIn_Print_Area_2_1_12_27">#REF!</definedName>
    <definedName name="_______IDA1">#REF!</definedName>
    <definedName name="____8__123Graph_BCHART_1">#REF!</definedName>
    <definedName name="delta">#REF!</definedName>
    <definedName name="Rrelay">#REF!</definedName>
    <definedName name="MeanDepth_Inclusive_of_cover_sl._thk.">#REF!</definedName>
    <definedName name="QV_K">#REF!</definedName>
    <definedName name="ml33b1">#REF!</definedName>
    <definedName name="_tab2">#REF!</definedName>
    <definedName name="EM_070_16">#REF!</definedName>
    <definedName name="KARNA">#REF!</definedName>
    <definedName name="_______________m234">#REF!</definedName>
    <definedName name="Extra_Pay">#REF!</definedName>
    <definedName name="TEMP">#REF!</definedName>
    <definedName name="_19Excel_BuiltIn_Print_Area_2_1_1_1_1_1">#REF!</definedName>
    <definedName name="sort1">#REF!</definedName>
    <definedName name="CIF_AIC_local">#REF!</definedName>
    <definedName name="Frl">#REF!</definedName>
    <definedName name="Excel_BuiltIn_Print_Area_8_1_1_11_16">#REF!</definedName>
    <definedName name="Excel_BuiltIn_Print_Area_4_1_17_2">#REF!</definedName>
    <definedName name="PATHJVPR22">#REF!</definedName>
    <definedName name="rate1">#REF!</definedName>
    <definedName name="BL2AAA">#REF!</definedName>
    <definedName name="XRefCopy5">#REF!</definedName>
    <definedName name="_______SS403">#REF!</definedName>
    <definedName name="_13BS">#REF!</definedName>
    <definedName name="_drg1">#REF!</definedName>
    <definedName name="IE_Res_Key">#REF!</definedName>
    <definedName name="Excel_BuiltIn_Print_Area_2_1_1_12_27">#REF!</definedName>
    <definedName localSheetId="8" name="_____SS403">#REF!</definedName>
    <definedName name="Excel_BuiltIn_Print_Area_28_20_27">#REF!</definedName>
    <definedName name="UP">#REF!</definedName>
    <definedName name="Cf">#REF!</definedName>
    <definedName localSheetId="8" name="idb">#REF!</definedName>
    <definedName name="Fhwl">#REF!</definedName>
    <definedName localSheetId="8" name="hs">#REF!</definedName>
    <definedName name="QTY_AS_ON_APR_1">#REF!</definedName>
    <definedName name="EM_008_18">#REF!</definedName>
    <definedName name="PATHJV3">#REF!</definedName>
    <definedName name="k2s">#REF!</definedName>
    <definedName name="Kw">#REF!</definedName>
    <definedName localSheetId="8" name="Service">#REF!</definedName>
    <definedName name="Excel_BuiltIn_Print_Area_12_1_1_5_16">#REF!</definedName>
    <definedName name="Excel_BuiltIn_Print_Area_17_1_11_27">#REF!</definedName>
    <definedName name="Excel_BuiltIn_Print_Area_2_1_1_1_3_27">#REF!</definedName>
    <definedName name="Excel_BuiltIn_Print_Area_13_1_8_16">#REF!</definedName>
    <definedName name="Value20">#REF!</definedName>
    <definedName localSheetId="8" name="__xlnm.Print_Area_5">#REF!</definedName>
    <definedName localSheetId="8" name="xt">#REF!</definedName>
    <definedName name="Excel_BuiltIn_Print_Area_5_10_2">#REF!</definedName>
    <definedName name="Excel_BuiltIn_Print_Area_2_1_1_1_13_4">#REF!</definedName>
    <definedName name="zz">#REF!</definedName>
    <definedName name="Excel_BuiltIn_Print_Area_5_16">#REF!</definedName>
    <definedName name="MaxLegUplift">#REF!</definedName>
    <definedName name="EM_013_1">#REF!</definedName>
    <definedName name="BRICK">#REF!</definedName>
    <definedName name="Material">#REF!</definedName>
    <definedName name="BD1CL">#REF!</definedName>
    <definedName name="XRefPaste5">#REF!</definedName>
    <definedName name="Excel_BuiltIn_Print_Area_5_1_17_2">#REF!</definedName>
    <definedName name="EM_036_18">#REF!</definedName>
    <definedName localSheetId="8" name="__xlnm.Print_Area_6">#REF!</definedName>
    <definedName name="ABS">#REF!</definedName>
    <definedName name="ord_musd">#REF!</definedName>
    <definedName name="internaluse">#REF!</definedName>
    <definedName name="Metal6mm">#REF!</definedName>
    <definedName name="______________________________________________________dol12">#REF!</definedName>
    <definedName name="BD1StateMax">#REF!</definedName>
    <definedName name="Excel_BuiltIn_Print_Area_4_1_1_20_2">#REF!</definedName>
    <definedName name="COMP">#REF!</definedName>
    <definedName name="Excel_BuiltIn_Print_Area_12_1_5_4">#REF!</definedName>
    <definedName name="EM_024_11">#REF!</definedName>
    <definedName name="Excel_BuiltIn_Print_Area_11_1_20_27">#REF!</definedName>
    <definedName name="Excel_BuiltIn__FilterDatabase_50_4">#REF!</definedName>
    <definedName name="_AUX3">#REF!</definedName>
    <definedName name="ss8_e_w">#REF!</definedName>
    <definedName name="Excel_BuiltIn_Print_Area_6_1_14_2">#REF!</definedName>
    <definedName name="_T143800">#REF!</definedName>
    <definedName name="P3R">#REF!</definedName>
    <definedName name="_________________xlnm.Print_Area_3">#REF!</definedName>
    <definedName name="MC_DEMHW">#REF!</definedName>
    <definedName name="_eth2">#REF!</definedName>
    <definedName name="______Ki2">#REF!</definedName>
    <definedName name="RAIL">#REF!</definedName>
    <definedName name="KECStaff">#REF!</definedName>
    <definedName name="_______DAT13">#REF!</definedName>
    <definedName name="__pan1">#REF!</definedName>
    <definedName name="_13Excel_BuiltIn_Print_Area_2_1">#REF!</definedName>
    <definedName name="Excel_BuiltIn__FilterDatabase_26">#REF!</definedName>
    <definedName name="Excel_BuiltIn_Print_Area_2_1_1_5_27">#REF!</definedName>
    <definedName name="Excel_BuiltIn_Print_Area_17_1_1_2_16">#REF!</definedName>
    <definedName name="______________________________xlnm.Print_Area_2">#REF!</definedName>
    <definedName name="__xlfn_COUNTIFS">#REF!</definedName>
    <definedName name="__Fpi1">#REF!</definedName>
    <definedName name="orderbacklog">#REF!</definedName>
    <definedName name="Excel_BuiltIn_Print_Area_12_1_16_4">#REF!</definedName>
    <definedName name="Excel_BuiltIn_Print_Area_6_1_2_2">#REF!</definedName>
    <definedName name="전">#REF!</definedName>
    <definedName name="_M">#REF!</definedName>
    <definedName name="Excel_BuiltIn_Print_Area_4_1_15_16">#REF!</definedName>
    <definedName name="Fb">#REF!</definedName>
    <definedName name="data2">#REF!</definedName>
    <definedName name="BL5AA">#REF!</definedName>
    <definedName name="Excel_BuiltIn_Print_Area_2_1_1_1_14">#REF!</definedName>
    <definedName name="INSTR">#REF!</definedName>
    <definedName name="BasekV2">#REF!</definedName>
    <definedName name="XRefPaste7Row">#REF!</definedName>
    <definedName name="Excel_BuiltIn_Print_Area_16_1_11_2">#REF!</definedName>
    <definedName name="Excel_BuiltIn_Print_Area_12_1_7_27">#REF!</definedName>
    <definedName name="SS_Stk">#REF!</definedName>
    <definedName name="Cs">#REF!</definedName>
    <definedName name="Excel_BuiltIn_Print_Area_2_1_1_1_2_27">#REF!</definedName>
    <definedName name="SCHEDULE_NO._11b___Provisions">#REF!</definedName>
    <definedName name="EM_006_10">#REF!</definedName>
    <definedName name="_______________________________iv19000">#REF!</definedName>
    <definedName name="Excel_BuiltIn_Print_Titles_10">#REF!</definedName>
    <definedName name="gama">#REF!</definedName>
    <definedName name="TRAY_DATA">#REF!</definedName>
    <definedName name="Excel_BuiltIn_Print_Titles_20_1">#REF!</definedName>
    <definedName name="vgwer">#REF!</definedName>
    <definedName name="Excel_BuiltIn_Print_Area_4_1_1_5">#REF!</definedName>
    <definedName name="_____9__123Graph_CCHART_1">#REF!</definedName>
    <definedName name="Excel_BuiltIn_Print_Area_7_1_11">#REF!</definedName>
    <definedName name="NN">#REF!</definedName>
    <definedName name="_____CFB1">#REF!</definedName>
    <definedName name="____pep99">#REF!</definedName>
    <definedName name="Excel_BuiltIn_Print_Area_2_1_15_2">#REF!</definedName>
    <definedName name="Excel_BuiltIn_Print_Area_2_1_1_1_3_16">#REF!</definedName>
    <definedName name="_______________xlnm.Print_Titles_1">#REF!</definedName>
    <definedName name="Excel_BuiltIn_Print_Titles_13">#REF!</definedName>
    <definedName name="cst">#REF!</definedName>
    <definedName name="ScheduleReference">#REF!</definedName>
    <definedName name="cllf">#REF!</definedName>
    <definedName name="Excel_BuiltIn_Print_Area_9_1_12_27">#REF!</definedName>
    <definedName name="____SC12">#REF!</definedName>
    <definedName name="MC_USDSW">#REF!</definedName>
    <definedName name="HX">#REF!</definedName>
    <definedName name="Excel_BuiltIn_Print_Area_28_9_2">#REF!</definedName>
    <definedName name="Excel_BuiltIn_Print_Area_3_1_1_5">#REF!</definedName>
    <definedName name="____LTR220">#REF!</definedName>
    <definedName localSheetId="8" name="JEJS___11">#REF!</definedName>
    <definedName name="Excel_BuiltIn_Print_Area_25">#REF!</definedName>
    <definedName name="DaRWk3">#REF!</definedName>
    <definedName name="ENG">#REF!</definedName>
    <definedName name="CE">#REF!</definedName>
    <definedName name="EM_018_8">#REF!</definedName>
    <definedName name="Excel_BuiltIn_Print_Area_8_1_1_5_27">#REF!</definedName>
    <definedName name="rosid">#REF!</definedName>
    <definedName name="dk">#REF!</definedName>
    <definedName localSheetId="8" name="A_A">#REF!</definedName>
    <definedName localSheetId="8" name="Sdate">#REF!</definedName>
    <definedName name="EM_009_10">#REF!</definedName>
    <definedName name="______DET5">#REF!</definedName>
    <definedName name="_____wp1">#REF!</definedName>
    <definedName name="Excel_BuiltIn_Print_Area_5_9_4">#REF!</definedName>
    <definedName name="Excel_BuiltIn_Print_Area_10_1_1_27_1">#REF!</definedName>
    <definedName name="MF_NonABB_local">#REF!</definedName>
    <definedName name="GROUPIIP">#REF!</definedName>
    <definedName name="SS_Deprn">#REF!</definedName>
    <definedName name="______DET6">#REF!</definedName>
    <definedName name="Excel_BuiltIn_Print_Area_4_1_1_12">#REF!</definedName>
    <definedName name="XREF_COLUMN_12">#REF!</definedName>
    <definedName name="_______________in18900">#REF!</definedName>
    <definedName name="Excel_BuiltIn_Print_Area_8_1_1_1_1_2">#REF!</definedName>
    <definedName name="EM_015_10">#REF!</definedName>
    <definedName name="Excel_BuiltIn_Print_Area_11_1_6_27">#REF!</definedName>
    <definedName name="Excel_BuiltIn_Print_Area_4_1_11_4">#REF!</definedName>
    <definedName name="TopMgmtGrades">#REF!</definedName>
    <definedName name="AF_M_99">#REF!</definedName>
    <definedName name="Cs___13">#REF!</definedName>
    <definedName name="ppp">#REF!</definedName>
    <definedName name="_21G_0Extract">#REF!</definedName>
    <definedName name="TL_ANFE">#REF!</definedName>
    <definedName name="DJH">#REF!</definedName>
    <definedName name="nmk">#REF!</definedName>
    <definedName name="_____dol12">#REF!</definedName>
    <definedName name="_______________f1">#REF!</definedName>
    <definedName name="EM_037_4">#REF!</definedName>
    <definedName name="EM_012_9">#REF!</definedName>
    <definedName name="_____mm1">#REF!</definedName>
    <definedName name="EM_007_14">#REF!</definedName>
    <definedName name="a___0">#REF!</definedName>
    <definedName name="___SAP11">#REF!</definedName>
    <definedName name="Excel_BuiltIn_Print_Titles_15_1">#REF!</definedName>
    <definedName name="_______xlnm.Print_Titles_7">#REF!</definedName>
    <definedName name="EM_006_14">#REF!</definedName>
    <definedName name="____b111121">#REF!</definedName>
    <definedName name="Excel_BuiltIn_Print_Area_5_1_1_1_1_4">#REF!</definedName>
    <definedName name="______kd1">#REF!</definedName>
    <definedName name="EM_020_3">#REF!</definedName>
    <definedName name="Excel_BuiltIn_Print_Area_5_16_16">#REF!</definedName>
    <definedName name="QFC_TR">#REF!</definedName>
    <definedName name="ww">#REF!</definedName>
    <definedName name="SPEC_15">#REF!</definedName>
    <definedName name="EM_017_11">#REF!</definedName>
    <definedName name="BuiltIn_Print_Area___0___0___0___0___0___0___0___0___0___0___0">#REF!</definedName>
    <definedName name="Excel_BuiltIn_Print_Area_5_1_10_2">#REF!</definedName>
    <definedName name="Excel_BuiltIn_Print_Area_5_1_12_16">#REF!</definedName>
    <definedName name="m2_fuel_f">#REF!</definedName>
    <definedName name="JEERATE">#REF!</definedName>
    <definedName name="EM_028_2">#REF!</definedName>
    <definedName localSheetId="8" name="addf">#REF!</definedName>
    <definedName name="Excel_BuiltIn_Print_Area_5_1_10_27">#REF!</definedName>
    <definedName name="Z0G">#REF!</definedName>
    <definedName name="H">#REF!</definedName>
    <definedName name="Excel_BuiltIn_Print_Area_15_1_5_4">#REF!</definedName>
    <definedName name="_______________iv19000">#REF!</definedName>
    <definedName name="EQUIPCOM">#REF!</definedName>
    <definedName name="_______Rl1">#REF!</definedName>
    <definedName name="__5______123Graph_BCHART_1">#REF!</definedName>
    <definedName name="SS_Avg_Stk">#REF!</definedName>
    <definedName name="_CDT1">#REF!</definedName>
    <definedName name="_____lb1">#REF!</definedName>
    <definedName name="___DET3">#REF!</definedName>
    <definedName name="Excel_BuiltIn_Print_Area_13_1_6_16">#REF!</definedName>
    <definedName name="Excel_BuiltIn_Print_Area_8_1_1_5">#REF!</definedName>
    <definedName name="M_Water">#REF!</definedName>
    <definedName name="EM_016_10">#REF!</definedName>
    <definedName name="______________lb1">#REF!</definedName>
    <definedName name="EM_072_16">#REF!</definedName>
    <definedName name="________b111121">#REF!</definedName>
    <definedName name="BL4C">#REF!</definedName>
    <definedName name="_____hfi8">#REF!</definedName>
    <definedName name="_13Excel_BuiltIn_Print_Area_4_1_1_1_1_1_1_1_1_1_1_1_1">#REF!</definedName>
    <definedName name="_____mm3">#REF!</definedName>
    <definedName name="Excel_BuiltIn_Print_Area_5_2_1">#REF!</definedName>
    <definedName name="Excel_BuiltIn_Print_Area_8_1_1_2_16">#REF!</definedName>
    <definedName name="______________________IDA1">#REF!</definedName>
    <definedName name="Tt">#REF!</definedName>
    <definedName name="EM_015_9">#REF!</definedName>
    <definedName name="p1mrlp">#REF!</definedName>
    <definedName name="Excel_BuiltIn_Print_Area_15_1_17_16">#REF!</definedName>
    <definedName name="Excel_BuiltIn_Print_Area_6_1_14">#REF!</definedName>
    <definedName name="HM">#REF!</definedName>
    <definedName localSheetId="8" name="STATEMENT_3">#REF!</definedName>
    <definedName name="EM_010_1">#REF!</definedName>
    <definedName name="BL4CC">#REF!</definedName>
    <definedName name="Excel_BuiltIn_Print_Area_7_1_1_5_2">#REF!</definedName>
    <definedName name="___SAP10">#REF!</definedName>
    <definedName name="foreststatus">#REF!</definedName>
    <definedName name="li">#REF!</definedName>
    <definedName name="_______SS407">#REF!</definedName>
    <definedName name="Excel_BuiltIn_Print_Area_8_1_1_13">#REF!</definedName>
    <definedName name="Excel_BuiltIn_Print_Area_17_1_15_27">#REF!</definedName>
    <definedName name="______________________________________________xlnm.Print_Area_1">#REF!</definedName>
    <definedName name="Wm_70_kg">#REF!</definedName>
    <definedName name="TTWT">#REF!</definedName>
    <definedName name="______________________________xlnm.Print_Area_3">#REF!</definedName>
    <definedName name="Excel_BuiltIn_Print_Area_17_1_2_27">#REF!</definedName>
    <definedName name="EP_Oct">#REF!</definedName>
    <definedName name="_HM1">#REF!</definedName>
    <definedName name="Value28">#REF!</definedName>
    <definedName name="Excel_BuiltIn_Print_Area_13_1_3_2">#REF!</definedName>
    <definedName name="m8_fuel_v">#REF!</definedName>
    <definedName name="EM_039_3">#REF!</definedName>
    <definedName name="current3">#REF!</definedName>
    <definedName name="CAPJAN">#REF!</definedName>
    <definedName name="Excel_BuiltIn_Print_Area_9_1_9_4">#REF!</definedName>
    <definedName name="___hfi2">#REF!</definedName>
    <definedName name="_pdp3">#REF!</definedName>
    <definedName name="CODES_AND_COSTS">#REF!</definedName>
    <definedName localSheetId="8" name="___xlnm.Print_Area_11">#REF!</definedName>
    <definedName name="__xlnm.Print_Area_8">#REF!</definedName>
    <definedName name="ced">#REF!</definedName>
    <definedName name="Excel_BuiltIn_Print_Area_17_1_1_3">#REF!</definedName>
    <definedName name="___aoc2">#REF!</definedName>
    <definedName name="XRefPaste10Row">#REF!</definedName>
    <definedName name="_____________________________xlnm.Print_Area_3">#REF!</definedName>
    <definedName name="__________________________________________dol12">#REF!</definedName>
    <definedName name="colors">#REF!</definedName>
    <definedName name="Em">#REF!</definedName>
    <definedName name="Misc_Sales">#REF!</definedName>
    <definedName name="rmcmcc.3">#REF!</definedName>
    <definedName name="XRefCopy64Row">#REF!</definedName>
    <definedName name="Excel_BuiltIn_Print_Area_16_1_1_1_1_2">#REF!</definedName>
    <definedName name="EM_001_1">#REF!</definedName>
    <definedName name="Excel_BuiltIn_Print_Area_13_1_4">#REF!</definedName>
    <definedName name="lmcup.1">#REF!</definedName>
    <definedName name="____________________in18900">#REF!</definedName>
    <definedName name="Excel_BuiltIn_Print_Area_7_1_1_7_4">#REF!</definedName>
    <definedName name="_37Excel_BuiltIn_Print_Area_8_1_1_1_1">#REF!</definedName>
    <definedName name="__SAP11">#REF!</definedName>
    <definedName name="BD1ParamStore">#REF!</definedName>
    <definedName name="KTX">#REF!</definedName>
    <definedName name="Excel_BuiltIn_Print_Area_16_1_1_17">#REF!</definedName>
    <definedName name="Excel_BuiltIn_Print_Titles_4_1_4">#REF!</definedName>
    <definedName name="Excel_BuiltIn_Print_Area_15_1_13_16">#REF!</definedName>
    <definedName name="EM_038_12">#REF!</definedName>
    <definedName name="Print_Area_MI_17">#REF!</definedName>
    <definedName name="______IDA1">#REF!</definedName>
    <definedName name="EM_019_16">#REF!</definedName>
    <definedName name="_5______123Graph_BCHART_1">#REF!</definedName>
    <definedName name="Excel_BuiltIn_Print_Area_7_1_1_1_1_2">#REF!</definedName>
    <definedName name="Excel_BuiltIn__FilterDatabase_1_18_16">#REF!</definedName>
    <definedName name="zs___13">#REF!</definedName>
    <definedName name="Excel_BuiltIn_Print_Area_6_1_20_16">#REF!</definedName>
    <definedName name="_DET4">#REF!</definedName>
    <definedName name="Excel_BuiltIn_Print_Area_2_1_1_1_2_2_1">#REF!</definedName>
    <definedName localSheetId="8" name="ipu___0">#REF!</definedName>
    <definedName name="XRefPaste42">#REF!</definedName>
    <definedName name="Excel_BuiltIn_Print_Area_28_12_27">#REF!</definedName>
    <definedName name="___hxc2">#REF!</definedName>
    <definedName name="fffffffffff">#REF!</definedName>
    <definedName name="_____________A65537">#REF!</definedName>
    <definedName name="Excel_BuiltIn_Print_Area_17_1_2_1">#REF!</definedName>
    <definedName name="__SS403">#REF!</definedName>
    <definedName name="dl___0">#REF!</definedName>
    <definedName name="결산정리">#REF!</definedName>
    <definedName name="____rcu2">#REF!</definedName>
    <definedName name="Excel_BuiltIn_Print_Area_17_1_1_1_1">#REF!</definedName>
    <definedName name="TEST3">#REF!</definedName>
    <definedName localSheetId="8" name="_3Excel_BuiltIn_Print_Area_4_1_1">#REF!</definedName>
    <definedName name="Excel_BuiltIn_Print_Area_3_1_1_1_1_16_1">#REF!</definedName>
    <definedName name="Excel_BuiltIn_Print_Area_2_1_1_11_4">#REF!</definedName>
    <definedName name="철구사업본부">#REF!</definedName>
    <definedName name="njspsche">#REF!</definedName>
    <definedName name="ASD">#REF!</definedName>
    <definedName name="Excel_BuiltIn_Print_Area_14_1_6">#REF!</definedName>
    <definedName name="A8____0">#REF!</definedName>
    <definedName name="_______cem124">#REF!</definedName>
    <definedName name="__ls4">#REF!</definedName>
    <definedName name="Excel_BuiltIn_Print_Area_2_1_1_1">#REF!</definedName>
    <definedName name="EM_012_12">#REF!</definedName>
    <definedName name="kc">#REF!</definedName>
    <definedName name="Excel_BuiltIn_Print_Area_9_1_7_2">#REF!</definedName>
    <definedName name="________aoc4">#REF!</definedName>
    <definedName name="Breadth_of_base_slab">#REF!</definedName>
    <definedName name="RTU2_AI">#REF!</definedName>
    <definedName name="Excel_BuiltIn_Print_Area_10_1_14_4">#REF!</definedName>
    <definedName name="PATH2">#REF!</definedName>
    <definedName name="EM_030_13">#REF!</definedName>
    <definedName name="Excel_BuiltIn_Print_Area_5_1_1_3_4">#REF!</definedName>
    <definedName name="MaxLegShear">#REF!</definedName>
    <definedName name="OTHR_CST_HD">#REF!</definedName>
    <definedName name="len">#REF!</definedName>
    <definedName name="N___13">#REF!</definedName>
    <definedName name="__AXX4">#REF!</definedName>
    <definedName name="ANNEX2A">#REF!</definedName>
    <definedName name="EM_026_17">#REF!</definedName>
    <definedName name="EM_022_10">#REF!</definedName>
    <definedName name="Excel_BuiltIn_Print_Area_9_1_5_2">#REF!</definedName>
    <definedName name="Excel_BuiltIn_Print_Area_12_1_1_3_2">#REF!</definedName>
    <definedName name="Excel_BuiltIn_Print_Area_10_1_5_2">#REF!</definedName>
    <definedName name="Excel_BuiltIn_Print_Area_17_1_1_7_27">#REF!</definedName>
    <definedName name="pIsmsb.1">#REF!</definedName>
    <definedName name="TL_OD_Common">#REF!</definedName>
    <definedName name="______DAT4">#REF!</definedName>
    <definedName name="EM_015_3">#REF!</definedName>
    <definedName name="num">#REF!</definedName>
    <definedName name="NSS">#REF!</definedName>
    <definedName name="Excel_BuiltIn_Print_Area_29_12_16">#REF!</definedName>
    <definedName name="Excel_BuiltIn_Print_Area_28_3">#REF!</definedName>
    <definedName name="__DAT5">#REF!</definedName>
    <definedName name="EM_023_14">#REF!</definedName>
    <definedName name="Key_TL">#REF!</definedName>
    <definedName name="XRefPaste51">#REF!</definedName>
    <definedName name="XRefPaste11">#REF!</definedName>
    <definedName name="_6Excel_BuiltIn_Print_Area_2_1">#REF!</definedName>
    <definedName name="___A3">#REF!</definedName>
    <definedName name="__cli1">#REF!</definedName>
    <definedName name="_________cem124">#REF!</definedName>
    <definedName name="Excel_BuiltIn_Print_Area_16_1_20_2">#REF!</definedName>
    <definedName name="Excel_BuiltIn_Print_Area_13_1_13_16">#REF!</definedName>
    <definedName name="Excel_BuiltIn_Print_Area_28_1_27">#REF!</definedName>
    <definedName name="SPEC_17">#REF!</definedName>
    <definedName name="Excel_BuiltIn_Print_Area_13_1_12">#REF!</definedName>
    <definedName name="__Rs1">#REF!</definedName>
    <definedName name="m2_gtax_v">#REF!</definedName>
    <definedName name="________________g1">#REF!</definedName>
    <definedName name="EM_023_7">#REF!</definedName>
    <definedName name="hone">#REF!</definedName>
    <definedName name="pImcc.2">#REF!</definedName>
    <definedName name="Alw">#REF!</definedName>
    <definedName name="Excel_BuiltIn_Print_Area_16_1_1_10">#REF!</definedName>
    <definedName name="__xlnm.Print_Titles_3_1">#REF!</definedName>
    <definedName name="Excel_BuiltIn_Print_Area_2_1_1_1_2_1">#REF!</definedName>
    <definedName name="Excel_BuiltIn_Print_Area_3_1_1_1_1_1_1">#REF!</definedName>
    <definedName name="Excel_BuiltIn_Print_Area_7_1_1_16_4">#REF!</definedName>
    <definedName name="_6Excel_BuiltIn_Print_Area_1_1">#REF!</definedName>
    <definedName name="ABACUS">#REF!</definedName>
    <definedName name="EREBOQ400">#REF!</definedName>
    <definedName name="SPTNP">#REF!</definedName>
    <definedName name="Excel_BuiltIn_Print_Area_4_1_13_27">#REF!</definedName>
    <definedName name="XRefCopy54Row">#REF!</definedName>
    <definedName name="EM_053_14">#REF!</definedName>
    <definedName name="p1acdb2">#REF!</definedName>
    <definedName name="Excel_BuiltIn_Print_Area_16_1_1_1_4">#REF!</definedName>
    <definedName name="Excel_BuiltIn_Print_Area_8_1_1_9_4">#REF!</definedName>
    <definedName localSheetId="8" name="tbl_ProdInfo">#REF!</definedName>
    <definedName name="Excel_BuiltIn_Print_Area_28_5_4">#REF!</definedName>
    <definedName name="EM_056_15">#REF!</definedName>
    <definedName name="Excel_BuiltIn_Print_Area_14_1_17_27">#REF!</definedName>
    <definedName name="BasekV3">#REF!</definedName>
    <definedName name="_______A2">#REF!</definedName>
    <definedName name="afafa">#REF!</definedName>
    <definedName name="Excel_BuiltIn_Print_Area_8_1_1_12">#REF!</definedName>
    <definedName name="Fm">#REF!</definedName>
    <definedName name="NHGG">#REF!</definedName>
    <definedName name="Excel_BuiltIn_Print_Area_13_1_1_27">#REF!</definedName>
    <definedName name="Excel_BuiltIn_Print_Area_16_1_1_14_4">#REF!</definedName>
    <definedName name="__________xlnm.Print_Area_8">#REF!</definedName>
    <definedName localSheetId="8" name="___xlnm.Print_Titles_7">#REF!</definedName>
    <definedName name="grid">#REF!</definedName>
    <definedName name="m8_ic_v">#REF!</definedName>
    <definedName name="Excel_BuiltIn_Print_Area_11_1_5_27">#REF!</definedName>
    <definedName name="Excel_BuiltIn_Print_Area_7_1_1">#REF!</definedName>
    <definedName name="Excel_BuiltIn_Print_Area_13_1_9_4">#REF!</definedName>
    <definedName name="Excel_BuiltIn_Print_Area_14_1_9_4">#REF!</definedName>
    <definedName name="IE_Avg_OCA">#REF!</definedName>
    <definedName name="___Wr1">#REF!</definedName>
    <definedName name="EM_005_13">#REF!</definedName>
    <definedName name="Excel_BuiltIn_Print_Area_8_1_6_27">#REF!</definedName>
    <definedName name="aaaa">#REF!</definedName>
    <definedName name="___________________KEY3">#REF!</definedName>
    <definedName name="Sdate">#REF!</definedName>
    <definedName name="XRefCopy12">#REF!</definedName>
    <definedName name="PF">#REF!</definedName>
    <definedName name="EM_027_10">#REF!</definedName>
    <definedName name="_RE36">#REF!</definedName>
    <definedName name="e">#REF!</definedName>
    <definedName name="Excel_BuiltIn_Print_Area_3_1_1_1_1_2">#REF!</definedName>
    <definedName name="Excel_BuiltIn_Print_Area_6_1_20_27">#REF!</definedName>
    <definedName name="____xlnm.Print_Area_6">#REF!</definedName>
    <definedName name="Excel_BuiltIn_Print_Area_16_1_20_27">#REF!</definedName>
    <definedName name="Excel_BuiltIn_Print_Area_2_1_1_1_14_4">#REF!</definedName>
    <definedName name="TL_Avg_OCL">#REF!</definedName>
    <definedName name="____Hso2">#REF!</definedName>
    <definedName name="SCHEDULE_NO_13">#REF!</definedName>
    <definedName name="Excel_BuiltIn_Print_Area_5_1_1_2_16">#REF!</definedName>
    <definedName name="_________________________________xlnm.Print_Area_3">#REF!</definedName>
    <definedName name="ss8_cond_w">#REF!</definedName>
    <definedName name="EM_033_13">#REF!</definedName>
    <definedName name="__________xlnm.Print_Area_10">#REF!</definedName>
    <definedName name="EM_073_17">#REF!</definedName>
    <definedName name="______________xlnm.Print_Area_3">#REF!</definedName>
    <definedName name="raverage">#REF!</definedName>
    <definedName name="_12__123Graph_BCHART_1">#REF!</definedName>
    <definedName name="ffvvv">#REF!</definedName>
    <definedName name="Excel_BuiltIn_Print_Area_10_1_15_16">#REF!</definedName>
    <definedName name="____SS407">#REF!</definedName>
    <definedName name="EM_062_15">#REF!</definedName>
    <definedName name="_0790">#REF!</definedName>
    <definedName name="Excel_BuiltIn_Print_Area_3_1_1_1_27">#REF!</definedName>
    <definedName name="FI_BOSW">#REF!</definedName>
    <definedName name="Rm">#REF!</definedName>
    <definedName name="TL_Stk">#REF!</definedName>
    <definedName name="ncfnvo">#REF!</definedName>
    <definedName name="Excel_BuiltIn_Print_Area_5_1_7_2">#REF!</definedName>
    <definedName name="____DAT8">#REF!</definedName>
    <definedName name="EM_017_10">#REF!</definedName>
    <definedName name="ss6_gt_f">#REF!</definedName>
    <definedName name="jjdzjjklb6f6e8f7f">#REF!</definedName>
    <definedName name="__________aoc3">#REF!</definedName>
    <definedName name="TEST9">#REF!</definedName>
    <definedName name="__________________________________xlnm.Print_Area_2">#REF!</definedName>
    <definedName name="LUMEN___0">#REF!</definedName>
    <definedName name="m8_ic_f">#REF!</definedName>
    <definedName name="____DAT7">#REF!</definedName>
    <definedName name="FASDFSD">#REF!</definedName>
    <definedName name="Excel_BuiltIn__FilterDatabase_31">#REF!</definedName>
    <definedName name="Excel_BuiltIn_Print_Area_9_1_15_2">#REF!</definedName>
    <definedName name="Excel_BuiltIn_Print_Area_11_1_8_4">#REF!</definedName>
    <definedName name="Excel_BuiltIn_Print_Area_15_1_10_27">#REF!</definedName>
    <definedName name="OCTROI">#REF!</definedName>
    <definedName name="EM_002_6">#REF!</definedName>
    <definedName name="asfdasfas">#REF!</definedName>
    <definedName name="l1xx">#REF!</definedName>
    <definedName name="Excel_BuiltIn_Print_Area_2_1_3">#REF!</definedName>
    <definedName name="icfai">#REF!</definedName>
    <definedName name="_____SAP3">#REF!</definedName>
    <definedName name="Excel_BuiltIn_Print_Area_7_1_1_8_16">#REF!</definedName>
    <definedName name="__________A91614">#REF!</definedName>
    <definedName name="Excel_BuiltIn_Print_Area_17_1_1_16_1">#REF!</definedName>
    <definedName name="DOLLARS2">#REF!</definedName>
    <definedName localSheetId="8" name="_5Excel_BuiltIn_Print_Area_4_1_1_1_1">#REF!</definedName>
    <definedName name="Aone">#REF!</definedName>
    <definedName name="EM_072_15">#REF!</definedName>
    <definedName name="Excel_BuiltIn_Print_Area_7_1_1_5_4">#REF!</definedName>
    <definedName name="____hxa2">#REF!</definedName>
    <definedName name="BL5AAA">#REF!</definedName>
    <definedName name="_A">#REF!</definedName>
    <definedName name="______DET3">#REF!</definedName>
    <definedName name="_____________iv19000">#REF!</definedName>
    <definedName name="Bilu">#REF!</definedName>
    <definedName name="STCTL220">#REF!</definedName>
    <definedName name="Excel_BuiltIn_Print_Area_5_10_16">#REF!</definedName>
    <definedName name="Excel_BuiltIn_Print_Area_7_1_1_14_27">#REF!</definedName>
    <definedName name="EM_026_2">#REF!</definedName>
    <definedName name="EM_011_3">#REF!</definedName>
    <definedName name="Excel_BuiltIn_Print_Area_15_1_1_1_4">#REF!</definedName>
    <definedName name="EM_065_16">#REF!</definedName>
    <definedName name="____IDA1">#REF!</definedName>
    <definedName name="_________IDA1">#REF!</definedName>
    <definedName name="______A71614">#REF!</definedName>
    <definedName name="RTU2_DI">#REF!</definedName>
    <definedName name="EM_055_15">#REF!</definedName>
    <definedName name="_qqq1">#REF!</definedName>
    <definedName name="CAPA44">#REF!</definedName>
    <definedName name="EM_017_4">#REF!</definedName>
    <definedName name="EM_024_3">#REF!</definedName>
    <definedName localSheetId="8" name="www">#REF!</definedName>
    <definedName name="MANU555">#REF!</definedName>
    <definedName name="BL3CC">#REF!</definedName>
    <definedName name="EP_VC">#REF!</definedName>
    <definedName name="XRefPaste22">#REF!</definedName>
    <definedName name="dgn">#REF!</definedName>
    <definedName name="EM_022_17">#REF!</definedName>
    <definedName name="Excel_BuiltIn_Print_Area_15_1_1_16">#REF!</definedName>
    <definedName name="Excel_BuiltIn_Print_Area_3">#REF!</definedName>
    <definedName name="Valn_File">#REF!</definedName>
    <definedName name="_8__________123Graph_BCHART_1">#REF!</definedName>
    <definedName name="____Wr1">#REF!</definedName>
    <definedName name="EM_003_17">#REF!</definedName>
    <definedName name="___________________________________________dol12">#REF!</definedName>
    <definedName name="bbb">#REF!</definedName>
    <definedName name="Excel_BuiltIn_Print_Area_4_1_8_16">#REF!</definedName>
    <definedName name="option_">#REF!</definedName>
    <definedName name="OBJ">#REF!</definedName>
    <definedName name="XRefPaste27Row">#REF!</definedName>
    <definedName name="Excel_BuiltIn_Print_Area_28_20_4">#REF!</definedName>
    <definedName name="___SS406">#REF!</definedName>
    <definedName name="BD1EventStep">#REF!</definedName>
    <definedName name="____A65537">#REF!</definedName>
    <definedName name="CIF_ABB_peenya">#REF!</definedName>
    <definedName name="Excel_BuiltIn_Print_Area_13_1_7_27">#REF!</definedName>
    <definedName name="__2_______123Graph_BCHART_1">#REF!</definedName>
    <definedName name="Excel_BuiltIn_Print_Area_7_1_1_5_16">#REF!</definedName>
    <definedName name="fgdfgg">#REF!</definedName>
    <definedName name="Vmax">#REF!</definedName>
    <definedName name="Excel_BuiltIn_Print_Area_3_1_1_27">#REF!</definedName>
    <definedName name="Excel_BuiltIn_Print_Area_10_1_17_16">#REF!</definedName>
    <definedName name="EM_029_7">#REF!</definedName>
    <definedName name="Group_PM1">#REF!</definedName>
    <definedName name="_HE06">#REF!</definedName>
    <definedName name="___cli1">#REF!</definedName>
    <definedName name="Excel_BuiltIn_Print_Area_12_1_1_5_27">#REF!</definedName>
    <definedName name="BOX">#REF!</definedName>
    <definedName name="____SC03">#REF!</definedName>
    <definedName name="EM_037_13">#REF!</definedName>
    <definedName name="TL_VC">#REF!</definedName>
    <definedName name="salar">#REF!</definedName>
    <definedName name="_______SS406">#REF!</definedName>
    <definedName name="_____tab2">#REF!</definedName>
    <definedName name="EM_025_6">#REF!</definedName>
    <definedName name="TPROT500">#REF!</definedName>
    <definedName name="Excel_BuiltIn_Print_Area_7_1_1_10_16">#REF!</definedName>
    <definedName name="______DAT14">#REF!</definedName>
    <definedName name="EM_031_10">#REF!</definedName>
    <definedName name="Excel_BuiltIn_Print_Area_2_1_1_1_5_4">#REF!</definedName>
    <definedName name="LYoos">#REF!</definedName>
    <definedName name="ss6_geno_v">#REF!</definedName>
    <definedName name="Excel_BuiltIn_Print_Area_17_1_7_2">#REF!</definedName>
    <definedName name="BD1EventMax">#REF!</definedName>
    <definedName name="Excel_BuiltIn_Print_Area_8_1_6_16">#REF!</definedName>
    <definedName name="______________________________________________iv19000">#REF!</definedName>
    <definedName name="col___0">#REF!</definedName>
    <definedName name="Excel_BuiltIn_Print_Area_12_1_10_4">#REF!</definedName>
    <definedName name="Excel_BuiltIn_Print_Area_15_1_14_27">#REF!</definedName>
    <definedName name="rp">#REF!</definedName>
    <definedName name="Excel_BuiltIn_Print_Area_13_1_14_2">#REF!</definedName>
    <definedName name="Index_Sheet_Kutools">#REF!</definedName>
    <definedName name="_____________________________________________IDA1">#REF!</definedName>
    <definedName name="BL2BB">#REF!</definedName>
    <definedName name="TEE">#REF!</definedName>
    <definedName name="BL5B">#REF!</definedName>
    <definedName name="__________________in18900">#REF!</definedName>
    <definedName name="XRefPaste31">#REF!</definedName>
    <definedName name="EM_009_9">#REF!</definedName>
    <definedName name="F___0">#REF!</definedName>
    <definedName name="IE_Nov">#REF!</definedName>
    <definedName name="___rt1">#REF!</definedName>
    <definedName name="____cth2">#REF!</definedName>
    <definedName name="IE_ANFA">#REF!</definedName>
    <definedName name="EM_038_17">#REF!</definedName>
    <definedName name="XRefPaste17">#REF!</definedName>
    <definedName name="Excel_BuiltIn_Print_Area_8_1_5_1">#REF!</definedName>
    <definedName name="hxi">#REF!</definedName>
    <definedName localSheetId="8" name="sm">#REF!</definedName>
    <definedName name="ACK">#REF!</definedName>
    <definedName name="Lx">#REF!</definedName>
    <definedName name="EH_002_2">#REF!</definedName>
    <definedName name="__A6">#REF!</definedName>
    <definedName name="Excel_BuiltIn_Print_Area_17_1_1_9_27">#REF!</definedName>
    <definedName name="Excel_BuiltIn_Print_Area_7_1_1_17">#REF!</definedName>
    <definedName name="Excel_BuiltIn_Print_Area_7_1_1_6_16">#REF!</definedName>
    <definedName name="sasi">#REF!</definedName>
    <definedName name="Excel_BuiltIn_Print_Area_29_27">#REF!</definedName>
    <definedName name="______________in18900">#REF!</definedName>
    <definedName name="_DAT7">#REF!</definedName>
    <definedName name="Excel_BuiltIn_Print_Area_12_1_4">#REF!</definedName>
    <definedName name="Item">#REF!</definedName>
    <definedName name="조직1">#REF!</definedName>
    <definedName name="________SAP3">#REF!</definedName>
    <definedName name="E_GV">#REF!</definedName>
    <definedName name="Excel_BuiltIn_Print_Area_7_1_1_3">#REF!</definedName>
    <definedName name="IMo">#REF!</definedName>
    <definedName name="EM_027_2">#REF!</definedName>
    <definedName name="KHJKHKHJK">#REF!</definedName>
    <definedName name="mdp">#REF!</definedName>
    <definedName name="Excel_BuiltIn_Print_Area_8_1_1_5_4">#REF!</definedName>
    <definedName name="Excel_BuiltIn_Print_Area_7_1_1_12_27">#REF!</definedName>
    <definedName name="mclo">#REF!</definedName>
    <definedName name="FFR">#REF!</definedName>
    <definedName name="EM_017_6">#REF!</definedName>
    <definedName name="Excel_BuiltIn_Print_Area_11_1_6_4">#REF!</definedName>
    <definedName name="Excel_BuiltIn_Print_Area_3_1_13_27">#REF!</definedName>
    <definedName name="Excel_BuiltIn_Print_Area_8_1_9_2">#REF!</definedName>
    <definedName name="SS_NWC">#REF!</definedName>
    <definedName name="_RE64">#REF!</definedName>
    <definedName localSheetId="8" name="rect_4_415">#REF!</definedName>
    <definedName name="_______________________________xlnm.Print_Area_3">#REF!</definedName>
    <definedName name="SS_WC_Key">#REF!</definedName>
    <definedName name="Excel_BuiltIn_Print_Area_28_10_27">#REF!</definedName>
    <definedName name="EM_073_15">#REF!</definedName>
    <definedName name="Excel_BuiltIn_Print_Area_9_1_5_27">#REF!</definedName>
    <definedName name="DaRWk5">#REF!</definedName>
    <definedName name="COST_PSCH">#REF!</definedName>
    <definedName name="monthprogress">#REF!</definedName>
    <definedName localSheetId="8" name="aks">#REF!</definedName>
    <definedName name="_ZS1">#REF!</definedName>
    <definedName name="_______a999999">#REF!</definedName>
    <definedName name="Product">#REF!</definedName>
    <definedName localSheetId="8" name="Result51">#REF!</definedName>
    <definedName localSheetId="8" name="Soil">#REF!</definedName>
    <definedName name="________A65537">#REF!</definedName>
    <definedName name="KE">#REF!</definedName>
    <definedName name="Excel_BuiltIn_Print_Area_12_1_1_5_2">#REF!</definedName>
    <definedName name="icb">#REF!</definedName>
    <definedName name="DCF">#REF!</definedName>
    <definedName name="Excel_BuiltIn_Print_Area_17_1_6_16">#REF!</definedName>
    <definedName name="Excel_BuiltIn_Print_Area_9_1_16_2_1">#REF!</definedName>
    <definedName name="XRefPaste43">#REF!</definedName>
    <definedName name="_________xlnm._FilterDatabase_3">#REF!</definedName>
    <definedName name="___DAT11">#REF!</definedName>
    <definedName name="Excel_BuiltIn_Print_Area_16_1_1_14_16">#REF!</definedName>
    <definedName name="__Ism3">#REF!</definedName>
    <definedName name="_SDF2">#REF!</definedName>
    <definedName name="m2_ec_w">#REF!</definedName>
    <definedName name="haba">#REF!</definedName>
    <definedName name="Excel_BuiltIn_Print_Area_10_1_12_2">#REF!</definedName>
    <definedName name="Excel_BuiltIn_Print_Area_4_1_11_2">#REF!</definedName>
    <definedName name="______CFB3">#REF!</definedName>
    <definedName name="Excel_BuiltIn_Print_Area_17_1_7">#REF!</definedName>
    <definedName name="LKJ">#REF!</definedName>
    <definedName name="p1mcc1">#REF!</definedName>
    <definedName name="XRefCopy36">#REF!</definedName>
    <definedName name="Excel_BuiltIn_Print_Area_4_1_1_5_16">#REF!</definedName>
    <definedName name="model_config2">#REF!</definedName>
    <definedName name="pppp">#REF!</definedName>
    <definedName name="BD1Mu">#REF!</definedName>
    <definedName name="h_bf">#REF!</definedName>
    <definedName name="EM_038_11">#REF!</definedName>
    <definedName name="FLG">#REF!</definedName>
    <definedName name="MAACONSTN">#REF!</definedName>
    <definedName name="X">#REF!</definedName>
    <definedName name="YG">#REF!</definedName>
    <definedName name="______a1">#REF!</definedName>
    <definedName name="Excel_BuiltIn_Print_Area_7_1_10_4">#REF!</definedName>
    <definedName name="EM_069_16">#REF!</definedName>
    <definedName name="I2m">#REF!</definedName>
    <definedName name="A3_">#REF!</definedName>
    <definedName name="_____run2">#REF!</definedName>
    <definedName name="_____SS402">#REF!</definedName>
    <definedName name="A4____13">#REF!</definedName>
    <definedName name="dfsga">#REF!</definedName>
    <definedName name="______VS2004">#REF!</definedName>
    <definedName name="Excel_BuiltIn_Print_Area_16_1_1_20_2">#REF!</definedName>
    <definedName name="Excel_BuiltIn_Print_Area_7_1_1_15">#REF!</definedName>
    <definedName name="Fmg">#REF!</definedName>
    <definedName name="___axx1">#REF!</definedName>
    <definedName name="__aoc1">#REF!</definedName>
    <definedName name="CRRSEP">#REF!</definedName>
    <definedName name="Excel_BuiltIn_Print_Area_6_1_8_16">#REF!</definedName>
    <definedName name="Excel_BuiltIn_Print_Area_12_1_14">#REF!</definedName>
    <definedName name="rb">#REF!</definedName>
    <definedName name="_____aoc4">#REF!</definedName>
    <definedName name="k2x">#REF!</definedName>
    <definedName name="___8__123Graph_BCHART_1">#REF!</definedName>
    <definedName name="Ig">#REF!</definedName>
    <definedName name="LanguageComment">#REF!</definedName>
    <definedName name="Ny">#REF!</definedName>
    <definedName name="_sdf1">#REF!</definedName>
    <definedName name="_________________________dol12">#REF!</definedName>
    <definedName name="Excel_BuiltIn_Print_Area_4_1_1_5_4">#REF!</definedName>
    <definedName name="___3____123Graph_CCHART_1">#REF!</definedName>
    <definedName name="EM_038_7">#REF!</definedName>
    <definedName name="Excel_BuiltIn_Print_Area_8_1_17_27">#REF!</definedName>
    <definedName name="INFUSD1">#REF!</definedName>
    <definedName name="sdif">#REF!</definedName>
    <definedName name="Excel_BuiltIn_Print_Area_2_1_16_2">#REF!</definedName>
    <definedName name="____xlnm._FilterDatabase_5">#REF!</definedName>
    <definedName name="Excel_BuiltIn_Print_Area_13_1_2_16">#REF!</definedName>
    <definedName name="XRefCopy3Row">#REF!</definedName>
    <definedName name="_________4___123Graph_ACHART_1">#REF!</definedName>
    <definedName name="___9__123Graph_CCHART_1">#REF!</definedName>
    <definedName name="Excel_BuiltIn_Print_Area_2_1_1_3_27">#REF!</definedName>
    <definedName name="H0___13">#REF!</definedName>
    <definedName name="Excel_BuiltIn_Print_Area_5_1_5_27">#REF!</definedName>
    <definedName name="Excel_BuiltIn_Print_Area_13_1_11_27">#REF!</definedName>
    <definedName name="PLR">#REF!</definedName>
    <definedName name="___________________________________xlnm.Print_Area_1">#REF!</definedName>
    <definedName name="___hxb2">#REF!</definedName>
    <definedName name="EM_004_8">#REF!</definedName>
    <definedName name="Excel_BuiltIn_Print_Area_16_1_1_11_2">#REF!</definedName>
    <definedName name="SCHEDULE_NO._9___Bank_Balances">#REF!</definedName>
    <definedName name="_____________xlnm.Print_Titles">#REF!</definedName>
    <definedName name="EP_ANWC">#REF!</definedName>
    <definedName name="PS___13">#REF!</definedName>
    <definedName name="_____Re1">#REF!</definedName>
    <definedName name="PIPE">#REF!</definedName>
    <definedName name="EOL">#REF!</definedName>
    <definedName name="Excel_BuiltIn_Print_Area_2_1_1_1_20_27">#REF!</definedName>
    <definedName name="EM_056_17">#REF!</definedName>
    <definedName name="QFC_SEKs">#REF!</definedName>
    <definedName name="IAH">#REF!</definedName>
    <definedName name="FINC2">#REF!</definedName>
    <definedName name="p1mldb">#REF!</definedName>
    <definedName name="Excel_BuiltIn_Print_Area_17_1_1_11_4">#REF!</definedName>
    <definedName name="_______SAP5">#REF!</definedName>
    <definedName name="EM_029_16">#REF!</definedName>
    <definedName name="TenderNumberPS">#REF!</definedName>
    <definedName name="_klkjlo">#REF!</definedName>
    <definedName name="SCHEDULE_NO._1">#REF!</definedName>
    <definedName name="GrphActSales">#REF!</definedName>
    <definedName name="TESTKEYS">#REF!</definedName>
    <definedName name="PI">#REF!</definedName>
    <definedName name="_________Ki1">#REF!</definedName>
    <definedName name="XRefCopy34">#REF!</definedName>
    <definedName name="_in18900">#REF!</definedName>
    <definedName name="Excel_BuiltIn_Print_Area_11_1_3_4">#REF!</definedName>
    <definedName name="Excel_BuiltIn_Print_Area_2_1_1_37">#REF!</definedName>
    <definedName name="Excel_BuiltIn_Print_Area_9_1_11_27">#REF!</definedName>
    <definedName name="_______8__123Graph_BCHART_1">#REF!</definedName>
    <definedName name="Coarsesand">#REF!</definedName>
    <definedName name="____MAN1">#REF!</definedName>
    <definedName name="EM_013_16">#REF!</definedName>
    <definedName name="____SAP4">#REF!</definedName>
    <definedName name="Excel_BuiltIn_Print_Area_17_1_14_27">#REF!</definedName>
    <definedName name="Excel_BuiltIn_Print_Area_13_1_15_2">#REF!</definedName>
    <definedName name="ss405_408">#REF!</definedName>
    <definedName name="Excel_BuiltIn_Print_Area_13_1_13_4">#REF!</definedName>
    <definedName name="Excel_BuiltIn_Print_Area_5_1_1_10_16">#REF!</definedName>
    <definedName name="_LV1">#REF!</definedName>
    <definedName name="_T144400">#REF!</definedName>
    <definedName name="____sch2">#REF!</definedName>
    <definedName name="EM_002_1">#REF!</definedName>
    <definedName name="EM_015_17">#REF!</definedName>
    <definedName name="EM_016_7">#REF!</definedName>
    <definedName name="P_6DSO">#REF!</definedName>
    <definedName name="alwarsump">#REF!</definedName>
    <definedName name="PAGEC">#REF!</definedName>
    <definedName name="Excel_BuiltIn_Print_Area_4_1_9">#REF!</definedName>
    <definedName name="_23Excel_BuiltIn_Print_Area_3_1_1">#REF!</definedName>
    <definedName name="R___variation_factor_in_capacity_per_degree_Celcius">#REF!</definedName>
    <definedName localSheetId="8" name="_A1">#REF!</definedName>
    <definedName name="Excel_BuiltIn_Print_Area_14_1_3_16">#REF!</definedName>
    <definedName name="Sim1_TopRow">#REF!</definedName>
    <definedName name="EH_001_17">#REF!</definedName>
    <definedName name="Excel_BuiltIn_Print_Area_16_1_14_16">#REF!</definedName>
    <definedName name="LYSales">#REF!</definedName>
    <definedName name="Sanitary">#REF!</definedName>
    <definedName name="Excel_BuiltIn_Print_Titles_4_1_1">#REF!</definedName>
    <definedName name="Zpt">#REF!</definedName>
    <definedName name="QFC_USDh">#REF!</definedName>
    <definedName name="Excel_BuiltIn_Print_Area_3_1">#REF!</definedName>
    <definedName name="EM_054_16">#REF!</definedName>
    <definedName name="Excel_BuiltIn_Print_Area_13_1_3">#REF!</definedName>
    <definedName name="___________IDA1">#REF!</definedName>
    <definedName name="Excel_BuiltIn_Print_Area_2_1_1_2_1">#REF!</definedName>
    <definedName name="Excel_BuiltIn_Print_Area_2_1_1_1_16">#REF!</definedName>
    <definedName name="Excel_BuiltIn_Print_Area_2_1_1_12">#REF!</definedName>
    <definedName name="_V1">#REF!</definedName>
    <definedName name="_B">#REF!</definedName>
    <definedName name="EM_017_9">#REF!</definedName>
    <definedName name="prashant">#REF!</definedName>
    <definedName name="_LTR500">#REF!</definedName>
    <definedName name="PATH22">#REF!</definedName>
    <definedName name="aaa">#REF!</definedName>
    <definedName name="EM_038_3">#REF!</definedName>
    <definedName name="_____ifa2">#REF!</definedName>
    <definedName name="__lb2">#REF!</definedName>
    <definedName name="Insurance">#REF!</definedName>
    <definedName name="Excel_BuiltIn_Print_Area_17_1_1_14_2">#REF!</definedName>
    <definedName name="Excel_BuiltIn_Print_Area_19_1_4">#REF!</definedName>
    <definedName name="Excel_BuiltIn_Print_Area_7_1_27">#REF!</definedName>
    <definedName name="EM_023_9">#REF!</definedName>
    <definedName name="Xl___0">#REF!</definedName>
    <definedName name="SUBSTN_LST">#REF!</definedName>
    <definedName name="Ze">#REF!</definedName>
    <definedName name="B_FLG">#REF!</definedName>
    <definedName name="________________mm2">#REF!</definedName>
    <definedName name="Kwoe">#REF!</definedName>
    <definedName name="_____aoc2">#REF!</definedName>
    <definedName name="Excel_BuiltIn_Print_Area_7_1_1_16_27">#REF!</definedName>
    <definedName name="_____4___123Graph_ACHART_1">#REF!</definedName>
    <definedName name="Excel_BuiltIn_Print_Area_12_1_1_17">#REF!</definedName>
    <definedName name="Excel_BuiltIn_Print_Area_29_1_2">#REF!</definedName>
    <definedName name="Excel_BuiltIn_Print_Area_2_1_1_17_4">#REF!</definedName>
    <definedName name="______AXX7">#REF!</definedName>
    <definedName name="XRefPaste28Row">#REF!</definedName>
    <definedName name="ss8_gtax_f">#REF!</definedName>
    <definedName name="boisar">#REF!</definedName>
    <definedName name="Estep">#REF!</definedName>
    <definedName name="Excel_BuiltIn_Print_Area_3_1_8">#REF!</definedName>
    <definedName name="sws">#REF!</definedName>
    <definedName name="XREF_COLUMN_5">#REF!</definedName>
    <definedName name="_____A71614">#REF!</definedName>
    <definedName name="AK">#REF!</definedName>
    <definedName name="Excel_BuiltIn_Print_Area_5_1_16_16">#REF!</definedName>
    <definedName name="Excel_BuiltIn_Print_Area_7_1_2_16">#REF!</definedName>
    <definedName name="TOTAL1RP">#REF!</definedName>
    <definedName name="_7Excel_BuiltIn_Print_Area_2_1_1_1">#REF!</definedName>
    <definedName name="____DAT3">#REF!</definedName>
    <definedName name="Service">#REF!</definedName>
    <definedName name="Excel_BuiltIn_Print_Area_14_1_16_2">#REF!</definedName>
    <definedName name="Excel_BuiltIn_Print_Area_8_1_2_27">#REF!</definedName>
    <definedName localSheetId="8" name="idt">#REF!</definedName>
    <definedName name="Excel_BuiltIn_Print_Area_17_1_1_15_2">#REF!</definedName>
    <definedName name="_______dev9947">#REF!</definedName>
    <definedName name="Excel_BuiltIn_Print_Area_12_1_9">#REF!</definedName>
    <definedName name="_________________dol12">#REF!</definedName>
    <definedName name="Value52">#REF!</definedName>
    <definedName name="XRefCopy27Row">#REF!</definedName>
    <definedName name="Excel_BuiltIn_Print_Area_7_1_11_16">#REF!</definedName>
    <definedName name="ss9_gtax_w">#REF!</definedName>
    <definedName name="XRefCopy20">#REF!</definedName>
    <definedName name="___WC3">#REF!</definedName>
    <definedName name="EM_062_16">#REF!</definedName>
    <definedName localSheetId="8" name="L___0">#REF!</definedName>
    <definedName name="__CBR220">#REF!</definedName>
    <definedName name="GBDFG">#REF!</definedName>
    <definedName name="Excel_BuiltIn_Print_Area_29_7">#REF!</definedName>
    <definedName name="TEST7">#REF!</definedName>
    <definedName name="EM_052_18">#REF!</definedName>
    <definedName name="vcp">#REF!</definedName>
    <definedName name="GROUND220">#REF!</definedName>
    <definedName name="p1abbbc">#REF!</definedName>
    <definedName name="_____________________________________xlnm.Print_Area_2">#REF!</definedName>
    <definedName name="BQ">#REF!</definedName>
    <definedName name="FAH">#REF!</definedName>
    <definedName localSheetId="8" name="JEJS">#REF!</definedName>
    <definedName name="EM_022_7">#REF!</definedName>
    <definedName localSheetId="8" name="_out2">#REF!</definedName>
    <definedName name="Excel_BuiltIn_Print_Area_20_1_27">#REF!</definedName>
    <definedName name="Excel_BuiltIn_Print_Area_9_1_27">#REF!</definedName>
    <definedName name="Excel_BuiltIn_Print_Area_28_6_2">#REF!</definedName>
    <definedName name="Excel_BuiltIn_Print_Area_29_16_16">#REF!</definedName>
    <definedName localSheetId="8" name="_Sort">#REF!</definedName>
    <definedName name="EM_006_12">#REF!</definedName>
    <definedName localSheetId="8" name="REE">#REF!</definedName>
    <definedName name="XRefCopy63Row">#REF!</definedName>
    <definedName name="_____DAT2">#REF!</definedName>
    <definedName name="drain_trap">#REF!</definedName>
    <definedName name="EM_028_13">#REF!</definedName>
    <definedName name="Excel_BuiltIn_Print_Area_9_1_9_2">#REF!</definedName>
    <definedName name="Excel_BuiltIn_Print_Area_7_1_5">#REF!</definedName>
    <definedName name="SPEC_13">#REF!</definedName>
    <definedName name="MF_ABB_peenya">#REF!</definedName>
    <definedName name="BL3BBB">#REF!</definedName>
    <definedName localSheetId="8" name="Tfc">#REF!</definedName>
    <definedName name="_____pep99">#REF!</definedName>
    <definedName name="__________mm2">#REF!</definedName>
    <definedName name="SINC2">#REF!</definedName>
    <definedName name="SS_OD_Common">#REF!</definedName>
    <definedName name="_____b111121">#REF!</definedName>
    <definedName name="BD1Next1">#REF!</definedName>
    <definedName name="BuiltIn_Print_Titles___0___0___0___0___0___0___0___0___0___0___0">#REF!</definedName>
    <definedName name="Excel_BuiltIn__FilterDatabase_26_2">#REF!</definedName>
    <definedName name="____________________________________________________dol12">#REF!</definedName>
    <definedName name="___DAT7">#REF!</definedName>
    <definedName name="mhr">#REF!</definedName>
    <definedName name="BVJIOJ8FYEMF8">#REF!</definedName>
    <definedName name="Excel_BuiltIn_Print_Area_10_1_11_2">#REF!</definedName>
    <definedName name="m2_ec_v">#REF!</definedName>
    <definedName name="POLU">#REF!</definedName>
    <definedName name="계정">#REF!</definedName>
    <definedName localSheetId="8" name="job___0">#REF!</definedName>
    <definedName name="__13___123Graph_ACHART_1">#REF!</definedName>
    <definedName name="pIsmsb.b">#REF!</definedName>
    <definedName name="_14Excel_BuiltIn_Print_Area_4_1_1_1_1">#REF!</definedName>
    <definedName name="_______DAT1">#REF!</definedName>
    <definedName name="__xlnm._FilterDatabase_3">#REF!</definedName>
    <definedName name="EM_035_16">#REF!</definedName>
    <definedName name="EM_023_18">#REF!</definedName>
    <definedName name="rmcup.2">#REF!</definedName>
    <definedName name="TTB">#REF!</definedName>
    <definedName name="UI">#REF!</definedName>
    <definedName name="___________aoc2">#REF!</definedName>
    <definedName name="JHKDJRFIA">#REF!</definedName>
    <definedName name="Ssm">#REF!</definedName>
    <definedName name="arwrw">#REF!</definedName>
    <definedName name="Qty_as_on_apr">#REF!</definedName>
    <definedName name="_HE21">#REF!</definedName>
    <definedName name="TITL">#REF!</definedName>
    <definedName name="fill2">#REF!</definedName>
    <definedName name="hS___13">#REF!</definedName>
    <definedName name="Mat_Percentage">#REF!</definedName>
    <definedName name="________________lb1">#REF!</definedName>
    <definedName name="_3____123Graph_CCHART_1">#REF!</definedName>
    <definedName name="EM_020_7">#REF!</definedName>
    <definedName name="_____Fpi1">#REF!</definedName>
    <definedName name="Excel_BuiltIn_Print_Area_17_1_9_2">#REF!</definedName>
    <definedName name="delyw">#REF!</definedName>
    <definedName name="L_Mate">#REF!</definedName>
    <definedName name="current1">#REF!</definedName>
    <definedName name="Excel_BuiltIn_Print_Area_2_1_3_2">#REF!</definedName>
    <definedName name="__PLC220">#REF!</definedName>
    <definedName name="hhss">#REF!</definedName>
    <definedName name="MC_UKPSW">#REF!</definedName>
    <definedName name="Excel_BuiltIn_Print_Area_5_14_2">#REF!</definedName>
    <definedName name="_________1____123Graph_ACHART_1">#REF!</definedName>
    <definedName name="_______DAT8">#REF!</definedName>
    <definedName name="_______mm2">#REF!</definedName>
    <definedName name="_qty2">#REF!</definedName>
    <definedName name="________________________________IDA1">#REF!</definedName>
    <definedName name="IE_PBDIT">#REF!</definedName>
    <definedName name="__12____123Graph_CCHART_1">#REF!</definedName>
    <definedName name="___________________________________________iv19000">#REF!</definedName>
    <definedName name="_______aoc3">#REF!</definedName>
    <definedName name="CurrencyPhrase">#REF!</definedName>
    <definedName name="anb">#REF!</definedName>
    <definedName name="______________________________________________________dol6">#REF!</definedName>
    <definedName name="EARTH1">#REF!</definedName>
    <definedName name="EM_039_1">#REF!</definedName>
    <definedName name="__DKT75">#REF!</definedName>
    <definedName name="zeta">#REF!</definedName>
    <definedName name="Excel_BuiltIn_Print_Area_10_1_8_27">#REF!</definedName>
    <definedName name="Excel_BuiltIn_Print_Area_17_1_1_10">#REF!</definedName>
    <definedName name="Excel_BuiltIn_Print_Area_4_1_2_4">#REF!</definedName>
    <definedName name="Excel_BuiltIn_Print_Area_11_1_12_4">#REF!</definedName>
    <definedName name="ZG">#REF!</definedName>
    <definedName name="zs___0">#REF!</definedName>
    <definedName name="___xlnm._FilterDatabase_4">#REF!</definedName>
    <definedName name="civ">#REF!</definedName>
    <definedName name="_17Excel_BuiltIn_Print_Area_3_1_1_1">#REF!</definedName>
    <definedName name="NIL">#REF!</definedName>
    <definedName name="_2__123Graph_ACHART_1">#REF!</definedName>
    <definedName name="________mm1">#REF!</definedName>
    <definedName name="Excel_BuiltIn_Print_Area_11_1_9_4">#REF!</definedName>
    <definedName name="Excel_BuiltIn_Print_Area_5_7_2">#REF!</definedName>
    <definedName name="__mm1">#REF!</definedName>
    <definedName name="Excel_BuiltIn_Print_Area_8_1_1_2_2">#REF!</definedName>
    <definedName name="nlg_cd">#REF!</definedName>
    <definedName name="Excel_BuiltIn_Print_Area_7_1_1_10">#REF!</definedName>
    <definedName name="_HM6">#REF!</definedName>
    <definedName name="EM_070_17">#REF!</definedName>
    <definedName name="Excel_BuiltIn_Print_Area_11_1_3_27">#REF!</definedName>
    <definedName name="fgRKRKRKRKRKRKRKRKRKRKRKTBTBSPD">#REF!</definedName>
    <definedName name="dbrwk3">#REF!</definedName>
    <definedName name="forthemonth">#REF!</definedName>
    <definedName name="ho___0">#REF!</definedName>
    <definedName name="sssss">#REF!</definedName>
    <definedName name="_BAA1">#REF!</definedName>
    <definedName name="Excel_BuiltIn_Print_Area_15_1_17_4">#REF!</definedName>
    <definedName name="Excel_BuiltIn_Print_Area_8_1_14_16">#REF!</definedName>
    <definedName name="EM_009_3">#REF!</definedName>
    <definedName name="Excel_BuiltIn_Print_Area_4_1_1_17_2">#REF!</definedName>
    <definedName name="Excel_BuiltIn_Print_Area_5_1_1_1_1">#REF!</definedName>
    <definedName name="Excel_BuiltIn_Print_Area_8_1_8_16">#REF!</definedName>
    <definedName name="BG_RATE">#REF!</definedName>
    <definedName name="ss8_bop_w">#REF!</definedName>
    <definedName name="Value25">#REF!</definedName>
    <definedName name="D">#REF!</definedName>
    <definedName name="Excel_BuiltIn_Print_Area_6_1_1_2">#REF!</definedName>
    <definedName name="__ml3">#REF!</definedName>
    <definedName name="Excel_BuiltIn_Print_Area_15_1_20">#REF!</definedName>
    <definedName name="p1acdb1">#REF!</definedName>
    <definedName name="BW">#REF!</definedName>
    <definedName name="Excel_BuiltIn_Print_Area_7_1_17_2">#REF!</definedName>
    <definedName name="Excel_BuiltIn_Print_Area_14_1_10_16">#REF!</definedName>
    <definedName localSheetId="8" name="_pan1">#REF!</definedName>
    <definedName name="sb">#REF!</definedName>
    <definedName name="EM_002_7">#REF!</definedName>
    <definedName name="Excel_BuiltIn_Print_Area_2_1_1_6_16">#REF!</definedName>
    <definedName name="Excel_BuiltIn_Print_Area_17_1_1_5_4">#REF!</definedName>
    <definedName name="Excel_BuiltIn_Print_Area_10_1_9_4">#REF!</definedName>
    <definedName name="Excel_BuiltIn_Print_Area_11_1_16_27">#REF!</definedName>
    <definedName name="pb">#REF!</definedName>
    <definedName name="cltf">#REF!</definedName>
    <definedName name="Excel_BuiltIn_Print_Area_2">#REF!</definedName>
    <definedName name="Excel_BuiltIn_Print_Area_4_1_1_13_2">#REF!</definedName>
    <definedName name="Z0ps">#REF!</definedName>
    <definedName name="_________f1">#REF!</definedName>
    <definedName name="Mlps">#REF!</definedName>
    <definedName name="RATE___0">#REF!</definedName>
    <definedName name="Excel_BuiltIn_Print_Area_17_1_13_27">#REF!</definedName>
    <definedName localSheetId="8" name="______CFB2">#REF!</definedName>
    <definedName name="hhh">#REF!</definedName>
    <definedName localSheetId="8" name="PERSONAL_TRANSPORT">#REF!</definedName>
    <definedName name="CARPI">#REF!</definedName>
    <definedName name="_________________A71614">#REF!</definedName>
    <definedName name="Excel_BuiltIn_Print_Area_28_12_2">#REF!</definedName>
    <definedName name="____rt1">#REF!</definedName>
    <definedName localSheetId="8" name="L">#REF!</definedName>
    <definedName name="SoilClass">#REF!</definedName>
    <definedName name="_11BS">#REF!</definedName>
    <definedName name="Excel_BuiltIn_Print_Area_12_1_1_1">#REF!</definedName>
    <definedName name="stock">#REF!</definedName>
    <definedName name="Excel_BuiltIn_Print_Area_29_10">#REF!</definedName>
    <definedName name="MC_NonABB_Imp">#REF!</definedName>
    <definedName name="__________________________________in18900">#REF!</definedName>
    <definedName name="_________________________xlnm.Print_Area_1">#REF!</definedName>
    <definedName name="_______A71614">#REF!</definedName>
    <definedName name="Bhisti">#REF!</definedName>
    <definedName name="Excel_BuiltIn_Print_Area_5_6_4">#REF!</definedName>
    <definedName name="_pp2">#REF!</definedName>
    <definedName name="_______mlc33">#REF!</definedName>
    <definedName name="___A91614">#REF!</definedName>
    <definedName name="_T144500">#REF!</definedName>
    <definedName name="________________________________dol6">#REF!</definedName>
    <definedName name="___Re1">#REF!</definedName>
    <definedName name="_11Excel_BuiltIn_Print_Area_2_1">#REF!</definedName>
    <definedName name="EM_009_12">#REF!</definedName>
    <definedName name="EM_019_7">#REF!</definedName>
    <definedName name="Excel_BuiltIn_Print_Area_6_1_14_4">#REF!</definedName>
    <definedName name="ss6_cond_v">#REF!</definedName>
    <definedName name="Fdr">#REF!</definedName>
    <definedName name="Value3">#REF!</definedName>
    <definedName name="LKR">#REF!</definedName>
    <definedName name="TL_Feb">#REF!</definedName>
    <definedName name="Excel_BuiltIn_Print_Titles_5_1_1">#REF!</definedName>
    <definedName name="___SS408">#REF!</definedName>
    <definedName name="C_VALUE">#REF!</definedName>
    <definedName name="Excel_BuiltIn_Print_Area_11_1_15_16">#REF!</definedName>
    <definedName name="Excel_BuiltIn_Print_Area_17_1_1_20_27">#REF!</definedName>
    <definedName name="ERV">#REF!</definedName>
    <definedName name="Excel_BuiltIn_Print_Area_11_1_15_4">#REF!</definedName>
    <definedName name="EM_021_17">#REF!</definedName>
    <definedName name="Excel_BuiltIn_Print_Area_13_1_12_4">#REF!</definedName>
    <definedName name="p1csp">#REF!</definedName>
    <definedName name="Excel_BuiltIn_Print_Area_12_1_1_10_2">#REF!</definedName>
    <definedName name="______DAT13">#REF!</definedName>
    <definedName name="Excel_BuiltIn_Print_Area_2_1_1_20_16">#REF!</definedName>
    <definedName name="__TR500">#REF!</definedName>
    <definedName name="_9Excel_BuiltIn_Print_Area_17_1_1_1_1">#REF!</definedName>
    <definedName name="scale">#REF!</definedName>
    <definedName name="EM_011_7">#REF!</definedName>
    <definedName name="Excel_BuiltIn_Print_Area_12_1_1_11_27">#REF!</definedName>
    <definedName name="EM_070_18">#REF!</definedName>
    <definedName name="Excel_BuiltIn_Print_Area_5_17">#REF!</definedName>
    <definedName name="phit">#REF!</definedName>
    <definedName name="FHH">#REF!</definedName>
    <definedName name="kjh">#REF!</definedName>
    <definedName name="Excel_BuiltIn_Print_Area_12_1_12_16">#REF!</definedName>
    <definedName name="BuiltIn_Print_Area___0">#REF!</definedName>
    <definedName name="Excel_BuiltIn_Print_Area_5_1_1_1_27">#REF!</definedName>
    <definedName name="Excel_BuiltIn_Print_Area_14_1_17_4">#REF!</definedName>
    <definedName name="m2_st_v">#REF!</definedName>
    <definedName name="ab">#REF!</definedName>
    <definedName name="m8_geno_v">#REF!</definedName>
    <definedName name="EM_036_12">#REF!</definedName>
    <definedName name="XRefPaste8">#REF!</definedName>
    <definedName name="Excel_BuiltIn_Print_Area_5_1_1_14">#REF!</definedName>
    <definedName name="A6____13">#REF!</definedName>
    <definedName name="Excel_BuiltIn_Print_Area_12_1_2_16">#REF!</definedName>
    <definedName name="RAM">#REF!</definedName>
    <definedName name="Depth_of_the_section">#REF!</definedName>
    <definedName name="XREF_COLUMN_11">#REF!</definedName>
    <definedName name="cal">#REF!</definedName>
    <definedName name="Excel_BuiltIn_Print_Area_17_1_1_6_4">#REF!</definedName>
    <definedName name="Ma_v">#REF!</definedName>
    <definedName name="sfdf">#REF!</definedName>
    <definedName name="Fdl">#REF!</definedName>
    <definedName name="Sand_124">#REF!</definedName>
    <definedName name="diff">#REF!</definedName>
    <definedName name="MSL">#REF!</definedName>
    <definedName name="______xlnm.Print_Area_13">#REF!</definedName>
    <definedName name="XRefPaste30">#REF!</definedName>
    <definedName name="______xlnm.Print_Area_10">#REF!</definedName>
    <definedName name="_T143400">#REF!</definedName>
    <definedName name="sss_1">#REF!</definedName>
    <definedName name="Excel_BuiltIn_Print_Area_9_1_10_2">#REF!</definedName>
    <definedName name="IE_Avg_Adv">#REF!</definedName>
    <definedName name="DATA18">#REF!</definedName>
    <definedName localSheetId="8" name="ASSSSSSSSSSSSSSSSSSSSSSSS">#REF!</definedName>
    <definedName name="__PB1">#REF!</definedName>
    <definedName name="Excel_BuiltIn_Print_Area_7_1_13_4">#REF!</definedName>
    <definedName name="Excel_BuiltIn_Print_Area_28_11_4">#REF!</definedName>
    <definedName name="_______________________________________________iv19000">#REF!</definedName>
    <definedName name="Cum_Int">#REF!</definedName>
    <definedName name="EM_001_18">#REF!</definedName>
    <definedName name="Excel_BuiltIn_Print_Area_14_1_3_2">#REF!</definedName>
    <definedName name="MF_AIC_local">#REF!</definedName>
    <definedName name="Excel_BuiltIn_Print_Area_12_1_1_8_16">#REF!</definedName>
    <definedName name="Excel_BuiltIn_Print_Area_7_1_16_27">#REF!</definedName>
    <definedName name="rig">#REF!</definedName>
    <definedName name="Excel_BuiltIn_Print_Area_2_1_1_7">#REF!</definedName>
    <definedName name="PREHS">#REF!</definedName>
    <definedName name="Excel_BuiltIn_Print_Area_12_1_1_10">#REF!</definedName>
    <definedName name="Excel_BuiltIn_Print_Area_3_1_11">#REF!</definedName>
    <definedName name="Excel_BuiltIn_Print_Area_7_1_1_7_16">#REF!</definedName>
    <definedName name="SS_Sales_Cust">#REF!</definedName>
    <definedName name="Discount1">#REF!</definedName>
    <definedName name="______________________________________iv19000">#REF!</definedName>
    <definedName name="Excel_BuiltIn_Print_Area_16_1_1_1_1_16">#REF!</definedName>
    <definedName name="ESCPRD_TRSW">#REF!</definedName>
    <definedName name="Excel_BuiltIn_Print_Area_16_1_1_2_4">#REF!</definedName>
    <definedName name="Load">#REF!</definedName>
    <definedName name="Excel_BuiltIn__FilterDatabase_26_27">#REF!</definedName>
    <definedName name="QFC_S03">#REF!</definedName>
    <definedName name="Excel_BuiltIn_Print_Area_8_1_1_3_2">#REF!</definedName>
    <definedName name="_out2">#REF!</definedName>
    <definedName name="EM_070_14">#REF!</definedName>
    <definedName name="Total_MP_Peak">#REF!</definedName>
    <definedName name="__________________________dol7">#REF!</definedName>
    <definedName name="_Hra2">#REF!</definedName>
    <definedName name="botl">#REF!</definedName>
    <definedName name="EM_015_11">#REF!</definedName>
    <definedName name="Excel_BuiltIn_Print_Area_3_1_11_4">#REF!</definedName>
    <definedName name="____tab2">#REF!</definedName>
    <definedName name="EM_003_10">#REF!</definedName>
    <definedName name="lm">#REF!</definedName>
    <definedName name="EM_021_14">#REF!</definedName>
    <definedName name="STA22SCADA">#REF!</definedName>
    <definedName localSheetId="8" name="___INT1">#REF!</definedName>
    <definedName name="Excel_BuiltIn_Print_Area_17_1_9_16">#REF!</definedName>
    <definedName name="Interior">#REF!</definedName>
    <definedName name="Excel_BuiltIn_Print_Area_14_1_12_4">#REF!</definedName>
    <definedName name="CAPJUL">#REF!</definedName>
    <definedName name="____run1">#REF!</definedName>
    <definedName name="__IDA1">#REF!</definedName>
    <definedName name="SS_Aug">#REF!</definedName>
    <definedName name="_Re1">#REF!</definedName>
    <definedName name="Excel_BuiltIn_Print_Area_2_1_1_1_1_1_1_2">#REF!</definedName>
    <definedName name="Excel_BuiltIn_Print_Area_4_1_11">#REF!</definedName>
    <definedName name="HSn">#REF!</definedName>
    <definedName name="grout_type">#REF!</definedName>
    <definedName name="boq_version">#REF!</definedName>
    <definedName name="_RE34">#REF!</definedName>
    <definedName name="sfd">#REF!</definedName>
    <definedName name="ZZZZ">#REF!</definedName>
    <definedName name="Excel_BuiltIn_Print_Area_11_1_16_4">#REF!</definedName>
    <definedName name="___________________________________________xlnm.Print_Area_2">#REF!</definedName>
    <definedName name="CHW">#REF!</definedName>
    <definedName name="XRefCopy15">#REF!</definedName>
    <definedName name="Excel_BuiltIn_Print_Area_9_1_4_1">#REF!</definedName>
    <definedName name="Excel_BuiltIn_Print_Area_4_1_1_1_1_1_1_1_1_1">#REF!</definedName>
    <definedName name="L_">#REF!</definedName>
    <definedName name="p1350mcfdr">#REF!</definedName>
    <definedName name="ppo">#REF!</definedName>
    <definedName name="EM_035_13">#REF!</definedName>
    <definedName name="Excel_BuiltIn_Print_Area_16_1_1_3_27">#REF!</definedName>
    <definedName name="rrrr">#REF!</definedName>
    <definedName name="LWSALES">#REF!</definedName>
    <definedName name="XRefCopy41Row">#REF!</definedName>
    <definedName name="Excel_BuiltIn_Print_Area_12_1_1_3_27">#REF!</definedName>
    <definedName name="Zspan">#REF!</definedName>
    <definedName name="______ml3">#REF!</definedName>
    <definedName name="SS_Sales_IU">#REF!</definedName>
    <definedName name="_CVT220">#REF!</definedName>
    <definedName name="________________________________________________________dol12">#REF!</definedName>
    <definedName name="Excel_BuiltIn_Print_Area_12_1_5_1">#REF!</definedName>
    <definedName localSheetId="8" name="Pay_Date">#REF!</definedName>
    <definedName name="EH_002_18">#REF!</definedName>
    <definedName name="hf">#REF!</definedName>
    <definedName name="MC_ABB_local">#REF!</definedName>
    <definedName name="Excel_BuiltIn_Print_Area_15_1_3_2">#REF!</definedName>
    <definedName name="JFHGDT">#REF!</definedName>
    <definedName localSheetId="8" name="lp">#REF!</definedName>
    <definedName name="Excel_BuiltIn_Print_Area_10_1_1_2">#REF!</definedName>
    <definedName name="______axx5">#REF!</definedName>
    <definedName name="sffitting_usd">#REF!</definedName>
    <definedName name="TAB">#REF!</definedName>
    <definedName name="______m20">#REF!</definedName>
    <definedName name="Excel_BuiltIn_Print_Area_2_1_1_1_16_1">#REF!</definedName>
    <definedName localSheetId="8" name="___f1">#REF!</definedName>
    <definedName name="Excel_BuiltIn_Print_Area_8_1_1_6_2">#REF!</definedName>
    <definedName name="nuclisopgw">#REF!</definedName>
    <definedName name="vsp">#REF!</definedName>
    <definedName name="DELTA20___13">#REF!</definedName>
    <definedName name="EM_027_16">#REF!</definedName>
    <definedName name="q">#REF!</definedName>
    <definedName name="totalmc">#REF!</definedName>
    <definedName name="Excel_BuiltIn_Print_Area_8_1_1_6">#REF!</definedName>
    <definedName name="k1x">#REF!</definedName>
    <definedName name="CST_IDTO">#REF!</definedName>
    <definedName name="Excel_BuiltIn_Print_Area_17_1_1_15">#REF!</definedName>
    <definedName name="__RE500">#REF!</definedName>
    <definedName name="m2_bop_v">#REF!</definedName>
    <definedName name="_3__123Graph_ACHART_1">#REF!</definedName>
    <definedName name="Cont.Amt.">#REF!</definedName>
    <definedName name="delm">#REF!</definedName>
    <definedName name="Ds___0">#REF!</definedName>
    <definedName name="pIsmsb.3">#REF!</definedName>
    <definedName name="________________m20">#REF!</definedName>
    <definedName name="Agr53mm">#REF!</definedName>
    <definedName name="Excel_BuiltIn_Print_Area_2_1_1_1_11_16">#REF!</definedName>
    <definedName name="______WC3">#REF!</definedName>
    <definedName name="Excel_BuiltIn_Print_Area_2_1_1_1_2_2">#REF!</definedName>
    <definedName name="TAX">#REF!</definedName>
    <definedName name="___DAT3">#REF!</definedName>
    <definedName name="aiv">#REF!</definedName>
    <definedName name="________________________IDA1">#REF!</definedName>
    <definedName name="________xlnm.Print_Area_4">#REF!</definedName>
    <definedName name="_________xlnm.Print_Area_11">#REF!</definedName>
    <definedName name="Excel_BuiltIn_Print_Area_13_1_17_16">#REF!</definedName>
    <definedName name="Excel_BuiltIn_Print_Area_6_1_2">#REF!</definedName>
    <definedName name="__ls3">#REF!</definedName>
    <definedName name="RPROT220">#REF!</definedName>
    <definedName name="Excel_BuiltIn_Print_Area_13_1_1_4">#REF!</definedName>
    <definedName name="____DET4">#REF!</definedName>
    <definedName name="DaRWk10">#REF!</definedName>
    <definedName name="zs">#REF!</definedName>
    <definedName name="TOP_SUP">#REF!</definedName>
    <definedName localSheetId="8" name="erer">#REF!</definedName>
    <definedName name="Excel_BuiltIn_Print_Area_1_1_1_27">#REF!</definedName>
    <definedName name="EM_030_11">#REF!</definedName>
    <definedName name="sheet1___0">#REF!</definedName>
    <definedName name="Excel_BuiltIn_Print_Area_12_1_8_27">#REF!</definedName>
    <definedName name="__A65537">#REF!</definedName>
    <definedName name="____________________iv19000">#REF!</definedName>
    <definedName name="_16BS">#REF!</definedName>
    <definedName name="QV_PAT">#REF!</definedName>
    <definedName name="Rac">#REF!</definedName>
    <definedName name="Excel_BuiltIn_Print_Area_5_15">#REF!</definedName>
    <definedName name="Excel_BuiltIn_Print_Area_16_1_5_4">#REF!</definedName>
    <definedName name="EM_001_14">#REF!</definedName>
    <definedName name="OPTION8">#REF!</definedName>
    <definedName name="_______xlnm.Print_Area_8">#REF!</definedName>
    <definedName name="EM_024_14">#REF!</definedName>
    <definedName name="Excel_BuiltIn_Print_Area_16_1_1_12_16">#REF!</definedName>
    <definedName name="Z2eq138">#REF!</definedName>
    <definedName name="EM_007_4">#REF!</definedName>
    <definedName name="____________iv19000">#REF!</definedName>
    <definedName name="pIsmsb.g">#REF!</definedName>
    <definedName name="BL5A">#REF!</definedName>
    <definedName name="Excel_BuiltIn_Print_Area_5_1_1_15_16">#REF!</definedName>
    <definedName name="Excel_BuiltIn_Print_Area_8_1_13">#REF!</definedName>
    <definedName name="Excel_BuiltIn_Print_Area_10_1_1_1_4">#REF!</definedName>
    <definedName name="cummeas_may1006">#REF!</definedName>
    <definedName name="Excel_BuiltIn_Print_Area_14">#REF!</definedName>
    <definedName name="_bct75">#REF!</definedName>
    <definedName name="EM_022_16">#REF!</definedName>
    <definedName name="Excel_BuiltIn_Print_Area_12_1_1_2_16">#REF!</definedName>
    <definedName name="cant">#REF!</definedName>
    <definedName name="Excel_BuiltIn_Print_Area_28_15_16">#REF!</definedName>
    <definedName name="Excel_BuiltIn_Print_Area_8_1_1_13_27">#REF!</definedName>
    <definedName name="________________________________xlnm.Print_Area_3">#REF!</definedName>
    <definedName localSheetId="8" name="CAPAPR">#REF!</definedName>
    <definedName name="sit">#REF!</definedName>
    <definedName name="PATHLA2">#REF!</definedName>
    <definedName name="JEJS___13">#REF!</definedName>
    <definedName name="______________IDA1">#REF!</definedName>
    <definedName name="_Xl1">#REF!</definedName>
    <definedName name="Wm_50_kg">#REF!</definedName>
    <definedName name="_______________________________IDA1">#REF!</definedName>
    <definedName name="_____Wr1">#REF!</definedName>
    <definedName name="oct">#REF!</definedName>
    <definedName localSheetId="8" name="TRANS">#REF!</definedName>
    <definedName name="____xlnm.Print_Titles_4">#REF!</definedName>
    <definedName name="Excel_BuiltIn_Print_Area_5_1_1_5_1">#REF!</definedName>
    <definedName name="UNIT_PRICE_SCHEDULE">#REF!</definedName>
    <definedName name="Excel_BuiltIn_Print_Area_14_1_16_27">#REF!</definedName>
    <definedName name="__xlnm._FilterDatabase">#REF!</definedName>
    <definedName name="SS_Avg_OS">#REF!</definedName>
    <definedName name="Excel_BuiltIn_Print_Area_16_1_1_16_1">#REF!</definedName>
    <definedName name="ESC_BOHW">#REF!</definedName>
    <definedName name="ETUDEBT">#REF!</definedName>
    <definedName name="______xlnm._FilterDatabase_2">#REF!</definedName>
    <definedName name="EP_GM">#REF!</definedName>
    <definedName name="Excel_BuiltIn_Print_Area_16_1_1_20_16">#REF!</definedName>
    <definedName name="MAN_SALE">#REF!</definedName>
    <definedName name="Excel_BuiltIn_Print_Area_4_1_1_14_2">#REF!</definedName>
    <definedName name="____xlnm.Print_Area_10">#REF!</definedName>
    <definedName name="_____________________TAB1">#REF!</definedName>
    <definedName name="_a655601">#REF!</definedName>
    <definedName name="____acs2">#REF!</definedName>
    <definedName name="Excel_BuiltIn_Print_Area_11_1_13">#REF!</definedName>
    <definedName name="unitD">#REF!</definedName>
    <definedName name="_PB1">#REF!</definedName>
    <definedName name="ss8_ec_v">#REF!</definedName>
    <definedName name="Excel_BuiltIn_Print_Area_14_1_2_16">#REF!</definedName>
    <definedName name="___DAT6">#REF!</definedName>
    <definedName name="Excel_BuiltIn_Print_Area_17_1_10_2">#REF!</definedName>
    <definedName name="IRRPH">#REF!</definedName>
    <definedName name="TRAV">#REF!</definedName>
    <definedName name="Excel_BuiltIn_Print_Area_13_1_20">#REF!</definedName>
    <definedName localSheetId="8" name="_A10">#REF!</definedName>
    <definedName name="Rg">#REF!</definedName>
    <definedName name="Excel_BuiltIn_Print_Area_16_1_1_7_16">#REF!</definedName>
    <definedName name="If_1">#REF!</definedName>
    <definedName name="______8__123Graph_BCHART_1">#REF!</definedName>
    <definedName name="hxa">#REF!</definedName>
    <definedName name="rx">#REF!</definedName>
    <definedName name="______tab2">#REF!</definedName>
    <definedName name="Excel_BuiltIn_Print_Area_13_1_16_27">#REF!</definedName>
    <definedName name="Kwto">#REF!</definedName>
    <definedName name="TL_AGWC">#REF!</definedName>
    <definedName name="__DAT15">#REF!</definedName>
    <definedName name="Excel_BuiltIn_Print_Area_16_1_1_2">#REF!</definedName>
    <definedName name="__________b111121">#REF!</definedName>
    <definedName name="EM_029_17">#REF!</definedName>
    <definedName name="간노2">#REF!</definedName>
    <definedName name="_________________in18900">#REF!</definedName>
    <definedName localSheetId="8" name="kt">#REF!</definedName>
    <definedName name="TL_Deprn">#REF!</definedName>
    <definedName name="_A8">#REF!</definedName>
    <definedName name="ENGG">#REF!</definedName>
    <definedName name="CBR500CTL">#REF!</definedName>
    <definedName name="조직">#REF!</definedName>
    <definedName name="IE_AM">#REF!</definedName>
    <definedName name="Excel_BuiltIn_Print_Area_16_1_1_14_2">#REF!</definedName>
    <definedName name="XRefPaste27">#REF!</definedName>
    <definedName name="cashflow">#REF!</definedName>
    <definedName name="EM_066_16">#REF!</definedName>
    <definedName name="Excel_BuiltIn_Print_Area_3_1_1_1">#REF!</definedName>
    <definedName name="Excel_BuiltIn_Print_Area_1_1_4">#REF!</definedName>
    <definedName name="Excel_BuiltIn_Print_Area_8_1_3_4">#REF!</definedName>
    <definedName name="_______SS408">#REF!</definedName>
    <definedName name="Int_Topsheet">#REF!</definedName>
    <definedName name="Cs___0">#REF!</definedName>
    <definedName name="eela2">#REF!</definedName>
    <definedName name="__________________lb2">#REF!</definedName>
    <definedName name="Excel_BuiltIn__FilterDatabase_28_16">#REF!</definedName>
    <definedName name="___vr1">#REF!</definedName>
    <definedName name="Excel_BuiltIn_Print_Area_17_1_1_8_4">#REF!</definedName>
    <definedName name="Excel_BuiltIn_Print_Area_28_16_16">#REF!</definedName>
    <definedName name="PR">#REF!</definedName>
    <definedName name="XRefPaste9Row">#REF!</definedName>
    <definedName name="_HE5">#REF!</definedName>
    <definedName name="Stg_Sub">#REF!</definedName>
    <definedName localSheetId="8" name="__________A65537">#REF!</definedName>
    <definedName name="SS_Nov">#REF!</definedName>
    <definedName name="cld">#REF!</definedName>
    <definedName name="Z1x">#REF!</definedName>
    <definedName name="_____________________________xlnm.Print_Area_2">#REF!</definedName>
    <definedName name="Excel_BuiltIn_Print_Area_17_1_9">#REF!</definedName>
    <definedName name="EM_011_12">#REF!</definedName>
    <definedName name="Excel_BuiltIn_Print_Area_8_1_1_3_27">#REF!</definedName>
    <definedName name="XREF_COLUMN_6">#REF!</definedName>
    <definedName name="rdc">#REF!</definedName>
    <definedName name="LMO">#REF!</definedName>
    <definedName name="AC_DESIGN">#REF!</definedName>
    <definedName name="______7__123Graph_ACHART_1">#REF!</definedName>
    <definedName name="Excel_BuiltIn_Print_Area_7_1_20_27">#REF!</definedName>
    <definedName name="Excel_BuiltIn_Print_Area_9_1_1_16">#REF!</definedName>
    <definedName name="oh_work_sept">#REF!</definedName>
    <definedName name="_______________________IDA1">#REF!</definedName>
    <definedName name="___dol12">#REF!</definedName>
    <definedName name="BaseDiesel">#REF!</definedName>
    <definedName name="Excel_BuiltIn_Print_Area_5_3">#REF!</definedName>
    <definedName name="________KEY3">#REF!</definedName>
    <definedName localSheetId="8" name="_Ism3">#REF!</definedName>
    <definedName name="Excel_BuiltIn_Print_Area_15_1_10_16">#REF!</definedName>
    <definedName name="ff">#REF!</definedName>
    <definedName name="CP새단가">#REF!</definedName>
    <definedName name="Excel_BuiltIn_Print_Area_2_1_9_4">#REF!</definedName>
    <definedName name="Qi___0">#REF!</definedName>
    <definedName name="BaseClayProducts">#REF!</definedName>
    <definedName name="M25_Metal20mm">#REF!</definedName>
    <definedName name="Excel_BuiltIn_Print_Area_2_1_8_4">#REF!</definedName>
    <definedName name="DEPTH">#REF!</definedName>
    <definedName name="Z0eq4.16">#REF!</definedName>
    <definedName name="EM_010_8">#REF!</definedName>
    <definedName name="JOINT">#REF!</definedName>
    <definedName name="Ql___0">#REF!</definedName>
    <definedName name="STATEMENT_3">#REF!</definedName>
    <definedName name="Excel_BuiltIn_Print_Area_4_1_5_4">#REF!</definedName>
    <definedName name="Excel_BuiltIn_Print_Area_7_1_2_27">#REF!</definedName>
    <definedName name="PERSONNEL">#REF!</definedName>
    <definedName name="Excel_BuiltIn_Print_Area_2_1_13_4">#REF!</definedName>
    <definedName name="line">#REF!</definedName>
    <definedName name="BD1TransName2">#REF!</definedName>
    <definedName name="DATA_19">#REF!</definedName>
    <definedName name="Transport">#REF!</definedName>
    <definedName name="__________________________xlnm.Print_Area_1">#REF!</definedName>
    <definedName localSheetId="8" name="dk">#REF!</definedName>
    <definedName name="ne">#REF!</definedName>
    <definedName name="Excel_BuiltIn_Print_Area_11_1">#REF!</definedName>
    <definedName name="_____DAT3">#REF!</definedName>
    <definedName name="Excel_BuiltIn_Print_Area_3_1_1">#REF!</definedName>
    <definedName name="eehr">#REF!</definedName>
    <definedName name="__mlc33">#REF!</definedName>
    <definedName name="______Xl1">#REF!</definedName>
    <definedName name="_12Excel_BuiltIn_Print_Area_4_1_1_1_1_1_1_1_1_1_1_1">#REF!</definedName>
    <definedName name="EH_002_13">#REF!</definedName>
    <definedName name="___lb2">#REF!</definedName>
    <definedName name="mcabb5002i1bc8f">#REF!</definedName>
    <definedName localSheetId="8" name="_____________A65537">#REF!</definedName>
    <definedName name="Excel_BuiltIn_Print_Area_14_1_16_1">#REF!</definedName>
    <definedName name="Group_PY1">#REF!</definedName>
    <definedName name="issue_summ">#REF!</definedName>
    <definedName name="StaffGrades">#REF!</definedName>
    <definedName name="XRefPaste42Row">#REF!</definedName>
    <definedName name="cfre">#REF!</definedName>
    <definedName name="GFGFG">#REF!</definedName>
    <definedName name="Excel_BuiltIn_Print_Area_5_1_8_16">#REF!</definedName>
    <definedName name="Ki1___0">#REF!</definedName>
    <definedName name="___TR500">#REF!</definedName>
    <definedName name="EM_008_2">#REF!</definedName>
    <definedName localSheetId="8" name="_MMB220">#REF!</definedName>
    <definedName name="sales">#REF!</definedName>
    <definedName name="regions">#REF!</definedName>
    <definedName name="______A81614">#REF!</definedName>
    <definedName name="EM_033_3">#REF!</definedName>
    <definedName localSheetId="8" name="af">#REF!</definedName>
    <definedName localSheetId="8" name="ADD">#REF!</definedName>
    <definedName name="________cem124">#REF!</definedName>
    <definedName name="Excel_BuiltIn_Print_Area_14_1_14_27">#REF!</definedName>
    <definedName name="__RE220">#REF!</definedName>
    <definedName name="MANU222">#REF!</definedName>
    <definedName name="TL_Avg_Adv">#REF!</definedName>
    <definedName name="_______xlnm.Print_Titles_1">#REF!</definedName>
    <definedName name="Z2A">#REF!</definedName>
    <definedName name="Excel_BuiltIn_Print_Area_8_1_3_2">#REF!</definedName>
    <definedName localSheetId="8" name="LBA">#REF!</definedName>
    <definedName name="Excel_BuiltIn_Print_Area_1_27">#REF!</definedName>
    <definedName name="EM_058_17">#REF!</definedName>
    <definedName name="EM_029_14">#REF!</definedName>
    <definedName name="__axx6">#REF!</definedName>
    <definedName name="Excel_BuiltIn_Print_Area_5_12">#REF!</definedName>
    <definedName name="________________xlnm.Print_Area_13">#REF!</definedName>
    <definedName name="TIL">#REF!</definedName>
    <definedName name="EM_001_2">#REF!</definedName>
    <definedName name="________mm2">#REF!</definedName>
    <definedName name="Excel_BuiltIn_Print_Area_12_1_12_2">#REF!</definedName>
    <definedName name="Pancham">#REF!</definedName>
    <definedName name="_______SAP1">#REF!</definedName>
    <definedName name="Excel_BuiltIn_Print_Area_5_12_4">#REF!</definedName>
    <definedName name="Excel_BuiltIn_Print_Area_12_1_1_12">#REF!</definedName>
    <definedName name="JHA">#REF!</definedName>
    <definedName name="CM_14">#REF!</definedName>
    <definedName name="_Parse_In">#REF!</definedName>
    <definedName name="EM_038_2">#REF!</definedName>
    <definedName name="_RE220">#REF!</definedName>
    <definedName name="Excel_BuiltIn_Print_Area_15_1_16">#REF!</definedName>
    <definedName name="M_WellGradedGranularBaseMaterial_GradeA_265_475mm">#REF!</definedName>
    <definedName name="HN">#REF!</definedName>
    <definedName name="XRefPaste6Row">#REF!</definedName>
    <definedName name="__SS404">#REF!</definedName>
    <definedName name="Excel_BuiltIn_Print_Area_10_1_20_27">#REF!</definedName>
    <definedName name="VertPltWt">#REF!</definedName>
    <definedName name="ISO1E500">#REF!</definedName>
    <definedName name="PATH3">#REF!</definedName>
    <definedName name="Bilu3">#REF!</definedName>
    <definedName name="Excel_BuiltIn_Print_Area_3_1_14_4">#REF!</definedName>
    <definedName name="Excel_BuiltIn_Print_Area_16_1_12_4">#REF!</definedName>
    <definedName name="BL2AA">#REF!</definedName>
    <definedName name="Excel_BuiltIn_Print_Area_2_1_1_1_37">#REF!</definedName>
    <definedName name="PS___0">#REF!</definedName>
    <definedName name="option">#REF!</definedName>
    <definedName name="_IDA1">#REF!</definedName>
    <definedName name="________xlnm.Print_Area_9">#REF!</definedName>
    <definedName name="Excel_BuiltIn_Print_Area_5_1_16_2">#REF!</definedName>
    <definedName name="_3_______123Graph_CCHART_1">#REF!</definedName>
    <definedName name="_T144600">#REF!</definedName>
    <definedName name="z0at">#REF!</definedName>
    <definedName name="Excel_BuiltIn_Print_Area_13_1_3_16">#REF!</definedName>
    <definedName name="Im">#REF!</definedName>
    <definedName name="Forecast">#REF!</definedName>
    <definedName name="___xlnm._FilterDatabase">#REF!</definedName>
    <definedName name="Excel_BuiltIn_Print_Area_7_1_15_27">#REF!</definedName>
    <definedName name="_________________________b111121">#REF!</definedName>
    <definedName name="_____SAP2">#REF!</definedName>
    <definedName name="rtfr">#REF!</definedName>
    <definedName name="Di">#REF!</definedName>
    <definedName name="Excel_BuiltIn__FilterDatabase_1_16">#REF!</definedName>
    <definedName name="za">#REF!</definedName>
    <definedName name="___SC25">#REF!</definedName>
    <definedName name="EM_008_1">#REF!</definedName>
    <definedName name="________5___123Graph_BCHART_1">#REF!</definedName>
    <definedName name="Excel_BuiltIn_Print_Area_13_1_5_1">#REF!</definedName>
    <definedName name="Excel_BuiltIn_Print_Area_5_12_16">#REF!</definedName>
    <definedName name="bhaska1">#REF!</definedName>
    <definedName name="_aoc4">#REF!</definedName>
    <definedName name="Excel_BuiltIn_Print_Area_12_1_1_7_27">#REF!</definedName>
    <definedName name="___A9">#REF!</definedName>
    <definedName name="_SAP8">#REF!</definedName>
    <definedName name="QFC_FIs">#REF!</definedName>
    <definedName name="_____SC22">#REF!</definedName>
    <definedName name="Excel_BuiltIn_Print_Area_7_1_1_1_1_27">#REF!</definedName>
    <definedName name="dcrwk1">#REF!</definedName>
    <definedName name="EM_006_3">#REF!</definedName>
    <definedName name="EM_035_18">#REF!</definedName>
    <definedName name="lmcsmsb.3">#REF!</definedName>
    <definedName name="_____________________________________dol12">#REF!</definedName>
    <definedName name="lcabbic">#REF!</definedName>
    <definedName name="EEpi">#REF!</definedName>
    <definedName name="_______A91614">#REF!</definedName>
    <definedName name="__ISO220">#REF!</definedName>
    <definedName name="____hxb1">#REF!</definedName>
    <definedName name="Excel_BuiltIn_Print_Area_15_1_15">#REF!</definedName>
    <definedName name="lso">#REF!</definedName>
    <definedName name="____DAT13">#REF!</definedName>
    <definedName name="bcgf">#REF!</definedName>
    <definedName name="erec">#REF!</definedName>
    <definedName name="____Rl1">#REF!</definedName>
    <definedName name="DL_Total_Cost_002FC">#REF!</definedName>
    <definedName name="_____a1">#REF!</definedName>
    <definedName name="Excel_BuiltIn_Print_Area_10_1_14">#REF!</definedName>
    <definedName name="_____________dol6">#REF!</definedName>
    <definedName name="_RE44">#REF!</definedName>
    <definedName name="BD1EventIndMax">#REF!</definedName>
    <definedName name="check">#REF!</definedName>
    <definedName name="Excel_BuiltIn_Print_Area_5_7">#REF!</definedName>
    <definedName name="MHs_per_MM">#REF!</definedName>
    <definedName name="RFP003B">#REF!</definedName>
    <definedName name="_________________A81614">#REF!</definedName>
    <definedName name="aq">#REF!</definedName>
    <definedName name="Excel_BuiltIn_Print_Area_2_1_17_4">#REF!</definedName>
    <definedName name="XRefCopy44Row">#REF!</definedName>
    <definedName name="Excel_BuiltIn_Print_Area_16_1_7_4">#REF!</definedName>
    <definedName name="GTTA">#REF!</definedName>
    <definedName localSheetId="8" name="hS___0">#REF!</definedName>
    <definedName name="IG138.0">#REF!</definedName>
    <definedName name="Excel_BuiltIn_Print_Area_3_1_1_16">#REF!</definedName>
    <definedName name="EM_018_4">#REF!</definedName>
    <definedName name="uifsyi">#REF!</definedName>
    <definedName name="_10Excel_BuiltIn_Print_Area_3_1">#REF!</definedName>
    <definedName name="_________xlnm.Print_Area_1">#REF!</definedName>
    <definedName name="Excel_BuiltIn_Print_Area_2_1_1_9">#REF!</definedName>
    <definedName name="Excel_BuiltIn_Print_Area_3_1_11_2">#REF!</definedName>
    <definedName name="_____________m234">#REF!</definedName>
    <definedName name="Excel_BuiltIn_Print_Area_7_1_9">#REF!</definedName>
    <definedName name="ric">#REF!</definedName>
    <definedName name="hS">#REF!</definedName>
    <definedName name="WT">#REF!</definedName>
    <definedName name="m8_civ_v">#REF!</definedName>
    <definedName name="wu">#REF!</definedName>
    <definedName name="__CVT220">#REF!</definedName>
    <definedName name="Excel_BuiltIn_Print_Area_9_1_9_27">#REF!</definedName>
    <definedName name="EM_009_13">#REF!</definedName>
    <definedName name="inspol">#REF!</definedName>
    <definedName name="___cff2">#REF!</definedName>
    <definedName name="EM_034_4">#REF!</definedName>
    <definedName name="OPEX_M7">#REF!</definedName>
    <definedName name="eto">#REF!</definedName>
    <definedName name="EH_001_2">#REF!</definedName>
    <definedName name="ipc">#REF!</definedName>
    <definedName name="_15Excel_BuiltIn_Print_Area_3_1">#REF!</definedName>
    <definedName name="Excel_BuiltIn_Print_Area_5_1_17_27">#REF!</definedName>
    <definedName name="__ifa2">#REF!</definedName>
    <definedName name="printedname">#REF!</definedName>
    <definedName name="dgv">#REF!</definedName>
    <definedName name="_________________________________________________________iv19000">#REF!</definedName>
    <definedName name="__xlnm.Print_Area">#REF!</definedName>
    <definedName name="_10__123Graph_BCHART_1">#REF!</definedName>
    <definedName name="EM_023_1">#REF!</definedName>
    <definedName name="x3x">#REF!</definedName>
    <definedName name="fto">#REF!</definedName>
    <definedName name="Excel_BuiltIn_Print_Area_15_1_8_2">#REF!</definedName>
    <definedName name="Excel_BuiltIn_Print_Area_10_1_10_16">#REF!</definedName>
    <definedName name="Excel_BuiltIn_Print_Area_7_1_14_16">#REF!</definedName>
    <definedName name="tb">#REF!</definedName>
    <definedName name="_______________________xlnm.Print_Area_2">#REF!</definedName>
    <definedName name="Agr12mm">#REF!</definedName>
    <definedName name="Excel_BuiltIn_Print_Area_10_8_16">#REF!</definedName>
    <definedName name="Excel_BuiltIn_Print_Area_17_1_17">#REF!</definedName>
    <definedName name="_23G__Extr">#REF!</definedName>
    <definedName name="BD1TransEvent1">#REF!</definedName>
    <definedName name="________________f1">#REF!</definedName>
    <definedName name="___LAR500">#REF!</definedName>
    <definedName name="EM_004_4">#REF!</definedName>
    <definedName name="Excel_BuiltIn_Print_Area_3_2">#REF!</definedName>
    <definedName name="___SS405">#REF!</definedName>
    <definedName name="____xlnm.Print_Area_13">#REF!</definedName>
    <definedName name="man___0">#REF!</definedName>
    <definedName name="Excel_BuiltIn_Print_Area_5_16_1">#REF!</definedName>
    <definedName name="TL_Avg_VC">#REF!</definedName>
    <definedName name="swd_er">#REF!</definedName>
    <definedName name="SALARIES___WAGES">#REF!</definedName>
    <definedName name="Percent_Value">#REF!</definedName>
    <definedName name="abab">#REF!</definedName>
    <definedName name="StartLine">#REF!</definedName>
    <definedName name="______________A91614">#REF!</definedName>
    <definedName name="EM_005_11">#REF!</definedName>
    <definedName name="sCHE4">#REF!</definedName>
    <definedName name="Excel_BuiltIn_Print_Area_3_1_1_1_2_1">#REF!</definedName>
    <definedName name="PRINT_AREA_MI___0">#REF!</definedName>
    <definedName name="DDD">#REF!</definedName>
    <definedName name="sfearthing_usd">#REF!</definedName>
    <definedName name="tables">#REF!</definedName>
    <definedName name="_____Rs1">#REF!</definedName>
    <definedName name="__________xlnm.Print_Area_13">#REF!</definedName>
    <definedName name="______________f1">#REF!</definedName>
    <definedName name="QFC_DEMspa">#REF!</definedName>
    <definedName name="ss9_st_w">#REF!</definedName>
    <definedName name="_____xlnm.Print_Area_10">#REF!</definedName>
    <definedName name="QTY">#REF!</definedName>
    <definedName name="CIF_NonABB_local">#REF!</definedName>
    <definedName name="_3">#REF!</definedName>
    <definedName name="lmcmltsb">#REF!</definedName>
    <definedName name="QFC_S01">#REF!</definedName>
    <definedName name="p1ltsba1">#REF!</definedName>
    <definedName name="PATH55">#REF!</definedName>
    <definedName name="CIF_AIC_Imp">#REF!</definedName>
    <definedName name="Qv">#REF!</definedName>
    <definedName name="Excel_BuiltIn_Print_Area_6_1_10_2">#REF!</definedName>
    <definedName name="Excel_BuiltIn_Print_Area_16_1_1_2_27">#REF!</definedName>
    <definedName name="SHV">#REF!</definedName>
    <definedName name="___cth2">#REF!</definedName>
    <definedName name="EM_009_11">#REF!</definedName>
    <definedName name="MANU11">#REF!</definedName>
    <definedName name="Excel_BuiltIn_Print_Area_8_1_1_10">#REF!</definedName>
    <definedName name="b2x">#REF!</definedName>
    <definedName name="EM_007_3">#REF!</definedName>
    <definedName name="EP_OCL">#REF!</definedName>
    <definedName name="Tip">#REF!</definedName>
    <definedName name="XRefPaste19">#REF!</definedName>
    <definedName name="M40cement">#REF!</definedName>
    <definedName name="Excel_BuiltIn_Print_Area_6_1_13_4">#REF!</definedName>
    <definedName name="TEST13">#REF!</definedName>
    <definedName name="_14____123Graph_BCHART_1">#REF!</definedName>
    <definedName name="BD1TransCost2">#REF!</definedName>
    <definedName name="EM_005_12">#REF!</definedName>
    <definedName name="sfcon_usd">#REF!</definedName>
    <definedName name="_____hfi5">#REF!</definedName>
    <definedName name="fs">#REF!</definedName>
    <definedName name="Excel_BuiltIn_Print_Area_7_1_11_27">#REF!</definedName>
    <definedName name="Excel_BuiltIn_Print_Area_7_1_16">#REF!</definedName>
    <definedName name="ED_list">#REF!</definedName>
    <definedName name="EM_001_12">#REF!</definedName>
    <definedName name="Excel_BuiltIn_Print_Area_10_1_13">#REF!</definedName>
    <definedName name="Excel_BuiltIn_Print_Area_5_1_5_1">#REF!</definedName>
    <definedName name="___m20">#REF!</definedName>
    <definedName name="_____VS2004">#REF!</definedName>
    <definedName name="Stg_Super">#REF!</definedName>
    <definedName name="TL_GM">#REF!</definedName>
    <definedName name="PM_ThreeWheeled_80_100kN_StaticRoller">#REF!</definedName>
    <definedName name="EM_013_2">#REF!</definedName>
    <definedName localSheetId="8" name="__123Graph_F">#REF!</definedName>
    <definedName name="Excel_BuiltIn_Print_Area_12_1_1_13_4">#REF!</definedName>
    <definedName name="atype3.0">#REF!</definedName>
    <definedName name="Excel_BuiltIn_Print_Area_4_1_1_8_27">#REF!</definedName>
    <definedName name="_1_______123Graph_ACHART_1">#REF!</definedName>
    <definedName name="BONPSCHE">#REF!</definedName>
    <definedName name="EM_060_15">#REF!</definedName>
    <definedName name="lku">#REF!</definedName>
    <definedName name="_iv19000">#REF!</definedName>
    <definedName name="Dm">#REF!</definedName>
    <definedName name="UNITC">#REF!</definedName>
    <definedName name="EP_Sales_Cust">#REF!</definedName>
    <definedName name="EM_034_12">#REF!</definedName>
    <definedName name="STATEMENT_1">#REF!</definedName>
    <definedName name="EM_027_17">#REF!</definedName>
    <definedName name="EM_018_2">#REF!</definedName>
    <definedName name="Depth_above_FGL">#REF!</definedName>
    <definedName name="Excel_BuiltIn_Print_Area_5_1_2_4">#REF!</definedName>
    <definedName name="Excel_BuiltIn_Print_Area_5_3_2">#REF!</definedName>
    <definedName name="Excel_BuiltIn_Print_Area_19_1_27">#REF!</definedName>
    <definedName name="Value54">#REF!</definedName>
    <definedName name="Excel_BuiltIn_Print_Area_5_1_2_16">#REF!</definedName>
    <definedName name="hfi">#REF!</definedName>
    <definedName name="__Tkl1">#REF!</definedName>
    <definedName name="HYSD">#REF!</definedName>
    <definedName name="p1apcc2">#REF!</definedName>
    <definedName name="PATH1">#REF!</definedName>
    <definedName name="rmcsmsb.b">#REF!</definedName>
    <definedName name="ss8_st_w">#REF!</definedName>
    <definedName name="Excel_BuiltIn_Print_Area_28_13_27">#REF!</definedName>
    <definedName name="____A2">#REF!</definedName>
    <definedName name="EM_026_9">#REF!</definedName>
    <definedName name="Excel_BuiltIn_Print_Area_6_1_10_4">#REF!</definedName>
    <definedName name="DMUSD">#REF!</definedName>
    <definedName name="ESC_TRSW">#REF!</definedName>
    <definedName name="Excel_BuiltIn_Print_Area_16_1_13_27">#REF!</definedName>
    <definedName name="SelectLessOrExcess">#REF!</definedName>
    <definedName name="_________________________________________dol12">#REF!</definedName>
    <definedName name="표지1">#REF!</definedName>
    <definedName name="______________________________________________xlnm.Print_Titles_1">#REF!</definedName>
    <definedName name="MPMOB">#REF!</definedName>
    <definedName name="FRANCS">#REF!</definedName>
    <definedName name="Excel_BuiltIn_Print_Area_5_11_4">#REF!</definedName>
    <definedName name="Excel_BuiltIn_Print_Area_6_1_8">#REF!</definedName>
    <definedName name="snlkjhsljbhdsjbkj">#REF!</definedName>
    <definedName name="___axx2">#REF!</definedName>
    <definedName name="SS_GM">#REF!</definedName>
    <definedName name="Excel_BuiltIn_Print_Area_4_1_2_2">#REF!</definedName>
    <definedName name="_mm3">#REF!</definedName>
    <definedName localSheetId="8" name="CVT">#REF!</definedName>
    <definedName name="Excel_BuiltIn_Print_Area_16_1_1_3_16">#REF!</definedName>
    <definedName name="_24Excel_BuiltIn_Print_Area_9_1">#REF!</definedName>
    <definedName name="EM_021_2">#REF!</definedName>
    <definedName name="XRefCopy34Row">#REF!</definedName>
    <definedName name="_5___________123Graph_BCHART_1">#REF!</definedName>
    <definedName name="EM_073_14">#REF!</definedName>
    <definedName name="___g1">#REF!</definedName>
    <definedName name="DEED">#REF!</definedName>
    <definedName name="_nt75">#REF!</definedName>
    <definedName name="Excel_BuiltIn_Print_Area_5_7_4">#REF!</definedName>
    <definedName name="Excel_BuiltIn_Print_Area_17_1_15_16">#REF!</definedName>
    <definedName name="Excel_BuiltIn_Print_Area_17_1_9_27">#REF!</definedName>
    <definedName name="___cli3">#REF!</definedName>
    <definedName name="ch_area3">#REF!</definedName>
    <definedName name="IE_Adv">#REF!</definedName>
    <definedName name="Excel_BuiltIn_Print_Area_14_1_20_16">#REF!</definedName>
    <definedName name="EM_037_1">#REF!</definedName>
    <definedName name="_axx2">#REF!</definedName>
    <definedName name="_T143600">#REF!</definedName>
    <definedName name="n2x">#REF!</definedName>
    <definedName name="_SV7045">#REF!</definedName>
    <definedName name="Excel_BuiltIn_Print_Area_5_1_1_3_27">#REF!</definedName>
    <definedName name="Tres">#REF!</definedName>
    <definedName name="ADD">#REF!</definedName>
    <definedName name="EM_033_6">#REF!</definedName>
    <definedName name="____________lb1">#REF!</definedName>
    <definedName name="________SAP6">#REF!</definedName>
    <definedName name="Risk">#REF!</definedName>
    <definedName name="fullview">#REF!</definedName>
    <definedName name="TYPE_OF_LINE">#REF!</definedName>
    <definedName name="Excel_BuiltIn_Print_Area_4_1_1_17_27">#REF!</definedName>
    <definedName name="loi">#REF!</definedName>
    <definedName name="Excel_BuiltIn_Print_Area_7_1_7_27">#REF!</definedName>
    <definedName name="p1mcc13">#REF!</definedName>
    <definedName name="______xlnm.Print_Area_1">#REF!</definedName>
    <definedName name="____TR220">#REF!</definedName>
    <definedName name="Excel_BuiltIn_Print_Area_5_1_1_10_27">#REF!</definedName>
    <definedName name="Excel_BuiltIn_Print_Area_17_1_1_2">#REF!</definedName>
    <definedName name="H0___0">#REF!</definedName>
    <definedName name="CAPOCT">#REF!</definedName>
    <definedName name="Excel_BuiltIn_Print_Area_7_1_9_2">#REF!</definedName>
    <definedName name="Excel_BuiltIn_Print_Area_16_1_15_27">#REF!</definedName>
    <definedName name="Excel_BuiltIn_Print_Area_10_1_1_4_1">#REF!</definedName>
    <definedName name="CONT_M4">#REF!</definedName>
    <definedName name="Excel_BuiltIn_Print_Area_16_1_11">#REF!</definedName>
    <definedName name="Excel_BuiltIn_Print_Area_10_1_1_4">#REF!</definedName>
    <definedName name="Excel_BuiltIn_Print_Area_5_12_27">#REF!</definedName>
    <definedName name="Excel_BuiltIn_Print_Area_15_1_10_4">#REF!</definedName>
    <definedName name="ChartData_Weekly">#REF!</definedName>
    <definedName name="swd_Adl_dis">#REF!</definedName>
    <definedName name="Excel_BuiltIn__FilterDatabase_28_27">#REF!</definedName>
    <definedName name="M15cement">#REF!</definedName>
    <definedName name="XRefCopy64">#REF!</definedName>
    <definedName name="____cli2">#REF!</definedName>
    <definedName name="clol">#REF!</definedName>
    <definedName name="Excel_BuiltIn_Print_Area_17_1_20_27">#REF!</definedName>
    <definedName name="Excel_BuiltIn_Print_Area_12_1_1">#REF!</definedName>
    <definedName name="Excel_BuiltIn_Print_Area_8_1_11_4">#REF!</definedName>
    <definedName name="___iv19000">#REF!</definedName>
    <definedName name="dcrwk9">#REF!</definedName>
    <definedName name="________________lb2">#REF!</definedName>
    <definedName name="NERSS">#REF!</definedName>
    <definedName name="dol7.5">#REF!</definedName>
    <definedName name="EM_035_1">#REF!</definedName>
    <definedName name="Excel_BuiltIn_Print_Area_7_1_8">#REF!</definedName>
    <definedName name="XRefCopy39Row">#REF!</definedName>
    <definedName name="RCC">#REF!</definedName>
    <definedName name="Excel_BuiltIn_Print_Area_28_16_4">#REF!</definedName>
    <definedName name="Excel_BuiltIn_Print_Area_2_1_1_1_3">#REF!</definedName>
    <definedName name="_DAT16">#REF!</definedName>
    <definedName name="XRefPaste2">#REF!</definedName>
    <definedName name="____DET2">#REF!</definedName>
    <definedName name="ss8_cond_f">#REF!</definedName>
    <definedName name="Value35">#REF!</definedName>
    <definedName name="msjune1807">#REF!</definedName>
    <definedName name="sw">#REF!</definedName>
    <definedName name="Excel_BuiltIn_Print_Area_12_1_1_11_16">#REF!</definedName>
    <definedName name="Excel_BuiltIn_Print_Area_11_1_10_2">#REF!</definedName>
    <definedName name="Excel_BuiltIn_Print_Area_17_1_15_4">#REF!</definedName>
    <definedName localSheetId="8" name="Result33">#REF!</definedName>
    <definedName name="_9Excel_BuiltIn_Print_Area_4_1_1_1_1_1">#REF!</definedName>
    <definedName name="____xlnm._FilterDatabase_1">#REF!</definedName>
    <definedName name="Ks___0">#REF!</definedName>
    <definedName name="mbn">#REF!</definedName>
    <definedName name="Excel_BuiltIn_Print_Area_17_1_15_2">#REF!</definedName>
    <definedName name="____g1">#REF!</definedName>
    <definedName name="building___11">#REF!</definedName>
    <definedName name="Kii___13">#REF!</definedName>
    <definedName name="___acs2">#REF!</definedName>
    <definedName name="EH_001_16">#REF!</definedName>
    <definedName name="________xlnm.Print_Area_2">#REF!</definedName>
    <definedName name="___CTR500">#REF!</definedName>
    <definedName name="Excel_BuiltIn_Print_Area_8_1_1_16_4">#REF!</definedName>
    <definedName name="DAS">#REF!</definedName>
    <definedName name="기타">#REF!</definedName>
    <definedName localSheetId="8" name="___Ism3">#REF!</definedName>
    <definedName name="ACDC220">#REF!</definedName>
    <definedName name="Excel_BuiltIn_Print_Area_12_1_8_2">#REF!</definedName>
    <definedName name="Overall_Mth">#REF!</definedName>
    <definedName name="_mhr4">#REF!</definedName>
    <definedName name="EM_072_17">#REF!</definedName>
    <definedName name="EM_059_15">#REF!</definedName>
    <definedName name="Excel_BuiltIn_Print_Area_4_1_12_27">#REF!</definedName>
    <definedName name="DL_Total_Peak">#REF!</definedName>
    <definedName name="BD1TransStateLogic1">#REF!</definedName>
    <definedName name="EM_034_9">#REF!</definedName>
    <definedName name="QFC_BO">#REF!</definedName>
    <definedName name="Z2eq4.16">#REF!</definedName>
    <definedName name="Sched_Pay">#REF!</definedName>
    <definedName name="CATREC">#REF!</definedName>
    <definedName name="Excel_BuiltIn_Recorder">#REF!</definedName>
    <definedName name="XRefPaste32Row">#REF!</definedName>
    <definedName name="K___0">#REF!</definedName>
    <definedName name="PATH11">#REF!</definedName>
    <definedName name="Excel_BuiltIn_Print_Area_15_1_15_4">#REF!</definedName>
    <definedName name="Ig___13">#REF!</definedName>
    <definedName name="__mm3">#REF!</definedName>
    <definedName localSheetId="8" name="ABACUS">#REF!</definedName>
    <definedName name="Value45">#REF!</definedName>
    <definedName name="Excel_BuiltIn_Print_Area_16_1_1_15_27">#REF!</definedName>
    <definedName name="EM_036_10">#REF!</definedName>
    <definedName name="____cli3">#REF!</definedName>
    <definedName name="ASHOKA">#REF!</definedName>
    <definedName name="Excel_BuiltIn_Print_Area_17_1_1_1_1_2">#REF!</definedName>
    <definedName name="Excel_BuiltIn_Print_Area_14_1_12_16">#REF!</definedName>
    <definedName name="Print_Area_2">#REF!</definedName>
    <definedName name="JobID">#REF!</definedName>
    <definedName name="tnr">#REF!</definedName>
    <definedName name="EM_019_12">#REF!</definedName>
    <definedName name="________________________iv19000">#REF!</definedName>
    <definedName name="Excel_BuiltIn_Print_Area_14_1_7_27">#REF!</definedName>
    <definedName name="DaRWk1">#REF!</definedName>
    <definedName name="rwrqwr">#REF!</definedName>
    <definedName name="________________________________________________iv19000">#REF!</definedName>
    <definedName name="lc1i5f">#REF!</definedName>
    <definedName name="__INT1">#REF!</definedName>
    <definedName name="bUB">#REF!</definedName>
    <definedName name="MC_AIC_Imp">#REF!</definedName>
    <definedName name="Excel_BuiltIn_Print_Area_17_1_4">#REF!</definedName>
    <definedName name="Edistr_TL">#REF!</definedName>
    <definedName name="Excel_BuiltIn_Print_Area_17_1_5">#REF!</definedName>
    <definedName name="________________________________xlnm.Print_Area_2">#REF!</definedName>
    <definedName name="XRefPaste50Row">#REF!</definedName>
    <definedName name="Excel_BuiltIn_Print_Area_29_10_2">#REF!</definedName>
    <definedName name="Excel_BuiltIn__FilterDatabase_1_27">#REF!</definedName>
    <definedName name="MainRelay">#REF!</definedName>
    <definedName name="_acs1">#REF!</definedName>
    <definedName name="Excel_BuiltIn_Print_Area_12_1_1_7_16">#REF!</definedName>
    <definedName name="EM_024_10">#REF!</definedName>
    <definedName name="Excel_BuiltIn_Print_Area_7_1_17_27">#REF!</definedName>
    <definedName name="Excel_BuiltIn_Print_Titles_2">#REF!</definedName>
    <definedName name="EM_012_7">#REF!</definedName>
    <definedName name="Excel_BuiltIn_Print_Area_9_1_1">#REF!</definedName>
    <definedName name="OPGW">#REF!</definedName>
    <definedName name="Excel_BuiltIn_Print_Area_6_1_5_1">#REF!</definedName>
    <definedName name="__DAT4">#REF!</definedName>
    <definedName name="LD_Analysis">#REF!</definedName>
    <definedName name="Excel_BuiltIn_Print_Area_2_1_9_2">#REF!</definedName>
    <definedName name="hoo">#REF!</definedName>
    <definedName name="Excel_BuiltIn_Print_Area_2_1_7_2">#REF!</definedName>
    <definedName name="_______dol6">#REF!</definedName>
    <definedName name="_22">#REF!</definedName>
    <definedName name="G083BAAN1">#REF!</definedName>
    <definedName name="ecfact">#REF!</definedName>
    <definedName name="Excel_BuiltIn_Print_Area_12_1_5_27">#REF!</definedName>
    <definedName name="EM_027_13">#REF!</definedName>
    <definedName name="Excel_BuiltIn_Print_Area_4_1_12_4">#REF!</definedName>
    <definedName name="______SAP1">#REF!</definedName>
    <definedName name="ISO2E500">#REF!</definedName>
    <definedName name="RFP004Material_Total_LC">#REF!</definedName>
    <definedName name="______aoc1">#REF!</definedName>
    <definedName name="ztpu___0">#REF!</definedName>
    <definedName name="Excel_BuiltIn_Print_Area_15_1_9_4">#REF!</definedName>
    <definedName name="Excel_BuiltIn_Print_Area_16_1_8_16">#REF!</definedName>
    <definedName name="_____WC3">#REF!</definedName>
    <definedName name="Excel_BuiltIn_Print_Area_2_1_1_10_4">#REF!</definedName>
    <definedName name="EM_025_11">#REF!</definedName>
    <definedName name="______________m234">#REF!</definedName>
    <definedName name="Rango_a_imprimir">#REF!</definedName>
    <definedName name="Excel_BuiltIn_Print_Area_9_1_16">#REF!</definedName>
    <definedName name="_________m234">#REF!</definedName>
    <definedName name="EM_019_8">#REF!</definedName>
    <definedName name="Excel_BuiltIn_Print_Area_4_1_1_1_1_1_1_1_1">#REF!</definedName>
    <definedName name="______pan1">#REF!</definedName>
    <definedName name="____cff2">#REF!</definedName>
    <definedName name="Excel_BuiltIn_Print_Area_14_1_5_4">#REF!</definedName>
    <definedName name="Excel_BuiltIn_Print_Area_16_1_1_6_16">#REF!</definedName>
    <definedName name="Excel_BuiltIn_Print_Area_3_1_13_4">#REF!</definedName>
    <definedName name="EM_014_13">#REF!</definedName>
    <definedName name="____sch9">#REF!</definedName>
    <definedName name="_____________m20">#REF!</definedName>
    <definedName name="Excel_BuiltIn_Print_Area_11_1_20_2">#REF!</definedName>
    <definedName name="Print_Area_1">#REF!</definedName>
    <definedName name="ss9_ec_f">#REF!</definedName>
    <definedName name="ISO">#REF!</definedName>
    <definedName name="EP_Avg_COI">#REF!</definedName>
    <definedName name="XRefActiveRow">#REF!</definedName>
    <definedName name="ProjectSubtitle">#REF!</definedName>
    <definedName name="Excel_BuiltIn_Print_Area_6_1_8_4">#REF!</definedName>
    <definedName name="___Wc1">#REF!</definedName>
    <definedName name="Excel_BuiltIn_Print_Area_6_1_5_16">#REF!</definedName>
    <definedName name="Excel_BuiltIn__FilterDatabase_31_1">#REF!</definedName>
    <definedName name="Excel_BuiltIn_Print_Area_4_1_1_16_16">#REF!</definedName>
    <definedName name="p1mpdb">#REF!</definedName>
    <definedName name="br3_selection">#REF!</definedName>
    <definedName name="BASHA">#REF!</definedName>
    <definedName name="_________________________xlnm.Print_Area_3">#REF!</definedName>
    <definedName name="___SC23">#REF!</definedName>
    <definedName name="EM_028_9">#REF!</definedName>
    <definedName name="____CBR500">#REF!</definedName>
    <definedName name="Excel_BuiltIn_Print_Area_16_1_12_16">#REF!</definedName>
    <definedName name="ht">#REF!</definedName>
    <definedName name="Excel_BuiltIn_Print_Area_4_1_1_9_2">#REF!</definedName>
    <definedName name="Excel_BuiltIn_Print_Area_9_1_1_4">#REF!</definedName>
    <definedName name="COO">#REF!</definedName>
    <definedName name="Excel_BuiltIn__FilterDatabase_6">#REF!</definedName>
    <definedName name="ay">#REF!</definedName>
    <definedName name="EM_027_5">#REF!</definedName>
    <definedName name="EM_053_15">#REF!</definedName>
    <definedName name="Excel_BuiltIn_Print_Area_17_1_3_27">#REF!</definedName>
    <definedName name="m8_fuel_f">#REF!</definedName>
    <definedName name="Excel_BuiltIn_Print_Area_11_1_1">#REF!</definedName>
    <definedName name="__A3">#REF!</definedName>
    <definedName name="__Tk1">#REF!</definedName>
    <definedName name="_Tkl1">#REF!</definedName>
    <definedName name="___run2">#REF!</definedName>
    <definedName name="Excel_BuiltIn_Print_Area_5_1_20_2">#REF!</definedName>
    <definedName name="Z1G">#REF!</definedName>
    <definedName localSheetId="8" name="_sit75">#REF!</definedName>
    <definedName name="RTU1_PC">#REF!</definedName>
    <definedName name="SUMM">#REF!</definedName>
    <definedName name="________A81614">#REF!</definedName>
    <definedName name="_______wp1">#REF!</definedName>
    <definedName name="XRefCopy45Row">#REF!</definedName>
    <definedName name="Excel_BuiltIn_Print_Area_10_8">#REF!</definedName>
    <definedName name="Excel_BuiltIn_Print_Area_4_1_1_3_2">#REF!</definedName>
    <definedName name="EM_010_15">#REF!</definedName>
    <definedName name="Excel_BuiltIn_Print_Area_3_1_1_1_1_4">#REF!</definedName>
    <definedName name="Excel_BuiltIn_Print_Area_1_18_4">#REF!</definedName>
    <definedName name="FIRE_AREA">#REF!</definedName>
    <definedName name="____ifa1">#REF!</definedName>
    <definedName name="Excel_BuiltIn_Print_Area_5_1_14">#REF!</definedName>
    <definedName name="colortubets">#REF!</definedName>
    <definedName name="Excel_BuiltIn_Print_Area_12_1_16_1">#REF!</definedName>
    <definedName localSheetId="8" name="_mnk1">#REF!</definedName>
    <definedName name="KPI_M3">#REF!</definedName>
    <definedName name="Floor">#REF!</definedName>
    <definedName name="______________________________________dol6">#REF!</definedName>
    <definedName name="____aoc1">#REF!</definedName>
    <definedName name="_______________________________dol6">#REF!</definedName>
    <definedName name="wt.m">#REF!</definedName>
    <definedName name="EM_016_14">#REF!</definedName>
    <definedName name="_Ki2">#REF!</definedName>
    <definedName name="___________________xlnm.Print_Area_1">#REF!</definedName>
    <definedName name="AUD">#REF!</definedName>
    <definedName name="rwerewre">#REF!</definedName>
    <definedName name="Excel_BuiltIn_Print_Area_15_1_6_27">#REF!</definedName>
    <definedName name="_____cli4">#REF!</definedName>
    <definedName name="____new1">#REF!</definedName>
    <definedName name="m2_ct_v">#REF!</definedName>
    <definedName name="ss6_fuel_f">#REF!</definedName>
    <definedName name="Excel_BuiltIn_Print_Area_6_1_2_27">#REF!</definedName>
    <definedName name="XXXXX">#REF!</definedName>
    <definedName name="Excel_BuiltIn_Print_Area_5_1_1_20_27">#REF!</definedName>
    <definedName name="EM_028_7">#REF!</definedName>
    <definedName name="Excel_BuiltIn_Print_Area_10_1_2_16">#REF!</definedName>
    <definedName name="Excel_BuiltIn_Print_Area_2_1_10">#REF!</definedName>
    <definedName name="lmcmcc.2">#REF!</definedName>
    <definedName name="Excel_BuiltIn_Print_Area_2_1_1_1_27">#REF!</definedName>
    <definedName name="Excel_BuiltIn_Print_Area_4_1_7_4">#REF!</definedName>
    <definedName name="______HCO2">#REF!</definedName>
    <definedName localSheetId="8" name="Hlp">#REF!</definedName>
    <definedName name="Hu">#REF!</definedName>
    <definedName name="______________________________________xlnm.Print_Area_3">#REF!</definedName>
    <definedName name="dfaf">#REF!</definedName>
    <definedName name="Excel_BuiltIn_Print_Area_13_1_15_4">#REF!</definedName>
    <definedName name="NAAC">#REF!</definedName>
    <definedName name="pIsmsb.t">#REF!</definedName>
    <definedName name="BD1TransName1">#REF!</definedName>
    <definedName name="EM_022_8">#REF!</definedName>
    <definedName name="Excel_BuiltIn_Print_Area_7_1_1_11_4">#REF!</definedName>
    <definedName name="Excel_BuiltIn_Print_Area_10_1">#REF!</definedName>
    <definedName name="Excel_BuiltIn_Print_Titles_7_1">#REF!</definedName>
    <definedName name="___SS424">#REF!</definedName>
    <definedName name="Excel_BuiltIn_Print_Area_8_1_1_17_2">#REF!</definedName>
    <definedName name="PATH555">#REF!</definedName>
    <definedName name="Excel_BuiltIn_Print_Area_11_1_8_16">#REF!</definedName>
    <definedName name="Excel_BuiltIn_Print_Area_15_1_9_16">#REF!</definedName>
    <definedName name="amol">#REF!</definedName>
    <definedName name="Excel_BuiltIn_Print_Area_15_1_12_27">#REF!</definedName>
    <definedName name="___CFB3">#REF!</definedName>
    <definedName name="EM_039_16">#REF!</definedName>
    <definedName name="Excel_BuiltIn_Print_Area_9_1_3_2">#REF!</definedName>
    <definedName name="pImltsb">#REF!</definedName>
    <definedName name="Excel_BuiltIn_Print_Area_8_1_1_8">#REF!</definedName>
    <definedName name="XRefPaste37Row">#REF!</definedName>
    <definedName name="p1clp">#REF!</definedName>
    <definedName name="Excel_BuiltIn_Print_Area_10_1_1_1">#REF!</definedName>
    <definedName name="Lc___0">#REF!</definedName>
    <definedName name="_dev9947">#REF!</definedName>
    <definedName name="Excel_BuiltIn_Print_Area_2_1_1_16">#REF!</definedName>
    <definedName name="hxd">#REF!</definedName>
    <definedName name="sfinstall">#REF!</definedName>
    <definedName name="_Key2">#REF!</definedName>
    <definedName name="Excel_BuiltIn_Print_Area_2_1_1_1_10_27">#REF!</definedName>
    <definedName name="____________________TAB1">#REF!</definedName>
    <definedName name="Gci">#REF!</definedName>
    <definedName name="EM_009_6">#REF!</definedName>
    <definedName name="EM_010_18">#REF!</definedName>
    <definedName name="Excel_BuiltIn_Print_Area_2_1_1_1_16_2">#REF!</definedName>
    <definedName name="EM_039_13">#REF!</definedName>
    <definedName name="Excel_BuiltIn_Print_Area_14_1_11_16">#REF!</definedName>
    <definedName name="MinSM">#REF!</definedName>
    <definedName name="EM_016_11">#REF!</definedName>
    <definedName name="Value31">#REF!</definedName>
    <definedName name="p_shape">#REF!</definedName>
    <definedName name="XRefCopy62Row">#REF!</definedName>
    <definedName name="Excel_BuiltIn_Print_Area_7_1_10_2">#REF!</definedName>
    <definedName name="LBA_1">#REF!</definedName>
    <definedName name="Rahul1">#REF!</definedName>
    <definedName name="Excel_BuiltIn_Print_Area_11_1_5">#REF!</definedName>
    <definedName name="c_c">#REF!</definedName>
    <definedName name="Excel_BuiltIn_Print_Area_12_1_13_2">#REF!</definedName>
    <definedName name="__15___123Graph_CCHART_1">#REF!</definedName>
    <definedName name="EP_Aug">#REF!</definedName>
    <definedName name="Md_v">#REF!</definedName>
    <definedName name="Excel_BuiltIn_Print_Area_15_1_5_27">#REF!</definedName>
    <definedName name="Excel_BuiltIn_Print_Area_12_1_1_5_1">#REF!</definedName>
    <definedName name="Excel_BuiltIn_Print_Area_2_1_1_1_8_16">#REF!</definedName>
    <definedName name="t___13">#REF!</definedName>
    <definedName name="TABLE2">#REF!</definedName>
    <definedName name="EM_008_13">#REF!</definedName>
    <definedName name="IE_Deprn">#REF!</definedName>
    <definedName name="EM_004_14">#REF!</definedName>
    <definedName name="EM_039_17">#REF!</definedName>
    <definedName name="Excel_BuiltIn_Print_Area_12_1_14_4">#REF!</definedName>
    <definedName name="______hfi3">#REF!</definedName>
    <definedName name="EM_019_3">#REF!</definedName>
    <definedName name="Excel_BuiltIn_Print_Area_7_1_14">#REF!</definedName>
    <definedName name="Excel_BuiltIn_Print_Titles_20_1_16">#REF!</definedName>
    <definedName name="____Vf2">#REF!</definedName>
    <definedName name="Excel_BuiltIn_Print_Area_1_1_41">#REF!</definedName>
    <definedName name="_______DET6">#REF!</definedName>
    <definedName name="df">#REF!</definedName>
    <definedName name="htwo">#REF!</definedName>
    <definedName name="__SAP9">#REF!</definedName>
    <definedName name="Excel_BuiltIn_Print_Area_17_1_1_9">#REF!</definedName>
    <definedName name="u">#REF!</definedName>
    <definedName name="FUND_M8_A_B">#REF!</definedName>
    <definedName name="_12________123Graph_CCHART_1">#REF!</definedName>
    <definedName name="rmcsmsb.main">#REF!</definedName>
    <definedName name="__________xlnm.Print_Titles">#REF!</definedName>
    <definedName localSheetId="8" name="ipu">#REF!</definedName>
    <definedName name="AREA_001">#REF!</definedName>
    <definedName name="______cli4">#REF!</definedName>
    <definedName name="Unskilledmazdoor">#REF!</definedName>
    <definedName name="Excel_BuiltIn_Print_Area_2_1_1_1_13">#REF!</definedName>
    <definedName name="Excel_BuiltIn_Print_Area_2_1_1_16_27">#REF!</definedName>
    <definedName name="IE_Feb">#REF!</definedName>
    <definedName name="Excel_BuiltIn_Print_Area_3_1_9_4">#REF!</definedName>
    <definedName name="Excel_BuiltIn_Print_Area_29_11_27">#REF!</definedName>
    <definedName name="ProdForm">#REF!</definedName>
    <definedName name="root1">#REF!</definedName>
    <definedName name="ST220CTL">#REF!</definedName>
    <definedName name="_________________b111121">#REF!</definedName>
    <definedName name="BD1EventLogic">#REF!</definedName>
    <definedName localSheetId="8" name="HSS">#REF!</definedName>
    <definedName name="______xlnm._FilterDatabase_3">#REF!</definedName>
    <definedName name="Excel_BuiltIn_Print_Area_10_1_1_1_27">#REF!</definedName>
    <definedName name="dms">#REF!</definedName>
    <definedName name="Excel_BuiltIn_Print_Area_17_1_20_16">#REF!</definedName>
    <definedName name="Result51">#REF!</definedName>
    <definedName name="EM_025_17">#REF!</definedName>
    <definedName name="unitdisc">#REF!</definedName>
    <definedName name="QFC_DEMs">#REF!</definedName>
    <definedName name="_16Excel_BuiltIn_Print_Area_5_1_1_1_1">#REF!</definedName>
    <definedName name="_4______123Graph_ACHART_1">#REF!</definedName>
    <definedName name="cmort3">#REF!</definedName>
    <definedName name="Excel_BuiltIn__FilterDatabase_1_4">#REF!</definedName>
    <definedName name="EM_004_12">#REF!</definedName>
    <definedName name="BuiltIn_Print_Area___0___0">#REF!</definedName>
    <definedName name="EM_028_3">#REF!</definedName>
    <definedName name="Excel_BuiltIn_Print_Area_17">#REF!</definedName>
    <definedName name="Excel_BuiltIn_Print_Area_7_1_20">#REF!</definedName>
    <definedName name="CAPMAY">#REF!</definedName>
    <definedName name="__________mm1">#REF!</definedName>
    <definedName localSheetId="8" name="Fpi">#REF!</definedName>
    <definedName name="_ngl3">#REF!</definedName>
    <definedName name="Result33">#REF!</definedName>
    <definedName name="Excel_BuiltIn_Print_Area_2_1_1_17_2">#REF!</definedName>
    <definedName name="EM_058_16">#REF!</definedName>
    <definedName name="______del1">#REF!</definedName>
    <definedName name="p1accp">#REF!</definedName>
    <definedName name="SS_OS">#REF!</definedName>
    <definedName name="annex4.1a">#REF!</definedName>
    <definedName name="nys">#REF!</definedName>
    <definedName localSheetId="8" name="______xlnm.Print_Area_10">#REF!</definedName>
    <definedName name="PO">#REF!</definedName>
    <definedName name="_______xlnm.Print_Area_4">#REF!</definedName>
    <definedName name="__rt3">#REF!</definedName>
    <definedName name="Mfour">#REF!</definedName>
    <definedName localSheetId="8" name="___________a655601">#REF!</definedName>
    <definedName localSheetId="8" name="Aone">#REF!</definedName>
    <definedName name="Excel_BuiltIn_Print_Area_6_1_9_2">#REF!</definedName>
    <definedName name="INFSPL">#REF!</definedName>
    <definedName name="_________xlnm.Print_Area_13">#REF!</definedName>
    <definedName name="bh">#REF!</definedName>
    <definedName name="aAXX1">#REF!</definedName>
    <definedName name="conductor">#REF!</definedName>
    <definedName name="A4_">#REF!</definedName>
    <definedName name="nikhil">#REF!</definedName>
    <definedName localSheetId="8" name="DOLLARS2">#REF!</definedName>
    <definedName name="PAGE4">#REF!</definedName>
    <definedName name="__________aoc2">#REF!</definedName>
    <definedName name="FIratye">#REF!</definedName>
    <definedName name="EM_061_18">#REF!</definedName>
    <definedName name="_14Excel_BuiltIn_Print_Area_2_1_1_1_1_1">#REF!</definedName>
    <definedName name="REACT500">#REF!</definedName>
    <definedName name="TL_OB_IU">#REF!</definedName>
    <definedName name="dbrwk9">#REF!</definedName>
    <definedName name="Excel_BuiltIn_Print_Area_11">#REF!</definedName>
    <definedName name="n2yy">#REF!</definedName>
    <definedName name="progress24">#REF!</definedName>
    <definedName localSheetId="8" name="pb">#REF!</definedName>
    <definedName name="____________________________iv19000">#REF!</definedName>
    <definedName localSheetId="8" name="__123Graph_E">#REF!</definedName>
    <definedName name="_____SC13">#REF!</definedName>
    <definedName name="EP_Res_Key">#REF!</definedName>
    <definedName name="other_boq">#REF!</definedName>
    <definedName name="_______________________dol12">#REF!</definedName>
    <definedName name="EM_064_15">#REF!</definedName>
    <definedName name="___sch2">#REF!</definedName>
    <definedName name="Excel_BuiltIn_Print_Area_5_14_4">#REF!</definedName>
    <definedName localSheetId="8" name="Xso">#REF!</definedName>
    <definedName name="AXXXX2">#REF!</definedName>
    <definedName name="currency_lookup">#REF!</definedName>
    <definedName localSheetId="8" name="OrderTable">#REF!</definedName>
    <definedName name="PIPELENGTH">#REF!</definedName>
    <definedName name="Excel_BuiltIn_Print_Area_11_1_15_27">#REF!</definedName>
    <definedName name="___SAP9">#REF!</definedName>
    <definedName name="Excel_BuiltIn_Print_Area_8_1_3_16">#REF!</definedName>
    <definedName name="Excel_BuiltIn_Print_Area_5_1_1_2_4">#REF!</definedName>
    <definedName name="air_trap">#REF!</definedName>
    <definedName name="Excel_BuiltIn_Print_Area_7_1_1_20_2">#REF!</definedName>
    <definedName name="STATEMENT_2">#REF!</definedName>
    <definedName name="_____________f1">#REF!</definedName>
    <definedName name="_______DAT16">#REF!</definedName>
    <definedName name="Excel_BuiltIn_Print_Area_4_1_1_6_4">#REF!</definedName>
    <definedName name="MC_YENSW">#REF!</definedName>
    <definedName name="ㅣ833">#REF!</definedName>
    <definedName name="____lb1">#REF!</definedName>
    <definedName name="dol">#REF!</definedName>
    <definedName name="Excel_BuiltIn_Print_Area_8_1_1_12_27">#REF!</definedName>
    <definedName name="word">#REF!</definedName>
    <definedName name="도면외주">#REF!</definedName>
    <definedName name="_new1">#REF!</definedName>
    <definedName name="PREHP">#REF!</definedName>
    <definedName name="_______1____123Graph_ACHART_1">#REF!</definedName>
    <definedName name="_13_ページング_電話関係">#REF!</definedName>
    <definedName name="Excel_BuiltIn_Print_Area_7_1_16_2">#REF!</definedName>
    <definedName name="XZZ">#REF!</definedName>
    <definedName name="dfd">#REF!</definedName>
    <definedName name="Excel_BuiltIn_Print_Area_17_1_12_2">#REF!</definedName>
    <definedName name="Excel_BuiltIn_Print_Area_3_1_2">#REF!</definedName>
    <definedName name="__A13">#REF!</definedName>
    <definedName name="_________dol12">#REF!</definedName>
    <definedName name="___________A65537">#REF!</definedName>
    <definedName name="EM_022_4">#REF!</definedName>
    <definedName name="Excel_BuiltIn_Print_Area_8_1_1_17_27">#REF!</definedName>
    <definedName localSheetId="8" name="VELOKAL">#REF!</definedName>
    <definedName name="Excel_BuiltIn_Print_Area_12_1_1_6_4">#REF!</definedName>
    <definedName name="Site_est">#REF!</definedName>
    <definedName name="____kd3">#REF!</definedName>
    <definedName name="EM_002_18">#REF!</definedName>
    <definedName name="Excel_BuiltIn_Print_Area_4_1_10">#REF!</definedName>
    <definedName name="Excel_BuiltIn_Print_Area_19">#REF!</definedName>
    <definedName name="_Dist_Bin">#REF!</definedName>
    <definedName name="ced_own">#REF!</definedName>
    <definedName name="_2Excel_BuiltIn_Print_Area_4_1">#REF!</definedName>
    <definedName name="Excel_BuiltIn_Print_Area_12_1_1_1_4">#REF!</definedName>
    <definedName name="june">#REF!</definedName>
    <definedName name="Excel_BuiltIn_Print_Area_14_1_13_2">#REF!</definedName>
    <definedName name="Excel_BuiltIn_Print_Area_17_1_1_3_27">#REF!</definedName>
    <definedName name="m2_civ_w">#REF!</definedName>
    <definedName name="단가비교">#REF!</definedName>
    <definedName name="_HM5">#REF!</definedName>
    <definedName name="Excel_BuiltIn_Print_Area_16_1_9_2">#REF!</definedName>
    <definedName name="_____DAT6">#REF!</definedName>
    <definedName name="Excel_BuiltIn_Print_Area_17_1_1_1_16">#REF!</definedName>
    <definedName name="EM_028_4">#REF!</definedName>
    <definedName name="Excel_BuiltIn_Print_Area_2_1_1_3_2">#REF!</definedName>
    <definedName name="Md">#REF!</definedName>
    <definedName name="__m20">#REF!</definedName>
    <definedName name="Excel_BuiltIn_Print_Area_29_2">#REF!</definedName>
    <definedName name="_TR100">#REF!</definedName>
    <definedName name="CONCABLES220">#REF!</definedName>
    <definedName name="_______drg2">#REF!</definedName>
    <definedName name="Excel_BuiltIn_Print_Area_17_1_12">#REF!</definedName>
    <definedName name="Excel_BuiltIn__FilterDatabase_4">#REF!</definedName>
    <definedName name="___________A71614">#REF!</definedName>
    <definedName name="mue">#REF!</definedName>
    <definedName name="Excel_BuiltIn_Print_Area_2_1_2">#REF!</definedName>
    <definedName name="Excel_BuiltIn_Print_Area_12_1_1_14_2">#REF!</definedName>
    <definedName name="Excel_BuiltIn_Print_Area_2_1_1_14">#REF!</definedName>
    <definedName name="MC_DEMSW">#REF!</definedName>
    <definedName name="Excel_BuiltIn_Print_Area_12_1_2_2">#REF!</definedName>
    <definedName name="Options">#REF!</definedName>
    <definedName name="ssb">#REF!</definedName>
    <definedName name="___________________________________________IDA1">#REF!</definedName>
    <definedName name="EM_067_16">#REF!</definedName>
    <definedName name="Excel_BuiltIn_Print_Area_9_1_20_2">#REF!</definedName>
    <definedName name="progress01">#REF!</definedName>
    <definedName name="_CTR500">#REF!</definedName>
    <definedName name="__sch9">#REF!</definedName>
    <definedName name="ss6_bop_v">#REF!</definedName>
    <definedName name="Excel_BuiltIn_Print_Area_7_1_7_2">#REF!</definedName>
    <definedName name="Excel_BuiltIn_Print_Area_7_1_1_13_2">#REF!</definedName>
    <definedName name="ss9_cond_v">#REF!</definedName>
    <definedName name="Excel_BuiltIn_Print_Area_7_1_2_1">#REF!</definedName>
    <definedName name="EM_008_9">#REF!</definedName>
    <definedName name="EM_039_7">#REF!</definedName>
    <definedName name="c_margin">#REF!</definedName>
    <definedName name="Excel_BuiltIn_Print_Area_28_17_2">#REF!</definedName>
    <definedName name="revconstn">#REF!</definedName>
    <definedName name="_RE56">#REF!</definedName>
    <definedName name="DATA_23">#REF!</definedName>
    <definedName name="Excel_BuiltIn_Print_Area_29_10_4">#REF!</definedName>
    <definedName name="Excel_BuiltIn_Print_Area_12_1_1_5">#REF!</definedName>
    <definedName name="OTRY">#REF!</definedName>
    <definedName name="_____SS424">#REF!</definedName>
    <definedName name="ErectionPckg_3">#REF!</definedName>
    <definedName name="Excel_BuiltIn_Print_Area_14_1_11">#REF!</definedName>
    <definedName name="x1x">#REF!</definedName>
    <definedName name="___________________________________IDA1">#REF!</definedName>
    <definedName name="Excel_BuiltIn_Print_Area_10_1_7_2">#REF!</definedName>
    <definedName name="Fvl">#REF!</definedName>
    <definedName name="__lb1">#REF!</definedName>
    <definedName name="___hxd1">#REF!</definedName>
    <definedName name="EM_015_4">#REF!</definedName>
    <definedName name="________________________________xlnm.Print_Titles_1">#REF!</definedName>
    <definedName name="Excel_BuiltIn_Print_Area_5_1_15">#REF!</definedName>
    <definedName name="Value0">#REF!</definedName>
    <definedName name="_____a999999">#REF!</definedName>
    <definedName name="Mone">#REF!</definedName>
    <definedName name="EM_014_7">#REF!</definedName>
    <definedName name="Excel_BuiltIn_Print_Area_5_1_14_2">#REF!</definedName>
    <definedName name="Excel_BuiltIn_Print_Area_8_1_1_2_1">#REF!</definedName>
    <definedName name="Excel_BuiltIn_Print_Area_17_1_8_4">#REF!</definedName>
    <definedName name="FOS.NLC">#REF!</definedName>
    <definedName name="OCTROI_HW">#REF!</definedName>
    <definedName name="MC_SEKHW">#REF!</definedName>
    <definedName name="MOO">#REF!</definedName>
    <definedName name="___________iv19000">#REF!</definedName>
    <definedName name="Excel_BuiltIn_Print_Area_15_1_10_2">#REF!</definedName>
    <definedName name="_______________________________________________________in18900">#REF!</definedName>
    <definedName localSheetId="8" name="_sch2">#REF!</definedName>
    <definedName name="Excel_BuiltIn_Print_Area_7_1_9_4">#REF!</definedName>
    <definedName localSheetId="8" name="sasi">#REF!</definedName>
    <definedName name="___xlnm.Print_Area_13">#REF!</definedName>
    <definedName name="_ml3">#REF!</definedName>
    <definedName name="________SAP4">#REF!</definedName>
    <definedName name="Excel_BuiltIn_Print_Area_11_1_11_16">#REF!</definedName>
    <definedName name="________________in18900">#REF!</definedName>
    <definedName localSheetId="8" name="_SS402">#REF!</definedName>
    <definedName name="Excel_BuiltIn_Print_Area_5_1_1_17_16">#REF!</definedName>
    <definedName localSheetId="8" name="Excel_BuiltIn_Print_Area_1">#REF!</definedName>
    <definedName name="Excel_BuiltIn_Print_Area_4_1_1_16_2">#REF!</definedName>
    <definedName name="___________xlnm._FilterDatabase_1">#REF!</definedName>
    <definedName name="XRefPaste30Row">#REF!</definedName>
    <definedName name="dbrwk2">#REF!</definedName>
    <definedName name="Excel_BuiltIn_Print_Area_14_1_14">#REF!</definedName>
    <definedName name="Excel_BuiltIn_Print_Area_2_1_1_13_16">#REF!</definedName>
    <definedName name="Excel_BuiltIn_Print_Area_7_1_1_11_2">#REF!</definedName>
    <definedName name="Excel_BuiltIn_Print_Area_2_1_1_1_1_1_16">#REF!</definedName>
    <definedName name="__________xlnm.Print_Area_9">#REF!</definedName>
    <definedName name="____cli1">#REF!</definedName>
    <definedName name="_____ml33">#REF!</definedName>
    <definedName name="間接費">#REF!</definedName>
    <definedName name="Excel_BuiltIn_Print_Area_17_1_17_2">#REF!</definedName>
    <definedName name="EH_001_11">#REF!</definedName>
    <definedName name="EP_Dec">#REF!</definedName>
    <definedName name="_____5___123Graph_BCHART_1">#REF!</definedName>
    <definedName name="_______________A91614">#REF!</definedName>
    <definedName name="EM_031_12">#REF!</definedName>
    <definedName name="RAJEEV_ERECTORS">#REF!</definedName>
    <definedName name="TL_APr">#REF!</definedName>
    <definedName name="____________A81614">#REF!</definedName>
    <definedName name="Excel_BuiltIn_Print_Area_7_1_10_16">#REF!</definedName>
    <definedName name="Excel_BuiltIn_Print_Area_5_1_1_1_1_27">#REF!</definedName>
    <definedName name="dcrwk10">#REF!</definedName>
    <definedName name="Excel_BuiltIn_Print_Area_12_1_2_4">#REF!</definedName>
    <definedName name="mlbs">#REF!</definedName>
    <definedName name="Excel_BuiltIn_Print_Area_9_1_8">#REF!</definedName>
    <definedName name="Width_of_projection_of_cover_slab">#REF!</definedName>
    <definedName name="hxb">#REF!</definedName>
    <definedName name="_______Tk1">#REF!</definedName>
    <definedName name="PATHJV2">#REF!</definedName>
    <definedName name="Excel_BuiltIn_Print_Area_5_1_1_3">#REF!</definedName>
    <definedName name="______________m20">#REF!</definedName>
    <definedName name="Individual_PM">#REF!</definedName>
    <definedName name="Excel_BuiltIn_Print_Area_5_8_2">#REF!</definedName>
    <definedName localSheetId="8" name="Pay_Num">#REF!</definedName>
    <definedName name="_____________________________________________________iv19000">#REF!</definedName>
    <definedName localSheetId="8" name="PRINT_TITLES_MI">#REF!</definedName>
    <definedName name="Sim1_FirstRow">#REF!</definedName>
    <definedName name="Breaks">#REF!</definedName>
    <definedName name="lmcaccp">#REF!</definedName>
    <definedName name="_Regression_Out">#REF!</definedName>
    <definedName name="MF___13">#REF!</definedName>
    <definedName name="EM_017_15">#REF!</definedName>
    <definedName name="XRefCopy55Row">#REF!</definedName>
    <definedName name="______g1">#REF!</definedName>
    <definedName name="hthree">#REF!</definedName>
    <definedName name="ss401_404">#REF!</definedName>
    <definedName name="PATH5">#REF!</definedName>
    <definedName name="__________drg1">#REF!</definedName>
    <definedName name="_SV7048">#REF!</definedName>
    <definedName name="Excel_BuiltIn_Print_Area_12_1_1_17_2">#REF!</definedName>
    <definedName name="Excel_BuiltIn_Print_Area_3_1_11_16">#REF!</definedName>
    <definedName name="_____DAT4">#REF!</definedName>
    <definedName name="_HCO2">#REF!</definedName>
    <definedName name="Excel_BuiltIn_Print_Area_29_5_4">#REF!</definedName>
    <definedName name="ACT">#REF!</definedName>
    <definedName name="_______________________________________________in18900">#REF!</definedName>
    <definedName name="______cli3">#REF!</definedName>
    <definedName name="Hipc">#REF!</definedName>
    <definedName name="Excel_BuiltIn_Print_Area_29_3_4">#REF!</definedName>
    <definedName name="_________________________________________xlnm.Print_Area_1">#REF!</definedName>
    <definedName name="csd">#REF!</definedName>
    <definedName name="Excel_BuiltIn_Print_Area_5_1_1_12_2">#REF!</definedName>
    <definedName name="fwii">#REF!</definedName>
    <definedName localSheetId="8" name="asw">#REF!</definedName>
    <definedName name="Excel_BuiltIn_Print_Area_12_1_12_27">#REF!</definedName>
    <definedName name="Excel_BuiltIn_Print_Area_6_1_8_2">#REF!</definedName>
    <definedName name="MF_ABB_local">#REF!</definedName>
    <definedName name="EM_007_2">#REF!</definedName>
    <definedName name="______DAT11">#REF!</definedName>
    <definedName name="SIZE">#REF!</definedName>
    <definedName name="__________tab2">#REF!</definedName>
    <definedName name="ipu___13">#REF!</definedName>
    <definedName name="REACT220FIRE">#REF!</definedName>
    <definedName name="Excel_BuiltIn_Print_Area_2_1_6_4">#REF!</definedName>
    <definedName name="BD1P_enter">#REF!</definedName>
    <definedName name="Excel_BuiltIn_Print_Area_4_1_1_11">#REF!</definedName>
    <definedName name="ABoltProjection">#REF!</definedName>
    <definedName name="Excel_BuiltIn_Print_Area_14_1_3_27">#REF!</definedName>
    <definedName name="____________xlnm.Print_Area_3">#REF!</definedName>
    <definedName name="Excel_BuiltIn_Print_Area_11_1_12_16">#REF!</definedName>
    <definedName name="Excel_BuiltIn_Print_Area_9_1_15_16">#REF!</definedName>
    <definedName name="EM_009_18">#REF!</definedName>
    <definedName name="Excel_BuiltIn_Print_Area_4_1_1_20_16">#REF!</definedName>
    <definedName name="Excel_BuiltIn_Print_Area_16_1_5">#REF!</definedName>
    <definedName name="__CFB1">#REF!</definedName>
    <definedName name="MARGIN_MISC">#REF!</definedName>
    <definedName name="EM_007_1">#REF!</definedName>
    <definedName name="m2_geno_v">#REF!</definedName>
    <definedName name="capex_br3">#REF!</definedName>
    <definedName name="z">#REF!</definedName>
    <definedName name="POOJA">#REF!</definedName>
    <definedName name="_____xlnm.Print_Area_13">#REF!</definedName>
    <definedName name="hxee">#REF!</definedName>
    <definedName name="Excel_BuiltIn_Print_Area_15_1_20_4">#REF!</definedName>
    <definedName name="Excel_BuiltIn_Print_Area_2_1_1_1_9_4">#REF!</definedName>
    <definedName name="TL_Avg_WC_Key">#REF!</definedName>
    <definedName name="Excel_BuiltIn_Print_Area_29_13_16">#REF!</definedName>
    <definedName name="BL5CC">#REF!</definedName>
    <definedName name="EM_003_2">#REF!</definedName>
    <definedName name="Excel_BuiltIn_Print_Area_8_1_20">#REF!</definedName>
    <definedName name="Excel_BuiltIn_Print_Area_3_1_5_4">#REF!</definedName>
    <definedName name="________________b111121">#REF!</definedName>
    <definedName name="_V2">#REF!</definedName>
    <definedName name="Excel_BuiltIn_Print_Area_2_1_16_27">#REF!</definedName>
    <definedName name="____SC26">#REF!</definedName>
    <definedName name="Excel_BuiltIn_Print_Area_7_1_12">#REF!</definedName>
    <definedName name="Excel_BuiltIn_Print_Area_4_1_1_16">#REF!</definedName>
    <definedName name="zzzzzz">#REF!</definedName>
    <definedName name="Excel_BuiltIn_Print_Area_6_1_16">#REF!</definedName>
    <definedName name="Excel_BuiltIn_Print_Area_12_1_1_14">#REF!</definedName>
    <definedName name="Excel_BuiltIn_Print_Area_2_1_13_2">#REF!</definedName>
    <definedName name="Fh">#REF!</definedName>
    <definedName name="SS_Mar">#REF!</definedName>
    <definedName name="Excel_BuiltIn_Print_Area_8_1_1_11_27">#REF!</definedName>
    <definedName name="ISO1E220">#REF!</definedName>
    <definedName name="__Vf1">#REF!</definedName>
    <definedName name="tS___13">#REF!</definedName>
    <definedName name="oirr">#REF!</definedName>
    <definedName name="ADVIK">#REF!</definedName>
    <definedName name="MF_AIC_Imp">#REF!</definedName>
    <definedName name="Ta">#REF!</definedName>
    <definedName name="Excel_BuiltIn_Print_Area_13_1_17_2">#REF!</definedName>
    <definedName name="commn">#REF!</definedName>
    <definedName name="EM_008_15">#REF!</definedName>
    <definedName name="___________in18900">#REF!</definedName>
    <definedName localSheetId="8" name="_0">#REF!</definedName>
    <definedName name="TTMT">#REF!</definedName>
    <definedName name="p1mcc9">#REF!</definedName>
    <definedName name="INFR2">#REF!</definedName>
    <definedName name="Line_1">#REF!</definedName>
    <definedName name="m2_geno_w">#REF!</definedName>
    <definedName name="_FF3">#REF!</definedName>
    <definedName name="__________m234">#REF!</definedName>
    <definedName name="SCHEDULE_NO._11a___Current_Liabilities">#REF!</definedName>
    <definedName name="Excel_BuiltIn__FilterDatabase_31_4">#REF!</definedName>
    <definedName name="XRefCopy18">#REF!</definedName>
    <definedName name="Excel_BuiltIn_Print_Area_13_1_10_4">#REF!</definedName>
    <definedName name="EM_002_10">#REF!</definedName>
    <definedName name="____________mm2">#REF!</definedName>
    <definedName name="___Rs1">#REF!</definedName>
    <definedName name="p1mpcc">#REF!</definedName>
    <definedName name="Sim1_SimData">#REF!</definedName>
    <definedName name="aks">#REF!</definedName>
    <definedName name="sfew_idr">#REF!</definedName>
    <definedName localSheetId="8" name="Earth">#REF!</definedName>
    <definedName name="SS_Avg_WC_Key">#REF!</definedName>
    <definedName name="ss8_ct_f">#REF!</definedName>
    <definedName name="Excel_BuiltIn_Print_Area_6_1_13_27">#REF!</definedName>
    <definedName name="GTTB">#REF!</definedName>
    <definedName name="mullootubnomtau">#REF!</definedName>
    <definedName name="Excel_BuiltIn_Print_Area_4_1_1_5_27">#REF!</definedName>
    <definedName name="EM_035_9">#REF!</definedName>
    <definedName name="Print_Area_MI1">#REF!</definedName>
    <definedName name="Excel_BuiltIn_Print_Area_15_1_15_2">#REF!</definedName>
    <definedName name="hxf">#REF!</definedName>
    <definedName name="otherSS_E2">#REF!</definedName>
    <definedName name="Excel_BuiltIn_Print_Area_5_1_1_20_16">#REF!</definedName>
    <definedName name="PATHLA1">#REF!</definedName>
    <definedName name="Subject">#REF!</definedName>
    <definedName name="__________Ki2">#REF!</definedName>
    <definedName name="Excel_BuiltIn_Print_Area_16_1_1_11_16">#REF!</definedName>
    <definedName name="_________________xlnm.Print_Titles_1">#REF!</definedName>
    <definedName name="Excel_BuiltIn_Print_Area_29">#REF!</definedName>
    <definedName name="EM_014_17">#REF!</definedName>
    <definedName name="___xlnm.Print_Area_6">#REF!</definedName>
    <definedName name="Excel_BuiltIn_Print_Area_12_1_1_3_16">#REF!</definedName>
    <definedName name="Excel_BuiltIn_Print_Area_15_1_13">#REF!</definedName>
    <definedName name="_______SS404">#REF!</definedName>
    <definedName name="K">#REF!</definedName>
    <definedName name="Excel_BuiltIn_Print_Area_17_1_1_6_16">#REF!</definedName>
    <definedName name="Mh">#REF!</definedName>
    <definedName name="rtferty">#REF!</definedName>
    <definedName name="XRefPaste25Row">#REF!</definedName>
    <definedName name="___m234">#REF!</definedName>
    <definedName name="progress3">#REF!</definedName>
    <definedName name="p1350mcic">#REF!</definedName>
    <definedName name="_____AXX4">#REF!</definedName>
    <definedName name="RLPS">#REF!</definedName>
    <definedName name="p___13">#REF!</definedName>
    <definedName name="___xlnm.Print_Area_7">#REF!</definedName>
    <definedName name="_________xlnm.Print_Titles">#REF!</definedName>
    <definedName name="________________________________________________in18900">#REF!</definedName>
    <definedName name="LTswitchgear">#REF!</definedName>
    <definedName name="Excel_BuiltIn_Print_Area_8_1_13_27">#REF!</definedName>
    <definedName name="______________________________________IDA1">#REF!</definedName>
    <definedName name="Excel_BuiltIn_Print_Area_10_1_15">#REF!</definedName>
    <definedName name="____DAT6">#REF!</definedName>
    <definedName name="EM_018_3">#REF!</definedName>
    <definedName name="____________________b111121">#REF!</definedName>
    <definedName name="CED_BOHW">#REF!</definedName>
    <definedName name="BuiltIn_Print_Titles___0___0___0___0___0">#REF!</definedName>
    <definedName name="root3">#REF!</definedName>
    <definedName name="JGGJKGKGJK">#REF!</definedName>
    <definedName name="Excel_BuiltIn_Print_Area_15_1_5_1">#REF!</definedName>
    <definedName name="___________xlnm.Print_Area_8">#REF!</definedName>
    <definedName name="__SS402">#REF!</definedName>
    <definedName name="abc">#REF!</definedName>
    <definedName name="Excel_BuiltIn_Print_Area_7_1_1_13_4">#REF!</definedName>
    <definedName name="_________lb1">#REF!</definedName>
    <definedName name="___bom1">#REF!</definedName>
    <definedName name="wind.m">#REF!</definedName>
    <definedName name="hleft">#REF!</definedName>
    <definedName name="Excel_BuiltIn_Print_Area_17_1_20_2">#REF!</definedName>
    <definedName name="_cli1">#REF!</definedName>
    <definedName name="CED_TRHW">#REF!</definedName>
    <definedName name="stfr">#REF!</definedName>
    <definedName name="Excel_BuiltIn_Print_Area_12_1_1_15_4">#REF!</definedName>
    <definedName name="cx">#REF!</definedName>
    <definedName name="Excel_BuiltIn_Print_Area_5_13_4">#REF!</definedName>
    <definedName name="dkt">#REF!</definedName>
    <definedName name="EM_011_14">#REF!</definedName>
    <definedName name="____Wr3">#REF!</definedName>
    <definedName name="Excel_BuiltIn_Print_Area_4_1_1_12_16">#REF!</definedName>
    <definedName name="BuiltIn_Print_Titles___0___0___0___0___0___0___0___0___0___0">#REF!</definedName>
    <definedName name="EM_031_14">#REF!</definedName>
    <definedName name="Excel_BuiltIn__FilterDatabase_50_16">#REF!</definedName>
    <definedName name="Excel_BuiltIn_Print_Area_2_1_8_16">#REF!</definedName>
    <definedName name="XREF_COLUMN_2">#REF!</definedName>
    <definedName name="EP_ANFEBG">#REF!</definedName>
    <definedName name="s.f">#REF!</definedName>
    <definedName name="EM_016_3">#REF!</definedName>
    <definedName name="IE_OI_IU">#REF!</definedName>
    <definedName name="Excel_BuiltIn_Print_Area_12_1_1_16_2">#REF!</definedName>
    <definedName name="m2_e_w">#REF!</definedName>
    <definedName name="Excel_BuiltIn_Print_Area_4_1_9_16">#REF!</definedName>
    <definedName name="I04.16">#REF!</definedName>
    <definedName name="CATIN">#REF!</definedName>
    <definedName name="Excel_BuiltIn_Print_Area_28_12_16">#REF!</definedName>
    <definedName name="abg">#REF!</definedName>
    <definedName localSheetId="8" name="Excel_BuiltIn_Print_Titles_9">#REF!</definedName>
    <definedName name="BL3A">#REF!</definedName>
    <definedName name="Excel_BuiltIn_Print_Area_11_1_14_2">#REF!</definedName>
    <definedName name="Pbx">#REF!</definedName>
    <definedName name="________SAP8">#REF!</definedName>
    <definedName name="dceff">#REF!</definedName>
    <definedName name="jhdfjhfkhkzfsqsqs">#REF!</definedName>
    <definedName name="______SS423">#REF!</definedName>
    <definedName name="_________aoc4">#REF!</definedName>
    <definedName name="Excel_BuiltIn_Print_Area_6_1_13_16">#REF!</definedName>
    <definedName name="_____________________________________________________dol6">#REF!</definedName>
    <definedName name="dbrwk5">#REF!</definedName>
    <definedName name="SCHEDULE_NO._10___Loans___Advances">#REF!</definedName>
    <definedName name="fsg">#REF!</definedName>
    <definedName name="CRP_Unnao">#REF!</definedName>
    <definedName name="EM_008_11">#REF!</definedName>
    <definedName name="Excel_BuiltIn_Print_Area_12_1_6_16">#REF!</definedName>
    <definedName name="cookie">#REF!</definedName>
    <definedName name="Excel_BuiltIn_Print_Area_3_1_16_27">#REF!</definedName>
    <definedName name="PATH44">#REF!</definedName>
    <definedName name="top_ser">#REF!</definedName>
    <definedName name="EM_066_17">#REF!</definedName>
    <definedName name="IESP">#REF!</definedName>
    <definedName name="_________________________________________in18900">#REF!</definedName>
    <definedName name="Group3">#REF!</definedName>
    <definedName name="lmcsmsb.ups">#REF!</definedName>
    <definedName name="TEST11">#REF!</definedName>
    <definedName name="Excel_BuiltIn_Print_Area_28_5_27">#REF!</definedName>
    <definedName name="RFP003E">#REF!</definedName>
    <definedName name="DATA_17">#REF!</definedName>
    <definedName name="EM_006_17">#REF!</definedName>
    <definedName name="Excel_BuiltIn_Print_Area_5_1_12_4">#REF!</definedName>
    <definedName localSheetId="8" name="Hu___0">#REF!</definedName>
    <definedName name="boq_br3">#REF!</definedName>
    <definedName name="_Rs1">#REF!</definedName>
    <definedName name="______Vf1">#REF!</definedName>
    <definedName localSheetId="8" name="CAPDEC">#REF!</definedName>
    <definedName name="EH_001_13">#REF!</definedName>
    <definedName name="REVSTATUS">#REF!</definedName>
    <definedName name="Excel_BuiltIn_Print_Area_9_1_7_16">#REF!</definedName>
    <definedName name="IELYSALES">#REF!</definedName>
    <definedName localSheetId="8" name="line">#REF!</definedName>
    <definedName name="XRefCopy53Row">#REF!</definedName>
    <definedName name="Excel_BuiltIn_Print_Area_11_1_11">#REF!</definedName>
    <definedName name="ref">#REF!</definedName>
    <definedName name="t___0">#REF!</definedName>
    <definedName name="___________Ki2">#REF!</definedName>
    <definedName name="EFFECT">#REF!</definedName>
    <definedName name="fasf">#REF!</definedName>
    <definedName name="_____aoc3">#REF!</definedName>
    <definedName name="dl">#REF!</definedName>
    <definedName name="EM_017_12">#REF!</definedName>
    <definedName name="GrphTgtStk">#REF!</definedName>
    <definedName name="Excel_BuiltIn_Print_Area_6_1_2_4">#REF!</definedName>
    <definedName name="Excel_BuiltIn_Print_Area_17_1_1_17_2">#REF!</definedName>
    <definedName name="m8_ic_w">#REF!</definedName>
    <definedName name="Thickness_of_base_slab">#REF!</definedName>
    <definedName name="_A10">#REF!</definedName>
    <definedName name="CBISO145">#REF!</definedName>
    <definedName name="__SS409">#REF!</definedName>
    <definedName name="__123Graph_X">#REF!</definedName>
    <definedName name="___3__123Graph_CCHART_1">#REF!</definedName>
    <definedName name="_DAT14">#REF!</definedName>
    <definedName name="fw">#REF!</definedName>
    <definedName name="march_qty">#REF!</definedName>
    <definedName name="Excel_BuiltIn_Print_Area_10_1_15_27">#REF!</definedName>
    <definedName name="__3____123Graph_CCHART_1">#REF!</definedName>
    <definedName name="JAHSGFRE">#REF!</definedName>
    <definedName name="__________dol12">#REF!</definedName>
    <definedName name="Zone_impres_MI">#REF!</definedName>
    <definedName name="l_40">#REF!</definedName>
    <definedName name="lkalgk">#REF!</definedName>
    <definedName name="_20Excel_BuiltIn_Print_Area_5_1_1_1">#REF!</definedName>
    <definedName name="Excel_BuiltIn_Print_Area_2_1_1_1_1_1_1">#REF!</definedName>
    <definedName name="Excel_BuiltIn_Print_Area_5_1_1_12_27">#REF!</definedName>
    <definedName name="_______SS402">#REF!</definedName>
    <definedName name="______xlnm.Print_Titles">#REF!</definedName>
    <definedName name="___SC26">#REF!</definedName>
    <definedName name="D_">#REF!</definedName>
    <definedName name="______tab1">#REF!</definedName>
    <definedName name="___DAT15">#REF!</definedName>
    <definedName name="XRefCopy56Row">#REF!</definedName>
    <definedName name="B___0">#REF!</definedName>
    <definedName name="TG">#REF!</definedName>
    <definedName name="______out2">#REF!</definedName>
    <definedName name="GGG">#REF!</definedName>
    <definedName name="KALPAN">#REF!</definedName>
    <definedName name="____SAP6">#REF!</definedName>
    <definedName name="EM_029_8">#REF!</definedName>
    <definedName name="______xlnm.Print_Area_4">#REF!</definedName>
    <definedName name="_11Excel_BuiltIn_Print_Area_3_1_1">#REF!</definedName>
    <definedName localSheetId="8" name="LIRA">#REF!</definedName>
    <definedName name="MinSNo">#REF!</definedName>
    <definedName name="Excel_BuiltIn_Print_Area_15_1_6_4">#REF!</definedName>
    <definedName name="_________________________________________________in18900">#REF!</definedName>
    <definedName name="_____xlnm.Print_Area_11">#REF!</definedName>
    <definedName name="Loan_Years">#REF!</definedName>
    <definedName name="___xlnm._FilterDatabase_5">#REF!</definedName>
    <definedName name="__hxc2">#REF!</definedName>
    <definedName name="Pwl">#REF!</definedName>
    <definedName name="ss6_ic_w">#REF!</definedName>
    <definedName name="GrdLineShear">#REF!</definedName>
    <definedName name="Excel_BuiltIn_Print_Area_8_1_1_12_4">#REF!</definedName>
    <definedName name="__LTR220">#REF!</definedName>
    <definedName name="Dust">#REF!</definedName>
    <definedName name="_Vf1">#REF!</definedName>
    <definedName name="_____DAT8">#REF!</definedName>
    <definedName name="______________VS2004">#REF!</definedName>
    <definedName name="ss9_bop_f">#REF!</definedName>
    <definedName name="aamin">#REF!</definedName>
    <definedName name="Excel_BuiltIn_Print_Area_7_1_1_10_27">#REF!</definedName>
    <definedName name="K_b">#REF!</definedName>
    <definedName name="Excel_BuiltIn_Print_Area_12_1_16_16">#REF!</definedName>
    <definedName name="Excel_BuiltIn_Print_Area_5_1_1_11_2">#REF!</definedName>
    <definedName name="Excel_BuiltIn_Print_Area_8_1_1_14_4">#REF!</definedName>
    <definedName name="Excel_BuiltIn_Print_Area_29_9_4">#REF!</definedName>
    <definedName name="Excel_BuiltIn_Print_Area_10_1_20_4">#REF!</definedName>
    <definedName name="idt">#REF!</definedName>
    <definedName name="Excel_BuiltIn_Print_Area_2_1_1_6_2">#REF!</definedName>
    <definedName name="MANU33">#REF!</definedName>
    <definedName name="Excel_BuiltIn_Print_Area_2_1_2_16">#REF!</definedName>
    <definedName name="xd">#REF!</definedName>
    <definedName localSheetId="8" name="__tr75">#REF!</definedName>
    <definedName name="__HCO2">#REF!</definedName>
    <definedName name="Excel_BuiltIn_Print_Area_11_1_13_4">#REF!</definedName>
    <definedName name="Excel_BuiltIn_Print_Area_7_1_1_15_2">#REF!</definedName>
    <definedName name="dfrads">#REF!</definedName>
    <definedName name="ir">#REF!</definedName>
    <definedName name="Excel_BuiltIn_Print_Area_9_1_15_4">#REF!</definedName>
    <definedName name="Excel_BuiltIn_Print_Area_5_1_1_6">#REF!</definedName>
    <definedName name="____mm1">#REF!</definedName>
    <definedName name="BD1Lambda">#REF!</definedName>
    <definedName name="Vsigma1">#REF!</definedName>
    <definedName name="_11">#REF!</definedName>
    <definedName name="Excel_BuiltIn_Print_Area_8_1_1_3_16">#REF!</definedName>
    <definedName localSheetId="8" name="_____CFB1">#REF!</definedName>
    <definedName name="C_">#REF!</definedName>
    <definedName name="Excel_BuiltIn_Print_Titles_7_1_1">#REF!</definedName>
    <definedName name="steam_props">#REF!</definedName>
    <definedName name="un">#REF!</definedName>
    <definedName name="CAPDEC">#REF!</definedName>
    <definedName name="EM_036_15">#REF!</definedName>
    <definedName name="_HE71">#REF!</definedName>
    <definedName name="구분">#REF!</definedName>
    <definedName name="EH_001_1">#REF!</definedName>
    <definedName name="Excel_BuiltIn_Print_Area_15_1_4">#REF!</definedName>
    <definedName name="EM_021_8">#REF!</definedName>
    <definedName name="EM_007_12">#REF!</definedName>
    <definedName name="Excel_BuiltIn_Print_Area_28_20">#REF!</definedName>
    <definedName name="Excel_BuiltIn_Print_Area_5_1_1_1_1_2">#REF!</definedName>
    <definedName name="FD">#REF!</definedName>
    <definedName name="_P1">#REF!</definedName>
    <definedName name="EM_035_6">#REF!</definedName>
    <definedName name="XRefCopy23">#REF!</definedName>
    <definedName name="EM_011_8">#REF!</definedName>
    <definedName name="Excel_BuiltIn_Print_Area_8_1_8_27">#REF!</definedName>
    <definedName name="Excel_BuiltIn_Print_Area_9_1_11_2">#REF!</definedName>
    <definedName name="ss8_gt_v">#REF!</definedName>
    <definedName name="EM_029_1">#REF!</definedName>
    <definedName name="sfdism">#REF!</definedName>
    <definedName name="mk">#REF!</definedName>
    <definedName name="BL3AA">#REF!</definedName>
    <definedName name="a_dash">#REF!</definedName>
    <definedName name="Loan_Start">#REF!</definedName>
    <definedName name="BD1TransEventLogic2">#REF!</definedName>
    <definedName name="ss6_geno_f">#REF!</definedName>
    <definedName name="_____________xlnm._FilterDatabase_2">#REF!</definedName>
    <definedName name="EM_013_9">#REF!</definedName>
    <definedName name="Excel_BuiltIn_Print_Area_12_1_1_9_16">#REF!</definedName>
    <definedName name="Excel_BuiltIn_Print_Area_5_15_16">#REF!</definedName>
    <definedName name="Excel_BuiltIn_Print_Area_16_1_1_1_1">#REF!</definedName>
    <definedName name="EM_032_3">#REF!</definedName>
    <definedName name="_HM11">#REF!</definedName>
    <definedName name="_____DET3">#REF!</definedName>
    <definedName name="Excel_BuiltIn_Print_Area_5_1_16">#REF!</definedName>
    <definedName name="CAPAPR">#REF!</definedName>
    <definedName name="Value26">#REF!</definedName>
    <definedName name="____PLC220">#REF!</definedName>
    <definedName name="Excel_BuiltIn_Print_Area_2_1_1_6_27">#REF!</definedName>
    <definedName name="KK">#REF!</definedName>
    <definedName name="Misc_charges">#REF!</definedName>
    <definedName name="CURR_FCT">#REF!</definedName>
    <definedName name="Excel_BuiltIn_Print_Area_7_1_1_9">#REF!</definedName>
    <definedName name="_____________xlnm.Print_Area_5">#REF!</definedName>
    <definedName name="ss6_ct_v">#REF!</definedName>
    <definedName name="PM_WaterTanker_6kl">#REF!</definedName>
    <definedName name="Month">#REF!</definedName>
    <definedName name="Excel_BuiltIn_Print_Area_5_1_5">#REF!</definedName>
    <definedName name="____axx1">#REF!</definedName>
    <definedName name="_18Excel_BuiltIn_Print_Area_8_1_1_1_1">#REF!</definedName>
    <definedName name="Excel_BuiltIn_Print_Area_12_1_15_2">#REF!</definedName>
    <definedName name="Excel_BuiltIn_Print_Area_14_1_1">#REF!</definedName>
    <definedName name="Excel_BuiltIn_Print_Area_1">#REF!</definedName>
    <definedName name="____hfi5">#REF!</definedName>
    <definedName name="___PLC220">#REF!</definedName>
    <definedName name="Excel_BuiltIn_Print_Area_16_1_1_13_27">#REF!</definedName>
    <definedName name="___A1">#REF!</definedName>
    <definedName name="SOR">#REF!</definedName>
    <definedName name="IE_Avg_OS">#REF!</definedName>
    <definedName name="Excel_BuiltIn_Print_Area_13_1_1_2">#REF!</definedName>
    <definedName name="EM_039_9">#REF!</definedName>
    <definedName name="Value11">#REF!</definedName>
    <definedName name="EM_069_14">#REF!</definedName>
    <definedName name="Excel_BuiltIn_Print_Area_8_1_1_20_27">#REF!</definedName>
    <definedName name="Excel_BuiltIn_Print_Area_8_1_4">#REF!</definedName>
    <definedName name="_______Rs1">#REF!</definedName>
    <definedName name="Excel_BuiltIn_Print_Area_9_1_20_27">#REF!</definedName>
    <definedName name="___xlnm.Print_Area_10">#REF!</definedName>
    <definedName name="Excel_BuiltIn_Print_Area_6_1_7">#REF!</definedName>
    <definedName name="ss8_civ_v">#REF!</definedName>
    <definedName name="____DAT2">#REF!</definedName>
    <definedName name="IE_OS">#REF!</definedName>
    <definedName name="Excel_BuiltIn_Print_Area_2_1_1_16_1">#REF!</definedName>
    <definedName name="EM_004_9">#REF!</definedName>
    <definedName name="Excel_BuiltIn_Print_Area_10_1_1_2_1">#REF!</definedName>
    <definedName name="_ls4">#REF!</definedName>
    <definedName name="EP_OD_Common">#REF!</definedName>
    <definedName name="Excel_BuiltIn_Print_Area_10_1_3">#REF!</definedName>
    <definedName name="_____________________________________________________in18900">#REF!</definedName>
    <definedName name="EM_019_4">#REF!</definedName>
    <definedName name="EM_012_1">#REF!</definedName>
    <definedName name="Excel_BuiltIn_Print_Area_5_11_2">#REF!</definedName>
    <definedName name="Excel_BuiltIn_Print_Area_8_1_16_1">#REF!</definedName>
    <definedName name="____________________________________iv19000">#REF!</definedName>
    <definedName name="Excel_BuiltIn_Print_Area_2_1_1_7_27">#REF!</definedName>
    <definedName name="Excel_BuiltIn_Print_Area_17_1_2_16">#REF!</definedName>
    <definedName name="EH_001_4">#REF!</definedName>
    <definedName name="EM_052_16">#REF!</definedName>
    <definedName name="____xlnm.Print_Area">#REF!</definedName>
    <definedName name="__MAN1">#REF!</definedName>
    <definedName name="_axx3">#REF!</definedName>
    <definedName name="Cost_for_10_Hp_Hr.">#REF!</definedName>
    <definedName name="___________________A81614">#REF!</definedName>
    <definedName name="Excel_BuiltIn_Print_Area_29_7_27">#REF!</definedName>
    <definedName name="PM_MotorGrader">#REF!</definedName>
    <definedName localSheetId="8" name="dfsdf">#REF!</definedName>
    <definedName name="Excel_BuiltIn_Print_Area_2_1_1_1_1_1_2_1">#REF!</definedName>
    <definedName name="Excel_BuiltIn_Print_Area_7_1">#REF!</definedName>
    <definedName name="____CTR220">#REF!</definedName>
    <definedName name="EM_024_18">#REF!</definedName>
    <definedName name="LAS">#REF!</definedName>
    <definedName name="Excel_BuiltIn_Print_Area_2_1_15_16">#REF!</definedName>
    <definedName localSheetId="8" name="d___13">#REF!</definedName>
    <definedName name="____________tab1">#REF!</definedName>
    <definedName name="Excel_BuiltIn_Print_Area_15_1_7">#REF!</definedName>
    <definedName name="p1mcc12">#REF!</definedName>
    <definedName name="______9__123Graph_CCHART_1">#REF!</definedName>
    <definedName name="__________xlnm.Print_Titles_1">#REF!</definedName>
    <definedName name="_______________________________xlnm.Print_Area_1">#REF!</definedName>
    <definedName name="材料費">#REF!</definedName>
    <definedName name="Excel_BuiltIn_Print_Area_14_1_15">#REF!</definedName>
    <definedName name="Excel_BuiltIn_Print_Area_12_1_1_5_4">#REF!</definedName>
    <definedName name="Excel_BuiltIn_Print_Area_2_1_1_1_1_1_4_1">#REF!</definedName>
    <definedName name="__cli3">#REF!</definedName>
    <definedName name="_6Excel_BuiltIn_Print_Area_10_1">#REF!</definedName>
    <definedName name="Value6">#REF!</definedName>
    <definedName name="vaib">#REF!</definedName>
    <definedName name="EM_028_5">#REF!</definedName>
    <definedName name="ss9_fuel_w">#REF!</definedName>
    <definedName name="Excel_BuiltIn_Print_Area_29_9_27">#REF!</definedName>
    <definedName name="Excel_BuiltIn_Print_Area_5_1_1_9_2">#REF!</definedName>
    <definedName name="Excel_BuiltIn_Print_Area_16_1_1_1_27">#REF!</definedName>
    <definedName name="Excel_BuiltIn_Print_Area_16_1_1_15_4">#REF!</definedName>
    <definedName name="_SAP3">#REF!</definedName>
    <definedName name="QFC_SPC">#REF!</definedName>
    <definedName name="SS_MAT_Sales">#REF!</definedName>
    <definedName name="IE_PBIT">#REF!</definedName>
    <definedName name="PR_TR">#REF!</definedName>
    <definedName name="IE_Jun">#REF!</definedName>
    <definedName name="mc">#REF!</definedName>
    <definedName name="Excel_BuiltIn_Print_Area_8_1_9_4">#REF!</definedName>
    <definedName name="Excel_BuiltIn_Print_Area_12_1_2">#REF!</definedName>
    <definedName name="Excel_BuiltIn_Print_Area_10_1_16">#REF!</definedName>
    <definedName name="___dev9947">#REF!</definedName>
    <definedName name="Excel_BuiltIn_Print_Area_9_1_1_1">#REF!</definedName>
    <definedName name="_SS402">#REF!</definedName>
    <definedName name="rsat">#REF!</definedName>
    <definedName name="____________A655600">#REF!</definedName>
    <definedName name="light">#REF!</definedName>
    <definedName name="__________aoc1">#REF!</definedName>
    <definedName name="Excel_BuiltIn_Print_Area_17_1_1_6_2">#REF!</definedName>
    <definedName name="lc500mcfdr">#REF!</definedName>
    <definedName name="_Parse_Out">#REF!</definedName>
    <definedName name="BuiltIn_Print_Area___0___0___0___0___0___0___0___0___0___0">#REF!</definedName>
    <definedName name="____________mm3">#REF!</definedName>
    <definedName name="Excel_BuiltIn_Print_Area_2_1_8_27">#REF!</definedName>
    <definedName name="cr">#REF!</definedName>
    <definedName localSheetId="8" name="MATHS">#REF!</definedName>
    <definedName name="QFC_AUDs">#REF!</definedName>
    <definedName name="Excel_BuiltIn_Print_Area_5_1_1_27">#REF!</definedName>
    <definedName name="resistivite">#REF!</definedName>
    <definedName name="Excel_BuiltIn_Print_Area_4_1_16_16">#REF!</definedName>
    <definedName name="GATE">#REF!</definedName>
    <definedName name="MARGINPROJ">#REF!</definedName>
    <definedName name="결산조정계정">#REF!</definedName>
    <definedName name="Breadth_of_the_section">#REF!</definedName>
    <definedName name="Excel_BuiltIn_Print_Area_2_1_1_1_1_1">#REF!</definedName>
    <definedName name="pb___12">#REF!</definedName>
    <definedName name="a___13">#REF!</definedName>
    <definedName name="Excel_BuiltIn_Print_Area_4_1_20">#REF!</definedName>
    <definedName name="_lb2">#REF!</definedName>
    <definedName name="TL_PBDIT">#REF!</definedName>
    <definedName name="MC_NOKSW">#REF!</definedName>
    <definedName name="EM_007_18">#REF!</definedName>
    <definedName name="EM_009_15">#REF!</definedName>
    <definedName name="___Ism3">#REF!</definedName>
    <definedName name="_____kd3">#REF!</definedName>
    <definedName name="JR_Line">#REF!</definedName>
    <definedName name="_COL1">#REF!</definedName>
    <definedName name="VD">#REF!</definedName>
    <definedName name="______________xlnm.Print_Area_1">#REF!</definedName>
    <definedName name="___________f1">#REF!</definedName>
    <definedName name="CARPET1">#REF!</definedName>
    <definedName name="VESWH">#REF!</definedName>
    <definedName name="_____hfi2">#REF!</definedName>
    <definedName name="RAWRAR">#REF!</definedName>
    <definedName name="Excel_BuiltIn_Print_Area_12_1_1_8">#REF!</definedName>
    <definedName name="etaa">#REF!</definedName>
    <definedName name="__hfi2">#REF!</definedName>
    <definedName name="EM_001_11">#REF!</definedName>
    <definedName name="Key_IE">#REF!</definedName>
    <definedName name="_____xlnm.Print_Area_8">#REF!</definedName>
    <definedName name="FI_IDTOSW">#REF!</definedName>
    <definedName name="___________A91614">#REF!</definedName>
    <definedName name="Twr">#REF!</definedName>
    <definedName name="PKGFRD_HW">#REF!</definedName>
    <definedName name="XREF_COLUMN_21">#REF!</definedName>
    <definedName name="_kd2">#REF!</definedName>
    <definedName name="_____DAT13">#REF!</definedName>
    <definedName name="__________________________________dol12">#REF!</definedName>
    <definedName name="Excel_BuiltIn_Print_Area_11_1_14_27">#REF!</definedName>
    <definedName name="XRefPaste44Row">#REF!</definedName>
    <definedName name="_RE92">#REF!</definedName>
    <definedName name="Dc">#REF!</definedName>
    <definedName name="Excel_BuiltIn_Print_Titles_9_16">#REF!</definedName>
    <definedName name="BuiltIn_Print_Area___0___0___0___0___0___0___0___0___0___0___0___0___0___0">#REF!</definedName>
    <definedName name="___________xlnm.Print_Area_1">#REF!</definedName>
    <definedName name="_______SAP10">#REF!</definedName>
    <definedName name="TABLE_4">#REF!</definedName>
    <definedName name="Excel_BuiltIn_Print_Area_2_1_1_12_16">#REF!</definedName>
    <definedName name="PIPE_ID">#REF!</definedName>
    <definedName name="ZY___13">#REF!</definedName>
    <definedName name="STD">#REF!</definedName>
    <definedName name="Excise_Duty">#REF!</definedName>
    <definedName name="Excel_BuiltIn_Print_Area_3_1_15_2">#REF!</definedName>
    <definedName name="sfjk">#REF!</definedName>
    <definedName name="Excel_BuiltIn_Print_Area_29_9">#REF!</definedName>
    <definedName name="p1mcc15">#REF!</definedName>
    <definedName name="optio_22">#REF!</definedName>
    <definedName name="qfc_s00">#REF!</definedName>
    <definedName name="XRefCopy46Row">#REF!</definedName>
    <definedName name="____________________________________________xlnm.Print_Area_2">#REF!</definedName>
    <definedName name="pccproj">#REF!</definedName>
    <definedName name="FI_BOHW">#REF!</definedName>
    <definedName name="______cli2">#REF!</definedName>
    <definedName name="________xlnm.Print_Area_6">#REF!</definedName>
    <definedName name="_T142000">#REF!</definedName>
    <definedName name="Excel_BuiltIn_Print_Area_10_1_1_1_16">#REF!</definedName>
    <definedName name="Excel_BuiltIn_Print_Area_5_1_1_15_4">#REF!</definedName>
    <definedName name="TMTbars">#REF!</definedName>
    <definedName name="_A9">#REF!</definedName>
    <definedName name="____SS403">#REF!</definedName>
    <definedName name="pandu123">#REF!</definedName>
    <definedName name="Excel_BuiltIn_Print_Area_2_1_1_14_16">#REF!</definedName>
    <definedName name="Excel_BuiltIn_Print_Area_4_1_1_12_27">#REF!</definedName>
    <definedName name="OH_workings_sept">#REF!</definedName>
    <definedName name="XRefCopy38">#REF!</definedName>
    <definedName name="SUMMARY">#REF!</definedName>
    <definedName name="____hfi6">#REF!</definedName>
    <definedName name="Excel_BuiltIn_Print_Titles_4_1_2">#REF!</definedName>
    <definedName name="hkg">#REF!</definedName>
    <definedName name="Excel_BuiltIn_Print_Area_9_1_2_4">#REF!</definedName>
    <definedName name="_______________________________________________________dol12">#REF!</definedName>
    <definedName name="EM_038_4">#REF!</definedName>
    <definedName localSheetId="8" name="fgdfgg">#REF!</definedName>
    <definedName name="EM_018_14">#REF!</definedName>
    <definedName name="Excel_BuiltIn_Print_Area_8_1_1_9">#REF!</definedName>
    <definedName name="COU___0">#REF!</definedName>
    <definedName name="Excel_BuiltIn_Print_Area_9_1_1_1_1">#REF!</definedName>
    <definedName name="sal">#REF!</definedName>
    <definedName localSheetId="8" name="APRIL">#REF!</definedName>
    <definedName name="___DAT8">#REF!</definedName>
    <definedName name="________________dol6">#REF!</definedName>
    <definedName name="col___12">#REF!</definedName>
    <definedName name="Excel_BuiltIn_Print_Area_5_1_17_16">#REF!</definedName>
    <definedName name="IE_Avg_VC">#REF!</definedName>
    <definedName name="PATHLP1">#REF!</definedName>
    <definedName name="Excel_BuiltIn_Print_Area_9_1_16_16">#REF!</definedName>
    <definedName name="Excel_BuiltIn_Print_Area_9_1_20_4">#REF!</definedName>
    <definedName localSheetId="8" name="cfre">#REF!</definedName>
    <definedName name="_____________tab1">#REF!</definedName>
    <definedName name="Excel_BuiltIn_Print_Area_16_1_1_5_1">#REF!</definedName>
    <definedName name="ZAA">#REF!</definedName>
    <definedName name="_______________________________________________dol6">#REF!</definedName>
    <definedName name="_______a1">#REF!</definedName>
    <definedName name="_17__123Graph_BCHART_1">#REF!</definedName>
    <definedName name="ba">#REF!</definedName>
    <definedName name="EM_024_13">#REF!</definedName>
    <definedName name="EM_030_7">#REF!</definedName>
    <definedName name="dam">#REF!</definedName>
    <definedName name="SAP_SUMM">#REF!</definedName>
    <definedName name="________________________dol12">#REF!</definedName>
    <definedName name="k1s">#REF!</definedName>
    <definedName name="Mason1">#REF!</definedName>
    <definedName name="XRefPaste14">#REF!</definedName>
    <definedName name="Excel_BuiltIn_Print_Area_3_1_12_4">#REF!</definedName>
    <definedName name="Excel_BuiltIn_Print_Area_8_1_14_27">#REF!</definedName>
    <definedName name="________1____123Graph_ACHART_1">#REF!</definedName>
    <definedName name="___SAP3">#REF!</definedName>
    <definedName name="Excel_BuiltIn_Print_Area_5_1_1_2_27">#REF!</definedName>
    <definedName name="Excel_BuiltIn_Print_Area_7_1_1_1_1_1">#REF!</definedName>
    <definedName name="___hxa1">#REF!</definedName>
    <definedName name="ss6_e_f">#REF!</definedName>
    <definedName name="______SS409">#REF!</definedName>
    <definedName name="Excel_BuiltIn_Print_Area_2_1_1_1_2_4">#REF!</definedName>
    <definedName name="EM_063_15">#REF!</definedName>
    <definedName name="wqwrwrqwrqr">#REF!</definedName>
    <definedName name="m2_fuel_w">#REF!</definedName>
    <definedName name="RiverGodavari">#REF!</definedName>
    <definedName name="Supplykalpaka160714">#REF!</definedName>
    <definedName localSheetId="8" name="total">#REF!</definedName>
    <definedName name="Excel_BuiltIn_Print_Area_4_1_5">#REF!</definedName>
    <definedName name="__acs1">#REF!</definedName>
    <definedName name="XRefCopy68">#REF!</definedName>
    <definedName name="Batching_hot_mix_plant">#REF!</definedName>
    <definedName name="_____DET2">#REF!</definedName>
    <definedName name="_T145000">#REF!</definedName>
    <definedName name="EM_021_18">#REF!</definedName>
    <definedName name="ss8_civ_w">#REF!</definedName>
    <definedName name="checked">#REF!</definedName>
    <definedName name="TSS">#REF!</definedName>
    <definedName name="XREF_COLUMN_22">#REF!</definedName>
    <definedName name="Value50">#REF!</definedName>
    <definedName name="Excel_BuiltIn_Print_Area_2_1_20_27">#REF!</definedName>
    <definedName name="ss8_e_f">#REF!</definedName>
    <definedName name="_____hfi6">#REF!</definedName>
    <definedName name="Excel_BuiltIn_Print_Area_12_1_7">#REF!</definedName>
    <definedName name="Excel_BuiltIn_Print_Area_8_1_1_13_2">#REF!</definedName>
    <definedName name="__Tk11">#REF!</definedName>
    <definedName name="Excel_BuiltIn_Print_Area_15_1_12_4">#REF!</definedName>
    <definedName name="Excel_BuiltIn_Print_Area_10_1_9_2">#REF!</definedName>
    <definedName name="Excel_BuiltIn_Print_Area_5_1_1_20_4">#REF!</definedName>
    <definedName name="RFP004Materiall_Total_FC">#REF!</definedName>
    <definedName name="Excel_BuiltIn_Print_Area_8_1_7">#REF!</definedName>
    <definedName name="______Vf2">#REF!</definedName>
    <definedName name="_15Excel_BuiltIn_Print_Area_2_1_1_1">#REF!</definedName>
    <definedName name="ALPJYOU">#REF!</definedName>
    <definedName name="EP_May">#REF!</definedName>
    <definedName name="EM_021_7">#REF!</definedName>
    <definedName name="MC_UKPHW">#REF!</definedName>
    <definedName name="도면용역비">#REF!</definedName>
    <definedName name="Excel_BuiltIn_Print_Area_16_1_1_16_4">#REF!</definedName>
    <definedName name="progress13">#REF!</definedName>
    <definedName name="JEJS___4">#REF!</definedName>
    <definedName name="Excel_BuiltIn_Print_Area_7_1_3_27">#REF!</definedName>
    <definedName name="EM_008_8">#REF!</definedName>
    <definedName name="_____________________________xlnm.Print_Area_1">#REF!</definedName>
    <definedName name="EM_039_4">#REF!</definedName>
    <definedName name="Excel_BuiltIn_Print_Area_17_1_16_27">#REF!</definedName>
    <definedName name="_A2">#REF!</definedName>
    <definedName name="Excel_BuiltIn_Print_Area_2_1_1_1_9">#REF!</definedName>
    <definedName name="________aoc3">#REF!</definedName>
    <definedName name="ss6_ec_f">#REF!</definedName>
    <definedName name="___DAT12">#REF!</definedName>
    <definedName name="m2_bop_f">#REF!</definedName>
    <definedName name="Excel_BuiltIn_Print_Area_5_1_1_11_16">#REF!</definedName>
    <definedName name="Excel_BuiltIn_Print_Area_5_17_16">#REF!</definedName>
    <definedName name="Excel_BuiltIn_Print_Area_8_1_1_3_4">#REF!</definedName>
    <definedName name="XRefCopy35">#REF!</definedName>
    <definedName name="EM_009_7">#REF!</definedName>
    <definedName name="Excel_BuiltIn_Print_Area_3_1_4">#REF!</definedName>
    <definedName name="INT_CHGS">#REF!</definedName>
    <definedName name="sUNDR">#REF!</definedName>
    <definedName name="Excel_BuiltIn_Print_Area_6_1_7_16">#REF!</definedName>
    <definedName name="Excel_BuiltIn_Print_Area_16_1_1_5_16">#REF!</definedName>
    <definedName name="Excel_BuiltIn_Print_Area_9_1_5">#REF!</definedName>
    <definedName name="Excel_BuiltIn_Print_Area_6_1_13_2">#REF!</definedName>
    <definedName name="Excel_BuiltIn_Print_Area_12_1_1_1_1_16">#REF!</definedName>
    <definedName name="Excel_BuiltIn_Print_Area_13_1_11_16">#REF!</definedName>
    <definedName name="HEDGING">#REF!</definedName>
    <definedName name="IE_Sep">#REF!</definedName>
    <definedName name="Excel_BuiltIn_Print_Area_16_1_13">#REF!</definedName>
    <definedName name="__________Ki1">#REF!</definedName>
    <definedName name="asdsad">#REF!</definedName>
    <definedName name="Excel_BuiltIn_Print_Area_4_1_14">#REF!</definedName>
    <definedName name="ss8_e_v">#REF!</definedName>
    <definedName name="____RE500">#REF!</definedName>
    <definedName name="__xlfn_SUMIFS">#REF!</definedName>
    <definedName name="Group_PY">#REF!</definedName>
    <definedName name="tol">#REF!</definedName>
    <definedName name="Zt">#REF!</definedName>
    <definedName name="EM_010_4">#REF!</definedName>
    <definedName name="Excel_BuiltIn_Print_Area_10_1_16_27">#REF!</definedName>
    <definedName name="Excel_BuiltIn_Print_Area_9_1_6_27">#REF!</definedName>
    <definedName name="Excel_BuiltIn_Print_Area_5_1_1_6_27">#REF!</definedName>
    <definedName name="SC_MP_Peak">#REF!</definedName>
    <definedName name="A8____13">#REF!</definedName>
    <definedName name="__hfi3">#REF!</definedName>
    <definedName name="E_BV">#REF!</definedName>
    <definedName name="Excel_BuiltIn_Print_Area_7_1_2">#REF!</definedName>
    <definedName name="usn">#REF!</definedName>
    <definedName name="angle">#REF!</definedName>
    <definedName name="Excel_BuiltIn_Print_Area_2_1_1_15_27">#REF!</definedName>
    <definedName name="___A5">#REF!</definedName>
    <definedName name="___________________________________xlnm.Print_Titles_1">#REF!</definedName>
    <definedName name="SIZEC">#REF!</definedName>
    <definedName name="_3Excel_BuiltIn_Print_Area_10_1">#REF!</definedName>
    <definedName name="_SS409">#REF!</definedName>
    <definedName name="OT">#REF!</definedName>
    <definedName name="BuiltIn_AutoFilter___1">#REF!</definedName>
    <definedName name="EP_OB_Cust">#REF!</definedName>
    <definedName name="Excel_BuiltIn_Print_Area_2_1_1_6_4">#REF!</definedName>
    <definedName name="___xlnm._FilterDatabase_1">#REF!</definedName>
    <definedName name="OPTION4">#REF!</definedName>
    <definedName name="________SAP1">#REF!</definedName>
    <definedName name="P_M">#REF!</definedName>
    <definedName name="TESTHKEY">#REF!</definedName>
    <definedName name="Excel_BuiltIn_Print_Area_2_1_1_1_12_4">#REF!</definedName>
    <definedName name="Excel_BuiltIn_Print_Area_28_10_16">#REF!</definedName>
    <definedName name="LYHolds">#REF!</definedName>
    <definedName name="EH_002_5">#REF!</definedName>
    <definedName name="Excel_BuiltIn_Print_Area_6_1_16_1">#REF!</definedName>
    <definedName name="_______________dol12">#REF!</definedName>
    <definedName name="___________dol6">#REF!</definedName>
    <definedName name="ss8_hrsg_v">#REF!</definedName>
    <definedName name="ESC_2">#REF!</definedName>
    <definedName name="Excel_BuiltIn_Print_Area_11_1_9">#REF!</definedName>
    <definedName name="Excel_BuiltIn_Print_Area_8_1_1_20_2">#REF!</definedName>
    <definedName name="p1ksk">#REF!</definedName>
    <definedName name="___out2">#REF!</definedName>
    <definedName name="EM_033_11">#REF!</definedName>
    <definedName name="_________xlnm.Print_Titles_4">#REF!</definedName>
    <definedName name="Excel_BuiltIn_Print_Area_7_1_1_16_1">#REF!</definedName>
    <definedName localSheetId="8" name="Excel_BuiltIn_Print_Titles_9_16">#REF!</definedName>
    <definedName name="___aoc3">#REF!</definedName>
    <definedName localSheetId="8" name="Piling">#REF!</definedName>
    <definedName name="EM_012_13">#REF!</definedName>
    <definedName name="EM_030_14">#REF!</definedName>
    <definedName name="Excel_BuiltIn_Print_Area_3_1_14_16">#REF!</definedName>
    <definedName name="Group2">#REF!</definedName>
    <definedName name="_T147100">#REF!</definedName>
    <definedName name="_DAT9">#REF!</definedName>
    <definedName name="__drg1">#REF!</definedName>
    <definedName name="______SS424">#REF!</definedName>
    <definedName name="QFC_SFRs">#REF!</definedName>
    <definedName name="_________xlnm.Print_Area_7">#REF!</definedName>
    <definedName name="Excel_BuiltIn_Print_Area_2_1_1_15">#REF!</definedName>
    <definedName name="Excel_BuiltIn_Print_Area_8_1">#REF!</definedName>
    <definedName name="Excel_BuiltIn_Print_Area_28_17_27">#REF!</definedName>
    <definedName name="_____SC05">#REF!</definedName>
    <definedName name="Excel_BuiltIn_Print_Area_1_2">#REF!</definedName>
    <definedName name="______________A71614">#REF!</definedName>
    <definedName name="yyyyyyyyyyy">#REF!</definedName>
    <definedName name="Trs">#REF!</definedName>
    <definedName name="_1Excel_BuiltIn_Print_Area_4_1">#REF!</definedName>
    <definedName name="Excel_BuiltIn_Print_Area_7_1_6_27">#REF!</definedName>
    <definedName name="__HFI7">#REF!</definedName>
    <definedName name="M20_sand">#REF!</definedName>
    <definedName name="Excel_BuiltIn_Print_Area_2_1_1_1_5_27">#REF!</definedName>
    <definedName name="Beldar">#REF!</definedName>
    <definedName name="Excel_BuiltIn_Print_Area_2_1_11">#REF!</definedName>
    <definedName name="EM_013_12">#REF!</definedName>
    <definedName name="Hhpc">#REF!</definedName>
    <definedName name="______xlnm.Print_Area_7">#REF!</definedName>
    <definedName localSheetId="8" name="______SS402">#REF!</definedName>
    <definedName name="CAPFEB">#REF!</definedName>
    <definedName name="EM_010_7">#REF!</definedName>
    <definedName name="______run1">#REF!</definedName>
    <definedName name="EM_021_10">#REF!</definedName>
    <definedName name="Excel_BuiltIn_Print_Area_17_1_9_4">#REF!</definedName>
    <definedName name="l_10">#REF!</definedName>
    <definedName localSheetId="8" name="asd">#REF!</definedName>
    <definedName name="rgs">#REF!</definedName>
    <definedName name="Excel_BuiltIn_Print_Area_2_1_12">#REF!</definedName>
    <definedName name="Excel_BuiltIn_Print_Area_2_1_12_4">#REF!</definedName>
    <definedName name="___mnk1">#REF!</definedName>
    <definedName name="_______________________in18900">#REF!</definedName>
    <definedName name="Excel_BuiltIn_Print_Area_5_10_4">#REF!</definedName>
    <definedName name="__b111121">#REF!</definedName>
    <definedName name="________________________in18900">#REF!</definedName>
    <definedName name="HJ">#REF!</definedName>
    <definedName name="bs">#REF!</definedName>
    <definedName name="EM_025_1">#REF!</definedName>
    <definedName name="NIPP">#REF!</definedName>
    <definedName name="___ml3">#REF!</definedName>
    <definedName name="EM_026_15">#REF!</definedName>
    <definedName name="Excel_BuiltIn_Print_Area_7_1_1_20">#REF!</definedName>
    <definedName localSheetId="8" name="Excel_BuiltIn_Print_Titles_16">#REF!</definedName>
    <definedName name="______A2">#REF!</definedName>
    <definedName name="Excel_BuiltIn_Print_Area_5_1_20_16">#REF!</definedName>
    <definedName name="Vfour">#REF!</definedName>
    <definedName name="Excel_BuiltIn_Print_Area_10_1_2_1">#REF!</definedName>
    <definedName name="Excel_BuiltIn_Print_Area_5_15_27">#REF!</definedName>
    <definedName name="VELOKAL">#REF!</definedName>
    <definedName name="Angeb">#REF!</definedName>
    <definedName name="rmcsmsb.lab">#REF!</definedName>
    <definedName name="______DAT7">#REF!</definedName>
    <definedName name="Rs">#REF!</definedName>
    <definedName name="us_fi">#REF!</definedName>
    <definedName name="____lb2">#REF!</definedName>
    <definedName name="bhaskar">#REF!</definedName>
    <definedName name="BD1TransStateLogic2">#REF!</definedName>
    <definedName name="BD1StateFeas">#REF!</definedName>
    <definedName localSheetId="8" name="dms">#REF!</definedName>
    <definedName name="EM_032_8">#REF!</definedName>
    <definedName name="____xlnm.Print_Area_1">#REF!</definedName>
    <definedName name="EM_029_11">#REF!</definedName>
    <definedName name="__sig3">#REF!</definedName>
    <definedName name="SCHEDULE_NO._5___Fixed_Assets">#REF!</definedName>
    <definedName name="Vm">#REF!</definedName>
    <definedName name="Excel_BuiltIn_Print_Area_2_1_11_2">#REF!</definedName>
    <definedName name="XRefCopy57Row">#REF!</definedName>
    <definedName name="TEST6">#REF!</definedName>
    <definedName name="Value23">#REF!</definedName>
    <definedName name="Excel_BuiltIn_Print_Area_4_1_1_1_1_2">#REF!</definedName>
    <definedName name="sigma0.2">#REF!</definedName>
    <definedName name="lmcup.2">#REF!</definedName>
    <definedName name="EM_017_18">#REF!</definedName>
    <definedName name="look">#REF!</definedName>
    <definedName name="Excel_BuiltIn_Print_Area_29_8_16">#REF!</definedName>
    <definedName name="CIF_NonABB_Imp">#REF!</definedName>
    <definedName name="__SS406">#REF!</definedName>
    <definedName name="SS_VC">#REF!</definedName>
    <definedName name="M50cement">#REF!</definedName>
    <definedName name="Excel_BuiltIn_Print_Area_7_1_1_3_2">#REF!</definedName>
    <definedName name="Excel_BuiltIn_Print_Area_4_1_3_27">#REF!</definedName>
    <definedName name="salary">#REF!</definedName>
    <definedName name="K2v">#REF!</definedName>
    <definedName name="Values_Entered">#REF!</definedName>
    <definedName name="LUMEN">#REF!</definedName>
    <definedName name="__8_____123Graph_BCHART_1">#REF!</definedName>
    <definedName name="EM_056_18">#REF!</definedName>
    <definedName name="EM_015_8">#REF!</definedName>
    <definedName name="Excel_BuiltIn_Print_Area_8_1_1_16_2">#REF!</definedName>
    <definedName name="Excel_BuiltIn_Print_Area_7_1_1_9_2">#REF!</definedName>
    <definedName name="Excel_BuiltIn_Print_Area_2_1_1_1_1">#REF!</definedName>
    <definedName name="EM_017_2">#REF!</definedName>
    <definedName name="BL4AAA">#REF!</definedName>
    <definedName localSheetId="8" name="__xlnm._FilterDatabase_2">#REF!</definedName>
    <definedName name="_lvl1">#REF!</definedName>
    <definedName name="ah">#REF!</definedName>
    <definedName name="Excel_BuiltIn_Print_Area_10_1_5_4">#REF!</definedName>
    <definedName name="est">#REF!</definedName>
    <definedName name="k1_table">#REF!</definedName>
    <definedName name="_5__123Graph_BCHART_1">#REF!</definedName>
    <definedName name="_qty4">#REF!</definedName>
    <definedName name="cust">#REF!</definedName>
    <definedName name="Excel_BuiltIn_Print_Area_12_1_1_9_2">#REF!</definedName>
    <definedName name="p1ltsba2">#REF!</definedName>
    <definedName name="XRefCopy50Row">#REF!</definedName>
    <definedName name="EM_003_5">#REF!</definedName>
    <definedName name="Excel_BuiltIn_Print_Area_9_1_3">#REF!</definedName>
    <definedName name="insertplate_and_exp_joint">#REF!</definedName>
    <definedName name="__3__123Graph_CCHART_1">#REF!</definedName>
    <definedName localSheetId="8" name="DM">#REF!</definedName>
    <definedName name="EM_022_18">#REF!</definedName>
    <definedName name="Excel_BuiltIn_Print_Area_4_1_1_10">#REF!</definedName>
    <definedName name="zeq10.48">#REF!</definedName>
    <definedName name="DL_Total_002MHs">#REF!</definedName>
    <definedName name="Excel_BuiltIn_Print_Area_12_1_1_16">#REF!</definedName>
    <definedName name="Total_EB">#REF!</definedName>
    <definedName name="eehrw">#REF!</definedName>
    <definedName name="Excel_BuiltIn_Print_Area_3_1_17_27">#REF!</definedName>
    <definedName name="Excel_BuiltIn_Print_Area_2_1_1_1_1_1_2">#REF!</definedName>
    <definedName name="Metal40mm">#REF!</definedName>
    <definedName name="EM_004_7">#REF!</definedName>
    <definedName name="Water">#REF!</definedName>
    <definedName name="Excel_BuiltIn_Print_Area_5_1_16_4">#REF!</definedName>
    <definedName name="___Wr3">#REF!</definedName>
    <definedName name="______a655601">#REF!</definedName>
    <definedName name="clobs">#REF!</definedName>
    <definedName name="_____________dol12">#REF!</definedName>
    <definedName name="Excel_BuiltIn_Print_Area_2_1_1_14_27">#REF!</definedName>
    <definedName name="____________________________________IDA1">#REF!</definedName>
    <definedName name="RaftSlbThk">#REF!</definedName>
    <definedName name="g">#REF!</definedName>
    <definedName name="CA">#REF!</definedName>
    <definedName name="Excel_BuiltIn_Print_Area_4_1_1_14">#REF!</definedName>
    <definedName name="Excel_BuiltIn_Print_Area_17_1_17_16">#REF!</definedName>
    <definedName name="Mg">#REF!</definedName>
    <definedName name="Excel_BuiltIn_Print_Area_28_14_4">#REF!</definedName>
    <definedName name="Excel_BuiltIn_Print_Area_5_1_1_16_16">#REF!</definedName>
    <definedName name="m8_ct_f">#REF!</definedName>
    <definedName name="PRA_DETAILSMAR01">#REF!</definedName>
    <definedName name="_DET3">#REF!</definedName>
    <definedName name="________IDA1">#REF!</definedName>
    <definedName localSheetId="5" name="_g66666">#REF!</definedName>
    <definedName name="EM_024_2">#REF!</definedName>
    <definedName name="BL3CCC">#REF!</definedName>
    <definedName name="SAUN">#REF!</definedName>
    <definedName name="MultipleSets">#REF!</definedName>
    <definedName name="Excel_BuiltIn_Print_Area_7_1_1_14_4">#REF!</definedName>
    <definedName name="IE_Sales_IU">#REF!</definedName>
    <definedName name="Excel_BuiltIn_Print_Area_13_1_1">#REF!</definedName>
    <definedName name="______SAP2">#REF!</definedName>
    <definedName name="Excel_BuiltIn_Print_Area_6_1_3_4">#REF!</definedName>
    <definedName name="Re">#REF!</definedName>
    <definedName localSheetId="8" name="__ls1">#REF!</definedName>
    <definedName name="Excel_BuiltIn_Print_Area_4_1_1_8_2">#REF!</definedName>
    <definedName name="___wp1">#REF!</definedName>
    <definedName name="Client_Markup">#REF!</definedName>
    <definedName name="Excel_BuiltIn_Print_Area_11_1_4">#REF!</definedName>
    <definedName name="P_4">#REF!</definedName>
    <definedName name="__m234">#REF!</definedName>
    <definedName name="Excel_BuiltIn_Print_Area_3_1_8_2">#REF!</definedName>
    <definedName name="Excel_BuiltIn_Print_Area_3_27">#REF!</definedName>
    <definedName name="___xlnm.Print_Area_4">#REF!</definedName>
    <definedName name="_DAT4">#REF!</definedName>
    <definedName name="Excel_BuiltIn_Print_Area_2_1_6_2">#REF!</definedName>
    <definedName name="print_title">#REF!</definedName>
    <definedName name="TPROT220">#REF!</definedName>
    <definedName name="Excel_BuiltIn_Print_Area_17_1_1_20_16">#REF!</definedName>
    <definedName localSheetId="8" name="mlbs">#REF!</definedName>
    <definedName name="hxdd">#REF!</definedName>
    <definedName name="n1x">#REF!</definedName>
    <definedName name="ss6_e_w">#REF!</definedName>
    <definedName name="ss9_cond_f">#REF!</definedName>
    <definedName name="Excel_BuiltIn_Print_Area_2_1_11_27">#REF!</definedName>
    <definedName name="_______DAT5">#REF!</definedName>
    <definedName name="Excel_BuiltIn_Print_Area_2_1_1_1_9_2">#REF!</definedName>
    <definedName localSheetId="8" name="Hu">#REF!</definedName>
    <definedName name="_____1____123Graph_ACHART_1">#REF!</definedName>
    <definedName name="___A4">#REF!</definedName>
    <definedName name="IE_ANFE">#REF!</definedName>
    <definedName name="Excel_BuiltIn_Print_Area_5_1_1_15_27">#REF!</definedName>
    <definedName name="Excel_BuiltIn_Print_Area_5_1_1">#REF!</definedName>
    <definedName name="p1db">#REF!</definedName>
    <definedName name="HMD">#REF!</definedName>
    <definedName name="IE_ANWC">#REF!</definedName>
    <definedName name="Excel_BuiltIn_Print_Area_4_1_1_15_16">#REF!</definedName>
    <definedName name="OCTROI_SW">#REF!</definedName>
    <definedName name="____________A91614">#REF!</definedName>
    <definedName name="____mnk1">#REF!</definedName>
    <definedName name="EM_010_9">#REF!</definedName>
    <definedName name="UKP">#REF!</definedName>
    <definedName name="Staircase">#REF!</definedName>
    <definedName name="__DAT1">#REF!</definedName>
    <definedName name="Excel_BuiltIn_Print_Area_17_1_16_2">#REF!</definedName>
    <definedName name="SS_Avg_COI">#REF!</definedName>
    <definedName name="JULY1">#REF!</definedName>
    <definedName name="K1V">#REF!</definedName>
    <definedName name="Sim1_Param2">#REF!</definedName>
    <definedName name="__________xlnm.Print_Area_3">#REF!</definedName>
    <definedName name="MAN_SALE_FACT">#REF!</definedName>
    <definedName name="_____bhh2">#REF!</definedName>
    <definedName name="Excel_BuiltIn_Print_Area_2_1_1_1_3_4">#REF!</definedName>
    <definedName name="Excel_BuiltIn_Print_Area_2_1_2_2">#REF!</definedName>
    <definedName name="ss8_gtax_w">#REF!</definedName>
    <definedName name="Excel_BuiltIn_Print_Area_2_1_1_1_1_2_1">#REF!</definedName>
    <definedName name="MANU55">#REF!</definedName>
    <definedName name="Mhpipd">#REF!</definedName>
    <definedName name="Xm">#REF!</definedName>
    <definedName name="BD1TransState2">#REF!</definedName>
    <definedName name="____7__123Graph_ACHART_1">#REF!</definedName>
    <definedName name="__LAR500">#REF!</definedName>
    <definedName name="STR">#REF!</definedName>
    <definedName name="Value42">#REF!</definedName>
    <definedName name="Excel_BuiltIn_Print_Area_12_1_1_6_2">#REF!</definedName>
    <definedName name="Excel_BuiltIn_Print_Area_2_1_1_1_1_2">#REF!</definedName>
    <definedName name="XRefCopy39">#REF!</definedName>
    <definedName localSheetId="8" name="______xlnm.Print_Area_2">#REF!</definedName>
    <definedName name="_1Excel_BuiltIn_Print_Area_10_1">#REF!</definedName>
    <definedName name="Excel_BuiltIn_Print_Area_17_1_1_11_16">#REF!</definedName>
    <definedName name="__3_______123Graph_CCHART_1">#REF!</definedName>
    <definedName name="Excel_BuiltIn_Print_Area_5_1_1_1_2">#REF!</definedName>
    <definedName name="_7Excel_BuiltIn_Print_Titles_4_1">#REF!</definedName>
    <definedName name="us_er">#REF!</definedName>
    <definedName name="Excel_BuiltIn_Print_Area_29_3">#REF!</definedName>
    <definedName name="_____CFB2">#REF!</definedName>
    <definedName name="Excel_BuiltIn_Print_Area_6_1_11_27">#REF!</definedName>
    <definedName name="Excel_BuiltIn_Print_Area_5_17_2">#REF!</definedName>
    <definedName name="Excel_BuiltIn_Print_Area_6_1_27">#REF!</definedName>
    <definedName name="Excel_BuiltIn_Print_Area_16_1_6_4">#REF!</definedName>
    <definedName name="p1apcc1">#REF!</definedName>
    <definedName name="Total_Interest">#REF!</definedName>
    <definedName name="_SS407">#REF!</definedName>
    <definedName name="Excel_BuiltIn_Print_Area_8_1_9">#REF!</definedName>
    <definedName name="werwere">#REF!</definedName>
    <definedName name="Excel_BuiltIn_Print_Area_2_1_2_1">#REF!</definedName>
    <definedName name="Excel_BuiltIn_Print_Area_8_1_1_7_27">#REF!</definedName>
    <definedName name="zspu">#REF!</definedName>
    <definedName name="zl___0">#REF!</definedName>
    <definedName name="EM_012_6">#REF!</definedName>
    <definedName name="oper">#REF!</definedName>
    <definedName name="ss8_geno_f">#REF!</definedName>
    <definedName name="SLOPE">#REF!</definedName>
    <definedName name="ss6_gtax_f">#REF!</definedName>
    <definedName name="Excel_BuiltIn_Print_Area_5_3_4">#REF!</definedName>
    <definedName name="EM_005_1">#REF!</definedName>
    <definedName name="fEQAvz">#REF!</definedName>
    <definedName name="___ifa1">#REF!</definedName>
    <definedName name="AAAAAA">#REF!</definedName>
    <definedName name="XRefPaste11Row">#REF!</definedName>
    <definedName name="Excel_BuiltIn_Print_Area_7_1_14_4">#REF!</definedName>
    <definedName name="_________________________________IDA1">#REF!</definedName>
    <definedName name="IE_COI">#REF!</definedName>
    <definedName name="ALPIN">#REF!</definedName>
    <definedName name="Excel_BuiltIn_Print_Area_10_1_8_16">#REF!</definedName>
    <definedName name="__trt75">#REF!</definedName>
    <definedName name="_____________________________iv19000">#REF!</definedName>
    <definedName name="WORKCAPTAL_BGT2">#REF!</definedName>
    <definedName name="____________lb2">#REF!</definedName>
    <definedName name="cvd">#REF!</definedName>
    <definedName name="Excel_BuiltIn__FilterDatabase_50">#REF!</definedName>
    <definedName name="_T144800">#REF!</definedName>
    <definedName name="EM_024_1">#REF!</definedName>
    <definedName name="__16__123Graph_ACHART_1">#REF!</definedName>
    <definedName name="Excel_BuiltIn_Print_Area_10_1_17_27">#REF!</definedName>
    <definedName name="__SAP1">#REF!</definedName>
    <definedName name="___________dol12">#REF!</definedName>
    <definedName name="cccc">#REF!</definedName>
    <definedName localSheetId="8" name="Fh">#REF!</definedName>
    <definedName name="XRefPaste18Row">#REF!</definedName>
    <definedName name="DATA_15">#REF!</definedName>
    <definedName name="DEHRI">#REF!</definedName>
    <definedName name="EM_031_15">#REF!</definedName>
    <definedName name="_1____123Graph_ACHART_1">#REF!</definedName>
    <definedName name="CPRP">#REF!</definedName>
    <definedName name="Excel_BuiltIn_Print_Area_10_1_1_27">#REF!</definedName>
    <definedName name="blhvhb">#REF!</definedName>
    <definedName name="_T144700">#REF!</definedName>
    <definedName name="tst">#REF!</definedName>
    <definedName name="Excel_BuiltIn_Print_Area_5_1_8_2">#REF!</definedName>
    <definedName name="__pp1">#REF!</definedName>
    <definedName name="logoa">#REF!</definedName>
    <definedName name="TEST12">#REF!</definedName>
    <definedName name="Excel_BuiltIn_Print_Area_6_1_12_27">#REF!</definedName>
    <definedName name="CBR220CTL">#REF!</definedName>
    <definedName name="Excel_BuiltIn_Print_Area_12_1_1_2_4">#REF!</definedName>
    <definedName name="Irated">#REF!</definedName>
    <definedName name="Excel_BuiltIn_Print_Area_15_1_7_16">#REF!</definedName>
    <definedName name="____eth2">#REF!</definedName>
    <definedName name="Mlpc">#REF!</definedName>
    <definedName name="Tfd">#REF!</definedName>
    <definedName name="rout_t">#REF!</definedName>
    <definedName name="D65536A1">#REF!</definedName>
    <definedName name="XRefCopy53">#REF!</definedName>
    <definedName name="버티">#REF!</definedName>
    <definedName name="_3Excel_BuiltIn_Print_Area_4_1_1">#REF!</definedName>
    <definedName name="BD1TransNextState1">#REF!</definedName>
    <definedName name="EM_036_2">#REF!</definedName>
    <definedName name="M25_sand">#REF!</definedName>
    <definedName name="EM_001_5">#REF!</definedName>
    <definedName name="______________mm2">#REF!</definedName>
    <definedName name="CED_OWNSW">#REF!</definedName>
    <definedName name="wordings">#REF!</definedName>
    <definedName name="감가">#REF!</definedName>
    <definedName name="____CBR220">#REF!</definedName>
    <definedName name="Excel_BuiltIn_Print_Area_10_8_4">#REF!</definedName>
    <definedName name="XRefCopy27">#REF!</definedName>
    <definedName name="Excel_BuiltIn_Print_Area_6_1_9_4">#REF!</definedName>
    <definedName name="TL_ANFEBG">#REF!</definedName>
    <definedName name="ctf">#REF!</definedName>
    <definedName name="Excel_BuiltIn_Print_Area_6_1_3_2">#REF!</definedName>
    <definedName name="SC_Ave">#REF!</definedName>
    <definedName name="Excel_BuiltIn_Print_Area_4_1_16_4">#REF!</definedName>
    <definedName name="_________________________________________________dol6">#REF!</definedName>
    <definedName name="__g1">#REF!</definedName>
    <definedName name="Excel_BuiltIn_Print_Area_7_1_1_2_2">#REF!</definedName>
    <definedName name="______DET2">#REF!</definedName>
    <definedName name="EM_036_5">#REF!</definedName>
    <definedName name="Z0p">#REF!</definedName>
    <definedName name="Excel_BuiltIn_Print_Area_12_1_1_9">#REF!</definedName>
    <definedName name="ESC_IMPSW">#REF!</definedName>
    <definedName name="Excel_BuiltIn_Print_Area_5_1_1_2">#REF!</definedName>
    <definedName name="qwerty">#REF!</definedName>
    <definedName name="_11Excel_BuiltIn_Print_Area_18_1">#REF!</definedName>
    <definedName name="___SC21">#REF!</definedName>
    <definedName name="_________A91614">#REF!</definedName>
    <definedName name="Excel_BuiltIn_Print_Area_13_1_20_4">#REF!</definedName>
    <definedName name="__________________________xlnm.Print_Area_3">#REF!</definedName>
    <definedName name="site">#REF!</definedName>
    <definedName name="_SAP1">#REF!</definedName>
    <definedName name="_DAT8">#REF!</definedName>
    <definedName name="XRefCopy57">#REF!</definedName>
    <definedName name="Excel_BuiltIn_Print_Area_9_1_3_27">#REF!</definedName>
    <definedName localSheetId="8" name="_P">#REF!</definedName>
    <definedName name="cdds">#REF!</definedName>
    <definedName name="Da">#REF!</definedName>
    <definedName name="EM_032_12">#REF!</definedName>
    <definedName name="ll">#REF!</definedName>
    <definedName name="Excel_BuiltIn_Print_Area_17_1_1_6">#REF!</definedName>
    <definedName name="Excel_BuiltIn_Print_Area_17_1_1_11">#REF!</definedName>
    <definedName name="Excel_BuiltIn_Print_Area_5_1_15_27">#REF!</definedName>
    <definedName name="work">#REF!</definedName>
    <definedName name="Excel_BuiltIn_Print_Area_8_1_5_2">#REF!</definedName>
    <definedName name="_SC24">#REF!</definedName>
    <definedName name="xzq">#REF!</definedName>
    <definedName name="EP_OCA">#REF!</definedName>
    <definedName name="Excel_BuiltIn_Print_Area_8_1_1_16_27">#REF!</definedName>
    <definedName name="M_s.MAMTHA_CONTRACTORS">#REF!</definedName>
    <definedName name="Individual_PY">#REF!</definedName>
    <definedName name="facplc">#REF!</definedName>
    <definedName name="__SAP8">#REF!</definedName>
    <definedName name="Excel_BuiltIn_Print_Area_8_1_1_8_2">#REF!</definedName>
    <definedName name="isn">#REF!</definedName>
    <definedName name="wewe">#REF!</definedName>
    <definedName name="_____acs1">#REF!</definedName>
    <definedName name="BD1TransProb2">#REF!</definedName>
    <definedName name="Excel_BuiltIn_Print_Area_2_1_7">#REF!</definedName>
    <definedName name="S_T_Q_E_MI">#REF!</definedName>
    <definedName name="uu">#REF!</definedName>
    <definedName name="Excel_BuiltIn_Print_Area_12_1_1_1_2">#REF!</definedName>
    <definedName name="___DET5">#REF!</definedName>
    <definedName name="TEs___13">#REF!</definedName>
    <definedName name="주택사업본부">#REF!</definedName>
    <definedName name="____SC05">#REF!</definedName>
    <definedName name="Excel_BuiltIn_Print_Area_11_1_14_16">#REF!</definedName>
    <definedName name="HINDI">#REF!</definedName>
    <definedName name="Excel_BuiltIn_Print_Area_12_1_11">#REF!</definedName>
    <definedName name="dual_plate_check">#REF!</definedName>
    <definedName localSheetId="5" name="_HCO2">#REF!</definedName>
    <definedName name="Excel_BuiltIn_Print_Area_12_1_14_27">#REF!</definedName>
    <definedName name="Excel_BuiltIn_Print_Area_4_1_20_27">#REF!</definedName>
    <definedName name="____________aoc4">#REF!</definedName>
    <definedName name="__kd3">#REF!</definedName>
    <definedName name="___axx5">#REF!</definedName>
    <definedName name="_____________________________dol12">#REF!</definedName>
    <definedName localSheetId="8" name="adasdas">#REF!</definedName>
    <definedName name="_A4">#REF!</definedName>
    <definedName name="Ki2___13">#REF!</definedName>
    <definedName name="Length_of_cable_tray">#REF!</definedName>
    <definedName name="si">#REF!</definedName>
    <definedName name="msc">#REF!</definedName>
    <definedName name="XRefPaste33Row">#REF!</definedName>
    <definedName name="_________xlnm.Print_Area_8">#REF!</definedName>
    <definedName name="SubTotalPrice">#REF!</definedName>
    <definedName name="_______ml33">#REF!</definedName>
    <definedName name="EM_025_3">#REF!</definedName>
    <definedName name="SortAREA">#REF!</definedName>
    <definedName name="XREF_COLUMN_16">#REF!</definedName>
    <definedName name="__hfi4">#REF!</definedName>
    <definedName name="ALPTOI">#REF!</definedName>
    <definedName name="ipu___0">#REF!</definedName>
    <definedName name="EH_001_9">#REF!</definedName>
    <definedName name="Excel_BuiltIn_Print_Area_4_1_1_5_2">#REF!</definedName>
    <definedName name="Excel_BuiltIn_Print_Area_12_1_12_4">#REF!</definedName>
    <definedName name="Excel_BuiltIn_Print_Area_28_6_4">#REF!</definedName>
    <definedName name="job">#REF!</definedName>
    <definedName name="___hfi3">#REF!</definedName>
    <definedName name="znTypesRelais">#REF!</definedName>
    <definedName name="Excel_BuiltIn_Print_Area_3_1_6_16">#REF!</definedName>
    <definedName name="______aoc3">#REF!</definedName>
    <definedName name="Z2ps">#REF!</definedName>
    <definedName name="Excel_BuiltIn_Print_Area_7_1_15_16">#REF!</definedName>
    <definedName name="Excel_BuiltIn_Print_Area_5_1_1_5_2">#REF!</definedName>
    <definedName name="_7__123Graph_ACHART_1">#REF!</definedName>
    <definedName name="xyz">#REF!</definedName>
    <definedName name="____CFB1">#REF!</definedName>
    <definedName name="sftest_idr">#REF!</definedName>
    <definedName name="ADADADADAD">#REF!</definedName>
    <definedName name="hoi">#REF!</definedName>
    <definedName name="Value19">#REF!</definedName>
    <definedName name="Excel_BuiltIn_Print_Area_5_1_14_4">#REF!</definedName>
    <definedName name="Excel_BuiltIn_Print_Area_17_1_1_10_16">#REF!</definedName>
    <definedName name="sinq">#REF!</definedName>
    <definedName localSheetId="8" name="chandra">#REF!</definedName>
    <definedName name="Excel_BuiltIn_Print_Area_15_1_1_1_2">#REF!</definedName>
    <definedName name="EM_037_7">#REF!</definedName>
    <definedName name="AF_01">#REF!</definedName>
    <definedName name="Excel_BuiltIn_Print_Area_2_1_2_27">#REF!</definedName>
    <definedName name="_______________b111121">#REF!</definedName>
    <definedName name="Excel_BuiltIn_Print_Area_6_1_7_2">#REF!</definedName>
    <definedName name="__18__123Graph_CCHART_1">#REF!</definedName>
    <definedName name="_2Excel_BuiltIn_Print_Area_2_1_1_1">#REF!</definedName>
    <definedName name="EM_021_3">#REF!</definedName>
    <definedName name="m2_cond_w">#REF!</definedName>
    <definedName name="Excel_BuiltIn_Print_Area_11_1_1_16">#REF!</definedName>
    <definedName name="REACT500FIRE">#REF!</definedName>
    <definedName name="tower_distr_br2">#REF!</definedName>
    <definedName name="GrphActStk">#REF!</definedName>
    <definedName name="TEt___0">#REF!</definedName>
    <definedName name="Excel_BuiltIn_Print_Area_5_1_6_16">#REF!</definedName>
    <definedName name="Excel_BuiltIn_Print_Area_12_1_14_16">#REF!</definedName>
    <definedName name="Excel_BuiltIn_Print_Area_17_1">#REF!</definedName>
    <definedName name="Excel_BuiltIn_Print_Area_17_1_3_2">#REF!</definedName>
    <definedName name="___run1">#REF!</definedName>
    <definedName name="EM_014_18">#REF!</definedName>
    <definedName name="Excel_BuiltIn_Print_Area_8_1_15_2">#REF!</definedName>
    <definedName name="modassar">#REF!</definedName>
    <definedName name="__xlnm.Print_Area_11">#REF!</definedName>
    <definedName name="_cdd2">#REF!</definedName>
    <definedName name="Excel_BuiltIn_Print_Area_17_1_16">#REF!</definedName>
    <definedName name="RBData">#REF!</definedName>
    <definedName name="__DET3">#REF!</definedName>
    <definedName name="_SAP6">#REF!</definedName>
    <definedName localSheetId="8" name="kc">#REF!</definedName>
    <definedName name="_6___________123Graph_CCHART_1">#REF!</definedName>
    <definedName name="Excel_BuiltIn_Print_Area_6_1_5_27">#REF!</definedName>
    <definedName name="Excel_BuiltIn_Print_Area_28_11_16">#REF!</definedName>
    <definedName name="Excel_BuiltIn_Print_Area_5_1_1_8_4">#REF!</definedName>
    <definedName localSheetId="8" name="__________a655601">#REF!</definedName>
    <definedName name="ZSo">#REF!</definedName>
    <definedName name="EM_018_16">#REF!</definedName>
    <definedName name="Excel_BuiltIn_Print_Area_15_1_11_27">#REF!</definedName>
    <definedName name="Ns">#REF!</definedName>
    <definedName name="Excel_BuiltIn_Print_Area_15_1_8_27">#REF!</definedName>
    <definedName name="BL3C">#REF!</definedName>
    <definedName name="JEJS___11">#REF!</definedName>
    <definedName name="Excel_BuiltIn_Print_Area_5_3_16">#REF!</definedName>
    <definedName name="Excel_BuiltIn_Print_Area_4_1_1_1_2">#REF!</definedName>
    <definedName name="man___12">#REF!</definedName>
    <definedName name="Excel_BuiltIn_Print_Area_15_1_8_4">#REF!</definedName>
    <definedName name="________________________dol6">#REF!</definedName>
    <definedName localSheetId="8" name="___________A65537">#REF!</definedName>
    <definedName name="ueber">#REF!</definedName>
    <definedName name="__aoc2">#REF!</definedName>
    <definedName name="____________m20">#REF!</definedName>
    <definedName name="BB">#REF!</definedName>
    <definedName name="Excel_BuiltIn_Print_Area_3_1_15_4">#REF!</definedName>
    <definedName name="___KEY3">#REF!</definedName>
    <definedName name="Excel_BuiltIn_Print_Area_2_1_1_1_11_27">#REF!</definedName>
    <definedName name="____LAR220">#REF!</definedName>
    <definedName name="Metal_124">#REF!</definedName>
    <definedName name="Excel_BuiltIn_Print_Area_7_1_3">#REF!</definedName>
    <definedName name="____9__123Graph_CCHART_1">#REF!</definedName>
    <definedName name="bpf">#REF!</definedName>
    <definedName name="____Wc1">#REF!</definedName>
    <definedName name="EM_018_5">#REF!</definedName>
    <definedName name="KSN">#REF!</definedName>
    <definedName name="suresh123">#REF!</definedName>
    <definedName name="At">#REF!</definedName>
    <definedName name="____DET1">#REF!</definedName>
    <definedName name="lmcsmsb.main">#REF!</definedName>
    <definedName name="Excel_BuiltIn_Print_Area_7_1_1_1_1">#REF!</definedName>
    <definedName name="SpecialPrice">#REF!</definedName>
    <definedName name="EM_017_7">#REF!</definedName>
    <definedName name="BasekV1">#REF!</definedName>
    <definedName name="dq">#REF!</definedName>
    <definedName name="M_B">#REF!</definedName>
    <definedName name="MANU111">#REF!</definedName>
    <definedName name="Excel_BuiltIn_Print_Area_4_1_17">#REF!</definedName>
    <definedName name="_Icc01">#REF!</definedName>
    <definedName name="CBISO">#REF!</definedName>
    <definedName name="______Wr1">#REF!</definedName>
    <definedName name="RFP003F">#REF!</definedName>
    <definedName name="__A5">#REF!</definedName>
    <definedName name="yry">#REF!</definedName>
    <definedName name="_A655600">#REF!</definedName>
    <definedName name="Excel_BuiltIn_Print_Area_4_1_1_11_16">#REF!</definedName>
    <definedName name="__1_______123Graph_ACHART_1">#REF!</definedName>
    <definedName name="_______xlnm.Print_Area_10">#REF!</definedName>
    <definedName name="Tk">#REF!</definedName>
    <definedName name="____________________________________dol6">#REF!</definedName>
    <definedName name="EM_067_14">#REF!</definedName>
    <definedName name="___SC05">#REF!</definedName>
    <definedName name="EH_002_15">#REF!</definedName>
    <definedName name="Excel_BuiltIn_Print_Area_17_1_1_5_1">#REF!</definedName>
    <definedName name="Mb_v">#REF!</definedName>
    <definedName name="_SC25">#REF!</definedName>
    <definedName name="PmtFreq_TL">#REF!</definedName>
    <definedName name="TF">#REF!</definedName>
    <definedName name="vspatreeee">#REF!</definedName>
    <definedName localSheetId="8" name="_______SS402">#REF!</definedName>
    <definedName name="SS_PBIT">#REF!</definedName>
    <definedName name="EM_016_4">#REF!</definedName>
    <definedName name="Excel_BuiltIn_Print_Area_16_1_14">#REF!</definedName>
    <definedName name="Excel_BuiltIn_Print_Area_10_1_1_1_1_1_1_1">#REF!</definedName>
    <definedName name="___________m35">#REF!</definedName>
    <definedName name="Excel_BuiltIn_Print_Area_15_1_27">#REF!</definedName>
    <definedName name="M25_cement">#REF!</definedName>
    <definedName name="________2____123Graph_BCHART_1">#REF!</definedName>
    <definedName name="ORDREVCOLL">#REF!</definedName>
    <definedName name="_4___________123Graph_ACHART_1">#REF!</definedName>
    <definedName localSheetId="8" name="sdf">#REF!</definedName>
    <definedName name="ss9_ic_f">#REF!</definedName>
    <definedName name="OPTION7">#REF!</definedName>
    <definedName name="_____new1">#REF!</definedName>
    <definedName name="Excel_BuiltIn_Print_Area_4_1_5_2">#REF!</definedName>
    <definedName name="______________________xlnm.Print_Titles_1">#REF!</definedName>
    <definedName name="m8_st_w">#REF!</definedName>
    <definedName name="m8_cond_w">#REF!</definedName>
    <definedName name="Delivery">#REF!</definedName>
    <definedName name="fibres">#REF!</definedName>
    <definedName name="___________mm1">#REF!</definedName>
    <definedName name="Excel_BuiltIn_Print_Area_15_1_1_1">#REF!</definedName>
    <definedName name="FUNDFLOW_B8A">#REF!</definedName>
    <definedName name="ko">#REF!</definedName>
    <definedName name="Excel_BuiltIn_Print_Area_6_1_10_27">#REF!</definedName>
    <definedName name="BD1EconMeasure">#REF!</definedName>
    <definedName name="Excel_BuiltIn_Print_Area_10_1_1_1_1_1_1">#REF!</definedName>
    <definedName name="REC6RD">#REF!</definedName>
    <definedName name="_A65537">#REF!</definedName>
    <definedName name="Excel_BuiltIn_Print_Area_2_1_16">#REF!</definedName>
    <definedName name="Excel_BuiltIn_Print_Area_2_1_17_27">#REF!</definedName>
    <definedName name="Excel_BuiltIn_Print_Area_4_1_8_27">#REF!</definedName>
    <definedName name="Excel_BuiltIn_Print_Area_7_1_1_1_2">#REF!</definedName>
    <definedName name="Excel_BuiltIn_Print_Area_4_1_12">#REF!</definedName>
    <definedName name="m2_bop_w">#REF!</definedName>
    <definedName name="CAPA777">#REF!</definedName>
    <definedName name="XRefPaste19Row">#REF!</definedName>
    <definedName name="_5Excel_BuiltIn_Print_Area_12_1_1_1_1">#REF!</definedName>
    <definedName name="Excel_BuiltIn_Print_Area_2_1_1_1_16_27">#REF!</definedName>
    <definedName name="T2_">#REF!</definedName>
    <definedName name="DAY_TCHN">#REF!</definedName>
    <definedName name="vk">#REF!</definedName>
    <definedName name="Is">#REF!</definedName>
    <definedName name="_____Hso2">#REF!</definedName>
    <definedName name="Excel_BuiltIn_Print_Area_29_11_2">#REF!</definedName>
    <definedName name="itmax">#REF!</definedName>
    <definedName name="EM_038_8">#REF!</definedName>
    <definedName name="Excel_BuiltIn_Print_Area_16_1_1_8_2">#REF!</definedName>
    <definedName name="_12Excel_BuiltIn_Print_Area_3_1_1_1">#REF!</definedName>
    <definedName name="_____tab1">#REF!</definedName>
    <definedName name="Excel_BuiltIn_Print_Area_5_20">#REF!</definedName>
    <definedName name="___tab1">#REF!</definedName>
    <definedName name="EM_012_10">#REF!</definedName>
    <definedName name="GRLvl">#REF!</definedName>
    <definedName name="all">#REF!</definedName>
    <definedName name="boml">#REF!</definedName>
    <definedName name="Excel_BuiltIn_Print_Area_8_1_1_10_27">#REF!</definedName>
    <definedName name="SEAL1">#REF!</definedName>
    <definedName name="fdsdf">#REF!</definedName>
    <definedName name="____________VS2004">#REF!</definedName>
    <definedName name="fsadfds">#REF!</definedName>
    <definedName name="MATHS">#REF!</definedName>
    <definedName name="zes">#REF!</definedName>
    <definedName name="vthree">#REF!</definedName>
    <definedName name="Excel_BuiltIn_Print_Area_5_11_27">#REF!</definedName>
    <definedName name="LND_CHGS">#REF!</definedName>
    <definedName name="Excel_BuiltIn_Print_Area_12_1_10_27">#REF!</definedName>
    <definedName name="Excel_BuiltIn_Print_Area_4_1_10_2">#REF!</definedName>
    <definedName name="Excel_BuiltIn_Print_Area_8_1_1_14_27">#REF!</definedName>
    <definedName name="Excel_BuiltIn_Print_Area_2_1_7_4">#REF!</definedName>
    <definedName name="____xlnm.Print_Area_3">#REF!</definedName>
    <definedName name="TBo">#REF!</definedName>
    <definedName name="Excel_BuiltIn_Print_Area_11_1_2_2">#REF!</definedName>
    <definedName name="wid">#REF!</definedName>
    <definedName name="Excel_BuiltIn_Print_Area_5_1_5_16">#REF!</definedName>
    <definedName name="EQMOB">#REF!</definedName>
    <definedName name="__buh11">#REF!</definedName>
    <definedName name="PREHE">#REF!</definedName>
    <definedName name="Excel_BuiltIn_Print_Area_12_1_11_2">#REF!</definedName>
    <definedName name="RTU1_DI">#REF!</definedName>
    <definedName name="____________dol6">#REF!</definedName>
    <definedName name="________________mm1">#REF!</definedName>
    <definedName name="_______________________________________________________dol6">#REF!</definedName>
    <definedName name="EM_027_18">#REF!</definedName>
    <definedName name="Excel_BuiltIn_Print_Area_7_1_12_27">#REF!</definedName>
    <definedName name="m2_hrsg_v">#REF!</definedName>
    <definedName name="_axx5">#REF!</definedName>
    <definedName name="EM_026_4">#REF!</definedName>
    <definedName name="EP_Feb">#REF!</definedName>
    <definedName name="PC_ED">#REF!</definedName>
    <definedName localSheetId="8" name="vertical_col_and_corner_walls">#REF!</definedName>
    <definedName name="Cost_of_water_including_filling_the_tanker">#REF!</definedName>
    <definedName name="___________________iv19000">#REF!</definedName>
    <definedName name="BD1State">#REF!</definedName>
    <definedName name="______xlnm.Print_Titles_1">#REF!</definedName>
    <definedName name="___DET4">#REF!</definedName>
    <definedName name="Excel_BuiltIn_Print_Titles_5_1">#REF!</definedName>
    <definedName name="____aoc4">#REF!</definedName>
    <definedName name="Excel_BuiltIn_Print_Area_9_1_4">#REF!</definedName>
    <definedName name="BL2BBB">#REF!</definedName>
    <definedName name="lc350pcic">#REF!</definedName>
    <definedName name="Excel_BuiltIn_Print_Area_11_1_2_1">#REF!</definedName>
    <definedName name="PATHLP2">#REF!</definedName>
    <definedName name="_____________________dol12">#REF!</definedName>
    <definedName name="BG_CHGS">#REF!</definedName>
    <definedName name="Excel_BuiltIn_Print_Area_14_1_8_2">#REF!</definedName>
    <definedName name="_KWEY">#REF!</definedName>
    <definedName name="___cdd2">#REF!</definedName>
    <definedName name="Excel_BuiltIn_Print_Area_6_1_17">#REF!</definedName>
    <definedName name="Excel_BuiltIn_Print_Area_16_1_9_16">#REF!</definedName>
    <definedName name="PRADETAILS">#REF!</definedName>
    <definedName name="Excel_BuiltIn_Print_Area_11_1_20_4">#REF!</definedName>
    <definedName name="______SS407">#REF!</definedName>
    <definedName name="MultipleSetsArea">#REF!</definedName>
    <definedName name="__123Graph_F">#REF!</definedName>
    <definedName name="____Hra2">#REF!</definedName>
    <definedName name="Excel_BuiltIn_Print_Area_9_1_9">#REF!</definedName>
    <definedName localSheetId="8" name="see">#REF!</definedName>
    <definedName localSheetId="8" name="ter_vapi">#REF!</definedName>
    <definedName name="Excel_BuiltIn_Print_Area_4_1_1_15">#REF!</definedName>
    <definedName name="diatubal">#REF!</definedName>
    <definedName name="Sv">#REF!</definedName>
    <definedName name="Excel_BuiltIn_Print_Area_10_1_9_16">#REF!</definedName>
    <definedName name="diacab">#REF!</definedName>
    <definedName name="dev">#REF!</definedName>
    <definedName name="Excel_BuiltIn_Print_Area_13_1_2_2">#REF!</definedName>
    <definedName name="___________________________________________in18900">#REF!</definedName>
    <definedName name="_SC12">#REF!</definedName>
    <definedName name="ss6_geno_w">#REF!</definedName>
    <definedName name="AWW">#REF!</definedName>
    <definedName localSheetId="8" name="_f1">#REF!</definedName>
    <definedName name="Excel_BuiltIn_Print_Area_12_1_1_2_1">#REF!</definedName>
    <definedName name="Excel_BuiltIn_Print_Area_5_1_1_7">#REF!</definedName>
    <definedName name="DELTA20">#REF!</definedName>
    <definedName localSheetId="8" name="_____cdd2">#REF!</definedName>
    <definedName name="Excel_BuiltIn_Print_Area_2_1_13_16">#REF!</definedName>
    <definedName name="ss8_fuel_f">#REF!</definedName>
    <definedName name="Excel_BuiltIn_Print_Area_5_1_1_15_2">#REF!</definedName>
    <definedName localSheetId="8" name="Xl">#REF!</definedName>
    <definedName name="EM_015_7">#REF!</definedName>
    <definedName name="Excel_BuiltIn_Print_Area_5_2_4">#REF!</definedName>
    <definedName name="____LAR500">#REF!</definedName>
    <definedName name="Excel_BuiltIn_Print_Area_8_1_11_27">#REF!</definedName>
    <definedName name="xas">#REF!</definedName>
    <definedName name="EM_033_18">#REF!</definedName>
    <definedName localSheetId="8" name="PAT_B">#REF!</definedName>
    <definedName name="_________dol6">#REF!</definedName>
    <definedName name="Excel_BuiltIn_Print_Area_12_1_1_15_16">#REF!</definedName>
    <definedName name="Excel_BuiltIn_Print_Area_2_1_10_27">#REF!</definedName>
    <definedName name="Excel_BuiltIn_Print_Area_17_1_8">#REF!</definedName>
    <definedName name="Excel_BuiltIn_Print_Area_4_1_1_1_1">#REF!</definedName>
    <definedName name="EM_010_5">#REF!</definedName>
    <definedName name="pH">#REF!</definedName>
    <definedName name="BS_9B">#REF!</definedName>
    <definedName name="__Ki2">#REF!</definedName>
    <definedName name="exwks">#REF!</definedName>
    <definedName name="Excel_BuiltIn_Print_Area_5_20_16">#REF!</definedName>
    <definedName name="Excel_BuiltIn_Print_Area_10_1_16_2_1">#REF!</definedName>
    <definedName name="KG">#REF!</definedName>
    <definedName name="EM_013_11">#REF!</definedName>
    <definedName name="__cth2">#REF!</definedName>
    <definedName localSheetId="8" name="_1Excel_BuiltIn_Print_Area_1_1">#REF!</definedName>
    <definedName name="___________________b111121">#REF!</definedName>
    <definedName name="Excel_BuiltIn_Print_Area_2_1_1_1_16_2_1">#REF!</definedName>
    <definedName name="Kwsa">#REF!</definedName>
    <definedName name="_____SAP4">#REF!</definedName>
    <definedName name="Excel_BuiltIn_Print_Area_8_1_1_1_27">#REF!</definedName>
    <definedName name="Excel_BuiltIn_Print_Area_4_1_1_9_4">#REF!</definedName>
    <definedName name="Excel_BuiltIn_Print_Area_5_1_3_27">#REF!</definedName>
    <definedName name="Bx___13">#REF!</definedName>
    <definedName name="ADFS">#REF!</definedName>
    <definedName name="_______mnk1">#REF!</definedName>
    <definedName name="ItemTotalPrice">#REF!</definedName>
    <definedName name="SS_OCA">#REF!</definedName>
    <definedName name="Excel_BuiltIn_Print_Area_10_1_14_2">#REF!</definedName>
    <definedName name="botn">#REF!</definedName>
    <definedName name="________7__123Graph_ACHART_1">#REF!</definedName>
    <definedName name="EM_022_6">#REF!</definedName>
    <definedName name="Excel_BuiltIn_Print_Area_13_1_15_16">#REF!</definedName>
    <definedName name="_____ml3">#REF!</definedName>
    <definedName name="Excel_BuiltIn_Print_Area_8_1_1_15">#REF!</definedName>
    <definedName name="II">#REF!</definedName>
    <definedName name="Excel_BuiltIn_Print_Area_28_4">#REF!</definedName>
    <definedName name="Excel_BuiltIn_Print_Area_17_1_1_16_2">#REF!</definedName>
    <definedName name="__A655600">#REF!</definedName>
    <definedName name="Excel_BuiltIn_Print_Area_2_1_1_15_16">#REF!</definedName>
    <definedName name="___CFB2">#REF!</definedName>
    <definedName name="m8_ec_f">#REF!</definedName>
    <definedName name="A6____0">#REF!</definedName>
    <definedName name="Excel_BuiltIn_Print_Titles_3">#REF!</definedName>
    <definedName name="Excel_BuiltIn_Print_Area_2_1_1_1_17">#REF!</definedName>
    <definedName name="TEST8">#REF!</definedName>
    <definedName name="Excel_BuiltIn_Print_Area_9_1_1_1_1_1">#REF!</definedName>
    <definedName name="__2____123Graph_BCHART_1">#REF!</definedName>
    <definedName name="______________________________________________xlnm.Print_Area_2">#REF!</definedName>
    <definedName name="Excel_BuiltIn_Print_Area_5_1_17_4">#REF!</definedName>
    <definedName name="Excel_BuiltIn_Print_Area_4_1_16_2">#REF!</definedName>
    <definedName name="BuiltIn_Print_Titles___0___0">#REF!</definedName>
    <definedName name="Excel_BuiltIn_Print_Area_4_1_1_11_4">#REF!</definedName>
    <definedName name="kl">#REF!</definedName>
    <definedName localSheetId="8" name="assets">#REF!</definedName>
    <definedName name="_27Excel_BuiltIn_Print_Area_3_1_1_1_1">#REF!</definedName>
    <definedName name="Excel_BuiltIn_Print_Area_3_1_7">#REF!</definedName>
    <definedName name="Excel_BuiltIn_Print_Area_8_1_2_1">#REF!</definedName>
    <definedName name="Rs___13">#REF!</definedName>
    <definedName name="Excel_BuiltIn_Print_Area_2_1_16_1">#REF!</definedName>
    <definedName name="Excel_BuiltIn_Print_Area_9_1_13">#REF!</definedName>
    <definedName name="GAS">#REF!</definedName>
    <definedName name="_ifa2">#REF!</definedName>
    <definedName name="__________lb1">#REF!</definedName>
    <definedName name="Excel_BuiltIn_Print_Area_7_1_1_5">#REF!</definedName>
    <definedName name="L_conc">#REF!</definedName>
    <definedName name="EM_024_6">#REF!</definedName>
    <definedName name="Excel_BuiltIn_Print_Area_6_1_6_4">#REF!</definedName>
    <definedName name="Kh">#REF!</definedName>
    <definedName name="____Tk1">#REF!</definedName>
    <definedName name="M2A_KPI">#REF!</definedName>
    <definedName name="MANU333">#REF!</definedName>
    <definedName name="Excel_BuiltIn_Print_Area_14_1_10">#REF!</definedName>
    <definedName name="Excel_BuiltIn_Print_Area_14_1_15_2">#REF!</definedName>
    <definedName name="fdb">#REF!</definedName>
    <definedName name="Excel_BuiltIn_Print_Area_29_6_2">#REF!</definedName>
    <definedName name="___drg1">#REF!</definedName>
    <definedName name="LIK">#REF!</definedName>
    <definedName name="Excel_BuiltIn_Print_Area_5_1_7">#REF!</definedName>
    <definedName name="ttrrr">#REF!</definedName>
    <definedName name="Excel_BuiltIn_Print_Area_2_1_1_9_16">#REF!</definedName>
    <definedName name="SCADA220">#REF!</definedName>
    <definedName name="ijui">#REF!</definedName>
    <definedName name="leave">#REF!</definedName>
    <definedName name="Value39">#REF!</definedName>
    <definedName name="Excel_BuiltIn_Print_Area_8_1_14_2">#REF!</definedName>
    <definedName name="Excel_BuiltIn_Print_Area_12_1_13_4">#REF!</definedName>
    <definedName name="XRefCopy26">#REF!</definedName>
    <definedName name="Excel_BuiltIn_Print_Area_3_1_1_4">#REF!</definedName>
    <definedName name="Subcontract">#REF!</definedName>
    <definedName name="Excel_BuiltIn_Print_Area_10_1_2">#REF!</definedName>
    <definedName name="___A71614">#REF!</definedName>
    <definedName name="delm2">#REF!</definedName>
    <definedName name="EM_070_15">#REF!</definedName>
    <definedName localSheetId="8" name="key">#REF!</definedName>
    <definedName name="SS_Jan">#REF!</definedName>
    <definedName name="sarita">#REF!</definedName>
    <definedName name="__________xlnm._FilterDatabase_1">#REF!</definedName>
    <definedName name="Excel_BuiltIn_Print_Area_17_1_1_27">#REF!</definedName>
    <definedName name="_____DAT12">#REF!</definedName>
    <definedName localSheetId="8" name="orderbacklog">#REF!</definedName>
    <definedName name="Excel_BuiltIn_Print_Area_7_1_1_12_4">#REF!</definedName>
    <definedName name="Excel_BuiltIn_Print_Area_16_1_1_10_2">#REF!</definedName>
    <definedName name="Excel_BuiltIn_Print_Area_8_1_1_1_1_1">#REF!</definedName>
    <definedName name="Excel_BuiltIn_Print_Area_17_1_1_12_27">#REF!</definedName>
    <definedName name="Excel_BuiltIn_Print_Area_5_1_11_2">#REF!</definedName>
    <definedName name="____CVT220">#REF!</definedName>
    <definedName name="CVD_HW">#REF!</definedName>
    <definedName name="Excel_BuiltIn_Print_Area_15_1_14_2">#REF!</definedName>
    <definedName name="Excel_BuiltIn_Print_Titles_9">#REF!</definedName>
    <definedName name="___DET1">#REF!</definedName>
    <definedName name="EM_030_6">#REF!</definedName>
    <definedName name="____Vf1">#REF!</definedName>
    <definedName name="SUMMARYR">#REF!</definedName>
    <definedName name="_____________tab2">#REF!</definedName>
    <definedName name="EM_033_1">#REF!</definedName>
    <definedName name="io">#REF!</definedName>
    <definedName name="BOM_PR">#REF!</definedName>
    <definedName name="Excel_BuiltIn_Print_Area_7_1_1_13_27">#REF!</definedName>
    <definedName name="_____________mm1">#REF!</definedName>
    <definedName name="EM_072_14">#REF!</definedName>
    <definedName name="XRefCopy59">#REF!</definedName>
    <definedName name="Nxx">#REF!</definedName>
    <definedName name="PLASTER">#REF!</definedName>
    <definedName name="Value51">#REF!</definedName>
    <definedName name="Ie">#REF!</definedName>
    <definedName name="FUNDFLOW_B8B">#REF!</definedName>
    <definedName name="PM">#REF!</definedName>
    <definedName name="_______3____123Graph_CCHART_1">#REF!</definedName>
    <definedName name="EM_037_5">#REF!</definedName>
    <definedName name="Excel_BuiltIn_Print_Area_16_1_14_4">#REF!</definedName>
    <definedName name="________________________xlnm.Print_Area_3">#REF!</definedName>
    <definedName name="name">#REF!</definedName>
    <definedName name="Re___0">#REF!</definedName>
    <definedName name="Mpwr_Sales">#REF!</definedName>
    <definedName name="Excel_BuiltIn_Print_Area_2_1_1_20_4">#REF!</definedName>
    <definedName name="Excel_BuiltIn_Print_Area_4_1_1_2_27">#REF!</definedName>
    <definedName name="Excel_BuiltIn_Print_Area_16_1_1_7_27">#REF!</definedName>
    <definedName name="PATHJV1">#REF!</definedName>
    <definedName name="____xlnm.Print_Area_7">#REF!</definedName>
    <definedName name="Summaryy">#REF!</definedName>
    <definedName name="_Q">#REF!</definedName>
    <definedName name="Excel_BuiltIn_Print_Area_16_1_9_27">#REF!</definedName>
    <definedName name="__xlnm.Print_Titles_1">#REF!</definedName>
    <definedName name="Qc___13">#REF!</definedName>
    <definedName name="Mh_v">#REF!</definedName>
    <definedName name="Excel_BuiltIn_Print_Area_13_1_9_2">#REF!</definedName>
    <definedName name="Excel_BuiltIn_Print_Area_1_1_1_16">#REF!</definedName>
    <definedName name="Msbdo">#REF!</definedName>
    <definedName name="_____________________________________________dol12">#REF!</definedName>
    <definedName name="B">#REF!</definedName>
    <definedName name="EM_008_6">#REF!</definedName>
    <definedName name="Excel_BuiltIn_Print_Titles_4_1_16">#REF!</definedName>
    <definedName name="EM_033_10">#REF!</definedName>
    <definedName name="gk">#REF!</definedName>
    <definedName name="Scheduled_Monthly_Payment">#REF!</definedName>
    <definedName name="PANEL">#REF!</definedName>
    <definedName localSheetId="8" name="__ISO220">#REF!</definedName>
    <definedName name="eeee">#REF!</definedName>
    <definedName name="___________________A91614">#REF!</definedName>
    <definedName localSheetId="8" name="__xlnm.Print_Titles_7">#REF!</definedName>
    <definedName name="Excel_BuiltIn__FilterDatabase_7_8_27">#REF!</definedName>
    <definedName name="_31Excel_BuiltIn_Print_Area_5_1_1_1">#REF!</definedName>
    <definedName name="GRGRREG">#REF!</definedName>
    <definedName localSheetId="8" name="RUPEES">#REF!</definedName>
    <definedName name="Excel_BuiltIn_Print_Area_4_1_1_10_4">#REF!</definedName>
    <definedName name="EM_032_5">#REF!</definedName>
    <definedName name="Excel_BuiltIn_Print_Area_5_1_1_10_2">#REF!</definedName>
    <definedName name="_________7__123Graph_ACHART_1">#REF!</definedName>
    <definedName name="Excel_BuiltIn_Print_Area_8_1_1_17">#REF!</definedName>
    <definedName name="BL2B">#REF!</definedName>
    <definedName name="Excel_BuiltIn_Print_Area_8_1_9_16">#REF!</definedName>
    <definedName name="EP_Jun">#REF!</definedName>
    <definedName name="iii">#REF!</definedName>
    <definedName name="Excel_BuiltIn_Print_Area_12_1_3_27">#REF!</definedName>
    <definedName localSheetId="8" name="____________A655600">#REF!</definedName>
    <definedName name="EM_006_1">#REF!</definedName>
    <definedName name="EM_064_17">#REF!</definedName>
    <definedName name="___2__123Graph_BCHART_1">#REF!</definedName>
    <definedName name="_4321">#REF!</definedName>
    <definedName name="____kd2">#REF!</definedName>
    <definedName name="yy">#REF!</definedName>
    <definedName localSheetId="8" name="Excel_BuiltIn_Print_Area_5_1_1">#REF!</definedName>
    <definedName name="AF_99">#REF!</definedName>
    <definedName name="Excel_BuiltIn_Print_Area_29_11">#REF!</definedName>
    <definedName name="Excel_BuiltIn_Print_Area_15_1_11">#REF!</definedName>
    <definedName name="Key_SS">#REF!</definedName>
    <definedName name="TSD">#REF!</definedName>
    <definedName name="________________mm3">#REF!</definedName>
    <definedName name="SQRT__1___0_6___1_0___13">#REF!</definedName>
    <definedName name="Erection_Cost">#REF!</definedName>
    <definedName name="Excel_BuiltIn_Print_Area_9_1_3_4">#REF!</definedName>
    <definedName name="Excel_BuiltIn_Print_Area_4_1_1_12_4">#REF!</definedName>
    <definedName name="Excel_BuiltIn_Print_Area_9_1_5_1">#REF!</definedName>
    <definedName name="Ref__EUS_632_FDN_002">#REF!</definedName>
    <definedName name="________________________________dol12">#REF!</definedName>
    <definedName name="__run1">#REF!</definedName>
    <definedName name="Excel_BuiltIn_Print_Area_5_1_1_9">#REF!</definedName>
    <definedName name="Excel_BuiltIn_Print_Area_16_1_1_12_2">#REF!</definedName>
    <definedName name="EM_005_7">#REF!</definedName>
    <definedName name="______________A81614">#REF!</definedName>
    <definedName name="___HCO2">#REF!</definedName>
    <definedName localSheetId="8" name="TERM">#REF!</definedName>
    <definedName name="BD1CE">#REF!</definedName>
    <definedName name="DL_Total_Cost_002LC">#REF!</definedName>
    <definedName name="m2_gt_w">#REF!</definedName>
    <definedName name="_________xlnm.Print_Area_4">#REF!</definedName>
    <definedName name="Vend">#REF!</definedName>
    <definedName name="_______SS424">#REF!</definedName>
    <definedName name="rmcup.1">#REF!</definedName>
    <definedName name="Excel_BuiltIn_Print_Area_2_1_1_16_2">#REF!</definedName>
    <definedName name="Excel_BuiltIn_Print_Area_12_1_1_15_27">#REF!</definedName>
    <definedName name="M2y">#REF!</definedName>
    <definedName name="___A81614">#REF!</definedName>
    <definedName name="Excel_BuiltIn_Print_Area_7_1_5_2">#REF!</definedName>
    <definedName name="RCT">#REF!</definedName>
    <definedName name="Excel_BuiltIn_Print_Area_9_1_2_2_1">#REF!</definedName>
    <definedName name="Excel_BuiltIn_Print_Area_1_1_2">#REF!</definedName>
    <definedName name="Excel_BuiltIn_Print_Area_13_1_7_16">#REF!</definedName>
    <definedName name="_DKT75">#REF!</definedName>
    <definedName name="EM_013_17">#REF!</definedName>
    <definedName name="EM_016_16">#REF!</definedName>
    <definedName name="Excel_BuiltIn_Print_Area_8_1_11">#REF!</definedName>
    <definedName name="dks">#REF!</definedName>
    <definedName name="_mp1">#REF!</definedName>
    <definedName name="__dol12">#REF!</definedName>
    <definedName name="Excel_BuiltIn_Print_Area_16_1_1_1_2">#REF!</definedName>
    <definedName name="Excel_BuiltIn_Print_Area_8_1_5_4">#REF!</definedName>
    <definedName name="_15BS">#REF!</definedName>
    <definedName name="M15_Cement">#REF!</definedName>
    <definedName name="___________mm3">#REF!</definedName>
    <definedName name="_mcc1">#REF!</definedName>
    <definedName name="EM_068_17">#REF!</definedName>
    <definedName name="BuiltIn_Print_Area___0___0___0___0___0___0___0___0___0___0___0___0___0">#REF!</definedName>
    <definedName localSheetId="8" name="T1_">#REF!</definedName>
    <definedName name="Excel_BuiltIn_Print_Area_4_1_1_9_16">#REF!</definedName>
    <definedName name="______A91614">#REF!</definedName>
    <definedName name="TopSlbThk">#REF!</definedName>
    <definedName name="Excel_BuiltIn_Print_Area_2_1_1_1_1_1_1_1_1_1">#REF!</definedName>
    <definedName name="Mf_v">#REF!</definedName>
    <definedName name="Excel_BuiltIn_Print_Area_4_1_1_17_4">#REF!</definedName>
    <definedName name="____A71614">#REF!</definedName>
    <definedName name="________SAP9">#REF!</definedName>
    <definedName name="TTMH">#REF!</definedName>
    <definedName name="__aoc4">#REF!</definedName>
    <definedName name="PATHAR3">#REF!</definedName>
    <definedName name="Date_of_Data">#REF!</definedName>
    <definedName name="_13Excel_BuiltIn_Print_Area_4_1_1_1_1_1_1_1_1_1_1">#REF!</definedName>
    <definedName name="Excel_BuiltIn_Print_Area_10_1_11_16">#REF!</definedName>
    <definedName name="Excel_BuiltIn_Print_Area_5_1_12_27">#REF!</definedName>
    <definedName name="Excel_BuiltIn_Print_Area_3_1_8_4">#REF!</definedName>
    <definedName name="_______DAT12">#REF!</definedName>
    <definedName name="______1____123Graph_ACHART_1">#REF!</definedName>
    <definedName name="BaseI2">#REF!</definedName>
    <definedName name="Excel_BuiltIn_Print_Area_28_7_4">#REF!</definedName>
    <definedName name="RRR">#REF!</definedName>
    <definedName name="MANU444">#REF!</definedName>
    <definedName name="____________________________xlnm.Print_Area_1">#REF!</definedName>
    <definedName name="PATH111">#REF!</definedName>
    <definedName name="EM_013_10">#REF!</definedName>
    <definedName name="___Hso3">#REF!</definedName>
    <definedName name="AF_00">#REF!</definedName>
    <definedName name="Excel_BuiltIn_Print_Area_29_2_27">#REF!</definedName>
    <definedName name="___drg2">#REF!</definedName>
    <definedName name="EM_001_15">#REF!</definedName>
    <definedName name="EM_024_12">#REF!</definedName>
    <definedName name="Excel_BuiltIn_Print_Area_2_1_1_1_15_4">#REF!</definedName>
    <definedName localSheetId="8" name="hleft">#REF!</definedName>
    <definedName name="Excel_BuiltIn_Print_Area_7_1_17_1">#REF!</definedName>
    <definedName name="E_90SE">#REF!</definedName>
    <definedName name="__________in18900">#REF!</definedName>
    <definedName name="____SAP3">#REF!</definedName>
    <definedName name="___________A81614">#REF!</definedName>
    <definedName name="temp_strainer">#REF!</definedName>
    <definedName name="XRefCopy59Row">#REF!</definedName>
    <definedName name="__________A655600">#REF!</definedName>
    <definedName name="Excel_BuiltIn_Print_Area_7_1_6_16">#REF!</definedName>
    <definedName name="MVAR63">#REF!</definedName>
    <definedName name="_____SAP7">#REF!</definedName>
    <definedName name="___axx8">#REF!</definedName>
    <definedName name="_P2">#REF!</definedName>
    <definedName name="fafas">#REF!</definedName>
    <definedName name="PAGE9">#REF!</definedName>
    <definedName name="Excel_BuiltIn_Print_Area_8_1_1_7_4">#REF!</definedName>
    <definedName name="___________xlnm.Print_Titles">#REF!</definedName>
    <definedName name="BD1EventInd">#REF!</definedName>
    <definedName name="Excel_BuiltIn_Print_Area_28_8_4">#REF!</definedName>
    <definedName name="ThreeD">#REF!</definedName>
    <definedName name="PAT_A">#REF!</definedName>
    <definedName name="AF_M_98">#REF!</definedName>
    <definedName name="Excel_BuiltIn_Print_Area_3_1_1_1_1">#REF!</definedName>
    <definedName name="_________________________________dol6">#REF!</definedName>
    <definedName name="XRefCopy70Row">#REF!</definedName>
    <definedName name="Excel_BuiltIn_Print_Area_29_15_27">#REF!</definedName>
    <definedName name="Excel_BuiltIn_Print_Area_2_1_1_20_27">#REF!</definedName>
    <definedName name="Excel_BuiltIn_Print_Area_17_1_16_1">#REF!</definedName>
    <definedName name="_CVT500">#REF!</definedName>
    <definedName localSheetId="8" name="__________A655600">#REF!</definedName>
    <definedName name="EM_016_18">#REF!</definedName>
    <definedName name="MAT_SALE_FAC">#REF!</definedName>
    <definedName name="Value12">#REF!</definedName>
    <definedName name="August">#REF!</definedName>
    <definedName name="klkml">#REF!</definedName>
    <definedName name="EM_036_1">#REF!</definedName>
    <definedName name="__________a655601">#REF!</definedName>
    <definedName name="__________A81614">#REF!</definedName>
    <definedName name="Excel_BuiltIn_Print_Area_12_1_1_10_4">#REF!</definedName>
    <definedName name="____xlnm._FilterDatabase_2">#REF!</definedName>
    <definedName name="Lr">#REF!</definedName>
    <definedName name="Excel_BuiltIn_Print_Area_12_1_8_16">#REF!</definedName>
    <definedName name="CED_BOSW">#REF!</definedName>
    <definedName name="Excel_BuiltIn_Print_Area_16_1_10_16">#REF!</definedName>
    <definedName name="kptl">#REF!</definedName>
    <definedName name="ASDFGH">#REF!</definedName>
    <definedName name="dkd">#REF!</definedName>
    <definedName name="___A2">#REF!</definedName>
    <definedName name="HINDHUSTAN">#REF!</definedName>
    <definedName localSheetId="8" name="sarita">#REF!</definedName>
    <definedName name="mlc33b3">#REF!</definedName>
    <definedName name="____________________xlnm.Print_Area_3">#REF!</definedName>
    <definedName name="Excel_BuiltIn_Print_Area_16_1_15_2">#REF!</definedName>
    <definedName localSheetId="8" name="___xlnm._FilterDatabase_1">#REF!</definedName>
    <definedName name="SCF">#REF!</definedName>
    <definedName name="BD1TransLogic1">#REF!</definedName>
    <definedName name="Excel_BuiltIn_Print_Area_16_1_1_8_16">#REF!</definedName>
    <definedName name="CCC">#REF!</definedName>
    <definedName localSheetId="8" name="majord">#REF!</definedName>
    <definedName name="XRefCopy68Row">#REF!</definedName>
    <definedName name="CAUSE">#REF!</definedName>
    <definedName name="Nature">#REF!</definedName>
    <definedName name="Excel_BuiltIn_Print_Area_7_1_5_27">#REF!</definedName>
    <definedName localSheetId="5" name="pH___0">#REF!</definedName>
    <definedName name="XRefCopy42Row">#REF!</definedName>
    <definedName name="Excel_BuiltIn_Print_Area_8_1_2_2">#REF!</definedName>
    <definedName name="Excel_BuiltIn_Print_Area_2_1_1_1_4">#REF!</definedName>
    <definedName name="___LTR220">#REF!</definedName>
    <definedName name="asfaff">#REF!</definedName>
    <definedName name="Excel_BuiltIn_Print_Area_11_1_12">#REF!</definedName>
    <definedName localSheetId="8" name="_Fpi1">#REF!</definedName>
    <definedName name="INS">#REF!</definedName>
    <definedName name="BuiltIn_AutoFilter___19">#REF!</definedName>
    <definedName name="EM_057_16">#REF!</definedName>
    <definedName name="____________________________________dol12">#REF!</definedName>
    <definedName name="Excel_BuiltIn_Print_Area_8_1_1_9_27">#REF!</definedName>
    <definedName name="Excel_BuiltIn_Print_Area_10_1_6_2">#REF!</definedName>
    <definedName name="____axx8">#REF!</definedName>
    <definedName name="___DIS1">#REF!</definedName>
    <definedName name="DIns">#REF!</definedName>
    <definedName name="Excel_BuiltIn_Print_Area_5_3_27">#REF!</definedName>
    <definedName name="lmcsmsb.2">#REF!</definedName>
    <definedName name="_adj1">#REF!</definedName>
    <definedName name="Cost_code">#REF!</definedName>
    <definedName name="Dv">#REF!</definedName>
    <definedName name="EM_009_14">#REF!</definedName>
    <definedName name="try">#REF!</definedName>
    <definedName name="IP_SPRS">#REF!</definedName>
    <definedName name="pa___0">#REF!</definedName>
    <definedName name="_A80000">#REF!</definedName>
    <definedName name="Excel_BuiltIn_Print_Area_17_1_14_16">#REF!</definedName>
    <definedName name="ExciseDuty">#REF!</definedName>
    <definedName name="GROUPIIE">#REF!</definedName>
    <definedName name="MANU2">#REF!</definedName>
    <definedName localSheetId="8" name="sheet1___0">#REF!</definedName>
    <definedName name="Vtwo1">#REF!</definedName>
    <definedName name="BuiltIn_Print_Titles___0___0___0">#REF!</definedName>
    <definedName name="____mm2">#REF!</definedName>
    <definedName name="Excel_BuiltIn__FilterDatabase_7_8">#REF!</definedName>
    <definedName name="Excel_BuiltIn_Print_Area_6_1_20">#REF!</definedName>
    <definedName name="___AXX7">#REF!</definedName>
    <definedName name="ITRY1">#REF!</definedName>
    <definedName name="Excel_BuiltIn_Print_Area_4_1_6">#REF!</definedName>
    <definedName name="Excel_BuiltIn_Print_Area_8_1_2_4">#REF!</definedName>
    <definedName name="sdaa">#REF!</definedName>
    <definedName name="Excel_BuiltIn_Print_Area_16_1_1_20_4">#REF!</definedName>
    <definedName name="Excel_BuiltIn_Print_Area_4_1_13_2">#REF!</definedName>
    <definedName name="_______________________________________xlnm.Print_Area_3">#REF!</definedName>
    <definedName name="tempcoeff">#REF!</definedName>
    <definedName name="sfsurvey_idr">#REF!</definedName>
    <definedName name="_______________________________________xlnm.Print_Area_1">#REF!</definedName>
    <definedName name="carpet___11">#REF!</definedName>
    <definedName name="ss_coi">#REF!</definedName>
    <definedName name="Excel_BuiltIn_Print_Area_10_1_2_2">#REF!</definedName>
    <definedName name="______xlnm.Print_Area_11">#REF!</definedName>
    <definedName name="ss9_ct_v">#REF!</definedName>
    <definedName name="______run2">#REF!</definedName>
    <definedName name="Excel_BuiltIn_Print_Area_7_1_1_20_4">#REF!</definedName>
    <definedName name="IE_OB_Cust">#REF!</definedName>
    <definedName name="L___0">#REF!</definedName>
    <definedName name="PATHJV11">#REF!</definedName>
    <definedName name="REACT500CTL">#REF!</definedName>
    <definedName name="Excel_BuiltIn_Print_Area_2_1_1_1_2_16">#REF!</definedName>
    <definedName name="_____drg2">#REF!</definedName>
    <definedName name="____________________IDA1">#REF!</definedName>
    <definedName name="Excel_BuiltIn_Print_Area_3_1_7_4">#REF!</definedName>
    <definedName name="EP_Mar">#REF!</definedName>
    <definedName name="Excel_BuiltIn_Print_Area_16_1_7">#REF!</definedName>
    <definedName name="Excel_BuiltIn_Print_Area_4_1_6_2">#REF!</definedName>
    <definedName name="____________g1">#REF!</definedName>
    <definedName name="임용태">#REF!</definedName>
    <definedName name="_____tl1">#REF!</definedName>
    <definedName name="Excel_BuiltIn_Print_Area_6_1_15_4">#REF!</definedName>
    <definedName name="mullootubnumcol">#REF!</definedName>
    <definedName name="Hu___0">#REF!</definedName>
    <definedName name="Number">#REF!</definedName>
    <definedName name="th">#REF!</definedName>
    <definedName name="Ks___13">#REF!</definedName>
    <definedName name="YEN">#REF!</definedName>
    <definedName name="_2____________123Graph_BCHART_1">#REF!</definedName>
    <definedName name="clot">#REF!</definedName>
    <definedName name="DATA_24">#REF!</definedName>
    <definedName name="Excel_BuiltIn_Print_Area_16_1_16_27">#REF!</definedName>
    <definedName name="rate">#REF!</definedName>
    <definedName name="INFEUR2">#REF!</definedName>
    <definedName name="EREBOQ132">#REF!</definedName>
    <definedName name="EM_023_5">#REF!</definedName>
    <definedName localSheetId="8" name="sort1">#REF!</definedName>
    <definedName name="EM_015_15">#REF!</definedName>
    <definedName name="Excel_BuiltIn_Print_Area_7_1_14_27">#REF!</definedName>
    <definedName name="Excel_BuiltIn_Print_Area_12_1_1_1_1_2">#REF!</definedName>
    <definedName name="IE_Apr">#REF!</definedName>
    <definedName name="Excel_BuiltIn_Print_Area_15_1_20_16">#REF!</definedName>
    <definedName name="Excel_BuiltIn_Print_Area_5_1_1_12">#REF!</definedName>
    <definedName name="ss6_ct_w">#REF!</definedName>
    <definedName name="_DAT17">#REF!</definedName>
    <definedName name="EM_037_3">#REF!</definedName>
    <definedName name="________SAP10">#REF!</definedName>
    <definedName name="______Hso2">#REF!</definedName>
    <definedName name="SS_PBDIT">#REF!</definedName>
    <definedName name="COU___13">#REF!</definedName>
    <definedName name="______SAP9">#REF!</definedName>
    <definedName name="Excel_BuiltIn_Print_Area_14_1_7_16">#REF!</definedName>
    <definedName name="PCD">#REF!</definedName>
    <definedName name="DATA_16">#REF!</definedName>
    <definedName name="__DAT16">#REF!</definedName>
    <definedName name="arrotonda">#REF!</definedName>
    <definedName name="MS.NO">#REF!</definedName>
    <definedName name="Excel_BuiltIn_Print_Area_10_1_15_4">#REF!</definedName>
    <definedName name="vgchjgiulhviguihij">#REF!</definedName>
    <definedName name="Excel_BuiltIn_Print_Area_4_1_14_2">#REF!</definedName>
    <definedName name="________________________________________xlnm.Print_Area_1">#REF!</definedName>
    <definedName name="Excel_BuiltIn_Print_Area_18_16">#REF!</definedName>
    <definedName name="Excel_BuiltIn_Print_Area_2_1_1_1_15">#REF!</definedName>
    <definedName name="_____________________xlnm.Print_Area_1">#REF!</definedName>
    <definedName name="NoABolts">#REF!</definedName>
    <definedName name="QFC_FIMs">#REF!</definedName>
    <definedName name="__dol6">#REF!</definedName>
    <definedName name="Excel_BuiltIn_Print_Area_2_1_1_1_1_1_1_1_1">#REF!</definedName>
    <definedName name="Excel_BuiltIn_Print_Area_5_1_4">#REF!</definedName>
    <definedName name="Excel_BuiltIn_Print_Area_9_1_12_16">#REF!</definedName>
    <definedName name="su">#REF!</definedName>
    <definedName name="Excel_BuiltIn_Print_Area_16">#REF!</definedName>
    <definedName name="Excel_BuiltIn_Print_Area_28_5_2">#REF!</definedName>
    <definedName name="____ml3">#REF!</definedName>
    <definedName name="EM_035_14">#REF!</definedName>
    <definedName name="Excel_BuiltIn_Print_Area_3_1_20_4">#REF!</definedName>
    <definedName name="Excel_BuiltIn_Print_Area_2_1_17_16">#REF!</definedName>
    <definedName name="p___0">#REF!</definedName>
    <definedName name="__________tab1">#REF!</definedName>
    <definedName name="_A81613">#REF!</definedName>
    <definedName name="Excel_BuiltIn_Print_Area_2_1_16_16">#REF!</definedName>
    <definedName name="Excel_BuiltIn_Print_Area_8_1_10">#REF!</definedName>
    <definedName name="ss9_ct_w">#REF!</definedName>
    <definedName name="_15Excel_BuiltIn_Print_Area_5_1_1_1_1_1_1">#REF!</definedName>
    <definedName name="EM_013_18">#REF!</definedName>
    <definedName name="Excel_BuiltIn_Print_Area_14_1_15_27">#REF!</definedName>
    <definedName name="MF_AUTImp_NonABB">#REF!</definedName>
    <definedName name="PLCUM">#REF!</definedName>
    <definedName name="_fac2">#REF!</definedName>
    <definedName name="Excel_BuiltIn_Print_Area_5_1_6">#REF!</definedName>
    <definedName name="Value36">#REF!</definedName>
    <definedName name="__BAA1">#REF!</definedName>
    <definedName name="Excel_BuiltIn_Print_Area_15_1_9_27">#REF!</definedName>
    <definedName name="Loan_Amount">#REF!</definedName>
    <definedName name="_3Excel_BuiltIn_Print_Area_2_1_1_1_1_1_1_1_1_1_1_1">#REF!</definedName>
    <definedName name="______DAT15">#REF!</definedName>
    <definedName name="BL2C">#REF!</definedName>
    <definedName name="Excel_BuiltIn_Print_Area_7_1_11_2">#REF!</definedName>
    <definedName name="rgns">#REF!</definedName>
    <definedName name="________Xl1">#REF!</definedName>
    <definedName name="UBAI">#REF!</definedName>
    <definedName name="________A655600">#REF!</definedName>
    <definedName name="m2_ic_f">#REF!</definedName>
    <definedName name="____________________xlnm.Print_Titles_1">#REF!</definedName>
    <definedName name="Value14">#REF!</definedName>
    <definedName name="rmcsmsb.t">#REF!</definedName>
    <definedName name="合計">#REF!</definedName>
    <definedName name="Excel_BuiltIn_Print_Area_2_1_1_1_17_27">#REF!</definedName>
    <definedName localSheetId="8" name="Excel_BuiltIn_Print_Area_3_1_1_1_1">#REF!</definedName>
    <definedName name="_____xlnm.Print_Area_2">#REF!</definedName>
    <definedName name="Excel_BuiltIn__FilterDatabase_1_18_4">#REF!</definedName>
    <definedName name="Excel_BuiltIn_Print_Area_16_1_1_1_1_1">#REF!</definedName>
    <definedName name="non">#REF!</definedName>
    <definedName name="Excel_BuiltIn_Print_Area_4_1_11_16">#REF!</definedName>
    <definedName name="Jobtypes">#REF!</definedName>
    <definedName name="_4__123Graph_BCHART_1">#REF!</definedName>
    <definedName name="CLIENT">#REF!</definedName>
    <definedName name="Excel_BuiltIn_Print_Area_3_1_1_1_1_27">#REF!</definedName>
    <definedName name="Excel_BuiltIn_Print_Area_10_1_12">#REF!</definedName>
    <definedName name="Excel_BuiltIn_Print_Area_2_1_1_17_16">#REF!</definedName>
    <definedName name="TOOL">#REF!</definedName>
    <definedName name="Z1eq4.16">#REF!</definedName>
    <definedName localSheetId="8" name="_______SS403">#REF!</definedName>
    <definedName name="M15_Sand">#REF!</definedName>
    <definedName name="______xlnm.Print_Area_9">#REF!</definedName>
    <definedName name="EM_029_9">#REF!</definedName>
    <definedName name="Fhwa">#REF!</definedName>
    <definedName name="A1____0">#REF!</definedName>
    <definedName name="Machinery">#REF!</definedName>
    <definedName name="XRefCopy30">#REF!</definedName>
    <definedName name="Excel_BuiltIn_Print_Area_3_1_12_2">#REF!</definedName>
    <definedName name="____m234">#REF!</definedName>
    <definedName name="MC_AIC_local">#REF!</definedName>
    <definedName name="_17_3__Criteria">#REF!</definedName>
    <definedName name="_______A655600">#REF!</definedName>
    <definedName name="Excel_BuiltIn_Print_Area_2_1_1_3_16">#REF!</definedName>
    <definedName name="Zbat">#REF!</definedName>
    <definedName name="yhh">#REF!</definedName>
    <definedName name="Excel_BuiltIn_Print_Area_5_8_16">#REF!</definedName>
    <definedName name="Excel_BuiltIn_Print_Titles_15">#REF!</definedName>
    <definedName name="________________________________iv19000">#REF!</definedName>
    <definedName name="xbyr">#REF!</definedName>
    <definedName name="TR500CTL">#REF!</definedName>
    <definedName name="Excel_BuiltIn_Print_Area_2_1_1_1_17_16">#REF!</definedName>
    <definedName localSheetId="8" name="_____xlnm.Print_Area_2">#REF!</definedName>
    <definedName name="EM_008_5">#REF!</definedName>
    <definedName name="Scheduled_Interest_Rate">#REF!</definedName>
    <definedName name="dsds">#REF!</definedName>
    <definedName name="Excel_BuiltIn_Print_Area_28_1_1">#REF!</definedName>
    <definedName name="______________________________________________IDA1">#REF!</definedName>
    <definedName name="P_1">#REF!</definedName>
    <definedName name="EM_021_13">#REF!</definedName>
    <definedName name="zlpu___13">#REF!</definedName>
    <definedName name="___________lb1">#REF!</definedName>
    <definedName name="Rse___13">#REF!</definedName>
    <definedName name="___A65537">#REF!</definedName>
    <definedName name="ADF">#REF!</definedName>
    <definedName name="XREF_COLUMN_1yyyyyyyy">#REF!</definedName>
    <definedName name="_______SAP2">#REF!</definedName>
    <definedName name="____CVT500">#REF!</definedName>
    <definedName name="Excel_BuiltIn_Print_Area_8_1_3">#REF!</definedName>
    <definedName name="Excel_BuiltIn_Print_Area_10_1_13_4">#REF!</definedName>
    <definedName name="___________A655600">#REF!</definedName>
    <definedName name="EM_062_18">#REF!</definedName>
    <definedName name="asda">#REF!</definedName>
    <definedName name="__nt75">#REF!</definedName>
    <definedName name="_SC11">#REF!</definedName>
    <definedName name="Econd">#REF!</definedName>
    <definedName name="Excel_BuiltIn_Print_Area_12_1_1_4">#REF!</definedName>
    <definedName name="Excel_BuiltIn_Print_Area_8_1_17">#REF!</definedName>
    <definedName name="Excel_BuiltIn_Print_Area_9_1_9_16">#REF!</definedName>
    <definedName name="_SCH11">#REF!</definedName>
    <definedName name="___________aoc3">#REF!</definedName>
    <definedName name="NW">#REF!</definedName>
    <definedName name="___RE500">#REF!</definedName>
    <definedName name="PW">#REF!</definedName>
    <definedName name="직노">#REF!</definedName>
    <definedName name="________m234">#REF!</definedName>
    <definedName name="_Ism3">#REF!</definedName>
    <definedName name="_bhh2">#REF!</definedName>
    <definedName name="____________________________IDA1">#REF!</definedName>
    <definedName name="EM_051_17">#REF!</definedName>
    <definedName name="by_weld">#REF!</definedName>
    <definedName name="EM_032_15">#REF!</definedName>
    <definedName name="N___0">#REF!</definedName>
    <definedName name="Excel_BuiltIn_Print_Area_29_5_2">#REF!</definedName>
    <definedName name="we">#REF!</definedName>
    <definedName name="EM_060_18">#REF!</definedName>
    <definedName name="_MMB220">#REF!</definedName>
    <definedName name="ss6_gtax_w">#REF!</definedName>
    <definedName name="ss6_hrsg_w">#REF!</definedName>
    <definedName name="annex6">#REF!</definedName>
    <definedName name="Excel_BuiltIn_Print_Area_10_1_16_1">#REF!</definedName>
    <definedName name="typeofbidder">#REF!</definedName>
    <definedName name="____________________________________________xlnm.Print_Titles_1">#REF!</definedName>
    <definedName name="___________xlnm.Print_Area_4">#REF!</definedName>
    <definedName name="Excel_BuiltIn_Print_Area_13_1_5">#REF!</definedName>
    <definedName name="Excel_BuiltIn_Print_Area_3_1_2_4">#REF!</definedName>
    <definedName name="ztpu___13">#REF!</definedName>
    <definedName name="dbrwk8">#REF!</definedName>
    <definedName name="_____________xlnm.Print_Titles_1">#REF!</definedName>
    <definedName name="Excel_BuiltIn_Print_Area_17_1_8_16">#REF!</definedName>
    <definedName name="Excel_BuiltIn_Print_Area_29_11_4">#REF!</definedName>
    <definedName name="EH_001_18">#REF!</definedName>
    <definedName name="Excel_BuiltIn_Print_Area_14_1_27">#REF!</definedName>
    <definedName name="MAZI">#REF!</definedName>
    <definedName name="____HCO2">#REF!</definedName>
    <definedName name="__hfi5">#REF!</definedName>
    <definedName name="Excel_BuiltIn_Print_Area_28_10_2">#REF!</definedName>
    <definedName name="Excel_BuiltIn_Print_Area_28_14_2">#REF!</definedName>
    <definedName name="_______________________________________________________iv19000">#REF!</definedName>
    <definedName name="EM_006_11">#REF!</definedName>
    <definedName name="____Fpi1">#REF!</definedName>
    <definedName name="IE_VC">#REF!</definedName>
    <definedName name="Excel_BuiltIn_Print_Area_12_1_6">#REF!</definedName>
    <definedName name="Excel_BuiltIn_Print_Area_8_1_1_16">#REF!</definedName>
    <definedName name="hgdfhfjkg">#REF!</definedName>
    <definedName localSheetId="8" name="____SS404">#REF!</definedName>
    <definedName name="Qc">#REF!</definedName>
    <definedName name="Excel_BuiltIn_Print_Area_5_2">#REF!</definedName>
    <definedName name="Z1p">#REF!</definedName>
    <definedName name="__SAP6">#REF!</definedName>
    <definedName name="Dest_Price">#REF!</definedName>
    <definedName name="________________________________________IDA1">#REF!</definedName>
    <definedName name="_21Excel_BuiltIn_Print_Area_3_1">#REF!</definedName>
    <definedName name="_RE80">#REF!</definedName>
    <definedName localSheetId="8" name="__CCT220">#REF!</definedName>
    <definedName name="Excel_BuiltIn_Print_Area_9_1_1_2">#REF!</definedName>
    <definedName name="Accessories">#REF!</definedName>
    <definedName name="_ls3">#REF!</definedName>
    <definedName name="Excel_BuiltIn_Print_Area_4_1_7_2">#REF!</definedName>
    <definedName name="Excel_BuiltIn_Print_Area_10_1_16_16">#REF!</definedName>
    <definedName name="ee">#REF!</definedName>
    <definedName name="gngn">#REF!</definedName>
    <definedName name="MFit">#REF!</definedName>
    <definedName name="TL_OCA">#REF!</definedName>
    <definedName name="____Ki1">#REF!</definedName>
    <definedName name="Eela">#REF!</definedName>
    <definedName name="Excel_BuiltIn_Print_Area_8_1_1_11">#REF!</definedName>
    <definedName name="ANNEX4">#REF!</definedName>
    <definedName name="sarava">#REF!</definedName>
    <definedName name="__SS423">#REF!</definedName>
    <definedName name="Excel_BuiltIn_Print_Area_8_1_16_27">#REF!</definedName>
    <definedName name="Excel_BuiltIn_Print_Area_17_1_1_13_16">#REF!</definedName>
    <definedName name="building">#REF!</definedName>
    <definedName name="EM_004_17">#REF!</definedName>
    <definedName name="phi">#REF!</definedName>
    <definedName name="_____cdd2">#REF!</definedName>
    <definedName name="Km">#REF!</definedName>
    <definedName name="EM_016_8">#REF!</definedName>
    <definedName name="Excel_BuiltIn_Print_Area_7_1_1_17_4">#REF!</definedName>
    <definedName name="orderbooked98">#REF!</definedName>
    <definedName name="BGrP">#REF!</definedName>
    <definedName name="Line_type">#REF!</definedName>
    <definedName name="Fml">#REF!</definedName>
    <definedName name="linecost_config1">#REF!</definedName>
    <definedName name="_9Excel_BuiltIn_Print_Area_2_1_1_1_1_1">#REF!</definedName>
    <definedName name="M20_cement">#REF!</definedName>
    <definedName name="Excel_BuiltIn_Print_Area_16_1_2_4">#REF!</definedName>
    <definedName name="_______SAP4">#REF!</definedName>
    <definedName name="_______SAP6">#REF!</definedName>
    <definedName name="___SS404">#REF!</definedName>
    <definedName name="Excel_BuiltIn_Print_Area_4_1_1_2_1">#REF!</definedName>
    <definedName name="Z1ps">#REF!</definedName>
    <definedName name="EM_059_17">#REF!</definedName>
    <definedName name="EM_037_2">#REF!</definedName>
    <definedName name="_____Ki2">#REF!</definedName>
    <definedName name="CD_SPLADL">#REF!</definedName>
    <definedName name="DaRWk6">#REF!</definedName>
    <definedName name="Excel_BuiltIn_Print_Area_17_1_1_15_16">#REF!</definedName>
    <definedName name="Excel_BuiltIn_Print_Area_28_14">#REF!</definedName>
    <definedName name="lmcsmsb.t">#REF!</definedName>
    <definedName localSheetId="8" name="v">#REF!</definedName>
    <definedName name="XRefCopy9Row">#REF!</definedName>
    <definedName name="EM_006_15">#REF!</definedName>
    <definedName name="Excel_BuiltIn_Print_Area_12_1_1_1_16">#REF!</definedName>
    <definedName name="___________________________________iv19000">#REF!</definedName>
    <definedName name="_KWS1">#REF!</definedName>
    <definedName name="EM_032_7">#REF!</definedName>
    <definedName name="______________________________________xlnm.Print_Area_1">#REF!</definedName>
    <definedName name="EM_073_16">#REF!</definedName>
    <definedName name="Excel_BuiltIn_Print_Area_9_1_10_4">#REF!</definedName>
    <definedName name="Excel_BuiltIn_Print_Area_2_1_1_5_4">#REF!</definedName>
    <definedName name="Opt">#REF!</definedName>
    <definedName name="EFFICIENCY">#REF!</definedName>
    <definedName name="____SS404">#REF!</definedName>
    <definedName name="d___0">#REF!</definedName>
    <definedName name="Excel_BuiltIn_Print_Area_16_1_7_16">#REF!</definedName>
    <definedName name="IE_Stk">#REF!</definedName>
    <definedName name="Mthree">#REF!</definedName>
    <definedName name="ar">#REF!</definedName>
    <definedName name="sr">#REF!</definedName>
    <definedName name="EM_003_3">#REF!</definedName>
    <definedName name="DOC">#REF!</definedName>
    <definedName name="_______DAT14">#REF!</definedName>
    <definedName name="Excel_BuiltIn_Print_Area_5_1_7_4">#REF!</definedName>
    <definedName name="rmcmcc.2">#REF!</definedName>
    <definedName name="Excel_BuiltIn_Print_Area_4_1_3_4">#REF!</definedName>
    <definedName name="Excel_BuiltIn_Print_Area_16_1_3_2">#REF!</definedName>
    <definedName name="_____pan1">#REF!</definedName>
    <definedName name="___SAP8">#REF!</definedName>
    <definedName name="XRefCopy51">#REF!</definedName>
    <definedName name="XRefPaste29">#REF!</definedName>
    <definedName name="datc">#REF!</definedName>
    <definedName name="SCHEDULE_NO._2___Reserves___Surplus_P__L">#REF!</definedName>
    <definedName name="Excel_BuiltIn_Print_Area_5_1_1_17">#REF!</definedName>
    <definedName name="__a999999">#REF!</definedName>
    <definedName name="Excel_BuiltIn_Print_Area_5_1_1_10_4">#REF!</definedName>
    <definedName name="AC_disc">#REF!</definedName>
    <definedName name="IE_MAT_Sales">#REF!</definedName>
    <definedName name="Excel_BuiltIn__FilterDatabase_7_8_4">#REF!</definedName>
    <definedName name="Excel_BuiltIn_Print_Area_7_1_1_17_2">#REF!</definedName>
    <definedName name="_____________b111121">#REF!</definedName>
    <definedName name="DLF">#REF!</definedName>
    <definedName name="HIns">#REF!</definedName>
    <definedName name="Excel_BuiltIn_Print_Area_8_1_1_11_2">#REF!</definedName>
    <definedName name="Excel_BuiltIn_Print_Area_11_1_11_4">#REF!</definedName>
    <definedName name="Excel_BuiltIn_Print_Area_16_1_6">#REF!</definedName>
    <definedName name="Print_Area_3">#REF!</definedName>
    <definedName name="Excel_BuiltIn_Print_Area_2_1_1_10_2">#REF!</definedName>
    <definedName name="___SAP1">#REF!</definedName>
    <definedName name="_____________________________in18900">#REF!</definedName>
    <definedName name="__xlnm.Print_Titles_3">#REF!</definedName>
    <definedName name="EM_026_5">#REF!</definedName>
    <definedName name="PREP">#REF!</definedName>
    <definedName name="XRefPaste3">#REF!</definedName>
    <definedName name="Excel_BuiltIn_Print_Area_29_20">#REF!</definedName>
    <definedName name="EM_021_1">#REF!</definedName>
    <definedName name="Qr">#REF!</definedName>
    <definedName name="__123Graph_E">#REF!</definedName>
    <definedName name="Excel_BuiltIn_Print_Area_17_1_14_2">#REF!</definedName>
    <definedName localSheetId="8" name="SpecialPrice">#REF!</definedName>
    <definedName name="____aba2">#REF!</definedName>
    <definedName name="XRefPaste24Row">#REF!</definedName>
    <definedName name="Mcbdo">#REF!</definedName>
    <definedName name="Excel_BuiltIn_Print_Area_7_1_17_1_2">#REF!</definedName>
    <definedName name="k2y">#REF!</definedName>
    <definedName name="_______DAT4">#REF!</definedName>
    <definedName localSheetId="8" name="DOLLARS1">#REF!</definedName>
    <definedName name="Excel_BuiltIn_Print_Area_10_1_10_27">#REF!</definedName>
    <definedName name="___7__123Graph_ACHART_1">#REF!</definedName>
    <definedName name="________xlnm._FilterDatabase_2">#REF!</definedName>
    <definedName name="Ki2___0">#REF!</definedName>
    <definedName localSheetId="8" name="ST">#REF!</definedName>
    <definedName name="rel">#REF!</definedName>
    <definedName name="collstatuspage2">#REF!</definedName>
    <definedName name="EM_028_18">#REF!</definedName>
    <definedName name="m2_hrsg_f">#REF!</definedName>
    <definedName name="Et___13">#REF!</definedName>
    <definedName name="_________________IDA1">#REF!</definedName>
    <definedName name="luckt">#REF!</definedName>
    <definedName name="Excel_BuiltIn_Print_Area_2_1_1_12_4">#REF!</definedName>
    <definedName name="___________________________________________________dol6">#REF!</definedName>
    <definedName name="Excel_BuiltIn_Print_Area_17_1_1_2_4">#REF!</definedName>
    <definedName name="Excel_BuiltIn_Print_Area_28_2_27">#REF!</definedName>
    <definedName name="EM_039_5">#REF!</definedName>
    <definedName name="_1Excel_BuiltIn_Print_Area_1_1">#REF!</definedName>
    <definedName name="Inst.">#REF!</definedName>
    <definedName name="sffound_idr">#REF!</definedName>
    <definedName name="Excel_BuiltIn_Print_Area_2_1_1_1_8_27">#REF!</definedName>
    <definedName name="m8_hrsg_f">#REF!</definedName>
    <definedName name="XRefPaste35">#REF!</definedName>
    <definedName name="Excel_BuiltIn_Print_Area_17_1_12_4">#REF!</definedName>
    <definedName name="__Xl1">#REF!</definedName>
    <definedName localSheetId="8" name="Hu___13">#REF!</definedName>
    <definedName name="Excel_BuiltIn_Print_Area_6_20_16">#REF!</definedName>
    <definedName name="Excel_BuiltIn_Print_Area_5_1_12">#REF!</definedName>
    <definedName name="_____mm2">#REF!</definedName>
    <definedName name="rmcsmsb.2">#REF!</definedName>
    <definedName name="DesignYears">#REF!</definedName>
    <definedName name="____________tab2">#REF!</definedName>
    <definedName name="Excel_BuiltIn_Print_Area_8_1_1_7_2">#REF!</definedName>
    <definedName name="Excel_BuiltIn_Print_Area_17_1_6">#REF!</definedName>
    <definedName name="XREF_COLUMN_20">#REF!</definedName>
    <definedName name="__xlnm._FilterDatabase_5">#REF!</definedName>
    <definedName name="EM_035_5">#REF!</definedName>
    <definedName name="Excel_BuiltIn_Print_Area_29_8_4">#REF!</definedName>
    <definedName name="Excel_BuiltIn_Print_Area_14_1_6_27">#REF!</definedName>
    <definedName name="QV_M">#REF!</definedName>
    <definedName name="Excel_BuiltIn_Print_Area_6_1_9_27">#REF!</definedName>
    <definedName name="GTTPL">#REF!</definedName>
    <definedName name="_______Re1">#REF!</definedName>
    <definedName name="Excel_BuiltIn_Print_Area_12_1_20_2">#REF!</definedName>
    <definedName name="Dt">#REF!</definedName>
    <definedName name="___sch9">#REF!</definedName>
    <definedName name="Excel_BuiltIn_Print_Area_5_1">#REF!</definedName>
    <definedName name="Excel_BuiltIn_Print_Area_12_1_1_16_4">#REF!</definedName>
    <definedName name="Excel_BuiltIn_Print_Area_5_1_1_1_1_2_1">#REF!</definedName>
    <definedName name="_run1">#REF!</definedName>
    <definedName name="_________aoc1">#REF!</definedName>
    <definedName name="cli">#REF!</definedName>
    <definedName name="_____________xlnm.Print_Area_13">#REF!</definedName>
    <definedName name="na">#REF!</definedName>
    <definedName name="_cli5">#REF!</definedName>
    <definedName name="EM_002_5">#REF!</definedName>
    <definedName localSheetId="8" name="cx">#REF!</definedName>
    <definedName name="EM_024_9">#REF!</definedName>
    <definedName localSheetId="8" name="STATEMENT_1">#REF!</definedName>
    <definedName name="manpower">#REF!</definedName>
    <definedName name="PATHLP3">#REF!</definedName>
    <definedName name="Excel_BuiltIn_Print_Area_3_1_1_1_16_1">#REF!</definedName>
    <definedName name="KEC">#REF!</definedName>
    <definedName name="ss6_st_f">#REF!</definedName>
    <definedName name="Excel_BuiltIn_Print_Area_5_1_8_4">#REF!</definedName>
    <definedName name="lmcsmsb.lab">#REF!</definedName>
    <definedName name="________6___123Graph_CCHART_1">#REF!</definedName>
    <definedName name="Ny___13">#REF!</definedName>
    <definedName name="______SS402">#REF!</definedName>
    <definedName name="_try1">#REF!</definedName>
    <definedName name="company">#REF!</definedName>
    <definedName name="Excel_BuiltIn_Print_Area_9_1_20_16">#REF!</definedName>
    <definedName name="sdr">#REF!</definedName>
    <definedName localSheetId="8" name="CAPAUG">#REF!</definedName>
    <definedName name="viz">#REF!</definedName>
    <definedName name="__hfi1">#REF!</definedName>
    <definedName name="XRefCopy25Row">#REF!</definedName>
    <definedName name="va___13">#REF!</definedName>
    <definedName name="aasdad">#REF!</definedName>
    <definedName name="PATHJVPR1">#REF!</definedName>
    <definedName name="Excel_BuiltIn_Print_Area_11_1_20">#REF!</definedName>
    <definedName name="sftower_usd">#REF!</definedName>
    <definedName name="KPI_BGT3">#REF!</definedName>
    <definedName name="Vf">#REF!</definedName>
    <definedName name="EM_025_5">#REF!</definedName>
    <definedName name="____________________KEY3">#REF!</definedName>
    <definedName name="___Tk2">#REF!</definedName>
    <definedName name="_______aba2">#REF!</definedName>
    <definedName name="EM_032_4">#REF!</definedName>
    <definedName name="va">#REF!</definedName>
    <definedName name="_SC7048">#REF!</definedName>
    <definedName name="EM_003_9">#REF!</definedName>
    <definedName name="BG">#REF!</definedName>
    <definedName name="dbrwk6">#REF!</definedName>
    <definedName name="RTU2_DO">#REF!</definedName>
    <definedName name="Curr">#REF!</definedName>
    <definedName name="Excel_BuiltIn_Print_Area_8_1_1_5_16">#REF!</definedName>
    <definedName name="hhh_1">#REF!</definedName>
    <definedName name="NAAR">#REF!</definedName>
    <definedName name="O.">#REF!</definedName>
    <definedName name="_______SAP8">#REF!</definedName>
    <definedName name="___MAN1">#REF!</definedName>
    <definedName name="_3___123Graph_CCHART_1">#REF!</definedName>
    <definedName name="EP_Top_Key">#REF!</definedName>
    <definedName name="ss9_fuel_f">#REF!</definedName>
    <definedName name="Excel_BuiltIn_Print_Titles_1_4">#REF!</definedName>
    <definedName name="fff">#REF!</definedName>
    <definedName name="Excel_BuiltIn__FilterDatabase_1">#REF!</definedName>
    <definedName name="__xlnm.Print_Titles_4">#REF!</definedName>
    <definedName name="_13Excel_BuiltIn_Print_Area_2_1_1_1_1">#REF!</definedName>
    <definedName name="Kii">#REF!</definedName>
    <definedName name="_5Excel_BuiltIn_Print_Area_18_1">#REF!</definedName>
    <definedName name="EM_003_18">#REF!</definedName>
    <definedName name="lc350mcic">#REF!</definedName>
    <definedName name="msj">#REF!</definedName>
    <definedName name="______________________________xlnm.Print_Titles_1">#REF!</definedName>
    <definedName name="___________xlnm.Print_Area_7">#REF!</definedName>
    <definedName name="Excel_BuiltIn_Print_Area_7_1_13_2">#REF!</definedName>
    <definedName name="Kh___0">#REF!</definedName>
    <definedName name="Excel_BuiltIn_Print_Area_16_1_17_2">#REF!</definedName>
    <definedName name="Excel_BuiltIn_Print_Area_9_1_6_4">#REF!</definedName>
    <definedName name="_ahu2">#REF!</definedName>
    <definedName name="budgets">#REF!</definedName>
    <definedName name="__________________g1">#REF!</definedName>
    <definedName name="Excel_BuiltIn_Print_Area_9_1_7_4">#REF!</definedName>
    <definedName name="Excel_BuiltIn_Print_Area_12_1_11_4">#REF!</definedName>
    <definedName name="Excel_BuiltIn_Print_Area_16_1_27">#REF!</definedName>
    <definedName name="___run3">#REF!</definedName>
    <definedName name="pa">#REF!</definedName>
    <definedName name="domestic_global">#REF!</definedName>
    <definedName name="m___13">#REF!</definedName>
    <definedName name="_PIN1">#REF!</definedName>
    <definedName name="A6_">#REF!</definedName>
    <definedName name="____a999999">#REF!</definedName>
    <definedName name="Excel_BuiltIn_Print_Area_16_1_5_2">#REF!</definedName>
    <definedName name="PATHPR2">#REF!</definedName>
    <definedName name="Excel_BuiltIn_Print_Area_10_1_16_4">#REF!</definedName>
    <definedName name="IE_OCA">#REF!</definedName>
    <definedName name="_11_3_0Crite">#REF!</definedName>
    <definedName name="_ELL90">#REF!</definedName>
    <definedName name="Excel_BuiltIn_Print_Area_5_1_1_1_1_1_1_1_1">#REF!</definedName>
    <definedName name="__hxd1">#REF!</definedName>
    <definedName name="EM_055_18">#REF!</definedName>
    <definedName name="Z2s">#REF!</definedName>
    <definedName name="____hxb2">#REF!</definedName>
    <definedName name="__SS405">#REF!</definedName>
    <definedName name="EM_014_4">#REF!</definedName>
    <definedName name="ID">#REF!</definedName>
    <definedName name="_______Ki2">#REF!</definedName>
    <definedName name="EM_004_6">#REF!</definedName>
    <definedName name="간경4">#REF!</definedName>
    <definedName name="Excel_BuiltIn_Print_Area_28_8">#REF!</definedName>
    <definedName name="m2_ic_w">#REF!</definedName>
    <definedName name="Excel_BuiltIn_Print_Area_16_1_1_5_27">#REF!</definedName>
    <definedName name="ped_no">#REF!</definedName>
    <definedName name="__Hso3">#REF!</definedName>
    <definedName name="Excel_BuiltIn_Print_Area_5_1_7_16">#REF!</definedName>
    <definedName name="Excel_BuiltIn_Print_Area_15_1_15_16">#REF!</definedName>
    <definedName name="_____col33">#REF!</definedName>
    <definedName name="________xlnm.Print_Titles_4">#REF!</definedName>
    <definedName name="Excel_BuiltIn_Print_Area_10_1_12_16">#REF!</definedName>
    <definedName name="Excel_BuiltIn_Print_Area_4_1_1_10_2">#REF!</definedName>
    <definedName localSheetId="8" name="Excel_BuiltIn_Print_Area_3_1_1_1_1_1">#REF!</definedName>
    <definedName name="____________________________________________dol6">#REF!</definedName>
    <definedName name="Excel_BuiltIn_Print_Area_13_1_16_4">#REF!</definedName>
    <definedName name="AXXXX3">#REF!</definedName>
    <definedName name="Excel_BuiltIn_Print_Area_17_1_5_2">#REF!</definedName>
    <definedName name="Excel_BuiltIn_Print_Area_11_1_14">#REF!</definedName>
    <definedName name="Excel_BuiltIn_Print_Area_10_1_3_4">#REF!</definedName>
    <definedName name="tc">#REF!</definedName>
    <definedName name="____drg1">#REF!</definedName>
    <definedName name="Excel_BuiltIn_Print_Titles_3_1_1">#REF!</definedName>
    <definedName name="Percent_Text">#REF!</definedName>
    <definedName name="Excel_BuiltIn_Print_Area_16_1_1_6_27">#REF!</definedName>
    <definedName name="phis">#REF!</definedName>
    <definedName name="I">#REF!</definedName>
    <definedName name="qqq">#REF!</definedName>
    <definedName name="LACS">#REF!</definedName>
    <definedName name="tS___0">#REF!</definedName>
    <definedName name="____SS424">#REF!</definedName>
    <definedName name="p1350pcic">#REF!</definedName>
    <definedName name="Excel_BuiltIn_Print_Area_16_1_1_9_2">#REF!</definedName>
    <definedName name="CAPJUN">#REF!</definedName>
    <definedName name="_7Excel_BuiltIn_Print_Area_16_1_1_1_1">#REF!</definedName>
    <definedName name="EM_035_17">#REF!</definedName>
    <definedName name="ODH">#REF!</definedName>
    <definedName name="O">#REF!</definedName>
    <definedName name="tr">#REF!</definedName>
    <definedName name="XRefCopy33Row">#REF!</definedName>
    <definedName name="Excel_BuiltIn_Print_Area_2_1_1_16_16">#REF!</definedName>
    <definedName name="Excel_BuiltIn_Print_Area_17_1_1_1_4">#REF!</definedName>
    <definedName name="____________in18900">#REF!</definedName>
    <definedName name="_7Excel_BuiltIn_Print_Area_4_1_1_1">#REF!</definedName>
    <definedName name="Excel_BuiltIn_Print_Area_4_1_8_4">#REF!</definedName>
    <definedName name="nlg_er">#REF!</definedName>
    <definedName name="Excel_BuiltIn_Print_Area_3_1_10_4">#REF!</definedName>
    <definedName name="PNum">#REF!</definedName>
    <definedName name="Excel_BuiltIn_Print_Area_5_5">#REF!</definedName>
    <definedName name="MultipleSetsLabel">#REF!</definedName>
    <definedName name="Qf___0">#REF!</definedName>
    <definedName name="_pep99">#REF!</definedName>
    <definedName name="TMD">#REF!</definedName>
    <definedName name="gtst">#REF!</definedName>
    <definedName name="QFC_SFRh">#REF!</definedName>
    <definedName name="Excel_BuiltIn_Print_Area_2_1_9">#REF!</definedName>
    <definedName name="Excel_BuiltIn_Print_Area_28_2">#REF!</definedName>
    <definedName name="ScheduleArea">#REF!</definedName>
    <definedName name="STCTL2">#REF!</definedName>
    <definedName name="_SC7025">#REF!</definedName>
    <definedName name="Excel_BuiltIn_Print_Area_29_17_27">#REF!</definedName>
    <definedName name="KHA">#REF!</definedName>
    <definedName name="_sig1">#REF!</definedName>
    <definedName name="_Tk11">#REF!</definedName>
    <definedName name="Excel_BuiltIn_Print_Area_28_16_2">#REF!</definedName>
    <definedName name="rishraetc">#REF!</definedName>
    <definedName name="Zusammenfassung">#REF!</definedName>
    <definedName name="Excel_BuiltIn_Print_Area_3_1_1_1_4">#REF!</definedName>
    <definedName name="pb___0">#REF!</definedName>
    <definedName name="____SC21">#REF!</definedName>
    <definedName name="_11____123Graph_BCHART_1">#REF!</definedName>
    <definedName name="rewrewwre">#REF!</definedName>
    <definedName name="Excel_BuiltIn_Print_Area_16_1_10_4">#REF!</definedName>
    <definedName name="S">#REF!</definedName>
    <definedName name="MaxSNo">#REF!</definedName>
    <definedName name="Excel_BuiltIn_Print_Area_6_1_20_4">#REF!</definedName>
    <definedName name="lc350mcbc">#REF!</definedName>
    <definedName name="CONT">#REF!</definedName>
    <definedName name="rldis">#REF!</definedName>
    <definedName name="_Dist_Values">#REF!</definedName>
    <definedName name="dg">#REF!</definedName>
    <definedName name="BaseLabour">#REF!</definedName>
    <definedName name="Value13">#REF!</definedName>
    <definedName name="Excel_BuiltIn_Print_Area_12_1_1_6_16">#REF!</definedName>
    <definedName name="_33Excel_BuiltIn_Print_Area_5_1_1_1_1">#REF!</definedName>
    <definedName name="______SAP8">#REF!</definedName>
    <definedName name="_________________________dol6">#REF!</definedName>
    <definedName name="______lb1">#REF!</definedName>
    <definedName name="_T146000">#REF!</definedName>
    <definedName name="Excel_BuiltIn_Print_Area_13_1_15_27">#REF!</definedName>
    <definedName localSheetId="8" name="fill">#REF!</definedName>
    <definedName name="EP_AM">#REF!</definedName>
    <definedName name="Excel_BuiltIn_Print_Area_8_1_1_1_1_4">#REF!</definedName>
    <definedName name="Excel_BuiltIn_Print_Area_10_1_9_27">#REF!</definedName>
    <definedName name="Excel_BuiltIn_Print_Area_5_1_1_1_1_1_1_1">#REF!</definedName>
    <definedName name="_m20">#REF!</definedName>
    <definedName name="mff">#REF!</definedName>
    <definedName name="_____Tk2">#REF!</definedName>
    <definedName name="ass">#REF!</definedName>
    <definedName name="ED_RTU">#REF!</definedName>
    <definedName localSheetId="8" name="____xlnm.Print_Area_10">#REF!</definedName>
    <definedName name="EM_020_2">#REF!</definedName>
    <definedName name="Excel_BuiltIn_Print_Area_5_9_27">#REF!</definedName>
    <definedName name="Excel_BuiltIn_Print_Area_9_1_17_2">#REF!</definedName>
    <definedName name="ss9_hrsg_v">#REF!</definedName>
    <definedName name="EM_007_9">#REF!</definedName>
    <definedName name="________xlnm.Print_Titles_1">#REF!</definedName>
    <definedName name="___SC11">#REF!</definedName>
    <definedName localSheetId="8" name="____xlnm.Print_Titles_7">#REF!</definedName>
    <definedName name="Excel_BuiltIn_Print_Area_2_1_1_8_16">#REF!</definedName>
    <definedName name="EM_024_4">#REF!</definedName>
    <definedName name="Excel_BuiltIn_Print_Area_14_1_2">#REF!</definedName>
    <definedName name="ss9_gtax_v">#REF!</definedName>
    <definedName name="BD1TransCost1">#REF!</definedName>
    <definedName name="Excel_BuiltIn_Print_Area_14_1_17">#REF!</definedName>
    <definedName name="hxe">#REF!</definedName>
    <definedName name="_____PAN2">#REF!</definedName>
    <definedName name="Excel_BuiltIn_Print_Area_2_1_1_7_4">#REF!</definedName>
    <definedName name="__A7">#REF!</definedName>
    <definedName name="EM_005_17">#REF!</definedName>
    <definedName name="_____mlc33">#REF!</definedName>
    <definedName name="ss6_cond_f">#REF!</definedName>
    <definedName name="______DAT5">#REF!</definedName>
    <definedName name="___________xlnm.Print_Area_10">#REF!</definedName>
    <definedName name="_____axx1">#REF!</definedName>
    <definedName name="Excel_BuiltIn_Print_Area_3_1_17_4">#REF!</definedName>
    <definedName name="___mm2">#REF!</definedName>
    <definedName name="_m234">#REF!</definedName>
    <definedName name="Excel_BuiltIn_Print_Area_5_1_9_4">#REF!</definedName>
    <definedName name="SHEET">#REF!</definedName>
    <definedName name="XRefCopy65">#REF!</definedName>
    <definedName name="Excel_BuiltIn_Print_Area_13_1_13_2">#REF!</definedName>
    <definedName name="Excel_BuiltIn_Print_Area_3_1_6_4">#REF!</definedName>
    <definedName name="adgh">#REF!</definedName>
    <definedName name="_DET2">#REF!</definedName>
    <definedName name="Excel_BuiltIn_Print_Area_13_1_3_4">#REF!</definedName>
    <definedName localSheetId="8" name="____MAN1">#REF!</definedName>
    <definedName name="___A655600">#REF!</definedName>
    <definedName localSheetId="8" name="x1byr1">#REF!</definedName>
    <definedName name="____SS409">#REF!</definedName>
    <definedName name="__________________mm2">#REF!</definedName>
    <definedName name="ANNEXURE_FOR_BILL_NO.EUS_632_FDN_001">#REF!</definedName>
    <definedName name="_CFB1">#REF!</definedName>
    <definedName name="EM_001_7">#REF!</definedName>
    <definedName name="Repairs">#REF!</definedName>
    <definedName name="z1at">#REF!</definedName>
    <definedName name="Group_Mth">#REF!</definedName>
    <definedName name="____SC06">#REF!</definedName>
    <definedName name="agg">#REF!</definedName>
    <definedName name="__ifa1">#REF!</definedName>
    <definedName name="Excel_BuiltIn_Print_Area_11_1_16">#REF!</definedName>
    <definedName name="Excel_BuiltIn_Print_Area_28_12_4">#REF!</definedName>
    <definedName name="Excel_BuiltIn_Print_Area_16_1_1_17_2">#REF!</definedName>
    <definedName localSheetId="8" name="aaaa">#REF!</definedName>
    <definedName name="___SS423">#REF!</definedName>
    <definedName name="Excel_BuiltIn_Print_Area_13_1_2_1">#REF!</definedName>
    <definedName name="external">#REF!</definedName>
    <definedName name="KEPL">#REF!</definedName>
    <definedName name="_________xlnm._FilterDatabase_5">#REF!</definedName>
    <definedName name="Excel_BuiltIn_Print_Area_28_1_4">#REF!</definedName>
    <definedName name="PATH333">#REF!</definedName>
    <definedName name="mcmc1i5f">#REF!</definedName>
    <definedName name="____iv19000">#REF!</definedName>
    <definedName name="Excel_BuiltIn_Print_Area_14_1_13_16">#REF!</definedName>
    <definedName name="________SAP5">#REF!</definedName>
    <definedName name="Excel_BuiltIn_Print_Area_4_1_1_3_27">#REF!</definedName>
    <definedName name="____mlc33">#REF!</definedName>
    <definedName name="________xlnm._FilterDatabase_4">#REF!</definedName>
    <definedName name="Excel_BuiltIn_Print_Area_10_1_15_2">#REF!</definedName>
    <definedName name="option9">#REF!</definedName>
    <definedName name="_0___0">#REF!</definedName>
    <definedName name="Excel_BuiltIn_Print_Area_9_1_14_16">#REF!</definedName>
    <definedName name="EM_032_10">#REF!</definedName>
    <definedName name="Excel_BuiltIn_Print_Area_10_1_4">#REF!</definedName>
    <definedName name="aux">#REF!</definedName>
    <definedName name="Excel_BuiltIn_Print_Area_17_1_3_4">#REF!</definedName>
    <definedName name="EM_027_6">#REF!</definedName>
    <definedName name="PATHAR2">#REF!</definedName>
    <definedName name="_________A81614">#REF!</definedName>
    <definedName name="CONDUIT">#REF!</definedName>
    <definedName name="PRMIL_HW">#REF!</definedName>
    <definedName name="Excel_BuiltIn_Print_Area_8_1_1_6_16">#REF!</definedName>
    <definedName name="XRefCopy14">#REF!</definedName>
    <definedName name="rmcecp">#REF!</definedName>
    <definedName name="ADG">#REF!</definedName>
    <definedName localSheetId="8" name="___xlnm._FilterDatabase_3">#REF!</definedName>
    <definedName name="Stage">#REF!</definedName>
    <definedName name="EM_034_11">#REF!</definedName>
    <definedName name="Excel_BuiltIn_Print_Area_10_1_6_4">#REF!</definedName>
    <definedName name="__ls1">#REF!</definedName>
    <definedName name="Excel_BuiltIn_Print_Area_5_13_16">#REF!</definedName>
    <definedName name="Excel_BuiltIn_Print_Area_7_1_3_16">#REF!</definedName>
    <definedName name="DCARRAY_1">#REF!</definedName>
    <definedName name="Re___13">#REF!</definedName>
    <definedName name="소모비">#REF!</definedName>
    <definedName name="_______________VS2004">#REF!</definedName>
    <definedName name="Lxx">#REF!</definedName>
    <definedName name="Origin">#REF!</definedName>
    <definedName name="XRefPaste18">#REF!</definedName>
    <definedName name="Bindingwire">#REF!</definedName>
    <definedName name="st_list">#REF!</definedName>
    <definedName name="IE_Avg_COI">#REF!</definedName>
    <definedName name="IGP_M">#REF!</definedName>
    <definedName name="Excel_BuiltIn_Print_Area_5_1_1_11">#REF!</definedName>
    <definedName name="__________________xlnm.Print_Area_2">#REF!</definedName>
    <definedName name="EM_023_13">#REF!</definedName>
    <definedName name="Excel_BuiltIn_Print_Area_16_1_5_1">#REF!</definedName>
    <definedName name="____CFB3">#REF!</definedName>
    <definedName name="Cable_Size">#REF!</definedName>
    <definedName name="GSDGG">#REF!</definedName>
    <definedName name="___hfi1">#REF!</definedName>
    <definedName localSheetId="8" name="_2Excel_BuiltIn_Print_Area_3_1">#REF!</definedName>
    <definedName name="EM_019_10">#REF!</definedName>
    <definedName name="ABoltLength">#REF!</definedName>
    <definedName name="Excel_BuiltIn_Print_Area_29_16">#REF!</definedName>
    <definedName name="ASSASAASA">#REF!</definedName>
    <definedName name="HARI">#REF!</definedName>
    <definedName name="ss9_ic_v">#REF!</definedName>
    <definedName name="Z1A">#REF!</definedName>
    <definedName name="Excel_BuiltIn_Print_Area_9_1_8_2">#REF!</definedName>
    <definedName localSheetId="8" name="wt.m">#REF!</definedName>
    <definedName name="Excel_BuiltIn_Print_Area_12_1_1_17_4">#REF!</definedName>
    <definedName name="PATHJV111">#REF!</definedName>
    <definedName name="BD1EventMin">#REF!</definedName>
    <definedName name="rmcsmsb.ups">#REF!</definedName>
    <definedName name="EM_020_10">#REF!</definedName>
    <definedName name="ESCPRD_IDTOSW">#REF!</definedName>
    <definedName name="__in18900">#REF!</definedName>
    <definedName name="ss9_hrsg_f">#REF!</definedName>
    <definedName name="_____SAP9">#REF!</definedName>
    <definedName name="EM_005_4">#REF!</definedName>
    <definedName localSheetId="8" name="__f1">#REF!</definedName>
    <definedName name="Excel_BuiltIn_Print_Area_16_1_1_6_4">#REF!</definedName>
    <definedName name="XRefCopy54">#REF!</definedName>
    <definedName name="Excel_BuiltIn_Print_Area_11_1_12_27">#REF!</definedName>
    <definedName name="EP_Deprn">#REF!</definedName>
    <definedName name="MANU44">#REF!</definedName>
    <definedName name="___________a655601">#REF!</definedName>
    <definedName name="_Fill1">#REF!</definedName>
    <definedName name="Excel_BuiltIn_Print_Area_10_1_7">#REF!</definedName>
    <definedName name="___hfi5">#REF!</definedName>
    <definedName name="_______2____123Graph_BCHART_1">#REF!</definedName>
    <definedName name="Excel_BuiltIn_Print_Area_5_1_12_2">#REF!</definedName>
    <definedName name="ESCPRD_BOHW">#REF!</definedName>
    <definedName name="Excel_BuiltIn_Print_Area_8_1_7_2">#REF!</definedName>
    <definedName name="EM_012_15">#REF!</definedName>
    <definedName name="M_01">#REF!</definedName>
    <definedName name="ldlen1">#REF!</definedName>
    <definedName name="Overall_Mobi_Mth">#REF!</definedName>
    <definedName name="____SAP2">#REF!</definedName>
    <definedName name="Excel_BuiltIn_Print_Area_8_1_11_16">#REF!</definedName>
    <definedName name="Excel_BuiltIn_Print_Area_18_4">#REF!</definedName>
    <definedName name="Excel_BuiltIn_Print_Area_7_1_17_4">#REF!</definedName>
    <definedName name="Excel_BuiltIn_Print_Titles_6_1_1">#REF!</definedName>
    <definedName name="_____SAP11">#REF!</definedName>
    <definedName name="ss8_cond_v">#REF!</definedName>
    <definedName name="EM_020_15">#REF!</definedName>
    <definedName name="optio_2">#REF!</definedName>
    <definedName name="Excel_BuiltIn_Print_Area_13_1_12_27">#REF!</definedName>
    <definedName name="d._Staging_to_keep_deflactometer___hire_charges_of_deflectometer">#REF!</definedName>
    <definedName name="EM_008_4">#REF!</definedName>
    <definedName name="Excel_BuiltIn_Print_Area_17_1_5_27">#REF!</definedName>
    <definedName name="Excel_BuiltIn_Print_Area_28">#REF!</definedName>
    <definedName name="Excel_BuiltIn_Print_Area_8_1_1_2">#REF!</definedName>
    <definedName name="_____DAT9">#REF!</definedName>
    <definedName name="BL2A">#REF!</definedName>
    <definedName name="__________________________________________________dol6">#REF!</definedName>
    <definedName name="_axx6">#REF!</definedName>
    <definedName name="Excel_BuiltIn_Print_Area_2_1_1_1_16_4">#REF!</definedName>
    <definedName name="XRefCopy7Row">#REF!</definedName>
    <definedName name="EP_Avg_VC">#REF!</definedName>
    <definedName name="sh">#REF!</definedName>
    <definedName name="Excel_BuiltIn_Print_Area_4_1_6_16">#REF!</definedName>
    <definedName name="GEN">#REF!</definedName>
    <definedName name="MC_YENHW">#REF!</definedName>
    <definedName name="XREF_COLUMN_9">#REF!</definedName>
    <definedName name="pile_no">#REF!</definedName>
    <definedName name="TableRange">#REF!</definedName>
    <definedName name="________________iv19000">#REF!</definedName>
    <definedName name="EM_011_17">#REF!</definedName>
    <definedName name="current2">#REF!</definedName>
    <definedName name="Excel_BuiltIn_Print_Area_17_1_1_12">#REF!</definedName>
    <definedName name="Pane2___13">#REF!</definedName>
    <definedName name="_HE2">#REF!</definedName>
    <definedName name="B___13">#REF!</definedName>
    <definedName name="Excel_BuiltIn_Print_Area_10_1_1_1_2">#REF!</definedName>
    <definedName name="Excel_BuiltIn_Print_Area_14_1_14_2">#REF!</definedName>
    <definedName name="sumtotal">#REF!</definedName>
    <definedName localSheetId="8" name="job___11">#REF!</definedName>
    <definedName name="PLC">#REF!</definedName>
    <definedName name="_10Excel_BuiltIn_Print_Area_4_1_1_1_1_1_1">#REF!</definedName>
    <definedName name="Excel_BuiltIn_Print_Area_4_1_14_4">#REF!</definedName>
    <definedName name="p1500mcfdr">#REF!</definedName>
    <definedName name="Excel_BuiltIn_Print_Area_12_1_1_9_4">#REF!</definedName>
    <definedName name="Value32">#REF!</definedName>
    <definedName name="bat">#REF!</definedName>
    <definedName name="_____tl2">#REF!</definedName>
    <definedName name="progress2">#REF!</definedName>
    <definedName name="_SUN1">#REF!</definedName>
    <definedName name="__xlnm.Print_Titles_1_1">#REF!</definedName>
    <definedName name="ConstEqt_Cost_002LC">#REF!</definedName>
    <definedName localSheetId="8" name="Gw">#REF!</definedName>
    <definedName localSheetId="8" name="__tt75">#REF!</definedName>
    <definedName localSheetId="8" name="Excel_BuiltIn_Print_Titles_4_1_1_16">#REF!</definedName>
    <definedName name="____________A71614">#REF!</definedName>
    <definedName name="Excel_BuiltIn_Print_Area_8_1_2_16">#REF!</definedName>
    <definedName name="___m35">#REF!</definedName>
    <definedName name="_____cli1">#REF!</definedName>
    <definedName name="Excel_BuiltIn_Print_Area_2_1_1_1_11">#REF!</definedName>
    <definedName name="______hfi2">#REF!</definedName>
    <definedName name="Excel_BuiltIn_Print_Area_28_9">#REF!</definedName>
    <definedName name="VPer">#REF!</definedName>
    <definedName name="OPEX_BGT7">#REF!</definedName>
    <definedName name="p1ssb2">#REF!</definedName>
    <definedName name="XRefCopy2Row">#REF!</definedName>
    <definedName name="women">#REF!</definedName>
    <definedName name="_____SC11">#REF!</definedName>
    <definedName name="Excel_BuiltIn_Print_Area_2_1_1_1_20_16">#REF!</definedName>
    <definedName name="_______________________xlnm.Print_Titles_1">#REF!</definedName>
    <definedName name="_______xlnm.Print_Area_7">#REF!</definedName>
    <definedName name="____________mm1">#REF!</definedName>
    <definedName name="dumppr">#REF!</definedName>
    <definedName name="Excel_BuiltIn_Print_Area_12_1_1_15">#REF!</definedName>
    <definedName name="IE_GM">#REF!</definedName>
    <definedName name="Excel_BuiltIn_Print_Area_15_1_17">#REF!</definedName>
    <definedName name="L">#REF!</definedName>
    <definedName name="____3____123Graph_CCHART_1">#REF!</definedName>
    <definedName name="_4Excel_BuiltIn_Print_Area_17_1_1_1_1">#REF!</definedName>
    <definedName name="stru_det">#REF!</definedName>
    <definedName name="_IPB1">#REF!</definedName>
    <definedName name="elb">#REF!</definedName>
    <definedName name="Excel_BuiltIn_Print_Area_4_1_1_3_4">#REF!</definedName>
    <definedName name="DATA_13">#REF!</definedName>
    <definedName name="____hfi3">#REF!</definedName>
    <definedName name="AS">#REF!</definedName>
    <definedName name="p1mlp">#REF!</definedName>
    <definedName name="SFR">#REF!</definedName>
    <definedName name="RPRTO500">#REF!</definedName>
    <definedName name="TL_OB_Cust">#REF!</definedName>
    <definedName name="cap">#REF!</definedName>
    <definedName name="XXX">#REF!</definedName>
    <definedName name="_ifa1">#REF!</definedName>
    <definedName name="M9A_BS">#REF!</definedName>
    <definedName name="___DAT4">#REF!</definedName>
    <definedName name="Excel_BuiltIn_Print_Area_17_1_1_7_4">#REF!</definedName>
    <definedName name="Excel_BuiltIn_Print_Area_3_1_2_2">#REF!</definedName>
    <definedName name="____________xlnm.Print_Area_13">#REF!</definedName>
    <definedName name="Ctype">#REF!</definedName>
    <definedName name="INV">#REF!</definedName>
    <definedName name="Excel_BuiltIn_Print_Area_6_1_12_16">#REF!</definedName>
    <definedName name="Excel_BuiltIn_Print_Area_7_1_17_1_4">#REF!</definedName>
    <definedName name="ITRY">#REF!</definedName>
    <definedName name="Excel_BuiltIn_Print_Area_10_1_13_2">#REF!</definedName>
    <definedName name="Excel_BuiltIn_Print_Area_16_1_10_2">#REF!</definedName>
    <definedName name="Jobtypes_3">#REF!</definedName>
    <definedName name="_4">#REF!</definedName>
    <definedName name="_rt2">#REF!</definedName>
    <definedName name="adas">#REF!</definedName>
    <definedName name="EP_Avg_OS">#REF!</definedName>
    <definedName name="____________________________xlnm.Print_Area_3">#REF!</definedName>
    <definedName name="n1yy">#REF!</definedName>
    <definedName name="_____out2">#REF!</definedName>
    <definedName name="__________________TAB1">#REF!</definedName>
    <definedName name="_ls1">#REF!</definedName>
    <definedName name="Ten">#REF!</definedName>
    <definedName name="CABLE_A">#REF!</definedName>
    <definedName name="transformer_E2">#REF!</definedName>
    <definedName name="_T144300">#REF!</definedName>
    <definedName name="b_dash">#REF!</definedName>
    <definedName name="unit">#REF!</definedName>
    <definedName name="___A13">#REF!</definedName>
    <definedName name="BD1TransInd1">#REF!</definedName>
    <definedName name="Details">#REF!</definedName>
    <definedName name="FI_AIRSW">#REF!</definedName>
    <definedName name="Hw_atm">#REF!</definedName>
    <definedName name="_______m20">#REF!</definedName>
    <definedName name="_____________xlnm.Print_Area_3">#REF!</definedName>
    <definedName name="_ls2">#REF!</definedName>
    <definedName name="__bom1">#REF!</definedName>
    <definedName name="Excel_BuiltIn_Print_Area_5_1_1_6_4">#REF!</definedName>
    <definedName name="CPLG">#REF!</definedName>
    <definedName name="GPTL">#REF!</definedName>
    <definedName name="SQRT__1___0_6___1_0___0">#REF!</definedName>
    <definedName name="Excel_BuiltIn_Print_Area_8_1_2">#REF!</definedName>
    <definedName name="smsb">#REF!</definedName>
    <definedName name="___________________________________dol6">#REF!</definedName>
    <definedName name="________a655601">#REF!</definedName>
    <definedName name="_14Excel_BuiltIn_Print_Area_4_1_1_1_1_1_1_1_1_1_1_1">#REF!</definedName>
    <definedName name="jk">#REF!</definedName>
    <definedName name="Excel_BuiltIn_Print_Area_29_20_16">#REF!</definedName>
    <definedName name="____xlnm.Print_Titles_7">#REF!</definedName>
    <definedName name="n1xx">#REF!</definedName>
    <definedName name="BuiltIn_Print_Titles___0___0___0___0">#REF!</definedName>
    <definedName name="Excel_BuiltIn_Print_Area_16_1_1_12_27">#REF!</definedName>
    <definedName name="GH">#REF!</definedName>
    <definedName name="Excel_BuiltIn_Print_Area_5_2_27">#REF!</definedName>
    <definedName name="____pfi1">#REF!</definedName>
    <definedName name="Excel_BuiltIn_Print_Area_8_1_5">#REF!</definedName>
    <definedName name="_35Excel_BuiltIn_Print_Area_7_1_1_1_1">#REF!</definedName>
    <definedName name="dbrwk4">#REF!</definedName>
    <definedName name="_____vr1">#REF!</definedName>
    <definedName name="Excel_BuiltIn_Print_Area_28_9_16">#REF!</definedName>
    <definedName name="Excel_BuiltIn_Print_Area_2_1_1_1_12_16">#REF!</definedName>
    <definedName name="INDEX">#REF!</definedName>
    <definedName name="Excel_BuiltIn_Print_Area_12_1_10">#REF!</definedName>
    <definedName name="Options2">#REF!</definedName>
    <definedName name="___dol6">#REF!</definedName>
    <definedName name="_________________________________________________iv19000">#REF!</definedName>
    <definedName name="MC_FIMSW">#REF!</definedName>
    <definedName name="asdff">#REF!</definedName>
    <definedName localSheetId="8" name="A_B">#REF!</definedName>
    <definedName name="Excel_BuiltIn_Print_Area_2_1_1_1_15_2">#REF!</definedName>
    <definedName name="Excel_BuiltIn_Print_Area_8_1_1_20_16">#REF!</definedName>
    <definedName localSheetId="8" name="ts">#REF!</definedName>
    <definedName name="KHALILO">#REF!</definedName>
    <definedName name="Value46">#REF!</definedName>
    <definedName name="EM_002_13">#REF!</definedName>
    <definedName name="_____xlnm.Print_Area_9">#REF!</definedName>
    <definedName name="기계">#REF!</definedName>
    <definedName name="Excel_BuiltIn_Print_Area_16_1_6_27">#REF!</definedName>
    <definedName name="_GEN1">#REF!</definedName>
    <definedName name="IP_TTC">#REF!</definedName>
    <definedName name="NHP">#REF!</definedName>
    <definedName name="Excel_BuiltIn_Print_Area_9_1_14_27">#REF!</definedName>
    <definedName name="______Re1">#REF!</definedName>
    <definedName name="amin1">#REF!</definedName>
    <definedName name="EM_010_17">#REF!</definedName>
    <definedName name="____SS405">#REF!</definedName>
    <definedName name="_hfi2">#REF!</definedName>
    <definedName name="____DET5">#REF!</definedName>
    <definedName name="EM_004_18">#REF!</definedName>
    <definedName name="Value43">#REF!</definedName>
    <definedName name="p1350mcbc">#REF!</definedName>
    <definedName name="EM_001_4">#REF!</definedName>
    <definedName name="Excel_BuiltIn_Print_Area_11_1_3_2">#REF!</definedName>
    <definedName name="IRUSD">#REF!</definedName>
    <definedName name="Excel_BuiltIn_Print_Area_16_1_17">#REF!</definedName>
    <definedName name="Excel_BuiltIn_Print_Area_14_1_8_4">#REF!</definedName>
    <definedName name="excess">#REF!</definedName>
    <definedName name="Vtwo">#REF!</definedName>
    <definedName name="Excel_BuiltIn_Print_Area_16_1_13_2">#REF!</definedName>
    <definedName name="NOMDEVIS">#REF!</definedName>
    <definedName name="Excel_BuiltIn_Print_Area_17_1_10_16">#REF!</definedName>
    <definedName name="________Ki1">#REF!</definedName>
    <definedName name="V">#REF!</definedName>
    <definedName name="CBISO245">#REF!</definedName>
    <definedName name="EM_068_14">#REF!</definedName>
    <definedName name="COE">#REF!</definedName>
    <definedName name="P_B">#REF!</definedName>
    <definedName name="ss8_gtax_v">#REF!</definedName>
    <definedName name="BD1StateStep">#REF!</definedName>
    <definedName name="Excel_BuiltIn_Print_Area_7_1_12_4">#REF!</definedName>
    <definedName name="idyn">#REF!</definedName>
    <definedName name="Excel_BuiltIn_Print_Area_29_13">#REF!</definedName>
    <definedName name="jawed">#REF!</definedName>
    <definedName name="_________A71614">#REF!</definedName>
    <definedName name="FG46TBTB4RTDKDK">#REF!</definedName>
    <definedName localSheetId="8" name="mnk">#REF!</definedName>
    <definedName name="________xlnm.Print_Area_3">#REF!</definedName>
    <definedName name="Excel_BuiltIn_Print_Area_18_1_27">#REF!</definedName>
    <definedName name="BL5BBB">#REF!</definedName>
    <definedName name="TEt___13">#REF!</definedName>
    <definedName name="CAPA333">#REF!</definedName>
    <definedName name="exp_ch">#REF!</definedName>
    <definedName name="___DAT1">#REF!</definedName>
    <definedName name="BuiltIn_Print_Area">#REF!</definedName>
    <definedName name="rmcaccp">#REF!</definedName>
    <definedName name="Excel_BuiltIn_Print_Area_7_1_17_1_27">#REF!</definedName>
    <definedName name="EM_034_16">#REF!</definedName>
    <definedName name="___________________________________________________dol12">#REF!</definedName>
    <definedName name="FIN_SC">#REF!</definedName>
    <definedName localSheetId="8" name="Nx">#REF!</definedName>
    <definedName name="Excel_BuiltIn_Print_Area_15_1_2_4">#REF!</definedName>
    <definedName name="SHEET2">#REF!</definedName>
    <definedName name="ss6_bop_f">#REF!</definedName>
    <definedName name="_______DAT15">#REF!</definedName>
    <definedName name="____LTR500">#REF!</definedName>
    <definedName name="_______________________________________iv19000">#REF!</definedName>
    <definedName name="______aba2">#REF!</definedName>
    <definedName name="DATA17">#REF!</definedName>
    <definedName name="EM_031_9">#REF!</definedName>
    <definedName name="Excel_BuiltIn_Print_Area_15_1_15_27">#REF!</definedName>
    <definedName name="Excel_BuiltIn_Print_Area_14_1_7_2">#REF!</definedName>
    <definedName name="Excel_BuiltIn_Print_Area_3_1_10">#REF!</definedName>
    <definedName name="Excel_BuiltIn_Print_Area_5_1_1_9_27">#REF!</definedName>
    <definedName name="Excel_BuiltIn_Print_Area_11_1_14_4">#REF!</definedName>
    <definedName name="Excel_BuiltIn_Print_Area_10_1_27">#REF!</definedName>
    <definedName name="DOLLARS1">#REF!</definedName>
    <definedName name="___hxb1">#REF!</definedName>
    <definedName name="_______out2">#REF!</definedName>
    <definedName name="Excel_BuiltIn_Print_Area_8_1_20_27">#REF!</definedName>
    <definedName name="ss6_st_w">#REF!</definedName>
    <definedName name="__DAT12">#REF!</definedName>
    <definedName name="Bidder_Quote_Ref_No">#REF!</definedName>
    <definedName localSheetId="8" name="BVJIOJ8FYEMF8">#REF!</definedName>
    <definedName name="hotwo">#REF!</definedName>
    <definedName localSheetId="8" name="____SS402">#REF!</definedName>
    <definedName name="Excel_BuiltIn_Print_Area_11_1_5_4">#REF!</definedName>
    <definedName name="CED_SW">#REF!</definedName>
    <definedName name="Excel_BuiltIn_Print_Area_16_1_1_5_4">#REF!</definedName>
    <definedName name="Metal20mm">#REF!</definedName>
    <definedName name="us_cd">#REF!</definedName>
    <definedName name="_____SC01">#REF!</definedName>
    <definedName name="Excel_BuiltIn_Print_Area_16_1_7_27">#REF!</definedName>
    <definedName name="中操ｹｰﾌﾞﾙ処理室">#REF!</definedName>
    <definedName name="fme">#REF!</definedName>
    <definedName name="EM_020_18">#REF!</definedName>
    <definedName name="Excel_BuiltIn_Print_Titles_8">#REF!</definedName>
    <definedName name="Excel_BuiltIn_Print_Area_16_1_1_17_27">#REF!</definedName>
    <definedName name="p1mcc6">#REF!</definedName>
    <definedName name="bhs">#REF!</definedName>
    <definedName name="dcrw">#REF!</definedName>
    <definedName name="Excel_BuiltIn_Print_Area_7_1_1_7">#REF!</definedName>
    <definedName name="_DET6">#REF!</definedName>
    <definedName name="_T143300">#REF!</definedName>
    <definedName name="_HE07">#REF!</definedName>
    <definedName name="Excel_BuiltIn_Print_Area_4_1_1_1_27">#REF!</definedName>
    <definedName name="x2x">#REF!</definedName>
    <definedName name="XRefCopy40">#REF!</definedName>
    <definedName name="Excel_BuiltIn_Print_Area_5_1_1_9_16">#REF!</definedName>
    <definedName name="__new1">#REF!</definedName>
    <definedName name="Excel_BuiltIn_Print_Area_17_1_1">#REF!</definedName>
    <definedName name="Excel_BuiltIn_Print_Area_12_1_10_2">#REF!</definedName>
    <definedName name="ss9_st_f">#REF!</definedName>
    <definedName name="Excel_BuiltIn_Print_Area_9_1_2_2">#REF!</definedName>
    <definedName name="T">#REF!</definedName>
    <definedName name="Excel_BuiltIn_Print_Area_7_1_1_9_27">#REF!</definedName>
    <definedName name="Value38">#REF!</definedName>
    <definedName name="Excel_BuiltIn_Print_Area_16_1_1_13_16">#REF!</definedName>
    <definedName name="pIup.1">#REF!</definedName>
    <definedName name="Excel_BuiltIn_Print_Area_8_1_10_27">#REF!</definedName>
    <definedName name="Excel_BuiltIn_Print_Titles_4_1_1_2">#REF!</definedName>
    <definedName name="lcabbbc">#REF!</definedName>
    <definedName name="월별영업">#REF!</definedName>
    <definedName name="Excel_BuiltIn_Print_Area_4_1_9_2">#REF!</definedName>
    <definedName name="Value47">#REF!</definedName>
    <definedName name="SS_Avg_OCL">#REF!</definedName>
    <definedName name="EM_008_16">#REF!</definedName>
    <definedName name="____SS406">#REF!</definedName>
    <definedName name="Excel_BuiltIn_Print_Area_28_17_4">#REF!</definedName>
    <definedName name="EM_073_18">#REF!</definedName>
    <definedName name="Excel_BuiltIn_Print_Area_6_1_20_2">#REF!</definedName>
    <definedName name="_1___123Graph_ACHART_1">#REF!</definedName>
    <definedName name="Do">#REF!</definedName>
    <definedName name="Excel_BuiltIn_Print_Area_3_1_20_2">#REF!</definedName>
    <definedName name="_____________________________________________dol6">#REF!</definedName>
    <definedName name="CURR_LIST">#REF!</definedName>
    <definedName name="IE_OI_Cust">#REF!</definedName>
    <definedName name="_________________TAB1">#REF!</definedName>
    <definedName name="Excel_BuiltIn_Print_Area_29_15_16">#REF!</definedName>
    <definedName name="___RE220">#REF!</definedName>
    <definedName name="Excel_BuiltIn_Print_Area_16_1_16_4">#REF!</definedName>
    <definedName name="___hfi8">#REF!</definedName>
    <definedName name="_g66666">#REF!</definedName>
    <definedName name="Excel_BuiltIn_Print_Area_13_1_13">#REF!</definedName>
    <definedName name="rrammv">#REF!</definedName>
    <definedName name="___xlnm.Print_Titles_7">#REF!</definedName>
    <definedName name="__hfi6">#REF!</definedName>
    <definedName localSheetId="8" name="TEs">#REF!</definedName>
    <definedName name="_____SC12">#REF!</definedName>
    <definedName name="Engg_charges">#REF!</definedName>
    <definedName name="Excel_BuiltIn_Print_Area_15_1_12">#REF!</definedName>
    <definedName name="ipu">#REF!</definedName>
    <definedName name="_rcu2">#REF!</definedName>
    <definedName name="____Ki2">#REF!</definedName>
    <definedName name="Excel_BuiltIn_Print_Area_5_1_1_7_27">#REF!</definedName>
    <definedName name="Excel_BuiltIn_Print_Area_12_1_1_1_1">#REF!</definedName>
    <definedName name="____5___123Graph_BCHART_1">#REF!</definedName>
    <definedName name="sfmisce_idr">#REF!</definedName>
    <definedName name="____DAT11">#REF!</definedName>
    <definedName name="__A2">#REF!</definedName>
    <definedName name="TTDI">#REF!</definedName>
    <definedName name="MVAR80">#REF!</definedName>
    <definedName name="XRefCopy29">#REF!</definedName>
    <definedName name="dcrwk5">#REF!</definedName>
    <definedName name="EM_057_17">#REF!</definedName>
    <definedName name="Excel_BuiltIn_Print_Area_8_1_6">#REF!</definedName>
    <definedName name="fo">#REF!</definedName>
    <definedName name="__cli5">#REF!</definedName>
    <definedName name="Excel_BuiltIn_Print_Area_14_1_1_27">#REF!</definedName>
    <definedName name="XRefPaste6">#REF!</definedName>
    <definedName name="ss6_fuel_w">#REF!</definedName>
    <definedName name="Full_Print">#REF!</definedName>
    <definedName name="EM_007_6">#REF!</definedName>
    <definedName name="_______m35">#REF!</definedName>
    <definedName name="_16Excel_BuiltIn_Print_Area_3_1_1">#REF!</definedName>
    <definedName name="EM_005_18">#REF!</definedName>
    <definedName name="_________Ki2">#REF!</definedName>
    <definedName name="EH_001_14">#REF!</definedName>
    <definedName name="SPAR">#REF!</definedName>
    <definedName name="Excel_BuiltIn_Print_Area_29_8">#REF!</definedName>
    <definedName name="_A5">#REF!</definedName>
    <definedName name="Excel_BuiltIn_Print_Titles_19">#REF!</definedName>
    <definedName name="width_of_cover_slab">#REF!</definedName>
    <definedName name="Excel_BuiltIn_Print_Area_11_1_10_27">#REF!</definedName>
    <definedName name="_______ml3">#REF!</definedName>
    <definedName name="____vr1">#REF!</definedName>
    <definedName name="_PAN2">#REF!</definedName>
    <definedName name="Charges_of_road_roller">#REF!</definedName>
    <definedName name="____hfi8">#REF!</definedName>
    <definedName name="_vr1">#REF!</definedName>
    <definedName name="_tl2">#REF!</definedName>
    <definedName name="lmcsmsb.g">#REF!</definedName>
    <definedName name="Es___13">#REF!</definedName>
    <definedName name="Excel_BuiltIn_Print_Area_16_1_8_4">#REF!</definedName>
    <definedName name="Excel_BuiltIn_Print_Area_12_1_10_16">#REF!</definedName>
    <definedName name="EM_002_15">#REF!</definedName>
    <definedName name="MPwr_Percent">#REF!</definedName>
    <definedName name="mld">#REF!</definedName>
    <definedName name="dgp">#REF!</definedName>
    <definedName name="_____________________________________in18900">#REF!</definedName>
    <definedName name="Excel_BuiltIn_Print_Area_6_1_15">#REF!</definedName>
    <definedName name="___________xlnm.Print_Area_13">#REF!</definedName>
    <definedName name="________SAP11">#REF!</definedName>
    <definedName name="Excel_BuiltIn_Print_Area_5_5_16">#REF!</definedName>
    <definedName localSheetId="8" name="MainRelay">#REF!</definedName>
    <definedName name="Excel_BuiltIn_Print_Area_4_1_1_7_27">#REF!</definedName>
    <definedName name="Excel_BuiltIn_Print_Area_5_1_13_2">#REF!</definedName>
    <definedName name="Excel_BuiltIn_Print_Area_3_1_12_27">#REF!</definedName>
    <definedName name="_KWS3">#REF!</definedName>
    <definedName name="Excel_BuiltIn_Print_Area_8_1_1_7_16">#REF!</definedName>
    <definedName name="FIT">#REF!</definedName>
    <definedName name="__xlnm.Print_Titles_2">#REF!</definedName>
    <definedName name="Exrate">#REF!</definedName>
    <definedName name="___________________________dol6">#REF!</definedName>
    <definedName name="EM_018_13">#REF!</definedName>
    <definedName name="Excel_BuiltIn_Print_Area_12_1_1_8_4">#REF!</definedName>
    <definedName name="SS_ANWC">#REF!</definedName>
    <definedName name="XRefPaste38Row">#REF!</definedName>
    <definedName name="EM_011_2">#REF!</definedName>
    <definedName name="sfinsul_usd">#REF!</definedName>
    <definedName name="EM_001_13">#REF!</definedName>
    <definedName localSheetId="8" name="Excel_BuiltIn_Print_Area_5_1">#REF!</definedName>
    <definedName name="p1lift">#REF!</definedName>
    <definedName name="dcrwk12">#REF!</definedName>
    <definedName name="DEM">#REF!</definedName>
    <definedName name="______Hso3">#REF!</definedName>
    <definedName name="EM_006_13">#REF!</definedName>
    <definedName name="Excel_BuiltIn_Print_Area_5_1_9">#REF!</definedName>
    <definedName name="tamil">#REF!</definedName>
    <definedName name="vij">#REF!</definedName>
    <definedName name="Excel_BuiltIn_Print_Area_5_2_16">#REF!</definedName>
    <definedName name="popop">#REF!</definedName>
    <definedName name="_066">#REF!</definedName>
    <definedName name="OGPTL">#REF!</definedName>
    <definedName name="Excel_BuiltIn_Print_Area_12_1_13_27">#REF!</definedName>
    <definedName name="XRefCopy52">#REF!</definedName>
    <definedName name="EH_002_6">#REF!</definedName>
    <definedName localSheetId="8" name="_">#REF!</definedName>
    <definedName name="__ml33">#REF!</definedName>
    <definedName name="XRefCopy22">#REF!</definedName>
    <definedName name="Excel_BuiltIn_Print_Area_17_1_1_15_4">#REF!</definedName>
    <definedName name="Excel_BuiltIn_Print_Area_29_15_2">#REF!</definedName>
    <definedName name="qw">#REF!</definedName>
    <definedName name="ANNEX2">#REF!</definedName>
    <definedName name="Excel_BuiltIn_Print_Area_16_1_5_27">#REF!</definedName>
    <definedName name="___PB1">#REF!</definedName>
    <definedName name="ttttrrrrrrrr">#REF!</definedName>
    <definedName name="XRefPaste23Row">#REF!</definedName>
    <definedName name="swd_fi">#REF!</definedName>
    <definedName name="cstvat">#REF!</definedName>
    <definedName name="BD1_Meas2">#REF!</definedName>
    <definedName name="XRefPaste21Row">#REF!</definedName>
    <definedName name="___ZS2">#REF!</definedName>
    <definedName name="HEATER_DATA">#REF!</definedName>
    <definedName name="ACCESS">#REF!</definedName>
    <definedName name="_______6___123Graph_CCHART_1">#REF!</definedName>
    <definedName name="Excel_BuiltIn_Print_Area_11_1_11_2">#REF!</definedName>
    <definedName name="Thickness_of_side_wall">#REF!</definedName>
    <definedName name="Excel_BuiltIn_Print_Area_12_1_1_16_16">#REF!</definedName>
    <definedName name="Excel_BuiltIn_Print_Area_14_1_3_4">#REF!</definedName>
    <definedName name="_________mm1">#REF!</definedName>
    <definedName name="Clearance">#REF!</definedName>
    <definedName name="Lx___0">#REF!</definedName>
    <definedName name="ANNEXURE4A">#REF!</definedName>
    <definedName name="TL_COI">#REF!</definedName>
    <definedName name="BD1TransLogic2">#REF!</definedName>
    <definedName localSheetId="8" name="Cf">#REF!</definedName>
    <definedName name="CONTENTS">#REF!</definedName>
    <definedName name="XRefCopy55">#REF!</definedName>
    <definedName name="nitin">#REF!</definedName>
    <definedName name="_LAR500">#REF!</definedName>
    <definedName name="Excel_BuiltIn_Print_Area_2_1_1_1_3_2">#REF!</definedName>
    <definedName name="_____dol6">#REF!</definedName>
    <definedName localSheetId="8" name="__123Graph_D">#REF!</definedName>
    <definedName name="_SV7042">#REF!</definedName>
    <definedName name="_____eth2">#REF!</definedName>
    <definedName name="EM_028_15">#REF!</definedName>
    <definedName name="TL_ANWC">#REF!</definedName>
    <definedName name="Excel_BuiltIn_Print_Area_8_1_8_2">#REF!</definedName>
    <definedName name="KU">#REF!</definedName>
    <definedName name="Excel_BuiltIn_Print_Area_12_1_16_27">#REF!</definedName>
    <definedName name="Excel_BuiltIn_Print_Area_3_4">#REF!</definedName>
    <definedName name="_____SC02">#REF!</definedName>
    <definedName name="Excel_BuiltIn_Print_Area_17_1_16_16">#REF!</definedName>
    <definedName localSheetId="8" name="H___0">#REF!</definedName>
    <definedName name="hyio">#REF!</definedName>
    <definedName name="n1y">#REF!</definedName>
    <definedName name="Excel_BuiltIn_Print_Area_10_1_13_27">#REF!</definedName>
    <definedName name="Excel_BuiltIn_Print_Titles_20">#REF!</definedName>
    <definedName name="Excel_BuiltIn_Print_Area_5_1_15_4">#REF!</definedName>
    <definedName name="XRefPaste29Row">#REF!</definedName>
    <definedName name="Excel_BuiltIn_Print_Area_28_5_16">#REF!</definedName>
    <definedName name="간경3">#REF!</definedName>
    <definedName name="Excel_BuiltIn_Print_Area_13_1_8_4">#REF!</definedName>
    <definedName name="M35cement">#REF!</definedName>
    <definedName name="It">#REF!</definedName>
    <definedName name="ter_vapi">#REF!</definedName>
    <definedName name="__A9">#REF!</definedName>
    <definedName name="risk1">#REF!</definedName>
    <definedName name="EM_033_7">#REF!</definedName>
    <definedName name="Excel_BuiltIn_Print_Area_8_1_1_1">#REF!</definedName>
    <definedName name="manday1___11">#REF!</definedName>
    <definedName name="QV_P">#REF!</definedName>
    <definedName name="Excel_BuiltIn_Print_Area_3_1_1_1_4_1">#REF!</definedName>
    <definedName name="____________________________________________iv19000">#REF!</definedName>
    <definedName name="sd">#REF!</definedName>
    <definedName name="_RE48">#REF!</definedName>
    <definedName name="EM_030_17">#REF!</definedName>
    <definedName name="__xlnm.Print_Area_2">#REF!</definedName>
    <definedName name="EM_009_2">#REF!</definedName>
    <definedName name="SS_AM">#REF!</definedName>
    <definedName name="A01AC">#REF!</definedName>
    <definedName name="______dol12">#REF!</definedName>
    <definedName name="______DET4">#REF!</definedName>
    <definedName name="Excel_BuiltIn_Print_Area_5_1_20_27">#REF!</definedName>
    <definedName name="_______DET1">#REF!</definedName>
    <definedName name="Excel_BuiltIn_Print_Area_5_1_1_20">#REF!</definedName>
    <definedName name="Excel_BuiltIn_Print_Titles_2_1">#REF!</definedName>
    <definedName name="Excel_BuiltIn_Print_Area_28_3_27">#REF!</definedName>
    <definedName name="A01DATA">#REF!</definedName>
    <definedName name="z2at">#REF!</definedName>
    <definedName name="CAPA11">#REF!</definedName>
    <definedName name="Excel_BuiltIn_Print_Area_10_1_2_2_1">#REF!</definedName>
    <definedName name="Excel_BuiltIn_Print_Area_2_1_1_1_11_2">#REF!</definedName>
    <definedName name="Excel_BuiltIn_Print_Area_7_1_15">#REF!</definedName>
    <definedName name="_9__123Graph_CCHART_1">#REF!</definedName>
    <definedName name="bat_det">#REF!</definedName>
    <definedName name="Excel_BuiltIn_Print_Area_2_1_5">#REF!</definedName>
    <definedName name="kt">#REF!</definedName>
    <definedName name="part">#REF!</definedName>
    <definedName name="EM_034_18">#REF!</definedName>
    <definedName name="taa">#REF!</definedName>
    <definedName localSheetId="8" name="Tres">#REF!</definedName>
    <definedName name="Excel_BuiltIn_Print_Area_28_6_27">#REF!</definedName>
    <definedName localSheetId="8" name="Spl">#REF!</definedName>
    <definedName name="_15__123Graph_CCHART_1">#REF!</definedName>
    <definedName name="XRefPaste3Row">#REF!</definedName>
    <definedName name="Excel_BuiltIn_Print_Area_3_1_7_2">#REF!</definedName>
    <definedName name="PAR">#REF!</definedName>
    <definedName name="SS_AGWC">#REF!</definedName>
    <definedName name="_____SAP1">#REF!</definedName>
    <definedName name="Fin_charges">#REF!</definedName>
    <definedName name="___________Ki1">#REF!</definedName>
    <definedName name="__Rl1">#REF!</definedName>
    <definedName name="EM_001_9">#REF!</definedName>
    <definedName name="Excel_BuiltIn_Print_Area_12_1_15_27">#REF!</definedName>
    <definedName name="Excel_BuiltIn_Print_Area_6_1_1">#REF!</definedName>
    <definedName name="__xlnm.Print_Area_5">#REF!</definedName>
    <definedName name="Excel_BuiltIn_Print_Area_5_1_1_7_4">#REF!</definedName>
    <definedName name="EM_014_12">#REF!</definedName>
    <definedName name="EM_005_5">#REF!</definedName>
    <definedName name="sds">#REF!</definedName>
    <definedName name="__2__123Graph_BCHART_1">#REF!</definedName>
    <definedName name="_Hso3">#REF!</definedName>
    <definedName name="Excel_BuiltIn_Print_Area_6_1_10_16">#REF!</definedName>
    <definedName name="fww">#REF!</definedName>
    <definedName name="______DAT10">#REF!</definedName>
    <definedName name="GG">#REF!</definedName>
    <definedName name="_____________________________xlnm.Print_Titles_1">#REF!</definedName>
    <definedName name="RECORD">#REF!</definedName>
    <definedName name="EM_010_11">#REF!</definedName>
    <definedName name="TransportTypeName">#REF!</definedName>
    <definedName name="INFRP">#REF!</definedName>
    <definedName name="Excel_BuiltIn_Print_Area_7_1_1_2_4">#REF!</definedName>
    <definedName name="__xlnm.Print_Area_9">#REF!</definedName>
    <definedName name="INT">#REF!</definedName>
    <definedName localSheetId="5" name="PERSONAL_TRANSPORT">#REF!</definedName>
    <definedName name="Bx___0">#REF!</definedName>
    <definedName name="Excel_BuiltIn_Print_Area_4_1_7_27">#REF!</definedName>
    <definedName name="Excel_BuiltIn_Print_Area_1_1_1_4">#REF!</definedName>
    <definedName name="sfew_usd">#REF!</definedName>
    <definedName name="_____rt1">#REF!</definedName>
    <definedName name="DATE">#REF!</definedName>
    <definedName name="Excel_BuiltIn_Print_Area_8_1_1_15_16">#REF!</definedName>
    <definedName name="_______________________________________xlnm.Print_Titles_1">#REF!</definedName>
    <definedName name="Manday_Rate">#REF!</definedName>
    <definedName name="XRefCopy18Row">#REF!</definedName>
    <definedName name="Excel_BuiltIn_Print_Area_5_8_27">#REF!</definedName>
    <definedName name="Excel_BuiltIn_Print_Area_3_1_20_16">#REF!</definedName>
    <definedName name="__A91614">#REF!</definedName>
    <definedName name="temp1">#REF!</definedName>
    <definedName name="Qi___13">#REF!</definedName>
    <definedName name="__ZS2">#REF!</definedName>
    <definedName name="SPEC_25">#REF!</definedName>
    <definedName name="Excel_BuiltIn_Print_Area_10_1_17">#REF!</definedName>
    <definedName name="___________________dol6">#REF!</definedName>
    <definedName name="_____SC03">#REF!</definedName>
    <definedName name="dukhan">#REF!</definedName>
    <definedName name="bps">#REF!</definedName>
    <definedName name="Excel_BuiltIn_Print_Area_3_1_1_1_1_4_1">#REF!</definedName>
    <definedName name="fn">#REF!</definedName>
    <definedName name="TL_ANFA">#REF!</definedName>
    <definedName name="_________5___123Graph_BCHART_1">#REF!</definedName>
    <definedName name="_____Hso3">#REF!</definedName>
    <definedName name="autofill_data">#REF!</definedName>
    <definedName name="Excel_BuiltIn_Print_Area_16_1_16_1">#REF!</definedName>
    <definedName name="EM_012_16">#REF!</definedName>
    <definedName name="Excel_BuiltIn_Print_Area_17_1_11_2">#REF!</definedName>
    <definedName name="____xlnm.Print_Area_4">#REF!</definedName>
    <definedName name="RPRTOT500">#REF!</definedName>
    <definedName name="REE">#REF!</definedName>
    <definedName name="Personal">#REF!</definedName>
    <definedName name="Excel_BuiltIn_Print_Area_6_1_7_4">#REF!</definedName>
    <definedName name="Excel_BuiltIn_Print_Area_12_1_1_20_4">#REF!</definedName>
    <definedName name="KET">#REF!</definedName>
    <definedName name="Uo">#REF!</definedName>
    <definedName name="_17Excel_BuiltIn_Print_Area_2_1_1_1_1">#REF!</definedName>
    <definedName name="bp">#REF!</definedName>
    <definedName name="MANU4">#REF!</definedName>
    <definedName name="Excel_BuiltIn_Print_Titles_1">#REF!</definedName>
    <definedName name="CRB">#REF!</definedName>
    <definedName name="XRefCopy33">#REF!</definedName>
    <definedName name="idb">#REF!</definedName>
    <definedName localSheetId="8" name="_A">#REF!</definedName>
    <definedName name="_T141000">#REF!</definedName>
    <definedName name="GMR">#REF!</definedName>
    <definedName name="Excel_BuiltIn_Print_Area_2_1_37">#REF!</definedName>
    <definedName name="IDA">#REF!</definedName>
    <definedName name="BEN">#REF!</definedName>
    <definedName name="A9____0">#REF!</definedName>
    <definedName name="_________9__123Graph_CCHART_1">#REF!</definedName>
    <definedName name="Excel_BuiltIn_Print_Area_5_1_1_5_27">#REF!</definedName>
    <definedName name="______A655600">#REF!</definedName>
    <definedName name="Excel_BuiltIn_Print_Area_2_1_1_1_13_27">#REF!</definedName>
    <definedName name="______SS408">#REF!</definedName>
    <definedName name="L_Mazdoor_Skilled">#REF!</definedName>
    <definedName name="Excel_BuiltIn_Print_Area_11_1_9_27">#REF!</definedName>
    <definedName name="Zch">#REF!</definedName>
    <definedName name="___aoc4">#REF!</definedName>
    <definedName name="SWH_">#REF!</definedName>
    <definedName name="Excel_BuiltIn_Print_Area_4_1_13">#REF!</definedName>
    <definedName name="__________________________________________dol6">#REF!</definedName>
    <definedName name="________3____123Graph_CCHART_1">#REF!</definedName>
    <definedName name="______col33">#REF!</definedName>
    <definedName name="_Wr3">#REF!</definedName>
    <definedName name="wind_pressure">#REF!</definedName>
    <definedName name="_18Excel_BuiltIn_Print_Titles_5_1_1">#REF!</definedName>
    <definedName name="___a999999">#REF!</definedName>
    <definedName name="__________________________________________iv19000">#REF!</definedName>
    <definedName name="_____SC26">#REF!</definedName>
    <definedName name="SS_Dec">#REF!</definedName>
    <definedName name="____________dol12">#REF!</definedName>
    <definedName name="Excel_BuiltIn_Print_Area_14_1_5_27">#REF!</definedName>
    <definedName name="EM_005_6">#REF!</definedName>
    <definedName name="EM_015_18">#REF!</definedName>
    <definedName name="Excel_BuiltIn_Print_Area_12_1_1_14_27">#REF!</definedName>
    <definedName name="Excel_BuiltIn_Print_Area_17_1_2">#REF!</definedName>
    <definedName name="Excel_BuiltIn_Print_Area_4_1_1_1_1_1_1_1_1_1_1_1_1">#REF!</definedName>
    <definedName name="_pp1">#REF!</definedName>
    <definedName name="cur">#REF!</definedName>
    <definedName name="Discount">#REF!</definedName>
    <definedName name="___________________xlnm.Print_Titles_1">#REF!</definedName>
    <definedName name="Group4">#REF!</definedName>
    <definedName name="_AXX7">#REF!</definedName>
    <definedName name="_Tk1">#REF!</definedName>
    <definedName name="BD1StateCost">#REF!</definedName>
    <definedName name="dff">#REF!</definedName>
    <definedName localSheetId="8" name="SQRT__1___0.6___1.0">#REF!</definedName>
    <definedName name="____________________________dol12">#REF!</definedName>
    <definedName name="inr">#REF!</definedName>
    <definedName name="OSF">#REF!</definedName>
    <definedName name="EM_071_14">#REF!</definedName>
    <definedName name="Excel_BuiltIn_Print_Area_11_1_13_27">#REF!</definedName>
    <definedName name="Excel_BuiltIn_Print_Area_9_1_12">#REF!</definedName>
    <definedName name="T3_">#REF!</definedName>
    <definedName name="Excel_BuiltIn_Print_Area_13_1_17_4">#REF!</definedName>
    <definedName name="______iv19000">#REF!</definedName>
    <definedName name="Excel_BuiltIn_Print_Area_5_1_1_14_4">#REF!</definedName>
    <definedName name="FIN_CHARGE">#REF!</definedName>
    <definedName name="_qty3">#REF!</definedName>
    <definedName name="_______aoc2">#REF!</definedName>
    <definedName name="___LAR220">#REF!</definedName>
    <definedName name="IndicesRange">#REF!</definedName>
    <definedName name="SS_Avg_VC">#REF!</definedName>
    <definedName name="m8_gt_v">#REF!</definedName>
    <definedName name="_____A655600">#REF!</definedName>
    <definedName name="DASD">#REF!</definedName>
    <definedName name="EM_027_3">#REF!</definedName>
    <definedName name="Excel_BuiltIn_Print_Area_17_1_1_8">#REF!</definedName>
    <definedName name="Excel_BuiltIn_Print_Area_12_1_9_2">#REF!</definedName>
    <definedName name="_____Vf2">#REF!</definedName>
    <definedName name="Value18">#REF!</definedName>
    <definedName name="Valuation_Date">#REF!</definedName>
    <definedName name="_RE112">#REF!</definedName>
    <definedName name="EH_002_14">#REF!</definedName>
    <definedName name="mugab">#REF!</definedName>
    <definedName name="p1apcc3">#REF!</definedName>
    <definedName name="Nx">#REF!</definedName>
    <definedName name="m2_hrsg_w">#REF!</definedName>
    <definedName name="XREF_COLUMN_3">#REF!</definedName>
    <definedName name="printarea">#REF!</definedName>
    <definedName name="haj">#REF!</definedName>
    <definedName localSheetId="8" name="_______SS404">#REF!</definedName>
    <definedName name="frierect">#REF!</definedName>
    <definedName name="_2___123Graph_BCHART_1">#REF!</definedName>
    <definedName name="_______9__123Graph_CCHART_1">#REF!</definedName>
    <definedName name="______xlnm.Print_Area_6">#REF!</definedName>
    <definedName name="req">#REF!</definedName>
    <definedName name="XRefCopy31">#REF!</definedName>
    <definedName name="A.T.RAJAN">#REF!</definedName>
    <definedName name="Excel_BuiltIn_Print_Area_2_1_1_10_16">#REF!</definedName>
    <definedName name="conductor_E2">#REF!</definedName>
    <definedName name="_RE68">#REF!</definedName>
    <definedName name="_________________________________________iv19000">#REF!</definedName>
    <definedName name="_______VS2004">#REF!</definedName>
    <definedName name="____hxd1">#REF!</definedName>
    <definedName name="Thickness_of_cover_slab_end">#REF!</definedName>
    <definedName name="job___11">#REF!</definedName>
    <definedName name="DaRwk9">#REF!</definedName>
    <definedName name="Excel_BuiltIn_Print_Titles_20_1_27">#REF!</definedName>
    <definedName name="EM_071_16">#REF!</definedName>
    <definedName name="rousd">#REF!</definedName>
    <definedName name="scrb">#REF!</definedName>
    <definedName name="SECTION">#REF!</definedName>
    <definedName name="ss8_civ_f">#REF!</definedName>
    <definedName name="Z2t">#REF!</definedName>
    <definedName name="Excel_BuiltIn_Print_Area_7_1_3_2">#REF!</definedName>
    <definedName name="XRefCopy24">#REF!</definedName>
    <definedName name="Staff_and_IDL_Ave">#REF!</definedName>
    <definedName name="_________tab2">#REF!</definedName>
    <definedName name="EM_018_7">#REF!</definedName>
    <definedName name="EM_017_16">#REF!</definedName>
    <definedName name="HSS">#REF!</definedName>
    <definedName name="EM_025_9">#REF!</definedName>
    <definedName name="__DET4">#REF!</definedName>
    <definedName name="kjlk">#REF!</definedName>
    <definedName name="________________________________________xlnm.Print_Area_3">#REF!</definedName>
    <definedName name="MANHOUR">#REF!</definedName>
    <definedName name="PLMON">#REF!</definedName>
    <definedName name="Distrib">#REF!</definedName>
    <definedName name="Excel_BuiltIn_Print_Area_16_1_15_4">#REF!</definedName>
    <definedName name="QFC_FIMspa">#REF!</definedName>
    <definedName name="____SC04">#REF!</definedName>
    <definedName name="____run2">#REF!</definedName>
    <definedName name="_mcl132">#REF!</definedName>
    <definedName name="EM_037_18">#REF!</definedName>
    <definedName name="Hiway">#REF!</definedName>
    <definedName name="det_act_plan">#REF!</definedName>
    <definedName name="pt">#REF!</definedName>
    <definedName name="ㄷ1">#REF!</definedName>
    <definedName name="a__Labour_charges_for_cutting_bending__welding_including_materials.">#REF!</definedName>
    <definedName name="_________aoc3">#REF!</definedName>
    <definedName name="E_90LE">#REF!</definedName>
    <definedName name="DATA16">#REF!</definedName>
    <definedName name="Excel_BuiltIn_Print_Area_4_1_1_14_16">#REF!</definedName>
    <definedName name="Excel_BuiltIn_Print_Area_5_27">#REF!</definedName>
    <definedName name="Excel_BuiltIn_Print_Area_4_1_1_1_1_1_1">#REF!</definedName>
    <definedName name="Excel_BuiltIn_Print_Area_29_17_2">#REF!</definedName>
    <definedName name="EM_061_15">#REF!</definedName>
    <definedName name="Excel_BuiltIn_Print_Area_3_1_10_16">#REF!</definedName>
    <definedName name="Excel_BuiltIn_Print_Area_8_1_1_15_2">#REF!</definedName>
    <definedName name="m2_civ_v">#REF!</definedName>
    <definedName name="_______A65537">#REF!</definedName>
    <definedName name="Value24">#REF!</definedName>
    <definedName name="_SC02">#REF!</definedName>
    <definedName name="FDNBOQ132">#REF!</definedName>
    <definedName name="Excel_BuiltIn_Print_Area_12_1_3_2">#REF!</definedName>
    <definedName name="___cli5">#REF!</definedName>
    <definedName name="TEST5">#REF!</definedName>
    <definedName name="docu">#REF!</definedName>
    <definedName name="Excel_BuiltIn_Print_Area_16_1_17_27">#REF!</definedName>
    <definedName name="__DET2">#REF!</definedName>
    <definedName name="cprp_mandola">#REF!</definedName>
    <definedName name="Excel_BuiltIn_Print_Area_14_1_9">#REF!</definedName>
    <definedName name="_8_____123Graph_BCHART_1">#REF!</definedName>
    <definedName name="XRefPaste34Row">#REF!</definedName>
    <definedName name="______xlnm._FilterDatabase_1">#REF!</definedName>
    <definedName name="Frr">#REF!</definedName>
    <definedName name="_11________123Graph_BCHART_1">#REF!</definedName>
    <definedName name="_SC23">#REF!</definedName>
    <definedName name="p">#REF!</definedName>
    <definedName name="EM_031_16">#REF!</definedName>
    <definedName name="EP_WC_Key">#REF!</definedName>
    <definedName name="Excel_BuiltIn_Print_Area_6_1_5_4">#REF!</definedName>
    <definedName name="_______mm1">#REF!</definedName>
    <definedName name="addf">#REF!</definedName>
    <definedName name="mile">#REF!</definedName>
    <definedName localSheetId="8" name="printarea">#REF!</definedName>
    <definedName localSheetId="8" name="BuiltIn_Print_Titles___0___0">#REF!</definedName>
    <definedName name="____VS2004">#REF!</definedName>
    <definedName name="_13_3_0Criteria">#REF!</definedName>
    <definedName name="_SAP7">#REF!</definedName>
    <definedName name="Excel_BuiltIn_Print_Area_11_1_20_16">#REF!</definedName>
    <definedName name="Excel_BuiltIn_Print_Area_3_1_13_2">#REF!</definedName>
    <definedName name="M30cement">#REF!</definedName>
    <definedName name="clod">#REF!</definedName>
    <definedName name="EP_Avg_Stk">#REF!</definedName>
    <definedName name="Excel_BuiltIn_Print_Area_15_1_10">#REF!</definedName>
    <definedName name="ss9_gtax_f">#REF!</definedName>
    <definedName name="Value49">#REF!</definedName>
    <definedName name="EM_016_5">#REF!</definedName>
    <definedName name="EM_015_1">#REF!</definedName>
    <definedName name="Value1">#REF!</definedName>
    <definedName name="L___13">#REF!</definedName>
    <definedName name="idto">#REF!</definedName>
    <definedName name="Excel_BuiltIn_Print_Area_13_1_2_27">#REF!</definedName>
    <definedName name="_SS405">#REF!</definedName>
    <definedName name="Excel_BuiltIn_Print_Area_29_14_2">#REF!</definedName>
    <definedName name="Excel_BuiltIn_Print_Area_3_1_1_1_16">#REF!</definedName>
    <definedName name="risk3">#REF!</definedName>
    <definedName name="_______________________________xlnm.Print_Area_2">#REF!</definedName>
    <definedName name="Excel_BuiltIn_Print_Area_2_1_1_17_27">#REF!</definedName>
    <definedName name="BID_CURR">#REF!</definedName>
    <definedName localSheetId="8" name="Excel_BuiltIn_Print_Area_1_1_1">#REF!</definedName>
    <definedName name="MAT_SALE">#REF!</definedName>
    <definedName name="__DAT13">#REF!</definedName>
    <definedName name="se">#REF!</definedName>
    <definedName name="EM_022_5">#REF!</definedName>
    <definedName name="_____DAT7">#REF!</definedName>
    <definedName name="etwet">#REF!</definedName>
    <definedName name="Excel_BuiltIn_Print_Area_3_1_1_1_1_1">#REF!</definedName>
    <definedName name="key">#REF!</definedName>
    <definedName name="Excel_BuiltIn_Print_Area_29_8_2">#REF!</definedName>
    <definedName name="Excel_BuiltIn_Print_Area_3_1_10_27">#REF!</definedName>
    <definedName name="_____Hra2">#REF!</definedName>
    <definedName name="_WC3">#REF!</definedName>
    <definedName name="Excel_BuiltIn_Print_Area_3_1_16_4">#REF!</definedName>
    <definedName localSheetId="8" name="__LMH1">#REF!</definedName>
    <definedName name="________________________________________in18900">#REF!</definedName>
    <definedName name="col_I">#REF!</definedName>
    <definedName localSheetId="8" name="Excel_BuiltIn_Print_Titles_18">#REF!</definedName>
    <definedName name="Spl">#REF!</definedName>
    <definedName name="Gw">#REF!</definedName>
    <definedName name="Excel_BuiltIn_Print_Area_12_1_16">#REF!</definedName>
    <definedName name="TL_PBIT">#REF!</definedName>
    <definedName name="___SAP2">#REF!</definedName>
    <definedName name="_________6___123Graph_CCHART_1">#REF!</definedName>
    <definedName name="EM_036_11">#REF!</definedName>
    <definedName name="us_n">#REF!</definedName>
    <definedName name="Excel_BuiltIn_Print_Area_7_1_1_6">#REF!</definedName>
    <definedName name="XRefCopy20Row">#REF!</definedName>
    <definedName name="XRefPaste24">#REF!</definedName>
    <definedName name="_21Excel_BuiltIn_Print_Area_5_1_1_1_1">#REF!</definedName>
    <definedName name="EM_010_14">#REF!</definedName>
    <definedName name="_______DAT9">#REF!</definedName>
    <definedName name="______mm2">#REF!</definedName>
    <definedName name="Excel_BuiltIn_Print_Area_10_27">#REF!</definedName>
    <definedName name="WAHAB_ALI">#REF!</definedName>
    <definedName name="Excel_BuiltIn_Print_Area_10_1_1_16">#REF!</definedName>
    <definedName name="CDT">#REF!</definedName>
    <definedName name="LA">#REF!</definedName>
    <definedName name="BuiltIn_Print_Titles___0___0___0___0___0___0">#REF!</definedName>
    <definedName name="EM_030_16">#REF!</definedName>
    <definedName name="EM_033_12">#REF!</definedName>
    <definedName name="____________________________in18900">#REF!</definedName>
    <definedName name="________4___123Graph_ACHART_1">#REF!</definedName>
    <definedName name="Excel_BuiltIn_Print_Area_9_1_8_4">#REF!</definedName>
    <definedName name="sek">#REF!</definedName>
    <definedName name="________SAP7">#REF!</definedName>
    <definedName name="Excel_BuiltIn_Print_Area_2_1_9_16">#REF!</definedName>
    <definedName name="Mcws">#REF!</definedName>
    <definedName name="EH_001_3">#REF!</definedName>
    <definedName name="EM_029_15">#REF!</definedName>
    <definedName name="TUES1">#REF!</definedName>
    <definedName name="w1_w2">#REF!</definedName>
    <definedName name="Excel_BuiltIn_Print_Area_12_1_1_9_27">#REF!</definedName>
    <definedName name="___________________xlnm.Print_Area_3">#REF!</definedName>
    <definedName name="SS_Jun">#REF!</definedName>
    <definedName name="____col33">#REF!</definedName>
    <definedName name="_______________xlnm.Print_Area_13">#REF!</definedName>
    <definedName name="Excel_BuiltIn_Print_Area_4_1_1_16_4">#REF!</definedName>
    <definedName name="alarms">#REF!</definedName>
    <definedName name="________xlnm._FilterDatabase_5">#REF!</definedName>
    <definedName name="eq_index">#REF!</definedName>
    <definedName name="diff1">#REF!</definedName>
    <definedName name="Excel_BuiltIn_Print_Area_7_1_1_17_27">#REF!</definedName>
    <definedName name="Excel_BuiltIn_Print_Area_14_1_3">#REF!</definedName>
    <definedName name="NONSOR">#REF!</definedName>
    <definedName name="Excel_BuiltIn_Print_Area_12_1_20_27">#REF!</definedName>
    <definedName name="QFC_FIMh">#REF!</definedName>
    <definedName name="_________xlnm.Print_Titles_1">#REF!</definedName>
    <definedName name="_________________________________________________________in18900">#REF!</definedName>
    <definedName name="TERM">#REF!</definedName>
    <definedName name="swi">#REF!</definedName>
    <definedName name="gs">#REF!</definedName>
    <definedName name="hright">#REF!</definedName>
    <definedName name="XRefCopy11">#REF!</definedName>
    <definedName name="XRefPaste7">#REF!</definedName>
    <definedName name="___________________________________xlnm.Print_Area_3">#REF!</definedName>
    <definedName name="EM_063_16">#REF!</definedName>
    <definedName name="sumana">#REF!</definedName>
    <definedName name="Excel_BuiltIn_Print_Area_4_1_1_20">#REF!</definedName>
    <definedName name="___________b111121">#REF!</definedName>
    <definedName name="_dol11">#REF!</definedName>
    <definedName name="BD1StateLogic">#REF!</definedName>
    <definedName name="yearcounter_E2">#REF!</definedName>
    <definedName name="Excel_BuiltIn_Print_Titles_11">#REF!</definedName>
    <definedName name="PAN">#REF!</definedName>
    <definedName name="Rs___0">#REF!</definedName>
    <definedName name="OTHERS">#REF!</definedName>
    <definedName name="EM_032_17">#REF!</definedName>
    <definedName name="Excel_BuiltIn_Print_Area_8_1_12_2">#REF!</definedName>
    <definedName name="M1x">#REF!</definedName>
    <definedName name="_Wc1">#REF!</definedName>
    <definedName name="Value40">#REF!</definedName>
    <definedName name="_0">#REF!</definedName>
    <definedName name="EM_033_5">#REF!</definedName>
    <definedName name="Excel_BuiltIn_Print_Area_7_1_17">#REF!</definedName>
    <definedName name="oper.">#REF!</definedName>
    <definedName name="WLP">#REF!</definedName>
    <definedName name="Excel_BuiltIn_Print_Area_17_1_1_12_16">#REF!</definedName>
    <definedName name="SG">#REF!</definedName>
    <definedName name="______cem124">#REF!</definedName>
    <definedName name="Excel_BuiltIn_Print_Area_8_1_7_27">#REF!</definedName>
    <definedName name="XRefPaste10">#REF!</definedName>
    <definedName name="__________________b111121">#REF!</definedName>
    <definedName name="Excel_BuiltIn_Print_Area_11_1_6_16">#REF!</definedName>
    <definedName name="hai">#REF!</definedName>
    <definedName name="dsdsdls">#REF!</definedName>
    <definedName name="___1____123Graph_ACHART_1">#REF!</definedName>
    <definedName name="Excel_BuiltIn_Print_Area_5_1_11_4">#REF!</definedName>
    <definedName name="_DAT5">#REF!</definedName>
    <definedName name="Excel_BuiltIn_Print_Area_15_1_1_1_16">#REF!</definedName>
    <definedName name="Excel_BuiltIn_Print_Area_3_16">#REF!</definedName>
    <definedName name="PAGED">#REF!</definedName>
    <definedName name="type">#REF!</definedName>
    <definedName name="ss6_ec_w">#REF!</definedName>
    <definedName name="XRefCopy21Row">#REF!</definedName>
    <definedName name="nb">#REF!</definedName>
    <definedName name="Excel_BuiltIn_Print_Area_16_1_1_13">#REF!</definedName>
    <definedName name="EM_035_12">#REF!</definedName>
    <definedName name="_______DAT11">#REF!</definedName>
    <definedName name="___TR220">#REF!</definedName>
    <definedName name="_tl1">#REF!</definedName>
    <definedName name="dvv">#REF!</definedName>
    <definedName name="Excel_BuiltIn_Print_Area_29_1_27">#REF!</definedName>
    <definedName name="Excel_BuiltIn_Print_Area_4_1_1_27">#REF!</definedName>
    <definedName name="MC_FFRHW">#REF!</definedName>
    <definedName name="__________VS2004">#REF!</definedName>
    <definedName name="___xlnm.Print_Area_3">#REF!</definedName>
    <definedName name="_Regression_X">#REF!</definedName>
    <definedName name="A2____0">#REF!</definedName>
    <definedName name="Excel_BuiltIn_Print_Area_3_1_6_27">#REF!</definedName>
    <definedName name="vertical_col_and_corner_walls">#REF!</definedName>
    <definedName name="__SS407">#REF!</definedName>
    <definedName name="EM_018_17">#REF!</definedName>
    <definedName name="Lr___13">#REF!</definedName>
    <definedName name="Excel_BuiltIn_Print_Area_7_1_1_3_4">#REF!</definedName>
    <definedName name="Excel_BuiltIn_Print_Area_2_1_1_10">#REF!</definedName>
    <definedName name="Excel_BuiltIn_Print_Area_4_1_15_27">#REF!</definedName>
    <definedName name="EM_016_17">#REF!</definedName>
    <definedName name="_1____________123Graph_ACHART_1">#REF!</definedName>
    <definedName name="Excel_BuiltIn_Print_Area_5_1_6_27">#REF!</definedName>
    <definedName name="Excel_BuiltIn_Print_Area_11_1_2_16">#REF!</definedName>
    <definedName name="_RE88">#REF!</definedName>
    <definedName name="AICC_Serv">#REF!</definedName>
    <definedName name="EM_003_8">#REF!</definedName>
    <definedName name="Excel_BuiltIn_Print_Area_17_1_1_9_2">#REF!</definedName>
    <definedName name="Excel_BuiltIn_Print_Area_11_1_12_2">#REF!</definedName>
    <definedName name="Package4">#REF!</definedName>
    <definedName name="_________mm2">#REF!</definedName>
    <definedName name="DAY_ENGR">#REF!</definedName>
    <definedName name="Excel_BuiltIn_Print_Area_16_1_2">#REF!</definedName>
    <definedName name="Excel_BuiltIn_Print_Area_16_1_6_16">#REF!</definedName>
    <definedName name="ttt">#REF!</definedName>
    <definedName name="Excel_BuiltIn_Print_Area_28_17">#REF!</definedName>
    <definedName name="ss421_424">#REF!</definedName>
    <definedName name="UNION">#REF!</definedName>
    <definedName localSheetId="5" name="PRINT_AREA_MI">#REF!</definedName>
    <definedName name="_col33">#REF!</definedName>
    <definedName name="METTL">#REF!</definedName>
    <definedName name="__aba2">#REF!</definedName>
    <definedName name="Excel_BuiltIn_Print_Area_4_1_4">#REF!</definedName>
    <definedName name="m8_cond_f">#REF!</definedName>
    <definedName name="Excel_BuiltIn_Print_Area_10_1_5_1">#REF!</definedName>
    <definedName name="Excel_BuiltIn_Print_Area_14_1_11_27">#REF!</definedName>
    <definedName name="Excel_BuiltIn_Print_Area_2_1_15_27">#REF!</definedName>
    <definedName name="Excel_BuiltIn_Print_Area_17_1_7_16">#REF!</definedName>
    <definedName name="Excel_BuiltIn_Print_Area_16_1_4">#REF!</definedName>
    <definedName name="Excel_BuiltIn_Print_Area_10_1_5_16">#REF!</definedName>
    <definedName name="__DAT6">#REF!</definedName>
    <definedName name="EM_031_17">#REF!</definedName>
    <definedName name="Excel_BuiltIn_Print_Area_4_1_6_27">#REF!</definedName>
    <definedName name="MARGIN_MAN">#REF!</definedName>
    <definedName name="Excel_BuiltIn_Print_Area_13_1_7_2">#REF!</definedName>
    <definedName name="Total_Mth">#REF!</definedName>
    <definedName name="Rt">#REF!</definedName>
    <definedName localSheetId="8" name="SOR">#REF!</definedName>
    <definedName name="Winform">#REF!</definedName>
    <definedName name="___A6">#REF!</definedName>
    <definedName name="Excel_BuiltIn_Print_Area_4_1_1_7_4">#REF!</definedName>
    <definedName name="Excel_BuiltIn_Print_Area_8_1_1_2_27">#REF!</definedName>
    <definedName name="EM_060_14">#REF!</definedName>
    <definedName name="____________IDA1">#REF!</definedName>
    <definedName name="Ag___13">#REF!</definedName>
    <definedName name="Excel_BuiltIn_Print_Area_5_13_2">#REF!</definedName>
    <definedName name="Excel_BuiltIn_Print_Area_15_1_20_2">#REF!</definedName>
    <definedName name="EM_067_15">#REF!</definedName>
    <definedName name="Excel_BuiltIn_Print_Area_4_1_1_12_2">#REF!</definedName>
    <definedName name="CATSYU">#REF!</definedName>
    <definedName name="plsdata">#REF!</definedName>
    <definedName name="XRefCopy41">#REF!</definedName>
    <definedName name="EM_053_18">#REF!</definedName>
    <definedName name="EP_Sep">#REF!</definedName>
    <definedName name="RTU1_AI">#REF!</definedName>
    <definedName name="_hxa2">#REF!</definedName>
    <definedName name="Excel_BuiltIn_Print_Area_15_1_13_4">#REF!</definedName>
    <definedName name="____________m234">#REF!</definedName>
    <definedName name="Excel_BuiltIn_Print_Area_2_1_1_1_1_16">#REF!</definedName>
    <definedName name="DR.46">#REF!</definedName>
    <definedName name="sraica">#REF!</definedName>
    <definedName name="p1ht">#REF!</definedName>
    <definedName name="___DET2">#REF!</definedName>
    <definedName name="___pan1">#REF!</definedName>
    <definedName name="EM_037_17">#REF!</definedName>
    <definedName name="Excel_BuiltIn_Print_Area_4_1_14_16">#REF!</definedName>
    <definedName name="Excel_BuiltIn_Print_Area_16_1_20_4">#REF!</definedName>
    <definedName name="TL_Sales_Cust">#REF!</definedName>
    <definedName name="ys">#REF!</definedName>
    <definedName name="______DAT9">#REF!</definedName>
    <definedName name="Excel_BuiltIn_Print_Area_8_1_15">#REF!</definedName>
    <definedName name="mode_list">#REF!</definedName>
    <definedName name="__A14">#REF!</definedName>
    <definedName name="WELDERS">#REF!</definedName>
    <definedName name="IE_Dec">#REF!</definedName>
    <definedName name="VPN">#REF!</definedName>
    <definedName name="ESC_SER">#REF!</definedName>
    <definedName name="Excel_BuiltIn_Print_Area_6_1_3_16">#REF!</definedName>
    <definedName name="_6___123Graph_CCHART_1">#REF!</definedName>
    <definedName name="CONCABLES">#REF!</definedName>
    <definedName name="__________________________________________________dol12">#REF!</definedName>
    <definedName name="MF">#REF!</definedName>
    <definedName name="_________________A91614">#REF!</definedName>
    <definedName name="_4C_x">#REF!</definedName>
    <definedName name="EM_033_8">#REF!</definedName>
    <definedName name="___________________________________________xlnm.Print_Area_1">#REF!</definedName>
    <definedName name="Excel_BuiltIn_Print_Area_13_1_8_27">#REF!</definedName>
    <definedName name="_____________________xlnm.Print_Area_2">#REF!</definedName>
    <definedName name="Cost__Ex_Works">#REF!</definedName>
    <definedName name="Excel_BuiltIn_Print_Area_16_1_16_2">#REF!</definedName>
    <definedName name="DL_Mobi_Mth">#REF!</definedName>
    <definedName name="________A91614">#REF!</definedName>
    <definedName name="THK">#REF!</definedName>
    <definedName name="____SAP7">#REF!</definedName>
    <definedName name="Excel_BuiltIn_Print_Area_5_12_2">#REF!</definedName>
    <definedName name="Excel_BuiltIn_Print_Area_10_1_17_4">#REF!</definedName>
    <definedName name="sfdism_usd">#REF!</definedName>
    <definedName name="ㅁ1">#REF!</definedName>
    <definedName name="Excel_BuiltIn_Print_Area_10_1_1">#REF!</definedName>
    <definedName name="SPEC_22">#REF!</definedName>
    <definedName name="_____cth2">#REF!</definedName>
    <definedName name="tcap">#REF!</definedName>
    <definedName localSheetId="8" name="_sch9">#REF!</definedName>
    <definedName name="LUMEN___13">#REF!</definedName>
    <definedName name="PRDump">#REF!</definedName>
    <definedName name="Excel_BuiltIn_Print_Area_16_1_16_16">#REF!</definedName>
    <definedName name="fgf">#REF!</definedName>
    <definedName name="_HM7">#REF!</definedName>
    <definedName name="cost">#REF!</definedName>
    <definedName name="_SC13">#REF!</definedName>
    <definedName name="______SAP6">#REF!</definedName>
    <definedName name="Excel_BuiltIn_Print_Area_10_1_17_2">#REF!</definedName>
    <definedName name="Excel_BuiltIn_Print_Area_8_1_12_4">#REF!</definedName>
    <definedName name="___CVT500">#REF!</definedName>
    <definedName name="COND">#REF!</definedName>
    <definedName name="EM_037_8">#REF!</definedName>
    <definedName name="_______xlnm.Print_Area_6">#REF!</definedName>
    <definedName name="_CCT220">#REF!</definedName>
    <definedName name="ngl4tank">#REF!</definedName>
    <definedName name="Excel_BuiltIn_Print_Area_17_1_1_5_16">#REF!</definedName>
    <definedName name="EM_013_13">#REF!</definedName>
    <definedName name="Vc">#REF!</definedName>
    <definedName name="SC">#REF!</definedName>
    <definedName name="______________mm3">#REF!</definedName>
    <definedName name="Lp">#REF!</definedName>
    <definedName name="Excel_BuiltIn__FilterDatabase_1_18_27">#REF!</definedName>
    <definedName name="_2____123Graph_BCHART_1">#REF!</definedName>
    <definedName name="Excel_BuiltIn_Print_Area_17_1_1_13_4">#REF!</definedName>
    <definedName name="直接経費">#REF!</definedName>
    <definedName name="EM_008_14">#REF!</definedName>
    <definedName name="tcr">#REF!</definedName>
    <definedName name="p1mcc7">#REF!</definedName>
    <definedName name="RSP">#REF!</definedName>
    <definedName name="_SC05">#REF!</definedName>
    <definedName localSheetId="8" name="___xlnm.Print_Area_2">#REF!</definedName>
    <definedName name="EM_023_10">#REF!</definedName>
    <definedName name="______xlnm.Print_Titles_4">#REF!</definedName>
    <definedName name="Excel_BuiltIn_Print_Area_9_1_11">#REF!</definedName>
    <definedName name="EM_019_18">#REF!</definedName>
    <definedName name="nameofbags">#REF!</definedName>
    <definedName name="____Ism3">#REF!</definedName>
    <definedName name="Excel_BuiltIn_Print_Area_12_1_1_20_2">#REF!</definedName>
    <definedName name="EP_Apr">#REF!</definedName>
    <definedName name="______xlnm._FilterDatabase_5">#REF!</definedName>
    <definedName name="Excel_BuiltIn_Print_Area_4_1_7">#REF!</definedName>
    <definedName name="_________2____123Graph_BCHART_1">#REF!</definedName>
    <definedName name="______________________________dol12">#REF!</definedName>
    <definedName name="____SC02">#REF!</definedName>
    <definedName name="QFC_USDspa">#REF!</definedName>
    <definedName name="CPM">#REF!</definedName>
    <definedName name="Cover_blocks">#REF!</definedName>
    <definedName name="bct">#REF!</definedName>
    <definedName localSheetId="8" name="asfsd">#REF!</definedName>
    <definedName name="K___13">#REF!</definedName>
    <definedName name="pIsmsb.2">#REF!</definedName>
    <definedName name="topn">#REF!</definedName>
    <definedName name="전체">#REF!</definedName>
    <definedName name="ガス_灯油混焼">#REF!</definedName>
    <definedName name="IE_OCL">#REF!</definedName>
    <definedName name="__tab2">#REF!</definedName>
    <definedName name="_cli2">#REF!</definedName>
    <definedName name="MVAR50">#REF!</definedName>
    <definedName name="POR">#REF!</definedName>
    <definedName name="Tm">#REF!</definedName>
    <definedName name="Var._IGP_M_Dez_00">#REF!</definedName>
    <definedName name="MaxLegDownWard">#REF!</definedName>
    <definedName name="____________________________dol6">#REF!</definedName>
    <definedName name="___________________dol12">#REF!</definedName>
    <definedName name="OPTION6">#REF!</definedName>
    <definedName name="_______lb2">#REF!</definedName>
    <definedName name="EM_016_15">#REF!</definedName>
    <definedName name="abb">#REF!</definedName>
    <definedName name="Excel_BuiltIn_Print_Area_16_1_1_2_16">#REF!</definedName>
    <definedName name="EP_ANFE">#REF!</definedName>
    <definedName name="______dev9947">#REF!</definedName>
    <definedName name="Excel_BuiltIn_Print_Area_29_20_2">#REF!</definedName>
    <definedName name="ORDERSTATUS">#REF!</definedName>
    <definedName name="EM_065_15">#REF!</definedName>
    <definedName name="XRefCopy45">#REF!</definedName>
    <definedName name="Excel_BuiltIn_Print_Area_2_1_3_16">#REF!</definedName>
    <definedName name="Excel_BuiltIn_Print_Area_14_1_13">#REF!</definedName>
    <definedName name="Structure">#REF!</definedName>
    <definedName name="EP_Stk">#REF!</definedName>
    <definedName name="PATH4">#REF!</definedName>
    <definedName localSheetId="8" name="Xl___0">#REF!</definedName>
    <definedName name="CCB">#REF!</definedName>
    <definedName name="___del1">#REF!</definedName>
    <definedName name="_12Excel_BuiltIn_Print_Area_2_1_1_1">#REF!</definedName>
    <definedName name="EM_022_11">#REF!</definedName>
    <definedName name="IntroParagraph">#REF!</definedName>
    <definedName name="__dev9947">#REF!</definedName>
    <definedName localSheetId="8" name="abcd">#REF!</definedName>
    <definedName name="___tl2">#REF!</definedName>
    <definedName name="____mcl132">#REF!</definedName>
    <definedName name="SS_ANFA">#REF!</definedName>
    <definedName name="Excel_BuiltIn_Print_Area_8_1_15_4">#REF!</definedName>
    <definedName name="___Ki2">#REF!</definedName>
    <definedName name="IDLandS_Peak_MP">#REF!</definedName>
    <definedName localSheetId="8" name="sheet1___13">#REF!</definedName>
    <definedName name="____cdd2">#REF!</definedName>
    <definedName name="Ny___0">#REF!</definedName>
    <definedName name="Value4">#REF!</definedName>
    <definedName name="Excel_BuiltIn_Print_Area_10_1_10_2">#REF!</definedName>
    <definedName name="_________________________xlnm.Print_Titles_1">#REF!</definedName>
    <definedName name="__7_____123Graph_ACHART_1">#REF!</definedName>
    <definedName name="cdfgdf">#REF!</definedName>
    <definedName name="Excel_BuiltIn_Print_Area_8_1_14">#REF!</definedName>
    <definedName name="_RE500">#REF!</definedName>
    <definedName name="AREA_000">#REF!</definedName>
    <definedName name="_12____123Graph_CCHART_1">#REF!</definedName>
    <definedName name="EM_007_11">#REF!</definedName>
    <definedName name="__________________iv19000">#REF!</definedName>
    <definedName name="ge_1">#REF!</definedName>
    <definedName name="kweys">#REF!</definedName>
    <definedName name="_pdp2">#REF!</definedName>
    <definedName name="CAPA77">#REF!</definedName>
    <definedName name="EMB">#REF!</definedName>
    <definedName localSheetId="8" name="idyn">#REF!</definedName>
    <definedName name="Excel_BuiltIn_Print_Area_7_1_16_1">#REF!</definedName>
    <definedName name="p1mcc3">#REF!</definedName>
    <definedName name="XREF_COLUMN_4">#REF!</definedName>
    <definedName name="Zps">#REF!</definedName>
    <definedName name="mcmc3502i1bc8f">#REF!</definedName>
    <definedName name="Excel_BuiltIn_Print_Area_28_8_27">#REF!</definedName>
    <definedName name="EM_003_14">#REF!</definedName>
    <definedName name="Sim1_Param">#REF!</definedName>
    <definedName name="Select">#REF!</definedName>
    <definedName name="SF">#REF!</definedName>
    <definedName name="Wg">#REF!</definedName>
    <definedName name="p1mltp">#REF!</definedName>
    <definedName name="Excel_BuiltIn_Print_Area_28_16">#REF!</definedName>
    <definedName name="EM_012_2">#REF!</definedName>
    <definedName name="___CVT220">#REF!</definedName>
    <definedName name="BOSS">#REF!</definedName>
    <definedName name="EH_002_3">#REF!</definedName>
    <definedName name="_____run3">#REF!</definedName>
    <definedName name="EM_063_14">#REF!</definedName>
    <definedName name="Excel_BuiltIn_Print_Area_3_1_6">#REF!</definedName>
    <definedName name="_6______123Graph_CCHART_1">#REF!</definedName>
    <definedName localSheetId="8" name="Result61">#REF!</definedName>
    <definedName name="XRefPaste26">#REF!</definedName>
    <definedName name="___________m234">#REF!</definedName>
    <definedName name="_hxf1">#REF!</definedName>
    <definedName name="A4____0">#REF!</definedName>
    <definedName name="EM_011_16">#REF!</definedName>
    <definedName name="RPROT500">#REF!</definedName>
    <definedName name="_6__123Graph_ACHART_1">#REF!</definedName>
    <definedName name="Excel_BuiltIn_Print_Area_20_1_2">#REF!</definedName>
    <definedName name="COU">#REF!</definedName>
    <definedName name="hiuhiuhpoho">#REF!</definedName>
    <definedName localSheetId="8" name="___SS403">#REF!</definedName>
    <definedName name="EM_001_16">#REF!</definedName>
    <definedName name="Excel_BuiltIn__FilterDatabase_14_16">#REF!</definedName>
    <definedName name="___xlnm.Print_Area_1">#REF!</definedName>
    <definedName name="XRefPaste32">#REF!</definedName>
    <definedName name="TL_MAT_Sales">#REF!</definedName>
    <definedName name="__sdf1">#REF!</definedName>
    <definedName name="a2a">#REF!</definedName>
    <definedName name="TL_May">#REF!</definedName>
    <definedName localSheetId="8" name="va">#REF!</definedName>
    <definedName name="EM_012_8">#REF!</definedName>
    <definedName name="mltf">#REF!</definedName>
    <definedName name="PAGE2">#REF!</definedName>
    <definedName name="_____xlnm.Print_Area_6">#REF!</definedName>
    <definedName name="___hxc1">#REF!</definedName>
    <definedName name="Excel_BuiltIn_Print_Area_15_1_8_16">#REF!</definedName>
    <definedName name="Excel_BuiltIn_Print_Area_5_1_11">#REF!</definedName>
    <definedName name="Key_EP">#REF!</definedName>
    <definedName name="Excel_BuiltIn_Print_Area_12_1_1_1_1_1">#REF!</definedName>
    <definedName name="job___12">#REF!</definedName>
    <definedName name="XRefPaste12Row">#REF!</definedName>
    <definedName name="EM_001_10">#REF!</definedName>
    <definedName name="Excel_BuiltIn_Print_Titles_6_1">#REF!</definedName>
    <definedName name="____xlnm.Print_Titles_1">#REF!</definedName>
    <definedName name="INFRP2">#REF!</definedName>
    <definedName name="XRefCopy1">#REF!</definedName>
    <definedName name="__xlnm.Print_Titles_7">#REF!</definedName>
    <definedName name="BD1TransEventLogic1">#REF!</definedName>
    <definedName name="Excel_BuiltIn_Print_Area_12_1_17">#REF!</definedName>
    <definedName name="_SS424">#REF!</definedName>
    <definedName name="Excel_BuiltIn_Print_Area_8_1_1_8_16">#REF!</definedName>
    <definedName name="kib">#REF!</definedName>
    <definedName name="____SS408">#REF!</definedName>
    <definedName name="EM_024_7">#REF!</definedName>
    <definedName name="Excel_BuiltIn__FilterDatabase_14_16_27">#REF!</definedName>
    <definedName name="____pan1">#REF!</definedName>
    <definedName name="TransportCharge">#REF!</definedName>
    <definedName name="ip">#REF!</definedName>
    <definedName name="_________A655600">#REF!</definedName>
    <definedName name="Excel_BuiltIn_Print_Area_9_1_2_16">#REF!</definedName>
    <definedName name="PANE3">#REF!</definedName>
    <definedName name="annex6_9">#REF!</definedName>
    <definedName name="Excel_BuiltIn_Print_Area_5_7_16">#REF!</definedName>
    <definedName name="SummaryNew">#REF!</definedName>
    <definedName name="ball">#REF!</definedName>
    <definedName name="EM_027_1">#REF!</definedName>
    <definedName name="____________b111121">#REF!</definedName>
    <definedName name="DR.56">#REF!</definedName>
    <definedName name="PRINT_AREA1">#REF!</definedName>
    <definedName name="CAPA444">#REF!</definedName>
    <definedName name="EM_015_13">#REF!</definedName>
    <definedName name="Excel_BuiltIn_Print_Area_2_1_1_13_27">#REF!</definedName>
    <definedName name="wqwqe">#REF!</definedName>
    <definedName name="_T143100">#REF!</definedName>
    <definedName name="Excel_BuiltIn_Print_Area_2_1_1_1_7_16">#REF!</definedName>
    <definedName name="i3phf">#REF!</definedName>
    <definedName name="Excel_BuiltIn_Print_Area_12_1_1_12_16">#REF!</definedName>
    <definedName name="___tl1">#REF!</definedName>
    <definedName name="ge">#REF!</definedName>
    <definedName name="Excel_BuiltIn_Print_Area_16_1_6_2">#REF!</definedName>
    <definedName name="uuu">#REF!</definedName>
    <definedName name="Excel_BuiltIn_Print_Area_14_1">#REF!</definedName>
    <definedName name="Excel_BuiltIn_Print_Area_17_1_1_5_27">#REF!</definedName>
    <definedName name="hh">#REF!</definedName>
    <definedName name="p1mcc10">#REF!</definedName>
    <definedName name="Excel_BuiltIn_Print_Area_15_1_14">#REF!</definedName>
    <definedName name="Excel_BuiltIn_Print_Area_2_1_1_2_4">#REF!</definedName>
    <definedName name="gamma">#REF!</definedName>
    <definedName name="Excel_BuiltIn_Print_Area_16_1_11_27">#REF!</definedName>
    <definedName name="Excel_BuiltIn_Print_Area_5_1_1_9_4">#REF!</definedName>
    <definedName name="Zh">#REF!</definedName>
    <definedName name="__________aoc4">#REF!</definedName>
    <definedName localSheetId="8" name="____SS403">#REF!</definedName>
    <definedName name="Excel_BuiltIn_Print_Area_28_16_1">#REF!</definedName>
    <definedName name="Excel_BuiltIn_Print_Area_4_1_1_17">#REF!</definedName>
    <definedName name="XRefCopy40Row">#REF!</definedName>
    <definedName name="Km___0">#REF!</definedName>
    <definedName name="BL4B">#REF!</definedName>
    <definedName name="Excel_BuiltIn_Print_Area_5_1_1_12_16">#REF!</definedName>
    <definedName name="IFB">#REF!</definedName>
    <definedName name="faultMVA">#REF!</definedName>
    <definedName name="sfsurvey_usd">#REF!</definedName>
    <definedName name="Excel_BuiltIn_Print_Area_12_1_1_2_27">#REF!</definedName>
    <definedName name="Excel_BuiltIn_Print_Area_5_1_3_2">#REF!</definedName>
    <definedName name="_______xlnm.Print_Area_11">#REF!</definedName>
    <definedName name="Breadth_of_cover_slab">#REF!</definedName>
    <definedName name="IE_Key">#REF!</definedName>
    <definedName name="EM_023_12">#REF!</definedName>
    <definedName name="Excel_BuiltIn_Print_Area_15_1_20_27">#REF!</definedName>
    <definedName name="dx_shape">#REF!</definedName>
    <definedName name="Excel_BuiltIn_Print_Area_5_1_13_4">#REF!</definedName>
    <definedName name="_aoc2">#REF!</definedName>
    <definedName name="___pp2">#REF!</definedName>
    <definedName name="___________________________xlnm.Print_Area_1">#REF!</definedName>
    <definedName name="Excel_BuiltIn_Print_Area_7_1_1_2_27">#REF!</definedName>
    <definedName name="EM_051_18">#REF!</definedName>
    <definedName name="Excel_BuiltIn_Print_Area_4_1_2_16">#REF!</definedName>
    <definedName name="___cem124">#REF!</definedName>
    <definedName name="Excel_BuiltIn_Print_Area_3_1_20">#REF!</definedName>
    <definedName name="_______DAT3">#REF!</definedName>
    <definedName name="Excel_BuiltIn_Print_Area_14_1_5_16">#REF!</definedName>
    <definedName name="Excel_BuiltIn_Print_Area_16_1_12">#REF!</definedName>
    <definedName name="XRefCopy30Row">#REF!</definedName>
    <definedName name="Vl">#REF!</definedName>
    <definedName name="EM_015_2">#REF!</definedName>
    <definedName name="__________________________________xlnm.Print_Area_3">#REF!</definedName>
    <definedName name="SCIENCE">#REF!</definedName>
    <definedName name="_ml33">#REF!</definedName>
    <definedName name="____________________________________________________dol6">#REF!</definedName>
    <definedName name="IE_OB_IU">#REF!</definedName>
    <definedName name="EM_074_15">#REF!</definedName>
    <definedName name="Ni">#REF!</definedName>
    <definedName name="__A1">#REF!</definedName>
    <definedName name="Excel_BuiltIn_Print_Area_15_1_5_2">#REF!</definedName>
    <definedName name="____Hso3">#REF!</definedName>
    <definedName localSheetId="8" name="A1____0">#REF!</definedName>
    <definedName name="________dol6">#REF!</definedName>
    <definedName localSheetId="8" name="__MAN1">#REF!</definedName>
    <definedName name="_SC7043">#REF!</definedName>
    <definedName name="Pay_Num">#REF!</definedName>
    <definedName name="FE">#REF!</definedName>
    <definedName name="EM_021_12">#REF!</definedName>
    <definedName name="BL2CCC">#REF!</definedName>
    <definedName name="____SC22">#REF!</definedName>
    <definedName name="_SS403">#REF!</definedName>
    <definedName name="AAAAAAAAA">#REF!</definedName>
    <definedName name="Excel_BuiltIn_Print_Area_10_1_5">#REF!</definedName>
    <definedName name="Excel_BuiltIn_Print_Area_7_1_9_27">#REF!</definedName>
    <definedName name="VANDEMATARAM">#REF!</definedName>
    <definedName name="_______A81614">#REF!</definedName>
    <definedName name="________a999999">#REF!</definedName>
    <definedName name="CABLE_G">#REF!</definedName>
    <definedName name="XREF_COLUMN_14">#REF!</definedName>
    <definedName name="wallthk">#REF!</definedName>
    <definedName name="XRefPaste16">#REF!</definedName>
    <definedName name="________________________________________________________iv19000">#REF!</definedName>
    <definedName name="__Wr3">#REF!</definedName>
    <definedName name="Excel_BuiltIn_Print_Area_28_10">#REF!</definedName>
    <definedName name="vrr">#REF!</definedName>
    <definedName localSheetId="8" name="_6Excel_BuiltIn_Print_Area_4_1_1_1_1_1">#REF!</definedName>
    <definedName name="Xl___13">#REF!</definedName>
    <definedName name="znDonnéesRelais">#REF!</definedName>
    <definedName localSheetId="8" name="ORDERSTATUS">#REF!</definedName>
    <definedName name="mcpc1i4f">#REF!</definedName>
    <definedName name="IE_Aug">#REF!</definedName>
    <definedName name="wqewe">#REF!</definedName>
    <definedName name="COS">#REF!</definedName>
    <definedName name="Excel_BuiltIn_Print_Area_16_1_8">#REF!</definedName>
    <definedName name="________________________________________dol6">#REF!</definedName>
    <definedName name="Excel_BuiltIn_Print_Area_6_1_6">#REF!</definedName>
    <definedName name="hed">#REF!</definedName>
    <definedName name="Z0t">#REF!</definedName>
    <definedName name="Excel_BuiltIn_Print_Area_2_1_1_1_6_16">#REF!</definedName>
    <definedName name="config1">#REF!</definedName>
    <definedName name="____________________dol12">#REF!</definedName>
    <definedName name="_13___123Graph_ACHART_1">#REF!</definedName>
    <definedName name="_HE09">#REF!</definedName>
    <definedName name="_5___123Graph_BCHART_1">#REF!</definedName>
    <definedName name="Excel_BuiltIn_Print_Area_12_1_1_20_27">#REF!</definedName>
    <definedName name="alpha_ed">#REF!</definedName>
    <definedName name="GDGSDGG">#REF!</definedName>
    <definedName name="_______________A71614">#REF!</definedName>
    <definedName name="needle">#REF!</definedName>
    <definedName name="_39Excel_BuiltIn_Print_Area_9_1">#REF!</definedName>
    <definedName name="Excel_BuiltIn_Print_Area_4_1_10_27">#REF!</definedName>
    <definedName name="alpha">#REF!</definedName>
    <definedName name="Excel_BuiltIn_Print_Area_17_1_1_14_27">#REF!</definedName>
    <definedName name="BD1DeltaT">#REF!</definedName>
    <definedName name="Rel.perm">#REF!</definedName>
    <definedName name="Lo">#REF!</definedName>
    <definedName name="Excel_BuiltIn_Print_Area_13_1_2_4">#REF!</definedName>
    <definedName name="Excel_BuiltIn_Print_Area_15_1_16_16">#REF!</definedName>
    <definedName name="gcr">#REF!</definedName>
    <definedName name="OTRY1">#REF!</definedName>
    <definedName name="________________________________________xlnm.Print_Titles_1">#REF!</definedName>
    <definedName name="______m234">#REF!</definedName>
    <definedName name="table1">#REF!</definedName>
    <definedName name="Excel_BuiltIn__FilterDatabase_50_27">#REF!</definedName>
    <definedName name="Overall">#REF!</definedName>
    <definedName name="_SAP10">#REF!</definedName>
    <definedName name="TL_Per_Key">#REF!</definedName>
    <definedName localSheetId="8" name="sssssssss">#REF!</definedName>
    <definedName name="Excel_BuiltIn_Print_Area_2_1_15">#REF!</definedName>
    <definedName name="mcl">#REF!</definedName>
    <definedName name="_____SAP6">#REF!</definedName>
    <definedName name="Excel_BuiltIn_Print_Area_16_1_1_2_2">#REF!</definedName>
    <definedName name="Excel_BuiltIn_Print_Area_12_1_1_15_2">#REF!</definedName>
    <definedName name="__________________________dol12">#REF!</definedName>
    <definedName name="Godavari">#REF!</definedName>
    <definedName name="EM_014_5">#REF!</definedName>
    <definedName name="Excel_BuiltIn_Print_Area_29_6_16">#REF!</definedName>
    <definedName name="Excel_BuiltIn_Print_Area_4_1_1_5_1">#REF!</definedName>
    <definedName name="I00.48">#REF!</definedName>
    <definedName name="EM_066_18">#REF!</definedName>
    <definedName name="DelDC">#REF!</definedName>
    <definedName name="Excel_BuiltIn_Print_Area_6_1_9">#REF!</definedName>
    <definedName name="EM_034_5">#REF!</definedName>
    <definedName name="Excel_BuiltIn_Print_Area_28_13_16">#REF!</definedName>
    <definedName name="ml33b2">#REF!</definedName>
    <definedName name="Excel_BuiltIn_Print_Area_16_1_17_16">#REF!</definedName>
    <definedName name="sfearthing_idr">#REF!</definedName>
    <definedName name="Excel_BuiltIn_Print_Area_17_1_1_3_2">#REF!</definedName>
    <definedName name="chandra">#REF!</definedName>
    <definedName name="Excel_BuiltIn_Print_Area_16_1_1_6_2">#REF!</definedName>
    <definedName name="__AXX7">#REF!</definedName>
    <definedName name="Excel_BuiltIn_Print_Area_16_1_16">#REF!</definedName>
    <definedName name="ex_joint">#REF!</definedName>
    <definedName name="Excel_BuiltIn_Print_Area_5_17_4">#REF!</definedName>
    <definedName name="Tav">#REF!</definedName>
    <definedName name="Excel_BuiltIn_Print_Area_11_1_17">#REF!</definedName>
    <definedName name="___xlnm.Print_Titles">#REF!</definedName>
    <definedName name="Excel_BuiltIn_Print_Area_17_1_16_4">#REF!</definedName>
    <definedName name="n2xx">#REF!</definedName>
    <definedName name="EM_030_3">#REF!</definedName>
    <definedName name="eun">#REF!</definedName>
    <definedName name="TL_Sales_IU">#REF!</definedName>
    <definedName name="_CTR220">#REF!</definedName>
    <definedName name="EM_018_1">#REF!</definedName>
    <definedName name="TD">#REF!</definedName>
    <definedName name="________________A71614">#REF!</definedName>
    <definedName name="tel">#REF!</definedName>
    <definedName name="_CBR220">#REF!</definedName>
    <definedName name="GrdLineMr">#REF!</definedName>
    <definedName name="Rse___0">#REF!</definedName>
    <definedName name="_aoc1">#REF!</definedName>
    <definedName name="___SC02">#REF!</definedName>
    <definedName name="EM_026_11">#REF!</definedName>
    <definedName name="Excel_BuiltIn_Print_Area_29_15_4">#REF!</definedName>
    <definedName name="Excel_BuiltIn_Print_Area_5_1_3">#REF!</definedName>
    <definedName name="Excel_BuiltIn_Print_Area_9_1_5_4">#REF!</definedName>
    <definedName name="_hxc1">#REF!</definedName>
    <definedName name="Excel_BuiltIn_Print_Area_12_1_1_13">#REF!</definedName>
    <definedName name="Excel_BuiltIn_Print_Area_17_1_1_7_16">#REF!</definedName>
    <definedName name="______xlnm.Print_Area_2">#REF!</definedName>
    <definedName name="Excel_BuiltIn_Print_Area_12_1_1_3">#REF!</definedName>
    <definedName name="globe">#REF!</definedName>
    <definedName name="EM_055_16">#REF!</definedName>
    <definedName name="Excel_BuiltIn_Print_Area_16_1_17_4">#REF!</definedName>
    <definedName name="Z2G">#REF!</definedName>
    <definedName name="__123Graph_XSTATPROG">#REF!</definedName>
    <definedName name="xs">#REF!</definedName>
    <definedName name="__drg2">#REF!</definedName>
    <definedName name="CT">#REF!</definedName>
    <definedName localSheetId="8" name="ktd">#REF!</definedName>
    <definedName name="__rt1">#REF!</definedName>
    <definedName name="Jabalpur">#REF!</definedName>
    <definedName name="RevTable">#REF!</definedName>
    <definedName name="전기계장">#REF!</definedName>
    <definedName name="____tl1">#REF!</definedName>
    <definedName name="___pfi1">#REF!</definedName>
    <definedName name="EM_069_18">#REF!</definedName>
    <definedName name="SS_Avg_Adv">#REF!</definedName>
    <definedName name="LTCG">#REF!</definedName>
    <definedName name="Excel_BuiltIn_Print_Area_2_1_1_20">#REF!</definedName>
    <definedName name="Excel_BuiltIn_Print_Area_14_1_16_16">#REF!</definedName>
    <definedName name="Excel_BuiltIn_Print_Area_5_1_1_13_2">#REF!</definedName>
    <definedName name="PCC">#REF!</definedName>
    <definedName name="EM_039_10">#REF!</definedName>
    <definedName name="GrphPlanSales">#REF!</definedName>
    <definedName name="_____xlnm._FilterDatabase_3">#REF!</definedName>
    <definedName name="Excel_BuiltIn_Print_Area_4_1_1_2">#REF!</definedName>
    <definedName name="Mhps">#REF!</definedName>
    <definedName name="EM_056_14">#REF!</definedName>
    <definedName name="Excel_BuiltIn_Print_Area_7_1_1_20_16">#REF!</definedName>
    <definedName name="__sig5">#REF!</definedName>
    <definedName name="ssa">#REF!</definedName>
    <definedName name="Excel_BuiltIn_Print_Area_3_1_1_1_1_1_1_1_1">#REF!</definedName>
    <definedName name="Excel_BuiltIn_Print_Titles_4_1_1_16">#REF!</definedName>
    <definedName name="__________________________________________________in18900">#REF!</definedName>
    <definedName name="________xlnm.Print_Area_5">#REF!</definedName>
    <definedName name="___________xlnm.Print_Area_2">#REF!</definedName>
    <definedName name="___xlnm.Print_Titles_1">#REF!</definedName>
    <definedName name="EP_Avg_OCL">#REF!</definedName>
    <definedName name="P_A">#REF!</definedName>
    <definedName name="WCT">#REF!</definedName>
    <definedName name="Print_Titles_2">#REF!</definedName>
    <definedName name="XREF_COLUMN_15">#REF!</definedName>
    <definedName name="__A81614">#REF!</definedName>
    <definedName name="EM_004_16">#REF!</definedName>
    <definedName name="Excel_BuiltIn_Print_Area_14_1_5">#REF!</definedName>
    <definedName name="FIM">#REF!</definedName>
    <definedName localSheetId="8" name="Mhpipd">#REF!</definedName>
    <definedName name="Excel_BuiltIn_Print_Area_20_1">#REF!</definedName>
    <definedName name="Excel_BuiltIn_Print_Area_17_1_1_10_27">#REF!</definedName>
    <definedName name="XRefPaste35Row">#REF!</definedName>
    <definedName name="_____dev9947">#REF!</definedName>
    <definedName name="__tl1">#REF!</definedName>
    <definedName name="ss6_gt_v">#REF!</definedName>
    <definedName name="__________________________________________xlnm.Print_Titles_1">#REF!</definedName>
    <definedName name="UNITA">#REF!</definedName>
    <definedName name="JEJS___0">#REF!</definedName>
    <definedName name="EM_011_13">#REF!</definedName>
    <definedName name="EM_023_4">#REF!</definedName>
    <definedName name="EM_035_4">#REF!</definedName>
    <definedName name="Excel_BuiltIn_Print_Area_9_1_14_2">#REF!</definedName>
    <definedName name="____LMH2">#REF!</definedName>
    <definedName name="_SAP2">#REF!</definedName>
    <definedName name="Enot">#REF!</definedName>
    <definedName name="Excel_BuiltIn_Print_Area_14_1_14_4">#REF!</definedName>
    <definedName name="Excel_BuiltIn_Print_Area_8_1_9_27">#REF!</definedName>
    <definedName name="Excel_BuiltIn_Print_Area_9_1_17_27">#REF!</definedName>
    <definedName name="SSDFF">#REF!</definedName>
    <definedName name="___________tab2">#REF!</definedName>
    <definedName name="___ZS1">#REF!</definedName>
    <definedName name="Lc___13">#REF!</definedName>
    <definedName name="basetrav">#REF!</definedName>
    <definedName name="Excel_BuiltIn_Print_Area_14_1_6_16">#REF!</definedName>
    <definedName name="Ref__EUS_632_FDN_001">#REF!</definedName>
    <definedName name="Excel_BuiltIn_Print_Area_7_1_1_17_16">#REF!</definedName>
    <definedName name="__________g1">#REF!</definedName>
    <definedName name="BOM_PR_TOT">#REF!</definedName>
    <definedName name="Et">#REF!</definedName>
    <definedName name="p1abbic">#REF!</definedName>
    <definedName name="m8_bop_v">#REF!</definedName>
    <definedName name="ANNEX4A">#REF!</definedName>
    <definedName name="rmcmsb.ups">#REF!</definedName>
    <definedName name="EM_057_14">#REF!</definedName>
    <definedName name="Excel_BuiltIn_Print_Area_16_1_1_10_27">#REF!</definedName>
    <definedName name="EM_016_9">#REF!</definedName>
    <definedName name="m2_gtax_f">#REF!</definedName>
    <definedName name="Excel_BuiltIn_Print_Area_12_1_1_10_16">#REF!</definedName>
    <definedName name="_BUB2">#REF!</definedName>
    <definedName name="Gravel_incl_transport">#REF!</definedName>
    <definedName name="TL_Jun">#REF!</definedName>
    <definedName name="______xlnm.Print_Area_5">#REF!</definedName>
    <definedName name="EM_025_7">#REF!</definedName>
    <definedName name="zngr">#REF!</definedName>
    <definedName name="___________mm2">#REF!</definedName>
    <definedName name="_P4">#REF!</definedName>
    <definedName name="QFC_OWN">#REF!</definedName>
    <definedName name="Isc">#REF!</definedName>
    <definedName name="Excel_BuiltIn_Print_Area_8_1_1_11_4">#REF!</definedName>
    <definedName name="MANU1">#REF!</definedName>
    <definedName name="Excel_BuiltIn_Print_Area_14_1_17_16">#REF!</definedName>
    <definedName name="Excel_BuiltIn_Print_Area_17_1_1_2_1">#REF!</definedName>
    <definedName name="XRefCopy56">#REF!</definedName>
    <definedName name="rewrwewe">#REF!</definedName>
    <definedName name="ss8_ic_w">#REF!</definedName>
    <definedName name="EM_010_10">#REF!</definedName>
    <definedName name="Wc">#REF!</definedName>
    <definedName name="RE_SIZE">#REF!</definedName>
    <definedName name="Excel_BuiltIn_Print_Area_4_1_2">#REF!</definedName>
    <definedName name="annexure_A">#REF!</definedName>
    <definedName name="Excel_BuiltIn_Print_Area_17_1_20">#REF!</definedName>
    <definedName name="db">#REF!</definedName>
    <definedName localSheetId="8" name="lm">#REF!</definedName>
    <definedName name="expense">#REF!</definedName>
    <definedName name="______Hra2">#REF!</definedName>
    <definedName name="ss6_ic_v">#REF!</definedName>
    <definedName name="____SC01">#REF!</definedName>
    <definedName name="CIF_ABB_local">#REF!</definedName>
    <definedName name="Zeq00.48">#REF!</definedName>
    <definedName name="Excel_BuiltIn_Print_Area_11_1_7_4">#REF!</definedName>
    <definedName name="shis">#REF!</definedName>
    <definedName name="_Hso2">#REF!</definedName>
    <definedName name="Excel_BuiltIn_Print_Area_9_1_2_1">#REF!</definedName>
    <definedName name="_____SAP5">#REF!</definedName>
    <definedName name="ToE_MATRIX">#REF!</definedName>
    <definedName name="___________________________________________xlnm.Print_Titles_1">#REF!</definedName>
    <definedName name="LBA">#REF!</definedName>
    <definedName name="Excel_BuiltIn_Print_Area_2_1_1_1_20">#REF!</definedName>
    <definedName name="ss9_e_w">#REF!</definedName>
    <definedName name="PLUG">#REF!</definedName>
    <definedName name="IE_Avg_WC_Key">#REF!</definedName>
    <definedName name="___xlnm.Print_Titles_4">#REF!</definedName>
    <definedName name="Excel_BuiltIn_Print_Area_2_1_14_27">#REF!</definedName>
    <definedName name="FIN_MAN">#REF!</definedName>
    <definedName name="Nyy">#REF!</definedName>
    <definedName name="Excel_BuiltIn_Print_Area_6_1_15_16">#REF!</definedName>
    <definedName name="________________A81614">#REF!</definedName>
    <definedName name="TEST14">#REF!</definedName>
    <definedName name="EP_MAT_Sales">#REF!</definedName>
    <definedName name="num2text">#REF!</definedName>
    <definedName name="Excel_BuiltIn_Print_Area_13_1_1_16">#REF!</definedName>
    <definedName name="________VS2004">#REF!</definedName>
    <definedName name="_8Excel_BuiltIn_Print_Area_4_1_1">#REF!</definedName>
    <definedName name="XRefCopy46">#REF!</definedName>
    <definedName name="____dol6">#REF!</definedName>
    <definedName name="Kw__50_kg">#REF!</definedName>
    <definedName name="va___0">#REF!</definedName>
    <definedName name="ChartData_Monthly">#REF!</definedName>
    <definedName name="EM_004_2">#REF!</definedName>
    <definedName name="Excel_BuiltIn_Print_Area_3_1_20_27">#REF!</definedName>
    <definedName name="Excel_BuiltIn_Print_Area_16_1_1">#REF!</definedName>
    <definedName localSheetId="8" name="_4Excel_BuiltIn_Print_Area_4_1_1_1">#REF!</definedName>
    <definedName name="___________________________xlnm.Print_Titles_1">#REF!</definedName>
    <definedName name="Value44">#REF!</definedName>
    <definedName name="______________dol12">#REF!</definedName>
    <definedName name="___Vf2">#REF!</definedName>
    <definedName name="____LMH1">#REF!</definedName>
    <definedName name="BuiltIn_Print_Area___0___0___0___0___0___0___0">#REF!</definedName>
    <definedName name="priced_end">#REF!</definedName>
    <definedName name="_Wr1">#REF!</definedName>
    <definedName name="EM_020_11">#REF!</definedName>
    <definedName name="mo">#REF!</definedName>
    <definedName name="TL_Avg_COI">#REF!</definedName>
    <definedName name="___________________________________________________in18900">#REF!</definedName>
    <definedName name="Type3">#REF!</definedName>
    <definedName name="____acs1">#REF!</definedName>
    <definedName name="a1a">#REF!</definedName>
    <definedName name="capex_config1">#REF!</definedName>
    <definedName name="Excel_BuiltIn_Print_Area_10_2">#REF!</definedName>
    <definedName name="_________________________________________dol6">#REF!</definedName>
    <definedName name="EM_020_5">#REF!</definedName>
    <definedName name="_rt3">#REF!</definedName>
    <definedName name="Commission">#REF!</definedName>
    <definedName name="Excel_BuiltIn_Print_Area_11_1_17_27">#REF!</definedName>
    <definedName name="___________aoc4">#REF!</definedName>
    <definedName name="ESo">#REF!</definedName>
    <definedName name="___xlnm._FilterDatabase_2">#REF!</definedName>
    <definedName name="____DAT4">#REF!</definedName>
    <definedName name="____________xlnm.Print_Area_2">#REF!</definedName>
    <definedName name="__1__123Graph_ACHART_1">#REF!</definedName>
    <definedName localSheetId="8" name="__xlnm.Print_Area_10">#REF!</definedName>
    <definedName name="Excel_BuiltIn_Print_Area_2_1_13_27">#REF!</definedName>
    <definedName name="Excel_BuiltIn_Print_Area_29_13_27">#REF!</definedName>
    <definedName name="Excel_BuiltIn_Print_Area_4_1_1_6">#REF!</definedName>
    <definedName name="p1ldb">#REF!</definedName>
    <definedName name="__rcu2">#REF!</definedName>
    <definedName name="_________________________________xlnm.Print_Titles_1">#REF!</definedName>
    <definedName name="exist">#REF!</definedName>
    <definedName name="___DAT14">#REF!</definedName>
    <definedName name="EM_018_10">#REF!</definedName>
    <definedName name="pc">#REF!</definedName>
    <definedName name="_1">#REF!</definedName>
    <definedName name="____sdf1">#REF!</definedName>
    <definedName name="Excel_BuiltIn_Print_Area_8_1_1_1_1_27">#REF!</definedName>
    <definedName name="Excel_BuiltIn_Print_Area_7_1_12_2">#REF!</definedName>
    <definedName name="sfmisc_usd">#REF!</definedName>
    <definedName name="XRefCopy8">#REF!</definedName>
    <definedName name="Excel_BuiltIn_Print_Area_5_1_20_4">#REF!</definedName>
    <definedName name="Dome1">#REF!</definedName>
    <definedName name="M9B_BS">#REF!</definedName>
    <definedName name="STEEL220">#REF!</definedName>
    <definedName name="M15_Metal20mm">#REF!</definedName>
    <definedName localSheetId="8" name="______xlnm.Print_Area_1">#REF!</definedName>
    <definedName name="Excel_BuiltIn_Print_Area_7_1_4">#REF!</definedName>
    <definedName name="TNEBJSR">#REF!</definedName>
    <definedName name="EM_035_8">#REF!</definedName>
    <definedName name="_fos1">#REF!</definedName>
    <definedName name="Es">#REF!</definedName>
    <definedName name="__xlnm._FilterDatabase_1">#REF!</definedName>
    <definedName name="USD">#REF!</definedName>
    <definedName name="Excel_BuiltIn_Print_Area_15_1_17_2">#REF!</definedName>
    <definedName name="Excel_BuiltIn_Print_Area_8_1_20_2">#REF!</definedName>
    <definedName name="Excel_BuiltIn_Print_Area_5_1_1_1_1_16_1">#REF!</definedName>
    <definedName name="Excel_BuiltIn_Print_Area_7_1_8_27">#REF!</definedName>
    <definedName name="SS_Per_Key">#REF!</definedName>
    <definedName name="___eth2">#REF!</definedName>
    <definedName name="TR220CTL">#REF!</definedName>
    <definedName name="BL3BB">#REF!</definedName>
    <definedName name="Excel_BuiltIn_Print_Area_8_1_11_2">#REF!</definedName>
    <definedName name="_____m234">#REF!</definedName>
    <definedName name="_sig5">#REF!</definedName>
    <definedName name="ESC_BOSW">#REF!</definedName>
    <definedName name="SUM">#REF!</definedName>
    <definedName name="supplysch">#REF!</definedName>
    <definedName name="_dol13">#REF!</definedName>
    <definedName name="EM_013_5">#REF!</definedName>
    <definedName name="_____DAT14">#REF!</definedName>
    <definedName name="Excel_BuiltIn_Print_Area_11_1_8">#REF!</definedName>
    <definedName name="p11i5f">#REF!</definedName>
    <definedName name="Thickness_of_cover_slab">#REF!</definedName>
    <definedName name="______________________xlnm.Print_Area_1">#REF!</definedName>
    <definedName name="_______DET4">#REF!</definedName>
    <definedName name="토목">#REF!</definedName>
    <definedName localSheetId="8" name="AP">#REF!</definedName>
    <definedName name="__xlnm.Print_Area_10">#REF!</definedName>
    <definedName name="EM_055_17">#REF!</definedName>
    <definedName name="EM_058_15">#REF!</definedName>
    <definedName name="Print_Range">#REF!</definedName>
    <definedName name="tbl_ProdInfo">#REF!</definedName>
    <definedName name="Excel_BuiltIn_Print_Area_10_1_6">#REF!</definedName>
    <definedName name="Excel_BuiltIn_Print_Area_8_1_13_4">#REF!</definedName>
    <definedName name="Excel_BuiltIn_Print_Area_4">#REF!</definedName>
    <definedName name="Staircase2">#REF!</definedName>
    <definedName name="Excel_BuiltIn_Print_Area_13_1_17">#REF!</definedName>
    <definedName name="_T144100">#REF!</definedName>
    <definedName name="Fdr_name">#REF!</definedName>
    <definedName name="REBAR">#REF!</definedName>
    <definedName name="___4___123Graph_ACHART_1">#REF!</definedName>
    <definedName name="INFEUR1">#REF!</definedName>
    <definedName name="____2____123Graph_BCHART_1">#REF!</definedName>
    <definedName name="_sch9">#REF!</definedName>
    <definedName name="AAAAAAA">#REF!</definedName>
    <definedName name="EM_036_17">#REF!</definedName>
    <definedName name="Mat_Sales">#REF!</definedName>
    <definedName name="misc">#REF!</definedName>
    <definedName name="XRefPaste16Row">#REF!</definedName>
    <definedName name="anchor">#REF!</definedName>
    <definedName localSheetId="8" name="Nx___0">#REF!</definedName>
    <definedName name="______hfi5">#REF!</definedName>
    <definedName name="Aux.items">#REF!</definedName>
    <definedName name="Excel_BuiltIn_Print_Area_8_1_1_6_27">#REF!</definedName>
    <definedName name="__Wr1">#REF!</definedName>
    <definedName localSheetId="8" name="__LMH2">#REF!</definedName>
    <definedName name="Excel_BuiltIn_Print_Area_6_1_3">#REF!</definedName>
    <definedName name="aaaaaaaaaaa">#REF!</definedName>
    <definedName name="aadf">#REF!</definedName>
    <definedName name="Excel_BuiltIn_Print_Area_20">#REF!</definedName>
    <definedName name="p1mcc17">#REF!</definedName>
    <definedName name="_12__123Graph_CCHART_1">#REF!</definedName>
    <definedName name="Excel_BuiltIn_Print_Area_12_1_15_16">#REF!</definedName>
    <definedName name="EM_033_15">#REF!</definedName>
    <definedName name="Excel_BuiltIn_Print_Area_5_1_5_2">#REF!</definedName>
    <definedName name="Excel_BuiltIn_Print_Area_9_1_14">#REF!</definedName>
    <definedName name="m2_ec_f">#REF!</definedName>
    <definedName name="___AXX4">#REF!</definedName>
    <definedName name="Excel_BuiltIn_Print_Area_5_4">#REF!</definedName>
    <definedName name="SHTA">#REF!</definedName>
    <definedName name="afsgs">#REF!</definedName>
    <definedName name="________tab1">#REF!</definedName>
    <definedName name="Mg_v">#REF!</definedName>
    <definedName name="Excel_BuiltIn_Print_Area_13_1_14_16">#REF!</definedName>
    <definedName name="Excel_BuiltIn_Print_Area_6_1_11">#REF!</definedName>
    <definedName name="Receivables_yearwise">#REF!</definedName>
    <definedName name="Excel_BuiltIn_Print_Area_2_1_3_4">#REF!</definedName>
    <definedName name="_12Excel_BuiltIn_Print_Area_4_1_1_1_1_1_1">#REF!</definedName>
    <definedName name="Excel_BuiltIn_Print_Area_13_1_7">#REF!</definedName>
    <definedName name="_____A2">#REF!</definedName>
    <definedName name="__eth2">#REF!</definedName>
    <definedName name="Excel_BuiltIn_Print_Area_13_1_16_16">#REF!</definedName>
    <definedName name="tala_1">#REF!</definedName>
    <definedName name="EH_001_15">#REF!</definedName>
    <definedName name="Excel_BuiltIn_Print_Area_5_1_11_16">#REF!</definedName>
    <definedName name="EM_064_16">#REF!</definedName>
    <definedName localSheetId="8" name="__xlnm.Print_Titles_4">#REF!</definedName>
    <definedName name="__WC3">#REF!</definedName>
    <definedName name="_A3">#REF!</definedName>
    <definedName name="qfc_s98">#REF!</definedName>
    <definedName name="Excel_BuiltIn_Print_Area_6_1_16_27">#REF!</definedName>
    <definedName name="________SAP2">#REF!</definedName>
    <definedName name="BuiltIn_Print_Titles">#REF!</definedName>
    <definedName name="CAPA222">#REF!</definedName>
    <definedName name="ss9_civ_w">#REF!</definedName>
    <definedName name="_____axx3">#REF!</definedName>
    <definedName name="_MAN1">#REF!</definedName>
    <definedName name="_DET1">#REF!</definedName>
    <definedName name="_RE60">#REF!</definedName>
    <definedName name="ddf">#REF!</definedName>
    <definedName name="______bom1">#REF!</definedName>
    <definedName name="EM_020_12">#REF!</definedName>
    <definedName name="Excel_BuiltIn_Print_Area_6_1_15_27">#REF!</definedName>
    <definedName name="A10____0">#REF!</definedName>
    <definedName name="Excel_BuiltIn_Print_Area_7_1_3_4">#REF!</definedName>
    <definedName name="Excel_BuiltIn_Print_Area_2_1_12_2">#REF!</definedName>
    <definedName name="tower_E2">#REF!</definedName>
    <definedName name="Target">#REF!</definedName>
    <definedName name="Excel_BuiltIn_Print_Area_14_1_20_27">#REF!</definedName>
    <definedName name="KJU">#REF!</definedName>
    <definedName localSheetId="8" name="Alw">#REF!</definedName>
    <definedName name="Excel_BuiltIn_Print_Area_4_1_1_8_16">#REF!</definedName>
    <definedName name="place">#REF!</definedName>
    <definedName name="Excel_BuiltIn_Print_Area_4_1_1_13_16">#REF!</definedName>
    <definedName name="Excel_BuiltIn_Print_Area_1_1_1_41">#REF!</definedName>
    <definedName name="lte">#REF!</definedName>
    <definedName name="____axx2">#REF!</definedName>
    <definedName name="Package1">#REF!</definedName>
    <definedName name="Excel_BuiltIn_Print_Area_5_1_1_16_2">#REF!</definedName>
    <definedName name="QFC_AUDspa">#REF!</definedName>
    <definedName name="Excel_BuiltIn_Print_Area_1_18_16">#REF!</definedName>
    <definedName name="TL_Top_Key">#REF!</definedName>
    <definedName name="BasekV4">#REF!</definedName>
    <definedName name="Piling">#REF!</definedName>
    <definedName name="_RE76">#REF!</definedName>
    <definedName localSheetId="8" name="Mb">#REF!</definedName>
    <definedName name="Excel_BuiltIn_Print_Area_4_1_1_7_2">#REF!</definedName>
    <definedName name="CONTRACT_NO">#REF!</definedName>
    <definedName name="Excel_BuiltIn_Print_Area_3_1_1_2">#REF!</definedName>
    <definedName name="gfiopbhg">#REF!</definedName>
    <definedName name="arb">#REF!</definedName>
    <definedName name="Excel_BuiltIn_Print_Area_7_1_1_1_1_4">#REF!</definedName>
    <definedName name="_______xlnm._FilterDatabase_5">#REF!</definedName>
    <definedName name="____xlnm.Print_Area_8">#REF!</definedName>
    <definedName name="_______________dol6">#REF!</definedName>
    <definedName name="______hfi4">#REF!</definedName>
    <definedName name="Excel_BuiltIn_Print_Area_2_1_10_16">#REF!</definedName>
    <definedName name="_______________________xlnm.Print_Area_3">#REF!</definedName>
    <definedName name="Name_Company">#REF!</definedName>
    <definedName name="___ifa2">#REF!</definedName>
    <definedName name="Excel_BuiltIn_Print_Area_5_8_4">#REF!</definedName>
    <definedName name="______hfi8">#REF!</definedName>
    <definedName name="regionnames">#REF!</definedName>
    <definedName name="_____________________________________xlnm.Print_Area_1">#REF!</definedName>
    <definedName name="PLO">#REF!</definedName>
    <definedName name="Vdes">#REF!</definedName>
    <definedName name="____rt3">#REF!</definedName>
    <definedName name="P_3">#REF!</definedName>
    <definedName name="pH___13">#REF!</definedName>
    <definedName name="____ZS1">#REF!</definedName>
    <definedName name="Value41">#REF!</definedName>
    <definedName name="___6___123Graph_CCHART_1">#REF!</definedName>
    <definedName name="Excel_BuiltIn_Print_Area_10_1_8_2">#REF!</definedName>
    <definedName name="Excel_BuiltIn_Print_Area_16_1_13_16">#REF!</definedName>
    <definedName localSheetId="8" name="A1____13">#REF!</definedName>
    <definedName name="Excel_BuiltIn_Print_Area_5_1_1_8_27">#REF!</definedName>
    <definedName name="XREF_COLUMN_19">#REF!</definedName>
    <definedName name="_____________cem124">#REF!</definedName>
    <definedName name="LC_CHGS">#REF!</definedName>
    <definedName name="skilled">#REF!</definedName>
    <definedName name="Z1s">#REF!</definedName>
    <definedName name="EM_027_12">#REF!</definedName>
    <definedName name="_SS408">#REF!</definedName>
    <definedName name="EM_028_16">#REF!</definedName>
    <definedName name="_____A65537">#REF!</definedName>
    <definedName name="_P">#REF!</definedName>
    <definedName name="Vone">#REF!</definedName>
    <definedName name="_RAC1">#REF!</definedName>
    <definedName name="xx">#REF!</definedName>
    <definedName name="EM_035_7">#REF!</definedName>
    <definedName name="proj">#REF!</definedName>
    <definedName name="kkkkk">#REF!</definedName>
    <definedName name="Sim1_LastRow">#REF!</definedName>
    <definedName name="Table">#REF!</definedName>
    <definedName name="__________________IDA1">#REF!</definedName>
    <definedName name="__________________________xlnm.Print_Area_2">#REF!</definedName>
    <definedName name="BENJ">#REF!</definedName>
    <definedName name="DATA_14">#REF!</definedName>
    <definedName name="SS_Sep">#REF!</definedName>
    <definedName name="Excel_BuiltIn_Print_Area_16_1_1_3">#REF!</definedName>
    <definedName name="Excel_BuiltIn_Print_Area_3_1_9_16">#REF!</definedName>
    <definedName name="Excel_BuiltIn__FilterDatabase_50_2">#REF!</definedName>
    <definedName name="__Tk2">#REF!</definedName>
    <definedName name="Excel_BuiltIn_Print_Area_14_1_12_2">#REF!</definedName>
    <definedName name="Analysis">#REF!</definedName>
    <definedName name="Excel_BuiltIn_Print_Area_10_1_13_16">#REF!</definedName>
    <definedName name="XRefCopy52Row">#REF!</definedName>
    <definedName name="EH_001_5">#REF!</definedName>
    <definedName name="IE_Mar">#REF!</definedName>
    <definedName name="_axx1">#REF!</definedName>
    <definedName name="EM_026_13">#REF!</definedName>
    <definedName name="______SS406">#REF!</definedName>
    <definedName name="_____hfi1">#REF!</definedName>
    <definedName name="__________xlnm.Print_Area_4">#REF!</definedName>
    <definedName name="_____AXX7">#REF!</definedName>
    <definedName name="eee">#REF!</definedName>
    <definedName name="m8_cond_v">#REF!</definedName>
    <definedName name="fffffffff">#REF!</definedName>
    <definedName name="NN___0">#REF!</definedName>
    <definedName name="Excel_BuiltIn_Print_Area_17_1_15">#REF!</definedName>
    <definedName name="sftest_usd">#REF!</definedName>
    <definedName name="_SSF3">#REF!</definedName>
    <definedName name="pIsmsb.lab">#REF!</definedName>
    <definedName name="Excel_BuiltIn_Print_Area_6_1">#REF!</definedName>
    <definedName name="Excel_BuiltIn_Print_Area_5_1_1_16_1">#REF!</definedName>
    <definedName name="__4___123Graph_ACHART_1">#REF!</definedName>
    <definedName name="________xlnm.Print_Titles">#REF!</definedName>
    <definedName name="_____7__123Graph_ACHART_1">#REF!</definedName>
    <definedName name="swt">#REF!</definedName>
    <definedName name="_______SAP11">#REF!</definedName>
    <definedName name="data1">#REF!</definedName>
    <definedName name="ErectionPckg_1">#REF!</definedName>
    <definedName name="______SAP10">#REF!</definedName>
    <definedName name="Excel_BuiltIn_Print_Area_8_1_1_10_4">#REF!</definedName>
    <definedName name="Excel_BuiltIn_Print_Area_2_1_1_13_4">#REF!</definedName>
    <definedName name="__14___123Graph_BCHART_1">#REF!</definedName>
    <definedName name="Excel_BuiltIn_Print_Area_29_12">#REF!</definedName>
    <definedName name="_A20000">#REF!</definedName>
    <definedName name="vspkvp">#REF!</definedName>
    <definedName name="X0G">#REF!</definedName>
    <definedName name="_hxa1">#REF!</definedName>
    <definedName name="Excel_BuiltIn_Print_Area_5_1_11_27">#REF!</definedName>
    <definedName name="Excel_BuiltIn_Print_Area_3_1_1_1_1_1_1_1_1_1">#REF!</definedName>
    <definedName name="Excel_BuiltIn_Print_Area_5_8">#REF!</definedName>
    <definedName name="head2">#REF!</definedName>
    <definedName name="__CTR220">#REF!</definedName>
    <definedName name="Excel_BuiltIn_Print_Area_7_1_6_4">#REF!</definedName>
    <definedName name="klsasK">#REF!</definedName>
    <definedName name="EM_052_14">#REF!</definedName>
    <definedName name="EM_039_18">#REF!</definedName>
    <definedName name="Excel_BuiltIn_Print_Area_9_1_13_27">#REF!</definedName>
    <definedName name="Excel_BuiltIn_Print_Area_16_1_1_5_2">#REF!</definedName>
    <definedName localSheetId="8" name="_______CFB2">#REF!</definedName>
    <definedName name="Excel_BuiltIn_Print_Area_8_1_1_14_2">#REF!</definedName>
    <definedName name="AirConditioning">#REF!</definedName>
    <definedName name="Excel_BuiltIn_Print_Area_3_1_2_27">#REF!</definedName>
    <definedName name="Excel_BuiltIn_Print_Area_7_1_1_10_2">#REF!</definedName>
    <definedName name="t1_">#REF!</definedName>
    <definedName name="Excel_BuiltIn_Print_Area_29_6_27">#REF!</definedName>
    <definedName name="Excel_BuiltIn_Print_Area_8_1_1_14">#REF!</definedName>
    <definedName name="____________________________________xlnm.Print_Titles_1">#REF!</definedName>
    <definedName name="EM_037_16">#REF!</definedName>
    <definedName name="BD1StateNames">#REF!</definedName>
    <definedName name="EM_002_16">#REF!</definedName>
    <definedName name="_____m35">#REF!</definedName>
    <definedName name="Value8">#REF!</definedName>
    <definedName name="adj">#REF!</definedName>
    <definedName name="MC_FFRSW">#REF!</definedName>
    <definedName name="Excel_BuiltIn_Print_Area_11_1_16_2">#REF!</definedName>
    <definedName name="________9__123Graph_CCHART_1">#REF!</definedName>
    <definedName name="Z1eq138">#REF!</definedName>
    <definedName name="EM_021_15">#REF!</definedName>
    <definedName name="_15____123Graph_CCHART_1">#REF!</definedName>
    <definedName name="Sim1_RepCount">#REF!</definedName>
    <definedName name="EM_005_3">#REF!</definedName>
    <definedName name="def">#REF!</definedName>
    <definedName localSheetId="8" name="ALarea">#REF!</definedName>
    <definedName name="_________________________________________IDA1">#REF!</definedName>
    <definedName name="____6___123Graph_CCHART_1">#REF!</definedName>
    <definedName name="Excel_BuiltIn_Print_Area_16_1_3_27">#REF!</definedName>
    <definedName name="___________xlnm.Print_Titles_1">#REF!</definedName>
    <definedName name="_tab1">#REF!</definedName>
    <definedName name="Excel_BuiltIn_Print_Area_2_1_1_1_1_1_1_27">#REF!</definedName>
    <definedName name="nxs">#REF!</definedName>
    <definedName name="progress12">#REF!</definedName>
    <definedName name="ss8_fuel_w">#REF!</definedName>
    <definedName name="Line_2">#REF!</definedName>
    <definedName name="Excel_BuiltIn_Print_Area_5_6_27">#REF!</definedName>
    <definedName name="LIRA">#REF!</definedName>
    <definedName name="Excel_BuiltIn_Print_Area_2_1_5_27">#REF!</definedName>
    <definedName name="PATH444">#REF!</definedName>
    <definedName name="sfmisc_idr">#REF!</definedName>
    <definedName name="Excel_BuiltIn_Print_Area_2_1_1_1_20_2">#REF!</definedName>
    <definedName name="EM_026_8">#REF!</definedName>
    <definedName name="XRefCopy25">#REF!</definedName>
    <definedName name="EM_033_14">#REF!</definedName>
    <definedName name="EM_062_17">#REF!</definedName>
    <definedName name="_13Excel_BuiltIn_Print_Area_3_1_1_1_1">#REF!</definedName>
    <definedName name="ls">#REF!</definedName>
    <definedName name="eskal">#REF!</definedName>
    <definedName name="___Hra2">#REF!</definedName>
    <definedName name="m8_ec_v">#REF!</definedName>
    <definedName name="m8_hrsg_v">#REF!</definedName>
    <definedName name="RENT">#REF!</definedName>
    <definedName name="Excel_BuiltIn_Print_Area_15_1_16_1">#REF!</definedName>
    <definedName name="EM_004_5">#REF!</definedName>
    <definedName name="Kone">#REF!</definedName>
    <definedName name="Eta">#REF!</definedName>
    <definedName name="_______xlnm.Print_Titles_4">#REF!</definedName>
    <definedName name="ACTIVITY_6">#REF!</definedName>
    <definedName name="____axx6">#REF!</definedName>
    <definedName name="IMADO">#REF!</definedName>
    <definedName name="new">#REF!</definedName>
    <definedName name="REACTOR">#REF!</definedName>
    <definedName name="ss8_ct_w">#REF!</definedName>
    <definedName name="m2_ct_w">#REF!</definedName>
    <definedName name="_____________________________dol6">#REF!</definedName>
    <definedName name="_SSF2">#REF!</definedName>
    <definedName name="__hxc1">#REF!</definedName>
    <definedName name="BaseMVA">#REF!</definedName>
    <definedName name="_132">#REF!</definedName>
    <definedName name="LYTotal">#REF!</definedName>
    <definedName name="TL_OCL">#REF!</definedName>
    <definedName name="___DAT10">#REF!</definedName>
    <definedName name="Excel_BuiltIn_Print_Area_4_1_1_14_27">#REF!</definedName>
    <definedName name="___in18900">#REF!</definedName>
    <definedName name="Excel_BuiltIn_Print_Area_17_1_7_4">#REF!</definedName>
    <definedName name="ok">#REF!</definedName>
    <definedName name="_sig3">#REF!</definedName>
    <definedName name="dcrwk3">#REF!</definedName>
    <definedName name="TL_Jul">#REF!</definedName>
    <definedName name="EP_PBIT">#REF!</definedName>
    <definedName name="EM_052_15">#REF!</definedName>
    <definedName name="XRefPaste5Row">#REF!</definedName>
    <definedName name="lean">#REF!</definedName>
    <definedName name="_SC04">#REF!</definedName>
    <definedName name="EM_038_14">#REF!</definedName>
    <definedName name="JEJS___12">#REF!</definedName>
    <definedName name="M_A">#REF!</definedName>
    <definedName localSheetId="8" name="Xl___13">#REF!</definedName>
    <definedName name="Excel_BuiltIn_Print_Area_18_27">#REF!</definedName>
    <definedName name="DATA19">#REF!</definedName>
    <definedName name="Excel_BuiltIn_Print_Area_16_1_1_9">#REF!</definedName>
    <definedName name="tS">#REF!</definedName>
    <definedName name="___lb1">#REF!</definedName>
    <definedName name="Excel_BuiltIn_Print_Area_5_16_2">#REF!</definedName>
    <definedName name="Name_Project">#REF!</definedName>
    <definedName name="sastry">#REF!</definedName>
    <definedName name="control132">#REF!</definedName>
    <definedName name="___LTR500">#REF!</definedName>
    <definedName name="Excel_BuiltIn_Print_Area_12_1_1_12_27">#REF!</definedName>
    <definedName localSheetId="5" name="PRINT_AREA_MI___0">#REF!</definedName>
    <definedName name="_ZS2">#REF!</definedName>
    <definedName name="____SAP8">#REF!</definedName>
    <definedName name="m2_e_v">#REF!</definedName>
    <definedName name="_______________m20">#REF!</definedName>
    <definedName name="Excel_BuiltIn_Print_Area_28_6_16">#REF!</definedName>
    <definedName name="EP_AGWC">#REF!</definedName>
    <definedName localSheetId="8" name="llll">#REF!</definedName>
    <definedName name="Excel_BuiltIn_Print_Area_17_1_10">#REF!</definedName>
    <definedName localSheetId="8" name="___xlnm._FilterDatabase_2">#REF!</definedName>
    <definedName localSheetId="8" name="A1_">#REF!</definedName>
    <definedName name="Excel_BuiltIn_Print_Area_2_1_1_1_13_2">#REF!</definedName>
    <definedName name="____SAP10">#REF!</definedName>
    <definedName name="Excel_BuiltIn_Print_Area_8_1_5_16">#REF!</definedName>
    <definedName name="Ft">#REF!</definedName>
    <definedName name="EM_002_9">#REF!</definedName>
    <definedName name="A01_">#REF!</definedName>
    <definedName name="__KEY3">#REF!</definedName>
    <definedName name="p1amf">#REF!</definedName>
    <definedName name="TL_Nov">#REF!</definedName>
    <definedName name="XRefPaste8Row">#REF!</definedName>
    <definedName name="TnSWindSpeed">#REF!</definedName>
    <definedName name="Excel_BuiltIn_Print_Area_6_1_17_2">#REF!</definedName>
    <definedName name="Excel_BuiltIn_Print_Area_6_20_2">#REF!</definedName>
    <definedName localSheetId="8" name="s">#REF!</definedName>
    <definedName name="Excel_BuiltIn_Print_Area_28_12">#REF!</definedName>
    <definedName name="Cement_124">#REF!</definedName>
    <definedName name="Tfc">#REF!</definedName>
    <definedName name="__sig2">#REF!</definedName>
    <definedName name="EVA">#REF!</definedName>
    <definedName name="_____del1">#REF!</definedName>
    <definedName name="TEST1">#REF!</definedName>
    <definedName name="FRONTPAGE">#REF!</definedName>
    <definedName name="dsfadsf">#REF!</definedName>
    <definedName name="___________xlnm.Print_Area_5">#REF!</definedName>
    <definedName name="ACTIVITY_5">#REF!</definedName>
    <definedName name="Excel_BuiltIn_Print_Area_16_1_1_11_4">#REF!</definedName>
    <definedName name="dcrwk7">#REF!</definedName>
    <definedName name="EP_Key">#REF!</definedName>
    <definedName name="____SAP1">#REF!</definedName>
    <definedName name="Excel_BuiltIn_Print_Area_4_1_1_1_1_1_1_1">#REF!</definedName>
    <definedName name="_10________123Graph_ACHART_1">#REF!</definedName>
    <definedName name="Excel_BuiltIn_Print_Area_10_1_11_4">#REF!</definedName>
    <definedName name="EM_025_18">#REF!</definedName>
    <definedName name="Excel_BuiltIn_Print_Area_3_1_13_16">#REF!</definedName>
    <definedName name="______________________________________in18900">#REF!</definedName>
    <definedName name="cc">#REF!</definedName>
    <definedName name="Excel_BuiltIn_Print_Area_16_1_8_27">#REF!</definedName>
    <definedName name="Excel_BuiltIn_Print_Area_3_1_9_27">#REF!</definedName>
    <definedName name="_7Excel_BuiltIn_Print_Area_4_1">#REF!</definedName>
    <definedName name="rho">#REF!</definedName>
    <definedName localSheetId="8" name="A">#REF!</definedName>
    <definedName name="MC_ABB_Imp">#REF!</definedName>
    <definedName name="Excel_BuiltIn_Print_Area_28_17_16">#REF!</definedName>
    <definedName name="Excel_BuiltIn_Print_Area_8_1_1_1_2">#REF!</definedName>
    <definedName localSheetId="8" name="dfrads">#REF!</definedName>
    <definedName name="EM_007_8">#REF!</definedName>
    <definedName name="Excel_BuiltIn_Print_Area_8_1_20_16">#REF!</definedName>
    <definedName name="_dol6">#REF!</definedName>
    <definedName name="aa">#REF!</definedName>
    <definedName name="_______xlnm._FilterDatabase_4">#REF!</definedName>
    <definedName name="GI">#REF!</definedName>
    <definedName name="Athree">#REF!</definedName>
    <definedName name="EM_002_14">#REF!</definedName>
    <definedName name="RRecorderecorder">#REF!</definedName>
    <definedName name="EM_038_18">#REF!</definedName>
    <definedName name="Excel_BuiltIn_Print_Area_14_1_20_2">#REF!</definedName>
    <definedName name="Excel_BuiltIn_Print_Titles_4_1_1_4">#REF!</definedName>
    <definedName localSheetId="8" name="__xlnm.Print_Area_1">#REF!</definedName>
    <definedName name="_____________mm2">#REF!</definedName>
    <definedName name="Excel_BuiltIn_Print_Area_12_1_17_16">#REF!</definedName>
    <definedName name="EM_029_10">#REF!</definedName>
    <definedName name="EM_030_2">#REF!</definedName>
    <definedName name="no_name">#REF!</definedName>
    <definedName name="ss8_fuel_v">#REF!</definedName>
    <definedName name="Company_Name">#REF!</definedName>
    <definedName name="Excel_BuiltIn_Print_Area_5_1_1_5_4">#REF!</definedName>
    <definedName name="______DET1">#REF!</definedName>
    <definedName name="XRefCopy29Row">#REF!</definedName>
    <definedName name="Excel_BuiltIn_Print_Area_5_14_27">#REF!</definedName>
    <definedName name="progress11">#REF!</definedName>
    <definedName name="ABoltDia">#REF!</definedName>
    <definedName name="Excel_BuiltIn_Print_Area_17_1_13_2">#REF!</definedName>
    <definedName name="Excel_BuiltIn_Print_Area_5_1_17">#REF!</definedName>
    <definedName name="Excel_BuiltIn_Print_Area_16_1_12_2">#REF!</definedName>
    <definedName name="XRefCopy10Row">#REF!</definedName>
    <definedName name="__CFB3">#REF!</definedName>
    <definedName name="EM_057_18">#REF!</definedName>
    <definedName name="_hxb2">#REF!</definedName>
    <definedName name="_______xlnm.Print_Area_1">#REF!</definedName>
    <definedName name="dcrwk2">#REF!</definedName>
    <definedName name="Excel_BuiltIn_Print_Area_4_1_13_16">#REF!</definedName>
    <definedName name="Excel_BuiltIn_Print_Area_2_1_1_1_1_1_1_16">#REF!</definedName>
    <definedName name="Excel_BuiltIn_Print_Area_4_1_5_16">#REF!</definedName>
    <definedName name="XRefCopy14Row">#REF!</definedName>
    <definedName name="EM_004_3">#REF!</definedName>
    <definedName name="Excel_BuiltIn_Print_Area_16_1_1_10_4">#REF!</definedName>
    <definedName name="Excel_BuiltIn_Print_Area_5_1_10_4">#REF!</definedName>
    <definedName name="Factor">#REF!</definedName>
    <definedName name="INCOME_BGT2">#REF!</definedName>
    <definedName name="_________a655601">#REF!</definedName>
    <definedName localSheetId="8" name="BuiltIn_Print_Titles___0___0___0">#REF!</definedName>
    <definedName name="___Xl1">#REF!</definedName>
    <definedName name="_Rl1">#REF!</definedName>
    <definedName name="___cli2">#REF!</definedName>
    <definedName name="SS_OCL">#REF!</definedName>
    <definedName name="Excel_BuiltIn_Print_Area_14_1_10_27">#REF!</definedName>
    <definedName name="p11i4f">#REF!</definedName>
    <definedName name="XRefCopy22Row">#REF!</definedName>
    <definedName name="SQRT__1___0.6___1.0">#REF!</definedName>
    <definedName name="__tab1">#REF!</definedName>
    <definedName name="Excel_BuiltIn_Print_Area_13_1_14">#REF!</definedName>
    <definedName name="____a655601">#REF!</definedName>
    <definedName name="____AXX7">#REF!</definedName>
    <definedName name="___SC24">#REF!</definedName>
    <definedName name="Excel_BuiltIn_Print_Area_12_1_9_16">#REF!</definedName>
    <definedName name="GSDFGFHGH">#REF!</definedName>
    <definedName name="_____cem124">#REF!</definedName>
    <definedName name="LTTrafo">#REF!</definedName>
    <definedName name="ss6_e_v">#REF!</definedName>
    <definedName name="XRefPaste12">#REF!</definedName>
    <definedName name="_SV7043">#REF!</definedName>
    <definedName name="____xlnm.Print_Area_9">#REF!</definedName>
    <definedName name="__mm2">#REF!</definedName>
    <definedName name="cookie1">#REF!</definedName>
    <definedName name="Excel_BuiltIn_Print_Area_8_1_1_8_4">#REF!</definedName>
    <definedName name="Excel_BuiltIn_Print_Area_2_1_1_1_15_27">#REF!</definedName>
    <definedName name="Ik">#REF!</definedName>
    <definedName name="______DAT8">#REF!</definedName>
    <definedName name="K_1">#REF!</definedName>
    <definedName name="lmcmcc.3">#REF!</definedName>
    <definedName localSheetId="8" name="Qty_as_on_apr">#REF!</definedName>
    <definedName name="ICS_DISCUSSION_C_ISSUES_List">#REF!</definedName>
    <definedName name="EM_013_3">#REF!</definedName>
    <definedName name="Excel_BuiltIn_Print_Area_4_1_12_2">#REF!</definedName>
    <definedName name="_sit75">#REF!</definedName>
    <definedName name="Excel_BuiltIn_Print_Area_4_1_1_8">#REF!</definedName>
    <definedName name="TEs___0">#REF!</definedName>
    <definedName name="Result61">#REF!</definedName>
    <definedName localSheetId="8" name="LMO">#REF!</definedName>
    <definedName name="Excel_BuiltIn_Print_Area_17_1_1_13_27">#REF!</definedName>
    <definedName name="_______DET2">#REF!</definedName>
    <definedName name="app">#REF!</definedName>
    <definedName name="Excel_BuiltIn_Print_Area_12_1_13">#REF!</definedName>
    <definedName name="Excel_BuiltIn_Print_Titles_4_1_27">#REF!</definedName>
    <definedName name="USD_EUR">#REF!</definedName>
    <definedName name="INFRP1">#REF!</definedName>
    <definedName name="CED_pc">#REF!</definedName>
    <definedName name="Excel_BuiltIn_Print_Area_29_17">#REF!</definedName>
    <definedName name="QFC_NOKspa">#REF!</definedName>
    <definedName name="__kd2">#REF!</definedName>
    <definedName name="PAGE11">#REF!</definedName>
    <definedName name="A65379A10">#REF!</definedName>
    <definedName name="GP">#REF!</definedName>
    <definedName name="WOL">#REF!</definedName>
    <definedName name="부대공사">#REF!</definedName>
    <definedName name="bom">#REF!</definedName>
    <definedName name="ENICL">#REF!</definedName>
    <definedName name="__________________xlnm.Print_Area_13">#REF!</definedName>
    <definedName name="ss9_st_v">#REF!</definedName>
    <definedName name="CED_IDTOHW">#REF!</definedName>
    <definedName name="DIST1">#REF!</definedName>
    <definedName name="___mcl132">#REF!</definedName>
    <definedName name="EM_010_12">#REF!</definedName>
    <definedName name="BuiltIn_Print_Titles___0___0___0___0___0___0___0">#REF!</definedName>
    <definedName name="Excel_BuiltIn_Print_Area_4_1_1_9">#REF!</definedName>
    <definedName name="Page1">#REF!</definedName>
    <definedName name="_______________________dol6">#REF!</definedName>
    <definedName name="Excel_BuiltIn_Print_Area_14_1_2_2">#REF!</definedName>
    <definedName name="ss9_geno_v">#REF!</definedName>
    <definedName name="_________VS2004">#REF!</definedName>
    <definedName name="_______________________________________dol6">#REF!</definedName>
    <definedName name="hhs">#REF!</definedName>
    <definedName name="Excel_BuiltIn_Print_Area_2_1_1_1_9_27">#REF!</definedName>
    <definedName name="XRefPaste23">#REF!</definedName>
    <definedName name="_hxd1">#REF!</definedName>
    <definedName name="Excel_BuiltIn_Print_Area_11_1_2">#REF!</definedName>
    <definedName name="l_20">#REF!</definedName>
    <definedName name="__col33">#REF!</definedName>
    <definedName name="Excel_BuiltIn_Print_Area_17_1_1_1_1_1">#REF!</definedName>
    <definedName name="XRefCopy16Row">#REF!</definedName>
    <definedName name="Ql">#REF!</definedName>
    <definedName name="Excel_BuiltIn_Print_Area_1_1_1">#REF!</definedName>
    <definedName name="Excel_BuiltIn_Print_Area_17_1_11_16">#REF!</definedName>
    <definedName name="Excel_BuiltIn_Print_Area_6_1_6_2">#REF!</definedName>
    <definedName name="Excel_BuiltIn_Print_Area_7_1_6_2">#REF!</definedName>
    <definedName name="dasdfds">#REF!</definedName>
    <definedName name="Excel_BuiltIn__FilterDatabase_31_16">#REF!</definedName>
    <definedName name="Excel_BuiltIn_Print_Area_2_1_1_2_27">#REF!</definedName>
    <definedName name="A1____13">#REF!</definedName>
    <definedName name="ZR">#REF!</definedName>
    <definedName name="Excel_BuiltIn_Print_Area_12_1_1_11_2">#REF!</definedName>
    <definedName name="Excel_BuiltIn_Print_Area_8_1_12_27">#REF!</definedName>
    <definedName name="__________________________________xlnm.Print_Titles_1">#REF!</definedName>
    <definedName localSheetId="8" name="___xlnm.Print_Titles_4">#REF!</definedName>
    <definedName name="ex">#REF!</definedName>
    <definedName name="IDIOT">#REF!</definedName>
    <definedName name="_T147200">#REF!</definedName>
    <definedName name="Excel_BuiltIn_Print_Area_7_1_1_10_4">#REF!</definedName>
    <definedName name="__________A65537">#REF!</definedName>
    <definedName name="EM_032_9">#REF!</definedName>
    <definedName name="Excel_BuiltIn_Print_Area_2_1_10_4">#REF!</definedName>
    <definedName name="PAGEB">#REF!</definedName>
    <definedName name="mcabb3501i5f">#REF!</definedName>
    <definedName name="EM_010_6">#REF!</definedName>
    <definedName name="Excel_BuiltIn_Print_Area_2_1_1_1_10">#REF!</definedName>
    <definedName name="__vr1">#REF!</definedName>
    <definedName name="Excel_BuiltIn_Print_Area_2_1_16_4">#REF!</definedName>
    <definedName name="ch_area4">#REF!</definedName>
    <definedName name="Excel_BuiltIn_Print_Area_17_1_1_16_27">#REF!</definedName>
    <definedName name="EM_015_12">#REF!</definedName>
    <definedName name="her">#REF!</definedName>
    <definedName name="__A71614">#REF!</definedName>
    <definedName name="nlg_fi">#REF!</definedName>
    <definedName name="ss9_geno_f">#REF!</definedName>
    <definedName name="sfnumplate_idr">#REF!</definedName>
    <definedName name="EM_023_6">#REF!</definedName>
    <definedName name="H___13">#REF!</definedName>
    <definedName name="___________VS2004">#REF!</definedName>
    <definedName name="sheet3">#REF!</definedName>
    <definedName name="Hu___13">#REF!</definedName>
    <definedName name="___mlc33">#REF!</definedName>
    <definedName name="Excel_BuiltIn_Print_Area_17_1_1_1_27">#REF!</definedName>
    <definedName name="Excel_BuiltIn_Print_Area_18">#REF!</definedName>
    <definedName name="________________xlnm.Print_Titles_1">#REF!</definedName>
    <definedName name="________A71614">#REF!</definedName>
    <definedName name="sftower_idr">#REF!</definedName>
    <definedName name="ss9_civ_v">#REF!</definedName>
    <definedName name="Excel_BuiltIn_Print_Area_2_1_1_2_2">#REF!</definedName>
    <definedName name="Check_Csummary">#REF!</definedName>
    <definedName name="_____mnk1">#REF!</definedName>
    <definedName name="Excel_BuiltIn_Print_Titles_4_1_1_27">#REF!</definedName>
    <definedName name="Excel_BuiltIn_Print_Area_2_1_1_1_13_16">#REF!</definedName>
    <definedName name="Excel_BuiltIn_Print_Area_29_3_27">#REF!</definedName>
    <definedName name="_______DAT7">#REF!</definedName>
    <definedName name="Progress20">#REF!</definedName>
    <definedName name="EM_051_16">#REF!</definedName>
    <definedName name="Excel_BuiltIn_Print_Area_15_1_7_4">#REF!</definedName>
    <definedName name="___rcu2">#REF!</definedName>
    <definedName name="Excel_BuiltIn_Print_Area_2_1_1_1_10_16">#REF!</definedName>
    <definedName localSheetId="8" name="Excel_BuiltIn_Print_Titles_9_2">#REF!</definedName>
    <definedName name="_________lb2">#REF!</definedName>
    <definedName name="________mm3">#REF!</definedName>
    <definedName name="DL_Ave">#REF!</definedName>
    <definedName name="mcl33b1">#REF!</definedName>
    <definedName localSheetId="8" name="cld">#REF!</definedName>
    <definedName name="_____8__123Graph_BCHART_1">#REF!</definedName>
    <definedName name="EM_006_9">#REF!</definedName>
    <definedName name="pccp">#REF!</definedName>
    <definedName name="____A81614">#REF!</definedName>
    <definedName name="Excel_BuiltIn_Print_Area_8_1_1_20_4">#REF!</definedName>
    <definedName name="ESCPRD_BOSW">#REF!</definedName>
    <definedName name="GFJR">#REF!</definedName>
    <definedName name="months">#REF!</definedName>
    <definedName name="a._Trimmer">#REF!</definedName>
    <definedName name="EM_071_18">#REF!</definedName>
    <definedName name="Interest_Rate">#REF!</definedName>
    <definedName name="Excel_BuiltIn_Print_Area_11_1_5_16">#REF!</definedName>
    <definedName name="EEst">#REF!</definedName>
    <definedName name="____xlnm._FilterDatabase_4">#REF!</definedName>
    <definedName name="__123Graph_C_2">#REF!</definedName>
    <definedName name="p1upsdb">#REF!</definedName>
    <definedName name="Excel_BuiltIn_Print_Area_4_1_11_27">#REF!</definedName>
    <definedName name="__________________________iv19000">#REF!</definedName>
    <definedName name="Excel_BuiltIn_Print_Area_17_1_1_8_27">#REF!</definedName>
    <definedName name="Value48">#REF!</definedName>
    <definedName name="SSSSSSSSSSSS">#REF!</definedName>
    <definedName name="m___0">#REF!</definedName>
    <definedName name="Excel_BuiltIn_Print_Area_10_1_1_1_1">#REF!</definedName>
    <definedName name="Excel_BuiltIn_Print_Area_9_1_16_4">#REF!</definedName>
    <definedName name="_mm2">#REF!</definedName>
    <definedName name="_____A91614">#REF!</definedName>
    <definedName name="_____cff2">#REF!</definedName>
    <definedName localSheetId="8" name="__xlnm.Print_Area_4">#REF!</definedName>
    <definedName name="__DET5">#REF!</definedName>
    <definedName name="A2____13">#REF!</definedName>
    <definedName name="IL">#REF!</definedName>
    <definedName name="Excel_BuiltIn_Print_Area_10_4">#REF!</definedName>
    <definedName name="_______aoc1">#REF!</definedName>
    <definedName name="Excel_BuiltIn_Print_Area_12_1_1_3_4">#REF!</definedName>
    <definedName name="mlclf">#REF!</definedName>
    <definedName name="Excel_BuiltIn_Print_Area_7_1_1_14_16">#REF!</definedName>
    <definedName name="BD1_Meas3">#REF!</definedName>
    <definedName name="Rl___13">#REF!</definedName>
    <definedName name="Excel_BuiltIn_Print_Area_3_1_1_1_27_1">#REF!</definedName>
    <definedName name="Excel_BuiltIn_Print_Area_9_1_13_2">#REF!</definedName>
    <definedName name="kailash">#REF!</definedName>
    <definedName name="P2R">#REF!</definedName>
    <definedName name="Princ">#REF!</definedName>
    <definedName name="XREF_COLUMN_17">#REF!</definedName>
    <definedName name="_mlc33">#REF!</definedName>
    <definedName name="ss6_gt_w">#REF!</definedName>
    <definedName name="XRefPaste25">#REF!</definedName>
    <definedName name="hg">#REF!</definedName>
    <definedName name="_____________________________________________in18900">#REF!</definedName>
    <definedName name="A5____0">#REF!</definedName>
    <definedName name="___________________________in18900">#REF!</definedName>
    <definedName name="__pp2">#REF!</definedName>
    <definedName name="_4__123Graph_ACHART_1">#REF!</definedName>
    <definedName name="RAD">#REF!</definedName>
    <definedName name="_SSF1">#REF!</definedName>
    <definedName name="EURO">#REF!</definedName>
    <definedName name="Excel_BuiltIn_Print_Area_10_1_1_16_1">#REF!</definedName>
    <definedName name="_____xlnm._FilterDatabase_4">#REF!</definedName>
    <definedName name="Excel_BuiltIn_Print_Area_29_5_27">#REF!</definedName>
    <definedName name="carpet___12">#REF!</definedName>
    <definedName name="IE_Oct">#REF!</definedName>
    <definedName name="INCOME_M2">#REF!</definedName>
    <definedName name="bc">#REF!</definedName>
    <definedName name="Excel_BuiltIn_Print_Area_5_2_2">#REF!</definedName>
    <definedName name="_C___0">#REF!</definedName>
    <definedName name="Shri1">#REF!</definedName>
    <definedName name="Excel_BuiltIn_Print_Area_7_1_1_12">#REF!</definedName>
    <definedName name="____DAT5">#REF!</definedName>
    <definedName name="______mnk1">#REF!</definedName>
    <definedName name="SHS">#REF!</definedName>
    <definedName name="Excel_BuiltIn_Print_Area_2_1_6_16">#REF!</definedName>
    <definedName name="ho">#REF!</definedName>
    <definedName name="cll">#REF!</definedName>
    <definedName name="UNITS">#REF!</definedName>
    <definedName name="weqweqw">#REF!</definedName>
    <definedName name="__hxb1">#REF!</definedName>
    <definedName name="____cli4">#REF!</definedName>
    <definedName name="__SS424">#REF!</definedName>
    <definedName name="Excel_BuiltIn_Print_Area_12_1_1_17_27">#REF!</definedName>
    <definedName name="Vz">#REF!</definedName>
    <definedName name="간노1">#REF!</definedName>
    <definedName name="_____cli2">#REF!</definedName>
    <definedName name="____DAT12">#REF!</definedName>
    <definedName name="k1y">#REF!</definedName>
    <definedName name="SS">#REF!</definedName>
    <definedName name="Excel_BuiltIn_Print_Area_2_1_1_1_6_4">#REF!</definedName>
    <definedName name="XXXX">#REF!</definedName>
    <definedName localSheetId="8" name="__xlnm._FilterDatabase_4">#REF!</definedName>
    <definedName name="SPEC_18">#REF!</definedName>
    <definedName name="duplex_strainer">#REF!</definedName>
    <definedName name="XRefCopy17">#REF!</definedName>
    <definedName localSheetId="8" name="__xlnm.Print_Area_2">#REF!</definedName>
    <definedName name="bua">#REF!</definedName>
    <definedName name="Excel_BuiltIn_Print_Area_17_1_1_11_2">#REF!</definedName>
    <definedName name="Excel_BuiltIn_Print_Area_3_1_15">#REF!</definedName>
    <definedName name="Excel_BuiltIn_Print_Area_17_1_1_2_27">#REF!</definedName>
    <definedName name="_____xlnm.Print_Area_5">#REF!</definedName>
    <definedName name="TY">#REF!</definedName>
    <definedName name="StructureType">#REF!</definedName>
    <definedName name="_________________KEY3">#REF!</definedName>
    <definedName name="EM_062_14">#REF!</definedName>
    <definedName name="XRefCopy47Row">#REF!</definedName>
    <definedName name="IE_NWC">#REF!</definedName>
    <definedName name="Excel_BuiltIn_Print_Area_2_1_1_8">#REF!</definedName>
    <definedName name="약수">#REF!</definedName>
    <definedName name="_16__123Graph_ACHART_1">#REF!</definedName>
    <definedName name="Excel_BuiltIn_Print_Area_3_1_2_16">#REF!</definedName>
    <definedName name="____xlnm.Print_Area_11">#REF!</definedName>
    <definedName name="ModelNo">#REF!</definedName>
    <definedName name="XREF_COLUMN_10">#REF!</definedName>
    <definedName name="Excel_BuiltIn_Print_Titles_3_1">#REF!</definedName>
    <definedName name="Nx___0">#REF!</definedName>
    <definedName name="__6___123Graph_CCHART_1">#REF!</definedName>
    <definedName name="XRefCopy17Row">#REF!</definedName>
    <definedName name="Excel_BuiltIn_Print_Titles_9_27">#REF!</definedName>
    <definedName localSheetId="8" name="Lr">#REF!</definedName>
    <definedName name="crush_s">#REF!</definedName>
    <definedName name="Excel_BuiltIn_Print_Area_3_1_17_16">#REF!</definedName>
    <definedName name="BD1TimeMeasure">#REF!</definedName>
    <definedName name="Excel_BuiltIn_Print_Area_4_1_6_4">#REF!</definedName>
    <definedName name="Excel_BuiltIn_Print_Area_3_1_5">#REF!</definedName>
    <definedName name="_SUN2">#REF!</definedName>
    <definedName name="dbrwk7">#REF!</definedName>
    <definedName name="lmcsmsb.1">#REF!</definedName>
    <definedName name="_____DAT5">#REF!</definedName>
    <definedName name="Excel_BuiltIn_Print_Area_13_1_20_16">#REF!</definedName>
    <definedName name="Excel_BuiltIn_Print_Area_17_1_1_16_16">#REF!</definedName>
    <definedName name="mcl33b2">#REF!</definedName>
    <definedName name="EM_014_14">#REF!</definedName>
    <definedName name="Sales_Per_Manday">#REF!</definedName>
    <definedName name="__________________dol6">#REF!</definedName>
    <definedName name="A01CODE">#REF!</definedName>
    <definedName name="EM_054_18">#REF!</definedName>
    <definedName name="_2Excel_BuiltIn_Print_Area_3_1">#REF!</definedName>
    <definedName name="IPT">#REF!</definedName>
    <definedName name="rect_4_415">#REF!</definedName>
    <definedName name="EM_032_14">#REF!</definedName>
    <definedName name="ss6_hrsg_v">#REF!</definedName>
    <definedName name="___SC13">#REF!</definedName>
    <definedName name="EP_Nov">#REF!</definedName>
    <definedName name="___________________________________________dol6">#REF!</definedName>
    <definedName name="_HE4">#REF!</definedName>
    <definedName name="______HFI7">#REF!</definedName>
    <definedName name="____SC24">#REF!</definedName>
    <definedName localSheetId="8" name="d___0">#REF!</definedName>
    <definedName name="XRefPaste50">#REF!</definedName>
    <definedName name="head3">#REF!</definedName>
    <definedName name="manday1___12">#REF!</definedName>
    <definedName name="________in18900">#REF!</definedName>
    <definedName name="m8_hrsg_w">#REF!</definedName>
    <definedName name="Excel_BuiltIn__FilterDatabase_14_16_5">#REF!</definedName>
    <definedName name="Excel_BuiltIn_Print_Area_2_1_1_1_12_27">#REF!</definedName>
    <definedName name="BuiltIn_Print_Titles___0___0___0___0___0___0___0___0___0___0___0___0___0">#REF!</definedName>
    <definedName name="Eair">#REF!</definedName>
    <definedName name="RawData">#REF!</definedName>
    <definedName name="EM_037_10">#REF!</definedName>
    <definedName name="Excel_BuiltIn_Print_Area_4_1_1_10_16">#REF!</definedName>
    <definedName name="Excel_BuiltIn_Print_Area_28_10_4">#REF!</definedName>
    <definedName name="_____________xlnm.Print_Area_2">#REF!</definedName>
    <definedName name="Excel_BuiltIn_Print_Area_3_1_5_1">#REF!</definedName>
    <definedName name="Excel_BuiltIn_Print_Area_15_1_11_16">#REF!</definedName>
    <definedName name="EM_068_16">#REF!</definedName>
    <definedName name="Excel_BuiltIn_Print_Area_5_1_15_16">#REF!</definedName>
    <definedName name="Excel_BuiltIn_Print_Area_2_1_1_1_1_1_27">#REF!</definedName>
    <definedName name="Excel_BuiltIn_Print_Area_5_1_13_16">#REF!</definedName>
    <definedName name="_BAS1">#REF!</definedName>
    <definedName name="Excel_BuiltIn_Print_Area_2_1_3_27">#REF!</definedName>
    <definedName name="EM_064_14">#REF!</definedName>
    <definedName name="Excel_BuiltIn_Print_Area_8_1_17_2">#REF!</definedName>
    <definedName name="EH_002_8">#REF!</definedName>
    <definedName name="IELWSALES">#REF!</definedName>
    <definedName name="_29Excel_BuiltIn_Print_Area_4_1_1_1_1">#REF!</definedName>
    <definedName name="Excel_BuiltIn_Print_Area_4_1_14_27">#REF!</definedName>
    <definedName name="_23Excel_BuiltIn_Print_Area_8_1_1_1_1">#REF!</definedName>
    <definedName name="ss9_civ_f">#REF!</definedName>
    <definedName name="Excel_BuiltIn_Print_Area_8_1_15_27">#REF!</definedName>
    <definedName name="_S">#REF!</definedName>
    <definedName name="_____SC23">#REF!</definedName>
    <definedName name="pIup.2">#REF!</definedName>
    <definedName name="Excel_BuiltIn_Print_Area_8_1_6_4">#REF!</definedName>
    <definedName name="Excel_BuiltIn_Print_Area_5_1_1_5_16">#REF!</definedName>
    <definedName name="AS_disc">#REF!</definedName>
    <definedName name="Excel_BuiltIn_Print_Area_5_1_1_6_16">#REF!</definedName>
    <definedName name="Excel_BuiltIn_Print_Area_7_1_1_15_27">#REF!</definedName>
    <definedName name="PR_IDTO">#REF!</definedName>
    <definedName name="XREF_COLUMN_7">#REF!</definedName>
    <definedName name="_HE11">#REF!</definedName>
    <definedName name="Value29">#REF!</definedName>
    <definedName localSheetId="8" name="TR">#REF!</definedName>
    <definedName name="EM_021_6">#REF!</definedName>
    <definedName name="BOQ">#REF!</definedName>
    <definedName name="Excel_BuiltIn_Print_Area_8_1_3_27">#REF!</definedName>
    <definedName name="___SC01">#REF!</definedName>
    <definedName name="_FLK1">#REF!</definedName>
    <definedName localSheetId="8" name="_CCT220">#REF!</definedName>
    <definedName name="______Tk1">#REF!</definedName>
    <definedName name="Excel_BuiltIn_Print_Area_13_1_10">#REF!</definedName>
    <definedName name="Excel_BuiltIn_Print_Area_5_1_1_16">#REF!</definedName>
    <definedName name="All_Item">#REF!</definedName>
    <definedName name="m2_st_w">#REF!</definedName>
    <definedName name="_______________________________dol12">#REF!</definedName>
    <definedName name="Excel_BuiltIn_Print_Area_17_1_5_4">#REF!</definedName>
    <definedName name="XRefCopy2">#REF!</definedName>
    <definedName name="_______________________________________in18900">#REF!</definedName>
    <definedName name="Excel_BuiltIn_Print_Area_7_1_8_16">#REF!</definedName>
    <definedName name="PROVISIONS">#REF!</definedName>
    <definedName name="XRefPaste28">#REF!</definedName>
    <definedName name="RFP003D">#REF!</definedName>
    <definedName name="Excel_BuiltIn_Print_Area_29_20_27">#REF!</definedName>
    <definedName name="Excel_BuiltIn_Print_Area_28_13_4">#REF!</definedName>
    <definedName name="_15Excel_BuiltIn_Print_Area_5_1_1_1">#REF!</definedName>
    <definedName name="Excel_BuiltIn_Print_Area_4_1_17_4">#REF!</definedName>
    <definedName name="PRMIL_SW">#REF!</definedName>
    <definedName name="EM_054_15">#REF!</definedName>
    <definedName name="DDK">#REF!</definedName>
    <definedName name="_4___123Graph_ACHART_1">#REF!</definedName>
    <definedName name="Excel_BuiltIn_Print_Area_17_1_2_4">#REF!</definedName>
    <definedName name="_______b111121">#REF!</definedName>
    <definedName name="Excel_BuiltIn_Print_Area_12_1_13_16">#REF!</definedName>
    <definedName name="qwer">#REF!</definedName>
    <definedName name="____in18900">#REF!</definedName>
    <definedName name="S_S_Name">#REF!</definedName>
    <definedName name="dsgtgx">#REF!</definedName>
    <definedName name="XRefCopy6Row">#REF!</definedName>
    <definedName name="__TR220">#REF!</definedName>
    <definedName name="____hxa1">#REF!</definedName>
    <definedName name="____SC13">#REF!</definedName>
    <definedName name="__xlnm.Print_Area_4">#REF!</definedName>
    <definedName name="BD1TransState1">#REF!</definedName>
    <definedName name="EM_025_4">#REF!</definedName>
    <definedName name="___________m20">#REF!</definedName>
    <definedName name="Excel_BuiltIn_Print_Area_7_1_1_15_16">#REF!</definedName>
    <definedName name="Excel_BuiltIn_Print_Area_16_1_1_10_16">#REF!</definedName>
    <definedName name="Excel_BuiltIn_Print_Area_14_1_2_4">#REF!</definedName>
    <definedName name="_2__123Graph_BCHART_1">#REF!</definedName>
    <definedName name="ss9_geno_w">#REF!</definedName>
    <definedName name="EM_059_14">#REF!</definedName>
    <definedName name="p1350pcfdr">#REF!</definedName>
    <definedName name="___xlnm.Print_Area_8">#REF!</definedName>
    <definedName name="IE_May">#REF!</definedName>
    <definedName name="pImcc.3">#REF!</definedName>
    <definedName name="_SV7025">#REF!</definedName>
    <definedName name="_RE30">#REF!</definedName>
    <definedName name="___rt2">#REF!</definedName>
    <definedName name="EM_022_1">#REF!</definedName>
    <definedName name="CST_TR">#REF!</definedName>
    <definedName name="DEC.GH">#REF!</definedName>
    <definedName name="M1y">#REF!</definedName>
    <definedName name="ROLLFCWKGS">#REF!</definedName>
    <definedName name="Z0eq138">#REF!</definedName>
    <definedName name="Excel_BuiltIn_Print_Area_7_1_1_1_1_16">#REF!</definedName>
    <definedName name="QQQQQQQQQQ">#REF!</definedName>
    <definedName name="Excel_BuiltIn_Print_Area_11_1_11_27">#REF!</definedName>
    <definedName name="st">#REF!</definedName>
    <definedName name="Tkl">#REF!</definedName>
    <definedName name="EM_063_17">#REF!</definedName>
    <definedName name="vwo">#REF!</definedName>
    <definedName name="sssummary_config1">#REF!</definedName>
    <definedName name="BuiltIn_Print_Titles___0___0___0___0___0___0___0___0___0">#REF!</definedName>
    <definedName name="PAGE10">#REF!</definedName>
    <definedName name="Excel_BuiltIn_Print_Area_9_1_7_27">#REF!</definedName>
    <definedName name="m8_e_f">#REF!</definedName>
    <definedName localSheetId="5" name="pH">#REF!</definedName>
    <definedName name="____xlnm.Print_Area_5">#REF!</definedName>
    <definedName name="________________________________________xlnm.Print_Area_2">#REF!</definedName>
    <definedName name="Excel_BuiltIn_Print_Area_29_15">#REF!</definedName>
    <definedName localSheetId="8" name="__xlnm._FilterDatabase_3">#REF!</definedName>
    <definedName name="Excel_BuiltIn_Print_Area_13_1_17_27">#REF!</definedName>
    <definedName name="GPs">#REF!</definedName>
    <definedName name="__________________________________________xlnm.Print_Area_2">#REF!</definedName>
    <definedName name="LYReturns">#REF!</definedName>
    <definedName name="butterfly">#REF!</definedName>
    <definedName name="lel">#REF!</definedName>
    <definedName name="Excel_BuiltIn_Print_Area_17_1_1_5">#REF!</definedName>
    <definedName name="amin2">#REF!</definedName>
    <definedName name="Excel_BuiltIn_Print_Area_15_1_1_1_27">#REF!</definedName>
    <definedName name="__________xlnm.Print_Area_5">#REF!</definedName>
    <definedName name="EM_039_8">#REF!</definedName>
    <definedName name="Tbf">#REF!</definedName>
    <definedName name="BD1StateMin">#REF!</definedName>
    <definedName name="osm">#REF!</definedName>
    <definedName name="_____________________IDA1">#REF!</definedName>
    <definedName name="Excel_BuiltIn_Print_Area_13_1_6">#REF!</definedName>
    <definedName name="s0ne">#REF!</definedName>
    <definedName name="EM_039_11">#REF!</definedName>
    <definedName name="Pby">#REF!</definedName>
    <definedName name="Excel_BuiltIn_Print_Area_17_1_7_27">#REF!</definedName>
    <definedName name="__________________________________iv19000">#REF!</definedName>
    <definedName name="Ao">#REF!</definedName>
    <definedName name="Excel_BuiltIn_Print_Area_2_1_20_16">#REF!</definedName>
    <definedName name="AXXX3">#REF!</definedName>
    <definedName name="__DAT7">#REF!</definedName>
    <definedName name="EM_003_7">#REF!</definedName>
    <definedName name="Excel_BuiltIn_Print_Area_8_1_1_5_2">#REF!</definedName>
    <definedName name="Zeq20.48">#REF!</definedName>
    <definedName name="____________________________________________in18900">#REF!</definedName>
    <definedName name="IE_Top_Key">#REF!</definedName>
    <definedName name="XRefCopy48">#REF!</definedName>
    <definedName name="EM_030_9">#REF!</definedName>
    <definedName name="XRefCopy32Row">#REF!</definedName>
    <definedName name="EM_006_2">#REF!</definedName>
    <definedName name="CRPANEL">#REF!</definedName>
    <definedName name="Excel_BuiltIn__FilterDatabase_26_4">#REF!</definedName>
    <definedName name="Excel_BuiltIn_Print_Area_12_1_14_2">#REF!</definedName>
    <definedName name="Z0So">#REF!</definedName>
    <definedName name="tvtv">#REF!</definedName>
    <definedName name="Excel_BuiltIn_Print_Area_7_1_1_14_2">#REF!</definedName>
    <definedName name="Excel_BuiltIn_Print_Area_2_1_1_1_1_1_4">#REF!</definedName>
    <definedName name="schools">#REF!</definedName>
    <definedName name="__DIS1">#REF!</definedName>
    <definedName name="Excel_BuiltIn_Print_Area_4_1_3_16">#REF!</definedName>
    <definedName name="FIrate">#REF!</definedName>
    <definedName name="head1">#REF!</definedName>
    <definedName name="M">#REF!</definedName>
    <definedName name="Excel_BuiltIn_Print_Area_7_1_20_16">#REF!</definedName>
    <definedName localSheetId="8" name="PRICE">#REF!</definedName>
    <definedName name="ss6_st_v">#REF!</definedName>
    <definedName name="FI_SITESW">#REF!</definedName>
    <definedName name="TYPICALARRAY">#REF!</definedName>
    <definedName name="____aoc3">#REF!</definedName>
    <definedName name="p1pcc">#REF!</definedName>
    <definedName name="_________xlnm._FilterDatabase_1">#REF!</definedName>
    <definedName name="J">#REF!</definedName>
    <definedName name="Excel_BuiltIn_Print_Area_13_1_11_4">#REF!</definedName>
    <definedName name="y_strainer">#REF!</definedName>
    <definedName name="________xlnm.Print_Area_8">#REF!</definedName>
    <definedName name="EM_007_16">#REF!</definedName>
    <definedName name="_______________A81614">#REF!</definedName>
    <definedName name="Dialog5">#REF!</definedName>
    <definedName name="______________________________________xlnm.Print_Area_2">#REF!</definedName>
    <definedName name="_____________g1">#REF!</definedName>
    <definedName name="EM_017_13">#REF!</definedName>
    <definedName name="FLK">#REF!</definedName>
    <definedName name="wcl">#REF!</definedName>
    <definedName name="Excel_BuiltIn_Print_Area_8_1_1_27">#REF!</definedName>
    <definedName name="Excel_BuiltIn_Print_Area_8_1_16_2">#REF!</definedName>
    <definedName name="ldlen2">#REF!</definedName>
    <definedName name="modvat">#REF!</definedName>
    <definedName name="____pp2">#REF!</definedName>
    <definedName name="EM_023_3">#REF!</definedName>
    <definedName name="Excel_BuiltIn_Print_Area_12_1_1_17_16">#REF!</definedName>
    <definedName name="_A91614">#REF!</definedName>
    <definedName name="Excel_BuiltIn_Print_Area_17_1_5_1">#REF!</definedName>
    <definedName name="Excel_BuiltIn_Print_Area_5_1_13">#REF!</definedName>
    <definedName name="________m20">#REF!</definedName>
    <definedName name="CONT_BGT4_I_">#REF!</definedName>
    <definedName name="fa">#REF!</definedName>
    <definedName name="zl___13">#REF!</definedName>
    <definedName name="rmcsmsb.g">#REF!</definedName>
    <definedName name="Excel_BuiltIn_Print_Area_17_1_2_2">#REF!</definedName>
    <definedName name="_____cli3">#REF!</definedName>
    <definedName name="EM_008_12">#REF!</definedName>
    <definedName name="Excel_BuiltIn_Print_Area_17_1_3_16">#REF!</definedName>
    <definedName name="rmcmltsb">#REF!</definedName>
    <definedName name="Lr___0">#REF!</definedName>
    <definedName name="토목1">#REF!</definedName>
    <definedName name="___SAP4">#REF!</definedName>
    <definedName name="EH_002_9">#REF!</definedName>
    <definedName name="_1Excel_BuiltIn_Print_Area_3_1">#REF!</definedName>
    <definedName name="_11Excel_BuiltIn_Print_Area_4_1_1_1_1_1">#REF!</definedName>
    <definedName name="Excel_BuiltIn_Print_Area_7_1_20_2">#REF!</definedName>
    <definedName name="XRefCopy49Row">#REF!</definedName>
    <definedName name="___________aoc1">#REF!</definedName>
    <definedName name="EM_039_14">#REF!</definedName>
    <definedName name="pIaccp">#REF!</definedName>
    <definedName name="NJPE">#REF!</definedName>
    <definedName name="EM_027_11">#REF!</definedName>
    <definedName localSheetId="8" name="PAGE2">#REF!</definedName>
    <definedName name="____________xlnm.Print_Area_1">#REF!</definedName>
    <definedName name="cond.span">#REF!</definedName>
    <definedName name="_____SS404">#REF!</definedName>
    <definedName name="carpet___0">#REF!</definedName>
    <definedName name="XRefCopy69Row">#REF!</definedName>
    <definedName name="___xlnm.Print_Area_5">#REF!</definedName>
    <definedName name="MultipleSetsPrice">#REF!</definedName>
    <definedName localSheetId="8" name="_INT1">#REF!</definedName>
    <definedName name="Excel_BuiltIn_Print_Area_17_1_1_13">#REF!</definedName>
    <definedName name="건축">#REF!</definedName>
    <definedName name="Excel_BuiltIn_Print_Area_12_1_1_7_2">#REF!</definedName>
    <definedName name="___________xlnm.Print_Area_9">#REF!</definedName>
    <definedName name="______in18900">#REF!</definedName>
    <definedName name="_VS2004">#REF!</definedName>
    <definedName name="BOISAR_BAYWISE">#REF!</definedName>
    <definedName name="__hxb2">#REF!</definedName>
    <definedName name="sheet1">#REF!</definedName>
    <definedName name="hhhkh">#REF!</definedName>
    <definedName name="M20PCCcement">#REF!</definedName>
    <definedName name="SPEC_21">#REF!</definedName>
    <definedName name="Excel_BuiltIn_Print_Area_16_1_1_20_27">#REF!</definedName>
    <definedName name="psi">#REF!</definedName>
    <definedName localSheetId="8" name="POUNDS">#REF!</definedName>
    <definedName name="_19G_0Extr">#REF!</definedName>
    <definedName name="SPEC_19">#REF!</definedName>
    <definedName name="EM_009_8">#REF!</definedName>
    <definedName name="Excel_BuiltIn_Print_Area_2_1_1_13_2">#REF!</definedName>
    <definedName name="EM_052_17">#REF!</definedName>
    <definedName name="_______DET3">#REF!</definedName>
    <definedName name="Quote_Rev_No">#REF!</definedName>
    <definedName name="SS_Avg_OCA">#REF!</definedName>
    <definedName name="Group">#REF!</definedName>
    <definedName name="_____Xl1">#REF!</definedName>
    <definedName name="__hfi8">#REF!</definedName>
    <definedName name="______a999999">#REF!</definedName>
    <definedName name="Ac">#REF!</definedName>
    <definedName name="Excel_BuiltIn_Print_Area_7_1_20_4">#REF!</definedName>
    <definedName name="______________________________in18900">#REF!</definedName>
    <definedName name="w">#REF!</definedName>
    <definedName name="mll">#REF!</definedName>
    <definedName name="Excel_BuiltIn_Print_Area_5_1_1_2_2">#REF!</definedName>
    <definedName name="__Re1">#REF!</definedName>
    <definedName name="Excel_BuiltIn_Print_Area_15_1_3_27">#REF!</definedName>
    <definedName name="Excel_BuiltIn_Print_Area_5_1_1_15">#REF!</definedName>
    <definedName name="EM_015_6">#REF!</definedName>
    <definedName name="SOL">#REF!</definedName>
    <definedName name="Excel_BuiltIn_Print_Area_4_1">#REF!</definedName>
    <definedName name="CAPAUG">#REF!</definedName>
    <definedName name="IEPLANSALES">#REF!</definedName>
    <definedName name="Excel_BuiltIn_Print_Area_5_1_7_27">#REF!</definedName>
    <definedName name="________xlnm.Print_Area_10">#REF!</definedName>
    <definedName name="Excel_BuiltIn_Print_Area_4_1_1_6_27">#REF!</definedName>
    <definedName name="Lx___13">#REF!</definedName>
    <definedName name="Excel_BuiltIn_Print_Area_12_1_6_4">#REF!</definedName>
    <definedName name="Excel_BuiltIn_Print_Area_6_1_16_16">#REF!</definedName>
    <definedName name="STCTL">#REF!</definedName>
    <definedName name="___rt3">#REF!</definedName>
    <definedName name="k1l">#REF!</definedName>
    <definedName name="SC_SALE_FACT">#REF!</definedName>
    <definedName localSheetId="5" name="_Fpi1">#REF!</definedName>
    <definedName name="feb_qty_rev_3">#REF!</definedName>
    <definedName name="boq_type">#REF!</definedName>
    <definedName name="cashfloaa">#REF!</definedName>
    <definedName localSheetId="8" name="Qspan">#REF!</definedName>
    <definedName name="EM_033_16">#REF!</definedName>
    <definedName name="sch.40">#REF!</definedName>
    <definedName name="Excel_BuiltIn__FilterDatabase_14_16_2">#REF!</definedName>
    <definedName name="Excel_BuiltIn_Print_Area_14_1_7">#REF!</definedName>
    <definedName name="ddash">#REF!</definedName>
    <definedName name="cell">#REF!</definedName>
    <definedName name="Excel_BuiltIn_Print_Area_8_1_16">#REF!</definedName>
    <definedName name="Excel_BuiltIn_Print_Area_11_1_8_2">#REF!</definedName>
    <definedName name="qegweng">#REF!</definedName>
    <definedName name="Excel_BuiltIn_Print_Area_7_1_1_16_16">#REF!</definedName>
    <definedName name="Excel_BuiltIn_Print_Area_10_1_7_27">#REF!</definedName>
    <definedName name="Excel_BuiltIn_Print_Area_13_1_8_2">#REF!</definedName>
    <definedName name="N">#REF!</definedName>
    <definedName name="Projects">#REF!</definedName>
    <definedName name="CRMB60">#REF!</definedName>
    <definedName name="____________________________________xlnm.Print_Area_3">#REF!</definedName>
    <definedName name="EM_022_2">#REF!</definedName>
    <definedName name="__123Graph_C">#REF!</definedName>
    <definedName name="MF_AUTImp_ABB">#REF!</definedName>
    <definedName name="Excel_BuiltIn_Print_Area_5_1_1_17_4">#REF!</definedName>
    <definedName name="_____g1">#REF!</definedName>
    <definedName name="current5">#REF!</definedName>
    <definedName name="_fac3">#REF!</definedName>
    <definedName name="lmcsmsb.b">#REF!</definedName>
    <definedName localSheetId="8" name="___xlnm.Print_Area_10">#REF!</definedName>
    <definedName name="LYBin">#REF!</definedName>
    <definedName name="_____6___123Graph_CCHART_1">#REF!</definedName>
    <definedName name="Excel_BuiltIn_Print_Area_7_1_1_2">#REF!</definedName>
    <definedName name="EM_014_6">#REF!</definedName>
    <definedName name="Ld">#REF!</definedName>
    <definedName name="plan">#REF!</definedName>
    <definedName name="EM_014_15">#REF!</definedName>
    <definedName name="KISHOR">#REF!</definedName>
    <definedName name="pd">#REF!</definedName>
    <definedName name="ss9_gt_w">#REF!</definedName>
    <definedName localSheetId="8" name="h">#REF!</definedName>
    <definedName name="OrderTable">#REF!</definedName>
    <definedName name="Excel_BuiltIn_Print_Area_5_1_3_16">#REF!</definedName>
    <definedName name="__________________________________________________iv19000">#REF!</definedName>
    <definedName name="Excel_BuiltIn_Print_Area_5_9_16">#REF!</definedName>
    <definedName name="__________________xlnm.Print_Titles_1">#REF!</definedName>
    <definedName name="Excel_BuiltIn_Print_Area_14_1_5_1">#REF!</definedName>
    <definedName name="Excel_BuiltIn_Print_Area_8_1_1_13_4">#REF!</definedName>
    <definedName name="EM_028_14">#REF!</definedName>
    <definedName name="EM_010_16">#REF!</definedName>
    <definedName name="_____________________iv19000">#REF!</definedName>
    <definedName name="Excel_BuiltIn_Print_Area_5_1_6_2">#REF!</definedName>
    <definedName name="Excel_BuiltIn_Print_Area_29_9_2">#REF!</definedName>
    <definedName name="BaseIronSteel">#REF!</definedName>
    <definedName name="___aba2">#REF!</definedName>
    <definedName name="Excel_BuiltIn_Print_Area_28_11">#REF!</definedName>
    <definedName name="Excel_BuiltIn_Print_Area_14_1_15_4">#REF!</definedName>
    <definedName name="Excel_BuiltIn_Print_Area_4_1_1_1_1_16">#REF!</definedName>
    <definedName name="EM_019_2">#REF!</definedName>
    <definedName name="__DET1">#REF!</definedName>
    <definedName name="KTB">#REF!</definedName>
    <definedName name="________aoc2">#REF!</definedName>
    <definedName name="CAPSEP">#REF!</definedName>
    <definedName name="POST">#REF!</definedName>
    <definedName name="___2____123Graph_BCHART_1">#REF!</definedName>
    <definedName name="BL5C">#REF!</definedName>
    <definedName name="april_qty">#REF!</definedName>
    <definedName name="EM_020_8">#REF!</definedName>
    <definedName name="de_cost">#REF!</definedName>
    <definedName name="_____Vf1">#REF!</definedName>
    <definedName name="Excel_BuiltIn_Print_Area_13_1_10_16">#REF!</definedName>
    <definedName name="EM_029_6">#REF!</definedName>
    <definedName name="Excel_BuiltIn_Print_Area_10_1_3_2">#REF!</definedName>
    <definedName name="__sig1">#REF!</definedName>
    <definedName name="R_">#REF!</definedName>
    <definedName name="MANU5">#REF!</definedName>
    <definedName name="EM_037_9">#REF!</definedName>
    <definedName name="totalmc1">#REF!</definedName>
    <definedName name="Excel_BuiltIn_Print_Area_2_1_1_5">#REF!</definedName>
    <definedName name="Excel_BuiltIn_Print_Area_4_1_1_3">#REF!</definedName>
    <definedName name="fmw">#REF!</definedName>
    <definedName name="SPEC_16">#REF!</definedName>
    <definedName localSheetId="8" name="Excel_BuiltIn_Print_Titles_1">#REF!</definedName>
    <definedName name="sadafas">#REF!</definedName>
    <definedName name="___DAT2">#REF!</definedName>
    <definedName name="Excel_BuiltIn_Print_Area_3_1_3_16">#REF!</definedName>
    <definedName name="BAL">#REF!</definedName>
    <definedName name="swd_cd">#REF!</definedName>
    <definedName localSheetId="8" name="__Ism3">#REF!</definedName>
    <definedName name="Excel_BuiltIn_Print_Area_9_1_10">#REF!</definedName>
    <definedName localSheetId="8" name="march_qty">#REF!</definedName>
    <definedName name="EM_010_3">#REF!</definedName>
    <definedName name="EM_020_14">#REF!</definedName>
    <definedName name="hhhhhhh">#REF!</definedName>
    <definedName name="Fpi">#REF!</definedName>
    <definedName name="Excel_BuiltIn_Print_Area_10_1_8">#REF!</definedName>
    <definedName name="ss8_hrsg_f">#REF!</definedName>
    <definedName name="Excel_BuiltIn_Print_Area_1_1_27">#REF!</definedName>
    <definedName name="_buh11">#REF!</definedName>
    <definedName name="EM_037_12">#REF!</definedName>
    <definedName name="ss8_gt_w">#REF!</definedName>
    <definedName name="ohe">#REF!</definedName>
    <definedName name="_F3">#REF!</definedName>
    <definedName name="Excel_BuiltIn_Print_Area_16_1_1_14">#REF!</definedName>
    <definedName name="___________________________________dol12">#REF!</definedName>
    <definedName name="Aic_Instrumentation_List">#REF!</definedName>
    <definedName name="Excel_BuiltIn_Print_Area_15_1_14_4">#REF!</definedName>
    <definedName name="Excel_BuiltIn_Print_Area_3_1_9">#REF!</definedName>
    <definedName name="Excel_BuiltIn_Print_Area_4_1_16">#REF!</definedName>
    <definedName name="IE_Per_Key">#REF!</definedName>
    <definedName name="BuiltIn_Print_Area___0___0___0">#REF!</definedName>
    <definedName name="Es___0">#REF!</definedName>
    <definedName name="Excel_BuiltIn_Print_Area_15_1_3">#REF!</definedName>
    <definedName name="Excel_BuiltIn_Print_Area_7_1_1_1_16">#REF!</definedName>
    <definedName name="ssf">#REF!</definedName>
    <definedName name="vvv">#REF!</definedName>
    <definedName name="EM_013_7">#REF!</definedName>
    <definedName name="Excel_BuiltIn_Print_Area_13_1_20_2">#REF!</definedName>
    <definedName name="PATHPR1">#REF!</definedName>
    <definedName name="__________iv19000">#REF!</definedName>
    <definedName name="__DAT11">#REF!</definedName>
    <definedName name="er">#REF!</definedName>
    <definedName name="Excel_BuiltIn_Print_Area_4_1_1_6_16">#REF!</definedName>
    <definedName name="_______SS409">#REF!</definedName>
    <definedName name="TowerBottomFaceWidth">#REF!</definedName>
    <definedName name="ama">#REF!</definedName>
    <definedName name="_Ki1">#REF!</definedName>
    <definedName name="Ql___13">#REF!</definedName>
    <definedName name="_5__123Graph_ACHART_1">#REF!</definedName>
    <definedName name="EM_030_8">#REF!</definedName>
    <definedName name="Excel_BuiltIn_Print_Area_14_1_11_2">#REF!</definedName>
    <definedName localSheetId="8" name="JEJS___0">#REF!</definedName>
    <definedName name="BD1TransEvent2">#REF!</definedName>
    <definedName name="Excel_BuiltIn_Print_Area_2_1_1_1_7_27">#REF!</definedName>
    <definedName name="lmcmsb.ups">#REF!</definedName>
    <definedName name="_____xlnm.Print_Titles_4">#REF!</definedName>
    <definedName name="Excel_BuiltIn_Print_Area_8_1_1_16_1">#REF!</definedName>
    <definedName name="EM_009_5">#REF!</definedName>
    <definedName name="RCD">#REF!</definedName>
    <definedName name="Excel_BuiltIn_Print_Area_2_1_1_1_6">#REF!</definedName>
    <definedName name="__________xlnm.Print_Area_6">#REF!</definedName>
    <definedName name="PWr">#REF!</definedName>
    <definedName name="SourceV">#REF!</definedName>
    <definedName name="Excel_BuiltIn_Print_Area_6_1_14_27">#REF!</definedName>
    <definedName name="_fac1">#REF!</definedName>
    <definedName name="_rt1">#REF!</definedName>
    <definedName name="EP_OB_IU">#REF!</definedName>
    <definedName name="Excel_BuiltIn_Print_Area_28_1">#REF!</definedName>
    <definedName name="zspu___13">#REF!</definedName>
    <definedName name="NOK">#REF!</definedName>
    <definedName name="rr">#REF!</definedName>
    <definedName name="TTA">#REF!</definedName>
    <definedName name="_____________xlnm.Print_Area_9">#REF!</definedName>
    <definedName name="Excel_BuiltIn_Print_Area_29_7_4">#REF!</definedName>
    <definedName name="ml33kv">#REF!</definedName>
    <definedName name="________________________xlnm.Print_Area_2">#REF!</definedName>
    <definedName name="____CTR500">#REF!</definedName>
    <definedName name="AF_02">#REF!</definedName>
    <definedName name="Excel_BuiltIn_Print_Area_2_1_1_1_5_2">#REF!</definedName>
    <definedName name="________________xlnm.Print_Area_3">#REF!</definedName>
    <definedName name="staff">#REF!</definedName>
    <definedName name="___________________________________________________iv19000">#REF!</definedName>
    <definedName name="PIN">#REF!</definedName>
    <definedName name="SPEC2">#REF!</definedName>
    <definedName name="Excel_BuiltIn_Print_Area_4_1_17_16">#REF!</definedName>
    <definedName name="Excel_BuiltIn_Print_Area_4_1_20_2">#REF!</definedName>
    <definedName name="FCode">#REF!</definedName>
    <definedName name="Mcwc">#REF!</definedName>
    <definedName name="Excel_BuiltIn_Print_Area_13_1_20_27">#REF!</definedName>
    <definedName name="_9Excel_BuiltIn_Print_Area_4_1_1_1">#REF!</definedName>
    <definedName name="CTR">#REF!</definedName>
    <definedName name="Excel_BuiltIn_Print_Area_11_1_2_4">#REF!</definedName>
    <definedName name="Excel_BuiltIn_Print_Area_10_8_27">#REF!</definedName>
    <definedName name="Excel_BuiltIn_Print_Area_17_1_5_16">#REF!</definedName>
    <definedName name="Excel_BuiltIn_Print_Area_11_1_6_2">#REF!</definedName>
    <definedName name="EM_039_6">#REF!</definedName>
    <definedName name="CVT">#REF!</definedName>
    <definedName name="_CFB2">#REF!</definedName>
    <definedName name="공장">#REF!</definedName>
    <definedName name="ax">#REF!</definedName>
    <definedName name="Excel_BuiltIn_Print_Area_12_1_1_2">#REF!</definedName>
    <definedName name="EM_004_11">#REF!</definedName>
    <definedName name="SS_OI_Cust">#REF!</definedName>
    <definedName name="Excel_BuiltIn_Print_Area_2_1_1_1_2">#REF!</definedName>
    <definedName name="Excel_BuiltIn_Print_Area_1_1_1_2">#REF!</definedName>
    <definedName name="_________3____123Graph_CCHART_1">#REF!</definedName>
    <definedName name="Excel_BuiltIn_Print_Area_12_1_20_16">#REF!</definedName>
    <definedName name="SandI_Mobi_Mth">#REF!</definedName>
    <definedName name="EM_010_2">#REF!</definedName>
    <definedName name="oth">#REF!</definedName>
    <definedName name="______SS404">#REF!</definedName>
    <definedName name="____bhh2">#REF!</definedName>
    <definedName name="SHAB">#REF!</definedName>
    <definedName name="DaRWk12">#REF!</definedName>
    <definedName name="manday1">#REF!</definedName>
    <definedName name="Excel_BuiltIn_Print_Area_2_1_10_2">#REF!</definedName>
    <definedName name="SUPPLY">#REF!</definedName>
    <definedName name="agencydump">#REF!</definedName>
    <definedName name="TRANS">#REF!</definedName>
    <definedName name="XREF_COLUMN_18">#REF!</definedName>
    <definedName name="__xlnm.Print_Area_7">#REF!</definedName>
    <definedName name="____pp1">#REF!</definedName>
    <definedName name="CAPA4">#REF!</definedName>
    <definedName name="____________________________________________dol12">#REF!</definedName>
    <definedName name="____SDF2">#REF!</definedName>
    <definedName name="brk">#REF!</definedName>
    <definedName name="EM_025_15">#REF!</definedName>
    <definedName name="Excel_BuiltIn_Print_Area_9_1_6_2">#REF!</definedName>
    <definedName name="Group_PM">#REF!</definedName>
    <definedName name="ssl">#REF!</definedName>
    <definedName name="Excel_BuiltIn_Print_Area_4_1_5_1">#REF!</definedName>
    <definedName name="AIR_COOLER_CODES">#REF!</definedName>
    <definedName name="Excel_BuiltIn_Print_Area_12_1_1_13_16">#REF!</definedName>
    <definedName name="Sel_SiteInfra_Rail_OHE">#REF!</definedName>
    <definedName name="Excel_BuiltIn_Print_Area_15_1_7_2">#REF!</definedName>
    <definedName name="Kw__70_kg">#REF!</definedName>
    <definedName name="RECOUT">#REF!</definedName>
    <definedName name="Excel_BuiltIn_Print_Area_2_1_4">#REF!</definedName>
    <definedName name="___xlnm._FilterDatabase_3">#REF!</definedName>
    <definedName name="EM_005_15">#REF!</definedName>
    <definedName name="____________________________________xlnm.Print_Area_1">#REF!</definedName>
    <definedName name="__pfi1">#REF!</definedName>
    <definedName name="__Hra2">#REF!</definedName>
    <definedName name="EM_013_14">#REF!</definedName>
    <definedName name="_8__123Graph_BCHART_1">#REF!</definedName>
    <definedName name="_____aoc1">#REF!</definedName>
    <definedName name="EM_005_9">#REF!</definedName>
    <definedName name="Excel_BuiltIn_Print_Area_17_1_1_6_27">#REF!</definedName>
    <definedName name="Taf">#REF!</definedName>
    <definedName name="AF">#REF!</definedName>
    <definedName localSheetId="8" name="Excel_BuiltIn_Print_Area_1_1">#REF!</definedName>
    <definedName name="__axx3">#REF!</definedName>
    <definedName localSheetId="8" name="tcap">#REF!</definedName>
    <definedName name="_7__________123Graph_ACHART_1">#REF!</definedName>
    <definedName name="LTR">#REF!</definedName>
    <definedName name="MB">#REF!</definedName>
    <definedName name="cummeas_up_to_mar">#REF!</definedName>
    <definedName name="Excel_BuiltIn_Print_Area_16_1_1_1_1_4">#REF!</definedName>
    <definedName name="Excel_BuiltIn_Print_Titles_9_4">#REF!</definedName>
    <definedName name="Excel_BuiltIn_Print_Area_4_1_1_1_1_1_1_1_1_1_1_1">#REF!</definedName>
    <definedName name="EM_012_4">#REF!</definedName>
    <definedName name="_P5">#REF!</definedName>
    <definedName name="Excel_BuiltIn_Print_Area_16_1_1_16_2">#REF!</definedName>
    <definedName name="Excel_BuiltIn_Print_Area_4_1_16_1">#REF!</definedName>
    <definedName name="___cli4">#REF!</definedName>
    <definedName name="ml">#REF!</definedName>
    <definedName name="EM_005_14">#REF!</definedName>
    <definedName name="간경2">#REF!</definedName>
    <definedName localSheetId="8" name="ss">#REF!</definedName>
    <definedName name="RERE">#REF!</definedName>
    <definedName name="substation">#REF!</definedName>
    <definedName name="Z1so">#REF!</definedName>
    <definedName name="Value2">#REF!</definedName>
    <definedName name="EM_026_6">#REF!</definedName>
    <definedName name="EM_013_8">#REF!</definedName>
    <definedName name="BASE_PLATE">#REF!</definedName>
    <definedName name="EM_019_17">#REF!</definedName>
    <definedName name="Excel_BuiltIn_Print_Area_2_1_1_1_8_2">#REF!</definedName>
    <definedName name="Excel_BuiltIn_Print_Titles_2_1_1">#REF!</definedName>
    <definedName name="Excel_BuiltIn_Print_Area_8_1_13_16">#REF!</definedName>
    <definedName name="Rl">#REF!</definedName>
    <definedName name="__Wc1">#REF!</definedName>
    <definedName name="________________________xlnm.Print_Titles_1">#REF!</definedName>
    <definedName name="rldif">#REF!</definedName>
    <definedName name="Value5">#REF!</definedName>
    <definedName name="FireFighting">#REF!</definedName>
    <definedName name="_R">#REF!</definedName>
    <definedName name="Excel_BuiltIn_Print_Area_28_2_16">#REF!</definedName>
    <definedName name="rakesh">#REF!</definedName>
    <definedName name="_________8__123Graph_BCHART_1">#REF!</definedName>
    <definedName name="h_af">#REF!</definedName>
    <definedName name="EM_020_4">#REF!</definedName>
    <definedName name="abcd">#REF!</definedName>
    <definedName name="__________________________________________in18900">#REF!</definedName>
    <definedName name="______________lb2">#REF!</definedName>
    <definedName name="ss8_st_v">#REF!</definedName>
    <definedName name="UMD">#REF!</definedName>
    <definedName name="vspatelkvp">#REF!</definedName>
    <definedName name="Value16">#REF!</definedName>
    <definedName name="TL_Key">#REF!</definedName>
    <definedName name="BI">#REF!</definedName>
    <definedName name="Excel_BuiltIn_Print_Area_12_1_1_7_4">#REF!</definedName>
    <definedName name="Excel_BuiltIn_Print_Area_28_9_27">#REF!</definedName>
    <definedName name="Supplies">#REF!</definedName>
    <definedName name="ESC_IMPHW">#REF!</definedName>
    <definedName name="HTn">#REF!</definedName>
    <definedName name="ss6_hrsg_f">#REF!</definedName>
    <definedName name="MADHU">#REF!</definedName>
    <definedName name="Excel_BuiltIn_Print_Area_2_1_1_11_27">#REF!</definedName>
    <definedName name="lc350pcfdr">#REF!</definedName>
    <definedName name="____SAP9">#REF!</definedName>
    <definedName name="EM_009_1">#REF!</definedName>
    <definedName name="ch_area2">#REF!</definedName>
    <definedName name="agdump">#REF!</definedName>
    <definedName name="Excel_BuiltIn_Print_Area_16_1">#REF!</definedName>
    <definedName name="BL4BBB">#REF!</definedName>
    <definedName name="hS___0">#REF!</definedName>
    <definedName name="Excel_BuiltIn_Print_Area_4_1_1_4">#REF!</definedName>
    <definedName name="Excel_BuiltIn_Print_Area_5_1_16_1">#REF!</definedName>
    <definedName name="EM_069_15">#REF!</definedName>
    <definedName name="Vmin">#REF!</definedName>
    <definedName localSheetId="8" name="_____SS402">#REF!</definedName>
    <definedName name="Excised">#REF!</definedName>
    <definedName name="PSIX">#REF!</definedName>
    <definedName name="building___0">#REF!</definedName>
    <definedName name="Excel_BuiltIn_Print_Area_28_11_2">#REF!</definedName>
    <definedName name="p.s">#REF!</definedName>
    <definedName name="_2Excel_BuiltIn_Print_Area_12_1_1_1_1">#REF!</definedName>
    <definedName name="EM_061_16">#REF!</definedName>
    <definedName name="Ks">#REF!</definedName>
    <definedName name="_________aoc2">#REF!</definedName>
    <definedName name="Excel_BuiltIn_Print_Area_2_1_1_1_15_16">#REF!</definedName>
    <definedName name="AP">#REF!</definedName>
    <definedName name="Excel_BuiltIn_Print_Area_5_1_1_10">#REF!</definedName>
    <definedName name="dtnps">#REF!</definedName>
    <definedName name="BoltCircle">#REF!</definedName>
    <definedName name="Excel_BuiltIn_Print_Area_5_13_27">#REF!</definedName>
    <definedName name="Excel_BuiltIn_Print_Area_5_14">#REF!</definedName>
    <definedName name="Excel_BuiltIn_Print_Area_13_1_11_2">#REF!</definedName>
    <definedName name="EM_014_10">#REF!</definedName>
    <definedName name="_______SS423">#REF!</definedName>
    <definedName name="EM_054_14">#REF!</definedName>
    <definedName name="Excel_BuiltIn_Print_Area_8_1_10_16">#REF!</definedName>
    <definedName name="RCCpipe600">#REF!</definedName>
    <definedName name="Excel_BuiltIn_Print_Area_4_1_1_1_1_4">#REF!</definedName>
    <definedName name="Excel_BuiltIn_Print_Area_7_1_13">#REF!</definedName>
    <definedName name="mcabb3502i1bc8f">#REF!</definedName>
    <definedName name="AHAHAHAHAH">#REF!</definedName>
    <definedName name="_________________dol6">#REF!</definedName>
    <definedName name="_HE61">#REF!</definedName>
    <definedName name="KARAM">#REF!</definedName>
    <definedName name="_Ann1">#REF!</definedName>
    <definedName name="SWGR12">#REF!</definedName>
    <definedName name="Excel_BuiltIn_Print_Area_15_1_9">#REF!</definedName>
    <definedName name="Excel_BuiltIn_Print_Area_4_1_1">#REF!</definedName>
    <definedName name="adfad">#REF!</definedName>
    <definedName name="XRefCopy35Row">#REF!</definedName>
    <definedName name="CONS">#REF!</definedName>
    <definedName name="Excel_BuiltIn_Print_Area_11_1_10">#REF!</definedName>
    <definedName name="Excel_BuiltIn_Print_Area_15_1_2">#REF!</definedName>
    <definedName name="XRefPaste33">#REF!</definedName>
    <definedName name="__________mm3">#REF!</definedName>
    <definedName name="Excel_BuiltIn__FilterDatabase_28">#REF!</definedName>
    <definedName name="Excel_BuiltIn_Print_Area_17_1_1_7">#REF!</definedName>
    <definedName name="EH_001_10">#REF!</definedName>
    <definedName name="Excel_BuiltIn_Print_Area_11_1_1_27">#REF!</definedName>
    <definedName name="Excel_BuiltIn_Print_Area_12_1_1_7">#REF!</definedName>
    <definedName name="ec_charges">#REF!</definedName>
    <definedName name="QV_A">#REF!</definedName>
    <definedName name="BAUfaktor">#REF!</definedName>
    <definedName name="PATHJVPR222">#REF!</definedName>
    <definedName name="______Tkl1">#REF!</definedName>
    <definedName name="QFC_USDs">#REF!</definedName>
    <definedName name="Excel_BuiltIn_Print_Area_14_1_9_16">#REF!</definedName>
    <definedName name="ROLLGFC">#REF!</definedName>
    <definedName name="___axx3">#REF!</definedName>
    <definedName name="_B1">#REF!</definedName>
    <definedName localSheetId="8" name="TEST1">#REF!</definedName>
    <definedName name="__________m35">#REF!</definedName>
    <definedName name="Excel_BuiltIn_Print_Titles_14">#REF!</definedName>
    <definedName name="cd">#REF!</definedName>
    <definedName name="EM_017_17">#REF!</definedName>
    <definedName name="ml33b3">#REF!</definedName>
    <definedName name="Thickness_of_PCC">#REF!</definedName>
    <definedName name="VUTP">#REF!</definedName>
    <definedName name="Cost_Per_Manday">#REF!</definedName>
    <definedName name="Excel_BuiltIn_Print_Area_17_1_12_27">#REF!</definedName>
    <definedName name="pti">#REF!</definedName>
    <definedName name="_________________________________xlnm.Print_Area_2">#REF!</definedName>
    <definedName name="sigmat">#REF!</definedName>
    <definedName name="Excel_BuiltIn_Print_Area_8_1_5_27">#REF!</definedName>
    <definedName name="DATA_25">#REF!</definedName>
    <definedName name="Excel_BuiltIn_Print_Area_9_1_17">#REF!</definedName>
    <definedName name="Excel_BuiltIn_Print_Area_6_1_16_2">#REF!</definedName>
    <definedName name="elt">#REF!</definedName>
    <definedName name="EM_037_15">#REF!</definedName>
    <definedName name="EM_001_3">#REF!</definedName>
    <definedName name="Excel_BuiltIn_Print_Area_8_1_1_10_16">#REF!</definedName>
    <definedName name="fdhd">#REF!</definedName>
    <definedName name="design">#REF!</definedName>
    <definedName name="______2____123Graph_BCHART_1">#REF!</definedName>
    <definedName name="___xlnm.Print_Area_11">#REF!</definedName>
    <definedName name="xt">#REF!</definedName>
    <definedName name="DATTA">#REF!</definedName>
    <definedName name="Excel_BuiltIn_Print_Area_8_1_1_5_1">#REF!</definedName>
    <definedName name="Revision">#REF!</definedName>
    <definedName name="Excel_BuiltIn_Print_Area_5_1_1_14_27">#REF!</definedName>
    <definedName name="POUNDS">#REF!</definedName>
    <definedName name="Excel_BuiltIn_Print_Area_8_1_1_14_16">#REF!</definedName>
    <definedName name="Excel_BuiltIn_Print_Area_12_1_27">#REF!</definedName>
    <definedName name="___mm3">#REF!</definedName>
    <definedName name="_RE104">#REF!</definedName>
    <definedName name="EM_019_11">#REF!</definedName>
    <definedName name="QFC_NOKs">#REF!</definedName>
    <definedName name="region">#REF!</definedName>
    <definedName name="FI_IDTOHW">#REF!</definedName>
    <definedName name="______________xlnm._FilterDatabase_1">#REF!</definedName>
    <definedName name="_LAR220">#REF!</definedName>
    <definedName name="Value37">#REF!</definedName>
    <definedName localSheetId="8" name="SEPT">#REF!</definedName>
    <definedName name="EM_055_14">#REF!</definedName>
    <definedName name="ACDC">#REF!</definedName>
    <definedName name="bol">#REF!</definedName>
    <definedName name="Excel_BuiltIn_Print_Area_29_17_16">#REF!</definedName>
    <definedName name="LEGEND">#REF!</definedName>
    <definedName name="PATHJV22">#REF!</definedName>
    <definedName name="_____Ism3">#REF!</definedName>
    <definedName name="_HE1">#REF!</definedName>
    <definedName name="_SAP4">#REF!</definedName>
    <definedName name="Excel_BuiltIn_Print_Area_14_1_15_16">#REF!</definedName>
    <definedName name="EM_022_12">#REF!</definedName>
    <definedName name="Rev">#REF!</definedName>
    <definedName name="Excel_BuiltIn_Print_Area_6_1_14_16">#REF!</definedName>
    <definedName name="ly">#REF!</definedName>
    <definedName name="Excel_BuiltIn_Print_Area_6_1_5">#REF!</definedName>
    <definedName name="manday1___0">#REF!</definedName>
    <definedName name="________________IDA1">#REF!</definedName>
    <definedName name="Value30">#REF!</definedName>
    <definedName name="Qspan">#REF!</definedName>
    <definedName name="EM_064_18">#REF!</definedName>
    <definedName name="Excel_BuiltIn_Print_Area_29_12_27">#REF!</definedName>
    <definedName name="sfnumplate_usd">#REF!</definedName>
    <definedName name="EM_012_5">#REF!</definedName>
    <definedName name="EM_015_16">#REF!</definedName>
    <definedName name="Excel_BuiltIn_Print_Area_8_1_1_1_16">#REF!</definedName>
    <definedName localSheetId="8" name="______SS403">#REF!</definedName>
    <definedName name="EM_031_6">#REF!</definedName>
    <definedName name="rmcmcc.1">#REF!</definedName>
    <definedName name="______kd2">#REF!</definedName>
    <definedName name="_____________in18900">#REF!</definedName>
    <definedName name="Excel_BuiltIn_Print_Area_15_1_12_2">#REF!</definedName>
    <definedName name="______Ism3">#REF!</definedName>
    <definedName name="___DAT13">#REF!</definedName>
    <definedName name="EM_034_10">#REF!</definedName>
    <definedName name="_____DAT16">#REF!</definedName>
    <definedName name="Approach">#REF!</definedName>
    <definedName name="__out2">#REF!</definedName>
    <definedName name="Excel_BuiltIn_Print_Area_4_1_1_14_4">#REF!</definedName>
    <definedName name="Excel_BuiltIn_Print_Area_7_1_1_6_4">#REF!</definedName>
    <definedName name="_trt75">#REF!</definedName>
    <definedName name="Depth_below_ground_level">#REF!</definedName>
    <definedName name="BL5BB">#REF!</definedName>
    <definedName name="Excel_BuiltIn_Print_Area_20_1_4">#REF!</definedName>
    <definedName name="Excel_BuiltIn_Print_Area_10_1_20_16">#REF!</definedName>
    <definedName name="XRefPaste13">#REF!</definedName>
    <definedName name="_____SS409">#REF!</definedName>
    <definedName name="alpha_disc">#REF!</definedName>
    <definedName name="_____xlnm.Print_Area_3">#REF!</definedName>
    <definedName name="Excel_BuiltIn_Print_Area_9">#REF!</definedName>
    <definedName name="Package3">#REF!</definedName>
    <definedName localSheetId="8" name="sastry">#REF!</definedName>
    <definedName name="_______________________________________dol12">#REF!</definedName>
    <definedName name="_______________________b111121">#REF!</definedName>
    <definedName name="cgxcf">#REF!</definedName>
    <definedName name="Excel_BuiltIn_Print_Area_13_1_13_27">#REF!</definedName>
    <definedName name="mlc33b1">#REF!</definedName>
    <definedName name="_____________xlnm.Print_Area_6">#REF!</definedName>
    <definedName name="PRINT_AREA2">#REF!</definedName>
    <definedName name="tableau1">#REF!</definedName>
    <definedName name="XRefPaste43Row">#REF!</definedName>
    <definedName name="p1pdb">#REF!</definedName>
    <definedName name="Excel_BuiltIn_Print_Area_5_1_6_4">#REF!</definedName>
    <definedName name="REP">#REF!</definedName>
    <definedName name="WEIGHT_FACTORS_drums">#REF!</definedName>
    <definedName name="_____SS405">#REF!</definedName>
    <definedName name="Excel_BuiltIn_Print_Area_7_1_1_6_2">#REF!</definedName>
    <definedName name="Excel_BuiltIn_Print_Area_9_1_5_16">#REF!</definedName>
    <definedName name="Excel_BuiltIn_Print_Area_13_1_10_2">#REF!</definedName>
    <definedName name="Excel_BuiltIn_Print_Area_28_2_2">#REF!</definedName>
    <definedName name="_______xlnm._FilterDatabase_3">#REF!</definedName>
    <definedName name="Excel_BuiltIn_Print_Area_28_8_16">#REF!</definedName>
    <definedName name="ZSS___13">#REF!</definedName>
    <definedName name="_______in18900">#REF!</definedName>
    <definedName localSheetId="8" name="Excel_BuiltIn_Print_Titles_4_1_1">#REF!</definedName>
    <definedName name="_____axx8">#REF!</definedName>
    <definedName name="sfdism_idr">#REF!</definedName>
    <definedName name="Excel_BuiltIn_Print_Area_15_1_1_27">#REF!</definedName>
    <definedName name="_________________m20">#REF!</definedName>
    <definedName name="Excel_BuiltIn_Print_Area_13_1_8">#REF!</definedName>
    <definedName name="_HE08">#REF!</definedName>
    <definedName name="EH_002_12">#REF!</definedName>
    <definedName name="__xlnm.Print_Area_3_1">#REF!</definedName>
    <definedName name="Excel_BuiltIn_Print_Area_5_1_13_27">#REF!</definedName>
    <definedName name="A5____13">#REF!</definedName>
    <definedName name="Excel_BuiltIn_Print_Area_8_1_1_10_2">#REF!</definedName>
    <definedName name="m8_ct_w">#REF!</definedName>
    <definedName name="_CBR500">#REF!</definedName>
    <definedName name="_HV1">#REF!</definedName>
    <definedName name="LG">#REF!</definedName>
    <definedName name="_________A65537">#REF!</definedName>
    <definedName name="A10_">#REF!</definedName>
    <definedName name="Excel_BuiltIn_Print_Area_2_1_1_1_1_4_1">#REF!</definedName>
    <definedName name="IE_Jul">#REF!</definedName>
    <definedName name="________________TAB1">#REF!</definedName>
    <definedName name="____TR500">#REF!</definedName>
    <definedName name="Excel_BuiltIn_Print_Area_18_1_1">#REF!</definedName>
    <definedName name="ANNEXURE_FOR_BILL_NO.EUS_632_FDN_002">#REF!</definedName>
    <definedName name="Excel_BuiltIn_Print_Area_29_2_1">#REF!</definedName>
    <definedName name="Excel_BuiltIn_Print_Area_3_1_5_16">#REF!</definedName>
    <definedName localSheetId="8" name="tS___13">#REF!</definedName>
    <definedName name="Excel_BuiltIn__FilterDatabase_1_2">#REF!</definedName>
    <definedName name="WeightRange">#REF!</definedName>
    <definedName name="Excel_BuiltIn_Print_Area_11_1_17_4">#REF!</definedName>
    <definedName name="AASDF">#REF!</definedName>
    <definedName name="asdfgf">#REF!</definedName>
    <definedName name="p1mcc2">#REF!</definedName>
    <definedName name="Excel_BuiltIn_Print_Area_14_1_7_4">#REF!</definedName>
    <definedName name="Spalls">#REF!</definedName>
    <definedName name="fp">#REF!</definedName>
    <definedName name="erection">#REF!</definedName>
    <definedName name="____1____123Graph_ACHART_1">#REF!</definedName>
    <definedName name="Excel_BuiltIn_Print_Area_29_13_4">#REF!</definedName>
    <definedName name="Excel_BuiltIn_Print_Area_9_1_6">#REF!</definedName>
    <definedName name="Excel_BuiltIn_Print_Area_6_1_9_16">#REF!</definedName>
    <definedName name="qwwwee">#REF!</definedName>
    <definedName name="Excel_BuiltIn_Print_Area_5_1_16_27">#REF!</definedName>
    <definedName name="rmcsmsb.1">#REF!</definedName>
    <definedName name="___________________________________xlnm.Print_Area_2">#REF!</definedName>
    <definedName name="Breadth_of_PCC_Layer">#REF!</definedName>
    <definedName name="_Fpi1">#REF!</definedName>
    <definedName name="currency_name">#REF!</definedName>
    <definedName name="Excel_BuiltIn_Print_Area_12_1_8">#REF!</definedName>
    <definedName name="STATEMENT_4">#REF!</definedName>
    <definedName name="________8__123Graph_BCHART_1">#REF!</definedName>
    <definedName name="XRefCopy7">#REF!</definedName>
    <definedName name="Excel_BuiltIn_Print_Area_16_1_14_2">#REF!</definedName>
    <definedName name="Excel_BuiltIn_Print_Area_13_1_11">#REF!</definedName>
    <definedName name="TowerBaseWeight">#REF!</definedName>
    <definedName name="E_45E">#REF!</definedName>
    <definedName name="_________xlnm.Print_Titles_7">#REF!</definedName>
    <definedName name="XRefCopy16">#REF!</definedName>
    <definedName name="SALEFACT">#REF!</definedName>
    <definedName name="__________f1">#REF!</definedName>
    <definedName name="M1_">#REF!</definedName>
    <definedName name="vapi_baywise">#REF!</definedName>
    <definedName name="Excel_BuiltIn_Print_Area_3_1_10_2">#REF!</definedName>
    <definedName name="Excel_BuiltIn_Print_Area_4_1_1_20_4">#REF!</definedName>
    <definedName name="Excel_BuiltIn_Print_Area_9_1_11_16">#REF!</definedName>
    <definedName name="_T147000">#REF!</definedName>
    <definedName name="deptLookup">#REF!</definedName>
    <definedName name="Roxy">#REF!</definedName>
    <definedName name="Excel_BuiltIn_Print_Area_2_1_1_2">#REF!</definedName>
    <definedName name="____________f1">#REF!</definedName>
    <definedName name="EM_001_17">#REF!</definedName>
    <definedName name="_14___123Graph_BCHART_1">#REF!</definedName>
    <definedName name="__axx2">#REF!</definedName>
    <definedName name="__pep99">#REF!</definedName>
    <definedName name="Excel_BuiltIn_Print_Area_9_1_16_2">#REF!</definedName>
    <definedName name="____hxc2">#REF!</definedName>
    <definedName name="Excel_BuiltIn_Print_Area_12_1_20_4">#REF!</definedName>
    <definedName name="Excel_BuiltIn_Print_Area_6_1_4">#REF!</definedName>
    <definedName name="_______________________________________xlnm.Print_Area_2">#REF!</definedName>
    <definedName name="EM_009_17">#REF!</definedName>
    <definedName name="foa">#REF!</definedName>
    <definedName name="___sdf1">#REF!</definedName>
    <definedName name="TMBSCA">#REF!</definedName>
    <definedName name="FLG_Orifice">#REF!</definedName>
    <definedName name="kr">#REF!</definedName>
    <definedName name="SS_Key">#REF!</definedName>
    <definedName name="Excel_BuiltIn_Print_Area_16_1_10_27">#REF!</definedName>
    <definedName name="L_Mazdoor">#REF!</definedName>
    <definedName name="ss6_gtax_v">#REF!</definedName>
    <definedName name="_SAP11">#REF!</definedName>
    <definedName name="Excel_BuiltIn_Print_Area_17_1_1_17_4">#REF!</definedName>
    <definedName localSheetId="8" name="xs">#REF!</definedName>
    <definedName name="Excel_BuiltIn_Print_Area_17_1_1_10_4">#REF!</definedName>
    <definedName name="Excel_BuiltIn_Print_Area_17_1_3">#REF!</definedName>
    <definedName name="ESC_IDTOHW">#REF!</definedName>
    <definedName name="EM_013_4">#REF!</definedName>
    <definedName name="same">#REF!</definedName>
    <definedName name="Vr">#REF!</definedName>
    <definedName name="CONSUMABLE">#REF!</definedName>
    <definedName name="m8_st_v">#REF!</definedName>
    <definedName name="MC_USDHW">#REF!</definedName>
    <definedName name="TMBPLA">#REF!</definedName>
    <definedName name="_____xlnm._FilterDatabase_2">#REF!</definedName>
    <definedName name="____axx5">#REF!</definedName>
    <definedName name="Excel_BuiltIn_Print_Area_13_1_5_16">#REF!</definedName>
    <definedName name="_rc">#REF!</definedName>
    <definedName name="Excel_BuiltIn_Print_Area_11_1_17_2">#REF!</definedName>
    <definedName name="Excel_BuiltIn_Print_Area_8_1_1_3">#REF!</definedName>
    <definedName name="______axx8">#REF!</definedName>
    <definedName name="____HFI7">#REF!</definedName>
    <definedName name="Excel_BuiltIn_Print_Area_13_1_16_2">#REF!</definedName>
    <definedName name="project">#REF!</definedName>
    <definedName name="________lb1">#REF!</definedName>
    <definedName name="EH_001_8">#REF!</definedName>
    <definedName name="_13____123Graph_ACHART_1">#REF!</definedName>
    <definedName name="EWEQEWE">#REF!</definedName>
    <definedName name="CL">#REF!</definedName>
    <definedName name="Excel_BuiltIn__FilterDatabase_7_8_16">#REF!</definedName>
    <definedName name="Rel.per">#REF!</definedName>
    <definedName localSheetId="8" name="MS200202rev2">#REF!</definedName>
    <definedName name="Excel_BuiltIn_Print_Area_17_1_1_10_2">#REF!</definedName>
    <definedName name="MDVT_ABSP">#REF!</definedName>
    <definedName name="ss9_hrsg_w">#REF!</definedName>
    <definedName name="zspu___0">#REF!</definedName>
    <definedName name="Excel_BuiltIn_Print_Area_2_1_1_1_1_4">#REF!</definedName>
    <definedName name="asw">#REF!</definedName>
    <definedName name="_____Tk11">#REF!</definedName>
    <definedName name="Excel_BuiltIn_Print_Area_29_6_4">#REF!</definedName>
    <definedName name="____DAT14">#REF!</definedName>
    <definedName name="Excel_BuiltIn_Print_Area_13_1_9">#REF!</definedName>
    <definedName name="Excel_BuiltIn_Print_Area_5_1_14_16">#REF!</definedName>
    <definedName localSheetId="8" name="Nx___13">#REF!</definedName>
    <definedName name="Excel_BuiltIn_Print_Area_2_1_1_1_14_16">#REF!</definedName>
    <definedName name="____SC25">#REF!</definedName>
    <definedName name="_RBS1">#REF!</definedName>
    <definedName name="FIT___0">#REF!</definedName>
    <definedName name="FEC">#REF!</definedName>
    <definedName name="_________in18900">#REF!</definedName>
    <definedName name="___SAP7">#REF!</definedName>
    <definedName name="Anfang">#REF!</definedName>
    <definedName name="EH_001_12">#REF!</definedName>
    <definedName name="XRefCopy5Row">#REF!</definedName>
    <definedName name="EM_005_16">#REF!</definedName>
    <definedName name="__hxa1">#REF!</definedName>
    <definedName name="Excel_BuiltIn__FilterDatabase_23">#REF!</definedName>
    <definedName name="Excel_BuiltIn_Print_Area_13_1_9_16">#REF!</definedName>
    <definedName name="hh___13">#REF!</definedName>
    <definedName name="ss6_bop_w">#REF!</definedName>
    <definedName name="EM_011_10">#REF!</definedName>
    <definedName name="Excel_BuiltIn_Print_Area_5_1_27">#REF!</definedName>
    <definedName name="________m35">#REF!</definedName>
    <definedName name="___DET6">#REF!</definedName>
    <definedName name="ss8_bop_f">#REF!</definedName>
    <definedName name="Excel_BuiltIn_Print_Area_5_1_9_27">#REF!</definedName>
    <definedName name="_______7__123Graph_ACHART_1">#REF!</definedName>
    <definedName localSheetId="8" name="P_6DSO">#REF!</definedName>
    <definedName name="EM_029_12">#REF!</definedName>
    <definedName name="werw">#REF!</definedName>
    <definedName name="BL4BB">#REF!</definedName>
    <definedName name="civil">#REF!</definedName>
    <definedName name="ed">#REF!</definedName>
    <definedName name="Excel_BuiltIn_Print_Area_7_1_11_4">#REF!</definedName>
    <definedName name="TESTVKEY">#REF!</definedName>
    <definedName name="_HE3">#REF!</definedName>
    <definedName name="EP_OI_Cust">#REF!</definedName>
    <definedName name="__cli4">#REF!</definedName>
    <definedName name="_____m20">#REF!</definedName>
    <definedName name="__wp1">#REF!</definedName>
    <definedName name="Atwo">#REF!</definedName>
    <definedName name="CED_TRSW">#REF!</definedName>
    <definedName name="Excel_BuiltIn_Print_Area_7_1_2_4">#REF!</definedName>
    <definedName name="__cem124">#REF!</definedName>
    <definedName name="WKS">#REF!</definedName>
    <definedName name="_ELL45">#REF!</definedName>
    <definedName name="IceThickness">#REF!</definedName>
    <definedName name="__PAN2">#REF!</definedName>
    <definedName name="Excel_BuiltIn_Print_Area_6_1_11_4">#REF!</definedName>
    <definedName name="Excel_BuiltIn_Print_Area_2_1_5_2">#REF!</definedName>
    <definedName name="ss6_civ_v">#REF!</definedName>
    <definedName name="XRefPaste36Row">#REF!</definedName>
    <definedName name="__________________________________________IDA1">#REF!</definedName>
    <definedName name="sigmah">#REF!</definedName>
    <definedName name="hh___0">#REF!</definedName>
    <definedName name="Excel_BuiltIn_Print_Area_16_1_1_14_27">#REF!</definedName>
    <definedName name="kb">#REF!</definedName>
    <definedName name="_____________________dol6">#REF!</definedName>
    <definedName name="RECAPITUL">#REF!</definedName>
    <definedName name="lc2i1bc8f">#REF!</definedName>
    <definedName name="BD1Next2">#REF!</definedName>
    <definedName name="COM">#REF!</definedName>
    <definedName name="EM_029_13">#REF!</definedName>
    <definedName name="Excel_BuiltIn_Print_Area_16_1_1_13_4">#REF!</definedName>
    <definedName name="Excel_BuiltIn_Print_Area_12_1_5_16">#REF!</definedName>
    <definedName name="EM_007_10">#REF!</definedName>
    <definedName name="dsat">#REF!</definedName>
    <definedName name="____ifa2">#REF!</definedName>
    <definedName name="Excel_BuiltIn_Print_Area_4_1_16_27">#REF!</definedName>
    <definedName name="EM_023_15">#REF!</definedName>
    <definedName name="__axx1">#REF!</definedName>
    <definedName name="switchgear_E2">#REF!</definedName>
    <definedName name="Excel_BuiltIn_Print_Area_5_1_1_1_1_16">#REF!</definedName>
    <definedName name="_SS406">#REF!</definedName>
    <definedName name="DG_Total">#REF!</definedName>
    <definedName name="____hfi4">#REF!</definedName>
    <definedName name="Excel_BuiltIn_Print_Area_3_1_1_1_1_27_1">#REF!</definedName>
    <definedName name="_10Excel_BuiltIn_Print_Area_4_1_1_1_1">#REF!</definedName>
    <definedName name="CAPA7">#REF!</definedName>
    <definedName name="____RE220">#REF!</definedName>
    <definedName name="_____DAT1">#REF!</definedName>
    <definedName name="______Rl1">#REF!</definedName>
    <definedName name="EM_026_12">#REF!</definedName>
    <definedName name="Excel_BuiltIn_Print_Area_17_1_1_17">#REF!</definedName>
    <definedName name="_____Wr3">#REF!</definedName>
    <definedName name="________________VS2004">#REF!</definedName>
    <definedName name="Excel_BuiltIn_Print_Area_11_1_7_16">#REF!</definedName>
    <definedName name="Excel_BuiltIn_Print_Area_4_1_1_1_1_1">#REF!</definedName>
    <definedName name="XRefCopy69">#REF!</definedName>
    <definedName name="Herstellerangaben">#REF!</definedName>
    <definedName name="A01CAT">#REF!</definedName>
    <definedName name="EMET">#REF!</definedName>
    <definedName name="p1mpdp">#REF!</definedName>
    <definedName name="SEAL">#REF!</definedName>
    <definedName name="p1mcc11">#REF!</definedName>
    <definedName name="ss6_cond_w">#REF!</definedName>
    <definedName name="BD1EventFeas">#REF!</definedName>
    <definedName name="________iv19000">#REF!</definedName>
    <definedName name="ttp">#REF!</definedName>
    <definedName name="__SAP4">#REF!</definedName>
    <definedName name="Excel_BuiltIn_Print_Area_2_1_17">#REF!</definedName>
    <definedName name="AI">#REF!</definedName>
    <definedName name="p1mcc8">#REF!</definedName>
    <definedName name="TL_Res_Key">#REF!</definedName>
    <definedName name="Excel_BuiltIn_Print_Area_14_1_8_16">#REF!</definedName>
    <definedName name="_____________________________________IDA1">#REF!</definedName>
    <definedName name="_______Ki1">#REF!</definedName>
    <definedName name="Excel_BuiltIn_Print_Area_16_1_1_12_4">#REF!</definedName>
    <definedName name="dcvolt">#REF!</definedName>
    <definedName name="LINE1">#REF!</definedName>
    <definedName name="EM_034_6">#REF!</definedName>
    <definedName name="__7__123Graph_ACHART_1">#REF!</definedName>
    <definedName name="A3____13">#REF!</definedName>
    <definedName name="Excel_BuiltIn_Print_Area_5_5_4">#REF!</definedName>
    <definedName name="Em___0">#REF!</definedName>
    <definedName name="ProjectNumber">#REF!</definedName>
    <definedName name="EM_011_5">#REF!</definedName>
    <definedName name="_DAT15">#REF!</definedName>
    <definedName name="____Xl1">#REF!</definedName>
    <definedName name="BL5CCC">#REF!</definedName>
    <definedName name="asa">#REF!</definedName>
    <definedName name="_________b111121">#REF!</definedName>
    <definedName name="Excel_BuiltIn_Print_Area_16_1_7_2">#REF!</definedName>
    <definedName name="TL_NWC">#REF!</definedName>
    <definedName name="Excel_BuiltIn_Print_Area_15_1_11_4">#REF!</definedName>
    <definedName name="Excel_BuiltIn_Print_Area_2_1_1_11_2">#REF!</definedName>
    <definedName name="Excel_BuiltIn_Print_Area_7_1_1_3_16">#REF!</definedName>
    <definedName name="MVP_Total">#REF!</definedName>
    <definedName name="______aoc4">#REF!</definedName>
    <definedName name="Excel_BuiltIn_Print_Area_11_1_5_2">#REF!</definedName>
    <definedName name="Excel_BuiltIn_Print_Area_17_1_1_4">#REF!</definedName>
    <definedName name="Excel_BuiltIn_Print_Area_2_1_27">#REF!</definedName>
    <definedName name="Excel_BuiltIn_Print_Area_6_1_7_27">#REF!</definedName>
    <definedName name="Excel_BuiltIn_Print_Area_7_1_1_7_2">#REF!</definedName>
    <definedName name="_______________xlnm.Print_Area_3">#REF!</definedName>
    <definedName name="A8_">#REF!</definedName>
    <definedName name="Excel_BuiltIn_Print_Area_2_1_1_1_1_1_27_1">#REF!</definedName>
    <definedName name="Excel_BuiltIn_Print_Area_11_1_15_2">#REF!</definedName>
    <definedName name="SPEC_23">#REF!</definedName>
    <definedName name="WORKING_BGT2">#REF!</definedName>
    <definedName name="Excel_BuiltIn_Print_Area_5_1_1_13">#REF!</definedName>
    <definedName name="MC_SFRHW">#REF!</definedName>
    <definedName name="Excel_BuiltIn_Print_Area_5_1_14_27">#REF!</definedName>
    <definedName name="Excel_BuiltIn_Print_Area_5_1_1_11_4">#REF!</definedName>
    <definedName name="Excel_BuiltIn_Print_Area_9_1_2">#REF!</definedName>
    <definedName name="공종">#REF!</definedName>
    <definedName name="shpe">#REF!</definedName>
    <definedName name="Excel_BuiltIn_Print_Area_11_1_1_4">#REF!</definedName>
    <definedName name="Excel_BuiltIn_Print_Area_16_1_9_4">#REF!</definedName>
    <definedName name="Excel_BuiltIn_Print_Area_6_1_10">#REF!</definedName>
    <definedName name="XRefCopy47">#REF!</definedName>
    <definedName name="_______xlnm.Print_Area_9">#REF!</definedName>
    <definedName name="_______xlnm._FilterDatabase_2">#REF!</definedName>
    <definedName name="tala_2">#REF!</definedName>
    <definedName name="EM_029_5">#REF!</definedName>
    <definedName name="EM_051_15">#REF!</definedName>
    <definedName name="EM_020_13">#REF!</definedName>
    <definedName name="config">#REF!</definedName>
    <definedName name="_ps1">#REF!</definedName>
    <definedName name="ABTemplateOD">#REF!</definedName>
    <definedName name="A9_">#REF!</definedName>
    <definedName name="Excel_BuiltIn_Print_Area_15_1_6_2">#REF!</definedName>
    <definedName name="topl">#REF!</definedName>
    <definedName name="_____3____123Graph_CCHART_1">#REF!</definedName>
    <definedName name="Excel_BuiltIn_Print_Area_2_1_1_11_16">#REF!</definedName>
    <definedName name="_INT1">#REF!</definedName>
    <definedName localSheetId="8" name="werwere">#REF!</definedName>
    <definedName name="XRefPaste38">#REF!</definedName>
    <definedName name="LMG">#REF!</definedName>
    <definedName name="XRefPaste4Row">#REF!</definedName>
    <definedName name="__A10">#REF!</definedName>
    <definedName name="rerere">#REF!</definedName>
    <definedName name="Excel_BuiltIn_Print_Area_3_1_9_2">#REF!</definedName>
    <definedName name="Excel_BuiltIn_Print_Area_5_1_1_1_1_1">#REF!</definedName>
    <definedName name="asddfr">#REF!</definedName>
    <definedName name="Excel_BuiltIn_Print_Area_5_11">#REF!</definedName>
    <definedName name="_____SAP10">#REF!</definedName>
    <definedName name="EM_022_9">#REF!</definedName>
    <definedName name="Excel_BuiltIn_Print_Area_11_1_2_27">#REF!</definedName>
    <definedName name="LYNet">#REF!</definedName>
    <definedName name="EM_030_15">#REF!</definedName>
    <definedName name="Excel_BuiltIn_Print_Area_3_1_17_2">#REF!</definedName>
    <definedName name="db___13">#REF!</definedName>
    <definedName name="VETRI">#REF!</definedName>
    <definedName name="EM_002_3">#REF!</definedName>
    <definedName name="ss6_civ_f">#REF!</definedName>
    <definedName name="A7_">#REF!</definedName>
    <definedName name="______________dol6">#REF!</definedName>
    <definedName name="arctanz">#REF!</definedName>
    <definedName name="EM_005_8">#REF!</definedName>
    <definedName name="Vsigma">#REF!</definedName>
    <definedName name="towerschedule">#REF!</definedName>
    <definedName name="__________xlnm.Print_Area_1">#REF!</definedName>
    <definedName name="__SS408">#REF!</definedName>
    <definedName name="Excel_BuiltIn_Print_Area_4_1_12_16">#REF!</definedName>
    <definedName name="BD1EventNames">#REF!</definedName>
    <definedName localSheetId="8" name="fdhd">#REF!</definedName>
    <definedName localSheetId="8" name="PAGE10">#REF!</definedName>
    <definedName name="Title2">#REF!</definedName>
    <definedName name="_del1">#REF!</definedName>
    <definedName name="Excel_BuiltIn_Print_Area_9_1_12_4">#REF!</definedName>
    <definedName name="PATHJV222">#REF!</definedName>
    <definedName name="DATA_20">#REF!</definedName>
    <definedName name="ss8_geno_w">#REF!</definedName>
    <definedName name="Excel_BuiltIn_Print_Area_16_1_1_16">#REF!</definedName>
    <definedName name="Excel_BuiltIn_Print_Area_3_1_7_27">#REF!</definedName>
    <definedName name="RFP003A">#REF!</definedName>
    <definedName name="Value10">#REF!</definedName>
    <definedName name="____________xlnm.Print_Titles_1">#REF!</definedName>
    <definedName name="Excel_BuiltIn_Print_Area_14_1_10_2">#REF!</definedName>
    <definedName name="Excel_BuiltIn_Print_Area_17_1_11_4">#REF!</definedName>
    <definedName name="Print_Area_Reset">#REF!</definedName>
    <definedName name="EH_002_4">#REF!</definedName>
    <definedName name="______________mm1">#REF!</definedName>
    <definedName name="LPROT220">#REF!</definedName>
    <definedName name="Qi">#REF!</definedName>
    <definedName localSheetId="8" name="SALARIES___WAGES">#REF!</definedName>
    <definedName name="Columns">#REF!</definedName>
    <definedName name="Excel_BuiltIn__FilterDatabase_14_16_16">#REF!</definedName>
    <definedName name="EXIT">#REF!</definedName>
    <definedName name="config2">#REF!</definedName>
    <definedName name="Excel_BuiltIn_Print_Area_5_1_1_16_4">#REF!</definedName>
    <definedName name="aw">#REF!</definedName>
    <definedName name="Excel_BuiltIn_Print_Area_5_1_1_1_1_1_1">#REF!</definedName>
    <definedName name="EM_061_17">#REF!</definedName>
    <definedName name="Mlpd">#REF!</definedName>
    <definedName name="EM_035_15">#REF!</definedName>
    <definedName name="Reselects">#REF!</definedName>
    <definedName name="coat">#REF!</definedName>
    <definedName name="______SAP7">#REF!</definedName>
    <definedName name="Excel_BuiltIn__FilterDatabase_31_2">#REF!</definedName>
    <definedName name="ztpu">#REF!</definedName>
    <definedName name="EM_024_15">#REF!</definedName>
    <definedName name="Excel_BuiltIn_Print_Area_6_1_8_27">#REF!</definedName>
    <definedName localSheetId="8" name="TEST0">#REF!</definedName>
    <definedName name="steam_trap">#REF!</definedName>
    <definedName name="Excel_BuiltIn_Print_Area_15_1_1_4">#REF!</definedName>
    <definedName name="Excel_BuiltIn__FilterDatabase_7_8_5">#REF!</definedName>
    <definedName name="Excel_BuiltIn_Print_Area_7_1_1_13_16">#REF!</definedName>
    <definedName name="BuiltIn_Print_Titles___0___0___0___0___0___0___0___0">#REF!</definedName>
    <definedName name="ipn">#REF!</definedName>
    <definedName name="_____DAT15">#REF!</definedName>
    <definedName name="Excel_BuiltIn_Print_Area_10_1_20">#REF!</definedName>
    <definedName name="XRefCopy31Row">#REF!</definedName>
    <definedName name="_RE32">#REF!</definedName>
    <definedName name="ESCPRD_IMPHW">#REF!</definedName>
    <definedName name="Z2p">#REF!</definedName>
    <definedName name="____ZS2">#REF!</definedName>
    <definedName name="EM_034_1">#REF!</definedName>
    <definedName name="fytyfhjyguky">#REF!</definedName>
    <definedName name="FabricatedTMT">#REF!</definedName>
    <definedName name="XRefPaste15">#REF!</definedName>
    <definedName name="__________________xlnm.Print_Area_1">#REF!</definedName>
    <definedName name="__xlnm._FilterDatabase_4">#REF!</definedName>
    <definedName name="Excel_BuiltIn_Print_Area_12_1_1_1_1_27">#REF!</definedName>
    <definedName name="sffg">#REF!</definedName>
    <definedName name="Excel_BuiltIn_Print_Area_29_16_4">#REF!</definedName>
    <definedName name="Excel_BuiltIn_Print_Area_5_1_10_16">#REF!</definedName>
    <definedName name="Excel_BuiltIn_Print_Area_8_1_17_4">#REF!</definedName>
    <definedName name="EM_074_17">#REF!</definedName>
    <definedName name="____Tk2">#REF!</definedName>
    <definedName name="EM_010_13">#REF!</definedName>
    <definedName name="Excel_BuiltIn_Print_Area_4_1_1_13">#REF!</definedName>
    <definedName name="Excel_BuiltIn_Print_Area_14_1_1_16">#REF!</definedName>
    <definedName name="mlt">#REF!</definedName>
    <definedName name="_te1">#REF!</definedName>
    <definedName name="Excel_BuiltIn_Print_Area_16_1_1_20">#REF!</definedName>
    <definedName name="Excel_BuiltIn_Print_Area_16_1_1_4">#REF!</definedName>
    <definedName name="___PAN2">#REF!</definedName>
    <definedName name="Erection_Sales">#REF!</definedName>
    <definedName name="Excel_BuiltIn_Print_Area_17_1_1_1_1_4">#REF!</definedName>
    <definedName name="DaWk7">#REF!</definedName>
    <definedName name="EM_004_13">#REF!</definedName>
    <definedName name="elec">#REF!</definedName>
    <definedName name="Excel_BuiltIn_Print_Area_12_1_1_27">#REF!</definedName>
    <definedName name="_row1">#REF!</definedName>
    <definedName name="dbrwk10">#REF!</definedName>
    <definedName name="IE_Avg_OCL">#REF!</definedName>
    <definedName name="_bom1">#REF!</definedName>
    <definedName name="EM_071_15">#REF!</definedName>
    <definedName name="IE_WC_Key">#REF!</definedName>
    <definedName name="_________xlnm.Print_Area_5">#REF!</definedName>
    <definedName name="__________xlnm.Print_Area_2">#REF!</definedName>
    <definedName name="Ende">#REF!</definedName>
    <definedName name="Excel_BuiltIn_Print_Titles_4_1">#REF!</definedName>
    <definedName name="M20_Metal20mm">#REF!</definedName>
    <definedName name="ss6_ec_v">#REF!</definedName>
    <definedName name="Excel_BuiltIn_Print_Titles_20_1_4">#REF!</definedName>
    <definedName name="__DAT14">#REF!</definedName>
    <definedName name="RCC_Offset">#REF!</definedName>
    <definedName name="disdir">#REF!</definedName>
    <definedName name="Excel_BuiltIn_Print_Area_16_1_1_8_4">#REF!</definedName>
    <definedName name="EM_057_15">#REF!</definedName>
    <definedName name="_pan1">#REF!</definedName>
    <definedName name="XRefCopy60Row">#REF!</definedName>
    <definedName name="for_item">#REF!</definedName>
    <definedName name="PATHJVPR2">#REF!</definedName>
    <definedName name="MKP">#REF!</definedName>
    <definedName name="Excel_BuiltIn_Print_Area_6_20">#REF!</definedName>
    <definedName name="EM_036_14">#REF!</definedName>
    <definedName name="TL_Avg_OCA">#REF!</definedName>
    <definedName name="disc">#REF!</definedName>
    <definedName name="Excel_BuiltIn_Print_Area_14_1_8_27">#REF!</definedName>
    <definedName localSheetId="8" name="___SS404">#REF!</definedName>
    <definedName name="_________tab1">#REF!</definedName>
    <definedName name="___________xlnm._FilterDatabase_2">#REF!</definedName>
    <definedName name="BGT3_WORKING">#REF!</definedName>
    <definedName name="EM_002_4">#REF!</definedName>
    <definedName name="Excel_BuiltIn_Print_Area_4_1_1_3_16">#REF!</definedName>
    <definedName name="_______bom1">#REF!</definedName>
    <definedName name="Excel_BuiltIn_Print_Area_9_1_8_16">#REF!</definedName>
    <definedName name="Excel_BuiltIn_Print_Area_7_1_1_7_27">#REF!</definedName>
    <definedName name="______A65537">#REF!</definedName>
    <definedName name="Excel_BuiltIn_Print_Area_7_1_10_27">#REF!</definedName>
    <definedName name="Hcbdw">#REF!</definedName>
    <definedName name="_____acs2">#REF!</definedName>
    <definedName name="Excel_BuiltIn_Print_Area_20_1_16">#REF!</definedName>
    <definedName name="Excel_BuiltIn_Print_Titles_6_1_1_1">#REF!</definedName>
    <definedName name="ssss">#REF!</definedName>
    <definedName name="XRefCopy19Row">#REF!</definedName>
    <definedName name="________xlnm.Print_Area_13">#REF!</definedName>
    <definedName name="EM_036_7">#REF!</definedName>
    <definedName name="PONDA">#REF!</definedName>
    <definedName name="Excel_BuiltIn_Print_Area_8_1_1_6_4">#REF!</definedName>
    <definedName name="ss8_ec_w">#REF!</definedName>
    <definedName name="_RE42">#REF!</definedName>
    <definedName name="__A4">#REF!</definedName>
    <definedName name="CAPA3">#REF!</definedName>
    <definedName name="Excel_BuiltIn_Print_Area_14_1_1_4">#REF!</definedName>
    <definedName name="Excel_BuiltIn_Print_Area_16_1_20_16">#REF!</definedName>
    <definedName name="Excel_BuiltIn_Print_Area_4_1_10_4">#REF!</definedName>
    <definedName name="Excel_BuiltIn_Print_Area_6_20_27">#REF!</definedName>
    <definedName name="_15_3__Crite">#REF!</definedName>
    <definedName name="Eth">#REF!</definedName>
    <definedName name="EM_030_5">#REF!</definedName>
    <definedName name="CAPNOV">#REF!</definedName>
    <definedName name="Excel_BuiltIn_Print_Area_5_6_16">#REF!</definedName>
    <definedName name="Excel_BuiltIn_Print_Area_2_1_1_9_27">#REF!</definedName>
    <definedName name="_______SAP9">#REF!</definedName>
    <definedName name="_____aba2">#REF!</definedName>
    <definedName name="erecps">#REF!</definedName>
    <definedName name="EM_033_2">#REF!</definedName>
    <definedName name="_______CFB1">#REF!</definedName>
    <definedName name="Excel_BuiltIn_Print_Area_7_1_1_8">#REF!</definedName>
    <definedName name="_______tab1">#REF!</definedName>
    <definedName name="_TR33">#REF!</definedName>
    <definedName name="vaa">#REF!</definedName>
    <definedName name="SS_OB_Cust">#REF!</definedName>
    <definedName name="Excel_BuiltIn_Print_Area_16_1_11_4">#REF!</definedName>
    <definedName name="______________cem124">#REF!</definedName>
    <definedName name="Excel_BuiltIn_Print_Area_9_1_13_4">#REF!</definedName>
    <definedName name="Excel_BuiltIn_Print_Area_28_20_16">#REF!</definedName>
    <definedName name="order">#REF!</definedName>
    <definedName name="Excel_BuiltIn_Print_Area_4_1_1_7_16">#REF!</definedName>
    <definedName name="_SC03">#REF!</definedName>
    <definedName name="_____________________________________xlnm.Print_Area_3">#REF!</definedName>
    <definedName name="Excel_BuiltIn_Print_Area_13_1_14_27">#REF!</definedName>
    <definedName name="sak">#REF!</definedName>
    <definedName name="Excel_BuiltIn_Print_Area_2_1_1_7_16">#REF!</definedName>
    <definedName name="_________________________IDA1">#REF!</definedName>
    <definedName name="ddddd">#REF!</definedName>
    <definedName name="Excel_BuiltIn_Print_Area_5_20_2">#REF!</definedName>
    <definedName name="jj">#REF!</definedName>
    <definedName name="Excel_BuiltIn_Print_Area_14_1_13_4">#REF!</definedName>
    <definedName name="BaseI4">#REF!</definedName>
    <definedName name="lcabbfdr">#REF!</definedName>
    <definedName name="ss8_hrsg_w">#REF!</definedName>
    <definedName name="____xlnm.Print_Area_2">#REF!</definedName>
    <definedName name="sfcon_idr">#REF!</definedName>
    <definedName name="SS400_401">#REF!</definedName>
    <definedName name="______________xlnm.Print_Area_13">#REF!</definedName>
    <definedName name="m2_st_f">#REF!</definedName>
    <definedName name="_____________________________________xlnm.Print_Titles_1">#REF!</definedName>
    <definedName name="______SAP3">#REF!</definedName>
    <definedName name="collstatuspage1">#REF!</definedName>
    <definedName name="Excel_BuiltIn_Print_Area_13_1_10_27">#REF!</definedName>
    <definedName name="__xlnm.Print_Area_6">#REF!</definedName>
    <definedName name="EM_035_2">#REF!</definedName>
    <definedName name="Excel_BuiltIn_Print_Area_17_1_14_4">#REF!</definedName>
    <definedName name="If">#REF!</definedName>
    <definedName name="pp">#REF!</definedName>
    <definedName name="EUR">#REF!</definedName>
    <definedName name="zstb">#REF!</definedName>
    <definedName name="mcl33b3">#REF!</definedName>
    <definedName name="_____ifa1">#REF!</definedName>
    <definedName name="___Tkl1">#REF!</definedName>
    <definedName name="Value7">#REF!</definedName>
    <definedName localSheetId="8" name="dgv">#REF!</definedName>
    <definedName name="Excel_BuiltIn_Print_Area_17_1_13_4">#REF!</definedName>
    <definedName name="______mm1">#REF!</definedName>
    <definedName name="PR_IMP">#REF!</definedName>
    <definedName name="Excel_BuiltIn_Print_Area_16_1_1_5">#REF!</definedName>
    <definedName name="RUPEES_1">#REF!</definedName>
    <definedName name="EM_021_9">#REF!</definedName>
    <definedName name="dmt">#REF!</definedName>
    <definedName name="EM_038_15">#REF!</definedName>
    <definedName name="Excel_BuiltIn_Print_Area_4_1_3">#REF!</definedName>
    <definedName name="see">#REF!</definedName>
    <definedName localSheetId="8" name="KTL">#REF!</definedName>
    <definedName name="nd">#REF!</definedName>
    <definedName name="HHHH">#REF!</definedName>
    <definedName name="gross">#REF!</definedName>
    <definedName name="Kii___0">#REF!</definedName>
    <definedName name="EM_022_15">#REF!</definedName>
    <definedName name="EM_023_8">#REF!</definedName>
    <definedName name="EM_039_2">#REF!</definedName>
    <definedName name="dd">#REF!</definedName>
    <definedName name="Excel_BuiltIn_Print_Area_13_1_12_2">#REF!</definedName>
    <definedName name="Excel_BuiltIn_Print_Area_7_1_1_15_4">#REF!</definedName>
    <definedName name="_____xlnm.Print_Area_1">#REF!</definedName>
    <definedName name="Excel_BuiltIn_Print_Area_8_1_1_16_16">#REF!</definedName>
    <definedName name="Excel_BuiltIn_Print_Area_4_1_1_13_27">#REF!</definedName>
    <definedName name="SHELL___TUBE_DATA">#REF!</definedName>
    <definedName name="ka">#REF!</definedName>
    <definedName name="ZSS___0">#REF!</definedName>
    <definedName name="Excel_BuiltIn_Print_Area_2_1_15_4">#REF!</definedName>
    <definedName name="______mcl132">#REF!</definedName>
    <definedName name="QFC_AUDh">#REF!</definedName>
    <definedName name="Excel_BuiltIn_Print_Area_5_6_2">#REF!</definedName>
    <definedName name="_____________xlnm.Print_Area_10">#REF!</definedName>
    <definedName name="_____axx5">#REF!</definedName>
    <definedName name="Sim1_Seeds">#REF!</definedName>
    <definedName name="Excel_BuiltIn_Print_Area_19_1_2">#REF!</definedName>
    <definedName name="Excel_BuiltIn_Print_Area_2_1_1_1_16_16">#REF!</definedName>
    <definedName name="H___0">#REF!</definedName>
    <definedName name="JH">#REF!</definedName>
    <definedName name="PIPE_SIZE">#REF!</definedName>
    <definedName name="EM_003_6">#REF!</definedName>
    <definedName name="Excel_BuiltIn_Print_Area_2_1_13">#REF!</definedName>
    <definedName name="_______________________________________________dol12">#REF!</definedName>
    <definedName name="pIsmsb.ups">#REF!</definedName>
    <definedName name="Excel_BuiltIn_Print_Area_13_1_3_27">#REF!</definedName>
    <definedName name="TEST2">#REF!</definedName>
    <definedName name="EM_031_7">#REF!</definedName>
    <definedName name="_______aoc4">#REF!</definedName>
    <definedName name="______axx6">#REF!</definedName>
    <definedName name="CATJYOU">#REF!</definedName>
    <definedName name="VB">#REF!</definedName>
    <definedName name="___A10">#REF!</definedName>
    <definedName name="Excel_BuiltIn_Print_Area_13_1_5_27">#REF!</definedName>
    <definedName name="A_sp">#REF!</definedName>
    <definedName name="Excel_BuiltIn_Print_Area_7_1_1_6_27">#REF!</definedName>
    <definedName name="___xlfn_COUNTIFS">#REF!</definedName>
    <definedName name="afit">#REF!</definedName>
    <definedName name="ss6_ct_f">#REF!</definedName>
    <definedName name="b1xx">#REF!</definedName>
    <definedName name="사진">#REF!</definedName>
    <definedName name="XRefCopy10">#REF!</definedName>
    <definedName name="Oilpit">#REF!</definedName>
    <definedName localSheetId="8" name="____f1">#REF!</definedName>
    <definedName name="Excel_BuiltIn_Print_Area_7_1_1_9_4">#REF!</definedName>
    <definedName name="_DAT6">#REF!</definedName>
    <definedName name="_____________IDA1">#REF!</definedName>
    <definedName localSheetId="8" name="alphaa">#REF!</definedName>
    <definedName name="_______________IDA1">#REF!</definedName>
    <definedName name="_______4___123Graph_ACHART_1">#REF!</definedName>
    <definedName name="model_config1">#REF!</definedName>
    <definedName name="EM_016_13">#REF!</definedName>
    <definedName name="EM_027_8">#REF!</definedName>
    <definedName name="PAGE5">#REF!</definedName>
    <definedName name="Excel_BuiltIn_Print_Area_16_1_1_15_16">#REF!</definedName>
    <definedName name="______________xlnm.Print_Titles_1">#REF!</definedName>
    <definedName name="Excel_BuiltIn_Print_Area_15_1_2_2">#REF!</definedName>
    <definedName name="XRefPaste1Row">#REF!</definedName>
    <definedName name="Excel_BuiltIn_Print_Area_11_1_13_16">#REF!</definedName>
    <definedName name="M_WellGradedGranularBaseMaterial_GradeA_53_265mm">#REF!</definedName>
    <definedName name="pIsmsb.main">#REF!</definedName>
    <definedName name="_DAT18">#REF!</definedName>
    <definedName name="Excel_BuiltIn_Print_Area_6_1_3_27">#REF!</definedName>
    <definedName name="Excel_BuiltIn_Print_Area_17_1_1_1_1_27">#REF!</definedName>
    <definedName name="EM_032_11">#REF!</definedName>
    <definedName name="SCHEDULE_NO._6a___Interest_accrued_on_Investments">#REF!</definedName>
    <definedName name="sdsdsd">#REF!</definedName>
    <definedName name="_____hfi3">#REF!</definedName>
    <definedName name="aas">#REF!</definedName>
    <definedName name="___SC22">#REF!</definedName>
    <definedName name="____hxc1">#REF!</definedName>
    <definedName name="_SC26">#REF!</definedName>
    <definedName name="Excel_BuiltIn_Print_Area_5_1_1_3_2">#REF!</definedName>
    <definedName name="BuiltIn_Print_Area___0___0___0___0___0___0___0___0___0___0___0___0">#REF!</definedName>
    <definedName name="Excel_BuiltIn_Print_Area_7_1_1_13">#REF!</definedName>
    <definedName name="Excel_BuiltIn_Print_Area_7_1_16_4">#REF!</definedName>
    <definedName localSheetId="8" name="BuiltIn_Print_Titles___0">#REF!</definedName>
    <definedName name="_HM2">#REF!</definedName>
    <definedName name="Excel_BuiltIn_Print_Area_2_1_1_8_2">#REF!</definedName>
    <definedName name="__________________mm1">#REF!</definedName>
    <definedName name="Excel_BuiltIn_Print_Area_6_1_17_4">#REF!</definedName>
    <definedName localSheetId="8" name="DFR">#REF!</definedName>
    <definedName name="__5___123Graph_BCHART_1">#REF!</definedName>
    <definedName name="_m35">#REF!</definedName>
    <definedName name="Excel_BuiltIn_Print_Area_2_1_20">#REF!</definedName>
    <definedName name="BD1StateIndMax">#REF!</definedName>
    <definedName name="Excel_BuiltIn_Print_Area_12_1_12">#REF!</definedName>
    <definedName name="ss8_ec_f">#REF!</definedName>
    <definedName name="______hfi6">#REF!</definedName>
    <definedName name="__Vf2">#REF!</definedName>
    <definedName name="A1_">#REF!</definedName>
    <definedName name="db___0">#REF!</definedName>
    <definedName name="Last_Row">#REF!</definedName>
    <definedName name="Excel_BuiltIn_Print_Area_9_1_20">#REF!</definedName>
    <definedName name="cord">#REF!</definedName>
    <definedName name="_____SC04">#REF!</definedName>
    <definedName name="Excel_BuiltIn_Print_Area_15_1_6">#REF!</definedName>
    <definedName name="__SAP2">#REF!</definedName>
    <definedName name="Excel_BuiltIn_Print_Area_7_1_7">#REF!</definedName>
    <definedName name="Excel_BuiltIn_Print_Area_10_1_3_16">#REF!</definedName>
    <definedName name="m2_cond_v">#REF!</definedName>
    <definedName name="___________________A71614">#REF!</definedName>
    <definedName name="LPROT500">#REF!</definedName>
    <definedName name="공">#REF!</definedName>
    <definedName name="____aoc2">#REF!</definedName>
    <definedName name="____________________________________in18900">#REF!</definedName>
    <definedName name="Excel_BuiltIn_Print_Area_29_2_16">#REF!</definedName>
    <definedName name="qryEqptOrdPODelProfile_ByConstrMgr">#REF!</definedName>
    <definedName name="Excel_BuiltIn_Print_Area_6_1_6_16">#REF!</definedName>
    <definedName name="_____xlnm.Print_Titles">#REF!</definedName>
    <definedName name="IntFreeCred">#REF!</definedName>
    <definedName name="ss6_ic_f">#REF!</definedName>
    <definedName name="Excel_BuiltIn__FilterDatabase_14_16_4">#REF!</definedName>
    <definedName name="EM_025_8">#REF!</definedName>
    <definedName name="Excel_BuiltIn_Print_Area_3_1_16_2">#REF!</definedName>
    <definedName name="cp">#REF!</definedName>
    <definedName name="Excel_BuiltIn_Print_Area_2_1_1_27">#REF!</definedName>
    <definedName name="Excel_BuiltIn_Print_Area_5_10">#REF!</definedName>
    <definedName name="EM_039_12">#REF!</definedName>
    <definedName name="Excel_BuiltIn_Print_Area_12_1_17_4">#REF!</definedName>
    <definedName name="_19Excel_BuiltIn_Print_Area_9_1">#REF!</definedName>
    <definedName name="_______DAT2">#REF!</definedName>
    <definedName name="Excel_BuiltIn_Print_Area_7_1_8_4">#REF!</definedName>
    <definedName name="EM_021_5">#REF!</definedName>
    <definedName name="Excel_BuiltIn_Print_Area_15_1_16_4">#REF!</definedName>
    <definedName name="p1upsmdb">#REF!</definedName>
    <definedName name="ThreeTd">#REF!</definedName>
    <definedName name="Excel_BuiltIn_Print_Area_5_1_1_1_1_4_1">#REF!</definedName>
    <definedName name="Excise">#REF!</definedName>
    <definedName name="klmkl">#REF!</definedName>
    <definedName localSheetId="8" name="Select">#REF!</definedName>
    <definedName name="___________________________IDA1">#REF!</definedName>
    <definedName name="__________________________in18900">#REF!</definedName>
    <definedName name="ALarea">#REF!</definedName>
    <definedName name="EM_011_6">#REF!</definedName>
    <definedName name="EM_014_9">#REF!</definedName>
    <definedName name="ACARRAY">#REF!</definedName>
    <definedName name="Excel_BuiltIn_Print_Area_14_1_1_2">#REF!</definedName>
    <definedName name="__hxf1">#REF!</definedName>
    <definedName name="TotalValueForOffer">#REF!</definedName>
    <definedName name="___LMH1">#REF!</definedName>
    <definedName name="_______DET5">#REF!</definedName>
    <definedName name="EM_036_4">#REF!</definedName>
    <definedName name="EH_002_11">#REF!</definedName>
    <definedName name="EM_066_14">#REF!</definedName>
    <definedName name="CB">#REF!</definedName>
    <definedName name="Excel_BuiltIn_Print_Area_2_1_1_5_16">#REF!</definedName>
    <definedName name="____Tk11">#REF!</definedName>
    <definedName name="Value17">#REF!</definedName>
    <definedName name="Value9">#REF!</definedName>
    <definedName name="EM_036_6">#REF!</definedName>
    <definedName name="EM_059_16">#REF!</definedName>
    <definedName name="SS_OI_IU">#REF!</definedName>
    <definedName name="____hfi1">#REF!</definedName>
    <definedName name="EH_002_7">#REF!</definedName>
    <definedName name="_______________________xlnm.Print_Area_1">#REF!</definedName>
    <definedName name="_______Tkl1">#REF!</definedName>
    <definedName name="Excel_BuiltIn_Print_Area_3_1_3">#REF!</definedName>
    <definedName name="APRIL">#REF!</definedName>
    <definedName name="formu">#REF!</definedName>
    <definedName name="Cable">#REF!</definedName>
    <definedName name="_____IDA1">#REF!</definedName>
    <definedName name="__DAT2">#REF!</definedName>
    <definedName name="ffff">#REF!</definedName>
    <definedName name="_____drg1">#REF!</definedName>
    <definedName name="EM_036_9">#REF!</definedName>
    <definedName name="fdfds">#REF!</definedName>
    <definedName name="Excel_BuiltIn_Print_Area_10_1_16_2">#REF!</definedName>
    <definedName name="clbs">#REF!</definedName>
    <definedName name="EM_028_8">#REF!</definedName>
    <definedName localSheetId="8" name="PAGE11">#REF!</definedName>
    <definedName localSheetId="8" name="ASHOKA">#REF!</definedName>
    <definedName name="EM_014_2">#REF!</definedName>
    <definedName name="A7____0">#REF!</definedName>
    <definedName name="Excel_BuiltIn_Print_Area_18_1">#REF!</definedName>
    <definedName name="______drg2">#REF!</definedName>
    <definedName name="____DAT10">#REF!</definedName>
    <definedName name="DR.33">#REF!</definedName>
    <definedName name="ilgf">#REF!</definedName>
    <definedName name="Alt">#REF!</definedName>
    <definedName name="_2_______123Graph_BCHART_1">#REF!</definedName>
    <definedName name="Excel_BuiltIn_Print_Area_2_1_1_1_10_2">#REF!</definedName>
    <definedName name="Excel_BuiltIn_Print_Area_16_1_1_17_4">#REF!</definedName>
    <definedName name="_hfi04">#REF!</definedName>
    <definedName name="MARAN">#REF!</definedName>
    <definedName name="___Fpi1">#REF!</definedName>
    <definedName name="Doz">#REF!</definedName>
    <definedName name="fdn_no">#REF!</definedName>
    <definedName name="Excel_BuiltIn_Print_Area_9_1_6_16">#REF!</definedName>
    <definedName name="TEt">#REF!</definedName>
    <definedName name="Trt">#REF!</definedName>
    <definedName name="____SC23">#REF!</definedName>
    <definedName name="Excel_BuiltIn_Print_Area_29_1_1">#REF!</definedName>
    <definedName name="___CFB1">#REF!</definedName>
    <definedName name="wdwewe">#REF!</definedName>
    <definedName name="______dol6">#REF!</definedName>
    <definedName name="_3__123Graph_CCHART_1">#REF!</definedName>
    <definedName name="Excel_BuiltIn_Print_Area_3_1_16_16">#REF!</definedName>
    <definedName name="______________________________________dol12">#REF!</definedName>
    <definedName name="vv">#REF!</definedName>
    <definedName name="__LAR220">#REF!</definedName>
    <definedName name="iteration">#REF!</definedName>
    <definedName name="Vref">#REF!</definedName>
    <definedName name="TEST10">#REF!</definedName>
    <definedName name="TL_Avg_Stk">#REF!</definedName>
    <definedName name="Excel_BuiltIn_Print_Area_2_1_1_8_27">#REF!</definedName>
    <definedName name="Excel_BuiltIn_Print_Area_7_1_6">#REF!</definedName>
    <definedName name="Excel_BuiltIn_Print_Area_11_1_7_27">#REF!</definedName>
    <definedName name="XRefCopy63">#REF!</definedName>
    <definedName name="____tab1">#REF!</definedName>
    <definedName name="___Tk1">#REF!</definedName>
    <definedName name="b1x">#REF!</definedName>
    <definedName name="Excel_BuiltIn_Print_Titles_20_1_2">#REF!</definedName>
    <definedName name="_______xlnm.Print_Area_3">#REF!</definedName>
    <definedName name="____PAN2">#REF!</definedName>
    <definedName name="Excel_BuiltIn_Print_Area_2_1_1_1_6_27">#REF!</definedName>
    <definedName name="Excel_BuiltIn_Print_Area_7_1_17_16">#REF!</definedName>
    <definedName name="______DAT6">#REF!</definedName>
    <definedName name="illgf">#REF!</definedName>
    <definedName name="Excel_BuiltIn_Print_Area_4_1_1_8_4">#REF!</definedName>
    <definedName name="Excel_BuiltIn_Print_Area_7_1_7_16">#REF!</definedName>
    <definedName name="DATA_18">#REF!</definedName>
    <definedName name="____________________________________xlnm.Print_Area_2">#REF!</definedName>
    <definedName localSheetId="8" name="QTY_AS_ON_APR_1">#REF!</definedName>
    <definedName name="E_SC">#REF!</definedName>
    <definedName name="AL">#REF!</definedName>
    <definedName name="MC_SFRSW">#REF!</definedName>
    <definedName name="___RAC1">#REF!</definedName>
    <definedName name="Excel_BuiltIn_Print_Area_28_13_2">#REF!</definedName>
    <definedName name="______SS403">#REF!</definedName>
    <definedName name="_8Excel_BuiltIn_Print_Area_2_1_1_1_1">#REF!</definedName>
    <definedName name="APPR">#REF!</definedName>
    <definedName name="Bx">#REF!</definedName>
    <definedName name="NTPC">#REF!</definedName>
    <definedName name="_____DAT10">#REF!</definedName>
    <definedName name="Excel_BuiltIn_Print_Area_16_1_1_17_16">#REF!</definedName>
    <definedName name="EM_025_13">#REF!</definedName>
    <definedName name="Pane2___0">#REF!</definedName>
    <definedName name="_________________________________________xlnm.Print_Area_2">#REF!</definedName>
    <definedName name="Excel_BuiltIn_Print_Area_8_1_12_16">#REF!</definedName>
    <definedName name="EM_036_8">#REF!</definedName>
    <definedName name="EM_061_14">#REF!</definedName>
    <definedName name="____AXX4">#REF!</definedName>
    <definedName name="Excel_BuiltIn_Print_Area_16_1_14_27">#REF!</definedName>
    <definedName name="Excel_BuiltIn_Print_Area_2_1_1_1_17_2">#REF!</definedName>
    <definedName name="_________________________________________xlnm.Print_Titles_1">#REF!</definedName>
    <definedName name="EM_036_16">#REF!</definedName>
    <definedName name="Excel_BuiltIn_Print_Area_7_1_2_2">#REF!</definedName>
    <definedName name="XRefCopy58">#REF!</definedName>
    <definedName name="_kd1">#REF!</definedName>
    <definedName name="EM_014_16">#REF!</definedName>
    <definedName name="GUPTAVP">#REF!</definedName>
    <definedName name="____dol12">#REF!</definedName>
    <definedName name="Excel_BuiltIn_Print_Area_15_1_7_27">#REF!</definedName>
    <definedName name="Excel_BuiltIn_Print_Area_5_1_20">#REF!</definedName>
    <definedName name="Value15">#REF!</definedName>
    <definedName name="Excel_BuiltIn_Print_Area_4_1_1_9_27">#REF!</definedName>
    <definedName name="___SC06">#REF!</definedName>
    <definedName name="Excel_BuiltIn_Print_Area_29_7_16">#REF!</definedName>
    <definedName name="diaphragm">#REF!</definedName>
    <definedName name="Excel_BuiltIn_Print_Area_5_1_1_14_16">#REF!</definedName>
    <definedName name="CIF_ABB_Imp">#REF!</definedName>
    <definedName name="rorp">#REF!</definedName>
    <definedName name="____________drg1">#REF!</definedName>
    <definedName name="A9____13">#REF!</definedName>
    <definedName name="___kd2">#REF!</definedName>
    <definedName name="__del1">#REF!</definedName>
    <definedName name="______cli1">#REF!</definedName>
    <definedName name="Excel_BuiltIn_Print_Area_2_1_1_9_4">#REF!</definedName>
    <definedName name="RAB_GI_Mranggen">#REF!</definedName>
    <definedName name="ㅇ191">#REF!</definedName>
    <definedName name="Header">#REF!</definedName>
    <definedName name="__DAT10">#REF!</definedName>
    <definedName name="Excel_BuiltIn_Print_Area_16_1_1_7_2">#REF!</definedName>
    <definedName name="________________dol12">#REF!</definedName>
    <definedName name="_____rt2">#REF!</definedName>
    <definedName name="Excel_BuiltIn_Print_Area_2_1_5_16">#REF!</definedName>
    <definedName name="__DAT3">#REF!</definedName>
    <definedName name="_19Excel_BuiltIn_Print_Area_4_1_1_1_1">#REF!</definedName>
    <definedName name="Excel_BuiltIn_Print_Area_4_1_15_4">#REF!</definedName>
    <definedName name="m8_civ_f">#REF!</definedName>
    <definedName name="www">#REF!</definedName>
    <definedName name="SubTotalArea">#REF!</definedName>
    <definedName name="Excel_BuiltIn_Print_Area_16_1_1_8_27">#REF!</definedName>
    <definedName name="display_area_2">#REF!</definedName>
    <definedName name="mlc33b2">#REF!</definedName>
    <definedName name="__9__123Graph_CCHART_1">#REF!</definedName>
    <definedName name="ASF">#REF!</definedName>
    <definedName name="dsada">#REF!</definedName>
    <definedName name="Excel_BuiltIn_Print_Area_7_1_14_2">#REF!</definedName>
    <definedName name="__________________________IDA1">#REF!</definedName>
    <definedName name="__4______123Graph_ACHART_1">#REF!</definedName>
    <definedName localSheetId="8" name="_1Excel_BuiltIn_Print_Area_3_1">#REF!</definedName>
    <definedName name="________drg1">#REF!</definedName>
    <definedName name="_HM3">#REF!</definedName>
    <definedName name="_DAT11">#REF!</definedName>
    <definedName name="XRefPaste39Row">#REF!</definedName>
    <definedName name="EM_036_13">#REF!</definedName>
    <definedName name="Excel_BuiltIn_Print_Area_5_1_1_6_2">#REF!</definedName>
    <definedName name="Qt">#REF!</definedName>
    <definedName name="_________________________iv19000">#REF!</definedName>
    <definedName name="LUX___0">#REF!</definedName>
    <definedName name="GPR">#REF!</definedName>
    <definedName name="EM_028_11">#REF!</definedName>
    <definedName name="sis">#REF!</definedName>
    <definedName name="__iv19000">#REF!</definedName>
    <definedName name="EM_038_5">#REF!</definedName>
    <definedName name="___INT1">#REF!</definedName>
    <definedName name="EM_034_14">#REF!</definedName>
    <definedName name="Excel_BuiltIn_Print_Area_2_1_1_1_1_5">#REF!</definedName>
    <definedName name="ss9_bop_w">#REF!</definedName>
    <definedName name="EP_ANFA">#REF!</definedName>
    <definedName name="TOT_ST">#REF!</definedName>
    <definedName name="________________________________________________dol12">#REF!</definedName>
    <definedName name="__SAP7">#REF!</definedName>
    <definedName name="_15___123Graph_CCHART_1">#REF!</definedName>
    <definedName name="Excel_BuiltIn_Print_Area_14_1_10_4">#REF!</definedName>
    <definedName name="Excel_BuiltIn_Print_Area_14_1_2_27">#REF!</definedName>
    <definedName name="Excel_BuiltIn_Print_Area_16_1_1_8">#REF!</definedName>
    <definedName name="Excel_BuiltIn_Print_Area_12_1_1_11_4">#REF!</definedName>
    <definedName name="majororders">#REF!</definedName>
    <definedName name="_5Excel_BuiltIn_Print_Area_4_1">#REF!</definedName>
    <definedName localSheetId="8" name="dmt">#REF!</definedName>
    <definedName name="M_WellGradedGranularBaseMaterial_GradeA_236mm">#REF!</definedName>
    <definedName name="Excel_BuiltIn_Print_Area_12_1_17_2">#REF!</definedName>
    <definedName name="_________________________________iv19000">#REF!</definedName>
    <definedName name="____out2">#REF!</definedName>
    <definedName name="__6______123Graph_CCHART_1">#REF!</definedName>
    <definedName name="____Re1">#REF!</definedName>
    <definedName name="Excel_BuiltIn_Print_Area_1_1">#REF!</definedName>
    <definedName name="_________xlnm.Print_Area_3">#REF!</definedName>
    <definedName name="Excel_BuiltIn_Print_Area_2_1_14_2">#REF!</definedName>
    <definedName localSheetId="8" name="Excel_BuiltIn_Print_Titles_2_1_1">#REF!</definedName>
    <definedName name="___HFI7">#REF!</definedName>
    <definedName name="Ki___13">#REF!</definedName>
    <definedName name="XRefPaste13Row">#REF!</definedName>
    <definedName name="_SS423">#REF!</definedName>
    <definedName name="CONT1">#REF!</definedName>
    <definedName name="Excel_BuiltIn_Print_Area_10_1_9">#REF!</definedName>
    <definedName name="_HM4">#REF!</definedName>
    <definedName name="Excel_BuiltIn_Print_Area_5_1_1_16_27">#REF!</definedName>
    <definedName name="IP_SUP">#REF!</definedName>
    <definedName name="lc500mcic">#REF!</definedName>
    <definedName name="Excel_BuiltIn_Print_Area_10_1_2_27">#REF!</definedName>
    <definedName name="EM_019_15">#REF!</definedName>
    <definedName name="ACCESS220">#REF!</definedName>
    <definedName name="Excel_BuiltIn_Print_Area_5_15_2">#REF!</definedName>
    <definedName name="Nst">#REF!</definedName>
    <definedName name="MS200202rev2">#REF!</definedName>
    <definedName name="EP_Jul">#REF!</definedName>
    <definedName name="_A321">#REF!</definedName>
    <definedName name="TL_OS">#REF!</definedName>
    <definedName name="EH_001_7">#REF!</definedName>
    <definedName name="Excel_BuiltIn_Print_Area_6_1_17_16">#REF!</definedName>
    <definedName name="SCHEDULE_NO._7___Inventories">#REF!</definedName>
    <definedName name="EM_031_5">#REF!</definedName>
    <definedName name="Excel_BuiltIn_Print_Area_2_1_1_1_1_1_1_1_1_1_1_1">#REF!</definedName>
    <definedName name="Lap_length_for_side_wall_reiforcemnt">#REF!</definedName>
    <definedName name="____Tkl1">#REF!</definedName>
    <definedName name="SS_Res_Key">#REF!</definedName>
    <definedName name="EM_072_18">#REF!</definedName>
    <definedName name="FOS.SCF">#REF!</definedName>
    <definedName name="___ml33">#REF!</definedName>
    <definedName name="Excel_BuiltIn_Print_Area_7_1_1_16">#REF!</definedName>
    <definedName name="__________dol6">#REF!</definedName>
    <definedName name="_C">#REF!</definedName>
    <definedName name="Zm">#REF!</definedName>
    <definedName name="Excel_BuiltIn_Print_Area_7">#REF!</definedName>
    <definedName name="Excel_BuiltIn_Print_Area_10_1_7_16">#REF!</definedName>
    <definedName name="Excel_BuiltIn_Print_Area_7_1_1_1">#REF!</definedName>
    <definedName name="BOQAnalysis_LT">#REF!</definedName>
    <definedName name="AXXX3d">#REF!</definedName>
    <definedName name="Excel_BuiltIn_Print_Area_7_1_1_2_1">#REF!</definedName>
    <definedName name="SS_Oct">#REF!</definedName>
    <definedName name="Category_All">#REF!</definedName>
    <definedName name="ss8_geno_v">#REF!</definedName>
    <definedName name="ss9_fuel_v">#REF!</definedName>
    <definedName name="_____HCO2">#REF!</definedName>
    <definedName name="pImsb.ups">#REF!</definedName>
    <definedName name="_________________xlnm.Print_Area_2">#REF!</definedName>
    <definedName name="____________aoc2">#REF!</definedName>
    <definedName name="___1__123Graph_ACHART_1">#REF!</definedName>
    <definedName name="BM">#REF!</definedName>
    <definedName name="CED_OWNHW">#REF!</definedName>
    <definedName name="revstatuspage1">#REF!</definedName>
    <definedName name="_SC01">#REF!</definedName>
    <definedName name="________________________________________dol12">#REF!</definedName>
    <definedName name="Excel_BuiltIn_Print_Area_16_1_1_15">#REF!</definedName>
    <definedName name="SC_Mobi_Mth">#REF!</definedName>
    <definedName name="_____________lb2">#REF!</definedName>
    <definedName name="m8_e_w">#REF!</definedName>
    <definedName name="Excel_BuiltIn_Print_Area_2_1_1_1_1_1_1_1">#REF!</definedName>
    <definedName name="ss8_gt_f">#REF!</definedName>
    <definedName name="___SS407">#REF!</definedName>
    <definedName name="Excel_BuiltIn_Print_Area_16_1_9">#REF!</definedName>
    <definedName name="BD1_Meas1">#REF!</definedName>
    <definedName name="Excel_BuiltIn_Print_Area_13_1_27">#REF!</definedName>
    <definedName name="Excel_BuiltIn_Print_Area_2_1_1_1_14_27">#REF!</definedName>
    <definedName name="Excel_BuiltIn_Print_Area_29_17_4">#REF!</definedName>
    <definedName name="ste">#REF!</definedName>
    <definedName name="LAMP___0">#REF!</definedName>
    <definedName name="____________aoc1">#REF!</definedName>
    <definedName name="Excel_BuiltIn_Print_Area_4_1_13_4">#REF!</definedName>
    <definedName name="EM_032_13">#REF!</definedName>
    <definedName name="____SC11">#REF!</definedName>
    <definedName name="Excel_BuiltIn_Print_Area_1_4">#REF!</definedName>
    <definedName name="EM_025_16">#REF!</definedName>
    <definedName name="___Vf1">#REF!</definedName>
    <definedName name="EM_034_7">#REF!</definedName>
    <definedName name="Excel_BuiltIn_Print_Area_28_15">#REF!</definedName>
    <definedName name="hhhhhhhhh">#REF!</definedName>
    <definedName name="CAPA1">#REF!</definedName>
    <definedName name="EM_032_2">#REF!</definedName>
    <definedName name="_hfi4">#REF!</definedName>
    <definedName name="Excel_BuiltIn_Print_Area_16_1_1_27">#REF!</definedName>
    <definedName name="_CFB3">#REF!</definedName>
    <definedName name="____DAT1">#REF!</definedName>
    <definedName name="MyList">#REF!</definedName>
    <definedName name="__________IDA1">#REF!</definedName>
    <definedName name="BL4CCC">#REF!</definedName>
    <definedName name="__123Graph_A">#REF!</definedName>
    <definedName name="tube_test_press1_12">#REF!</definedName>
    <definedName name="Excel_BuiltIn_Print_Area_8_1_6_2">#REF!</definedName>
    <definedName name="EM_013_15">#REF!</definedName>
    <definedName name="Excel_BuiltIn_Print_Area_11_1_16_16">#REF!</definedName>
    <definedName name="Excel_BuiltIn_Print_Area_2_1_1_1_5">#REF!</definedName>
    <definedName name="ESCPRD_TRHW">#REF!</definedName>
    <definedName name="____________________________________________xlnm.Print_Area_1">#REF!</definedName>
    <definedName name="__EdFJsKAA">#REF!</definedName>
    <definedName name="Excel_BuiltIn_Print_Area_1_16">#REF!</definedName>
    <definedName name="_10____123Graph_ACHART_1">#REF!</definedName>
    <definedName name="전계장금액">#REF!</definedName>
    <definedName name="Excel_BuiltIn_Print_Area_3_1_14">#REF!</definedName>
    <definedName name="EquipmentType">#REF!</definedName>
    <definedName name="_A6">#REF!</definedName>
    <definedName name="EM_024_8">#REF!</definedName>
    <definedName name="__________________mm3">#REF!</definedName>
    <definedName name="_____axx6">#REF!</definedName>
    <definedName name="RaftD">#REF!</definedName>
    <definedName name="Attachment_C_3">#REF!</definedName>
    <definedName name="PAGE8">#REF!</definedName>
    <definedName name="MC_NonABB_local">#REF!</definedName>
    <definedName name="RRstones">#REF!</definedName>
    <definedName name="biddername">#REF!</definedName>
    <definedName name="Soil">#REF!</definedName>
    <definedName name="RawAgencyPrice">#REF!</definedName>
    <definedName name="DATA15">#REF!</definedName>
    <definedName name="___xlnm.Print_Area_9">#REF!</definedName>
    <definedName name="EM_031_11">#REF!</definedName>
    <definedName name="EM_031_13">#REF!</definedName>
    <definedName name="raghu">#REF!</definedName>
    <definedName name="Excel_BuiltIn_Print_Area_2_1_8">#REF!</definedName>
    <definedName name="Bilu2">#REF!</definedName>
    <definedName name="GGGG">#REF!</definedName>
    <definedName name="_BUB1">#REF!</definedName>
    <definedName name="Excel_BuiltIn_Print_Area_10_1_7_4">#REF!</definedName>
    <definedName name="rmcsmsb.3">#REF!</definedName>
    <definedName name="Excel_BuiltIn_Print_Area_6_1_12_2">#REF!</definedName>
    <definedName name="FFB">#REF!</definedName>
    <definedName name="BD1TransProb1">#REF!</definedName>
    <definedName name="TL_WC_Key">#REF!</definedName>
    <definedName name="Excel_BuiltIn_Print_Area_6">#REF!</definedName>
    <definedName name="BaseI3">#REF!</definedName>
    <definedName name="Excel_BuiltIn_Print_Area_8_1_1_15_27">#REF!</definedName>
    <definedName name="AXXX2">#REF!</definedName>
    <definedName name="HNDCLR_CHGS">#REF!</definedName>
    <definedName name="Shuttering">#REF!</definedName>
    <definedName name="x1byr1">#REF!</definedName>
    <definedName name="_______tab2">#REF!</definedName>
    <definedName name="__________xlnm.Print_Area_7">#REF!</definedName>
    <definedName name="Excel_BuiltIn_Print_Area_8_1_7_16">#REF!</definedName>
    <definedName name="_______CFB3">#REF!</definedName>
    <definedName name="Excel_BuiltIn_Print_Area_7_1_9_16">#REF!</definedName>
    <definedName name="EM_022_3">#REF!</definedName>
    <definedName name="TEs">#REF!</definedName>
    <definedName name="Excel_BuiltIn_Print_Area_9_1_1_27">#REF!</definedName>
    <definedName name="CAPA111">#REF!</definedName>
    <definedName name="_________iv19000">#REF!</definedName>
    <definedName name="_________m20">#REF!</definedName>
    <definedName name="Excel_BuiltIn_Print_Area_2_1_1_1_14_2">#REF!</definedName>
    <definedName name="Hxg">#REF!</definedName>
    <definedName name="XRefCopy3">#REF!</definedName>
    <definedName name="TEST">#REF!</definedName>
    <definedName name="numfib">#REF!</definedName>
    <definedName name="EM_033_17">#REF!</definedName>
    <definedName name="madhu218">#REF!</definedName>
    <definedName name="Excel_BuiltIn_Print_Area_10_8_2">#REF!</definedName>
    <definedName name="CHF">#REF!</definedName>
    <definedName name="Excel_BuiltIn_Print_Area_15_1">#REF!</definedName>
    <definedName name="CST_BO">#REF!</definedName>
    <definedName name="_______f1">#REF!</definedName>
    <definedName name="_____run1">#REF!</definedName>
    <definedName name="Excel_BuiltIn_Print_Area_13_1">#REF!</definedName>
    <definedName name="Excel_BuiltIn_Print_Area_13_1_16">#REF!</definedName>
    <definedName name="SEPT">#REF!</definedName>
    <definedName name="_9__________123Graph_CCHART_1">#REF!</definedName>
    <definedName name="EM_068_18">#REF!</definedName>
    <definedName name="BD1TransInd2">#REF!</definedName>
    <definedName name="Excel_BuiltIn_Print_Area_12_1_1_14_4">#REF!</definedName>
    <definedName name="lc1i4f">#REF!</definedName>
    <definedName name="EM_027_4">#REF!</definedName>
    <definedName name="Excel_BuiltIn_Print_Area_16_1_2_16">#REF!</definedName>
    <definedName name="Excel_BuiltIn_Print_Area_6_1_17_27">#REF!</definedName>
    <definedName name="Excel_BuiltIn_Print_Area_12_1_1_12_4">#REF!</definedName>
    <definedName name="hxc">#REF!</definedName>
    <definedName name="Fr_charges">#REF!</definedName>
    <definedName name="Rl___0">#REF!</definedName>
    <definedName name="AFF">#REF!</definedName>
    <definedName name="Excel_BuiltIn_Print_Area_5_1_1_4">#REF!</definedName>
    <definedName localSheetId="8" name="______SS404">#REF!</definedName>
    <definedName name="PAT_B">#REF!</definedName>
    <definedName name="Excel_BuiltIn_Print_Area_3_1_14_2">#REF!</definedName>
    <definedName name="m8_ct_v">#REF!</definedName>
    <definedName name="REN">#REF!</definedName>
    <definedName name="Value55">#REF!</definedName>
    <definedName name="Excel_BuiltIn_Print_Area_12_1_2_1">#REF!</definedName>
    <definedName name="Excel_BuiltIn_Print_Area_2_1_1_3">#REF!</definedName>
    <definedName name="Excel_BuiltIn_Print_Area_17_1_1_16">#REF!</definedName>
    <definedName name="Excel_BuiltIn_Print_Area_5_10_27">#REF!</definedName>
    <definedName name="_run3">#REF!</definedName>
    <definedName name="Excel_BuiltIn_Print_Area_5_17_27">#REF!</definedName>
    <definedName name="Excel_BuiltIn_Print_Area_4_1_7_16">#REF!</definedName>
    <definedName name="_____rt3">#REF!</definedName>
    <definedName name="fda">#REF!</definedName>
    <definedName name="Excel_BuiltIn_Print_Area_8_1_1_9_16">#REF!</definedName>
    <definedName name="Excel_BuiltIn_Print_Area_16_1_10">#REF!</definedName>
    <definedName name="EP_Avg_OCA">#REF!</definedName>
    <definedName name="EM_038_9">#REF!</definedName>
    <definedName name="accp">#REF!</definedName>
    <definedName name="EM_012_14">#REF!</definedName>
    <definedName name="Excel_BuiltIn_Print_Area_11_1_8_27">#REF!</definedName>
    <definedName name="BEND">#REF!</definedName>
    <definedName name="EM_063_18">#REF!</definedName>
    <definedName name="wallht">#REF!</definedName>
    <definedName name="Excel_BuiltIn_Print_Area_12_1_7_2">#REF!</definedName>
    <definedName localSheetId="8" name="__trt75">#REF!</definedName>
    <definedName name="IPB">#REF!</definedName>
    <definedName name="XRefCopy70">#REF!</definedName>
    <definedName name="BuiltIn_Print_Area___0___0___0___0">#REF!</definedName>
    <definedName name="chk">#REF!</definedName>
    <definedName name="Excel_BuiltIn_Print_Area_3_1_7_16">#REF!</definedName>
    <definedName name="p1ltsbb1">#REF!</definedName>
    <definedName name="TR500FIRE">#REF!</definedName>
    <definedName name="Excel_BuiltIn_Print_Area_12_1_3_4">#REF!</definedName>
    <definedName name="EM_032_16">#REF!</definedName>
    <definedName name="Excel_BuiltIn_Print_Area_9_1_17_4">#REF!</definedName>
    <definedName name="_HE91">#REF!</definedName>
    <definedName name="_____Ki1">#REF!</definedName>
    <definedName name="Excel_BuiltIn_Print_Area_10_1_14_16">#REF!</definedName>
    <definedName name="_mcc2">#REF!</definedName>
    <definedName name="Value53">#REF!</definedName>
    <definedName name="__cdd2">#REF!</definedName>
    <definedName name="AG">#REF!</definedName>
    <definedName name="____DAT9">#REF!</definedName>
    <definedName name="_tt75">#REF!</definedName>
    <definedName name="EM_002_2">#REF!</definedName>
    <definedName name="Excel_BuiltIn_Print_Area_14_1_9_2">#REF!</definedName>
    <definedName name="Sa">#REF!</definedName>
    <definedName name="Excel_BuiltIn_Print_Area_2_1_14_4">#REF!</definedName>
    <definedName name="Illumination">#REF!</definedName>
    <definedName name="_______DAT10">#REF!</definedName>
    <definedName name="Excel_BuiltIn_Print_Area_8_1_1_2_4">#REF!</definedName>
    <definedName name="_______SAP7">#REF!</definedName>
    <definedName name="Excel_BuiltIn_Print_Area_16_1_1_6">#REF!</definedName>
    <definedName name="LLL">#REF!</definedName>
    <definedName name="Excel_BuiltIn_Print_Area_17_1_1_2_2">#REF!</definedName>
    <definedName name="MUNION">#REF!</definedName>
    <definedName name="EM_007_5">#REF!</definedName>
    <definedName name="FIT___13">#REF!</definedName>
    <definedName name="well">#REF!</definedName>
    <definedName name="PAGE7">#REF!</definedName>
    <definedName name="Me_v">#REF!</definedName>
    <definedName name="DATA_21">#REF!</definedName>
    <definedName name="EM_023_11">#REF!</definedName>
    <definedName name="eeds">#REF!</definedName>
    <definedName name="Excel_BuiltIn_Print_Area_2_1_1_15_2">#REF!</definedName>
    <definedName name="adasdas">#REF!</definedName>
    <definedName name="Excel_BuiltIn_Print_Area_2_1_1_1_1_16_1">#REF!</definedName>
    <definedName name="_RE38">#REF!</definedName>
    <definedName name="_____SS406">#REF!</definedName>
    <definedName name="____DET6">#REF!</definedName>
    <definedName name="Excel_BuiltIn_Print_Area_18_1_1_1">#REF!</definedName>
    <definedName name="SPEC_24">#REF!</definedName>
    <definedName name="Excel_BuiltIn_Print_Area_5_1_1_7_2">#REF!</definedName>
    <definedName name="BL4AA">#REF!</definedName>
    <definedName name="Excel_BuiltIn_Print_Area_16_1_20">#REF!</definedName>
    <definedName name="sffound_usd">#REF!</definedName>
    <definedName name="Excel_BuiltIn_Print_Area_3_1_3_27">#REF!</definedName>
    <definedName name="BUDDHA">#REF!</definedName>
    <definedName name="_17Excel_BuiltIn_Print_Area_7_1_1_1_1">#REF!</definedName>
    <definedName name="Excel_BuiltIn_Print_Area_11_1_13_2">#REF!</definedName>
    <definedName name="Excel_BuiltIn_Print_Area_15_1_13_27">#REF!</definedName>
    <definedName name="designed">#REF!</definedName>
    <definedName name="Excel_BuiltIn_Print_Area_12_1_7_4">#REF!</definedName>
    <definedName name="_15Excel_BuiltIn_Print_Area_4_1_1_1_1_1_1_1_1_1_1_1_1">#REF!</definedName>
    <definedName name="Excel_BuiltIn_Print_Area_7_1_7_4">#REF!</definedName>
    <definedName name="___A7">#REF!</definedName>
    <definedName name="Ki">#REF!</definedName>
    <definedName name="dbrwk12">#REF!</definedName>
    <definedName name="EM_013_6">#REF!</definedName>
    <definedName name="Excel_BuiltIn_Print_Area_4_1_1_1_16">#REF!</definedName>
    <definedName name="Number_of_Payments">#REF!</definedName>
    <definedName name="__________________________________dol6">#REF!</definedName>
    <definedName name="Excel_BuiltIn_Print_Area_5_1_1_1_16">#REF!</definedName>
    <definedName name="_____________________________________________iv19000">#REF!</definedName>
    <definedName name="IRR">#REF!</definedName>
    <definedName localSheetId="8" name="itmax">#REF!</definedName>
    <definedName name="yit">#REF!</definedName>
    <definedName name="conductor_L1">#REF!</definedName>
    <definedName name="Excel_BuiltIn_Print_Area_5_1_1_7_16">#REF!</definedName>
    <definedName name="Excel_BuiltIn_Print_Area_9_1_2_27">#REF!</definedName>
    <definedName name="m8_fuel_w">#REF!</definedName>
    <definedName name="_________xlnm.Print_Area_2">#REF!</definedName>
    <definedName name="____bom1">#REF!</definedName>
    <definedName name="_Fill">#REF!</definedName>
    <definedName localSheetId="8" name="_______CFB1">#REF!</definedName>
    <definedName name="PATHAR1">#REF!</definedName>
    <definedName name="XRefCopy43">#REF!</definedName>
    <definedName name="current4">#REF!</definedName>
    <definedName name="Excel_BuiltIn_Print_Area_17_1_1_1_2">#REF!</definedName>
    <definedName name="__hxa2">#REF!</definedName>
    <definedName name="Excel_BuiltIn_Print_Area_15">#REF!</definedName>
    <definedName name="_________xlnm.Print_Area_9">#REF!</definedName>
    <definedName name="_N">#REF!</definedName>
    <definedName name="LTK">#REF!</definedName>
    <definedName name="___DAT9">#REF!</definedName>
    <definedName name="Excel_BuiltIn_Print_Area_13_1_7_4">#REF!</definedName>
    <definedName name="_aba2">#REF!</definedName>
    <definedName name="EP_COI">#REF!</definedName>
    <definedName name="Excel_BuiltIn_Print_Area_4_1_20_4">#REF!</definedName>
    <definedName name="Excel_BuiltIn_Print_Area_6_1_15_2">#REF!</definedName>
    <definedName name="LV">#REF!</definedName>
    <definedName name="EM_065_17">#REF!</definedName>
    <definedName name="Excel_BuiltIn_Print_Area_3_1_11_27">#REF!</definedName>
    <definedName name="Excel_BuiltIn_Print_Area_4_1_9_27">#REF!</definedName>
    <definedName name="GROUPXI">#REF!</definedName>
    <definedName name="________f1">#REF!</definedName>
    <definedName name="__CTR500">#REF!</definedName>
    <definedName name="Excel_BuiltIn_Print_Area_29_8_27">#REF!</definedName>
    <definedName name="ikmax">#REF!</definedName>
    <definedName name="eelat">#REF!</definedName>
    <definedName name="EM_007_7">#REF!</definedName>
    <definedName name="Excel_BuiltIn_Print_Area_14_1_14_16">#REF!</definedName>
    <definedName name="raja">#REF!</definedName>
    <definedName name="SchList">#REF!</definedName>
    <definedName name="j_filler">#REF!</definedName>
    <definedName name="__DET6">#REF!</definedName>
    <definedName name="Excel_BuiltIn_Print_Area_16_1_1_11">#REF!</definedName>
    <definedName name="__________________lb1">#REF!</definedName>
    <definedName name="BD1TransNextState2">#REF!</definedName>
    <definedName name="Excel_BuiltIn_Print_Area_5_1_1_8_16">#REF!</definedName>
    <definedName name="EM_030_18">#REF!</definedName>
    <definedName name="Excel_BuiltIn_Print_Area_29_14_4">#REF!</definedName>
    <definedName name="NET">#REF!</definedName>
    <definedName name="EM_027_14">#REF!</definedName>
    <definedName name="dbrwk11">#REF!</definedName>
    <definedName name="LABPOL">#REF!</definedName>
    <definedName name="BuiltIn_Print_Area___0___0___0___0___0___0">#REF!</definedName>
    <definedName name="A01MI">#REF!</definedName>
    <definedName name="___hfi6">#REF!</definedName>
    <definedName name="Nos">#REF!</definedName>
    <definedName name="QFC_S02">#REF!</definedName>
    <definedName name="EM_038_13">#REF!</definedName>
    <definedName name="pound">#REF!</definedName>
    <definedName name="lamda">#REF!</definedName>
    <definedName name="_____________mm3">#REF!</definedName>
    <definedName name="______CFB1">#REF!</definedName>
    <definedName name="_____rcu2">#REF!</definedName>
    <definedName name="____hfi2">#REF!</definedName>
    <definedName name="LYReselects">#REF!</definedName>
    <definedName name="SCHEDULE_NO._8___Sundry_Debtors">#REF!</definedName>
    <definedName name="EM_060_17">#REF!</definedName>
    <definedName name="alphab">#REF!</definedName>
    <definedName name="OFFICE_LIGHTING">#REF!</definedName>
    <definedName name="__________xlnm._FilterDatabase_5">#REF!</definedName>
    <definedName name="_1000A01">#REF!</definedName>
    <definedName name="Excel_BuiltIn_Print_Area_12_1_1_2_2">#REF!</definedName>
    <definedName name="Excel_BuiltIn_Print_Area_8_1_27">#REF!</definedName>
    <definedName name="Excel_BuiltIn_Print_Area_4_1_1_7">#REF!</definedName>
    <definedName name="Excel_BuiltIn_Print_Area_4_1_15">#REF!</definedName>
    <definedName name="WP">#REF!</definedName>
    <definedName name="Excel_BuiltIn_Print_Area_7_1_1_11_16">#REF!</definedName>
    <definedName name="mllf">#REF!</definedName>
    <definedName name="_A13">#REF!</definedName>
    <definedName name="Fvr">#REF!</definedName>
    <definedName name="zlpu___0">#REF!</definedName>
    <definedName name="zae">#REF!</definedName>
    <definedName localSheetId="8" name="AC">#REF!</definedName>
    <definedName name="DAYS">#REF!</definedName>
    <definedName name="QFC_UKPh">#REF!</definedName>
    <definedName name="EM_030_10">#REF!</definedName>
    <definedName name="______________________b111121">#REF!</definedName>
    <definedName name="Excel_BuiltIn_Print_Area_11_1_1_2">#REF!</definedName>
    <definedName name="_____xlnm.Print_Area_4">#REF!</definedName>
    <definedName name="A01TO">#REF!</definedName>
    <definedName name="PIO">#REF!</definedName>
    <definedName name="Qc___0">#REF!</definedName>
    <definedName name="__mnk1">#REF!</definedName>
    <definedName name="________________________________________________________dol6">#REF!</definedName>
    <definedName name="NPS">#REF!</definedName>
    <definedName name="K_a">#REF!</definedName>
    <definedName name="________________________________xlnm.Print_Area_1">#REF!</definedName>
    <definedName name="fwio">#REF!</definedName>
    <definedName name="EM_029_4">#REF!</definedName>
    <definedName name="llll">#REF!</definedName>
    <definedName name="pad_baywise">#REF!</definedName>
    <definedName name="_______Xl1">#REF!</definedName>
    <definedName name="______________________________________________dol12">#REF!</definedName>
    <definedName name="_Vf2">#REF!</definedName>
    <definedName name="SS_Adv">#REF!</definedName>
    <definedName name="XRefCopy13">#REF!</definedName>
    <definedName name="Excel_BuiltIn_Print_Area_8_1_16_4">#REF!</definedName>
    <definedName name="Excel_BuiltIn_Print_Area_10_1_8_4">#REF!</definedName>
    <definedName name="Excel_BuiltIn_Print_Area_2_1_2_4">#REF!</definedName>
    <definedName name="XRefPaste22Row">#REF!</definedName>
    <definedName name="Excel_BuiltIn_Print_Area_10_1_12_27">#REF!</definedName>
    <definedName name="Excel_BuiltIn_Print_Area_7_1_8_2">#REF!</definedName>
    <definedName name="MonthYear">#REF!</definedName>
    <definedName name="___________g1">#REF!</definedName>
    <definedName name="esc_1">#REF!</definedName>
    <definedName name="_TR220">#REF!</definedName>
    <definedName name="mcmc5002i1bc8f">#REF!</definedName>
    <definedName name="EM_068_15">#REF!</definedName>
    <definedName name="Group_YTD">#REF!</definedName>
    <definedName name="Excel_BuiltIn_Print_Area_15_1_2_27">#REF!</definedName>
    <definedName name="QFC_SEKh">#REF!</definedName>
    <definedName name="Excel_BuiltIn_Print_Area_6_1_16_4">#REF!</definedName>
    <definedName name="______wp1">#REF!</definedName>
    <definedName name="_____xlnm._FilterDatabase_5">#REF!</definedName>
    <definedName name="Excel_BuiltIn_Print_Area_29_10_27">#REF!</definedName>
    <definedName name="cosq">#REF!</definedName>
    <definedName name="_11Excel_BuiltIn_Print_Area_4_1_1_1_1_1_1_1_1_1_1">#REF!</definedName>
    <definedName name="AAAAAAAAAAAAAAAAAAAAAAAAAAAAAAAAAAAAAAAAA">#REF!</definedName>
    <definedName name="BD1Max_System">#REF!</definedName>
    <definedName name="L_T_PY_RSTL_RB_55">#REF!</definedName>
    <definedName name="Excel_BuiltIn_Print_Area_17_1_1_8_16">#REF!</definedName>
    <definedName name="SS_May">#REF!</definedName>
    <definedName name="Excel_BuiltIn_Print_Area_28_1_2">#REF!</definedName>
    <definedName name="Excel_BuiltIn_Print_Area_11_1_7_2">#REF!</definedName>
    <definedName name="EP_OS">#REF!</definedName>
    <definedName name="Excel_BuiltIn_Print_Area_10_1_1_1_1_1">#REF!</definedName>
    <definedName name="Den">#REF!</definedName>
    <definedName name="EM_019_14">#REF!</definedName>
    <definedName name="PROPS">#REF!</definedName>
    <definedName name="Excel_BuiltIn_Print_Area_2_1_1_10_27">#REF!</definedName>
    <definedName name="Excel_BuiltIn_Print_Area_10_1_12_4">#REF!</definedName>
    <definedName name="Excel_BuiltIn_Print_Area_2_1_1_13">#REF!</definedName>
    <definedName name="robot">#REF!</definedName>
    <definedName localSheetId="8" name="_____xlnm.Print_Area_10">#REF!</definedName>
    <definedName name="_6__123Graph_BCHART_1">#REF!</definedName>
    <definedName name="TBL">#REF!</definedName>
    <definedName name="_9_____123Graph_CCHART_1">#REF!</definedName>
    <definedName name="______Rs1">#REF!</definedName>
    <definedName name="collection">#REF!</definedName>
    <definedName name="_HM8">#REF!</definedName>
    <definedName name="PANDU">#REF!</definedName>
    <definedName name="Excel_BuiltIn_Print_Area_29_9_16">#REF!</definedName>
    <definedName name="Excel_BuiltIn_Print_Area_2_1_12_16">#REF!</definedName>
    <definedName name="Excel_BuiltIn_Print_Area_8_1_10_2">#REF!</definedName>
    <definedName name="m8_gtax_w">#REF!</definedName>
    <definedName name="Excel_BuiltIn_Print_Area_9_1_11_4">#REF!</definedName>
    <definedName name="DFR">#REF!</definedName>
    <definedName name="Excel_BuiltIn_Print_Area_29_1_16">#REF!</definedName>
    <definedName name="NHJK">#REF!</definedName>
    <definedName name="____m35">#REF!</definedName>
    <definedName name="______________________xlnm.Print_Area_2">#REF!</definedName>
    <definedName name="__________xlnm._FilterDatabase_2">#REF!</definedName>
    <definedName name="erer">#REF!</definedName>
    <definedName name="BR_Resou">#REF!</definedName>
    <definedName name="Excel_BuiltIn_Print_Area_4_1_1_2_2">#REF!</definedName>
    <definedName name="Excel_BuiltIn_Print_Area_8_1_1_15_4">#REF!</definedName>
    <definedName name="_16Excel_BuiltIn_Print_Titles_4_1">#REF!</definedName>
    <definedName name="________________________________________________________in18900">#REF!</definedName>
    <definedName name="Excel_BuiltIn_Print_Area_6_1_6_27">#REF!</definedName>
    <definedName name="EM_038_10">#REF!</definedName>
    <definedName name="EM_021_11">#REF!</definedName>
    <definedName name="Excel_BuiltIn_Print_Area_13_1_6_27">#REF!</definedName>
    <definedName name="Excel_BuiltIn_Print_Area_16_1_1_9_16">#REF!</definedName>
    <definedName name="sri">#REF!</definedName>
    <definedName name="Excel_BuiltIn_Print_Area_29_7_2">#REF!</definedName>
    <definedName name="Excel_BuiltIn_Print_Area_3_1_14_27">#REF!</definedName>
    <definedName name="Excel_BuiltIn_Print_Area_9_1_10_16">#REF!</definedName>
    <definedName name="MANU3">#REF!</definedName>
    <definedName name="feb_rev4_qty">#REF!</definedName>
    <definedName name="Mc_v">#REF!</definedName>
    <definedName name="Value34">#REF!</definedName>
    <definedName name="RCArea">#REF!</definedName>
    <definedName name="Fmr">#REF!</definedName>
    <definedName name="RRRRRRRRRRRRRRRRRRRRRR">#REF!</definedName>
    <definedName name="_Regression_Y">#REF!</definedName>
    <definedName name="can">#REF!</definedName>
    <definedName name="XRefPaste20Row">#REF!</definedName>
    <definedName name="EM_003_11">#REF!</definedName>
    <definedName name="PREHT">#REF!</definedName>
    <definedName name="bcs">#REF!</definedName>
    <definedName name="_______________xlnm.Print_Area_1">#REF!</definedName>
    <definedName localSheetId="8" name="VESWH">#REF!</definedName>
    <definedName name="trttt">#REF!</definedName>
    <definedName name="_______del1">#REF!</definedName>
    <definedName name="SUMMARY_OTHER_EXPS">#REF!</definedName>
    <definedName name="____________________xlnm.Print_Area_1">#REF!</definedName>
    <definedName name="aerawrwaraaa">#REF!</definedName>
    <definedName name="hhgg">#REF!</definedName>
    <definedName name="Excel_BuiltIn_Print_Area_16_1_13_4">#REF!</definedName>
    <definedName name="_____________________________________dol6">#REF!</definedName>
    <definedName name="EM_029_18">#REF!</definedName>
    <definedName name="_______________xlnm.Print_Area_2">#REF!</definedName>
    <definedName name="beta">#REF!</definedName>
    <definedName name="Title1">#REF!</definedName>
    <definedName name="____________m35">#REF!</definedName>
    <definedName name="Excel_BuiltIn_Print_Area_4_1_17_27">#REF!</definedName>
    <definedName name="SCH">#REF!</definedName>
    <definedName name="sigmab">#REF!</definedName>
    <definedName name="BuiltIn_Print_Titles___0___0___0___0___0___0___0___0___0___0___0___0">#REF!</definedName>
    <definedName name="BoltCircleOrPoleOD">#REF!</definedName>
    <definedName name="Professional___Audit_Fees">#REF!</definedName>
    <definedName name="Excel_BuiltIn_Print_Area_5_6">#REF!</definedName>
    <definedName name="Excel_BuiltIn_Print_Area_4_1_1_15_2">#REF!</definedName>
    <definedName name="_______________________________xlnm.Print_Titles_1">#REF!</definedName>
    <definedName name="FCL">#REF!</definedName>
    <definedName name="Excel_BuiltIn_Print_Area_3_1_15_16">#REF!</definedName>
    <definedName name="qwrqrqwrq">#REF!</definedName>
    <definedName name="MASTER">#REF!</definedName>
    <definedName name="EM_054_17">#REF!</definedName>
    <definedName name="RFP003C">#REF!</definedName>
    <definedName name="사외">#REF!</definedName>
    <definedName name="zlpu">#REF!</definedName>
    <definedName name="Excel_BuiltIn_Print_Area_8_1_1_13_16">#REF!</definedName>
    <definedName name="TowerBaseShear">#REF!</definedName>
    <definedName name="Excel_BuiltIn_Print_Area_15_1_8">#REF!</definedName>
    <definedName name="Excel_BuiltIn_Print_Area_28_16_27">#REF!</definedName>
    <definedName name="EM_056_16">#REF!</definedName>
    <definedName name="__tt75">#REF!</definedName>
    <definedName name="I0138.0">#REF!</definedName>
    <definedName name="__a655601">#REF!</definedName>
    <definedName name="Excel_BuiltIn_Print_Area_7_1_5_16">#REF!</definedName>
    <definedName name="___aoc1">#REF!</definedName>
    <definedName name="__1____123Graph_ACHART_1">#REF!</definedName>
    <definedName name="Excel_BuiltIn_Print_Area_12_1_7_16">#REF!</definedName>
    <definedName name="print_area_mi_1">#REF!</definedName>
    <definedName name="Excel_BuiltIn_Print_Area_4_1_1_13_4">#REF!</definedName>
    <definedName name="diameter">#REF!</definedName>
    <definedName name="EM_022_13">#REF!</definedName>
    <definedName name="___________________IDA1">#REF!</definedName>
    <definedName localSheetId="8" name="____xlnm.Print_Titles_4">#REF!</definedName>
    <definedName name="Sel_Choice_Rail_OHE">#REF!</definedName>
    <definedName name="Excel_BuiltIn_Print_Area_8">#REF!</definedName>
    <definedName name="INFRP3">#REF!</definedName>
    <definedName name="______b111121">#REF!</definedName>
    <definedName name="__123Graph_D">#REF!</definedName>
    <definedName name="ESC_IDTOSW">#REF!</definedName>
    <definedName name="_________________xlnm.Print_Area_1">#REF!</definedName>
    <definedName name="_____mcl132">#REF!</definedName>
    <definedName name="___SC03">#REF!</definedName>
    <definedName name="dcrwk11">#REF!</definedName>
    <definedName name="Excel_BuiltIn_Print_Area_14_1_8">#REF!</definedName>
    <definedName name="Excel_BuiltIn_Print_Area_6_1_12">#REF!</definedName>
    <definedName name="EM_031_8">#REF!</definedName>
    <definedName name="Excel_BuiltIn_Print_Area_14_1_20_4">#REF!</definedName>
    <definedName name="TEC_Inquiry_No">#REF!</definedName>
    <definedName name="_axx8">#REF!</definedName>
    <definedName name="Excel_BuiltIn__FilterDatabase_1_18">#REF!</definedName>
    <definedName name="TL_Dec">#REF!</definedName>
    <definedName name="_____________lb1">#REF!</definedName>
    <definedName name="Excel_BuiltIn_Print_Area_17_1_1_7_2">#REF!</definedName>
    <definedName name="PUMPS_DATA">#REF!</definedName>
    <definedName name="________xlnm._FilterDatabase_3">#REF!</definedName>
    <definedName name="_6Excel_BuiltIn_Print_Area_4_1_1_1_1_1">#REF!</definedName>
    <definedName name="MCi">#REF!</definedName>
    <definedName name="___DAT16">#REF!</definedName>
    <definedName name="Excel_BuiltIn_Print_Area_10_1_20_2">#REF!</definedName>
    <definedName name="Excel_BuiltIn_Print_Area_2_1_5_4">#REF!</definedName>
    <definedName name="EP_Avg_Adv">#REF!</definedName>
    <definedName name="EM_031_4">#REF!</definedName>
    <definedName name="m8_gtax_v">#REF!</definedName>
    <definedName name="___Tk11">#REF!</definedName>
    <definedName name="_ngl4">#REF!</definedName>
    <definedName name="EM_038_16">#REF!</definedName>
    <definedName name="______axx2">#REF!</definedName>
    <definedName name="Excel_BuiltIn_Print_Area_4_1_1_1_1_27">#REF!</definedName>
    <definedName name="M25RCCcement">#REF!</definedName>
    <definedName name="_______________KEY3">#REF!</definedName>
    <definedName name="Excel_BuiltIn_Print_Area_11_1_10_16">#REF!</definedName>
    <definedName name="Excel_BuiltIn_Print_Area_5_1_1_1_4">#REF!</definedName>
    <definedName name="TOWERTYPE">#REF!</definedName>
    <definedName name="_SG1">#REF!</definedName>
    <definedName name="Excel_BuiltIn_Print_Area_16_1_1_1">#REF!</definedName>
    <definedName name="Z2x">#REF!</definedName>
    <definedName name="Excel_BuiltIn_Print_Area_4_1_1_1_1_1_1_1_1_1_1">#REF!</definedName>
    <definedName name="man___11">#REF!</definedName>
    <definedName name="Source_Price">#REF!</definedName>
    <definedName name="______aoc2">#REF!</definedName>
    <definedName name="EM_020_16">#REF!</definedName>
    <definedName name="Excel_BuiltIn_Print_Area_2_1_1_14_4">#REF!</definedName>
    <definedName name="_____Tkl1">#REF!</definedName>
    <definedName name="Excel_BuiltIn_Print_Area_15_1_11_2">#REF!</definedName>
    <definedName name="SS_Jul">#REF!</definedName>
    <definedName name="f_shape">#REF!</definedName>
    <definedName name="LTErate">#REF!</definedName>
    <definedName name="Monthly">#REF!</definedName>
    <definedName name="__MMB220">#REF!</definedName>
    <definedName name="Excel_BuiltIn_Print_Area_6_1_2_16">#REF!</definedName>
    <definedName name="EM_006_4">#REF!</definedName>
    <definedName name="AGENCYPLAN">#REF!</definedName>
    <definedName name="_________xlnm.Print_Area_6">#REF!</definedName>
    <definedName name="BuiltIn_Print_Titles___0___0___0___0___0___0___0___0___0___0___0___0___0___0">#REF!</definedName>
    <definedName name="Excel_BuiltIn_Print_Area_5">#REF!</definedName>
    <definedName name="______xlnm.Print_Area_8">#REF!</definedName>
    <definedName name="________g1">#REF!</definedName>
    <definedName name="Excel_BuiltIn_Print_Area_7_1_15_2">#REF!</definedName>
    <definedName name="tvr">#REF!</definedName>
    <definedName name="p1ltsbb2">#REF!</definedName>
    <definedName name="PublicDocuments">#REF!</definedName>
    <definedName name="_g1">#REF!</definedName>
    <definedName name="PM_Tractor_Rotavator">#REF!</definedName>
    <definedName name="SQRT__1___0_6___1_0">#REF!</definedName>
    <definedName name="EM_014_11">#REF!</definedName>
    <definedName name="Excel_BuiltIn_Print_Area_13_1_9_27">#REF!</definedName>
    <definedName name="ASFFFF">#REF!</definedName>
    <definedName name="SS_OB_IU">#REF!</definedName>
    <definedName name="EM_067_18">#REF!</definedName>
    <definedName name="Excel_BuiltIn_Print_Area_10_1_10_4">#REF!</definedName>
    <definedName name="_DAT10">#REF!</definedName>
    <definedName name="Excel_BuiltIn_Print_Area_16_1_1_16_27">#REF!</definedName>
    <definedName name="Excel_BuiltIn_Print_Area_9_1_15_27">#REF!</definedName>
    <definedName name="Excel_BuiltIn_Print_Area_5_1_1_5">#REF!</definedName>
    <definedName name="Excel_BuiltIn_Print_Area_6_20_4">#REF!</definedName>
    <definedName name="P1R">#REF!</definedName>
    <definedName name="EM_030_4">#REF!</definedName>
    <definedName name="ScheduleName">#REF!</definedName>
    <definedName name="__SAP10">#REF!</definedName>
    <definedName name="Excel_BuiltIn_Print_Area_7_1_1_11">#REF!</definedName>
    <definedName name="Excel_BuiltIn_Print_Area_16_1_11_16">#REF!</definedName>
    <definedName name="Excel_BuiltIn_Print_Area_3_1_2_1">#REF!</definedName>
    <definedName localSheetId="8" name="Wg">#REF!</definedName>
    <definedName name="Excel_BuiltIn_Print_Area_5_1_1_11_27">#REF!</definedName>
    <definedName name="kililil">#REF!</definedName>
    <definedName name="___mm1">#REF!</definedName>
    <definedName name="_31_Mar_02">#REF!</definedName>
    <definedName name="Excel_BuiltIn_Print_Area_28_3_2">#REF!</definedName>
    <definedName name="m2_gtax_w">#REF!</definedName>
    <definedName name="P_7DPO">#REF!</definedName>
    <definedName name="_______5___123Graph_BCHART_1">#REF!</definedName>
    <definedName name="EM_031_3">#REF!</definedName>
    <definedName name="XRefPaste17Row">#REF!</definedName>
    <definedName name="______m35">#REF!</definedName>
    <definedName name="Excel_BuiltIn_Print_Area_12_1_11_16">#REF!</definedName>
    <definedName name="_U">#REF!</definedName>
    <definedName name="A10____13">#REF!</definedName>
    <definedName name="_8Excel_BuiltIn_Print_Area_4_1_1_1_1">#REF!</definedName>
    <definedName name="Excel_BuiltIn_Print_Area_6_1_2_1">#REF!</definedName>
    <definedName name="Excel_BuiltIn_Print_Area_5_1_1_1">#REF!</definedName>
    <definedName name="Excel_BuiltIn_Print_Area_8_1_7_4">#REF!</definedName>
    <definedName name="Excel_BuiltIn_Print_Area_2_1_7_16">#REF!</definedName>
    <definedName name="RTU1_DO">#REF!</definedName>
    <definedName name="_HM9">#REF!</definedName>
    <definedName name="TOTAL2RP">#REF!</definedName>
    <definedName name="EH_002_16">#REF!</definedName>
    <definedName name="Excel_BuiltIn_Print_Area_12_1_1_13_2">#REF!</definedName>
    <definedName name="EM_026_14">#REF!</definedName>
    <definedName name="EM_026_7">#REF!</definedName>
    <definedName name="ss8_st_f">#REF!</definedName>
    <definedName name="Excel_BuiltIn_Print_Area_17_1_14">#REF!</definedName>
    <definedName name="Line_4">#REF!</definedName>
    <definedName name="Excel_BuiltIn__FilterDatabase_28_4">#REF!</definedName>
    <definedName name="co">#REF!</definedName>
    <definedName name="Excel_BuiltIn_Print_Area_9_1_16_1">#REF!</definedName>
    <definedName name="ProjectLocation">#REF!</definedName>
    <definedName name="Excel_BuiltIn_Print_Area_3_1_1_1_1_16">#REF!</definedName>
    <definedName name="NN___13">#REF!</definedName>
    <definedName name="EM_018_9">#REF!</definedName>
    <definedName name="l1x">#REF!</definedName>
    <definedName name="Excel_BuiltIn_Print_Area_4_1_8">#REF!</definedName>
    <definedName name="Excel_BuiltIn_Print_Area_5_20_27">#REF!</definedName>
    <definedName name="spfactor">#REF!</definedName>
    <definedName name="EXPHEADS">#REF!</definedName>
    <definedName name="requi">#REF!</definedName>
    <definedName name="WQEW">#REF!</definedName>
    <definedName name="______SAP5">#REF!</definedName>
    <definedName name="_____SS423">#REF!</definedName>
    <definedName name="Excel_BuiltIn_Print_Area_12_1_17_27">#REF!</definedName>
    <definedName name="SESHA_SAI_CONSTRUCTION">#REF!</definedName>
    <definedName name="_________xlnm.Print_Area_10">#REF!</definedName>
    <definedName name="dddd">#REF!</definedName>
    <definedName name="Excel_BuiltIn_Print_Area_8_1_17_16">#REF!</definedName>
    <definedName name="_pfi1">#REF!</definedName>
    <definedName name="Excel_BuiltIn_Print_Area_2_1_20_2">#REF!</definedName>
    <definedName name="EM_027_9">#REF!</definedName>
    <definedName name="____ml33">#REF!</definedName>
    <definedName name="assets">#REF!</definedName>
    <definedName name="______CFB2">#REF!</definedName>
    <definedName name="Excel_BuiltIn__FilterDatabase_7_8_2">#REF!</definedName>
    <definedName name="Excel_BuiltIn_Print_Area_12_1_20">#REF!</definedName>
    <definedName name="______________________dol6">#REF!</definedName>
    <definedName name="EH_002_17">#REF!</definedName>
    <definedName name="__TB2">#REF!</definedName>
    <definedName name="Excel_BuiltIn_Print_Area_2_1_1_1_7">#REF!</definedName>
    <definedName name="EM_037_11">#REF!</definedName>
    <definedName name="Me">#REF!</definedName>
    <definedName name="Excel_BuiltIn_Print_Area_15_1_2_1">#REF!</definedName>
    <definedName name="Excel_BuiltIn_Print_Area_29_14_16">#REF!</definedName>
    <definedName name="m2_gt_v">#REF!</definedName>
    <definedName name="인원">#REF!</definedName>
    <definedName name="EM_029_3">#REF!</definedName>
    <definedName name="_DAT13">#REF!</definedName>
    <definedName name="P_5">#REF!</definedName>
    <definedName name="EM_011_4">#REF!</definedName>
    <definedName name="Excel_BuiltIn_Print_Area_2_1_1_1_17_4">#REF!</definedName>
    <definedName name="Excel_BuiltIn_Print_Area_9_1_17_16">#REF!</definedName>
    <definedName name="total">#REF!</definedName>
    <definedName name="______6___123Graph_CCHART_1">#REF!</definedName>
    <definedName name="Ag___0">#REF!</definedName>
    <definedName name="wkarea">#REF!</definedName>
    <definedName name="Agr20mm">#REF!</definedName>
    <definedName name="EM_038_1">#REF!</definedName>
    <definedName name="QFC_NOKh">#REF!</definedName>
    <definedName name="pIecp">#REF!</definedName>
    <definedName name="Excel_BuiltIn_Print_Area_16_1_1_12">#REF!</definedName>
    <definedName name="Excel_BuiltIn_Print_Area_2_1_1_1_11_4">#REF!</definedName>
    <definedName name="GROUND">#REF!</definedName>
    <definedName name="_____f1">#REF!</definedName>
    <definedName name="Excel_BuiltIn_Print_Area_5_1_1_13_16">#REF!</definedName>
    <definedName name="XRefCopy11Row">#REF!</definedName>
    <definedName name="USDproEUR">#REF!</definedName>
    <definedName name="_____HFI7">#REF!</definedName>
    <definedName name="back_pressure">#REF!</definedName>
    <definedName name="XRefCopy42">#REF!</definedName>
    <definedName name="XRefCopy28">#REF!</definedName>
    <definedName name="KTL">#REF!</definedName>
    <definedName name="Excel_BuiltIn_Print_Area_29_5_16">#REF!</definedName>
    <definedName name="Pane2">#REF!</definedName>
    <definedName name="Excel_BuiltIn_Print_Area_2_1">#REF!</definedName>
    <definedName name="Excel_BuiltIn_Print_Area_5_1_15_2">#REF!</definedName>
    <definedName name="Excel_BuiltIn_Print_Area_8_1_1_1_1_16">#REF!</definedName>
    <definedName name="__________________________xlnm.Print_Titles_1">#REF!</definedName>
    <definedName name="Excel_BuiltIn_Print_Area_7_1_1_12_16">#REF!</definedName>
    <definedName name="EMATWKG">#REF!</definedName>
    <definedName name="______________________________________________dol6">#REF!</definedName>
    <definedName name="Qf">#REF!</definedName>
    <definedName name="Excel_BuiltIn_Print_Area_14_1_16">#REF!</definedName>
    <definedName name="EH_001_6">#REF!</definedName>
    <definedName name="progress1">#REF!</definedName>
    <definedName name="XRefPaste15Row">#REF!</definedName>
    <definedName name="__123">#REF!</definedName>
    <definedName name="__9_____123Graph_CCHART_1">#REF!</definedName>
    <definedName name="Ess">#REF!</definedName>
    <definedName localSheetId="8" name="wer">#REF!</definedName>
    <definedName name="Cdi">#REF!</definedName>
    <definedName name="Epi">#REF!</definedName>
    <definedName name="Excel_BuiltIn_Print_Area_4_1_2_1">#REF!</definedName>
    <definedName name="Excel_BuiltIn_Print_Area_6_1_1_27">#REF!</definedName>
    <definedName name="______________________________iv19000">#REF!</definedName>
    <definedName localSheetId="8" name="___cdd2">#REF!</definedName>
    <definedName name="ED_TRDR">#REF!</definedName>
    <definedName name="EM_023_16">#REF!</definedName>
    <definedName name="_mhr1">#REF!</definedName>
    <definedName name="XRefCopy23Row">#REF!</definedName>
    <definedName name="_A31">#REF!</definedName>
    <definedName name="_run2">#REF!</definedName>
    <definedName name="Z1t">#REF!</definedName>
    <definedName name="A3____0">#REF!</definedName>
    <definedName name="_______SS405">#REF!</definedName>
    <definedName localSheetId="8" name="tS___0">#REF!</definedName>
    <definedName name="__mcl132">#REF!</definedName>
    <definedName name="Excel_BuiltIn_Print_Area_3_1_27">#REF!</definedName>
    <definedName name="_sig2">#REF!</definedName>
    <definedName name="Excel_BuiltIn_Print_Area_3_1_6_2">#REF!</definedName>
    <definedName name="Excel_BuiltIn_Print_Area_5_7_27">#REF!</definedName>
    <definedName name="Excel_BuiltIn_Print_Area_17_1_1_12_4">#REF!</definedName>
    <definedName name="__________A71614">#REF!</definedName>
    <definedName name="Excel_BuiltIn_Print_Area_14_1_12_27">#REF!</definedName>
    <definedName name="________xlnm._FilterDatabase_1">#REF!</definedName>
    <definedName name="Excel_BuiltIn_Print_Area_2_1_1_1_1_1_16_1">#REF!</definedName>
    <definedName name="EM_032_6">#REF!</definedName>
    <definedName name="EM_025_2">#REF!</definedName>
    <definedName name="main">#REF!</definedName>
    <definedName name="sfinsul_idr">#REF!</definedName>
    <definedName name="_TB2">#REF!</definedName>
    <definedName name="Excel_BuiltIn_Print_Titles_7">#REF!</definedName>
    <definedName name="XRefPaste20">#REF!</definedName>
    <definedName name="Excel_BuiltIn_Print_Area_8_1_1_1_4">#REF!</definedName>
    <definedName name="EM_008_10">#REF!</definedName>
    <definedName name="AF_98">#REF!</definedName>
    <definedName name="RAPS">#REF!</definedName>
    <definedName name="m8_geno_f">#REF!</definedName>
    <definedName name="EM_037_14">#REF!</definedName>
    <definedName name="_____xlnm.Print_Titles_7">#REF!</definedName>
    <definedName name="PERSONAL_TRANSPORT">#REF!</definedName>
    <definedName name="Excel_BuiltIn_Print_Area_17_1_1_8_2">#REF!</definedName>
    <definedName name="Excel_BuiltIn_Print_Titles_1_1">#REF!</definedName>
    <definedName name="Fha">#REF!</definedName>
    <definedName name="ss6_fuel_v">#REF!</definedName>
    <definedName name="Excel_BuiltIn_Print_Area_17_1_1_3_16">#REF!</definedName>
    <definedName name="SC_Sales">#REF!</definedName>
    <definedName name="_Sort">#REF!</definedName>
    <definedName name="___CBR500">#REF!</definedName>
    <definedName name="Excel_BuiltIn_Print_Area_29_2_4">#REF!</definedName>
    <definedName name="중기">#REF!</definedName>
    <definedName name="SALESPLAN">#REF!</definedName>
    <definedName name="Excel_BuiltIn_Print_Area_7_1_1_20_27">#REF!</definedName>
    <definedName name="Excel_BuiltIn_Print_Area_28_2_4">#REF!</definedName>
    <definedName name="EP_Jan">#REF!</definedName>
    <definedName name="ACTN2">#REF!</definedName>
    <definedName name="lakh">#REF!</definedName>
    <definedName name="_______xlnm.Print_Titles">#REF!</definedName>
    <definedName name="SCHEDULE_NO._6___Investments">#REF!</definedName>
    <definedName name="TowerOverturningMoment">#REF!</definedName>
    <definedName name="Excel_BuiltIn_Print_Area_16_1_1_9_27">#REF!</definedName>
    <definedName name="IE_ANFEBG">#REF!</definedName>
    <definedName name="Excel_BuiltIn_Print_Area_12_1_9_27">#REF!</definedName>
    <definedName name="PDP">#REF!</definedName>
    <definedName name="printn">#REF!</definedName>
    <definedName name="m2_ic_v">#REF!</definedName>
    <definedName name="modified">#REF!</definedName>
    <definedName name="EM_026_1">#REF!</definedName>
    <definedName name="RTU2_PC">#REF!</definedName>
    <definedName name="Beg_Bal">#REF!</definedName>
    <definedName name="_LMH1">#REF!</definedName>
    <definedName name="panch">#REF!</definedName>
    <definedName name="_RE100">#REF!</definedName>
    <definedName name="FI">#REF!</definedName>
    <definedName name="SWH">#REF!</definedName>
    <definedName name="_____________________________________iv19000">#REF!</definedName>
    <definedName name="EM_017_14">#REF!</definedName>
    <definedName name="____________________________________________IDA1">#REF!</definedName>
    <definedName name="XRefCopy1Row">#REF!</definedName>
    <definedName name="UPS">#REF!</definedName>
    <definedName name="DelType">#REF!</definedName>
    <definedName name="Excel_BuiltIn_Print_Area_28_20_2">#REF!</definedName>
    <definedName name="CVD_SW">#REF!</definedName>
    <definedName name="jfjfj">#REF!</definedName>
    <definedName name="Excel_BuiltIn_Print_Area_8_1_1_12_16">#REF!</definedName>
    <definedName name="Excel_BuiltIn_Print_Area_14_1_2_1">#REF!</definedName>
    <definedName localSheetId="8" name="__INT1">#REF!</definedName>
    <definedName name="____SS423">#REF!</definedName>
    <definedName name="Hire_Amortize">#REF!</definedName>
    <definedName name="EM_002_12">#REF!</definedName>
    <definedName name="___SS403">#REF!</definedName>
    <definedName name="Excel_BuiltIn_Print_Area_2_1_1_1_10_4">#REF!</definedName>
    <definedName name="PLCC">#REF!</definedName>
    <definedName name="______DAT2">#REF!</definedName>
    <definedName name="EM_006_18">#REF!</definedName>
    <definedName name="EM_074_16">#REF!</definedName>
    <definedName name="Excel_BuiltIn_Print_Area_12_1_1_20">#REF!</definedName>
    <definedName name="_SC06">#REF!</definedName>
    <definedName name="Excel_BuiltIn_Print_Area_15_1_5">#REF!</definedName>
    <definedName name="Excel_BuiltIn_Print_Area_8_1_15_16">#REF!</definedName>
    <definedName name="XRefCopy4Row">#REF!</definedName>
    <definedName name="_____________________________________________________dol12">#REF!</definedName>
    <definedName name="RCCpipe300">#REF!</definedName>
    <definedName name="Ig___0">#REF!</definedName>
    <definedName name="rrrrtrt">#REF!</definedName>
    <definedName name="_HE81">#REF!</definedName>
    <definedName name="Excel_BuiltIn_Print_Area_7_1_1_12_2">#REF!</definedName>
    <definedName name="kjnol">#REF!</definedName>
    <definedName name="___________________________dol12">#REF!</definedName>
    <definedName name="XRefPaste2Row">#REF!</definedName>
    <definedName name="EM_007_17">#REF!</definedName>
    <definedName name="Excel_BuiltIn_Print_Area_16_1_2_1">#REF!</definedName>
    <definedName name="Excel_BuiltIn_Print_Area_13_1_5_4">#REF!</definedName>
    <definedName name="EM_006_7">#REF!</definedName>
    <definedName name="EM_053_16">#REF!</definedName>
    <definedName name="Excel_BuiltIn_Print_Area_29_6">#REF!</definedName>
    <definedName name="EM_067_17">#REF!</definedName>
    <definedName name="Scheduled_Extra_Payments">#REF!</definedName>
    <definedName name="ZY___0">#REF!</definedName>
    <definedName name="EM_026_16">#REF!</definedName>
    <definedName name="LMO_1">#REF!</definedName>
    <definedName localSheetId="8" name="__xlnm.Print_Area_11">#REF!</definedName>
    <definedName name="A13_">#REF!</definedName>
    <definedName name="Excel_BuiltIn_Print_Area_2_1_1_11">#REF!</definedName>
    <definedName name="majord">#REF!</definedName>
    <definedName name="dbrwk1">#REF!</definedName>
    <definedName name="________xlnm.Print_Area_7">#REF!</definedName>
    <definedName name="InputFile">#REF!</definedName>
    <definedName name="kir">#REF!</definedName>
    <definedName name="EP_PBDIT">#REF!</definedName>
    <definedName name="Excel_BuiltIn_Print_Area_2_1_1_17">#REF!</definedName>
    <definedName name="Excel_BuiltIn_Print_Area_11_1_5_1">#REF!</definedName>
    <definedName name="Excel_BuiltIn_Print_Area_3_1_3_2">#REF!</definedName>
    <definedName name="Excel_BuiltIn_Print_Area_11_1_7">#REF!</definedName>
    <definedName name="BuiltIn_Print_Titles___0">#REF!</definedName>
    <definedName name="____DET3">#REF!</definedName>
    <definedName name="Excel_BuiltIn_Print_Area_9_1_15">#REF!</definedName>
    <definedName name="eawerawea">#REF!</definedName>
    <definedName name="alphaa">#REF!</definedName>
    <definedName name="Excel_BuiltIn_Print_Area_16_1_2_27">#REF!</definedName>
    <definedName name="Excel_BuiltIn_Print_Area_17_1_8_2">#REF!</definedName>
    <definedName name="Excel_BuiltIn_Print_Area_7_1_1_1_4">#REF!</definedName>
    <definedName name="M25PCCcement">#REF!</definedName>
    <definedName name="EM_034_2">#REF!</definedName>
    <definedName name="Excel_BuiltIn_Print_Area_2_1_1_1_5_16">#REF!</definedName>
    <definedName name="rer">#REF!</definedName>
    <definedName name="Excel_BuiltIn_Print_Area_2_1_1_1_12_2">#REF!</definedName>
    <definedName name="XREF_COLUMN_8">#REF!</definedName>
    <definedName name="_____________________xlnm.Print_Area_3">#REF!</definedName>
    <definedName name="_____xlnm.Print_Area_7">#REF!</definedName>
    <definedName name="Excel_BuiltIn_Print_Area_12_1_1_6">#REF!</definedName>
    <definedName localSheetId="8" name="_SS404">#REF!</definedName>
    <definedName name="_____________A91614">#REF!</definedName>
    <definedName name="EM_004_1">#REF!</definedName>
    <definedName name="EM_033_9">#REF!</definedName>
    <definedName name="_____________A71614">#REF!</definedName>
    <definedName name="SS_ANFEBG">#REF!</definedName>
    <definedName name="col___11">#REF!</definedName>
    <definedName name="Excel_BuiltIn_Print_Area_6_1_1_1">#REF!</definedName>
    <definedName name="l2x">#REF!</definedName>
    <definedName name="KTA">#REF!</definedName>
    <definedName name="Value27">#REF!</definedName>
    <definedName name="JEJS">#REF!</definedName>
    <definedName name="_____2____123Graph_BCHART_1">#REF!</definedName>
    <definedName name="l_30">#REF!</definedName>
    <definedName name="TL_Jan">#REF!</definedName>
    <definedName name="XRefCopy9">#REF!</definedName>
    <definedName name="XRefCopy37Row">#REF!</definedName>
    <definedName name="_RE26">#REF!</definedName>
    <definedName localSheetId="8" name="____xlnm.Print_Area_2">#REF!</definedName>
    <definedName name="___col33">#REF!</definedName>
    <definedName name="MUTP">#REF!</definedName>
    <definedName name="nc">#REF!</definedName>
    <definedName name="__________________KEY3">#REF!</definedName>
    <definedName name="______SAP4">#REF!</definedName>
    <definedName name="XRefCopy32">#REF!</definedName>
    <definedName name="_aoc3">#REF!</definedName>
    <definedName name="______Wc1">#REF!</definedName>
    <definedName name="Excel_BuiltIn_Print_Area_11_1_9_2">#REF!</definedName>
    <definedName name="XRefCopy12Row">#REF!</definedName>
    <definedName name="_dol12">#REF!</definedName>
    <definedName localSheetId="8" name="cash">#REF!</definedName>
    <definedName name="Ma">#REF!</definedName>
    <definedName name="EM_001_6">#REF!</definedName>
    <definedName name="SDF2A">#REF!</definedName>
    <definedName name="_____DET6">#REF!</definedName>
    <definedName name="__xlnm.Print_Area_13">#REF!</definedName>
    <definedName name="Excel_BuiltIn_Print_Area_9_1_13_16">#REF!</definedName>
    <definedName name="_____SS403">#REF!</definedName>
    <definedName name="_hfi3">#REF!</definedName>
    <definedName name="EM_008_17">#REF!</definedName>
    <definedName name="EM_016_1">#REF!</definedName>
    <definedName name="Excel_BuiltIn_Print_Area_4_1_1_6_2">#REF!</definedName>
    <definedName name="Excel_BuiltIn_Print_Area_15_1_16_2">#REF!</definedName>
    <definedName name="Ki1___13">#REF!</definedName>
    <definedName name="Ra">#REF!</definedName>
    <definedName name="XRefPaste39">#REF!</definedName>
    <definedName name="_______dol12">#REF!</definedName>
    <definedName name="Currency">#REF!</definedName>
    <definedName name="_RE52">#REF!</definedName>
    <definedName name="sffew_idr">#REF!</definedName>
    <definedName name="Excel_BuiltIn_Print_Area_16_1_2_2">#REF!</definedName>
    <definedName name="__ls2">#REF!</definedName>
    <definedName name="REACT220CTL">#REF!</definedName>
    <definedName name="Excel_BuiltIn_Print_Area_17_1_1_17_16">#REF!</definedName>
    <definedName name="ESCPRD_IDTOHW">#REF!</definedName>
    <definedName name="EM_006_6">#REF!</definedName>
    <definedName name="STA2SCADA">#REF!</definedName>
    <definedName name="____rt2">#REF!</definedName>
    <definedName name="Excel_BuiltIn_Print_Area_16_1_1_9_4">#REF!</definedName>
    <definedName name="Benefits">#REF!</definedName>
    <definedName name="___b111121">#REF!</definedName>
    <definedName name="_________m35">#REF!</definedName>
    <definedName name="Excel_BuiltIn_Print_Area_12_1_1_8_27">#REF!</definedName>
    <definedName name="_SC21">#REF!</definedName>
    <definedName name="Excel_BuiltIn_Print_Area_2_1_1_8_4">#REF!</definedName>
    <definedName name="free">#REF!</definedName>
    <definedName name="D8Data">#REF!</definedName>
    <definedName name="______________xlnm.Print_Area_2">#REF!</definedName>
    <definedName name="__123Graph_B">#REF!</definedName>
    <definedName name="EM_014_8">#REF!</definedName>
    <definedName localSheetId="8" name="printn">#REF!</definedName>
    <definedName name="Excel_BuiltIn_Print_Area_2_1_1_1_8_4">#REF!</definedName>
    <definedName name="LKJHG">#REF!</definedName>
    <definedName name="_________________________________xlnm.Print_Area_1">#REF!</definedName>
    <definedName name="Excel_BuiltIn_Print_Area_16_1_1_1_16">#REF!</definedName>
    <definedName name="___tab2">#REF!</definedName>
    <definedName name="Excel_BuiltIn_Print_Area_11_1_3">#REF!</definedName>
    <definedName name="EM_011_15">#REF!</definedName>
    <definedName name="Hs_atm">#REF!</definedName>
    <definedName name="________________xlnm.Print_Area_2">#REF!</definedName>
    <definedName name="EM_033_4">#REF!</definedName>
    <definedName name="CAPA22">#REF!</definedName>
    <definedName name="Excel_BuiltIn_Print_Area_5_20_4">#REF!</definedName>
    <definedName name="MN">#REF!</definedName>
    <definedName name="DS">#REF!</definedName>
    <definedName name="m2_cond_f">#REF!</definedName>
    <definedName name="EM_024_17">#REF!</definedName>
    <definedName name="Excel_BuiltIn_Print_Area_5_1_2_1">#REF!</definedName>
    <definedName name="PR_BO">#REF!</definedName>
    <definedName name="Excel_BuiltIn_Print_Area_8_1_12">#REF!</definedName>
    <definedName name="SWGR345">#REF!</definedName>
    <definedName name="_____SS408">#REF!</definedName>
    <definedName name="_hfi6">#REF!</definedName>
    <definedName name="EM_034_17">#REF!</definedName>
    <definedName name="HE">#REF!</definedName>
    <definedName name="Excel_BuiltIn_Print_Area_28_3_16">#REF!</definedName>
    <definedName name="__________m20">#REF!</definedName>
    <definedName name="EM_005_2">#REF!</definedName>
    <definedName name="capex_br2">#REF!</definedName>
    <definedName name="ServiceTax">#REF!</definedName>
    <definedName name="XRefCopy8Row">#REF!</definedName>
    <definedName name="_____________xlnm.Print_Area_4">#REF!</definedName>
    <definedName name="Excel_BuiltIn_Print_Area_17_1_1_9_4">#REF!</definedName>
    <definedName name="Excel_BuiltIn_Print_Area_4_1_1_1_4">#REF!</definedName>
    <definedName name="cprp_lucknow">#REF!</definedName>
    <definedName localSheetId="8" name="mmm">#REF!</definedName>
    <definedName name="EP_NWC">#REF!</definedName>
    <definedName name="Excel_BuiltIn_Print_Area_16_1_1_16_16">#REF!</definedName>
    <definedName name="sump">#REF!</definedName>
    <definedName name="Excel_BuiltIn_Print_Area_16_1_12_27">#REF!</definedName>
    <definedName name="Excel_BuiltIn_Print_Area_2_1_1_1_8">#REF!</definedName>
    <definedName name="EM_035_11">#REF!</definedName>
    <definedName name="Excel_BuiltIn_Print_Area_9_1">#REF!</definedName>
    <definedName name="CST_OWN">#REF!</definedName>
    <definedName name="______lb2">#REF!</definedName>
    <definedName name="EM_015_14">#REF!</definedName>
    <definedName name="Excel_BuiltIn_Print_Area_10_1_5_27">#REF!</definedName>
    <definedName name="Xso">#REF!</definedName>
    <definedName name="TL_AM">#REF!</definedName>
    <definedName name="EM_014_3">#REF!</definedName>
    <definedName name="zp">#REF!</definedName>
    <definedName name="EM_025_10">#REF!</definedName>
    <definedName name="A">#REF!</definedName>
    <definedName name="_____bom1">#REF!</definedName>
    <definedName name="z2y">#REF!</definedName>
    <definedName name="Em___13">#REF!</definedName>
    <definedName name="____axx3">#REF!</definedName>
    <definedName name="Excel_BuiltIn_Print_Area_6_1_11_2">#REF!</definedName>
    <definedName name="m8_gt_f">#REF!</definedName>
    <definedName name="_mnk1">#REF!</definedName>
    <definedName name="steel">#REF!</definedName>
    <definedName name="___CBR220">#REF!</definedName>
    <definedName name="______f1">#REF!</definedName>
    <definedName name="dcrwk6">#REF!</definedName>
    <definedName name="Excel_BuiltIn_Print_Area_17_1_6_4">#REF!</definedName>
    <definedName name="print1">#REF!</definedName>
    <definedName name="____dev9947">#REF!</definedName>
    <definedName name="dcrwk8">#REF!</definedName>
    <definedName name="XRefCopy19">#REF!</definedName>
    <definedName name="bbbb">#REF!</definedName>
    <definedName name="AGENCYLY">#REF!</definedName>
    <definedName name="br2_selection">#REF!</definedName>
    <definedName name="_______xlnm.Print_Area_2">#REF!</definedName>
    <definedName name="EM_007_15">#REF!</definedName>
    <definedName name="_RE40">#REF!</definedName>
    <definedName name="Excel_BuiltIn_Print_Area_29_3_2">#REF!</definedName>
    <definedName name="SS_Feb">#REF!</definedName>
    <definedName name="Excel_BuiltIn_Print_Area_29_14">#REF!</definedName>
    <definedName name="_______DAT6">#REF!</definedName>
    <definedName name="CONT_BGT4_II_">#REF!</definedName>
    <definedName localSheetId="8" name="try">#REF!</definedName>
    <definedName name="CAPMAR">#REF!</definedName>
    <definedName name="Hw">#REF!</definedName>
    <definedName name="Total_Mandays">#REF!</definedName>
    <definedName name="Excel_BuiltIn_Print_Area_13_1_2">#REF!</definedName>
    <definedName name="XRefCopy36Row">#REF!</definedName>
    <definedName name="Excel_BuiltIn_Print_Area_4_1_15_2">#REF!</definedName>
    <definedName name="Excel_BuiltIn_Print_Area_15_1_9_2">#REF!</definedName>
    <definedName name="_hxc2">#REF!</definedName>
    <definedName name="__Hso2">#REF!</definedName>
    <definedName name="Excel_BuiltIn_Print_Area_17_1_1_11_27">#REF!</definedName>
    <definedName name="I___13">#REF!</definedName>
    <definedName name="_14Excel_BuiltIn_Print_Area_5_1_1_1_1">#REF!</definedName>
    <definedName name="IE_Jan">#REF!</definedName>
    <definedName name="kscc">#REF!</definedName>
    <definedName name="_____SC24">#REF!</definedName>
    <definedName name="Site_office_rev_24.05.2005">#REF!</definedName>
    <definedName name="Excel_BuiltIn_Print_Area_4_1_27">#REF!</definedName>
    <definedName name="____kd1">#REF!</definedName>
    <definedName name="col">#REF!</definedName>
    <definedName name="EM_037_6">#REF!</definedName>
    <definedName name="m8_bop_f">#REF!</definedName>
    <definedName name="_________a999999">#REF!</definedName>
    <definedName name="__CBR500">#REF!</definedName>
    <definedName name="_______mcl132">#REF!</definedName>
    <definedName name="EM_011_1">#REF!</definedName>
    <definedName name="EM_008_7">#REF!</definedName>
    <definedName name="Excel_BuiltIn_Print_Area_28_3_4">#REF!</definedName>
    <definedName name="_DAT3">#REF!</definedName>
    <definedName name="_Tm2">#REF!</definedName>
    <definedName name="Excel_BuiltIn_Print_Area_12_1_8_4">#REF!</definedName>
    <definedName name="KPIBRB">#REF!</definedName>
    <definedName name="SS_Apr">#REF!</definedName>
    <definedName name="zpsb">#REF!</definedName>
    <definedName name="Excel_BuiltIn_Print_Area_29_5">#REF!</definedName>
    <definedName name="Excel_BuiltIn_Print_Area_17_1_1_20_4">#REF!</definedName>
    <definedName name="Total_Pay">#REF!</definedName>
    <definedName name="EM_038_6">#REF!</definedName>
    <definedName name="FDF">#REF!</definedName>
    <definedName name="LUX">#REF!</definedName>
    <definedName name="_________________________xlnm.Print_Area_2">#REF!</definedName>
    <definedName name="_10Excel_BuiltIn_Print_Area_18_1">#REF!</definedName>
    <definedName name="IMADOKH">#REF!</definedName>
    <definedName localSheetId="8" name="ASFFFF">#REF!</definedName>
    <definedName name="____mm3">#REF!</definedName>
    <definedName localSheetId="8" name="hright">#REF!</definedName>
    <definedName name="tres4">#REF!</definedName>
    <definedName name="_A7">#REF!</definedName>
    <definedName name="EM_003_13">#REF!</definedName>
    <definedName name="EM_031_18">#REF!</definedName>
    <definedName name="_____SS407">#REF!</definedName>
    <definedName name="Excel_BuiltIn_Print_Area_12_1_15">#REF!</definedName>
    <definedName name="EM_004_10">#REF!</definedName>
    <definedName name="Excel_BuiltIn_Print_Area_2_1_1_1_5_1">#REF!</definedName>
    <definedName name="XRefCopy51Row">#REF!</definedName>
    <definedName name="Excel_BuiltIn_Print_Area_7_1_1_3_27">#REF!</definedName>
    <definedName name="te">#REF!</definedName>
    <definedName name="UNITB">#REF!</definedName>
    <definedName name="DL_Mth">#REF!</definedName>
    <definedName name="Excel_BuiltIn_Print_Area_4_1_5_27">#REF!</definedName>
    <definedName name="ALIM">#REF!</definedName>
    <definedName name="Excel_BuiltIn_Print_Area_28_15_2">#REF!</definedName>
    <definedName name="SPEC_20">#REF!</definedName>
    <definedName name="m2_geno_f">#REF!</definedName>
    <definedName name="BS_9A">#REF!</definedName>
    <definedName name="__CVT500">#REF!</definedName>
    <definedName name="GangStructure">#REF!</definedName>
    <definedName name="Excel_BuiltIn_Print_Area_4_1_10_16">#REF!</definedName>
    <definedName name="Excel_BuiltIn__FilterDatabase_28_2">#REF!</definedName>
    <definedName name="EM_003_12">#REF!</definedName>
    <definedName name="building___12">#REF!</definedName>
    <definedName name="adwea">#REF!</definedName>
    <definedName localSheetId="8" name="ipu___13">#REF!</definedName>
    <definedName name="NNN">#REF!</definedName>
    <definedName name="_____in18900">#REF!</definedName>
    <definedName localSheetId="8" name="va___0">#REF!</definedName>
    <definedName name="p1pccm">#REF!</definedName>
    <definedName name="__tr75">#REF!</definedName>
    <definedName name="BL3AAA">#REF!</definedName>
    <definedName name="mahan">#REF!</definedName>
    <definedName name="_______CFB2">#REF!</definedName>
    <definedName name="Excel_BuiltIn_Print_Area_16_1_1_15_2">#REF!</definedName>
    <definedName localSheetId="8" name="_____xlnm.Print_Area_3">#REF!</definedName>
    <definedName name="XRefCopy60">#REF!</definedName>
    <definedName name="Excel_BuiltIn_Print_Area_9_1_8_27">#REF!</definedName>
    <definedName name="PATHJV33">#REF!</definedName>
    <definedName name="Progress">#REF!</definedName>
    <definedName name="견적비교">#REF!</definedName>
    <definedName name="_5Excel_BuiltIn_Print_Area_4_1_1_1_1">#REF!</definedName>
    <definedName name="_1__123Graph_ACHART_1">#REF!</definedName>
    <definedName name="EM_012_11">#REF!</definedName>
    <definedName name="_________________________in18900">#REF!</definedName>
    <definedName name="Payment_Date">#REF!</definedName>
    <definedName name="ktd">#REF!</definedName>
    <definedName name="_RE72">#REF!</definedName>
    <definedName name="EM_058_14">#REF!</definedName>
    <definedName name="dl___13">#REF!</definedName>
    <definedName name="m8_geno_w">#REF!</definedName>
    <definedName name="Excel_BuiltIn_Print_Area_28_11_27">#REF!</definedName>
    <definedName name="BuiltIn_Print_Area___0___0___0___0___0___0___0___0">#REF!</definedName>
    <definedName localSheetId="8" name="main">#REF!</definedName>
    <definedName name="______3____123Graph_CCHART_1">#REF!</definedName>
    <definedName name="EM_060_16">#REF!</definedName>
    <definedName name="______Ki1">#REF!</definedName>
    <definedName name="Excel_BuiltIn_Print_Area_5_16_27">#REF!</definedName>
    <definedName name="__LTR500">#REF!</definedName>
    <definedName name="_____DET5">#REF!</definedName>
    <definedName name="__axx8">#REF!</definedName>
    <definedName name="ffffff">#REF!</definedName>
    <definedName name="_____________A81614">#REF!</definedName>
    <definedName name="_cli3">#REF!</definedName>
    <definedName name="_____________________________IDA1">#REF!</definedName>
    <definedName name="Ut">#REF!</definedName>
    <definedName name="_7_____123Graph_ACHART_1">#REF!</definedName>
    <definedName name="Excel_BuiltIn_Print_Area_6_1_5_2">#REF!</definedName>
    <definedName name="m8_gt_w">#REF!</definedName>
    <definedName name="_KWS2">#REF!</definedName>
    <definedName name="Excel_BuiltIn_Print_Area_4_1_1_2_16">#REF!</definedName>
    <definedName name="Excel_BuiltIn_Print_Area_7_1_1_14">#REF!</definedName>
    <definedName name="Excel_BuiltIn_Print_Area_3_1_5_2">#REF!</definedName>
    <definedName name="______DAT3">#REF!</definedName>
    <definedName name="TestTest">#REF!</definedName>
    <definedName name="_033">#REF!</definedName>
    <definedName name="QFC_DEMh">#REF!</definedName>
    <definedName localSheetId="8" name="____cdd2">#REF!</definedName>
    <definedName name="______AXX4">#REF!</definedName>
    <definedName name="Excel_BuiltIn_Print_Area_2_1_1_16_4">#REF!</definedName>
    <definedName name="DATA">#REF!</definedName>
    <definedName name="_SG2">#REF!</definedName>
    <definedName name="_SS404">#REF!</definedName>
    <definedName name="Excel_BuiltIn_Print_Area_14_1_11_4">#REF!</definedName>
    <definedName name="Excel_BuiltIn_Print_Area_17_1_11">#REF!</definedName>
    <definedName name="Excel_BuiltIn_Print_Area_1_18">#REF!</definedName>
    <definedName name="ms2002may1706">#REF!</definedName>
    <definedName name="_ahu1">#REF!</definedName>
    <definedName name="conversion_type">#REF!</definedName>
    <definedName name="_____________________b111121">#REF!</definedName>
    <definedName name="______________________________xlnm.Print_Area_1">#REF!</definedName>
    <definedName name="Excel_BuiltIn_Print_Area_5_1_2_27">#REF!</definedName>
    <definedName name="_cth2">#REF!</definedName>
    <definedName name="Excel_BuiltIn_Print_Area_15_1_13_2">#REF!</definedName>
    <definedName name="Excel_BuiltIn_Print_Area_2_1_1_2_16">#REF!</definedName>
    <definedName name="Agr40mm">#REF!</definedName>
    <definedName name="Excel_BuiltIn_Print_Area_12_1_6_2">#REF!</definedName>
    <definedName name="Excel_BuiltIn_Print_Area_2_1_11_16">#REF!</definedName>
    <definedName name="Excel_BuiltIn_Print_Area_18_1_2">#REF!</definedName>
    <definedName name="SS_Top_Key">#REF!</definedName>
    <definedName name="RFGF">#REF!</definedName>
    <definedName name="Excel_BuiltIn_Print_Area_8_1_13_2">#REF!</definedName>
    <definedName name="_key3">#REF!</definedName>
    <definedName name="_SC22">#REF!</definedName>
    <definedName name="Excel_BuiltIn_Print_Area_17_1_10_4">#REF!</definedName>
    <definedName name="delta1">#REF!</definedName>
    <definedName name="lmcmcc.1">#REF!</definedName>
    <definedName name="_25G__Extract">#REF!</definedName>
    <definedName name="IE_OD_Common">#REF!</definedName>
    <definedName name="PrevYears">#REF!</definedName>
    <definedName name="______xlnm._FilterDatabase_4">#REF!</definedName>
    <definedName name="____a1">#REF!</definedName>
    <definedName name="Excel_BuiltIn_Print_Area_10_1_3_27">#REF!</definedName>
    <definedName name="Excel_BuiltIn_Print_Area_5_1_1_2_1">#REF!</definedName>
    <definedName name="BBH">#REF!</definedName>
    <definedName name="sigma0_2">#REF!</definedName>
    <definedName name="Excel_BuiltIn_Print_Area_17_1_6_2">#REF!</definedName>
    <definedName name="____CFB2">#REF!</definedName>
    <definedName name="____INT1">#REF!</definedName>
    <definedName name="Excel_BuiltIn_Print_Area_17_1_1_17_27">#REF!</definedName>
    <definedName name="Excel_BuiltIn_Print_Area_5_1_10">#REF!</definedName>
    <definedName name="re_bar">#REF!</definedName>
    <definedName name="ItemReference">#REF!</definedName>
    <definedName name="DaRWk2">#REF!</definedName>
    <definedName name="datb">#REF!</definedName>
    <definedName name="IP_EQPT_FRGT">#REF!</definedName>
    <definedName name="Excel_BuiltIn_Print_Area_16_1_3">#REF!</definedName>
    <definedName name="Excel_BuiltIn_Print_Area_2_1_1_1_6_2">#REF!</definedName>
    <definedName name="Excel_BuiltIn_Print_Area_17_1_12_16">#REF!</definedName>
    <definedName name="______________g1">#REF!</definedName>
    <definedName name="Excel_BuiltIn_Print_Area_11_1_9_16">#REF!</definedName>
    <definedName name="Excel_BuiltIn__FilterDatabase_1_18_2">#REF!</definedName>
    <definedName name="Excel_BuiltIn_Print_Area_17_1_27">#REF!</definedName>
    <definedName name="vfourc">#REF!</definedName>
    <definedName name="_22Excel_BuiltIn_Print_Area_7_1_1_1_1">#REF!</definedName>
    <definedName name="EM_008_3">#REF!</definedName>
    <definedName name="Excel_BuiltIn_Print_Area_14_1_12">#REF!</definedName>
    <definedName name="Cth">#REF!</definedName>
    <definedName name="Excel_BuiltIn_Print_Area_8_1_1_4">#REF!</definedName>
    <definedName name="Excel_BuiltIn_Print_Area_28_1_16">#REF!</definedName>
    <definedName name="TL_OI_IU">#REF!</definedName>
    <definedName name="Excel_BuiltIn_Print_Area_3_1_8_27">#REF!</definedName>
    <definedName name="_____RAC1">#REF!</definedName>
    <definedName name="EM_024_5">#REF!</definedName>
    <definedName name="______SS405">#REF!</definedName>
    <definedName name="_SC7045">#REF!</definedName>
    <definedName name="___5___123Graph_BCHART_1">#REF!</definedName>
    <definedName name="_LMH2">#REF!</definedName>
    <definedName name="IE_Sales_Cust">#REF!</definedName>
    <definedName name="PATHJV333">#REF!</definedName>
    <definedName name="Excel_BuiltIn_Print_Area_28_14_27">#REF!</definedName>
    <definedName name="___SC12">#REF!</definedName>
    <definedName name="KSK">#REF!</definedName>
    <definedName name="_DIS1">#REF!</definedName>
    <definedName name="_sig4">#REF!</definedName>
    <definedName name="_____SC06">#REF!</definedName>
    <definedName name="fasdfasdf">#REF!</definedName>
    <definedName name="Hcw">#REF!</definedName>
    <definedName name="frnorms">#REF!</definedName>
    <definedName name="Double">#REF!</definedName>
    <definedName name="___DAT5">#REF!</definedName>
    <definedName name="__xlnm.Print_Titles">#REF!</definedName>
    <definedName name="Excel_BuiltIn_Print_Area_7_1_17_1_16">#REF!</definedName>
    <definedName localSheetId="8" name="_ISO220">#REF!</definedName>
    <definedName localSheetId="8" name="Lc___0">#REF!</definedName>
    <definedName name="Excel_BuiltIn_Print_Area_12_1_3">#REF!</definedName>
    <definedName name="_LTR220">#REF!</definedName>
    <definedName name="Excel_BuiltIn_Print_Area_7_1_1_2_16">#REF!</definedName>
    <definedName name="Excel_BuiltIn_Print_Area_8_1_20_4">#REF!</definedName>
    <definedName name="girder.span">#REF!</definedName>
    <definedName name="Value21">#REF!</definedName>
    <definedName name="Excel_BuiltIn_Print_Area_4_1_1_17_16">#REF!</definedName>
    <definedName name="XRefCopy37">#REF!</definedName>
    <definedName name="______________________________IDA1">#REF!</definedName>
    <definedName name="Rahul">#REF!</definedName>
    <definedName localSheetId="8" name="Accessories">#REF!</definedName>
    <definedName name="hl">#REF!</definedName>
    <definedName name="Excel_BuiltIn_Print_Area_2_1_1_15_4">#REF!</definedName>
    <definedName name="TL_Avg_OS">#REF!</definedName>
    <definedName name="__11____123Graph_BCHART_1">#REF!</definedName>
    <definedName name="Excel_BuiltIn_Print_Area_17_1_1_12_2">#REF!</definedName>
    <definedName name="Detailed">#REF!</definedName>
    <definedName name="EM_009_16">#REF!</definedName>
    <definedName name="Excel_BuiltIn_Print_Area_17_1_17_4">#REF!</definedName>
    <definedName name="_A81614">#REF!</definedName>
    <definedName name="top">#REF!</definedName>
    <definedName name="sftransport">#REF!</definedName>
    <definedName name="A2_">#REF!</definedName>
    <definedName name="Excel_BuiltIn_Print_Area_2_1_7_27">#REF!</definedName>
    <definedName name="ecs">#REF!</definedName>
    <definedName name="p1500mcbc">#REF!</definedName>
    <definedName name="vtw">#REF!</definedName>
    <definedName name="______DAT1">#REF!</definedName>
    <definedName name="___A8">#REF!</definedName>
    <definedName name="Excel_BuiltIn_Print_Area_1_18_27">#REF!</definedName>
    <definedName name="_12BS">#REF!</definedName>
    <definedName name="Excel_BuiltIn_Print_Area_14_1_6_2">#REF!</definedName>
    <definedName name="KST">#REF!</definedName>
    <definedName name="____SAP5">#REF!</definedName>
    <definedName name="Excel_BuiltIn_Print_Area_10_1_6_16">#REF!</definedName>
    <definedName name="man">#REF!</definedName>
    <definedName name="_kd3">#REF!</definedName>
    <definedName name="EM_034_13">#REF!</definedName>
    <definedName name="Excel_BuiltIn_Print_Area_1_1_16">#REF!</definedName>
    <definedName name="Rse">#REF!</definedName>
    <definedName name="CABLE1">#REF!</definedName>
    <definedName name="Excel_BuiltIn_Print_Area_11_1_15">#REF!</definedName>
    <definedName name="DaRWk4">#REF!</definedName>
    <definedName name="Excel_BuiltIn_Print_Area_17_1_10_27">#REF!</definedName>
    <definedName name="cvdcess">#REF!</definedName>
    <definedName name="Excel_BuiltIn_Print_Area_17_1_1_13_2">#REF!</definedName>
    <definedName name="Fdn">#REF!</definedName>
    <definedName name="Excel_BuiltIn_Print_Area_28_7_27">#REF!</definedName>
    <definedName name="_wp1">#REF!</definedName>
    <definedName name="Excel_BuiltIn_Print_Area_3_1_1_1_2">#REF!</definedName>
    <definedName name="Excel_BuiltIn_Print_Area_5_1_1_14_2">#REF!</definedName>
    <definedName name="_SC7042">#REF!</definedName>
    <definedName name="EM_036_3">#REF!</definedName>
    <definedName name="__123Graph_ASTATPROG">#REF!</definedName>
    <definedName name="summary_config1">#REF!</definedName>
    <definedName name="________________xlnm.Print_Area_1">#REF!</definedName>
    <definedName name="____RAC1">#REF!</definedName>
    <definedName name="ADFGFG">#REF!</definedName>
    <definedName name="mnk">#REF!</definedName>
    <definedName name="ss8_ic_f">#REF!</definedName>
    <definedName name="EM_028_12">#REF!</definedName>
    <definedName name="SlabD">#REF!</definedName>
    <definedName localSheetId="8" name="____xlnm.Print_Area_1">#REF!</definedName>
    <definedName name="Excel_BuiltIn_Print_Area_5_1_8_27">#REF!</definedName>
    <definedName name="MC_NOKHW">#REF!</definedName>
    <definedName name="____________________________xlnm.Print_Area_2">#REF!</definedName>
    <definedName name="AED">#REF!</definedName>
    <definedName name="_6__123Graph_CCHART_1">#REF!</definedName>
    <definedName name="_mm1">#REF!</definedName>
    <definedName name="FDNBOQ400">#REF!</definedName>
    <definedName name="m2_ct_f">#REF!</definedName>
    <definedName name="______SAP11">#REF!</definedName>
    <definedName name="XRefCopy21">#REF!</definedName>
    <definedName name="Excel_BuiltIn_Print_Area_4_1_1_16_27">#REF!</definedName>
    <definedName name="A5_">#REF!</definedName>
    <definedName name="pn">#REF!</definedName>
    <definedName name="Excel_BuiltIn_Print_Area_2_1_1_5_2">#REF!</definedName>
    <definedName name="Excel_BuiltIn_Print_Area_8_1_1_17_16">#REF!</definedName>
    <definedName name="ESCPRD_IMPSW">#REF!</definedName>
    <definedName name="Excel_BuiltIn_Print_Area_18_2">#REF!</definedName>
    <definedName name="Excel_BuiltIn_Print_Area_8_1_1_9_2">#REF!</definedName>
    <definedName name="p1upsop">#REF!</definedName>
    <definedName name="Excel_BuiltIn_Print_Area_17_1_13">#REF!</definedName>
    <definedName name="SPEC_14">#REF!</definedName>
    <definedName name="_acs2">#REF!</definedName>
    <definedName name="EM_016_12">#REF!</definedName>
    <definedName name="cvg">#REF!</definedName>
    <definedName localSheetId="8" name="clbs">#REF!</definedName>
    <definedName name="EM_053_17">#REF!</definedName>
    <definedName name="lc500mcbc">#REF!</definedName>
    <definedName name="IF_J_1_RUN__PROG1">#REF!</definedName>
    <definedName localSheetId="8" name="PAT_A">#REF!</definedName>
    <definedName name="___________lb2">#REF!</definedName>
    <definedName name="_3Excel_BuiltIn_Print_Area_16_1_1_1_1">#REF!</definedName>
    <definedName name="Excel_BuiltIn_Print_Area_7_1_1_5_27">#REF!</definedName>
    <definedName name="Excel_BuiltIn_Print_Area_2_1_14_16">#REF!</definedName>
    <definedName name="monomode">#REF!</definedName>
    <definedName name="Excel_BuiltIn_Print_Area_7_1_10">#REF!</definedName>
    <definedName name="Excel_BuiltIn_Print_Area_14_1_16_4">#REF!</definedName>
    <definedName name="Excel_BuiltIn_Print_Area_17_1_1_14">#REF!</definedName>
    <definedName name="SEK_C">#REF!</definedName>
    <definedName name="__8__123Graph_BCHART_1">#REF!</definedName>
    <definedName name="Excel_BuiltIn_Print_Area_16_1_1_13_2">#REF!</definedName>
    <definedName name="Excel_BuiltIn_Print_Area_17_1_13_16">#REF!</definedName>
    <definedName name="ESC_TRHW">#REF!</definedName>
    <definedName name="Collie">#REF!</definedName>
    <definedName name="ss9_ec_v">#REF!</definedName>
    <definedName name="___________________________xlnm.Print_Area_3">#REF!</definedName>
    <definedName name="KAMREM">#REF!</definedName>
    <definedName name="Excel_BuiltIn_Print_Area_2_1_11_4">#REF!</definedName>
    <definedName name="qfc">#REF!</definedName>
    <definedName name="_sch2">#REF!</definedName>
    <definedName name="__kd1">#REF!</definedName>
    <definedName name="Common">#REF!</definedName>
    <definedName name="_____axx2">#REF!</definedName>
    <definedName name="EM_034_3">#REF!</definedName>
    <definedName name="__DAT8">#REF!</definedName>
    <definedName name="_____kd1">#REF!</definedName>
    <definedName name="Excel_BuiltIn_Print_Area_3_1_15_27">#REF!</definedName>
    <definedName name="Excel_BuiltIn_Print_Area_12_1_1_12_2">#REF!</definedName>
    <definedName localSheetId="8" name="LC">#REF!</definedName>
    <definedName name="SS_ANFE">#REF!</definedName>
    <definedName name="_________mm3">#REF!</definedName>
    <definedName name="EM_006_8">#REF!</definedName>
    <definedName name="Excel_BuiltIn_Print_Area_5_1_1_8_2">#REF!</definedName>
    <definedName name="_______________________________in18900">#REF!</definedName>
    <definedName name="________________________b111121">#REF!</definedName>
    <definedName name="___________________TAB1">#REF!</definedName>
    <definedName name="_tr75">#REF!</definedName>
    <definedName name="Value33">#REF!</definedName>
    <definedName name="___hfi4">#REF!</definedName>
    <definedName name="Excel_BuiltIn_Print_Area_2_1_1_6">#REF!</definedName>
    <definedName name="m2_civ_f">#REF!</definedName>
    <definedName name="AE">#REF!</definedName>
    <definedName localSheetId="8" name="ww">#REF!</definedName>
    <definedName name="Fuel_Type">#REF!</definedName>
    <definedName name="_____DET1">#REF!</definedName>
    <definedName name="Excel_BuiltIn_Print_Area_6_1_13">#REF!</definedName>
    <definedName name="EM_023_17">#REF!</definedName>
    <definedName name="ss6_civ_w">#REF!</definedName>
    <definedName name="VIVEKANANDA">#REF!</definedName>
    <definedName name="Excel_BuiltIn_Print_Area_7_1_12_16">#REF!</definedName>
    <definedName name="Excel_BuiltIn_Print_Area_2_1_6_27">#REF!</definedName>
    <definedName name="Excel_BuiltIn_Print_Area_9_1_7">#REF!</definedName>
    <definedName name="Excel_BuiltIn_Print_Area_17_1_1_9_16">#REF!</definedName>
    <definedName name="_______mm3">#REF!</definedName>
    <definedName name="ASSSSSS">#REF!</definedName>
    <definedName name="________xlnm.Print_Area_1">#REF!</definedName>
    <definedName name="SC_Mth">#REF!</definedName>
    <definedName name="CED_IDTOSW">#REF!</definedName>
    <definedName name="GROUP1">#REF!</definedName>
    <definedName name="EM_026_10">#REF!</definedName>
    <definedName name="ju">#REF!</definedName>
    <definedName name="작업계획">#REF!</definedName>
    <definedName name="EM_032_18">#REF!</definedName>
    <definedName name="DELTA20___0">#REF!</definedName>
    <definedName name="EM_071_17">#REF!</definedName>
    <definedName name="data3">#REF!</definedName>
    <definedName name="ISLG4.16">#REF!</definedName>
    <definedName localSheetId="8" name="Vend">#REF!</definedName>
    <definedName name="p1acdb3">#REF!</definedName>
    <definedName name="__10____123Graph_ACHART_1">#REF!</definedName>
    <definedName name="Excel_BuiltIn_Print_Area_13_1_14_4">#REF!</definedName>
    <definedName name="_cli4">#REF!</definedName>
    <definedName name="_T143820">#REF!</definedName>
    <definedName name="_____SC21">#REF!</definedName>
    <definedName name="Excel_BuiltIn_Print_Area_16_1_5_16">#REF!</definedName>
    <definedName name="rxearthing">#REF!</definedName>
    <definedName name="Excel_BuiltIn_Print_Area_14_1_20">#REF!</definedName>
    <definedName name="_______________________iv19000">#REF!</definedName>
    <definedName name="________________KEY3">#REF!</definedName>
    <definedName name="e_margin">#REF!</definedName>
    <definedName name="Z2So">#REF!</definedName>
    <definedName name="mmm">#REF!</definedName>
    <definedName name="COLLSTATUS">#REF!</definedName>
    <definedName name="___xlnm.Print_Area">#REF!</definedName>
    <definedName name="Excel_BuiltIn_Print_Area_16_1_1_11_27">#REF!</definedName>
    <definedName name="Excel_BuiltIn_Print_Area_29_2_2">#REF!</definedName>
    <definedName name="_______col33">#REF!</definedName>
    <definedName name="FI_AIRHW">#REF!</definedName>
    <definedName name="_P3">#REF!</definedName>
    <definedName name="Excel_BuiltIn_Print_Area_17_1_6_27">#REF!</definedName>
    <definedName name="ss9_e_v">#REF!</definedName>
    <definedName name="tala">#REF!</definedName>
    <definedName name="ThreeTn">#REF!</definedName>
    <definedName name="Excel_BuiltIn_Print_Area_5_5_27">#REF!</definedName>
    <definedName name="___axx6">#REF!</definedName>
    <definedName name="______xlnm.Print_Area_3">#REF!</definedName>
    <definedName localSheetId="8" name="_____SS404">#REF!</definedName>
    <definedName name="sheet1___13">#REF!</definedName>
    <definedName name="EM_021_4">#REF!</definedName>
    <definedName name="BuiltIn_Print_Area___0___0___0___0___0___0___0___0___0">#REF!</definedName>
    <definedName name="Excel_BuiltIn_Print_Area_17_1_1_14_4">#REF!</definedName>
    <definedName name="Excel_BuiltIn_Print_Area_5_1_9_2">#REF!</definedName>
    <definedName name="basic_rtu">#REF!</definedName>
    <definedName name="___LMH2">#REF!</definedName>
    <definedName name="XRefPaste9">#REF!</definedName>
    <definedName name="EM_020_9">#REF!</definedName>
    <definedName name="PATHJVPR111">#REF!</definedName>
    <definedName name="EM_005_10">#REF!</definedName>
    <definedName name="qryEqptOrdDelyETAProfile_byConstrMgr">#REF!</definedName>
    <definedName name="______Wr3">#REF!</definedName>
    <definedName name="EM_027_7">#REF!</definedName>
    <definedName name="Excel_BuiltIn_Print_Area_29_20_4">#REF!</definedName>
    <definedName name="MARGIN_SC">#REF!</definedName>
    <definedName name="vea">#REF!</definedName>
    <definedName name="_cff2">#REF!</definedName>
    <definedName name="AAAAAAAAAAAAA">#REF!</definedName>
    <definedName name="_6382">#REF!</definedName>
    <definedName name="_25Excel_BuiltIn_Print_Area_3_1_1_1">#REF!</definedName>
    <definedName name="_____Tk1">#REF!</definedName>
    <definedName name="_____xlnm._FilterDatabase_1">#REF!</definedName>
    <definedName name="EM_004_15">#REF!</definedName>
    <definedName name="Excel_BuiltIn_Print_Area_7_1_1_1_27">#REF!</definedName>
    <definedName name="_DET5">#REF!</definedName>
    <definedName name="Excel_BuiltIn_Print_Area_2_1_1_1_7_4">#REF!</definedName>
    <definedName localSheetId="8" name="_N">#REF!</definedName>
    <definedName name="Excel_BuiltIn_Print_Area_16_1_1_2_1">#REF!</definedName>
    <definedName name="Excel_BuiltIn_Print_Area_3_1_3_4">#REF!</definedName>
    <definedName name="Excel_BuiltIn_Print_Area_3_1_8_16">#REF!</definedName>
    <definedName name="TL_Adv">#REF!</definedName>
    <definedName name="_5.0_Hire_and_running_charges_of_winch___grab">#REF!</definedName>
    <definedName name="Excel_BuiltIn_Print_Area_5_5_2">#REF!</definedName>
    <definedName name="ewre">#REF!</definedName>
    <definedName name="Excel_BuiltIn_Print_Area_16_1_1_3_2">#REF!</definedName>
    <definedName name="Excel_BuiltIn_Print_Area_18_1_4">#REF!</definedName>
    <definedName name="I___0">#REF!</definedName>
    <definedName name="MC_SEKSW">#REF!</definedName>
    <definedName name="Excel_BuiltIn_Print_Area_28_15_27">#REF!</definedName>
    <definedName name="__VS2004">#REF!</definedName>
    <definedName name="DaRWk11">#REF!</definedName>
    <definedName name="BD1StateList">#REF!</definedName>
    <definedName name="Excel_BuiltIn_Print_Area_5_9">#REF!</definedName>
    <definedName name="_____________________in18900">#REF!</definedName>
    <definedName name="Excel_BuiltIn_Print_Area_2_1_1_14_2">#REF!</definedName>
    <definedName name="Ki___0">#REF!</definedName>
    <definedName name="ss8_bop_v">#REF!</definedName>
    <definedName name="Neg_Margin">#REF!</definedName>
    <definedName name="PER">#REF!</definedName>
    <definedName name="BD1Model_Params">#REF!</definedName>
    <definedName name="TL_Sep">#REF!</definedName>
    <definedName name="_______________________________________IDA1">#REF!</definedName>
    <definedName name="_TR500">#REF!</definedName>
    <definedName name="_____SAP8">#REF!</definedName>
    <definedName name="Excel_BuiltIn_Print_Area_3_1_1_1_1_1_1_1">#REF!</definedName>
    <definedName localSheetId="8" name="SelectD1OrC1">#REF!</definedName>
    <definedName name="_____SC25">#REF!</definedName>
    <definedName name="Excel_BuiltIn_Print_Area_10_16">#REF!</definedName>
    <definedName name="______ml33">#REF!</definedName>
    <definedName name="M2_">#REF!</definedName>
    <definedName name="TITLE">#REF!</definedName>
    <definedName name="EH_002_1">#REF!</definedName>
    <definedName name="Excel_BuiltIn_Print_Area_3_1_13">#REF!</definedName>
    <definedName name="________xlnm.Print_Area_11">#REF!</definedName>
    <definedName name="l2xx">#REF!</definedName>
    <definedName name="Excel_BuiltIn_Print_Area_2_1_1">#REF!</definedName>
    <definedName name="Excel_BuiltIn_Print_Area_17_1_1_14_16">#REF!</definedName>
    <definedName name="_____________________xlnm.Print_Titles_1">#REF!</definedName>
    <definedName name="_4Excel_BuiltIn_Print_Area_3_1_1_1_1_1_1_1_1_1">#REF!</definedName>
    <definedName name="ssfsd">#REF!</definedName>
    <definedName name="delk">#REF!</definedName>
    <definedName name="__xlnm._FilterDatabase_2">#REF!</definedName>
    <definedName localSheetId="8" name="_SS403">#REF!</definedName>
    <definedName name="__123Graph_C_1">#REF!</definedName>
    <definedName localSheetId="8" name="L___13">#REF!</definedName>
    <definedName name="b2xx">#REF!</definedName>
    <definedName name="_SAP9">#REF!</definedName>
    <definedName name="Excel_BuiltIn_Print_Area_29_13_2">#REF!</definedName>
    <definedName name="Excel_BuiltIn_Print_Titles_18">#REF!</definedName>
    <definedName name="_________________xlnm.Print_Area_13">#REF!</definedName>
    <definedName name="_8Excel_BuiltIn_Print_Area_16_1_1_1_1">#REF!</definedName>
    <definedName name="CD_SW">#REF!</definedName>
    <definedName name="M2x">#REF!</definedName>
    <definedName name="Excel_BuiltIn_Print_Area_12_1_6_27">#REF!</definedName>
    <definedName name="Excel_BuiltIn_Print_Area_17_1_20_4">#REF!</definedName>
    <definedName name="PAGEA">#REF!</definedName>
    <definedName name="____A91614">#REF!</definedName>
    <definedName name="__LMH2">#REF!</definedName>
    <definedName name="Excel_BuiltIn_Print_Area_4_1_1_20_27">#REF!</definedName>
    <definedName name="_DAT12">#REF!</definedName>
    <definedName name="ss9_gt_f">#REF!</definedName>
    <definedName name="Excel_BuiltIn_Print_Area_14_1_13_27">#REF!</definedName>
    <definedName name="Excel_BuiltIn_Print_Area_28_7">#REF!</definedName>
    <definedName name="lef">#REF!</definedName>
    <definedName name="Excel_BuiltIn_Print_Area_10_1_14_27">#REF!</definedName>
    <definedName name="jv">#REF!</definedName>
    <definedName name="EM_019_9">#REF!</definedName>
    <definedName name="PATH222">#REF!</definedName>
    <definedName name="__________lb2">#REF!</definedName>
    <definedName name="XRefCopy38Row">#REF!</definedName>
    <definedName name="___IDA1">#REF!</definedName>
    <definedName name="Excel_BuiltIn_Print_Area_3_1_5_27">#REF!</definedName>
    <definedName name="EM_032_1">#REF!</definedName>
    <definedName name="EP_Sales_IU">#REF!</definedName>
    <definedName name="Excel_BuiltIn_Print_Area_5_1_3_4">#REF!</definedName>
    <definedName name="weqwerw">#REF!</definedName>
    <definedName name="_RE28">#REF!</definedName>
    <definedName name="EM_018_18">#REF!</definedName>
    <definedName name="EM_031_2">#REF!</definedName>
    <definedName name="Num_Pmt_Per_Year">#REF!</definedName>
    <definedName name="boq_br2">#REF!</definedName>
    <definedName name="EM_017_5">#REF!</definedName>
    <definedName name="Excel_BuiltIn_Print_Area_5_13">#REF!</definedName>
    <definedName name="EM_065_18">#REF!</definedName>
    <definedName name="Excel_BuiltIn_Print_Area_5_1_1_20_2">#REF!</definedName>
    <definedName name="mason">#REF!</definedName>
    <definedName name="EM_018_11">#REF!</definedName>
    <definedName name="EM_065_14">#REF!</definedName>
    <definedName name="SCADA220SS">#REF!</definedName>
    <definedName name="_____xlnm._FilterDatabase">#REF!</definedName>
    <definedName name="Excel_BuiltIn_Print_Area_29_1_4">#REF!</definedName>
    <definedName name="____________KEY3">#REF!</definedName>
    <definedName name="EM_035_3">#REF!</definedName>
    <definedName name="____DAT15">#REF!</definedName>
    <definedName name="Excel_BuiltIn_Print_Area_13_1_12_16">#REF!</definedName>
    <definedName name="___SC04">#REF!</definedName>
    <definedName name="Excel_BuiltIn_Print_Area_10_1_11">#REF!</definedName>
    <definedName name="IE_AGWC">#REF!</definedName>
    <definedName localSheetId="8" name="Excel_BuiltIn_Print_Area_3_1_1_1_1_1_1">#REF!</definedName>
    <definedName name="NOZZLE_PRESS">#REF!</definedName>
    <definedName name="P5R">#REF!</definedName>
    <definedName name="qfc_s99">#REF!</definedName>
    <definedName name="EM_020_6">#REF!</definedName>
    <definedName name="_________________________________in18900">#REF!</definedName>
    <definedName name="BuiltIn_Print_Area___0___0___0___0___0">#REF!</definedName>
    <definedName name="XRefPaste45Row">#REF!</definedName>
    <definedName name="Excel_BuiltIn_Print_Area_12_1_5_2">#REF!</definedName>
    <definedName name="_7Excel_BuiltIn_Print_Area_12_1_1_1_1">#REF!</definedName>
    <definedName name="_______g1">#REF!</definedName>
    <definedName name="Excel_BuiltIn_Print_Area_28_6">#REF!</definedName>
    <definedName name="________________________xlnm.Print_Area_1">#REF!</definedName>
    <definedName name="Excel_BuiltIn_Print_Area_8_1_16_16">#REF!</definedName>
    <definedName name="Mips">#REF!</definedName>
    <definedName name="____Rs1">#REF!</definedName>
    <definedName name="TL_Aug">#REF!</definedName>
    <definedName name="Excel_BuiltIn_Print_Area_8_1_1_8_27">#REF!</definedName>
    <definedName name="Excel_BuiltIn_Print_Area_8_1_1_17_4">#REF!</definedName>
    <definedName name="sone">#REF!</definedName>
    <definedName name="_______a655601">#REF!</definedName>
    <definedName name="____drg2">#REF!</definedName>
    <definedName name="excavcl">#REF!</definedName>
    <definedName name="_drg2">#REF!</definedName>
    <definedName name="__rt2">#REF!</definedName>
    <definedName name="Excel_BuiltIn_Print_Area_7_1_1_4">#REF!</definedName>
    <definedName name="p1500mcic">#REF!</definedName>
    <definedName name="____PB1">#REF!</definedName>
    <definedName name="___Hso2">#REF!</definedName>
    <definedName name="Excel_BuiltIn_Print_Area_5_1_8">#REF!</definedName>
    <definedName name="con">#REF!</definedName>
    <definedName name="Excel_BuiltIn_Print_Area_16_1_1_1_1_27">#REF!</definedName>
    <definedName name="__m35">#REF!</definedName>
    <definedName name="Excel_BuiltIn_Print_Area_12_1">#REF!</definedName>
    <definedName name="gamah">#REF!</definedName>
    <definedName name="________Ki2">#REF!</definedName>
    <definedName name="ss9_ct_f">#REF!</definedName>
    <definedName name="_QTY1">#REF!</definedName>
    <definedName name="____SAP11">#REF!</definedName>
    <definedName name="annex4.1">#REF!</definedName>
    <definedName name="____A655600">#REF!</definedName>
    <definedName name="___pp1">#REF!</definedName>
    <definedName name="Excel_BuiltIn_Print_Area_17_1_1_1">#REF!</definedName>
    <definedName name="EM_006_16">#REF!</definedName>
    <definedName name="___kd3">#REF!</definedName>
    <definedName name="_hxb1">#REF!</definedName>
    <definedName name="pro">#REF!</definedName>
    <definedName name="lmcecp">#REF!</definedName>
    <definedName name="STA2STCTL">#REF!</definedName>
    <definedName name="_a999999">#REF!</definedName>
    <definedName name="___SS402">#REF!</definedName>
    <definedName name="EM_028_17">#REF!</definedName>
    <definedName name="Excel_BuiltIn__FilterDatabase_26_16">#REF!</definedName>
    <definedName name="ss8_ic_v">#REF!</definedName>
    <definedName name="EM_051_14">#REF!</definedName>
    <definedName name="___kd1">#REF!</definedName>
    <definedName name="CAPA2">#REF!</definedName>
    <definedName name="Excel_BuiltIn_Print_Area_7_1_13_16">#REF!</definedName>
    <definedName name="FOS">#REF!</definedName>
    <definedName name="Excel_BuiltIn_Print_Area_5_9_2">#REF!</definedName>
    <definedName name="____DAT16">#REF!</definedName>
    <definedName name="EM_058_18">#REF!</definedName>
    <definedName name="JDKSK">#REF!</definedName>
    <definedName name="lc">#REF!</definedName>
    <definedName name="Z1y">#REF!</definedName>
    <definedName name="__A8">#REF!</definedName>
    <definedName name="pcct">#REF!</definedName>
    <definedName name="RFP012DL_Total_MM">#REF!</definedName>
    <definedName name="twer">#REF!</definedName>
    <definedName name="Excel_BuiltIn_Print_Area_4_1_8_2">#REF!</definedName>
    <definedName name="___________________________________in18900">#REF!</definedName>
    <definedName name="___SAP6">#REF!</definedName>
    <definedName name="Excel_BuiltIn_Print_Area_5_1_1_13_27">#REF!</definedName>
    <definedName name="____________________dol6">#REF!</definedName>
    <definedName name="후_담당간사에게_제출한다.">#REF!</definedName>
    <definedName name="______5___123Graph_BCHART_1">#REF!</definedName>
    <definedName name="Excel_BuiltIn_Print_Area_7_1_16_16">#REF!</definedName>
    <definedName name="ss9_ec_w">#REF!</definedName>
    <definedName name="Excel_BuiltIn_Print_Area_6_1_1_16">#REF!</definedName>
    <definedName name="________tab2">#REF!</definedName>
    <definedName name="EM_011_9">#REF!</definedName>
    <definedName name="MF___0">#REF!</definedName>
    <definedName name="Excel_BuiltIn_Print_Area_11_1_16_1">#REF!</definedName>
    <definedName name="Excel_BuiltIn_Print_Area_2_1_20_4">#REF!</definedName>
    <definedName name="EM_016_6">#REF!</definedName>
    <definedName name="______________________in18900">#REF!</definedName>
    <definedName name="_mhr3">#REF!</definedName>
    <definedName name="ffhfhf">#REF!</definedName>
    <definedName name="EM_025_12">#REF!</definedName>
    <definedName name="간재">#REF!</definedName>
    <definedName name="QFC_UKPs">#REF!</definedName>
    <definedName name="FGNFN">#REF!</definedName>
    <definedName name="COSTING">#REF!</definedName>
    <definedName name="Excel_BuiltIn_Print_Area_28_8_2">#REF!</definedName>
    <definedName name="A13____13">#REF!</definedName>
    <definedName name="pb___11">#REF!</definedName>
    <definedName name="TL_Mar">#REF!</definedName>
    <definedName name="INFUSD2">#REF!</definedName>
    <definedName name="______pep99">#REF!</definedName>
    <definedName name="M20RCCcement">#REF!</definedName>
    <definedName name="Pay_Date">#REF!</definedName>
    <definedName name="COST_PSCH1">#REF!</definedName>
    <definedName name="Excel_BuiltIn_Print_Area_12_1_9_4">#REF!</definedName>
    <definedName name="p1mcc5">#REF!</definedName>
    <definedName name="se_">#REF!</definedName>
    <definedName name="hgr">#REF!</definedName>
    <definedName name="Individual_Mth">#REF!</definedName>
    <definedName name="_____hfi4">#REF!</definedName>
    <definedName name="zl">#REF!</definedName>
    <definedName name="stretch">#REF!</definedName>
    <definedName name="MENU">#REF!</definedName>
    <definedName name="__SAP3">#REF!</definedName>
    <definedName name="_A1">#REF!</definedName>
    <definedName name="EM_066_15">#REF!</definedName>
    <definedName name="Excel_BuiltIn_Print_Area_4_1_1_1">#REF!</definedName>
    <definedName localSheetId="8" name="FGNFN">#REF!</definedName>
    <definedName name="HTd">#REF!</definedName>
    <definedName name="Excel_BuiltIn_Print_Area_10_1_2_4">#REF!</definedName>
    <definedName name="HiddenRows">#REF!</definedName>
    <definedName name="Excel_BuiltIn_Print_Area_16_1_1_7">#REF!</definedName>
    <definedName name="BuiltIn_AutoFilter___17">#REF!</definedName>
    <definedName name="Excel_BuiltIn_Print_Area_14_1_6_4">#REF!</definedName>
    <definedName name="rewre">#REF!</definedName>
    <definedName name="vo">#REF!</definedName>
    <definedName name="Excel_BuiltIn_Print_Area_1_18_2">#REF!</definedName>
    <definedName hidden="1" localSheetId="4" name="_xlnm._FilterDatabase">ERECTION!$A$2:$K$200</definedName>
    <definedName hidden="1" localSheetId="5" name="_xlnm._FilterDatabase">FOUNDATION!$A$2:$O$271</definedName>
    <definedName hidden="1" localSheetId="7" name="_xlnm._FilterDatabase">EARTHING!$A$2:$F$226</definedName>
    <definedName hidden="1" localSheetId="10" name="_xlnm._FilterDatabase">'CST Gantry To AP 68 Common Poin'!$A$6:$O$627</definedName>
  </definedNames>
  <calcPr/>
  <pivotCaches>
    <pivotCache cacheId="0" r:id="rId22"/>
    <pivotCache cacheId="1" r:id="rId23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08">
      <text>
        <t xml:space="preserve">Boddepalli Sagar:
33/0 Was completed in March , But it is being counted in February</t>
      </text>
    </comment>
  </commentList>
</comments>
</file>

<file path=xl/sharedStrings.xml><?xml version="1.0" encoding="utf-8"?>
<sst xmlns="http://schemas.openxmlformats.org/spreadsheetml/2006/main" count="9595" uniqueCount="2275">
  <si>
    <t>Visual Chart of 765kV Line</t>
  </si>
  <si>
    <t>Date</t>
  </si>
  <si>
    <t>FDN</t>
  </si>
  <si>
    <t>EARTH</t>
  </si>
  <si>
    <t>EREC</t>
  </si>
  <si>
    <t>T/W</t>
  </si>
  <si>
    <t>Strng</t>
  </si>
  <si>
    <t>Length in MTR</t>
  </si>
  <si>
    <t>RC</t>
  </si>
  <si>
    <t>DD60+0</t>
  </si>
  <si>
    <t>DD45+3</t>
  </si>
  <si>
    <t>DA(-)1.5</t>
  </si>
  <si>
    <t>DA+6</t>
  </si>
  <si>
    <t>DC1+0</t>
  </si>
  <si>
    <t>DA+9</t>
  </si>
  <si>
    <t>DA(-)3</t>
  </si>
  <si>
    <t>DB1+0</t>
  </si>
  <si>
    <t>1/0</t>
  </si>
  <si>
    <t>2/0</t>
  </si>
  <si>
    <t>3/0</t>
  </si>
  <si>
    <t>3/1</t>
  </si>
  <si>
    <t>3/2</t>
  </si>
  <si>
    <t>4/0</t>
  </si>
  <si>
    <t>4/1</t>
  </si>
  <si>
    <t>4/2</t>
  </si>
  <si>
    <t>4/3</t>
  </si>
  <si>
    <t>4/4</t>
  </si>
  <si>
    <t>4/5</t>
  </si>
  <si>
    <t>4/6</t>
  </si>
  <si>
    <t>5/0</t>
  </si>
  <si>
    <t>5/1</t>
  </si>
  <si>
    <t>MP</t>
  </si>
  <si>
    <t xml:space="preserve"> </t>
  </si>
  <si>
    <t>DA+0</t>
  </si>
  <si>
    <t>DA+3</t>
  </si>
  <si>
    <t>DA+1.5</t>
  </si>
  <si>
    <t>DC2+0</t>
  </si>
  <si>
    <t>5/2</t>
  </si>
  <si>
    <t>5/3</t>
  </si>
  <si>
    <t>5/4</t>
  </si>
  <si>
    <t>5/5</t>
  </si>
  <si>
    <t>5/6</t>
  </si>
  <si>
    <t>5/7</t>
  </si>
  <si>
    <t>6/0</t>
  </si>
  <si>
    <t>6/1</t>
  </si>
  <si>
    <t>6/2</t>
  </si>
  <si>
    <t>6/3</t>
  </si>
  <si>
    <t>7/0</t>
  </si>
  <si>
    <t>7/1</t>
  </si>
  <si>
    <t>7/2</t>
  </si>
  <si>
    <t>7/3</t>
  </si>
  <si>
    <t>DB2+0</t>
  </si>
  <si>
    <t>7/4</t>
  </si>
  <si>
    <t>8/0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</si>
  <si>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</si>
  <si>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</si>
  <si>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</si>
  <si>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</si>
  <si>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</si>
  <si>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</si>
  <si>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</si>
  <si>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</si>
  <si>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</si>
  <si>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</si>
  <si>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9/0</t>
  </si>
  <si>
    <t>9/1</t>
  </si>
  <si>
    <t>Stub Requerd</t>
  </si>
  <si>
    <t xml:space="preserve">400KV D/C </t>
  </si>
  <si>
    <t>E. RC</t>
  </si>
  <si>
    <t>DD60+25</t>
  </si>
  <si>
    <t>9/2</t>
  </si>
  <si>
    <t>9/3</t>
  </si>
  <si>
    <t>10/0</t>
  </si>
  <si>
    <t>10/1</t>
  </si>
  <si>
    <t>10/2</t>
  </si>
  <si>
    <t>10/3</t>
  </si>
  <si>
    <t>11/0</t>
  </si>
  <si>
    <t>12/0</t>
  </si>
  <si>
    <t>12/1</t>
  </si>
  <si>
    <t>12/2</t>
  </si>
  <si>
    <t>12/3</t>
  </si>
  <si>
    <t>12/4</t>
  </si>
  <si>
    <t>12/5</t>
  </si>
  <si>
    <t>12/6</t>
  </si>
  <si>
    <t>12/7</t>
  </si>
  <si>
    <t>13/0</t>
  </si>
  <si>
    <t>13/1</t>
  </si>
  <si>
    <t>13/2</t>
  </si>
  <si>
    <t>13/3</t>
  </si>
  <si>
    <t>13/4</t>
  </si>
  <si>
    <t>13/5</t>
  </si>
  <si>
    <t>14/0</t>
  </si>
  <si>
    <t>14/1</t>
  </si>
  <si>
    <t>14/2</t>
  </si>
  <si>
    <t>14/3</t>
  </si>
  <si>
    <t>14/4</t>
  </si>
  <si>
    <t>14/5</t>
  </si>
  <si>
    <t>15/0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</si>
  <si>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</si>
  <si>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</si>
  <si>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</si>
  <si>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</si>
  <si>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</si>
  <si>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</si>
  <si>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</si>
  <si>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</si>
  <si>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</si>
  <si>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>16/0</t>
  </si>
  <si>
    <t>16/1</t>
  </si>
  <si>
    <t>16/2</t>
  </si>
  <si>
    <t>16/3</t>
  </si>
  <si>
    <t>16/4</t>
  </si>
  <si>
    <t>NH Crossing</t>
  </si>
  <si>
    <t>DB2+3</t>
  </si>
  <si>
    <t>DD45+0</t>
  </si>
  <si>
    <t>DD45+9</t>
  </si>
  <si>
    <t>DD60+6</t>
  </si>
  <si>
    <t>16/5</t>
  </si>
  <si>
    <t>16/6</t>
  </si>
  <si>
    <t>16/7</t>
  </si>
  <si>
    <t>16/8</t>
  </si>
  <si>
    <t>16/9</t>
  </si>
  <si>
    <t>16/10</t>
  </si>
  <si>
    <t>16/11</t>
  </si>
  <si>
    <t>17/0</t>
  </si>
  <si>
    <t>18/0</t>
  </si>
  <si>
    <t>18/1</t>
  </si>
  <si>
    <t>19/0</t>
  </si>
  <si>
    <t>20/0</t>
  </si>
  <si>
    <t>20/1</t>
  </si>
  <si>
    <t>20/2</t>
  </si>
  <si>
    <t>DC2+3</t>
  </si>
  <si>
    <t>21/0</t>
  </si>
  <si>
    <t>21/1</t>
  </si>
  <si>
    <t>21/2</t>
  </si>
  <si>
    <t>21/3</t>
  </si>
  <si>
    <t>21/4</t>
  </si>
  <si>
    <t>22/0</t>
  </si>
  <si>
    <t>22/1</t>
  </si>
  <si>
    <t>23/0</t>
  </si>
  <si>
    <t>23/1</t>
  </si>
  <si>
    <t>24/0</t>
  </si>
  <si>
    <t>24/1</t>
  </si>
  <si>
    <t>24/2</t>
  </si>
  <si>
    <t>24/3</t>
  </si>
  <si>
    <t>24/4</t>
  </si>
  <si>
    <t>220KV D/C</t>
  </si>
  <si>
    <t>DC2+18</t>
  </si>
  <si>
    <t>DC2+12</t>
  </si>
  <si>
    <t>DB2+9</t>
  </si>
  <si>
    <t>24/5</t>
  </si>
  <si>
    <t>24/6</t>
  </si>
  <si>
    <t>24/7</t>
  </si>
  <si>
    <t>24/8</t>
  </si>
  <si>
    <t>24/9</t>
  </si>
  <si>
    <t>24/10</t>
  </si>
  <si>
    <t>24/11</t>
  </si>
  <si>
    <t>25/0</t>
  </si>
  <si>
    <t>26/0</t>
  </si>
  <si>
    <t>26/1</t>
  </si>
  <si>
    <t>26/2</t>
  </si>
  <si>
    <t>26/3</t>
  </si>
  <si>
    <t>26/4</t>
  </si>
  <si>
    <t>27/0</t>
  </si>
  <si>
    <t>Approch Issue</t>
  </si>
  <si>
    <t>Railway crossing</t>
  </si>
  <si>
    <t>220 KV DC</t>
  </si>
  <si>
    <t>DB1+9</t>
  </si>
  <si>
    <t>DD45+6</t>
  </si>
  <si>
    <t>DD45+18</t>
  </si>
  <si>
    <t>DD60+9</t>
  </si>
  <si>
    <t>27/1</t>
  </si>
  <si>
    <t>27/2</t>
  </si>
  <si>
    <t>27/3</t>
  </si>
  <si>
    <t>27/4</t>
  </si>
  <si>
    <t>27/5</t>
  </si>
  <si>
    <t>28/0</t>
  </si>
  <si>
    <t>29/0</t>
  </si>
  <si>
    <t>29/1</t>
  </si>
  <si>
    <t>29/2</t>
  </si>
  <si>
    <t>30/0</t>
  </si>
  <si>
    <t>30/1</t>
  </si>
  <si>
    <t>30/2</t>
  </si>
  <si>
    <t>31/0</t>
  </si>
  <si>
    <t>32/0</t>
  </si>
  <si>
    <t xml:space="preserve">132KV D/C </t>
  </si>
  <si>
    <t>DC1+3</t>
  </si>
  <si>
    <t>32/1</t>
  </si>
  <si>
    <t>32/2</t>
  </si>
  <si>
    <t>32/3</t>
  </si>
  <si>
    <t>32/4</t>
  </si>
  <si>
    <t>32/5</t>
  </si>
  <si>
    <t>32/6</t>
  </si>
  <si>
    <t>32/7</t>
  </si>
  <si>
    <t>33/0</t>
  </si>
  <si>
    <t>34/0</t>
  </si>
  <si>
    <t>34/1</t>
  </si>
  <si>
    <t>34/2</t>
  </si>
  <si>
    <t>34/3</t>
  </si>
  <si>
    <t>35/0</t>
  </si>
  <si>
    <t>36/0</t>
  </si>
  <si>
    <t xml:space="preserve">220KV </t>
  </si>
  <si>
    <t>DD45+12</t>
  </si>
  <si>
    <t>36/1</t>
  </si>
  <si>
    <t>36/2</t>
  </si>
  <si>
    <t>36/3</t>
  </si>
  <si>
    <t>36/4</t>
  </si>
  <si>
    <t>36/5</t>
  </si>
  <si>
    <t>36/6</t>
  </si>
  <si>
    <t>36/7</t>
  </si>
  <si>
    <t>36/8</t>
  </si>
  <si>
    <t>37/0</t>
  </si>
  <si>
    <t>38/0</t>
  </si>
  <si>
    <t>38/1</t>
  </si>
  <si>
    <t>38/2</t>
  </si>
  <si>
    <t>38/3</t>
  </si>
  <si>
    <t>38/4</t>
  </si>
  <si>
    <t xml:space="preserve">TP </t>
  </si>
  <si>
    <t>38/5</t>
  </si>
  <si>
    <t>38/6</t>
  </si>
  <si>
    <t>38/7</t>
  </si>
  <si>
    <t>38/8</t>
  </si>
  <si>
    <t>39/0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</si>
  <si>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</si>
  <si>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</si>
  <si>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</si>
  <si>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</si>
  <si>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</si>
  <si>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</si>
  <si>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</si>
  <si>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</si>
  <si>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</si>
  <si>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RAJ</t>
  </si>
  <si>
    <t>ROW</t>
  </si>
  <si>
    <t>39/10</t>
  </si>
  <si>
    <t>39/11</t>
  </si>
  <si>
    <t>40/0</t>
  </si>
  <si>
    <t>40/1</t>
  </si>
  <si>
    <t>40/2</t>
  </si>
  <si>
    <t>40/3</t>
  </si>
  <si>
    <t>41/0</t>
  </si>
  <si>
    <t>41/1</t>
  </si>
  <si>
    <t>41/2</t>
  </si>
  <si>
    <t>41/3</t>
  </si>
  <si>
    <t>41/4</t>
  </si>
  <si>
    <t>41/5</t>
  </si>
  <si>
    <t>41/6</t>
  </si>
  <si>
    <t>41/7</t>
  </si>
  <si>
    <t>ROW Route Daivarsion</t>
  </si>
  <si>
    <t>DC1+6</t>
  </si>
  <si>
    <t>DB2+6</t>
  </si>
  <si>
    <t>DB1+3</t>
  </si>
  <si>
    <t>DA-(3)</t>
  </si>
  <si>
    <t>41/8</t>
  </si>
  <si>
    <t>42/0</t>
  </si>
  <si>
    <t>43/0</t>
  </si>
  <si>
    <t>44/0</t>
  </si>
  <si>
    <t>44/1</t>
  </si>
  <si>
    <t>44/2</t>
  </si>
  <si>
    <t>44/3</t>
  </si>
  <si>
    <t>45/0</t>
  </si>
  <si>
    <t>45/1</t>
  </si>
  <si>
    <t>45/2</t>
  </si>
  <si>
    <t>45/3</t>
  </si>
  <si>
    <t>45/4</t>
  </si>
  <si>
    <t>45A/0</t>
  </si>
  <si>
    <t>45A/1</t>
  </si>
  <si>
    <t>46/0</t>
  </si>
  <si>
    <t>46/1</t>
  </si>
  <si>
    <t>46/2</t>
  </si>
  <si>
    <t>46A/0</t>
  </si>
  <si>
    <t>46A/1</t>
  </si>
  <si>
    <t>46A/2</t>
  </si>
  <si>
    <t>46A/3</t>
  </si>
  <si>
    <t>47/0</t>
  </si>
  <si>
    <t>47/1</t>
  </si>
  <si>
    <t>47/2</t>
  </si>
  <si>
    <t>47/3</t>
  </si>
  <si>
    <t>47/4</t>
  </si>
  <si>
    <t>47/5</t>
  </si>
  <si>
    <t>47/6</t>
  </si>
  <si>
    <t>47/7</t>
  </si>
  <si>
    <t>47/8</t>
  </si>
  <si>
    <t>47/9</t>
  </si>
  <si>
    <t>47/10</t>
  </si>
  <si>
    <t>47/11</t>
  </si>
  <si>
    <t>48/0</t>
  </si>
  <si>
    <t>48/1</t>
  </si>
  <si>
    <t>48/2</t>
  </si>
  <si>
    <t>48/3</t>
  </si>
  <si>
    <t>48/4</t>
  </si>
  <si>
    <t>48/5</t>
  </si>
  <si>
    <t>48/6</t>
  </si>
  <si>
    <t>48/7</t>
  </si>
  <si>
    <t>48/8</t>
  </si>
  <si>
    <t>Power Line Crossing</t>
  </si>
  <si>
    <t>48/9</t>
  </si>
  <si>
    <t>49/0</t>
  </si>
  <si>
    <t>49/1</t>
  </si>
  <si>
    <t>49/2</t>
  </si>
  <si>
    <t>49/3</t>
  </si>
  <si>
    <t>49/4</t>
  </si>
  <si>
    <t>49/5</t>
  </si>
  <si>
    <t>49/6</t>
  </si>
  <si>
    <t>50/0</t>
  </si>
  <si>
    <t>51/0</t>
  </si>
  <si>
    <t>51/1</t>
  </si>
  <si>
    <t>51/2</t>
  </si>
  <si>
    <t>51/3</t>
  </si>
  <si>
    <t>52/0</t>
  </si>
  <si>
    <t>Gas Pipe Line BPCL</t>
  </si>
  <si>
    <t xml:space="preserve"> Route Finalization pending on account of daiversion due to solar plant</t>
  </si>
  <si>
    <t>DB1(-)1.5</t>
  </si>
  <si>
    <t>DB2(-)1.5</t>
  </si>
  <si>
    <t>DB1+18</t>
  </si>
  <si>
    <t>DB1+6</t>
  </si>
  <si>
    <t>52/1</t>
  </si>
  <si>
    <t>53/0</t>
  </si>
  <si>
    <t>53A/0</t>
  </si>
  <si>
    <t>53B/0</t>
  </si>
  <si>
    <t>53B/1</t>
  </si>
  <si>
    <t>54/0</t>
  </si>
  <si>
    <t>55/0</t>
  </si>
  <si>
    <t>55/1</t>
  </si>
  <si>
    <t>55/2</t>
  </si>
  <si>
    <t>56/0</t>
  </si>
  <si>
    <t>56/1</t>
  </si>
  <si>
    <t>56/2</t>
  </si>
  <si>
    <t>56/3</t>
  </si>
  <si>
    <t>57/0</t>
  </si>
  <si>
    <t>NH Crossinng</t>
  </si>
  <si>
    <t>Water Pipe Line</t>
  </si>
  <si>
    <t>DC2+6</t>
  </si>
  <si>
    <t>DB1+12</t>
  </si>
  <si>
    <t>57/1</t>
  </si>
  <si>
    <t>57/2</t>
  </si>
  <si>
    <t>57/3</t>
  </si>
  <si>
    <t>57/4</t>
  </si>
  <si>
    <t>58/0</t>
  </si>
  <si>
    <t>59/0</t>
  </si>
  <si>
    <t>59/1</t>
  </si>
  <si>
    <t>60/0</t>
  </si>
  <si>
    <t>61/0</t>
  </si>
  <si>
    <t>61/1</t>
  </si>
  <si>
    <t>62/0</t>
  </si>
  <si>
    <t>63/0</t>
  </si>
  <si>
    <t>63/1</t>
  </si>
  <si>
    <t>63/2</t>
  </si>
  <si>
    <t>63/3</t>
  </si>
  <si>
    <t>64/0</t>
  </si>
  <si>
    <t>64/1</t>
  </si>
  <si>
    <t>65/0</t>
  </si>
  <si>
    <t>65/1</t>
  </si>
  <si>
    <t>65/2</t>
  </si>
  <si>
    <t>65/3</t>
  </si>
  <si>
    <t>65/4</t>
  </si>
  <si>
    <t>65/5</t>
  </si>
  <si>
    <t>65/6</t>
  </si>
  <si>
    <t>65/7</t>
  </si>
  <si>
    <t>65/8</t>
  </si>
  <si>
    <t>65/9</t>
  </si>
  <si>
    <t>65/10</t>
  </si>
  <si>
    <t>65/11</t>
  </si>
  <si>
    <t>66/0</t>
  </si>
  <si>
    <t>66/1</t>
  </si>
  <si>
    <t>66/2</t>
  </si>
  <si>
    <t>66/3</t>
  </si>
  <si>
    <t>66/4</t>
  </si>
  <si>
    <t>66/5</t>
  </si>
  <si>
    <t>66/6</t>
  </si>
  <si>
    <t>66/7</t>
  </si>
  <si>
    <t>66/8</t>
  </si>
  <si>
    <t>67/0</t>
  </si>
  <si>
    <t>67/1</t>
  </si>
  <si>
    <t>67/2</t>
  </si>
  <si>
    <t>67/3</t>
  </si>
  <si>
    <t>68/0</t>
  </si>
  <si>
    <t>Legend</t>
  </si>
  <si>
    <t>Crossing</t>
  </si>
  <si>
    <t>Progress at a Glance (765kV Line)</t>
  </si>
  <si>
    <t>Tack-Welding</t>
  </si>
  <si>
    <t>final sag</t>
  </si>
  <si>
    <t>rough sag</t>
  </si>
  <si>
    <t>LT Line</t>
  </si>
  <si>
    <t>NH/SH</t>
  </si>
  <si>
    <t>Sl. No.</t>
  </si>
  <si>
    <t>Activity</t>
  </si>
  <si>
    <t>Unit</t>
  </si>
  <si>
    <t>Total Qty</t>
  </si>
  <si>
    <t>Completed</t>
  </si>
  <si>
    <t>Balance</t>
  </si>
  <si>
    <t>Remarks</t>
  </si>
  <si>
    <t>Detailed Survey</t>
  </si>
  <si>
    <t>Kms</t>
  </si>
  <si>
    <t>Erection</t>
  </si>
  <si>
    <t>11kV Line</t>
  </si>
  <si>
    <t>Check Survey</t>
  </si>
  <si>
    <t>Foundation</t>
  </si>
  <si>
    <t>Nos</t>
  </si>
  <si>
    <t>33kV Line</t>
  </si>
  <si>
    <t>Railway</t>
  </si>
  <si>
    <t>Earthing</t>
  </si>
  <si>
    <t>220kV Line</t>
  </si>
  <si>
    <t>Tack-welding</t>
  </si>
  <si>
    <t>Location No</t>
  </si>
  <si>
    <t>1/1</t>
  </si>
  <si>
    <t>1A/0</t>
  </si>
  <si>
    <t>Stringing (P/O)</t>
  </si>
  <si>
    <t>Tower Type</t>
  </si>
  <si>
    <t>DC+0</t>
  </si>
  <si>
    <t>DC+3</t>
  </si>
  <si>
    <t>400kV Line</t>
  </si>
  <si>
    <t>Stringing (F/O)</t>
  </si>
  <si>
    <t>Forest</t>
  </si>
  <si>
    <t>OPGW</t>
  </si>
  <si>
    <t>132kV Line</t>
  </si>
  <si>
    <t>ERE</t>
  </si>
  <si>
    <r>
      <rPr>
        <rFont val="Calibri"/>
        <b/>
        <color/>
        <sz val="14.0"/>
      </rPr>
      <t xml:space="preserve">Raise Chimney  </t>
    </r>
    <r>
      <rPr>
        <rFont val="Calibri"/>
        <color/>
        <sz val="11.0"/>
      </rPr>
      <t xml:space="preserve">                                                                                4/1, 4/2,12/0, 15/6, 19/0, 20/0, 22/0, 24/0, 38/5, 45A/1, 46/1, 48/7, 55/0,56/0, 56/1,  56/3, 57/0, 59/0, 65/10, 66/1, 67/3-                                                                          Total - 21 N0's</t>
    </r>
  </si>
  <si>
    <t>Name of Line: 765 kV D/C Mandsaur - Kurawar (Part-1)Transmission Line(WZ-4)</t>
  </si>
  <si>
    <t>Agency: - M/s KEC INTERNATIONAL LIMITED</t>
  </si>
  <si>
    <t xml:space="preserve">NOA No.: CC/T/W-TW/DOM/A00/23/13147/NOA-1/24-114171/01 Dated 26/11/2024 </t>
  </si>
  <si>
    <t xml:space="preserve">Date: </t>
  </si>
  <si>
    <t>LOA Quantity</t>
  </si>
  <si>
    <t>Final Estimated Quantity</t>
  </si>
  <si>
    <t>Cum. L2 till Last Month</t>
  </si>
  <si>
    <t>Cum Progress till Last Month</t>
  </si>
  <si>
    <t>L2 for present Month</t>
  </si>
  <si>
    <t>Plan for the Month</t>
  </si>
  <si>
    <t>Progress for Today</t>
  </si>
  <si>
    <t>Progress for the Month</t>
  </si>
  <si>
    <t>Cum. L2 till date</t>
  </si>
  <si>
    <t>Cum. Progress till date</t>
  </si>
  <si>
    <t>Balance Work</t>
  </si>
  <si>
    <t>Under Progress</t>
  </si>
  <si>
    <t>Gangs at Present</t>
  </si>
  <si>
    <t>Completed LOC.  (Today)</t>
  </si>
  <si>
    <t>Foundation (Loc)</t>
  </si>
  <si>
    <t>2/0, 3/2, 47/0, 47/5, 47/10, 51/0, 63/0</t>
  </si>
  <si>
    <t>Earthing (Loc)</t>
  </si>
  <si>
    <t>Erection (Loc)</t>
  </si>
  <si>
    <t>23/1, 28/0, 41/0, 41/3, 46A/2, 48/1, 49/2, 67/1</t>
  </si>
  <si>
    <t>Stringing (Km)</t>
  </si>
  <si>
    <t>Rough Sag</t>
  </si>
  <si>
    <t>Final Sag</t>
  </si>
  <si>
    <t>S. No.</t>
  </si>
  <si>
    <t>Item</t>
  </si>
  <si>
    <t>Anticipated Qty</t>
  </si>
  <si>
    <t>UPTO  July-25
 L2 Schedule</t>
  </si>
  <si>
    <t>COMPLETED</t>
  </si>
  <si>
    <t xml:space="preserve">COMPLETED  </t>
  </si>
  <si>
    <t>No Progress (Water pipe line)</t>
  </si>
  <si>
    <t>Pit-A,B Steel binding &amp; Pit-A,B,C,D prop set</t>
  </si>
  <si>
    <t>Grand Total</t>
  </si>
  <si>
    <t xml:space="preserve">COMPLETED </t>
  </si>
  <si>
    <t>AP 47/11 - AP68</t>
  </si>
  <si>
    <t xml:space="preserve">ERECTION-STATUS </t>
  </si>
  <si>
    <t>SL NO.</t>
  </si>
  <si>
    <t xml:space="preserve">LOC No. </t>
  </si>
  <si>
    <t>District wise section</t>
  </si>
  <si>
    <t xml:space="preserve">STATUS </t>
  </si>
  <si>
    <t>STARTING DATE</t>
  </si>
  <si>
    <t xml:space="preserve">ENDING DATE </t>
  </si>
  <si>
    <t>Work starting month</t>
  </si>
  <si>
    <t>Work completion Month</t>
  </si>
  <si>
    <t>Sub-Contractor</t>
  </si>
  <si>
    <t>JMC</t>
  </si>
  <si>
    <t>Gantry - AP39/0</t>
  </si>
  <si>
    <t>22/08/2025</t>
  </si>
  <si>
    <t>DEVI CONST.-I</t>
  </si>
  <si>
    <t>15.09.2025</t>
  </si>
  <si>
    <t xml:space="preserve">DEONATH MAHATO </t>
  </si>
  <si>
    <t>25/08/2025</t>
  </si>
  <si>
    <t>08.09.2025</t>
  </si>
  <si>
    <t xml:space="preserve">JAWALA SINGH </t>
  </si>
  <si>
    <t>18.09.2025</t>
  </si>
  <si>
    <t xml:space="preserve">MODINA INDIA  </t>
  </si>
  <si>
    <t>02.09.2025</t>
  </si>
  <si>
    <t>23.09.2025</t>
  </si>
  <si>
    <t>OM CONSTRUCTION</t>
  </si>
  <si>
    <t>12.09.2025</t>
  </si>
  <si>
    <t>HEMLAL MAHATO-I (Anita Devi)</t>
  </si>
  <si>
    <t>07.09.2025</t>
  </si>
  <si>
    <t>14.09.2025</t>
  </si>
  <si>
    <t>DEVI CONST.-II</t>
  </si>
  <si>
    <t>13.09.2025</t>
  </si>
  <si>
    <t>27.09.2025</t>
  </si>
  <si>
    <t>11.09.2025</t>
  </si>
  <si>
    <t>19.09.2025</t>
  </si>
  <si>
    <t>20.09.2025</t>
  </si>
  <si>
    <t>25.09.2025</t>
  </si>
  <si>
    <t>04.10.2025</t>
  </si>
  <si>
    <t>16.09.2025</t>
  </si>
  <si>
    <t>24.09.2025</t>
  </si>
  <si>
    <t>HEMLAL MAHATO-II (Anita Devi)</t>
  </si>
  <si>
    <t>26.09.2025</t>
  </si>
  <si>
    <t>29.09.2025</t>
  </si>
  <si>
    <t>30.09.2025</t>
  </si>
  <si>
    <t>01.10.2025</t>
  </si>
  <si>
    <t>06.10.2025</t>
  </si>
  <si>
    <t>02.10.2025</t>
  </si>
  <si>
    <t>13.10.2025</t>
  </si>
  <si>
    <t>05.10.2025</t>
  </si>
  <si>
    <t>16.10.2025</t>
  </si>
  <si>
    <t>07.10.2025</t>
  </si>
  <si>
    <t>11.10.2025</t>
  </si>
  <si>
    <t>DEVI CONST.</t>
  </si>
  <si>
    <t>12.10.2025</t>
  </si>
  <si>
    <t>17.10.2025</t>
  </si>
  <si>
    <t>22.10.2025</t>
  </si>
  <si>
    <t>24.10.2025</t>
  </si>
  <si>
    <t>26.10.2025</t>
  </si>
  <si>
    <t>02.11.2025</t>
  </si>
  <si>
    <t>03.11.2025</t>
  </si>
  <si>
    <t>07.11.2025</t>
  </si>
  <si>
    <t>08.11.2025</t>
  </si>
  <si>
    <t>11.11.2025</t>
  </si>
  <si>
    <t>13.11.2025</t>
  </si>
  <si>
    <t>25.11.2025</t>
  </si>
  <si>
    <t>Arawali infra-1</t>
  </si>
  <si>
    <t>24.11.2025</t>
  </si>
  <si>
    <t>Arawali infra-2</t>
  </si>
  <si>
    <t>27.11.2025</t>
  </si>
  <si>
    <t>09.12.2025</t>
  </si>
  <si>
    <t>Dec'25</t>
  </si>
  <si>
    <t>Kaushlya Devi</t>
  </si>
  <si>
    <t>16.11.2025</t>
  </si>
  <si>
    <t>20.11.2025</t>
  </si>
  <si>
    <t>26.11.2025</t>
  </si>
  <si>
    <t>30.11.2025</t>
  </si>
  <si>
    <t>04.12.2025</t>
  </si>
  <si>
    <t>05.12.2025</t>
  </si>
  <si>
    <t>28.11.2025</t>
  </si>
  <si>
    <t>03.12.2025</t>
  </si>
  <si>
    <t>01.12.2025</t>
  </si>
  <si>
    <t>07.12.2025</t>
  </si>
  <si>
    <t>15.12.2025</t>
  </si>
  <si>
    <t>12.12.2025</t>
  </si>
  <si>
    <t>06.12.2025</t>
  </si>
  <si>
    <t>11.12.2025</t>
  </si>
  <si>
    <t>16.12.2025</t>
  </si>
  <si>
    <t>19.12.2025</t>
  </si>
  <si>
    <t>17.12.2025</t>
  </si>
  <si>
    <t>Anita Devi</t>
  </si>
  <si>
    <t>14.12.2025</t>
  </si>
  <si>
    <t>06.01.2026</t>
  </si>
  <si>
    <t>Jan'26</t>
  </si>
  <si>
    <t>23.12.2025</t>
  </si>
  <si>
    <t>21.12.2025</t>
  </si>
  <si>
    <t>18.12.2025</t>
  </si>
  <si>
    <t>22.12.2025</t>
  </si>
  <si>
    <t>28.12.2025</t>
  </si>
  <si>
    <t>31.12.2025</t>
  </si>
  <si>
    <t>29.12.2025</t>
  </si>
  <si>
    <t>24.12.2025</t>
  </si>
  <si>
    <t>30.12.2025</t>
  </si>
  <si>
    <t>04.01.2026</t>
  </si>
  <si>
    <t>03.01.2026</t>
  </si>
  <si>
    <t>02.01.2026</t>
  </si>
  <si>
    <t>12.01.2026</t>
  </si>
  <si>
    <t>09.01.2026</t>
  </si>
  <si>
    <t>05.01.2026</t>
  </si>
  <si>
    <t>10.01.2026</t>
  </si>
  <si>
    <t>08.01.2026</t>
  </si>
  <si>
    <t>14.01.2026</t>
  </si>
  <si>
    <t>11.01.2026</t>
  </si>
  <si>
    <t>19.01.2026</t>
  </si>
  <si>
    <t>25.01.2026</t>
  </si>
  <si>
    <t>15.01.2026</t>
  </si>
  <si>
    <t>20.01.2026</t>
  </si>
  <si>
    <t>16.01.2026</t>
  </si>
  <si>
    <t>24.01.2026</t>
  </si>
  <si>
    <t>06.02.2026</t>
  </si>
  <si>
    <t>Feb'26</t>
  </si>
  <si>
    <t>Senaul Haque</t>
  </si>
  <si>
    <t>21.01.2026</t>
  </si>
  <si>
    <t>27.01.2026</t>
  </si>
  <si>
    <t>28.01.2026</t>
  </si>
  <si>
    <t>AP39/1 - 47/10</t>
  </si>
  <si>
    <t>Amit construction</t>
  </si>
  <si>
    <t>09.02.2026</t>
  </si>
  <si>
    <t>30.01.2026</t>
  </si>
  <si>
    <t>DEVI CONST.-2</t>
  </si>
  <si>
    <t>03.02.2026</t>
  </si>
  <si>
    <t>01.02.2026</t>
  </si>
  <si>
    <t>31.01.2026</t>
  </si>
  <si>
    <t>05.02.2026</t>
  </si>
  <si>
    <t>02.02.2026</t>
  </si>
  <si>
    <t>08.02.2026</t>
  </si>
  <si>
    <t>13.02.2026</t>
  </si>
  <si>
    <t>SONI KUMARI</t>
  </si>
  <si>
    <t>07.02.2026</t>
  </si>
  <si>
    <t>14.02.2026</t>
  </si>
  <si>
    <t>ARAVALI INFRA-2</t>
  </si>
  <si>
    <t>16.02.2026</t>
  </si>
  <si>
    <t>21.02.2026</t>
  </si>
  <si>
    <t>16.03.2026</t>
  </si>
  <si>
    <t>Mar'26</t>
  </si>
  <si>
    <t>JAWALA SINGH</t>
  </si>
  <si>
    <t>17.02.2026</t>
  </si>
  <si>
    <t>12.02.2026</t>
  </si>
  <si>
    <t>10.02.2026</t>
  </si>
  <si>
    <t>22.02.2026</t>
  </si>
  <si>
    <t>15.02.2026</t>
  </si>
  <si>
    <t>25.02.2026</t>
  </si>
  <si>
    <t>27.02.2026</t>
  </si>
  <si>
    <t>28.02.2026</t>
  </si>
  <si>
    <t>ARAVALI INFRA-1</t>
  </si>
  <si>
    <t>26.02.2026</t>
  </si>
  <si>
    <t>JAWALA SINGH-2</t>
  </si>
  <si>
    <t>19.02.2026</t>
  </si>
  <si>
    <t>18.02.2026</t>
  </si>
  <si>
    <t>23.02.2026</t>
  </si>
  <si>
    <t>09.03.2026</t>
  </si>
  <si>
    <t>12.03.2026</t>
  </si>
  <si>
    <t>01.03.2026</t>
  </si>
  <si>
    <t>15.03.2026</t>
  </si>
  <si>
    <t>03.03.2026</t>
  </si>
  <si>
    <t>10.03.2026</t>
  </si>
  <si>
    <t>19.03.2026</t>
  </si>
  <si>
    <t>02.04.2026</t>
  </si>
  <si>
    <t>Apr'26</t>
  </si>
  <si>
    <t>17.03.2026</t>
  </si>
  <si>
    <t>11.03.2026</t>
  </si>
  <si>
    <t>30.03.2026</t>
  </si>
  <si>
    <t>23.03.2026</t>
  </si>
  <si>
    <t>21.03.2026</t>
  </si>
  <si>
    <t>18.03.2026</t>
  </si>
  <si>
    <t>20.03.2026</t>
  </si>
  <si>
    <t>22.03.2026</t>
  </si>
  <si>
    <t>31.03.2026</t>
  </si>
  <si>
    <t>29.03.2026</t>
  </si>
  <si>
    <t>28.03.2026</t>
  </si>
  <si>
    <t>Splicenet construction</t>
  </si>
  <si>
    <t>24.03.2026</t>
  </si>
  <si>
    <t>ARAVALI INFRA-3</t>
  </si>
  <si>
    <t>25.03.2026</t>
  </si>
  <si>
    <t>01.04.2026</t>
  </si>
  <si>
    <t>26.03.2026</t>
  </si>
  <si>
    <t>04.04.2026</t>
  </si>
  <si>
    <t>Splicenet construction-II</t>
  </si>
  <si>
    <t>05.04.2026</t>
  </si>
  <si>
    <t>03.04.2026</t>
  </si>
  <si>
    <t>06.04.2026</t>
  </si>
  <si>
    <t>Splicenet construction-III</t>
  </si>
  <si>
    <t>Devi construction</t>
  </si>
  <si>
    <t>Aravali infra-2</t>
  </si>
  <si>
    <t>Jwala Singh</t>
  </si>
  <si>
    <t>Splicenet  Cons 1</t>
  </si>
  <si>
    <t>Peak u/p</t>
  </si>
  <si>
    <t>May'26</t>
  </si>
  <si>
    <t>Jwala singh -2</t>
  </si>
  <si>
    <t>2nd section u/p</t>
  </si>
  <si>
    <t>Tower Body Complete</t>
  </si>
  <si>
    <t>1st section complete</t>
  </si>
  <si>
    <t>1st section u/p</t>
  </si>
  <si>
    <t>ground assembly</t>
  </si>
  <si>
    <t>T&amp;P Shifting</t>
  </si>
  <si>
    <t xml:space="preserve">FOUNDATION-STATUS </t>
  </si>
  <si>
    <t>TOWER-TYPE</t>
  </si>
  <si>
    <t xml:space="preserve">CLASSIFICATION </t>
  </si>
  <si>
    <t>Man. P</t>
  </si>
  <si>
    <t>Work started month</t>
  </si>
  <si>
    <t>Completed month</t>
  </si>
  <si>
    <t xml:space="preserve">EARTHING </t>
  </si>
  <si>
    <t xml:space="preserve">TFR </t>
  </si>
  <si>
    <t>DFR</t>
  </si>
  <si>
    <t>JSC Enterprises</t>
  </si>
  <si>
    <t xml:space="preserve">DONE </t>
  </si>
  <si>
    <t>Afflux Construction</t>
  </si>
  <si>
    <t>WC</t>
  </si>
  <si>
    <t>Surya Group</t>
  </si>
  <si>
    <t>DA-1.5</t>
  </si>
  <si>
    <t>Urmila Bibi</t>
  </si>
  <si>
    <t>Shree Shyam Granite</t>
  </si>
  <si>
    <t>DA-3</t>
  </si>
  <si>
    <t>WFR</t>
  </si>
  <si>
    <t>Yatharth Construction</t>
  </si>
  <si>
    <t>GM Construction</t>
  </si>
  <si>
    <t>Jeenmata Infratech</t>
  </si>
  <si>
    <t>23/04/2025</t>
  </si>
  <si>
    <t>02/05/2025</t>
  </si>
  <si>
    <t>URMILA-BIBI</t>
  </si>
  <si>
    <t>28/04/2025</t>
  </si>
  <si>
    <t xml:space="preserve">GM Construction  </t>
  </si>
  <si>
    <t xml:space="preserve">SURYA-GROUP </t>
  </si>
  <si>
    <t>1/5/2025</t>
  </si>
  <si>
    <t>2/5/2025</t>
  </si>
  <si>
    <t>27/4/2025</t>
  </si>
  <si>
    <t xml:space="preserve">SREE SHAYAM GRANTE </t>
  </si>
  <si>
    <t>30/04/2025</t>
  </si>
  <si>
    <t xml:space="preserve">AFFLUX CONSTRUCTION </t>
  </si>
  <si>
    <t>YATHARTH-CONSTRUCTION</t>
  </si>
  <si>
    <t>14.05.2025</t>
  </si>
  <si>
    <t>19.05.2025</t>
  </si>
  <si>
    <t>15/05/2025</t>
  </si>
  <si>
    <t xml:space="preserve">DA(-)1.5 </t>
  </si>
  <si>
    <t>16/05/2025</t>
  </si>
  <si>
    <t>21/5/2025</t>
  </si>
  <si>
    <t>14/05/2025</t>
  </si>
  <si>
    <t>21/05/2025</t>
  </si>
  <si>
    <t>22.05.2025</t>
  </si>
  <si>
    <t>23/5/2025</t>
  </si>
  <si>
    <t>15.05.2025</t>
  </si>
  <si>
    <t>23.05.2025</t>
  </si>
  <si>
    <t>17.05.2025</t>
  </si>
  <si>
    <t>24.05.2025</t>
  </si>
  <si>
    <t xml:space="preserve">DA+1.5 </t>
  </si>
  <si>
    <t>20.05.2025</t>
  </si>
  <si>
    <t>25.05.2025</t>
  </si>
  <si>
    <t xml:space="preserve">DA+0 </t>
  </si>
  <si>
    <t xml:space="preserve">DA+3 </t>
  </si>
  <si>
    <t>27.05.2025</t>
  </si>
  <si>
    <t>26.05.2025</t>
  </si>
  <si>
    <t>30.05.2025</t>
  </si>
  <si>
    <t xml:space="preserve">DFR </t>
  </si>
  <si>
    <t>28.05.2024</t>
  </si>
  <si>
    <t>31.05.2025</t>
  </si>
  <si>
    <t>Shri Sai Brick Udyog</t>
  </si>
  <si>
    <t>01.06.2025</t>
  </si>
  <si>
    <t xml:space="preserve">GM Infratech </t>
  </si>
  <si>
    <t>SUBMITTED</t>
  </si>
  <si>
    <t>19/05/2025</t>
  </si>
  <si>
    <t>02.06.2025</t>
  </si>
  <si>
    <t>04.06.2025</t>
  </si>
  <si>
    <t>05.06.2025</t>
  </si>
  <si>
    <t xml:space="preserve">GM CONSTRUCTION </t>
  </si>
  <si>
    <t>07.06.2025</t>
  </si>
  <si>
    <t>Nov'25</t>
  </si>
  <si>
    <t xml:space="preserve">DA+6 </t>
  </si>
  <si>
    <t>03.06.2025</t>
  </si>
  <si>
    <t>14/06/2025</t>
  </si>
  <si>
    <t>16/06/2025</t>
  </si>
  <si>
    <t>17.06.2025</t>
  </si>
  <si>
    <t>08.06.2025</t>
  </si>
  <si>
    <t>18/6/2025</t>
  </si>
  <si>
    <t>09.06.2025</t>
  </si>
  <si>
    <t>21/06/2025</t>
  </si>
  <si>
    <t>19.06.2025</t>
  </si>
  <si>
    <t>NOT SUBMITTED</t>
  </si>
  <si>
    <t>27/06/2025</t>
  </si>
  <si>
    <t>30/06/2025</t>
  </si>
  <si>
    <t>14/07/2025</t>
  </si>
  <si>
    <t>30.06.2025</t>
  </si>
  <si>
    <t>11.07.2025</t>
  </si>
  <si>
    <t>01.07.2025</t>
  </si>
  <si>
    <t>16.07.2025</t>
  </si>
  <si>
    <t>22.07.2025</t>
  </si>
  <si>
    <t xml:space="preserve">DC2+0 </t>
  </si>
  <si>
    <t>19.08.2025</t>
  </si>
  <si>
    <t>02.08.2025</t>
  </si>
  <si>
    <t>12.08.2025</t>
  </si>
  <si>
    <t>SHAKHINA BIBI</t>
  </si>
  <si>
    <t>26.07.2025</t>
  </si>
  <si>
    <t>06.08.2025</t>
  </si>
  <si>
    <t xml:space="preserve">19.08.2025  </t>
  </si>
  <si>
    <t xml:space="preserve">SHREE KHATUSHAYAM CONST. </t>
  </si>
  <si>
    <t>11.08.2025</t>
  </si>
  <si>
    <t xml:space="preserve">18.08.2025 </t>
  </si>
  <si>
    <t>Shakhina Bibi</t>
  </si>
  <si>
    <t xml:space="preserve">DC1+0 </t>
  </si>
  <si>
    <t xml:space="preserve">WFR </t>
  </si>
  <si>
    <t>20.08.2025</t>
  </si>
  <si>
    <t xml:space="preserve">20.08.2025 </t>
  </si>
  <si>
    <t>22.09.2025</t>
  </si>
  <si>
    <t>25.08.2025</t>
  </si>
  <si>
    <t>Shri Balaji Contractor</t>
  </si>
  <si>
    <t>Durga construction</t>
  </si>
  <si>
    <t xml:space="preserve">MAUSAUDDIN SK </t>
  </si>
  <si>
    <t>09.10.2025</t>
  </si>
  <si>
    <t>15.10.2025</t>
  </si>
  <si>
    <t xml:space="preserve">23/10/2025 </t>
  </si>
  <si>
    <t>29.09.2205</t>
  </si>
  <si>
    <t>06.11.2025</t>
  </si>
  <si>
    <t>DS Construction</t>
  </si>
  <si>
    <t>05.11.2025</t>
  </si>
  <si>
    <t>Jay bhawani construction</t>
  </si>
  <si>
    <t>19.10.2025</t>
  </si>
  <si>
    <t>25.10.2025</t>
  </si>
  <si>
    <t>WET</t>
  </si>
  <si>
    <t>28.10.2025</t>
  </si>
  <si>
    <t>31.10.2025</t>
  </si>
  <si>
    <t>Hemraj yadav cont.</t>
  </si>
  <si>
    <t>24.07.2025</t>
  </si>
  <si>
    <t>29.10.2025</t>
  </si>
  <si>
    <t>06.09.2025</t>
  </si>
  <si>
    <t>30.10.2025</t>
  </si>
  <si>
    <t>15.11.2025</t>
  </si>
  <si>
    <t>19.11.2025</t>
  </si>
  <si>
    <t>Shree Mahakal const.</t>
  </si>
  <si>
    <t>18.11.2025</t>
  </si>
  <si>
    <t>Jai bhawani construction</t>
  </si>
  <si>
    <t>23.11.2025</t>
  </si>
  <si>
    <t>02.12.2025</t>
  </si>
  <si>
    <t>12.11.2025</t>
  </si>
  <si>
    <t>21.11.2025</t>
  </si>
  <si>
    <t>14.11.2025</t>
  </si>
  <si>
    <t>29.11.2025</t>
  </si>
  <si>
    <t>10.11.2025</t>
  </si>
  <si>
    <t>Shree ram construction</t>
  </si>
  <si>
    <t>17.11.2025</t>
  </si>
  <si>
    <t>13.12.2025</t>
  </si>
  <si>
    <t>27.12.2025</t>
  </si>
  <si>
    <t>MAUSAUDDIN SK -II</t>
  </si>
  <si>
    <t>20.12.2025</t>
  </si>
  <si>
    <t>10.12.2025</t>
  </si>
  <si>
    <t>Jai shree ram construction</t>
  </si>
  <si>
    <t>MAUSAUDDIN SK-I</t>
  </si>
  <si>
    <t>07.01.2025</t>
  </si>
  <si>
    <t>26.12.2025</t>
  </si>
  <si>
    <t>4.01.2026</t>
  </si>
  <si>
    <t>13.01.2026</t>
  </si>
  <si>
    <t>29.01.2026</t>
  </si>
  <si>
    <t>11.02.2026</t>
  </si>
  <si>
    <t>Hemraj yadav</t>
  </si>
  <si>
    <t>14.03.2026</t>
  </si>
  <si>
    <t>Khatu Shyam construction</t>
  </si>
  <si>
    <t>27.03.2026</t>
  </si>
  <si>
    <t>Block level complete</t>
  </si>
  <si>
    <t>Balaji Construction</t>
  </si>
  <si>
    <t>Musauddin Sk</t>
  </si>
  <si>
    <t>Pit-A&amp;D Frustum &amp; Stepbox-I,II Complete</t>
  </si>
  <si>
    <t>Pit-C Prop setting complete</t>
  </si>
  <si>
    <t>Excavation u/p</t>
  </si>
  <si>
    <t>Pit Marking</t>
  </si>
  <si>
    <t>Location No.</t>
  </si>
  <si>
    <t>Affected Towers/ Locations (Nos)</t>
  </si>
  <si>
    <t>Area of concern</t>
  </si>
  <si>
    <t>Name of Transmission Line/Section in between stations</t>
  </si>
  <si>
    <t>Authority</t>
  </si>
  <si>
    <t>Type</t>
  </si>
  <si>
    <t>Proposal Submission date</t>
  </si>
  <si>
    <t>Status as on date</t>
  </si>
  <si>
    <t>Place of follow up</t>
  </si>
  <si>
    <t>Expected date for Work Permission</t>
  </si>
  <si>
    <t xml:space="preserve">Responsibility  KEC </t>
  </si>
  <si>
    <t>Responsibility Power Grid</t>
  </si>
  <si>
    <t>i)</t>
  </si>
  <si>
    <t>11/0-12/0</t>
  </si>
  <si>
    <t>Power Line Crossing of Power Grid</t>
  </si>
  <si>
    <t xml:space="preserve">EXISTING 400 KV DC NEEMUCH-MANDSAUR TRANSMISSION LINE   </t>
  </si>
  <si>
    <t>Power Grid</t>
  </si>
  <si>
    <t>OH</t>
  </si>
  <si>
    <t xml:space="preserve"> Joint inspection Done date on- 04.06.25</t>
  </si>
  <si>
    <t>Power Grid Vadodara (RHQ), Neemuch Sub-station of Powergrid</t>
  </si>
  <si>
    <t>Approved On 21.07.2025</t>
  </si>
  <si>
    <t>Devesh</t>
  </si>
  <si>
    <t xml:space="preserve">Onkar singh Bharti(DGM) </t>
  </si>
  <si>
    <t>ii)</t>
  </si>
  <si>
    <t>25/0-26/0</t>
  </si>
  <si>
    <t>Power Line Crossing of MPPTCL</t>
  </si>
  <si>
    <t xml:space="preserve">220 KV DC MANDSAUR - NIPANIA TL </t>
  </si>
  <si>
    <t>22.05.2025 (Revised submission on 12.06 25)</t>
  </si>
  <si>
    <t>Joint inspection Done date on- 04.06.25</t>
  </si>
  <si>
    <t>Office of Chief Enginneer, MPPTCL, Jabalpur</t>
  </si>
  <si>
    <t>Approved On 18.08.2025</t>
  </si>
  <si>
    <t>iii)</t>
  </si>
  <si>
    <t>28/0-29/0</t>
  </si>
  <si>
    <t xml:space="preserve">220 KV DC SITAMAU-SUWASRA OHTL MPPTCL </t>
  </si>
  <si>
    <t>22.05.2025 (Revised submission on 12.06 25, 04.07.2025)</t>
  </si>
  <si>
    <t>iv)</t>
  </si>
  <si>
    <t>33/0-34/0</t>
  </si>
  <si>
    <t>132KV D/C SUWASARA - BADOD TL (Joint joint inspection Done)</t>
  </si>
  <si>
    <t>v)</t>
  </si>
  <si>
    <t>37/0-38/0</t>
  </si>
  <si>
    <t xml:space="preserve">220 KV OHTL DC BHANPUR-BAROD MPPTCL   </t>
  </si>
  <si>
    <t>vi)</t>
  </si>
  <si>
    <t>54/0-55/0</t>
  </si>
  <si>
    <t>220kV D/C Badod-Nalkheda T/Line</t>
  </si>
  <si>
    <t>Submission on 18.09.2025</t>
  </si>
  <si>
    <t>pending due to finalization of survey for avoiding forest in between section 52/0 - 58/0</t>
  </si>
  <si>
    <t>-</t>
  </si>
  <si>
    <t>vii)</t>
  </si>
  <si>
    <t>62/0-63/0</t>
  </si>
  <si>
    <t xml:space="preserve">132 KV DC  CKT-1 AGAR -SUSNER , CKT-2 AGAR - NALKHEDA OHTL </t>
  </si>
  <si>
    <t>Joint inspection Pending</t>
  </si>
  <si>
    <t>viii)</t>
  </si>
  <si>
    <t>42/0-43/0</t>
  </si>
  <si>
    <t>Power Line Crossing of RVPNL</t>
  </si>
  <si>
    <t xml:space="preserve">132 KV SC BHAWANI MANDI - DAG T/L (RRVPNL) </t>
  </si>
  <si>
    <t>Approved on 04.07.2025</t>
  </si>
  <si>
    <t>Office of Chief Enginneer, RVPNL, Jaipur</t>
  </si>
  <si>
    <t>ix)</t>
  </si>
  <si>
    <t>50/0-51/0</t>
  </si>
  <si>
    <t>Power Line Crossing of RTL</t>
  </si>
  <si>
    <t xml:space="preserve">220 KV S/C SUSNER - PACHORA T/L </t>
  </si>
  <si>
    <t>Office of Chief Enginneer, RTL, Bhopal</t>
  </si>
  <si>
    <t>NH - Crossing</t>
  </si>
  <si>
    <t>17/0-18/0</t>
  </si>
  <si>
    <t>NHAI</t>
  </si>
  <si>
    <t xml:space="preserve">NE-4 DELHI MUMBAI EXPRESSWAY </t>
  </si>
  <si>
    <t>Joint  inspection Pending</t>
  </si>
  <si>
    <t>Power Grid Suwasra/Mandsaur</t>
  </si>
  <si>
    <t>Approved on 07.11.2027</t>
  </si>
  <si>
    <t>35/0-36/0</t>
  </si>
  <si>
    <t xml:space="preserve">NATIONAL HIGHWAY-752D </t>
  </si>
  <si>
    <t>joint inspection Done on 22-07-2025</t>
  </si>
  <si>
    <t>60/0-61/0</t>
  </si>
  <si>
    <t xml:space="preserve">NATIONAL HIGHWAY-552G  </t>
  </si>
  <si>
    <t>Railway Crossing</t>
  </si>
  <si>
    <t>31/0-32/0</t>
  </si>
  <si>
    <t>Indian Railway Kota Division</t>
  </si>
  <si>
    <t xml:space="preserve">Between Suwasra &amp; Nathukheri Railway station BG </t>
  </si>
  <si>
    <t>17.06.2025(Revised submission on 30.06 25)</t>
  </si>
  <si>
    <t>Joint inspection Done date on- 27.06.2025 revised inspection date pending</t>
  </si>
  <si>
    <t>Approved on 10.12.2025</t>
  </si>
  <si>
    <t>Total</t>
  </si>
  <si>
    <t>LOC NO.</t>
  </si>
  <si>
    <t>TYPE OF TOWER</t>
  </si>
  <si>
    <t>TODAY'S PLAN</t>
  </si>
  <si>
    <t>TODAY'S PROGRESS</t>
  </si>
  <si>
    <t>TOMMOROW'S PLAN</t>
  </si>
  <si>
    <t>START DATE</t>
  </si>
  <si>
    <t>COMPLETION DATE</t>
  </si>
  <si>
    <t>GANG</t>
  </si>
  <si>
    <t>13.05.2025</t>
  </si>
  <si>
    <t xml:space="preserve">JSC CONST. </t>
  </si>
  <si>
    <t>YATHATHART</t>
  </si>
  <si>
    <t>GM CONST.</t>
  </si>
  <si>
    <t>16.05.2025</t>
  </si>
  <si>
    <t xml:space="preserve">19.05.2025 </t>
  </si>
  <si>
    <t>13.06.2025</t>
  </si>
  <si>
    <t xml:space="preserve">SREE SAI BRICKS </t>
  </si>
  <si>
    <t>20.06.2025</t>
  </si>
  <si>
    <t>10.07.2025</t>
  </si>
  <si>
    <t>15.07.2025</t>
  </si>
  <si>
    <t>17.07.2025</t>
  </si>
  <si>
    <t xml:space="preserve">13/08/2025 </t>
  </si>
  <si>
    <t xml:space="preserve">Shakhina Bibi </t>
  </si>
  <si>
    <t>16/08/2025</t>
  </si>
  <si>
    <t>'DA+0</t>
  </si>
  <si>
    <t>'DA+3</t>
  </si>
  <si>
    <t>'DB2+0</t>
  </si>
  <si>
    <t>DA+1</t>
  </si>
  <si>
    <t xml:space="preserve">Project Code - </t>
  </si>
  <si>
    <t>TA-509</t>
  </si>
  <si>
    <r>
      <rPr>
        <rFont val="Calibri"/>
        <b/>
        <i/>
        <sz val="11.0"/>
      </rPr>
      <t xml:space="preserve">Head </t>
    </r>
    <r>
      <rPr>
        <rFont val="Calibri"/>
        <b/>
        <i/>
        <color rgb="FF1F497D"/>
        <sz val="11.0"/>
      </rPr>
      <t xml:space="preserve">- </t>
    </r>
    <r>
      <rPr>
        <rFont val="Calibri"/>
        <b/>
        <i/>
        <color rgb="FF4E515E"/>
        <sz val="11.0"/>
      </rPr>
      <t>T&amp;D</t>
    </r>
  </si>
  <si>
    <t>Rajinder Gupta</t>
  </si>
  <si>
    <t>Head T&amp;D-Central</t>
  </si>
  <si>
    <t>Nabajit Baruah</t>
  </si>
  <si>
    <t>Shortcut for previous of Full description</t>
  </si>
  <si>
    <t xml:space="preserve">Client Name- </t>
  </si>
  <si>
    <t>PGCIL</t>
  </si>
  <si>
    <t>Project Manager</t>
  </si>
  <si>
    <t>Prithviraj Dutta Choudhury</t>
  </si>
  <si>
    <t>Planning Engineer</t>
  </si>
  <si>
    <t>Shuvayu Das</t>
  </si>
  <si>
    <t>Link for go through</t>
  </si>
  <si>
    <t>Project Name-</t>
  </si>
  <si>
    <t>765KV D/C Mandsaur-Kurawar TL line</t>
  </si>
  <si>
    <t>Effective Date</t>
  </si>
  <si>
    <t>26/11/24</t>
  </si>
  <si>
    <t>End Date</t>
  </si>
  <si>
    <t>25/10/26</t>
  </si>
  <si>
    <t>LOA Value</t>
  </si>
  <si>
    <t xml:space="preserve">Rs 474. Cr 
</t>
  </si>
  <si>
    <t>'X-ing Status'!A1</t>
  </si>
  <si>
    <t>Sr. No.</t>
  </si>
  <si>
    <t>As per L2 (till May'26)</t>
  </si>
  <si>
    <t>Cumm. Progress up to last Month</t>
  </si>
  <si>
    <t>Opening Balance (L2)</t>
  </si>
  <si>
    <t>Plan for this Month</t>
  </si>
  <si>
    <t>Today Progress</t>
  </si>
  <si>
    <t>MTD (Loc)</t>
  </si>
  <si>
    <t>WIP (Loc)</t>
  </si>
  <si>
    <t>Cumulative Progress</t>
  </si>
  <si>
    <t>Gangs at present</t>
  </si>
  <si>
    <t>Support Required</t>
  </si>
  <si>
    <t>% Completion</t>
  </si>
  <si>
    <t>'L2 Schedule'!A1</t>
  </si>
  <si>
    <t>Check Survey 
(Kms)</t>
  </si>
  <si>
    <t>'Hindrance Register (Row)'!A1</t>
  </si>
  <si>
    <t xml:space="preserve">Foundation 
(Nos.) </t>
  </si>
  <si>
    <r>
      <rPr>
        <rFont val="Calibri"/>
        <b/>
        <i/>
        <sz val="11.0"/>
      </rPr>
      <t xml:space="preserve">WIP- </t>
    </r>
    <r>
      <rPr>
        <rFont val="Calibri"/>
        <i/>
        <sz val="11.0"/>
      </rPr>
      <t xml:space="preserve">2/0, 3/2, 47/0, 47/5, 47/10 51/0, 63/0
</t>
    </r>
    <r>
      <rPr>
        <rFont val="Calibri"/>
        <b/>
        <i/>
        <sz val="11.0"/>
      </rPr>
      <t>Today Completed -</t>
    </r>
    <r>
      <rPr>
        <rFont val="Calibri"/>
        <i/>
        <sz val="11.0"/>
      </rPr>
      <t xml:space="preserve"> </t>
    </r>
  </si>
  <si>
    <t>ROW- 37/10, 61/1, 59/1, 47/0, 41/6, 61/0, 60/0, 65/6</t>
  </si>
  <si>
    <t>Survey!A1</t>
  </si>
  <si>
    <t>Earthing 
(Nos.)</t>
  </si>
  <si>
    <r>
      <rPr>
        <rFont val="Calibri"/>
        <b/>
        <i/>
        <sz val="11.0"/>
      </rPr>
      <t xml:space="preserve">WIP- </t>
    </r>
    <r>
      <rPr>
        <rFont val="Calibri"/>
        <i/>
        <sz val="11.0"/>
      </rPr>
      <t xml:space="preserve">
</t>
    </r>
    <r>
      <rPr>
        <rFont val="Calibri"/>
        <b/>
        <i/>
        <sz val="11.0"/>
      </rPr>
      <t>Today Completed -</t>
    </r>
    <r>
      <rPr>
        <rFont val="Calibri"/>
        <i/>
        <sz val="11.0"/>
      </rPr>
      <t xml:space="preserve"> 4/0</t>
    </r>
  </si>
  <si>
    <t>Foundation!A1</t>
  </si>
  <si>
    <t>Tower Erection (Nos)</t>
  </si>
  <si>
    <r>
      <rPr>
        <rFont val="Calibri"/>
        <b/>
        <i/>
        <sz val="11.0"/>
      </rPr>
      <t xml:space="preserve">WIP- </t>
    </r>
    <r>
      <rPr>
        <rFont val="Calibri"/>
        <i/>
        <sz val="11.0"/>
      </rPr>
      <t xml:space="preserve">23/1, 28/0, 41/0, 41/3, 46A/2, 48/1, 49/2, 67/1
</t>
    </r>
    <r>
      <rPr>
        <rFont val="Calibri"/>
        <b/>
        <i/>
        <sz val="11.0"/>
      </rPr>
      <t>Today Completed -</t>
    </r>
    <r>
      <rPr>
        <rFont val="Calibri"/>
        <i/>
        <sz val="11.0"/>
      </rPr>
      <t xml:space="preserve"> 34/2</t>
    </r>
  </si>
  <si>
    <t>Earthing!A1</t>
  </si>
  <si>
    <t>Tack Welding (Nos)</t>
  </si>
  <si>
    <r>
      <rPr>
        <rFont val="Calibri"/>
        <b/>
        <i/>
        <sz val="11.0"/>
      </rPr>
      <t xml:space="preserve">WIP- </t>
    </r>
    <r>
      <rPr>
        <rFont val="Calibri"/>
        <i/>
        <sz val="11.0"/>
      </rPr>
      <t xml:space="preserve">
</t>
    </r>
    <r>
      <rPr>
        <rFont val="Calibri"/>
        <b/>
        <i/>
        <sz val="11.0"/>
      </rPr>
      <t>Today Completed -</t>
    </r>
    <r>
      <rPr>
        <rFont val="Calibri"/>
        <i/>
        <sz val="11.0"/>
      </rPr>
      <t xml:space="preserve"> </t>
    </r>
  </si>
  <si>
    <t>Erection!A1</t>
  </si>
  <si>
    <t>Paying Out 
(Kms)</t>
  </si>
  <si>
    <r>
      <rPr>
        <rFont val="Calibri"/>
        <b/>
        <i/>
        <sz val="11.0"/>
      </rPr>
      <t xml:space="preserve">WIP- </t>
    </r>
    <r>
      <rPr>
        <rFont val="Calibri"/>
        <i/>
        <sz val="11.0"/>
      </rPr>
      <t xml:space="preserve">
</t>
    </r>
    <r>
      <rPr>
        <rFont val="Calibri"/>
        <b/>
        <i/>
        <sz val="11.0"/>
      </rPr>
      <t>Today Completed -</t>
    </r>
    <r>
      <rPr>
        <rFont val="Calibri"/>
        <i/>
        <sz val="11.0"/>
      </rPr>
      <t xml:space="preserve"> </t>
    </r>
  </si>
  <si>
    <t>Tackwelding!A1</t>
  </si>
  <si>
    <t>Final Sag 
(Kms)</t>
  </si>
  <si>
    <r>
      <rPr>
        <rFont val="Calibri"/>
        <b/>
        <i/>
        <sz val="11.0"/>
      </rPr>
      <t xml:space="preserve">WIP- </t>
    </r>
    <r>
      <rPr>
        <rFont val="Calibri"/>
        <i/>
        <sz val="11.0"/>
      </rPr>
      <t xml:space="preserve">
</t>
    </r>
    <r>
      <rPr>
        <rFont val="Calibri"/>
        <b/>
        <i/>
        <sz val="11.0"/>
      </rPr>
      <t>Today Completed -</t>
    </r>
    <r>
      <rPr>
        <rFont val="Calibri"/>
        <i/>
        <sz val="11.0"/>
      </rPr>
      <t xml:space="preserve"> </t>
    </r>
  </si>
  <si>
    <t>Stringing!A1</t>
  </si>
  <si>
    <t>OPGW 
(Kms)</t>
  </si>
  <si>
    <r>
      <rPr>
        <rFont val="Calibri"/>
        <b/>
        <i/>
        <sz val="11.0"/>
      </rPr>
      <t>WIP-</t>
    </r>
    <r>
      <rPr>
        <rFont val="Calibri"/>
        <i/>
        <sz val="11.0"/>
      </rPr>
      <t xml:space="preserve">
</t>
    </r>
    <r>
      <rPr>
        <rFont val="Calibri"/>
        <b/>
        <i/>
        <sz val="11.0"/>
      </rPr>
      <t>Today Completed -</t>
    </r>
    <r>
      <rPr>
        <rFont val="Calibri"/>
        <i/>
        <sz val="11.0"/>
      </rPr>
      <t xml:space="preserve"> </t>
    </r>
  </si>
  <si>
    <t>'Stringing associated works'!A1</t>
  </si>
  <si>
    <t>OPGW!A1</t>
  </si>
  <si>
    <t>Workfront Status</t>
  </si>
  <si>
    <t>'Visual chart'!A1</t>
  </si>
  <si>
    <t>'Page Chart'!A1</t>
  </si>
  <si>
    <t>A. Foundation</t>
  </si>
  <si>
    <t>'Benching F'!A1</t>
  </si>
  <si>
    <t>Balance on 1st of this month</t>
  </si>
  <si>
    <t>Progress MTD</t>
  </si>
  <si>
    <t>WIP</t>
  </si>
  <si>
    <t>Clear/Yet to attempt</t>
  </si>
  <si>
    <t>B. Erection</t>
  </si>
  <si>
    <t>Linked With Fnd</t>
  </si>
  <si>
    <t>C. Stringing</t>
  </si>
  <si>
    <t>STR P/Out Bal. on starting of this month</t>
  </si>
  <si>
    <t>Readiness awaited due to Erec.</t>
  </si>
  <si>
    <t>Readiness awaited due to Tower Inspection</t>
  </si>
  <si>
    <t>FDN (WIP)</t>
  </si>
  <si>
    <t>Pit A</t>
  </si>
  <si>
    <t>Pit B</t>
  </si>
  <si>
    <t>Pit C</t>
  </si>
  <si>
    <t>Pit D</t>
  </si>
  <si>
    <t>Gang name</t>
  </si>
  <si>
    <t>Gang man power</t>
  </si>
  <si>
    <t>Gang leader contact</t>
  </si>
  <si>
    <t>Start date</t>
  </si>
  <si>
    <t>Target Finish Date</t>
  </si>
  <si>
    <t>Frustum &amp; Step box 1, Step Box 2 completed</t>
  </si>
  <si>
    <t>Chimney completed</t>
  </si>
  <si>
    <t>Steel binding</t>
  </si>
  <si>
    <t>Excavation</t>
  </si>
  <si>
    <t>51/0 </t>
  </si>
  <si>
    <t>Balaji Cons.</t>
  </si>
  <si>
    <t>Erection (WIP)</t>
  </si>
  <si>
    <t>MT</t>
  </si>
  <si>
    <t>Status</t>
  </si>
  <si>
    <t>Gange name</t>
  </si>
  <si>
    <t>Completed today (MT)</t>
  </si>
  <si>
    <t>Completed So far (MT)</t>
  </si>
  <si>
    <t>Erection completed</t>
  </si>
  <si>
    <t>Next loc - 24/3</t>
  </si>
  <si>
    <t>Cage 1 WIP</t>
  </si>
  <si>
    <t>Line Name:</t>
  </si>
  <si>
    <t>765KV D/C Mandsaur- Kurawar Transmission Line</t>
  </si>
  <si>
    <t>Package:</t>
  </si>
  <si>
    <t>Agency:</t>
  </si>
  <si>
    <t>M/s KEC International Limited</t>
  </si>
  <si>
    <t>Status as on:</t>
  </si>
  <si>
    <t>Supply Status</t>
  </si>
  <si>
    <t>Item Name</t>
  </si>
  <si>
    <t>Supplier Name</t>
  </si>
  <si>
    <t>UPTO  Dec-25 
L2 Schedule</t>
  </si>
  <si>
    <t>Supplied Qty</t>
  </si>
  <si>
    <t>Supply In progress</t>
  </si>
  <si>
    <t>Balance supply</t>
  </si>
  <si>
    <t>Stub</t>
  </si>
  <si>
    <t>KEC Int'l Ltd.</t>
  </si>
  <si>
    <t>Tower</t>
  </si>
  <si>
    <t>Conductor</t>
  </si>
  <si>
    <t>Sterlite</t>
  </si>
  <si>
    <t>Conductor Qty in KM</t>
  </si>
  <si>
    <t>H/W fittings</t>
  </si>
  <si>
    <t>Mosdorfer</t>
  </si>
  <si>
    <t>H/W Fitting Qty in Sets</t>
  </si>
  <si>
    <t>Insulator</t>
  </si>
  <si>
    <t>Aditya Birla</t>
  </si>
  <si>
    <t>Insulator Qty in Nos</t>
  </si>
  <si>
    <t>160KN=5536</t>
  </si>
  <si>
    <t>210KN=7296</t>
  </si>
  <si>
    <t>E/W</t>
  </si>
  <si>
    <t>GK Wires</t>
  </si>
  <si>
    <t>E/W Qty in KM.</t>
  </si>
  <si>
    <t>Nirmal Wire Pvt. Ltd.</t>
  </si>
  <si>
    <t>OPGW Qty in KM.</t>
  </si>
  <si>
    <t xml:space="preserve">  CLIENT :- POWER GRID CORPORATION OF INDIA LIMITED</t>
  </si>
  <si>
    <t xml:space="preserve">NAME OF PROJECT :- 765 KV D/C Mandsaur - Kurawar (Part 1) Transmission Line 
 </t>
  </si>
  <si>
    <t xml:space="preserve"> M/s. KEC INTERNATIONAL LIMITED</t>
  </si>
  <si>
    <t xml:space="preserve"> TOWER SCHEDULE SECTION:-  GANTRY TO AP 68  LENGTH:- 118.386 KM</t>
  </si>
  <si>
    <t>KEC/TA509/MKTL/CS/AS ON Dt-06.03.2026</t>
  </si>
  <si>
    <t>Sl.No</t>
  </si>
  <si>
    <t>AP NO.</t>
  </si>
  <si>
    <t>TOWER NO.</t>
  </si>
  <si>
    <t>DEVIATION ANGLE (Deg)</t>
  </si>
  <si>
    <t>SPAN
(Mtr)</t>
  </si>
  <si>
    <t>Section Length (m)</t>
  </si>
  <si>
    <t>CUMULATIVE SPAN</t>
  </si>
  <si>
    <t>R.L (Mtr)</t>
  </si>
  <si>
    <t>HT of Tower (Mtr)</t>
  </si>
  <si>
    <t>Sum of Adjacent Spans</t>
  </si>
  <si>
    <t>WIND SPAN (Mtr)</t>
  </si>
  <si>
    <t>WEIGHT SPAN IN  Mtr (Cold)</t>
  </si>
  <si>
    <t>WEIGHT SPAN IN Mtr (Hot)</t>
  </si>
  <si>
    <t>Spherical Coordinate</t>
  </si>
  <si>
    <t>UTM Coordinates</t>
  </si>
  <si>
    <t>CROSSING DETAILS</t>
  </si>
  <si>
    <t>NAME OF VILLAGE</t>
  </si>
  <si>
    <t>NAME OF TEHSIL</t>
  </si>
  <si>
    <t>NAME OF STATAT</t>
  </si>
  <si>
    <t>LEG EXTENSION</t>
  </si>
  <si>
    <t>Left</t>
  </si>
  <si>
    <t>Right</t>
  </si>
  <si>
    <t>Longitude   (Easting)</t>
  </si>
  <si>
    <t>Latitude     (Northing)</t>
  </si>
  <si>
    <t xml:space="preserve"> Easting</t>
  </si>
  <si>
    <t xml:space="preserve"> Northing</t>
  </si>
  <si>
    <t>A</t>
  </si>
  <si>
    <t>B</t>
  </si>
  <si>
    <t>C</t>
  </si>
  <si>
    <t>D</t>
  </si>
  <si>
    <t/>
  </si>
  <si>
    <t>Mandsur Gantry</t>
  </si>
  <si>
    <t>Gantry</t>
  </si>
  <si>
    <r>
      <rPr>
        <rFont val="Tahoma"/>
        <b/>
        <sz val="11.0"/>
      </rPr>
      <t>75</t>
    </r>
    <r>
      <rPr>
        <rFont val="Calibri"/>
        <b/>
        <sz val="11.0"/>
        <vertAlign val="superscript"/>
      </rPr>
      <t>°</t>
    </r>
    <r>
      <rPr>
        <rFont val="Tahoma"/>
        <b/>
        <sz val="11.0"/>
      </rPr>
      <t>10'24.829"E</t>
    </r>
  </si>
  <si>
    <r>
      <rPr>
        <rFont val="Tahoma"/>
        <b/>
        <sz val="11.0"/>
      </rPr>
      <t>24</t>
    </r>
    <r>
      <rPr>
        <rFont val="Calibri"/>
        <b/>
        <sz val="11.0"/>
      </rPr>
      <t>°</t>
    </r>
    <r>
      <rPr>
        <rFont val="Tahoma"/>
        <b/>
        <sz val="11.0"/>
      </rPr>
      <t>12'17.524"N</t>
    </r>
  </si>
  <si>
    <t>BOUNDARY WALL</t>
  </si>
  <si>
    <t>AP1/0</t>
  </si>
  <si>
    <t xml:space="preserve"> 7° 41' 29"LT</t>
  </si>
  <si>
    <r>
      <rPr>
        <rFont val="Tahoma"/>
        <b/>
        <sz val="11.0"/>
      </rPr>
      <t>75</t>
    </r>
    <r>
      <rPr>
        <rFont val="Calibri"/>
        <b/>
        <sz val="11.0"/>
      </rPr>
      <t>°</t>
    </r>
    <r>
      <rPr>
        <rFont val="Tahoma"/>
        <b/>
        <sz val="11.0"/>
      </rPr>
      <t>10'21.828"E</t>
    </r>
  </si>
  <si>
    <r>
      <rPr>
        <rFont val="Tahoma"/>
        <b/>
        <sz val="11.0"/>
      </rPr>
      <t>24</t>
    </r>
    <r>
      <rPr>
        <rFont val="Calibri"/>
        <b/>
        <sz val="11.0"/>
      </rPr>
      <t>°</t>
    </r>
    <r>
      <rPr>
        <rFont val="Tahoma"/>
        <b/>
        <sz val="11.0"/>
      </rPr>
      <t>12'15.345"N</t>
    </r>
  </si>
  <si>
    <t>Tower cast at 0deg w.r.t. Gantry</t>
  </si>
  <si>
    <t>Talabpipalya</t>
  </si>
  <si>
    <t>Malhargarh</t>
  </si>
  <si>
    <t>AP2/0</t>
  </si>
  <si>
    <t xml:space="preserve"> 58° 40' 0"LT</t>
  </si>
  <si>
    <r>
      <rPr>
        <rFont val="Tahoma"/>
        <b/>
        <sz val="11.0"/>
      </rPr>
      <t>75</t>
    </r>
    <r>
      <rPr>
        <rFont val="Calibri"/>
        <b/>
        <sz val="11.0"/>
      </rPr>
      <t>°</t>
    </r>
    <r>
      <rPr>
        <rFont val="Tahoma"/>
        <b/>
        <sz val="11.0"/>
      </rPr>
      <t>10'18.175"E</t>
    </r>
  </si>
  <si>
    <r>
      <rPr>
        <rFont val="Tahoma"/>
        <b/>
        <sz val="11.0"/>
      </rPr>
      <t>24</t>
    </r>
    <r>
      <rPr>
        <rFont val="Calibri"/>
        <b/>
        <sz val="11.0"/>
      </rPr>
      <t>°</t>
    </r>
    <r>
      <rPr>
        <rFont val="Tahoma"/>
        <b/>
        <sz val="11.0"/>
      </rPr>
      <t>12'11.87"N</t>
    </r>
  </si>
  <si>
    <t>NALA/LT LINE</t>
  </si>
  <si>
    <t>AP3/0</t>
  </si>
  <si>
    <t xml:space="preserve"> 42° 45' 44"LT</t>
  </si>
  <si>
    <r>
      <rPr>
        <rFont val="Tahoma"/>
        <b/>
        <sz val="11.0"/>
      </rPr>
      <t>75</t>
    </r>
    <r>
      <rPr>
        <rFont val="Calibri"/>
        <b/>
        <sz val="11.0"/>
      </rPr>
      <t>°</t>
    </r>
    <r>
      <rPr>
        <rFont val="Tahoma"/>
        <b/>
        <sz val="11.0"/>
      </rPr>
      <t>10'21.856"E</t>
    </r>
  </si>
  <si>
    <r>
      <rPr>
        <rFont val="Tahoma"/>
        <b/>
        <sz val="11.0"/>
      </rPr>
      <t>24</t>
    </r>
    <r>
      <rPr>
        <rFont val="Calibri"/>
        <b/>
        <sz val="11.0"/>
      </rPr>
      <t>°</t>
    </r>
    <r>
      <rPr>
        <rFont val="Tahoma"/>
        <b/>
        <sz val="11.0"/>
      </rPr>
      <t>11'59.012"N</t>
    </r>
  </si>
  <si>
    <t>ROAD/WELL</t>
  </si>
  <si>
    <r>
      <rPr>
        <rFont val="Tahoma"/>
        <b/>
        <sz val="11.0"/>
      </rPr>
      <t>75</t>
    </r>
    <r>
      <rPr>
        <rFont val="Calibri"/>
        <b/>
        <sz val="11.0"/>
      </rPr>
      <t>°</t>
    </r>
    <r>
      <rPr>
        <rFont val="Tahoma"/>
        <b/>
        <sz val="11.0"/>
      </rPr>
      <t>10'33.214"E</t>
    </r>
  </si>
  <si>
    <r>
      <rPr>
        <rFont val="Tahoma"/>
        <b/>
        <sz val="11.0"/>
      </rPr>
      <t>24</t>
    </r>
    <r>
      <rPr>
        <rFont val="Calibri"/>
        <b/>
        <sz val="11.0"/>
      </rPr>
      <t>°</t>
    </r>
    <r>
      <rPr>
        <rFont val="Tahoma"/>
        <b/>
        <sz val="11.0"/>
      </rPr>
      <t>11'52.369"N</t>
    </r>
  </si>
  <si>
    <t>LT/CT, WELL/NALA</t>
  </si>
  <si>
    <r>
      <rPr>
        <rFont val="Tahoma"/>
        <b/>
        <sz val="11.0"/>
      </rPr>
      <t>75</t>
    </r>
    <r>
      <rPr>
        <rFont val="Calibri"/>
        <b/>
        <sz val="11.0"/>
      </rPr>
      <t>°</t>
    </r>
    <r>
      <rPr>
        <rFont val="Tahoma"/>
        <b/>
        <sz val="11.0"/>
      </rPr>
      <t>10'45.827"E</t>
    </r>
  </si>
  <si>
    <r>
      <rPr>
        <rFont val="Tahoma"/>
        <b/>
        <sz val="11.0"/>
      </rPr>
      <t>24</t>
    </r>
    <r>
      <rPr>
        <rFont val="Calibri"/>
        <b/>
        <sz val="11.0"/>
      </rPr>
      <t>°</t>
    </r>
    <r>
      <rPr>
        <rFont val="Tahoma"/>
        <b/>
        <sz val="11.0"/>
      </rPr>
      <t>11'44.992"N</t>
    </r>
  </si>
  <si>
    <t>LT LINE, LT T POINT, WELL, CT, NALA/11KV LINE/ LT/CT/ WELL/ SAMADHI</t>
  </si>
  <si>
    <t>AP4/0</t>
  </si>
  <si>
    <t xml:space="preserve"> 19° 8' 15"LT</t>
  </si>
  <si>
    <r>
      <rPr>
        <rFont val="Tahoma"/>
        <b/>
        <sz val="11.0"/>
      </rPr>
      <t>75</t>
    </r>
    <r>
      <rPr>
        <rFont val="Calibri"/>
        <b/>
        <sz val="11.0"/>
      </rPr>
      <t>°</t>
    </r>
    <r>
      <rPr>
        <rFont val="Tahoma"/>
        <b/>
        <sz val="11.0"/>
      </rPr>
      <t>10'58.032"E</t>
    </r>
  </si>
  <si>
    <r>
      <rPr>
        <rFont val="Tahoma"/>
        <b/>
        <sz val="11.0"/>
      </rPr>
      <t>24</t>
    </r>
    <r>
      <rPr>
        <rFont val="Calibri"/>
        <b/>
        <sz val="11.0"/>
      </rPr>
      <t>°</t>
    </r>
    <r>
      <rPr>
        <rFont val="Tahoma"/>
        <b/>
        <sz val="11.0"/>
      </rPr>
      <t>11'37.853"N</t>
    </r>
  </si>
  <si>
    <t>Kachariya</t>
  </si>
  <si>
    <t>NALA, POND, WELL</t>
  </si>
  <si>
    <r>
      <rPr>
        <rFont val="Tahoma"/>
        <b/>
        <sz val="11.0"/>
      </rPr>
      <t>75</t>
    </r>
    <r>
      <rPr>
        <rFont val="Calibri"/>
        <b/>
        <sz val="11.0"/>
      </rPr>
      <t>°</t>
    </r>
    <r>
      <rPr>
        <rFont val="Tahoma"/>
        <b/>
        <sz val="11.0"/>
      </rPr>
      <t>11'12.496"E</t>
    </r>
  </si>
  <si>
    <r>
      <rPr>
        <rFont val="Tahoma"/>
        <b/>
        <sz val="11.0"/>
      </rPr>
      <t>24</t>
    </r>
    <r>
      <rPr>
        <rFont val="Calibri"/>
        <b/>
        <sz val="11.0"/>
      </rPr>
      <t>°</t>
    </r>
    <r>
      <rPr>
        <rFont val="Tahoma"/>
        <b/>
        <sz val="11.0"/>
      </rPr>
      <t>11'34.694"N</t>
    </r>
  </si>
  <si>
    <t>Benching / Raised Chimney Expected</t>
  </si>
  <si>
    <t>CT</t>
  </si>
  <si>
    <r>
      <rPr>
        <rFont val="Tahoma"/>
        <b/>
        <sz val="11.0"/>
      </rPr>
      <t>75</t>
    </r>
    <r>
      <rPr>
        <rFont val="Calibri"/>
        <b/>
        <sz val="11.0"/>
      </rPr>
      <t>°</t>
    </r>
    <r>
      <rPr>
        <rFont val="Tahoma"/>
        <b/>
        <sz val="11.0"/>
      </rPr>
      <t>11'25.634"E</t>
    </r>
  </si>
  <si>
    <r>
      <rPr>
        <rFont val="Tahoma"/>
        <b/>
        <sz val="11.0"/>
      </rPr>
      <t>24</t>
    </r>
    <r>
      <rPr>
        <rFont val="Calibri"/>
        <b/>
        <sz val="11.0"/>
      </rPr>
      <t>°</t>
    </r>
    <r>
      <rPr>
        <rFont val="Tahoma"/>
        <b/>
        <sz val="11.0"/>
      </rPr>
      <t>11'31.825"N</t>
    </r>
  </si>
  <si>
    <r>
      <rPr>
        <rFont val="Tahoma"/>
        <b/>
        <sz val="11.0"/>
      </rPr>
      <t>75</t>
    </r>
    <r>
      <rPr>
        <rFont val="Calibri"/>
        <b/>
        <sz val="11.0"/>
      </rPr>
      <t>°</t>
    </r>
    <r>
      <rPr>
        <rFont val="Tahoma"/>
        <b/>
        <sz val="11.0"/>
      </rPr>
      <t>11'40.014"E</t>
    </r>
  </si>
  <si>
    <r>
      <rPr>
        <rFont val="Tahoma"/>
        <b/>
        <sz val="11.0"/>
      </rPr>
      <t>24</t>
    </r>
    <r>
      <rPr>
        <rFont val="Calibri"/>
        <b/>
        <sz val="11.0"/>
      </rPr>
      <t>°</t>
    </r>
    <r>
      <rPr>
        <rFont val="Tahoma"/>
        <b/>
        <sz val="11.0"/>
      </rPr>
      <t>11'28.684"N</t>
    </r>
  </si>
  <si>
    <t>Sohangara</t>
  </si>
  <si>
    <t>METAL ROAD, CT, 11KV, LT</t>
  </si>
  <si>
    <r>
      <rPr>
        <rFont val="Tahoma"/>
        <b/>
        <sz val="11.0"/>
      </rPr>
      <t>75</t>
    </r>
    <r>
      <rPr>
        <rFont val="Calibri"/>
        <b/>
        <sz val="11.0"/>
      </rPr>
      <t>°</t>
    </r>
    <r>
      <rPr>
        <rFont val="Tahoma"/>
        <b/>
        <sz val="11.0"/>
      </rPr>
      <t>11'54.393"E</t>
    </r>
  </si>
  <si>
    <r>
      <rPr>
        <rFont val="Tahoma"/>
        <b/>
        <sz val="11.0"/>
      </rPr>
      <t>24</t>
    </r>
    <r>
      <rPr>
        <rFont val="Calibri"/>
        <b/>
        <sz val="11.0"/>
      </rPr>
      <t>°</t>
    </r>
    <r>
      <rPr>
        <rFont val="Tahoma"/>
        <b/>
        <sz val="11.0"/>
      </rPr>
      <t>11'25.543"N</t>
    </r>
  </si>
  <si>
    <t>WELL, LT</t>
  </si>
  <si>
    <r>
      <rPr>
        <rFont val="Tahoma"/>
        <b/>
        <sz val="11.0"/>
      </rPr>
      <t>75</t>
    </r>
    <r>
      <rPr>
        <rFont val="Calibri"/>
        <b/>
        <sz val="11.0"/>
      </rPr>
      <t>°</t>
    </r>
    <r>
      <rPr>
        <rFont val="Tahoma"/>
        <b/>
        <sz val="11.0"/>
      </rPr>
      <t>12'8.772"E</t>
    </r>
  </si>
  <si>
    <r>
      <rPr>
        <rFont val="Tahoma"/>
        <b/>
        <sz val="11.0"/>
      </rPr>
      <t>24</t>
    </r>
    <r>
      <rPr>
        <rFont val="Calibri"/>
        <b/>
        <sz val="11.0"/>
      </rPr>
      <t>°</t>
    </r>
    <r>
      <rPr>
        <rFont val="Tahoma"/>
        <b/>
        <sz val="11.0"/>
      </rPr>
      <t>11'22.402"N</t>
    </r>
  </si>
  <si>
    <r>
      <rPr>
        <rFont val="Tahoma"/>
        <b/>
        <sz val="11.0"/>
      </rPr>
      <t>75</t>
    </r>
    <r>
      <rPr>
        <rFont val="Calibri"/>
        <b/>
        <sz val="11.0"/>
      </rPr>
      <t>°</t>
    </r>
    <r>
      <rPr>
        <rFont val="Tahoma"/>
        <b/>
        <sz val="11.0"/>
      </rPr>
      <t>12'22.151"E</t>
    </r>
  </si>
  <si>
    <r>
      <rPr>
        <rFont val="Tahoma"/>
        <b/>
        <sz val="11.0"/>
      </rPr>
      <t>24</t>
    </r>
    <r>
      <rPr>
        <rFont val="Calibri"/>
        <b/>
        <sz val="11.0"/>
      </rPr>
      <t>°</t>
    </r>
    <r>
      <rPr>
        <rFont val="Tahoma"/>
        <b/>
        <sz val="11.0"/>
      </rPr>
      <t>11'19.479"N</t>
    </r>
  </si>
  <si>
    <t>11 KV LINE/SHIVNA RIVER/CART TRACK</t>
  </si>
  <si>
    <t>AP5/0</t>
  </si>
  <si>
    <t xml:space="preserve"> 0° 56' 36"LT</t>
  </si>
  <si>
    <r>
      <rPr>
        <rFont val="Tahoma"/>
        <b/>
        <sz val="11.0"/>
      </rPr>
      <t>75</t>
    </r>
    <r>
      <rPr>
        <rFont val="Calibri"/>
        <b/>
        <sz val="11.0"/>
      </rPr>
      <t>°</t>
    </r>
    <r>
      <rPr>
        <rFont val="Tahoma"/>
        <b/>
        <sz val="11.0"/>
      </rPr>
      <t>12'37.748"E</t>
    </r>
  </si>
  <si>
    <r>
      <rPr>
        <rFont val="Tahoma"/>
        <b/>
        <sz val="11.0"/>
      </rPr>
      <t>24</t>
    </r>
    <r>
      <rPr>
        <rFont val="Calibri"/>
        <b/>
        <sz val="11.0"/>
      </rPr>
      <t>°</t>
    </r>
    <r>
      <rPr>
        <rFont val="Tahoma"/>
        <b/>
        <sz val="11.0"/>
      </rPr>
      <t>11'16.07"N</t>
    </r>
  </si>
  <si>
    <t>Aabakhedi</t>
  </si>
  <si>
    <t>Sitamau</t>
  </si>
  <si>
    <t>NALA, PIPAL TREE</t>
  </si>
  <si>
    <r>
      <rPr>
        <rFont val="Tahoma"/>
        <b/>
        <sz val="11.0"/>
      </rPr>
      <t>75</t>
    </r>
    <r>
      <rPr>
        <rFont val="Calibri"/>
        <b/>
        <sz val="11.0"/>
      </rPr>
      <t>°</t>
    </r>
    <r>
      <rPr>
        <rFont val="Tahoma"/>
        <b/>
        <sz val="11.0"/>
      </rPr>
      <t>12'51.627"E</t>
    </r>
  </si>
  <si>
    <r>
      <rPr>
        <rFont val="Tahoma"/>
        <b/>
        <sz val="11.0"/>
      </rPr>
      <t>24</t>
    </r>
    <r>
      <rPr>
        <rFont val="Calibri"/>
        <b/>
        <sz val="11.0"/>
      </rPr>
      <t>°</t>
    </r>
    <r>
      <rPr>
        <rFont val="Tahoma"/>
        <b/>
        <sz val="11.0"/>
      </rPr>
      <t>11'13.257"N</t>
    </r>
  </si>
  <si>
    <t>LT LINE, HUT, CART TRACK</t>
  </si>
  <si>
    <t>75°13'3.049"E</t>
  </si>
  <si>
    <t>24°11'10.942"N</t>
  </si>
  <si>
    <t>Nahargarh</t>
  </si>
  <si>
    <t>LT LINE, 11KV LINE, CART TRACK, WELL, LT T POINT</t>
  </si>
  <si>
    <t>75°13'17.343"E</t>
  </si>
  <si>
    <t>24°11'8.045"N</t>
  </si>
  <si>
    <t>GUAVA GARDEN, CART TRACK, WELL, ORANGE GARDEN</t>
  </si>
  <si>
    <t>75°13'31.948"E</t>
  </si>
  <si>
    <t>24°11'5.084"N</t>
  </si>
  <si>
    <t>GUAVA GARDEN, CART TRACK, ORANGE GARDEN</t>
  </si>
  <si>
    <t xml:space="preserve"> 75°13'45.65"E</t>
  </si>
  <si>
    <t xml:space="preserve"> 24°11'2.29"N</t>
  </si>
  <si>
    <t>11KV LINE, CART TRACK, WELL, 11KV T POINT</t>
  </si>
  <si>
    <t>75°13'58.978"E</t>
  </si>
  <si>
    <t>24°10'59.603"N</t>
  </si>
  <si>
    <t>LT LINE, SAMADHI, WELL, CART TRACK</t>
  </si>
  <si>
    <t>75°14'10.676"E</t>
  </si>
  <si>
    <t>24°10'57.23"N</t>
  </si>
  <si>
    <t>NALA, METAL ROAD, WELL, CART TRACK</t>
  </si>
  <si>
    <t>AP6/0</t>
  </si>
  <si>
    <t xml:space="preserve"> 28° 53' 29"RT</t>
  </si>
  <si>
    <t>75°14'21.884"E</t>
  </si>
  <si>
    <t>24°10'54.956"N</t>
  </si>
  <si>
    <t>CART TRACK</t>
  </si>
  <si>
    <t>75°14'31.994"E</t>
  </si>
  <si>
    <t>24°10'46.792"N</t>
  </si>
  <si>
    <t>CART TRACK, ORANGE GARDEN, 33 KV LINE, WELL, LT LINE, LT T POINT, 11KVTF, 11 KV LINE (TO BE DIVERTED)</t>
  </si>
  <si>
    <t xml:space="preserve"> 75°14'41.93"E</t>
  </si>
  <si>
    <t xml:space="preserve"> 24°10'38.73"N</t>
  </si>
  <si>
    <t>11 KV LINE , 11KV T POINT</t>
  </si>
  <si>
    <t>75°14'52.982"E</t>
  </si>
  <si>
    <t>24°10'29.838"N</t>
  </si>
  <si>
    <t>METAL ROAD, LT LINE, CART TRACK, 11 KV LINE</t>
  </si>
  <si>
    <t>AP7/0</t>
  </si>
  <si>
    <t xml:space="preserve"> 22° 44' 15"LT</t>
  </si>
  <si>
    <t>75°15'3.249"E</t>
  </si>
  <si>
    <t>24°10'21.544"N</t>
  </si>
  <si>
    <t>Khajuri_chandrawat</t>
  </si>
  <si>
    <t>LT line &amp; Cart track</t>
  </si>
  <si>
    <t>75° 15' 15.02"E</t>
  </si>
  <si>
    <t>24° 10' 17.75"N</t>
  </si>
  <si>
    <t>11kV line &amp; Cart track</t>
  </si>
  <si>
    <t>75° 15' 28.13"E</t>
  </si>
  <si>
    <t>24° 10' 13.53"N</t>
  </si>
  <si>
    <t>Cart track</t>
  </si>
  <si>
    <t>75° 15' 40.87"E</t>
  </si>
  <si>
    <t>24° 10' 9.43"N</t>
  </si>
  <si>
    <t>LT line, Cart track &amp; Nala</t>
  </si>
  <si>
    <t>75° 15' 53.91"E</t>
  </si>
  <si>
    <t>24° 10' 5.23"N</t>
  </si>
  <si>
    <t>11kV line, LT line &amp; Cart track</t>
  </si>
  <si>
    <t>AP8/0</t>
  </si>
  <si>
    <t xml:space="preserve"> 2° 0' 34"RT</t>
  </si>
  <si>
    <t>75° 16' 6.98"E</t>
  </si>
  <si>
    <t>24° 10' 1.02"N</t>
  </si>
  <si>
    <t>Cart track &amp; Nala</t>
  </si>
  <si>
    <t>75° 16' 17.91"E</t>
  </si>
  <si>
    <t>24° 9' 57.1"N</t>
  </si>
  <si>
    <t>75° 16' 31.24"E</t>
  </si>
  <si>
    <t>24° 9' 52.31"N</t>
  </si>
  <si>
    <t>75° 16' 44.77"E</t>
  </si>
  <si>
    <t>24° 9' 47.46"N</t>
  </si>
  <si>
    <t>75° 16' 57.91"E</t>
  </si>
  <si>
    <t>24° 9' 42.74"N</t>
  </si>
  <si>
    <t>33kV line, 11kV line, Metal road, Cart track &amp; nala</t>
  </si>
  <si>
    <t>75° 17' 12.17"E</t>
  </si>
  <si>
    <t>24° 9' 37.63"N</t>
  </si>
  <si>
    <t>Beti_khedi</t>
  </si>
  <si>
    <t>75° 17' 23.92"E</t>
  </si>
  <si>
    <t>24° 9' 33.41"N</t>
  </si>
  <si>
    <t>Rojafatehag</t>
  </si>
  <si>
    <t>75° 17' 37.38"E</t>
  </si>
  <si>
    <t>24° 9' 28.58"N</t>
  </si>
  <si>
    <t>LT line, Nala &amp; Cart track</t>
  </si>
  <si>
    <t>75° 17' 51.08"E</t>
  </si>
  <si>
    <t>24° 9' 23.66"N</t>
  </si>
  <si>
    <t>Nala</t>
  </si>
  <si>
    <t xml:space="preserve"> 75°18'3.31"E</t>
  </si>
  <si>
    <t xml:space="preserve"> 24° 9'19.26"N</t>
  </si>
  <si>
    <t xml:space="preserve"> 75°18'15.31"E</t>
  </si>
  <si>
    <t xml:space="preserve"> 24° 9'14.95"N</t>
  </si>
  <si>
    <t>11kV line, metal road &amp; Nala</t>
  </si>
  <si>
    <t>AP9/0</t>
  </si>
  <si>
    <t xml:space="preserve"> 9° 24' 57"LT</t>
  </si>
  <si>
    <t>75° 18' 29.02"</t>
  </si>
  <si>
    <t>24° 9' 10.04"</t>
  </si>
  <si>
    <t>Halu_Khedi</t>
  </si>
  <si>
    <t>LT line</t>
  </si>
  <si>
    <t>75° 18' 42.51"</t>
  </si>
  <si>
    <t>24° 9' 7.42"</t>
  </si>
  <si>
    <t>75° 18' 56.24"</t>
  </si>
  <si>
    <t>24° 9' 4.75"</t>
  </si>
  <si>
    <t>11kV line</t>
  </si>
  <si>
    <t>75° 19' 11.45"</t>
  </si>
  <si>
    <t>24° 9' 1.79"</t>
  </si>
  <si>
    <t>Rupni</t>
  </si>
  <si>
    <t>AP10/0</t>
  </si>
  <si>
    <t xml:space="preserve"> 4° 31' 7"RT</t>
  </si>
  <si>
    <t>75°19'24.673"</t>
  </si>
  <si>
    <t>24°8'59.22"</t>
  </si>
  <si>
    <t>33kV line,2no's LT line, Metal road &amp; 2no's nala</t>
  </si>
  <si>
    <t>75°19'37.789"</t>
  </si>
  <si>
    <t>24°8'55.66"</t>
  </si>
  <si>
    <t>Cart track,Well</t>
  </si>
  <si>
    <t>75°19'49.885"</t>
  </si>
  <si>
    <t>24°8'52.375"</t>
  </si>
  <si>
    <t>11kV line, Nala &amp; Cart track</t>
  </si>
  <si>
    <t>75°20'2.287"</t>
  </si>
  <si>
    <t>24°8'49.007"</t>
  </si>
  <si>
    <t>Risthal</t>
  </si>
  <si>
    <t>2 No's 11kV line, Nala &amp; Cart track</t>
  </si>
  <si>
    <t>AP11/0</t>
  </si>
  <si>
    <t xml:space="preserve"> 25° 28' 21"LT</t>
  </si>
  <si>
    <t>75°20'18.43"</t>
  </si>
  <si>
    <t>24°8'44.623"</t>
  </si>
  <si>
    <t>400 KV DC NEEMUCH-MANDSAUR TL TN 253 - TN 254</t>
  </si>
  <si>
    <t>AP12/0</t>
  </si>
  <si>
    <t xml:space="preserve"> 27° 8' 47"RT</t>
  </si>
  <si>
    <t>75°20'25.289"</t>
  </si>
  <si>
    <t>24°8'45.618"</t>
  </si>
  <si>
    <t>1M RC</t>
  </si>
  <si>
    <t>75°20'41.349"</t>
  </si>
  <si>
    <t>24°8'40.784"</t>
  </si>
  <si>
    <t>75°20'53.57"</t>
  </si>
  <si>
    <t>24°8'37.104"</t>
  </si>
  <si>
    <t>75°21'4.613"</t>
  </si>
  <si>
    <t>24°8'33.779"</t>
  </si>
  <si>
    <t>75°21'17.272"</t>
  </si>
  <si>
    <t>24°8'29.967"</t>
  </si>
  <si>
    <t>75°21'30.503"</t>
  </si>
  <si>
    <t>24°8'25.983"</t>
  </si>
  <si>
    <t>Boliya</t>
  </si>
  <si>
    <t>75°21'43.868"</t>
  </si>
  <si>
    <t>24°8'21.957"</t>
  </si>
  <si>
    <t>11kV line &amp; 2No'sCart track,Well</t>
  </si>
  <si>
    <t>75°21'57.132"</t>
  </si>
  <si>
    <t>24°8'17.962"</t>
  </si>
  <si>
    <t>AP13/0</t>
  </si>
  <si>
    <t xml:space="preserve"> 9° 25' 31"RT</t>
  </si>
  <si>
    <t>75°22'9.688"</t>
  </si>
  <si>
    <t>24°8'14.179"</t>
  </si>
  <si>
    <t>LT line, Nala &amp; Cart track,Pond,Well</t>
  </si>
  <si>
    <t>75°22'20.897"</t>
  </si>
  <si>
    <t>24°8'8.801"</t>
  </si>
  <si>
    <t>2No's Cart track</t>
  </si>
  <si>
    <t>75°22'32.641"</t>
  </si>
  <si>
    <t>24°8'3.167"</t>
  </si>
  <si>
    <t>Vishanya</t>
  </si>
  <si>
    <t>2No'sLT line &amp;2No's Cart track</t>
  </si>
  <si>
    <t>75°22'44.572"</t>
  </si>
  <si>
    <t>24°7'57.442"</t>
  </si>
  <si>
    <t>75°22'55.372"</t>
  </si>
  <si>
    <t>24°7'52.259"</t>
  </si>
  <si>
    <t>75°23'5.733"</t>
  </si>
  <si>
    <t>24°7'47.287"</t>
  </si>
  <si>
    <t>AP14/0</t>
  </si>
  <si>
    <t xml:space="preserve"> 18° 44' 47"LT</t>
  </si>
  <si>
    <t>75°23'17.263"</t>
  </si>
  <si>
    <t>24°7'41.754"</t>
  </si>
  <si>
    <t>33kV line,11kV line,LT line, Metal road,Cart track &amp; nala</t>
  </si>
  <si>
    <t>75°23'30.74"</t>
  </si>
  <si>
    <t>24°7'39.825"</t>
  </si>
  <si>
    <t>75°23'43.167"</t>
  </si>
  <si>
    <t>24°7'38.047"</t>
  </si>
  <si>
    <t>11kV line,LT line, Metal road &amp; Cart track</t>
  </si>
  <si>
    <t>75°23'55.664"</t>
  </si>
  <si>
    <t>24°7'36.258"</t>
  </si>
  <si>
    <t>Khajuri_Goud</t>
  </si>
  <si>
    <t>75°24'9.421"</t>
  </si>
  <si>
    <t>24°7'34.289"</t>
  </si>
  <si>
    <t>75°24'22.828"</t>
  </si>
  <si>
    <t>24°7'32.369"</t>
  </si>
  <si>
    <t>LT line (To be diverted), Nala &amp; Cart track</t>
  </si>
  <si>
    <t>AP15/0</t>
  </si>
  <si>
    <t xml:space="preserve"> 12° 10' 5"RT</t>
  </si>
  <si>
    <t>75°24'36.413"</t>
  </si>
  <si>
    <t>24°7'30.424"</t>
  </si>
  <si>
    <t>75°24'48.581"</t>
  </si>
  <si>
    <t>24°7'26.128"</t>
  </si>
  <si>
    <t>75°25'2.204"</t>
  </si>
  <si>
    <t>24°7'21.319"</t>
  </si>
  <si>
    <t>75°25'15.959"</t>
  </si>
  <si>
    <t>24°7'16.462"</t>
  </si>
  <si>
    <t>75°25'29.416"</t>
  </si>
  <si>
    <t>24°7'11.71"</t>
  </si>
  <si>
    <t>75°25'43.468"</t>
  </si>
  <si>
    <t>24°7'6.748"</t>
  </si>
  <si>
    <t>Salriya</t>
  </si>
  <si>
    <t>75°25'56.23"</t>
  </si>
  <si>
    <t>24°7'2.241"</t>
  </si>
  <si>
    <t>Raised Chimney</t>
  </si>
  <si>
    <t>75°26'8.099"</t>
  </si>
  <si>
    <t>24°6'58.049"</t>
  </si>
  <si>
    <t>75°26'20.266"</t>
  </si>
  <si>
    <t>24°6'53.751"</t>
  </si>
  <si>
    <t>75°26'33.16"</t>
  </si>
  <si>
    <t>24°6'49.196"</t>
  </si>
  <si>
    <t>Borkhedi_Jagir</t>
  </si>
  <si>
    <t>AP16/0</t>
  </si>
  <si>
    <t>2°04'42"RT</t>
  </si>
  <si>
    <t>75° 26' 46.7"</t>
  </si>
  <si>
    <t>24° 6' 44.41"</t>
  </si>
  <si>
    <t>75° 26' 59.29"</t>
  </si>
  <si>
    <t>24° 6' 40.05"</t>
  </si>
  <si>
    <t>2 NOS CART TRACK / LT LINE</t>
  </si>
  <si>
    <t>75° 27' 11.46"</t>
  </si>
  <si>
    <t>24° 6' 35.84"</t>
  </si>
  <si>
    <t>3 NOS. NALA/ CART TRACK/LT LINE</t>
  </si>
  <si>
    <t>75° 27' 25.81"</t>
  </si>
  <si>
    <t>24° 6' 30.86"</t>
  </si>
  <si>
    <t>WELL/NALA/CART TRACK /11 KV LINE</t>
  </si>
  <si>
    <t>75° 27' 39.06"</t>
  </si>
  <si>
    <t>24° 6' 26.27"</t>
  </si>
  <si>
    <t>TAR ROAD/11KV LINE</t>
  </si>
  <si>
    <t>75° 27' 52.19"</t>
  </si>
  <si>
    <t>24° 6' 21.72"</t>
  </si>
  <si>
    <t>3 NOS NALA</t>
  </si>
  <si>
    <t>75° 28' 6.11"</t>
  </si>
  <si>
    <t>24° 6' 16.9"</t>
  </si>
  <si>
    <t>Chimangad</t>
  </si>
  <si>
    <t>WELL</t>
  </si>
  <si>
    <t>75° 28' 17.84"</t>
  </si>
  <si>
    <t>24° 6' 12.83"</t>
  </si>
  <si>
    <t>11 KV LINE/TAR ROAD/CART TRACK/WELL</t>
  </si>
  <si>
    <t>75° 28' 29.37"</t>
  </si>
  <si>
    <t>24° 6' 8.84"</t>
  </si>
  <si>
    <t>75° 28' 39.94"</t>
  </si>
  <si>
    <t>24° 6' 5.17"</t>
  </si>
  <si>
    <t>2 NOS 11KV /CART TRACK/BRICK FACTORY</t>
  </si>
  <si>
    <t>75° 28' 52.5"</t>
  </si>
  <si>
    <t>24° 6' 0.82"</t>
  </si>
  <si>
    <t>NALA</t>
  </si>
  <si>
    <t>75° 29' 6.68"</t>
  </si>
  <si>
    <t>24° 5' 55.9"</t>
  </si>
  <si>
    <t>CART TRACK/11KV LINE/PUMP</t>
  </si>
  <si>
    <t>AP17/0</t>
  </si>
  <si>
    <t>12°41'17"RT</t>
  </si>
  <si>
    <t>75° 29' 19.83"</t>
  </si>
  <si>
    <t>24° 5' 51.34"</t>
  </si>
  <si>
    <t>Chahkhedi</t>
  </si>
  <si>
    <r>
      <rPr>
        <rFont val="Tahoma"/>
        <b/>
        <color/>
        <sz val="11.0"/>
      </rPr>
      <t>2 NOS 33KV LINE/</t>
    </r>
    <r>
      <rPr>
        <rFont val="Tahoma"/>
        <b/>
        <color rgb="FFFF0000"/>
        <sz val="11.0"/>
      </rPr>
      <t>NE-4 DELHI MUMBAI EXPRESSWAY</t>
    </r>
    <r>
      <rPr>
        <rFont val="Tahoma"/>
        <b/>
        <color rgb="FF000000"/>
        <sz val="11.0"/>
      </rPr>
      <t>/CART TRACK</t>
    </r>
  </si>
  <si>
    <t>AP18/0</t>
  </si>
  <si>
    <t xml:space="preserve"> 35° 35' 35"LT</t>
  </si>
  <si>
    <t>75°29'27.132"E</t>
  </si>
  <si>
    <t>24°5'46.924"N</t>
  </si>
  <si>
    <t>75°29'42.103"E</t>
  </si>
  <si>
    <t>24°5'47.454"N</t>
  </si>
  <si>
    <t>CT, NALA</t>
  </si>
  <si>
    <t>AP19/0</t>
  </si>
  <si>
    <t xml:space="preserve"> 37° 14' 44"LT</t>
  </si>
  <si>
    <t>75°29'56.082"E</t>
  </si>
  <si>
    <t>24°5'47.949"N</t>
  </si>
  <si>
    <r>
      <rPr>
        <rFont val="Tahoma"/>
        <b/>
        <color rgb="FFFF0000"/>
        <sz val="11.0"/>
      </rPr>
      <t>Raised Chimney</t>
    </r>
    <r>
      <rPr>
        <rFont val="Tahoma"/>
        <b/>
        <color rgb="FF000000"/>
        <sz val="11.0"/>
      </rPr>
      <t xml:space="preserve"> </t>
    </r>
  </si>
  <si>
    <r>
      <rPr>
        <rFont val="Tahoma"/>
        <b/>
        <color/>
        <sz val="11.0"/>
      </rPr>
      <t xml:space="preserve">11KV, </t>
    </r>
    <r>
      <rPr>
        <rFont val="Tahoma"/>
        <b/>
        <color rgb="FFFF0000"/>
        <sz val="11.0"/>
      </rPr>
      <t>CHAMBAL RIVER</t>
    </r>
    <r>
      <rPr>
        <rFont val="Tahoma"/>
        <b/>
        <color rgb="FF000000"/>
        <sz val="11.0"/>
      </rPr>
      <t>, LT END</t>
    </r>
  </si>
  <si>
    <t>AP20/0</t>
  </si>
  <si>
    <t xml:space="preserve"> 52° 09' 12"RT</t>
  </si>
  <si>
    <t xml:space="preserve"> 75°30'9.71"E</t>
  </si>
  <si>
    <t xml:space="preserve"> 24° 5'58.26"N</t>
  </si>
  <si>
    <t>Dhandi</t>
  </si>
  <si>
    <t>Suwasara</t>
  </si>
  <si>
    <t>11KV, LT</t>
  </si>
  <si>
    <t xml:space="preserve"> 75°30'22.74"E</t>
  </si>
  <si>
    <t xml:space="preserve"> 24° 5'55.55"N</t>
  </si>
  <si>
    <t>CT, POND, WELL</t>
  </si>
  <si>
    <t xml:space="preserve"> 75°30'38.06"E</t>
  </si>
  <si>
    <t xml:space="preserve"> 24° 5'52.38"N</t>
  </si>
  <si>
    <t>CT, POND, HUT</t>
  </si>
  <si>
    <t>AP21/0</t>
  </si>
  <si>
    <t xml:space="preserve"> 24° 53' 25"RT</t>
  </si>
  <si>
    <t>75°30'49.948"E</t>
  </si>
  <si>
    <t>24°5'49.936"N</t>
  </si>
  <si>
    <t>11KV, LT, NALA</t>
  </si>
  <si>
    <t>75°31'0.893"E</t>
  </si>
  <si>
    <t>24°5'42.199"N</t>
  </si>
  <si>
    <t>Haripura</t>
  </si>
  <si>
    <t>75°31'10.77"E</t>
  </si>
  <si>
    <t>24°5'35.216"N</t>
  </si>
  <si>
    <t>75°31'22.724"E</t>
  </si>
  <si>
    <t>24°5'26.764"N</t>
  </si>
  <si>
    <t>75°31'33.78"E</t>
  </si>
  <si>
    <t>24°5'18.947"N</t>
  </si>
  <si>
    <t>AP22/0</t>
  </si>
  <si>
    <t xml:space="preserve"> 35° 17' 43"LT</t>
  </si>
  <si>
    <t>75°31'45.221"E</t>
  </si>
  <si>
    <t>24°5'10.857"N</t>
  </si>
  <si>
    <t>75°31'58.42"E</t>
  </si>
  <si>
    <t>24°5'10.368"N</t>
  </si>
  <si>
    <t>NALA, METAL ROAD, CT, 11KV, WELL</t>
  </si>
  <si>
    <t>AP23/0</t>
  </si>
  <si>
    <t xml:space="preserve"> 39° 44' 47"RT</t>
  </si>
  <si>
    <t>75°32'12.86"E</t>
  </si>
  <si>
    <t>24°5'9.833"N</t>
  </si>
  <si>
    <t>11KV, CT, LT</t>
  </si>
  <si>
    <t>75°32'22.825"E</t>
  </si>
  <si>
    <t>24°5'1.577"N</t>
  </si>
  <si>
    <t>11KV, WELL, METAL ROAD</t>
  </si>
  <si>
    <t>AP24/0</t>
  </si>
  <si>
    <t xml:space="preserve"> 23° 2' 13"LT</t>
  </si>
  <si>
    <t>75°32'33.491"E</t>
  </si>
  <si>
    <t>24°4'52.741"N</t>
  </si>
  <si>
    <t xml:space="preserve">ORANGE GARDEN, 11KV, CT, WELL, </t>
  </si>
  <si>
    <t>75°32'46.381"E</t>
  </si>
  <si>
    <t>24°4'48.661"N</t>
  </si>
  <si>
    <t>LT,CT, WELL, 11KV</t>
  </si>
  <si>
    <t>75°32'59.773"E</t>
  </si>
  <si>
    <t>24°4'44.42"N</t>
  </si>
  <si>
    <t>33KV</t>
  </si>
  <si>
    <t>75°33'14.471"E</t>
  </si>
  <si>
    <t>24°4'39.767"N</t>
  </si>
  <si>
    <t>11KV, 33KV</t>
  </si>
  <si>
    <t>75°33'27.862"E</t>
  </si>
  <si>
    <t>24°4'35.526"N</t>
  </si>
  <si>
    <t>11KV, 33KV, SH-8 ROAD</t>
  </si>
  <si>
    <t>75°33'37.604"E</t>
  </si>
  <si>
    <t>24°4'32.44"N</t>
  </si>
  <si>
    <t>33KV, CT, WELL</t>
  </si>
  <si>
    <t>75°33'50.661"E</t>
  </si>
  <si>
    <t>24°4'28.305"N</t>
  </si>
  <si>
    <t>CT, BORE</t>
  </si>
  <si>
    <t>75°34'4.152"E</t>
  </si>
  <si>
    <t>24°4'24.032"N</t>
  </si>
  <si>
    <t>33KV, WELL, 11KV, CT</t>
  </si>
  <si>
    <t>75°34'18.279"E</t>
  </si>
  <si>
    <t>24°4'19.556"N</t>
  </si>
  <si>
    <t>Kantiya</t>
  </si>
  <si>
    <t>11KV, METAL ROAD</t>
  </si>
  <si>
    <t>75°34'31.301"E</t>
  </si>
  <si>
    <t>24°4'15.431"N</t>
  </si>
  <si>
    <t>LT, NALA, CT</t>
  </si>
  <si>
    <t>75°34'45.896"E</t>
  </si>
  <si>
    <t>24°4'10.806"N</t>
  </si>
  <si>
    <t>WELL, CT, 11KV</t>
  </si>
  <si>
    <t>75°34'58.616"E</t>
  </si>
  <si>
    <t>24°4'6.775"N</t>
  </si>
  <si>
    <t>CT, WELL, NALA</t>
  </si>
  <si>
    <t>AP25/0</t>
  </si>
  <si>
    <t xml:space="preserve"> 12° 27' 1"RT</t>
  </si>
  <si>
    <t>75°35'13.522"E</t>
  </si>
  <si>
    <t>24°4'2.051"N</t>
  </si>
  <si>
    <t>220 KV DC MANDSAUR - NIPANIA TL MPPTCL T83-84, LT, ORANGE GARDEN</t>
  </si>
  <si>
    <t>AP26/0</t>
  </si>
  <si>
    <t xml:space="preserve"> 19° 44' 39"LT</t>
  </si>
  <si>
    <t>75°35'20.159"E</t>
  </si>
  <si>
    <t>24°3'58.318"N</t>
  </si>
  <si>
    <t>ORANGE GARDEN, CT, WELL</t>
  </si>
  <si>
    <t>75°35'35.24"E</t>
  </si>
  <si>
    <t>24°3'55.438"N</t>
  </si>
  <si>
    <t>Ruparail</t>
  </si>
  <si>
    <t>CT, LT, 11KV, WELL</t>
  </si>
  <si>
    <t>75°35'49.281"E</t>
  </si>
  <si>
    <t>24°3'52.755"N</t>
  </si>
  <si>
    <t>METAL ROAD, 11KV, WELL, POND, CT, LT</t>
  </si>
  <si>
    <t>75°36'4.327"E</t>
  </si>
  <si>
    <t>24°3'49.881"N</t>
  </si>
  <si>
    <t>CT, NALA, HUT, WELL, BARGAD TREE</t>
  </si>
  <si>
    <t>75°36'17.5"E</t>
  </si>
  <si>
    <t>24°3'47.364"N</t>
  </si>
  <si>
    <t>AP27/0</t>
  </si>
  <si>
    <t xml:space="preserve"> 13° 19' 59"RT</t>
  </si>
  <si>
    <t>75°36'30.634"E</t>
  </si>
  <si>
    <t>24°3'44.854"N</t>
  </si>
  <si>
    <t>Devriya_vijay</t>
  </si>
  <si>
    <t>WELL, CT, 11KV, PIPAL TREE</t>
  </si>
  <si>
    <r>
      <rPr>
        <rFont val="Tahoma"/>
        <b/>
        <color/>
        <sz val="11.0"/>
      </rPr>
      <t>75</t>
    </r>
    <r>
      <rPr>
        <rFont val="Tahoma"/>
        <b/>
        <color rgb="FF000000"/>
        <sz val="11.0"/>
        <vertAlign val="superscript"/>
      </rPr>
      <t>0</t>
    </r>
    <r>
      <rPr>
        <rFont val="Tahoma"/>
        <b/>
        <color rgb="FF000000"/>
        <sz val="11.0"/>
      </rPr>
      <t>36'45.962"E</t>
    </r>
  </si>
  <si>
    <r>
      <rPr>
        <rFont val="Tahoma"/>
        <b/>
        <color/>
        <sz val="11.0"/>
      </rPr>
      <t>24</t>
    </r>
    <r>
      <rPr>
        <rFont val="Tahoma"/>
        <b/>
        <color rgb="FF000000"/>
        <sz val="11.0"/>
        <vertAlign val="superscript"/>
      </rPr>
      <t>0</t>
    </r>
    <r>
      <rPr>
        <rFont val="Tahoma"/>
        <b/>
        <color rgb="FF000000"/>
        <sz val="11.0"/>
      </rPr>
      <t>3'38.263"N</t>
    </r>
  </si>
  <si>
    <t>NALA, 11KV, SAMADHI, LT END, 11KV TF</t>
  </si>
  <si>
    <t>75°37'0.841"E</t>
  </si>
  <si>
    <t>24°3'31.865"N</t>
  </si>
  <si>
    <t>MAHUA TREE, GUAVA GARDEN, FENCE, WELL, PUMPHOUSE, LT, METAL ROAD, 11KV, NEW GARDEN</t>
  </si>
  <si>
    <t>75°37'12.898"E</t>
  </si>
  <si>
    <t>24°3'26.68"N</t>
  </si>
  <si>
    <t>NEW GARDEN, WELL, CT, 11KV, PIPAL TREE, LT</t>
  </si>
  <si>
    <t>75°37'25.083"E</t>
  </si>
  <si>
    <t>24°3'21.439"N</t>
  </si>
  <si>
    <t>NALA, WELL, LT, WELL</t>
  </si>
  <si>
    <t xml:space="preserve"> 75°37'36.37"E</t>
  </si>
  <si>
    <t xml:space="preserve"> 24° 3'16.58"N</t>
  </si>
  <si>
    <t>NALA, 11KV, METAL ROAD, WELL, BORE, CT, 11KV T-POINT, LT</t>
  </si>
  <si>
    <t>AP28/0</t>
  </si>
  <si>
    <t xml:space="preserve"> 41° 48' 21"RT</t>
  </si>
  <si>
    <t>75°37'47.94"E</t>
  </si>
  <si>
    <t>24°3'11.608"N</t>
  </si>
  <si>
    <t>LT, 220 KV D GUJARKHEDI-MANDSAUR TL MPPTCL  (T57-58)</t>
  </si>
  <si>
    <t>AP29/0</t>
  </si>
  <si>
    <t xml:space="preserve"> 34° 38' 47"LT</t>
  </si>
  <si>
    <t>75°37'51.439"E</t>
  </si>
  <si>
    <t>24°3'4.074"N</t>
  </si>
  <si>
    <t xml:space="preserve">POND, CT, PIPAL TREE, LT, WELL, </t>
  </si>
  <si>
    <t>75°38'3.236"E</t>
  </si>
  <si>
    <t>24°2'57.236"N</t>
  </si>
  <si>
    <t>METAL ROAD, WELL, 11KV, WELL, PUMPHOUSE, LT, BORE, 11KV TF</t>
  </si>
  <si>
    <t>75°38'14.882"E</t>
  </si>
  <si>
    <t>24°2'50.484"N</t>
  </si>
  <si>
    <t>Kishorpura</t>
  </si>
  <si>
    <t>WELL, BARGAD TREE, CT, 11KV, LT, METAL ROAD, TF, BORE, HOUSE</t>
  </si>
  <si>
    <t>AP30/0</t>
  </si>
  <si>
    <t xml:space="preserve"> 15° 16' 50"RT</t>
  </si>
  <si>
    <t>75°38'26.821"E</t>
  </si>
  <si>
    <t>24°2'43.563"N</t>
  </si>
  <si>
    <t>BORE, NALA, SAMADHI, WELL, ORANGE GARDEN, 11KV, LT</t>
  </si>
  <si>
    <t>75°38'36.19"E</t>
  </si>
  <si>
    <t>24°2'34.16"N</t>
  </si>
  <si>
    <t>WELL, CT, NALA, LT</t>
  </si>
  <si>
    <r>
      <rPr>
        <rFont val="Tahoma"/>
        <b/>
        <sz val="11.0"/>
      </rPr>
      <t>75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38'44.865"E</t>
    </r>
  </si>
  <si>
    <r>
      <rPr>
        <rFont val="Tahoma"/>
        <b/>
        <sz val="11.0"/>
      </rPr>
      <t>24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2'25.451"N</t>
    </r>
  </si>
  <si>
    <t>BORE, NALA, LT, WELL</t>
  </si>
  <si>
    <t>AP31/0</t>
  </si>
  <si>
    <t xml:space="preserve"> 43° 50' 25"LT</t>
  </si>
  <si>
    <t>75°38'53.916"E</t>
  </si>
  <si>
    <t>24°2'16.365"N</t>
  </si>
  <si>
    <t>WELL, DOUBLE TRACK ELECTRIFIED RAILWAY LINE, RAILWAY POLES 770/5 &amp; 770/6</t>
  </si>
  <si>
    <t>AP32/0</t>
  </si>
  <si>
    <t xml:space="preserve"> 22° 23' 30"RT</t>
  </si>
  <si>
    <t>75°39'1.902"E</t>
  </si>
  <si>
    <t>24°2'15.89"N</t>
  </si>
  <si>
    <t>WELL, CT, LT, 11KV, PUMPHOUSE</t>
  </si>
  <si>
    <t>75°39'17.767"E</t>
  </si>
  <si>
    <t>24°2'8.752"N</t>
  </si>
  <si>
    <t>Nathu_Khedi</t>
  </si>
  <si>
    <t>ORANGE GARDEN, 11KV, WELL, MAHUA TREE, LT, BOREWELL</t>
  </si>
  <si>
    <t>75°39'31.946"E</t>
  </si>
  <si>
    <t>24°2'2.372"N</t>
  </si>
  <si>
    <t>11KV, BORE, WELL, HUT, METAL ROAD</t>
  </si>
  <si>
    <t>75°39'44.471"E</t>
  </si>
  <si>
    <t>24°1'56.736"N</t>
  </si>
  <si>
    <t>Dhabla_bhagwan</t>
  </si>
  <si>
    <t>METAL ROAD</t>
  </si>
  <si>
    <t>75°39'56.901"E</t>
  </si>
  <si>
    <t>24°1'51.142"N</t>
  </si>
  <si>
    <t>LT, CT</t>
  </si>
  <si>
    <t>75°40'9.903"E</t>
  </si>
  <si>
    <t>24°1'45.29"N</t>
  </si>
  <si>
    <t>NALA, LT, WELL</t>
  </si>
  <si>
    <t>75°40'21.951"E</t>
  </si>
  <si>
    <t>24°1'39.868"N</t>
  </si>
  <si>
    <t>METAL ROAD, LT</t>
  </si>
  <si>
    <t>75°40'33.521"E</t>
  </si>
  <si>
    <t>24°1'34.659"N</t>
  </si>
  <si>
    <t>NALA, CT</t>
  </si>
  <si>
    <t>AP33/0</t>
  </si>
  <si>
    <t xml:space="preserve"> 30° 25' 18"LT</t>
  </si>
  <si>
    <t>75°40'47.721"E</t>
  </si>
  <si>
    <t>24°1'28.267"N</t>
  </si>
  <si>
    <t>Bhaisola</t>
  </si>
  <si>
    <t>132KV D/C SUWASARA - BADOD MPPTCL (T264-265), LT</t>
  </si>
  <si>
    <t>AP34/0</t>
  </si>
  <si>
    <t xml:space="preserve"> 18° 17' 56"RT</t>
  </si>
  <si>
    <t>75°40'56.794"E</t>
  </si>
  <si>
    <t>24°1'28.895"N</t>
  </si>
  <si>
    <t>CT, WELL, METAL ROAD, 11KV</t>
  </si>
  <si>
    <t>75°41'4.763"E</t>
  </si>
  <si>
    <t>24°1'27.072"N</t>
  </si>
  <si>
    <t>WELL, CT, LT</t>
  </si>
  <si>
    <t>75°41'17.3"E</t>
  </si>
  <si>
    <t>24°1'24.203"N</t>
  </si>
  <si>
    <t>CT, WELL, PUMPHOUSE, NALA</t>
  </si>
  <si>
    <t>75°41'30.318"E</t>
  </si>
  <si>
    <t>24°1'21.223"N</t>
  </si>
  <si>
    <t>NALA, 11KV, LT</t>
  </si>
  <si>
    <t>AP35/0</t>
  </si>
  <si>
    <t xml:space="preserve"> 11° 11' 51"LT</t>
  </si>
  <si>
    <t>75°41'45.426"E</t>
  </si>
  <si>
    <t>24°1'17.765"N</t>
  </si>
  <si>
    <t>Tarnod</t>
  </si>
  <si>
    <t>NALA, NH752D</t>
  </si>
  <si>
    <t>AP36/0</t>
  </si>
  <si>
    <t xml:space="preserve"> 22° 26' 05"RT</t>
  </si>
  <si>
    <t xml:space="preserve"> 75°41'53.23"E</t>
  </si>
  <si>
    <t xml:space="preserve"> 24° 1'17.40"N</t>
  </si>
  <si>
    <t>CART TRACK, LT LINE, WELL, NALA, ORANGE GARDEN</t>
  </si>
  <si>
    <t>75°42'5.888"E</t>
  </si>
  <si>
    <t>24°1'11.94"N</t>
  </si>
  <si>
    <t>75°42'17.287"E</t>
  </si>
  <si>
    <t>24°1'7.005"N</t>
  </si>
  <si>
    <t>Chapa_khedi</t>
  </si>
  <si>
    <t>CART TRACK, LT LINE END, WELL, ORANGE GARDEN</t>
  </si>
  <si>
    <t>75°42'30.223"E</t>
  </si>
  <si>
    <t>24°1'1.405"N</t>
  </si>
  <si>
    <t>11 KV LINE, BARGAD TREE, CART TRACK</t>
  </si>
  <si>
    <t>75°42'42.39"E</t>
  </si>
  <si>
    <t>24°0'56.137"N</t>
  </si>
  <si>
    <t>CART TRACK, LT LINE, WELL, NALA, 11 KV LINE</t>
  </si>
  <si>
    <t>75°42'57.118"E</t>
  </si>
  <si>
    <t>24°0'49.76"N</t>
  </si>
  <si>
    <t>75°43'9.284"E</t>
  </si>
  <si>
    <t>24°0'44.491"N</t>
  </si>
  <si>
    <t>CART TRACK, WELL, HUT</t>
  </si>
  <si>
    <t>75°43'22.506"E</t>
  </si>
  <si>
    <t>24°0'38.765"N</t>
  </si>
  <si>
    <t>75°43'35.728"E</t>
  </si>
  <si>
    <t>24°0'33.038"N</t>
  </si>
  <si>
    <t>Khejdiya_bhup</t>
  </si>
  <si>
    <t>LT LINE, 11 KV LINE, METAL ROAD, WELL</t>
  </si>
  <si>
    <t>AP37/0</t>
  </si>
  <si>
    <t xml:space="preserve"> 41° 25' 41"LT</t>
  </si>
  <si>
    <t>75°43'49.398"E</t>
  </si>
  <si>
    <t>24°0'27.117"N</t>
  </si>
  <si>
    <t>220 KV BAROD SUWASARA MPPTCL (T301-302)</t>
  </si>
  <si>
    <t>AP38/0</t>
  </si>
  <si>
    <t xml:space="preserve"> 37° 39' 42"RT</t>
  </si>
  <si>
    <t>75°43'56.877"E</t>
  </si>
  <si>
    <t>24°0'29.111"N</t>
  </si>
  <si>
    <t>WELL, CART TRACK</t>
  </si>
  <si>
    <t>75°44'11.039"E</t>
  </si>
  <si>
    <t>24°0'23.991"N</t>
  </si>
  <si>
    <t>75°44'22.368"E</t>
  </si>
  <si>
    <t>24°0'19.896"N</t>
  </si>
  <si>
    <t>Borkhedi</t>
  </si>
  <si>
    <t>CART TRACK, LT LINE</t>
  </si>
  <si>
    <t>75°44'34.653"E</t>
  </si>
  <si>
    <t>24°0'15.454"N</t>
  </si>
  <si>
    <t>CART TRACK, 11 KV LINE, NALA, WELL</t>
  </si>
  <si>
    <t>75°44'47.464"E</t>
  </si>
  <si>
    <t>24°0'10.822"N</t>
  </si>
  <si>
    <t>LT LINE, 11 KV LINE, METAL ROAD, NALA, SAMADHI</t>
  </si>
  <si>
    <t>75°45'2.086"E</t>
  </si>
  <si>
    <t>24°0'5.534"N</t>
  </si>
  <si>
    <t>11 KV LINE, POND, LT LINE, CART TRACK, ORANGE GARDEN</t>
  </si>
  <si>
    <t>75°45'12.23"E</t>
  </si>
  <si>
    <t>24°0'1.866"N</t>
  </si>
  <si>
    <t>ORANGE GARDEN, NALA, CART TRACK</t>
  </si>
  <si>
    <t>75°45'23.591"E</t>
  </si>
  <si>
    <t>23°59'57.757"N</t>
  </si>
  <si>
    <t>NALA, CT, 11KV</t>
  </si>
  <si>
    <t>75°45'37.587"E</t>
  </si>
  <si>
    <t>23°59'52.695"N</t>
  </si>
  <si>
    <t>ORANGE GARDEN, WELL</t>
  </si>
  <si>
    <t>AP39/0</t>
  </si>
  <si>
    <t xml:space="preserve"> 17° 32' 52"RT</t>
  </si>
  <si>
    <t>75°45'51.149"E</t>
  </si>
  <si>
    <t>23°59'47.789"N</t>
  </si>
  <si>
    <t>Metal road</t>
  </si>
  <si>
    <t>75°46'2.117"E</t>
  </si>
  <si>
    <t>23°59'39.617"N</t>
  </si>
  <si>
    <t>Nipaniya(Devgarh)</t>
  </si>
  <si>
    <t>Dag</t>
  </si>
  <si>
    <t>RJ</t>
  </si>
  <si>
    <t>11kV line &amp; Nala</t>
  </si>
  <si>
    <t>75°46'13.661"E</t>
  </si>
  <si>
    <t>23°59'31.016"N</t>
  </si>
  <si>
    <t>75°46'23.749"E</t>
  </si>
  <si>
    <t>23°59'23.499"N</t>
  </si>
  <si>
    <t>75°46'33.478"E</t>
  </si>
  <si>
    <t>23°59'16.249"N</t>
  </si>
  <si>
    <t>75°46'44.445"E</t>
  </si>
  <si>
    <t>23°59'8.077"N</t>
  </si>
  <si>
    <t>TPT</t>
  </si>
  <si>
    <t>75°46'54.751"E</t>
  </si>
  <si>
    <t>23°59'0.396"N</t>
  </si>
  <si>
    <t>75°47'5.194"E</t>
  </si>
  <si>
    <t>23°58'52.613"N</t>
  </si>
  <si>
    <t>PeepalyaKhurd</t>
  </si>
  <si>
    <t>75°47'16.324"E</t>
  </si>
  <si>
    <t>23°58'44.317"N</t>
  </si>
  <si>
    <t>PatLai</t>
  </si>
  <si>
    <t>75°47'27.866"E</t>
  </si>
  <si>
    <t>23°58'35.714"N</t>
  </si>
  <si>
    <t>75°47'38.83"E</t>
  </si>
  <si>
    <t>23°58'27.541"N</t>
  </si>
  <si>
    <t>75°47'49.272"E</t>
  </si>
  <si>
    <t>23°58'19.757"N</t>
  </si>
  <si>
    <t>AP40/0</t>
  </si>
  <si>
    <t xml:space="preserve"> 16° 39' 6"RT</t>
  </si>
  <si>
    <t>75°48'0.682"E</t>
  </si>
  <si>
    <t>23°58'11.25"N</t>
  </si>
  <si>
    <t>Metal road &amp; 11kV line</t>
  </si>
  <si>
    <t>75°48'8.657"E</t>
  </si>
  <si>
    <t>23°58'0.505"N</t>
  </si>
  <si>
    <t>75°48'16.471"E</t>
  </si>
  <si>
    <t>23°57'49.975"N</t>
  </si>
  <si>
    <t>Metal road, Cart track &amp; Nala</t>
  </si>
  <si>
    <t>75°48'24.186"E</t>
  </si>
  <si>
    <t>23°57'39.579"N</t>
  </si>
  <si>
    <t>ParthiGarh</t>
  </si>
  <si>
    <t>AP41/0</t>
  </si>
  <si>
    <t xml:space="preserve"> 41° 47' 29"LT</t>
  </si>
  <si>
    <t>75°48'31.085"E</t>
  </si>
  <si>
    <t>23°57'30.282"N</t>
  </si>
  <si>
    <t>33kV line, Nala, Metal road, CT &amp; LT line</t>
  </si>
  <si>
    <t>75°48'44.822"E</t>
  </si>
  <si>
    <t>23°57'27.153"N</t>
  </si>
  <si>
    <t>11kV line, Orange garden, Well, Pipal Tree, Bargad Tree, Pumphouse, 11kV TF &amp; Nala</t>
  </si>
  <si>
    <t>75°48'59.176"E</t>
  </si>
  <si>
    <t>23°57'23.884"N</t>
  </si>
  <si>
    <t>Nala, Well, Bargad Tree</t>
  </si>
  <si>
    <t>75°49'11.229"E</t>
  </si>
  <si>
    <t>23°57'21.138"N</t>
  </si>
  <si>
    <t>Metal road, Well, Bargad Tree &amp; Nala</t>
  </si>
  <si>
    <t>75°49'25.961"E</t>
  </si>
  <si>
    <t>23°57'17.782"N</t>
  </si>
  <si>
    <t>Pipalya Kalan</t>
  </si>
  <si>
    <t>11kV line, Well, Nala</t>
  </si>
  <si>
    <t>75°49'40.074"E</t>
  </si>
  <si>
    <t>23°57'14.566"N</t>
  </si>
  <si>
    <t>11kV line, Well, Pipal Tree, LT End, CT &amp; Metal road</t>
  </si>
  <si>
    <t>75°49'53.157"E</t>
  </si>
  <si>
    <t>23°57'11.585"N</t>
  </si>
  <si>
    <t>Nala, Well, 11kV</t>
  </si>
  <si>
    <t>75°50'8.919"E</t>
  </si>
  <si>
    <t>23°57'7.992"N</t>
  </si>
  <si>
    <t>75°50'21.624"E</t>
  </si>
  <si>
    <t>23°57'5.096"N</t>
  </si>
  <si>
    <t>11kV line, Well, Nala, House &amp; Cart track</t>
  </si>
  <si>
    <t>AP42/0</t>
  </si>
  <si>
    <t xml:space="preserve"> 21° 35' 50"RT</t>
  </si>
  <si>
    <t>75°50'36.229"E</t>
  </si>
  <si>
    <t>23°57'1.767"N</t>
  </si>
  <si>
    <r>
      <rPr>
        <rFont val="Tahoma"/>
        <b/>
        <color rgb="FFFF0000"/>
        <sz val="11.0"/>
      </rPr>
      <t>132kV S/C Modak-Dag RJVPNL line (T193-194)</t>
    </r>
    <r>
      <rPr>
        <rFont val="Tahoma"/>
        <b/>
        <color rgb="FF000000"/>
        <sz val="11.0"/>
      </rPr>
      <t xml:space="preserve"> &amp; 11kV line</t>
    </r>
  </si>
  <si>
    <t>AP43/0</t>
  </si>
  <si>
    <t xml:space="preserve"> 21° 27' 46"LT</t>
  </si>
  <si>
    <t>75°50'43.598"E</t>
  </si>
  <si>
    <t>23°56'56.931"N</t>
  </si>
  <si>
    <t>33kV line, 11kV line, Metal road, SH-19A &amp; Cart track</t>
  </si>
  <si>
    <t>AP44/0</t>
  </si>
  <si>
    <t xml:space="preserve"> 11° 33' 40"RT</t>
  </si>
  <si>
    <t>75°50'58.802"E</t>
  </si>
  <si>
    <t>23°56'53.429"N</t>
  </si>
  <si>
    <t>75°51'13.187"E</t>
  </si>
  <si>
    <t>23°56'47.086"N</t>
  </si>
  <si>
    <t>75°51'26.583"E</t>
  </si>
  <si>
    <t>23°56'41.179"N</t>
  </si>
  <si>
    <t>75°51'39.915"E</t>
  </si>
  <si>
    <t>23°56'35.299"N</t>
  </si>
  <si>
    <t>AP45/0</t>
  </si>
  <si>
    <t xml:space="preserve"> 21° 45' 7"RT</t>
  </si>
  <si>
    <r>
      <rPr>
        <rFont val="Tahoma"/>
        <b/>
        <sz val="11.0"/>
      </rPr>
      <t>75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51'51.046"E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</si>
  <si>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56'30.389"N</t>
    </r>
  </si>
  <si>
    <t>Orange garden &amp; Nala, CT</t>
  </si>
  <si>
    <r>
      <rPr>
        <rFont val="Tahoma"/>
        <b/>
        <sz val="11.0"/>
      </rPr>
      <t>75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52'1.818"E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</si>
  <si>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56'22.007"N</t>
    </r>
  </si>
  <si>
    <t>Ganeshpura</t>
  </si>
  <si>
    <r>
      <rPr>
        <rFont val="Tahoma"/>
        <b/>
        <sz val="11.0"/>
      </rPr>
      <t>75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52'10.674"E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</si>
  <si>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56'15.117"N</t>
    </r>
  </si>
  <si>
    <t>11kV line, WELL, CT &amp; Nala</t>
  </si>
  <si>
    <r>
      <rPr>
        <rFont val="Tahoma"/>
        <b/>
        <sz val="11.0"/>
      </rPr>
      <t>75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52'21.419"E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</si>
  <si>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56'6.756"N</t>
    </r>
  </si>
  <si>
    <t>11KV, WELL</t>
  </si>
  <si>
    <r>
      <rPr>
        <rFont val="Tahoma"/>
        <b/>
        <sz val="11.0"/>
      </rPr>
      <t>75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52'31.516"E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</si>
  <si>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55'58.898"N</t>
    </r>
  </si>
  <si>
    <t>Chhaan(Chhaan Dug)</t>
  </si>
  <si>
    <t>TAR ROAD</t>
  </si>
  <si>
    <t>AP45A/0</t>
  </si>
  <si>
    <t xml:space="preserve"> 24° 2' 43"LT</t>
  </si>
  <si>
    <r>
      <rPr>
        <rFont val="Tahoma"/>
        <b/>
        <sz val="11.0"/>
      </rPr>
      <t>75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52'42.557"E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</si>
  <si>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55'50.305"N</t>
    </r>
  </si>
  <si>
    <t>Daryavpura</t>
  </si>
  <si>
    <t>11KV</t>
  </si>
  <si>
    <r>
      <rPr>
        <rFont val="Tahoma"/>
        <b/>
        <sz val="11.0"/>
      </rPr>
      <t>75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52'52.95"E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</si>
  <si>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55'42.217"N</t>
    </r>
  </si>
  <si>
    <t>Raised Chimney Expected</t>
  </si>
  <si>
    <t>AP46/0</t>
  </si>
  <si>
    <t xml:space="preserve"> 30° 59' 37"LT</t>
  </si>
  <si>
    <r>
      <rPr>
        <rFont val="Tahoma"/>
        <b/>
        <sz val="11.0"/>
      </rPr>
      <t>75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53'4.931"E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</si>
  <si>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55'32.891"N</t>
    </r>
  </si>
  <si>
    <r>
      <rPr>
        <rFont val="Tahoma"/>
        <b/>
        <sz val="11.0"/>
      </rPr>
      <t>75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53'16.956"E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</si>
  <si>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55'32.744"N</t>
    </r>
  </si>
  <si>
    <r>
      <rPr>
        <rFont val="Tahoma"/>
        <b/>
        <sz val="11.0"/>
      </rPr>
      <t>75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53'33.154"E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</si>
  <si>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55'32.544"N</t>
    </r>
  </si>
  <si>
    <t>Ghati</t>
  </si>
  <si>
    <t>11kV line, Cart track, WELL</t>
  </si>
  <si>
    <t>AP46A/0</t>
  </si>
  <si>
    <t xml:space="preserve"> 15° 18' 60"RT</t>
  </si>
  <si>
    <r>
      <rPr>
        <rFont val="Tahoma"/>
        <b/>
        <sz val="11.0"/>
      </rPr>
      <t>75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53'46.452"E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</si>
  <si>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55'32.38"N</t>
    </r>
  </si>
  <si>
    <r>
      <rPr>
        <rFont val="Tahoma"/>
        <b/>
        <sz val="11.0"/>
      </rPr>
      <t>75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53'57.487"E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</si>
  <si>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55'32.244"N</t>
    </r>
  </si>
  <si>
    <r>
      <rPr>
        <rFont val="Tahoma"/>
        <b/>
        <sz val="11.0"/>
      </rPr>
      <t>75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54'10.855"E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</si>
  <si>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55'32.079"N</t>
    </r>
  </si>
  <si>
    <r>
      <rPr>
        <rFont val="Tahoma"/>
        <b/>
        <sz val="11.0"/>
      </rPr>
      <t>75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54'24.932"E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</si>
  <si>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55'31.904"N</t>
    </r>
  </si>
  <si>
    <t>Cart track, WELL &amp; Nala</t>
  </si>
  <si>
    <t>AP47/0</t>
  </si>
  <si>
    <t xml:space="preserve"> 15° 21' 6"RT</t>
  </si>
  <si>
    <r>
      <rPr>
        <rFont val="Tahoma"/>
        <b/>
        <sz val="11.0"/>
      </rPr>
      <t>75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54'39.466"E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</si>
  <si>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55'31.724"N</t>
    </r>
  </si>
  <si>
    <t>75°54'52.877"E</t>
  </si>
  <si>
    <t>23°55'26.482"N</t>
  </si>
  <si>
    <t>Dodhi</t>
  </si>
  <si>
    <t>75°55'6.156"E</t>
  </si>
  <si>
    <t>23°55'21.29"N</t>
  </si>
  <si>
    <t>75°55'19.599"E</t>
  </si>
  <si>
    <t>23°55'16.035"N</t>
  </si>
  <si>
    <t>75°55'32.943"E</t>
  </si>
  <si>
    <t>23°55'10.818"N</t>
  </si>
  <si>
    <t>75°55'46.157"E</t>
  </si>
  <si>
    <t>23°55'5.651"N</t>
  </si>
  <si>
    <t>75°55'59.533"E</t>
  </si>
  <si>
    <t>23°55'0.42"N</t>
  </si>
  <si>
    <t>75°56'11.64"E</t>
  </si>
  <si>
    <t>23°54'55.685"N</t>
  </si>
  <si>
    <t>75°56'24.202"E</t>
  </si>
  <si>
    <t>23°54'50.772"N</t>
  </si>
  <si>
    <t>75°56'36.243"E</t>
  </si>
  <si>
    <t>23°54'46.062"N</t>
  </si>
  <si>
    <t>75°56'48.674"E</t>
  </si>
  <si>
    <t>23°54'41.199"N</t>
  </si>
  <si>
    <t>75°57'1.171"E</t>
  </si>
  <si>
    <t>23°54'36.311"N</t>
  </si>
  <si>
    <t>Karnaliya</t>
  </si>
  <si>
    <t>Badod</t>
  </si>
  <si>
    <t>AP48/0</t>
  </si>
  <si>
    <t xml:space="preserve"> 5° 44' 24"LT</t>
  </si>
  <si>
    <t>75°57'13.602"E</t>
  </si>
  <si>
    <t>23°54'31.447"N</t>
  </si>
  <si>
    <t>NALA, WELL, PIPAL TREE</t>
  </si>
  <si>
    <t>75°57'25.656"E</t>
  </si>
  <si>
    <t>23°54'27.993"N</t>
  </si>
  <si>
    <t>LT, BORE, HUT, SAMADHI, CT, 11KV</t>
  </si>
  <si>
    <t>75°57'37.506"E</t>
  </si>
  <si>
    <t>23°54'24.596"N</t>
  </si>
  <si>
    <t>NALA, WELL, PIPAL TREE, CT, BARGAD TREE</t>
  </si>
  <si>
    <t>75°57'51.45"E</t>
  </si>
  <si>
    <t>23°54'20.599"N</t>
  </si>
  <si>
    <t>11KV, ORANGE GARDEN, LT, CT</t>
  </si>
  <si>
    <t>75°58'5.731"E</t>
  </si>
  <si>
    <t>23°54'16.505"N</t>
  </si>
  <si>
    <t>ORANGE GARDEN, 11KV, METAL ROAD, CT, NALA, WELL</t>
  </si>
  <si>
    <t>75°58'18.897"E</t>
  </si>
  <si>
    <t>23°54'12.73"N</t>
  </si>
  <si>
    <t>75°58'32.604"E</t>
  </si>
  <si>
    <t>23°54'8.8"N</t>
  </si>
  <si>
    <t>CT, POND</t>
  </si>
  <si>
    <t>75°58'45.77"E</t>
  </si>
  <si>
    <t>23°54'5.025"N</t>
  </si>
  <si>
    <t>Gadhi</t>
  </si>
  <si>
    <t>75°58'59.037"E</t>
  </si>
  <si>
    <t>23°54'1.22"N</t>
  </si>
  <si>
    <t>LT, WELL, SAMADHI, CT, NALA, BARGAD TREE, ORANGE GARDEN</t>
  </si>
  <si>
    <t>75°59'13.418"E</t>
  </si>
  <si>
    <t>23°53'57.095"N</t>
  </si>
  <si>
    <t>Pipalya Chacha</t>
  </si>
  <si>
    <t>LT, NALA</t>
  </si>
  <si>
    <t>AP49/0</t>
  </si>
  <si>
    <t xml:space="preserve"> 5° 32' 52"RT</t>
  </si>
  <si>
    <t>75°59'27.158"E</t>
  </si>
  <si>
    <t>23°53'53.154"N</t>
  </si>
  <si>
    <t>NALA, WELL, 11KV, METAL ROAD, LT</t>
  </si>
  <si>
    <t>75°59'40.32"E</t>
  </si>
  <si>
    <t>23°53'48.048"N</t>
  </si>
  <si>
    <t>75°59'53.939"E</t>
  </si>
  <si>
    <t>23°53'42.764"N</t>
  </si>
  <si>
    <t>WELL, LT, 11KV, NALA</t>
  </si>
  <si>
    <t>76°0'7.394"E</t>
  </si>
  <si>
    <t>23°53'37.543"N</t>
  </si>
  <si>
    <t>PIPAL TREE</t>
  </si>
  <si>
    <t>76°0'20.751"E</t>
  </si>
  <si>
    <t>23°53'32.36"N</t>
  </si>
  <si>
    <t>76°0'34.629"E</t>
  </si>
  <si>
    <t>23°53'26.975"N</t>
  </si>
  <si>
    <t>Gangapur</t>
  </si>
  <si>
    <t>LT, NALA, 11KV</t>
  </si>
  <si>
    <t xml:space="preserve">  </t>
  </si>
  <si>
    <t>76°0'47.562"E</t>
  </si>
  <si>
    <t>23°53'21.955"N</t>
  </si>
  <si>
    <t>Gyasari</t>
  </si>
  <si>
    <t>AP50/0</t>
  </si>
  <si>
    <t xml:space="preserve"> 20° 9' 8"LT</t>
  </si>
  <si>
    <t>76°1'0.735"E</t>
  </si>
  <si>
    <t>23°53'16.843"N</t>
  </si>
  <si>
    <t>220KV S/C RUM-O2P-RTL T12-T13</t>
  </si>
  <si>
    <t>AP51/0</t>
  </si>
  <si>
    <t xml:space="preserve"> 31° 40' 27"RT</t>
  </si>
  <si>
    <t>76°1'8.64"E</t>
  </si>
  <si>
    <t>23°53'16.495"N</t>
  </si>
  <si>
    <t>76°1'20.95"E</t>
  </si>
  <si>
    <t>23°53'8.742"N</t>
  </si>
  <si>
    <t>SAMADHI, 11KV, CT</t>
  </si>
  <si>
    <t>76°1'30.956"E</t>
  </si>
  <si>
    <t>23°53'2.44"N</t>
  </si>
  <si>
    <r>
      <rPr>
        <rFont val="Tahoma"/>
        <b/>
        <sz val="11.0"/>
      </rPr>
      <t>76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1'41.457"E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</si>
  <si>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52'55.825"N</t>
    </r>
  </si>
  <si>
    <t>Shyamgarh</t>
  </si>
  <si>
    <t>WELL, 11KV</t>
  </si>
  <si>
    <t>AP52/0</t>
  </si>
  <si>
    <t xml:space="preserve"> 24° 40' 51"LT</t>
  </si>
  <si>
    <r>
      <rPr>
        <rFont val="Tahoma"/>
        <b/>
        <sz val="11.0"/>
      </rPr>
      <t>76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1'51.365"E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</si>
  <si>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52'49.584"N</t>
    </r>
  </si>
  <si>
    <t>LT LINE/METAL ROAD/WELL</t>
  </si>
  <si>
    <r>
      <rPr>
        <rFont val="Tahoma"/>
        <b/>
        <sz val="11.0"/>
      </rPr>
      <t>76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2'5.618"E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</si>
  <si>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52'47.335"N</t>
    </r>
  </si>
  <si>
    <t>AP53/0</t>
  </si>
  <si>
    <t xml:space="preserve"> 11° 13' 26"RT</t>
  </si>
  <si>
    <r>
      <rPr>
        <rFont val="Tahoma"/>
        <b/>
        <sz val="11.0"/>
      </rPr>
      <t>76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2'19.245"E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</si>
  <si>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52'45.185"N</t>
    </r>
  </si>
  <si>
    <t>11KV LINE/CART TRACK/SCHOOL/SCHOOL/CRICKET PITCH/CART TRACK/11KV LINE</t>
  </si>
  <si>
    <t>AP53A/0</t>
  </si>
  <si>
    <t xml:space="preserve"> 4° 32' 26"RT</t>
  </si>
  <si>
    <r>
      <rPr>
        <rFont val="Tahoma"/>
        <b/>
        <sz val="11.0"/>
      </rPr>
      <t>76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2'31.992"E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</si>
  <si>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52'40.695"N</t>
    </r>
  </si>
  <si>
    <t>Saranga_khedi</t>
  </si>
  <si>
    <t>MUMBAI-MANMAD BIJWASAN GAS PIPE LINE(BPCL)</t>
  </si>
  <si>
    <t>AP53B/0</t>
  </si>
  <si>
    <t xml:space="preserve"> 14° 18' 4"RT</t>
  </si>
  <si>
    <r>
      <rPr>
        <rFont val="Tahoma"/>
        <b/>
        <sz val="11.0"/>
      </rPr>
      <t>76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2'43.891"E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</si>
  <si>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52'35.475"N</t>
    </r>
  </si>
  <si>
    <r>
      <rPr>
        <rFont val="Tahoma"/>
        <b/>
        <sz val="11.0"/>
      </rPr>
      <t>76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2'52.936"E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</si>
  <si>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52'28.544"N</t>
    </r>
  </si>
  <si>
    <t>2 NOS. 11KV LINE</t>
  </si>
  <si>
    <t>AP54/0</t>
  </si>
  <si>
    <t xml:space="preserve"> 28° 2' 4"RT</t>
  </si>
  <si>
    <r>
      <rPr>
        <rFont val="Tahoma"/>
        <b/>
        <sz val="11.0"/>
      </rPr>
      <t>76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3'2.636"E</t>
    </r>
  </si>
  <si>
    <r>
      <rPr>
        <rFont val="Tahoma"/>
        <b/>
        <sz val="11.0"/>
      </rPr>
      <t>23</t>
    </r>
    <r>
      <rPr>
        <rFont val="Tahoma"/>
        <b/>
        <sz val="11.0"/>
        <vertAlign val="superscript"/>
      </rPr>
      <t>0</t>
    </r>
    <r>
      <rPr>
        <rFont val="Tahoma"/>
        <b/>
        <sz val="11.0"/>
      </rPr>
      <t>52'21.111"N</t>
    </r>
  </si>
  <si>
    <t>Maharundi</t>
  </si>
  <si>
    <t>220KV DC BADOD-NALKHEDA TL(MPPTCL)</t>
  </si>
  <si>
    <t>AP55/0</t>
  </si>
  <si>
    <t xml:space="preserve"> 48° 36' 23"LT</t>
  </si>
  <si>
    <t>76d3'5.759"E</t>
  </si>
  <si>
    <t>23d52'14.06"N</t>
  </si>
  <si>
    <t>RC=1M</t>
  </si>
  <si>
    <t>LT LINE/CART TRACK</t>
  </si>
  <si>
    <t>76d3'17.509"E</t>
  </si>
  <si>
    <t>23d52'10.289"N</t>
  </si>
  <si>
    <t>76d3'29.292"E</t>
  </si>
  <si>
    <t>23d52'6.508"N</t>
  </si>
  <si>
    <t>TAR ROAD/CART TRACK/11KV LINE</t>
  </si>
  <si>
    <t>AP56/0</t>
  </si>
  <si>
    <t xml:space="preserve"> 10° 8' 39"LT</t>
  </si>
  <si>
    <t>76d3'41.061"E</t>
  </si>
  <si>
    <t>23d52'2.731"N</t>
  </si>
  <si>
    <t>Barda_Barkheda</t>
  </si>
  <si>
    <t>11KV LINE</t>
  </si>
  <si>
    <t>76d3'50.417"E</t>
  </si>
  <si>
    <t>23d52'1.353"N</t>
  </si>
  <si>
    <t>11KV LINE/33KV LINE/METAL ROAD/11KV LINE</t>
  </si>
  <si>
    <t>76d4'1.099"E</t>
  </si>
  <si>
    <t>23d51'59.781"N</t>
  </si>
  <si>
    <t>76d4'11.466"E</t>
  </si>
  <si>
    <t>23d51'58.254"N</t>
  </si>
  <si>
    <t>NALA/LT LINE/WELL/CEMETERY AREA</t>
  </si>
  <si>
    <t>AP57/0</t>
  </si>
  <si>
    <t xml:space="preserve"> 8° 34' 46"RT</t>
  </si>
  <si>
    <t>76d4'25.932"E</t>
  </si>
  <si>
    <t>23d51'56.123"N</t>
  </si>
  <si>
    <t>WELL/NALA/WELL/NALA</t>
  </si>
  <si>
    <t>76d4'37.115"E</t>
  </si>
  <si>
    <t>23d51'52.845"N</t>
  </si>
  <si>
    <t>76d4'50.925"E</t>
  </si>
  <si>
    <t>23d51'48.797"N</t>
  </si>
  <si>
    <t>NALA/LT LINE/WELL/CART TRACK/11KV LINE</t>
  </si>
  <si>
    <t>76d5'4.869"E</t>
  </si>
  <si>
    <t>23d51'44.708"N</t>
  </si>
  <si>
    <t>CART TRACK/WELL/SAMADHI/11KV LINE</t>
  </si>
  <si>
    <t>76d5'18.577"E</t>
  </si>
  <si>
    <t>23d51'40.689"N</t>
  </si>
  <si>
    <t>CART TRACK/LT LINE/LOW LAND</t>
  </si>
  <si>
    <t>AP58/0</t>
  </si>
  <si>
    <t xml:space="preserve"> 16° 14' 41"RT</t>
  </si>
  <si>
    <t>76d5'32.786"E</t>
  </si>
  <si>
    <t>23d51'36.522"N</t>
  </si>
  <si>
    <t>Benching Expected</t>
  </si>
  <si>
    <t>Lake</t>
  </si>
  <si>
    <t>AP59/0</t>
  </si>
  <si>
    <t xml:space="preserve"> 24° 14' 33"LT</t>
  </si>
  <si>
    <t>76°5'48.395"E</t>
  </si>
  <si>
    <t>23°51'26.863"N</t>
  </si>
  <si>
    <t xml:space="preserve"> 33KkV line, Nala</t>
  </si>
  <si>
    <t>76d6'2.856"E</t>
  </si>
  <si>
    <t>23d51'24.593"N</t>
  </si>
  <si>
    <t>Semalkhedi</t>
  </si>
  <si>
    <t>Nalkheda</t>
  </si>
  <si>
    <t>33kV lines, 11kV lines</t>
  </si>
  <si>
    <t>AP60/0</t>
  </si>
  <si>
    <t xml:space="preserve"> 26° 15' 27"RT</t>
  </si>
  <si>
    <t>76d6'15.048"E</t>
  </si>
  <si>
    <t>23d51'22.678"N</t>
  </si>
  <si>
    <t>NH-552G, 33kV line, 11kV line, Nala</t>
  </si>
  <si>
    <t>AP61/0</t>
  </si>
  <si>
    <t xml:space="preserve"> 2° 56' 37"LT</t>
  </si>
  <si>
    <t>76d6'22.173"E</t>
  </si>
  <si>
    <t>23d51'17.925"N</t>
  </si>
  <si>
    <t>Nala, LT line, Well, Cart Track</t>
  </si>
  <si>
    <t>76d6'32.579"E</t>
  </si>
  <si>
    <t>23d51'11.709"N</t>
  </si>
  <si>
    <t>Metal road, 11kV line</t>
  </si>
  <si>
    <t>AP62/0</t>
  </si>
  <si>
    <t xml:space="preserve"> 2° 14' 43"LT</t>
  </si>
  <si>
    <t>76°6'41.687"E</t>
  </si>
  <si>
    <t>23°51'6.267"N</t>
  </si>
  <si>
    <t xml:space="preserve">132 KV DC  CKT-1 AGAR -SUSNER , CKT-2 AGAR - NALKHEDA OHTL OHTL, 33kV lines, 11kV line, Cart track </t>
  </si>
  <si>
    <t>AP63/0</t>
  </si>
  <si>
    <t xml:space="preserve"> 24° 32' 28"LT</t>
  </si>
  <si>
    <t>76°6'49.297"E</t>
  </si>
  <si>
    <t>23°51'2.1"N</t>
  </si>
  <si>
    <t>76°7'4.161"E</t>
  </si>
  <si>
    <t>23°51'0.609"N</t>
  </si>
  <si>
    <t>Cart Track</t>
  </si>
  <si>
    <t>76°7'16.074"E</t>
  </si>
  <si>
    <t>23°50'59.414"N</t>
  </si>
  <si>
    <t>Abandoned 11kV line, Cart track</t>
  </si>
  <si>
    <t>76°7'28.021"E</t>
  </si>
  <si>
    <t>23°50'58.216"N</t>
  </si>
  <si>
    <t>Borkhedi_Saloki</t>
  </si>
  <si>
    <t>AP64/0</t>
  </si>
  <si>
    <t xml:space="preserve"> 41° 42' 42"RT</t>
  </si>
  <si>
    <t>76°7'39.935"E</t>
  </si>
  <si>
    <t>23°50'57.02"N</t>
  </si>
  <si>
    <t>76°7'49.004"E</t>
  </si>
  <si>
    <t>23°50'47.775"N</t>
  </si>
  <si>
    <t>Orange garden, Well, Cart track</t>
  </si>
  <si>
    <t>AP65/0</t>
  </si>
  <si>
    <t xml:space="preserve"> 22° 30' 31"LT</t>
  </si>
  <si>
    <t>76°7'58.47"E</t>
  </si>
  <si>
    <t>23°50'38.125"N</t>
  </si>
  <si>
    <t>11kV line, Nala, Well</t>
  </si>
  <si>
    <t>76°8'10.791"E</t>
  </si>
  <si>
    <t>23°50'32.736"N</t>
  </si>
  <si>
    <t>76°8'23.335"E</t>
  </si>
  <si>
    <t>23°50'27.248"N</t>
  </si>
  <si>
    <t>Nala, Cart track, Well</t>
  </si>
  <si>
    <t>76°8'36.805"E</t>
  </si>
  <si>
    <t>23°50'21.355"N</t>
  </si>
  <si>
    <t>Suigaon</t>
  </si>
  <si>
    <t>76°8'49.827"E</t>
  </si>
  <si>
    <t>23°50'15.658"N</t>
  </si>
  <si>
    <t>11kV line, LT line, Metal road, Well, Nala</t>
  </si>
  <si>
    <t>76°9'1.637"E</t>
  </si>
  <si>
    <t>23°50'10.49"N</t>
  </si>
  <si>
    <t>76°9'12.648"E</t>
  </si>
  <si>
    <t>23°50'5.672"N</t>
  </si>
  <si>
    <t>76°9'23.882"E</t>
  </si>
  <si>
    <t>23°50'0.756"N</t>
  </si>
  <si>
    <t>76°9'37.924"E</t>
  </si>
  <si>
    <t>23°49'54.61"N</t>
  </si>
  <si>
    <t>76°9'50.052"E</t>
  </si>
  <si>
    <t>23°49'49.302"N</t>
  </si>
  <si>
    <t>11kV line, LT line, Cart track</t>
  </si>
  <si>
    <t>76°10'3.328"E</t>
  </si>
  <si>
    <t>23°49'43.491"N</t>
  </si>
  <si>
    <t>Kilona</t>
  </si>
  <si>
    <t>76°10'16.284"E</t>
  </si>
  <si>
    <t>23°49'37.819"N</t>
  </si>
  <si>
    <t>11kv line, Nala, Well</t>
  </si>
  <si>
    <t>AP66/0</t>
  </si>
  <si>
    <t xml:space="preserve"> 1° 44' 24"RT</t>
  </si>
  <si>
    <t>76°10'30.108"E</t>
  </si>
  <si>
    <t>23°49'31.768"N</t>
  </si>
  <si>
    <t>Nala, Well, Cart track</t>
  </si>
  <si>
    <t xml:space="preserve"> 0° 44' 14"RT</t>
  </si>
  <si>
    <t>76°10'41.212"E</t>
  </si>
  <si>
    <t>23°49'26.52"N</t>
  </si>
  <si>
    <t>Pilwas</t>
  </si>
  <si>
    <t>Orange garden, Cart track</t>
  </si>
  <si>
    <t xml:space="preserve"> 0° 50' 41"LT</t>
  </si>
  <si>
    <t>76°10'53.918"E</t>
  </si>
  <si>
    <t>23°49'20.323"N</t>
  </si>
  <si>
    <t>Orange garden, Nala</t>
  </si>
  <si>
    <t>76°11'7.007"E</t>
  </si>
  <si>
    <t>23°49'14.165"N</t>
  </si>
  <si>
    <t>11kV line, LT line, Cart track, Orange garden</t>
  </si>
  <si>
    <t>76°11'18.743"E</t>
  </si>
  <si>
    <t>23°49'8.643"N</t>
  </si>
  <si>
    <t>76°11'30.981"E</t>
  </si>
  <si>
    <t>23°49'2.884"N</t>
  </si>
  <si>
    <t>76°11'43.534"E</t>
  </si>
  <si>
    <t>23°48'56.977"N</t>
  </si>
  <si>
    <t>Cart track, 11kV line, Well, Hut</t>
  </si>
  <si>
    <t>76°11'56.496"E</t>
  </si>
  <si>
    <t>23°48'50.877"N</t>
  </si>
  <si>
    <t>11kv line, Cart track, Orange garden, Well</t>
  </si>
  <si>
    <t>76°12'9.646"E</t>
  </si>
  <si>
    <t>23°48'44.687"N</t>
  </si>
  <si>
    <t>Metal road, 11kV line, Well, Hut</t>
  </si>
  <si>
    <t>AP67/0</t>
  </si>
  <si>
    <t xml:space="preserve"> 9° 0' 29"RT</t>
  </si>
  <si>
    <t>76°12'22.044"E</t>
  </si>
  <si>
    <t>23°48'38.852"N</t>
  </si>
  <si>
    <t>76°12'33.435"E</t>
  </si>
  <si>
    <t>23°48'31.208"N</t>
  </si>
  <si>
    <t>11kv line, Cart track, Well</t>
  </si>
  <si>
    <t>76°12'43.37"E</t>
  </si>
  <si>
    <t>23°48'24.541"N</t>
  </si>
  <si>
    <t>Bhilkhedi</t>
  </si>
  <si>
    <t>11kv line, Cart track, Well, Metal road, Nala</t>
  </si>
  <si>
    <t>76°12'53.591"E</t>
  </si>
  <si>
    <t>23°48'17.683"N</t>
  </si>
  <si>
    <t>Nala, LT line, orange garden, Well</t>
  </si>
  <si>
    <t>AP68/0</t>
  </si>
  <si>
    <t xml:space="preserve"> 13° 2' 58"LT</t>
  </si>
  <si>
    <t>76°13'7.242"E</t>
  </si>
  <si>
    <t>23°48'8.521"N</t>
  </si>
  <si>
    <t>SUMMARY OF TOWERS QUANTITIES  GANTRY  TO AP 68 COMMON POINT</t>
  </si>
  <si>
    <t>EXTENSION</t>
  </si>
  <si>
    <t>TOTAL TOWER</t>
  </si>
  <si>
    <t>+0</t>
  </si>
  <si>
    <t>+1.5</t>
  </si>
  <si>
    <t>+3</t>
  </si>
  <si>
    <t>+6</t>
  </si>
  <si>
    <t>+9</t>
  </si>
  <si>
    <t>+12</t>
  </si>
  <si>
    <t>+18</t>
  </si>
  <si>
    <t>+25</t>
  </si>
  <si>
    <t>DA</t>
  </si>
  <si>
    <t>DB1</t>
  </si>
  <si>
    <t>DB2</t>
  </si>
  <si>
    <t>DC1</t>
  </si>
  <si>
    <t>DC2</t>
  </si>
  <si>
    <t>DD45</t>
  </si>
  <si>
    <t>DD60</t>
  </si>
  <si>
    <t>'VC-765kV MKTL'!A1</t>
  </si>
  <si>
    <t>FOUNDATION!A1</t>
  </si>
  <si>
    <t>EARTHING!A1</t>
  </si>
  <si>
    <t>ERECTION!A1</t>
  </si>
  <si>
    <t>TS!A1</t>
  </si>
  <si>
    <t>Original Route alignment</t>
  </si>
  <si>
    <t>KM</t>
  </si>
  <si>
    <t>Diverted Route Alignment</t>
  </si>
  <si>
    <t xml:space="preserve">Pending </t>
  </si>
  <si>
    <t>Crossing Proposals</t>
  </si>
  <si>
    <t>Power line Crossings</t>
  </si>
  <si>
    <t>NOC Received</t>
  </si>
  <si>
    <t>Aviation/Defence proposal</t>
  </si>
  <si>
    <t>Major river crossing</t>
  </si>
  <si>
    <t>Forest </t>
  </si>
  <si>
    <t>Other Crossings (Specify)</t>
  </si>
  <si>
    <t xml:space="preserve">Forest </t>
  </si>
  <si>
    <t>Other Crossings (Gas/oil pipe line)</t>
  </si>
  <si>
    <t>Gas/Oil Pipe line</t>
  </si>
  <si>
    <t>Canal</t>
  </si>
  <si>
    <t>Other Crossings (State Highway)</t>
  </si>
  <si>
    <t>Other Crossings (Civil Aviation)</t>
  </si>
  <si>
    <t>TA-509 - 765 kV D/C Mandsaur - Kurawar </t>
  </si>
  <si>
    <t>KEC International Ltd.  </t>
  </si>
  <si>
    <t>Description</t>
  </si>
  <si>
    <t>Submitted</t>
  </si>
  <si>
    <t>Approved</t>
  </si>
  <si>
    <t xml:space="preserve">55/0-58/0-ROUTE DIVERSION </t>
  </si>
  <si>
    <t xml:space="preserve">APPROVAL AWAITED </t>
  </si>
  <si>
    <t>NA</t>
  </si>
  <si>
    <t>NA (Non navigable)</t>
  </si>
  <si>
    <t>42/0-43/0-POWERLINE-XING JOINT VERFICATION DONE BY (26/06/2025)</t>
  </si>
  <si>
    <t>31/0-32/0-RAILWAY-XING JOINT VERFICATION DONE BY (27/06/2025)</t>
  </si>
  <si>
    <t>28/0-29/0-POWERLINE-XING JOINT VERFICATION DONE BY (04/07/2025)</t>
  </si>
  <si>
    <t xml:space="preserve">TA-509 765 KV D/C Mandsaur - Kurawar (Part-1)Transmission Line(WZ-4)
</t>
  </si>
  <si>
    <t xml:space="preserve">Sl No </t>
  </si>
  <si>
    <t xml:space="preserve">SL NO. </t>
  </si>
  <si>
    <t xml:space="preserve">AP NO </t>
  </si>
  <si>
    <t>Towe Type</t>
  </si>
  <si>
    <t xml:space="preserve">AP No </t>
  </si>
  <si>
    <t xml:space="preserve">Type of Crossings </t>
  </si>
  <si>
    <t>Line Name</t>
  </si>
  <si>
    <t>LINE OWNER</t>
  </si>
  <si>
    <t>Proposal Submitted (Y/N)</t>
  </si>
  <si>
    <t>Inspection Status (Y/N)</t>
  </si>
  <si>
    <t xml:space="preserve">DD60+25 (1 MRC) </t>
  </si>
  <si>
    <t xml:space="preserve">POWERLINE-XING </t>
  </si>
  <si>
    <t xml:space="preserve">APPROVAL-AWAITED </t>
  </si>
  <si>
    <t xml:space="preserve">SUBMITTED </t>
  </si>
  <si>
    <t>JOINT INSPECTION DONE BY 04.06.2025</t>
  </si>
  <si>
    <t>DC2+1</t>
  </si>
  <si>
    <t xml:space="preserve">MPPTCL </t>
  </si>
  <si>
    <t>RVPNL</t>
  </si>
  <si>
    <t>JOINT INSPECTION DONE BY  26.06.2025</t>
  </si>
  <si>
    <t xml:space="preserve">DC2+18 </t>
  </si>
  <si>
    <t xml:space="preserve">RTL </t>
  </si>
  <si>
    <t xml:space="preserve">JOINT INSPECTION PENDING </t>
  </si>
  <si>
    <t xml:space="preserve">DC2+2 </t>
  </si>
  <si>
    <t xml:space="preserve">NOT SUBMITTED YET  </t>
  </si>
  <si>
    <t>PENDING DUE TO FINALIZATION OF SURVEY FOR AVOIDING FOREST IN B/T 52/0-58/0</t>
  </si>
  <si>
    <t xml:space="preserve">NH-XING </t>
  </si>
  <si>
    <t xml:space="preserve">NHAI </t>
  </si>
  <si>
    <t xml:space="preserve">DD60+9 </t>
  </si>
  <si>
    <t xml:space="preserve">RAILWAY-XING </t>
  </si>
  <si>
    <t xml:space="preserve">INDIAN-RAILWAY KOTA DIVISION </t>
  </si>
  <si>
    <t xml:space="preserve">JOINT INSPECTION DONE BY 27.06.2025 &amp; REVISE INSPECTION PENDING </t>
  </si>
  <si>
    <t>KEC International Limited - Gurgaon.</t>
  </si>
  <si>
    <t>Erection Productivity Gang wise  - Nov'25</t>
  </si>
  <si>
    <t>Sub-Contractor Name</t>
  </si>
  <si>
    <t>Loc. No.</t>
  </si>
  <si>
    <t>Type of Tower</t>
  </si>
  <si>
    <t>Tower Weight (MT)</t>
  </si>
  <si>
    <t>Previous Month</t>
  </si>
  <si>
    <t>01.11.25 (MT)</t>
  </si>
  <si>
    <t>02.11.25 (MT)</t>
  </si>
  <si>
    <t>03.11.25 (MT)</t>
  </si>
  <si>
    <t>04.11.25 (MT)</t>
  </si>
  <si>
    <t>05.11.25 (MT)</t>
  </si>
  <si>
    <t>06.11.25 (MT)</t>
  </si>
  <si>
    <t>07.11.25 (MT)</t>
  </si>
  <si>
    <t>08.11.25 (MT)</t>
  </si>
  <si>
    <t>09.11.25 (MT)</t>
  </si>
  <si>
    <t>10.11.25 (MT)</t>
  </si>
  <si>
    <t>11.11.25 (MT)</t>
  </si>
  <si>
    <t>12.11.25 (MT)</t>
  </si>
  <si>
    <t>13.11.25 (MT)</t>
  </si>
  <si>
    <t>14.11.25 (MT)</t>
  </si>
  <si>
    <t>15.11.25 (MT)</t>
  </si>
  <si>
    <t>16.11.25 (MT)</t>
  </si>
  <si>
    <t>17.11.25 (MT)</t>
  </si>
  <si>
    <t>18.11.25 (MT)</t>
  </si>
  <si>
    <t>19.11.25 (MT)</t>
  </si>
  <si>
    <t>20.11.25 (MT)</t>
  </si>
  <si>
    <t>21.11.25 (MT)</t>
  </si>
  <si>
    <t>22.11.25 (MT)</t>
  </si>
  <si>
    <t>23.11.25 (MT)</t>
  </si>
  <si>
    <t>24.11.25 (MT)</t>
  </si>
  <si>
    <t>25.11.25 (MT)</t>
  </si>
  <si>
    <t>26.11.25 (MT)</t>
  </si>
  <si>
    <t>27.11.25 (MT)</t>
  </si>
  <si>
    <t>28.11.25 (MT)</t>
  </si>
  <si>
    <t>29.11.25 (MT)</t>
  </si>
  <si>
    <t>30.11.25 (MT)</t>
  </si>
  <si>
    <t>Cumulative Till dated</t>
  </si>
  <si>
    <t>Manpower/Gang</t>
  </si>
  <si>
    <t>Plan</t>
  </si>
  <si>
    <t>Actual</t>
  </si>
  <si>
    <t>Shotfall</t>
  </si>
  <si>
    <t>Devi Construction</t>
  </si>
  <si>
    <t>Aravali Infra-1</t>
  </si>
  <si>
    <t>Aravali Infra-2</t>
  </si>
  <si>
    <t>Aravali Infra-3</t>
  </si>
  <si>
    <t>Jawala singh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</si>
</sst>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-F800]dddd\,\ mmmm\ dd\,\ yyyy"/>
    <numFmt numFmtId="165" formatCode="0.000"/>
    <numFmt numFmtId="166" formatCode="0.0"/>
    <numFmt numFmtId="167" formatCode="[$-14009]dd/mm/yy"/>
    <numFmt numFmtId="168" formatCode="[$-409]d/mmm/yyyy"/>
    <numFmt numFmtId="169" formatCode="0;;"/>
    <numFmt numFmtId="170" formatCode="0.000;;"/>
    <numFmt numFmtId="171" formatCode="_(* #,##0.000_);_(* \(#,##0.000\);_(* &quot;-&quot;???_);_(@_)"/>
  </numFmts>
  <fonts count="85">
    <font>
      <sz val="11.0"/>
      <color/>
      <name val="Arial"/>
      <scheme val="minor"/>
    </font>
    <font>
      <b/>
      <sz val="14.0"/>
      <color/>
      <name val="Calibri"/>
    </font>
    <font/>
    <font>
      <b/>
      <sz val="11.0"/>
      <color/>
      <name val="Calibri"/>
    </font>
    <font>
      <sz val="11.0"/>
      <color/>
      <name val="Calibri"/>
    </font>
    <font>
      <b/>
      <sz val="11.0"/>
      <name val="Calibri"/>
    </font>
    <font>
      <b/>
      <sz val="9.0"/>
      <color/>
      <name val="Calibri"/>
    </font>
    <font>
      <b/>
      <sz val="10.0"/>
      <name val="Calibri"/>
    </font>
    <font>
      <sz val="11.0"/>
      <name val="Calibri"/>
    </font>
    <font>
      <sz val="10.0"/>
      <name val="Calibri"/>
    </font>
    <font>
      <b/>
      <sz val="11.0"/>
      <name val="Tahoma"/>
    </font>
    <font>
      <b/>
      <sz val="11.0"/>
      <color/>
      <name val="Tahoma"/>
    </font>
    <font>
      <sz val="8.0"/>
      <color/>
      <name val="Calibri"/>
    </font>
    <font>
      <sz val="10.0"/>
      <color/>
      <name val="Calibri"/>
    </font>
    <font>
      <b/>
      <sz val="18.0"/>
      <color/>
      <name val="Calibri"/>
    </font>
    <font>
      <b/>
      <sz val="12.0"/>
      <color/>
      <name val="Calibri"/>
    </font>
    <font>
      <b/>
      <sz val="10.0"/>
      <color/>
      <name val="Calibri"/>
    </font>
    <font>
      <b/>
      <sz val="10.0"/>
      <color rgb="FF000000"/>
      <name val="Cambria"/>
    </font>
    <font>
      <b/>
      <sz val="9.0"/>
      <color rgb="FF000000"/>
      <name val="Cambria"/>
    </font>
    <font>
      <sz val="10.0"/>
      <color rgb="FF000000"/>
      <name val="Cambria"/>
    </font>
    <font>
      <sz val="10.0"/>
      <name val="Cambria"/>
    </font>
    <font>
      <sz val="12.0"/>
      <color/>
      <name val="Calibri"/>
    </font>
    <font>
      <sz val="11.0"/>
      <color/>
      <name val="Cambria"/>
    </font>
    <font>
      <b/>
      <sz val="11.0"/>
      <color rgb="FFFF0000"/>
      <name val="Calibri"/>
    </font>
    <font>
      <b/>
      <sz val="11.0"/>
      <color rgb="FF000000"/>
      <name val="Cambria"/>
    </font>
    <font>
      <b/>
      <sz val="14.0"/>
      <color rgb="FF000000"/>
      <name val="Cambria"/>
    </font>
    <font>
      <b/>
      <sz val="16.0"/>
      <color rgb="FF000000"/>
      <name val="Cambria"/>
    </font>
    <font>
      <sz val="9.0"/>
      <name val="Arial"/>
    </font>
    <font>
      <sz val="9.0"/>
      <color/>
      <name val="Arial"/>
    </font>
    <font>
      <sz val="10.0"/>
      <name val="Arial"/>
    </font>
    <font>
      <sz val="9.0"/>
      <color/>
      <name val="Tahoma"/>
    </font>
    <font>
      <sz val="9.0"/>
      <name val="Tahoma"/>
    </font>
    <font>
      <sz val="11.0"/>
      <name val="Tahoma"/>
    </font>
    <font>
      <i/>
      <sz val="11.0"/>
      <color rgb="FF000000"/>
      <name val="Calibri"/>
    </font>
    <font>
      <b/>
      <i/>
      <sz val="11.0"/>
      <name val="Calibri"/>
    </font>
    <font>
      <i/>
      <sz val="11.0"/>
      <name val="Calibri"/>
    </font>
    <font>
      <i/>
      <sz val="11.0"/>
      <color/>
      <name val="Calibri"/>
    </font>
    <font>
      <b/>
      <i/>
      <sz val="11.0"/>
      <color rgb="FF757070"/>
      <name val="Calibri"/>
    </font>
    <font>
      <i/>
      <u/>
      <sz val="11.0"/>
      <color rgb="FF757070"/>
      <name val="Calibri"/>
    </font>
    <font>
      <b/>
      <i/>
      <sz val="11.0"/>
      <color rgb="FF385623"/>
      <name val="Calibri"/>
    </font>
    <font>
      <b/>
      <i/>
      <sz val="11.0"/>
      <color rgb="FFFF0000"/>
      <name val="Calibri"/>
    </font>
    <font>
      <b/>
      <i/>
      <sz val="11.0"/>
      <color/>
      <name val="Calibri"/>
    </font>
    <font>
      <b/>
      <i/>
      <sz val="11.0"/>
      <color rgb="FF002060"/>
      <name val="Calibri"/>
    </font>
    <font>
      <u/>
      <sz val="11.0"/>
      <color rgb="FF7F7F7F"/>
      <name val="Calibri"/>
    </font>
    <font>
      <b/>
      <i/>
      <sz val="11.0"/>
      <color rgb="FF00B050"/>
      <name val="Calibri"/>
    </font>
    <font>
      <i/>
      <sz val="11.0"/>
      <color rgb="FF757070"/>
      <name val="Calibri"/>
    </font>
    <font>
      <b/>
      <i/>
      <sz val="11.0"/>
      <color rgb="FF000000"/>
      <name val="Calibri"/>
    </font>
    <font>
      <b/>
      <sz val="11.0"/>
      <color rgb="FF002060"/>
      <name val="Calibri"/>
    </font>
    <font>
      <b/>
      <i/>
      <sz val="10.0"/>
      <color rgb="FF000000"/>
      <name val="Calibri"/>
    </font>
    <font>
      <b/>
      <i/>
      <sz val="9.0"/>
      <color rgb="FF000000"/>
      <name val="Calibri"/>
    </font>
    <font>
      <i/>
      <sz val="8.0"/>
      <name val="Calibri"/>
    </font>
    <font>
      <i/>
      <sz val="9.0"/>
      <name val="Calibri"/>
    </font>
    <font>
      <b/>
      <i/>
      <sz val="8.0"/>
      <color rgb="FF000000"/>
      <name val="Calibri"/>
    </font>
    <font>
      <i/>
      <sz val="9.0"/>
      <color rgb="FF000000"/>
      <name val="Calibri"/>
    </font>
    <font>
      <i/>
      <sz val="8.0"/>
      <color rgb="FF000000"/>
      <name val="Calibri"/>
    </font>
    <font>
      <b/>
      <i/>
      <sz val="8.0"/>
      <name val="Calibri"/>
    </font>
    <font>
      <b/>
      <i/>
      <sz val="9.0"/>
      <name val="Calibri"/>
    </font>
    <font>
      <i/>
      <sz val="10.0"/>
      <color rgb="FF000000"/>
      <name val="Calibri"/>
    </font>
    <font>
      <b/>
      <sz val="12.0"/>
      <color/>
      <name val="Tahoma"/>
    </font>
    <font>
      <b/>
      <sz val="10.0"/>
      <color/>
      <name val="Tahoma"/>
    </font>
    <font>
      <b/>
      <sz val="10.0"/>
      <name val="Tahoma"/>
    </font>
    <font>
      <b/>
      <sz val="9.0"/>
      <color/>
      <name val="Tahoma"/>
    </font>
    <font>
      <b/>
      <sz val="11.0"/>
      <color rgb="FFFF0000"/>
      <name val="Tahoma"/>
    </font>
    <font>
      <b/>
      <sz val="10.0"/>
      <color rgb="FFFF0000"/>
      <name val="Tahoma"/>
    </font>
    <font>
      <b/>
      <sz val="10.0"/>
      <color rgb="FFFF0000"/>
      <name val="Arial"/>
    </font>
    <font>
      <b/>
      <sz val="14.0"/>
      <color/>
      <name val="Tahoma"/>
    </font>
    <font>
      <b/>
      <u/>
      <sz val="11.0"/>
      <color/>
      <name val="Calibri"/>
    </font>
    <font>
      <u/>
      <sz val="11.0"/>
      <color/>
      <name val="Calibri"/>
    </font>
    <font>
      <sz val="12.0"/>
      <color rgb="FF000000"/>
      <name val="Arial"/>
    </font>
    <font>
      <sz val="11.0"/>
      <color rgb="FF000000"/>
      <name val="Calibri"/>
    </font>
    <font>
      <sz val="11.0"/>
      <color/>
      <name val="Arial"/>
    </font>
    <font>
      <b/>
      <sz val="10.0"/>
      <color rgb="FF000000"/>
      <name val="Arial"/>
    </font>
    <font>
      <sz val="9.0"/>
      <color rgb="FF242424"/>
      <name val="Quattrocento Sans"/>
    </font>
    <font>
      <sz val="12.0"/>
      <color rgb="FF242424"/>
      <name val="Arial"/>
    </font>
    <font>
      <sz val="10.0"/>
      <color rgb="FF000000"/>
      <name val="Arial"/>
    </font>
    <font>
      <sz val="10.0"/>
      <color rgb="FFFF0000"/>
      <name val="Arial"/>
    </font>
    <font>
      <sz val="11.0"/>
      <color rgb="FFFF0000"/>
      <name val="Calibri"/>
    </font>
    <font>
      <b/>
      <sz val="14.0"/>
      <color/>
      <name val="Cambria"/>
    </font>
    <font>
      <sz val="14.0"/>
      <color/>
      <name val="Cambria"/>
    </font>
    <font>
      <sz val="14.0"/>
      <name val="Cambria"/>
    </font>
    <font>
      <sz val="14.0"/>
      <color rgb="FF000000"/>
      <name val="Cambria"/>
    </font>
    <font>
      <b/>
      <sz val="12.0"/>
      <color rgb="FFFFFF00"/>
      <name val="Calibri"/>
    </font>
    <font>
      <sz val="10.0"/>
      <color/>
      <name val="Arial"/>
    </font>
    <font>
      <b/>
      <sz val="12.0"/>
      <name val="Calibri"/>
    </font>
    <font>
      <sz val="12.0"/>
      <name val="Calibri"/>
    </font>
  </fonts>
  <fills count="26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0066"/>
        <bgColor rgb="FFFF006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66FF"/>
        <bgColor rgb="FFFF66FF"/>
      </patternFill>
    </fill>
    <fill>
      <patternFill patternType="solid">
        <fgColor rgb="FFAE02AE"/>
        <bgColor rgb="FFAE02AE"/>
      </patternFill>
    </fill>
    <fill>
      <patternFill patternType="solid">
        <fgColor rgb="FF00B050"/>
        <bgColor rgb="FF00B050"/>
      </patternFill>
    </fill>
    <fill>
      <patternFill patternType="solid">
        <fgColor rgb="FFC8C8C8"/>
        <bgColor rgb="FFC8C8C8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DE9D9"/>
        <bgColor rgb="FFFDE9D9"/>
      </patternFill>
    </fill>
    <fill>
      <patternFill patternType="solid">
        <fgColor rgb="FFE2EFD9"/>
        <bgColor rgb="FFE2EFD9"/>
      </patternFill>
    </fill>
    <fill>
      <patternFill patternType="solid">
        <fgColor rgb="FF002060"/>
        <bgColor rgb="FF002060"/>
      </patternFill>
    </fill>
    <fill>
      <patternFill patternType="solid">
        <fgColor rgb="FF2E75B5"/>
        <bgColor rgb="FF2E75B5"/>
      </patternFill>
    </fill>
  </fills>
  <borders count="12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</border>
    <border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70C0"/>
      </left>
      <top style="thin">
        <color rgb="FF0070C0"/>
      </top>
      <bottom style="hair">
        <color rgb="FF0070C0"/>
      </bottom>
    </border>
    <border>
      <top style="thin">
        <color rgb="FF0070C0"/>
      </top>
      <bottom style="hair">
        <color rgb="FF0070C0"/>
      </bottom>
    </border>
    <border>
      <right style="thin">
        <color rgb="FF0070C0"/>
      </right>
      <top style="thin">
        <color rgb="FF0070C0"/>
      </top>
      <bottom style="hair">
        <color rgb="FF0070C0"/>
      </bottom>
    </border>
    <border>
      <left style="thin">
        <color rgb="FF0070C0"/>
      </left>
      <top style="hair">
        <color rgb="FF0070C0"/>
      </top>
      <bottom style="hair">
        <color rgb="FF0070C0"/>
      </bottom>
    </border>
    <border>
      <top style="hair">
        <color rgb="FF0070C0"/>
      </top>
      <bottom style="hair">
        <color rgb="FF0070C0"/>
      </bottom>
    </border>
    <border>
      <right style="thin">
        <color rgb="FF0070C0"/>
      </right>
      <top style="hair">
        <color rgb="FF0070C0"/>
      </top>
      <bottom style="hair">
        <color rgb="FF0070C0"/>
      </bottom>
    </border>
    <border>
      <left style="thin">
        <color rgb="FF0070C0"/>
      </left>
      <right style="thin">
        <color rgb="FF0070C0"/>
      </right>
      <top style="hair">
        <color rgb="FF0070C0"/>
      </top>
      <bottom style="hair">
        <color rgb="FF0070C0"/>
      </bottom>
    </border>
    <border>
      <left style="thin">
        <color rgb="FF0070C0"/>
      </left>
      <right style="thin">
        <color rgb="FF0070C0"/>
      </right>
      <top style="hair">
        <color rgb="FF0070C0"/>
      </top>
      <bottom style="thin">
        <color rgb="FF0070C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bottom/>
    </border>
    <border>
      <right style="medium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80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4" fillId="0" fontId="3" numFmtId="164" xfId="0" applyAlignment="1" applyBorder="1" applyFont="1" applyNumberForma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6" fillId="0" fontId="4" numFmtId="0" xfId="0" applyAlignment="1" applyBorder="1" applyFont="1">
      <alignment horizontal="center" vertical="center"/>
    </xf>
    <xf borderId="7" fillId="0" fontId="4" numFmtId="0" xfId="0" applyBorder="1" applyFont="1"/>
    <xf borderId="8" fillId="0" fontId="1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6" fillId="0" fontId="3" numFmtId="0" xfId="0" applyAlignment="1" applyBorder="1" applyFont="1">
      <alignment horizontal="center" vertical="center"/>
    </xf>
    <xf borderId="6" fillId="0" fontId="2" numFmtId="0" xfId="0" applyBorder="1" applyFont="1"/>
    <xf borderId="6" fillId="0" fontId="3" numFmtId="14" xfId="0" applyAlignment="1" applyBorder="1" applyFont="1" applyNumberFormat="1">
      <alignment horizontal="center" vertical="center"/>
    </xf>
    <xf borderId="11" fillId="0" fontId="4" numFmtId="0" xfId="0" applyAlignment="1" applyBorder="1" applyFont="1">
      <alignment horizontal="center" vertical="center"/>
    </xf>
    <xf borderId="12" fillId="2" fontId="5" numFmtId="0" xfId="0" applyAlignment="1" applyBorder="1" applyFill="1" applyFont="1">
      <alignment horizontal="center" vertical="center"/>
    </xf>
    <xf borderId="13" fillId="3" fontId="3" numFmtId="0" xfId="0" applyAlignment="1" applyBorder="1" applyFill="1" applyFont="1">
      <alignment horizontal="center" vertical="center"/>
    </xf>
    <xf borderId="13" fillId="4" fontId="6" numFmtId="0" xfId="0" applyAlignment="1" applyBorder="1" applyFill="1" applyFont="1">
      <alignment horizontal="center" vertical="center"/>
    </xf>
    <xf borderId="12" fillId="5" fontId="7" numFmtId="0" xfId="0" applyAlignment="1" applyBorder="1" applyFill="1" applyFont="1">
      <alignment horizontal="center" vertical="center"/>
    </xf>
    <xf borderId="13" fillId="6" fontId="3" numFmtId="0" xfId="0" applyAlignment="1" applyBorder="1" applyFill="1" applyFont="1">
      <alignment horizontal="center" vertical="center"/>
    </xf>
    <xf borderId="12" fillId="0" fontId="5" numFmtId="0" xfId="0" applyAlignment="1" applyBorder="1" applyFont="1">
      <alignment horizontal="center" shrinkToFit="0" wrapText="1"/>
    </xf>
    <xf borderId="14" fillId="0" fontId="4" numFmtId="0" xfId="0" applyBorder="1" applyFont="1"/>
    <xf borderId="0" fillId="0" fontId="4" numFmtId="0" xfId="0" applyAlignment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/>
    </xf>
    <xf borderId="12" fillId="0" fontId="8" numFmtId="165" xfId="0" applyAlignment="1" applyBorder="1" applyFont="1" applyNumberFormat="1">
      <alignment horizontal="center"/>
    </xf>
    <xf borderId="15" fillId="0" fontId="4" numFmtId="0" xfId="0" applyAlignment="1" applyBorder="1" applyFont="1">
      <alignment horizontal="center"/>
    </xf>
    <xf borderId="15" fillId="0" fontId="2" numFmtId="0" xfId="0" applyBorder="1" applyFont="1"/>
    <xf borderId="15" fillId="0" fontId="4" numFmtId="16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12" fillId="0" fontId="9" numFmtId="0" xfId="0" applyAlignment="1" applyBorder="1" applyFon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12" fillId="5" fontId="8" numFmtId="0" xfId="0" applyAlignment="1" applyBorder="1" applyFont="1">
      <alignment horizontal="center"/>
    </xf>
    <xf borderId="12" fillId="5" fontId="9" numFmtId="0" xfId="0" applyAlignment="1" applyBorder="1" applyFont="1">
      <alignment horizontal="center" vertical="center"/>
    </xf>
    <xf borderId="12" fillId="2" fontId="8" numFmtId="0" xfId="0" applyAlignment="1" applyBorder="1" applyFont="1">
      <alignment horizontal="center"/>
    </xf>
    <xf borderId="12" fillId="2" fontId="9" numFmtId="0" xfId="0" applyAlignment="1" applyBorder="1" applyFont="1">
      <alignment horizontal="center" vertical="center"/>
    </xf>
    <xf borderId="0" fillId="0" fontId="4" numFmtId="166" xfId="0" applyAlignment="1" applyFont="1" applyNumberFormat="1">
      <alignment horizontal="left" vertical="center"/>
    </xf>
    <xf borderId="0" fillId="0" fontId="4" numFmtId="1" xfId="0" applyAlignment="1" applyFont="1" applyNumberFormat="1">
      <alignment horizontal="center" vertical="center"/>
    </xf>
    <xf borderId="16" fillId="0" fontId="8" numFmtId="0" xfId="0" applyAlignment="1" applyBorder="1" applyFont="1">
      <alignment horizontal="center" vertical="center"/>
    </xf>
    <xf borderId="17" fillId="0" fontId="2" numFmtId="0" xfId="0" applyBorder="1" applyFont="1"/>
    <xf borderId="12" fillId="2" fontId="8" numFmtId="0" xfId="0" applyAlignment="1" applyBorder="1" applyFont="1">
      <alignment vertical="center"/>
    </xf>
    <xf borderId="12" fillId="2" fontId="4" numFmtId="0" xfId="0" applyBorder="1" applyFont="1"/>
    <xf borderId="0" fillId="0" fontId="9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3" fillId="0" fontId="9" numFmtId="0" xfId="0" applyAlignment="1" applyBorder="1" applyFont="1">
      <alignment horizontal="center" vertical="center"/>
    </xf>
    <xf borderId="18" fillId="0" fontId="8" numFmtId="0" xfId="0" applyAlignment="1" applyBorder="1" applyFont="1">
      <alignment horizontal="center"/>
    </xf>
    <xf borderId="0" fillId="0" fontId="3" numFmtId="1" xfId="0" applyAlignment="1" applyFont="1" applyNumberFormat="1">
      <alignment horizontal="center" vertical="center"/>
    </xf>
    <xf borderId="0" fillId="0" fontId="3" numFmtId="1" xfId="0" applyAlignment="1" applyFont="1" applyNumberFormat="1">
      <alignment horizontal="right" vertical="center"/>
    </xf>
    <xf borderId="19" fillId="0" fontId="2" numFmtId="0" xfId="0" applyBorder="1" applyFont="1"/>
    <xf borderId="20" fillId="0" fontId="2" numFmtId="0" xfId="0" applyBorder="1" applyFont="1"/>
    <xf borderId="3" fillId="0" fontId="8" numFmtId="0" xfId="0" applyAlignment="1" applyBorder="1" applyFont="1">
      <alignment horizontal="center"/>
    </xf>
    <xf borderId="12" fillId="0" fontId="4" numFmtId="0" xfId="0" applyAlignment="1" applyBorder="1" applyFont="1">
      <alignment horizontal="center" vertical="center"/>
    </xf>
    <xf borderId="12" fillId="0" fontId="4" numFmtId="165" xfId="0" applyBorder="1" applyFont="1" applyNumberFormat="1"/>
    <xf borderId="14" fillId="0" fontId="10" numFmtId="2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/>
    </xf>
    <xf borderId="0" fillId="0" fontId="10" numFmtId="1" xfId="0" applyAlignment="1" applyFont="1" applyNumberFormat="1">
      <alignment horizontal="center" vertical="center"/>
    </xf>
    <xf quotePrefix="1" borderId="0" fillId="0" fontId="3" numFmtId="16" xfId="0" applyAlignment="1" applyFont="1" applyNumberFormat="1">
      <alignment horizontal="center"/>
    </xf>
    <xf quotePrefix="1" borderId="0" fillId="0" fontId="3" numFmtId="12" xfId="0" applyAlignment="1" applyFont="1" applyNumberFormat="1">
      <alignment horizontal="center"/>
    </xf>
    <xf quotePrefix="1" borderId="0" fillId="0" fontId="3" numFmtId="2" xfId="0" applyAlignment="1" applyFont="1" applyNumberFormat="1">
      <alignment horizontal="center"/>
    </xf>
    <xf quotePrefix="1" borderId="0" fillId="0" fontId="3" numFmtId="0" xfId="0" applyAlignment="1" applyFont="1">
      <alignment horizontal="center"/>
    </xf>
    <xf borderId="13" fillId="0" fontId="1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3" fillId="7" fontId="3" numFmtId="0" xfId="0" applyAlignment="1" applyBorder="1" applyFill="1" applyFont="1">
      <alignment horizontal="center"/>
    </xf>
    <xf borderId="13" fillId="7" fontId="3" numFmtId="0" xfId="0" applyAlignment="1" applyBorder="1" applyFont="1">
      <alignment horizontal="center" vertical="center"/>
    </xf>
    <xf borderId="13" fillId="7" fontId="3" numFmtId="2" xfId="0" applyAlignment="1" applyBorder="1" applyFont="1" applyNumberFormat="1">
      <alignment horizontal="center"/>
    </xf>
    <xf borderId="13" fillId="7" fontId="3" numFmtId="1" xfId="0" applyAlignment="1" applyBorder="1" applyFont="1" applyNumberFormat="1">
      <alignment horizontal="center" vertical="center"/>
    </xf>
    <xf borderId="13" fillId="7" fontId="4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4" numFmtId="1" xfId="0" applyAlignment="1" applyFont="1" applyNumberFormat="1">
      <alignment horizontal="right" vertical="center"/>
    </xf>
    <xf borderId="3" fillId="0" fontId="4" numFmtId="1" xfId="0" applyAlignment="1" applyBorder="1" applyFont="1" applyNumberFormat="1">
      <alignment horizontal="center" vertical="center"/>
    </xf>
    <xf borderId="21" fillId="0" fontId="3" numFmtId="0" xfId="0" applyAlignment="1" applyBorder="1" applyFont="1">
      <alignment horizontal="center" vertical="center"/>
    </xf>
    <xf borderId="21" fillId="0" fontId="3" numFmtId="1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/>
    </xf>
    <xf borderId="22" fillId="0" fontId="2" numFmtId="0" xfId="0" applyBorder="1" applyFont="1"/>
    <xf borderId="0" fillId="0" fontId="3" numFmtId="1" xfId="0" applyAlignment="1" applyFont="1" applyNumberFormat="1">
      <alignment horizontal="left" vertical="center"/>
    </xf>
    <xf quotePrefix="1" borderId="22" fillId="0" fontId="3" numFmtId="16" xfId="0" applyAlignment="1" applyBorder="1" applyFont="1" applyNumberFormat="1">
      <alignment horizontal="center"/>
    </xf>
    <xf quotePrefix="1" borderId="22" fillId="0" fontId="3" numFmtId="0" xfId="0" applyAlignment="1" applyBorder="1" applyFont="1">
      <alignment horizontal="center"/>
    </xf>
    <xf quotePrefix="1" borderId="22" fillId="0" fontId="3" numFmtId="12" xfId="0" applyAlignment="1" applyBorder="1" applyFont="1" applyNumberFormat="1">
      <alignment horizontal="center"/>
    </xf>
    <xf quotePrefix="1" borderId="22" fillId="0" fontId="3" numFmtId="2" xfId="0" applyAlignment="1" applyBorder="1" applyFont="1" applyNumberFormat="1">
      <alignment horizontal="center"/>
    </xf>
    <xf borderId="0" fillId="0" fontId="3" numFmtId="0" xfId="0" applyFont="1"/>
    <xf borderId="0" fillId="0" fontId="3" numFmtId="2" xfId="0" applyAlignment="1" applyFont="1" applyNumberFormat="1">
      <alignment horizontal="center"/>
    </xf>
    <xf borderId="13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16" xfId="0" applyAlignment="1" applyFont="1" applyNumberFormat="1">
      <alignment horizontal="center"/>
    </xf>
    <xf borderId="3" fillId="0" fontId="3" numFmtId="1" xfId="0" applyAlignment="1" applyBorder="1" applyFont="1" applyNumberFormat="1">
      <alignment horizontal="center" vertical="center"/>
    </xf>
    <xf quotePrefix="1" borderId="22" fillId="0" fontId="3" numFmtId="0" xfId="0" applyAlignment="1" applyBorder="1" applyFont="1">
      <alignment horizontal="center" vertical="center"/>
    </xf>
    <xf borderId="0" fillId="0" fontId="3" numFmtId="12" xfId="0" applyAlignment="1" applyFont="1" applyNumberFormat="1">
      <alignment horizontal="center"/>
    </xf>
    <xf borderId="0" fillId="0" fontId="3" numFmtId="0" xfId="0" applyAlignment="1" applyFont="1">
      <alignment vertical="center"/>
    </xf>
    <xf quotePrefix="1" borderId="0" fillId="0" fontId="3" numFmtId="0" xfId="0" applyAlignment="1" applyFont="1">
      <alignment horizontal="center" vertical="center"/>
    </xf>
    <xf borderId="0" fillId="0" fontId="13" numFmtId="0" xfId="0" applyAlignment="1" applyFont="1">
      <alignment horizontal="center"/>
    </xf>
    <xf borderId="23" fillId="0" fontId="4" numFmtId="0" xfId="0" applyAlignment="1" applyBorder="1" applyFont="1">
      <alignment horizontal="center"/>
    </xf>
    <xf borderId="24" fillId="0" fontId="2" numFmtId="0" xfId="0" applyBorder="1" applyFont="1"/>
    <xf borderId="25" fillId="0" fontId="2" numFmtId="0" xfId="0" applyBorder="1" applyFont="1"/>
    <xf borderId="13" fillId="8" fontId="3" numFmtId="0" xfId="0" applyAlignment="1" applyBorder="1" applyFill="1" applyFont="1">
      <alignment horizontal="center"/>
    </xf>
    <xf borderId="13" fillId="8" fontId="3" numFmtId="0" xfId="0" applyAlignment="1" applyBorder="1" applyFont="1">
      <alignment horizontal="center" vertical="center"/>
    </xf>
    <xf borderId="0" fillId="0" fontId="3" numFmtId="1" xfId="0" applyAlignment="1" applyFont="1" applyNumberFormat="1">
      <alignment horizontal="center"/>
    </xf>
    <xf borderId="16" fillId="0" fontId="8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3" fillId="0" fontId="4" numFmtId="0" xfId="0" applyAlignment="1" applyBorder="1" applyFont="1">
      <alignment horizontal="center"/>
    </xf>
    <xf borderId="26" fillId="0" fontId="4" numFmtId="0" xfId="0" applyAlignment="1" applyBorder="1" applyFont="1">
      <alignment horizontal="center" vertical="center"/>
    </xf>
    <xf borderId="15" fillId="0" fontId="4" numFmtId="1" xfId="0" applyAlignment="1" applyBorder="1" applyFont="1" applyNumberFormat="1">
      <alignment horizontal="center"/>
    </xf>
    <xf borderId="12" fillId="2" fontId="8" numFmtId="0" xfId="0" applyAlignment="1" applyBorder="1" applyFont="1">
      <alignment shrinkToFit="0" wrapText="1"/>
    </xf>
    <xf borderId="0" fillId="0" fontId="8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26" fillId="0" fontId="4" numFmtId="0" xfId="0" applyAlignment="1" applyBorder="1" applyFont="1">
      <alignment horizontal="center"/>
    </xf>
    <xf borderId="15" fillId="0" fontId="4" numFmtId="2" xfId="0" applyAlignment="1" applyBorder="1" applyFont="1" applyNumberFormat="1">
      <alignment horizontal="center"/>
    </xf>
    <xf borderId="12" fillId="2" fontId="5" numFmtId="0" xfId="0" applyAlignment="1" applyBorder="1" applyFont="1">
      <alignment horizontal="center"/>
    </xf>
    <xf borderId="15" fillId="0" fontId="3" numFmtId="0" xfId="0" applyAlignment="1" applyBorder="1" applyFont="1">
      <alignment horizontal="center"/>
    </xf>
    <xf borderId="16" fillId="0" fontId="8" numFmtId="0" xfId="0" applyAlignment="1" applyBorder="1" applyFont="1">
      <alignment horizontal="center" vertical="center"/>
    </xf>
    <xf borderId="12" fillId="2" fontId="7" numFmtId="0" xfId="0" applyAlignment="1" applyBorder="1" applyFont="1">
      <alignment horizontal="center" vertical="center"/>
    </xf>
    <xf borderId="16" fillId="2" fontId="8" numFmtId="0" xfId="0" applyAlignment="1" applyBorder="1" applyFont="1">
      <alignment horizontal="center" vertical="center"/>
    </xf>
    <xf borderId="12" fillId="2" fontId="3" numFmtId="0" xfId="0" applyBorder="1" applyFont="1"/>
    <xf borderId="22" fillId="0" fontId="3" numFmtId="2" xfId="0" applyAlignment="1" applyBorder="1" applyFont="1" applyNumberFormat="1">
      <alignment horizontal="center"/>
    </xf>
    <xf borderId="13" fillId="8" fontId="3" numFmtId="2" xfId="0" applyAlignment="1" applyBorder="1" applyFont="1" applyNumberFormat="1">
      <alignment horizontal="center"/>
    </xf>
    <xf borderId="13" fillId="9" fontId="3" numFmtId="0" xfId="0" applyAlignment="1" applyBorder="1" applyFill="1" applyFont="1">
      <alignment horizontal="center" vertical="center"/>
    </xf>
    <xf borderId="13" fillId="9" fontId="3" numFmtId="0" xfId="0" applyAlignment="1" applyBorder="1" applyFont="1">
      <alignment horizontal="center"/>
    </xf>
    <xf borderId="16" fillId="10" fontId="8" numFmtId="0" xfId="0" applyAlignment="1" applyBorder="1" applyFill="1" applyFont="1">
      <alignment horizontal="center" vertical="center"/>
    </xf>
    <xf borderId="13" fillId="9" fontId="4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/>
    </xf>
    <xf borderId="12" fillId="0" fontId="8" numFmtId="0" xfId="0" applyAlignment="1" applyBorder="1" applyFont="1">
      <alignment horizontal="center"/>
    </xf>
    <xf borderId="12" fillId="0" fontId="9" numFmtId="0" xfId="0" applyAlignment="1" applyBorder="1" applyFont="1">
      <alignment horizontal="center" vertical="center"/>
    </xf>
    <xf borderId="13" fillId="0" fontId="8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/>
    </xf>
    <xf borderId="0" fillId="0" fontId="4" numFmtId="2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1" xfId="0" applyAlignment="1" applyFont="1" applyNumberFormat="1">
      <alignment horizontal="center"/>
    </xf>
    <xf borderId="0" fillId="0" fontId="3" numFmtId="1" xfId="0" applyFont="1" applyNumberFormat="1"/>
    <xf borderId="16" fillId="5" fontId="8" numFmtId="0" xfId="0" applyAlignment="1" applyBorder="1" applyFont="1">
      <alignment horizontal="center" vertical="center"/>
    </xf>
    <xf borderId="13" fillId="9" fontId="4" numFmtId="0" xfId="0" applyAlignment="1" applyBorder="1" applyFont="1">
      <alignment horizontal="center"/>
    </xf>
    <xf borderId="12" fillId="5" fontId="5" numFmtId="0" xfId="0" applyAlignment="1" applyBorder="1" applyFont="1">
      <alignment horizontal="center"/>
    </xf>
    <xf borderId="13" fillId="8" fontId="4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/>
    </xf>
    <xf borderId="3" fillId="0" fontId="2" numFmtId="0" xfId="0" applyBorder="1" applyFont="1"/>
    <xf borderId="12" fillId="0" fontId="10" numFmtId="1" xfId="0" applyAlignment="1" applyBorder="1" applyFont="1" applyNumberFormat="1">
      <alignment horizontal="center" vertical="center"/>
    </xf>
    <xf borderId="12" fillId="0" fontId="10" numFmtId="0" xfId="0" applyAlignment="1" applyBorder="1" applyFont="1">
      <alignment horizontal="center" vertical="center"/>
    </xf>
    <xf borderId="23" fillId="0" fontId="5" numFmtId="0" xfId="0" applyAlignment="1" applyBorder="1" applyFont="1">
      <alignment horizontal="center"/>
    </xf>
    <xf borderId="12" fillId="0" fontId="5" numFmtId="0" xfId="0" applyBorder="1" applyFont="1"/>
    <xf borderId="12" fillId="0" fontId="8" numFmtId="0" xfId="0" applyAlignment="1" applyBorder="1" applyFont="1">
      <alignment vertical="center"/>
    </xf>
    <xf borderId="12" fillId="0" fontId="10" numFmtId="1" xfId="0" applyAlignment="1" applyBorder="1" applyFont="1" applyNumberFormat="1">
      <alignment horizontal="center" vertical="center"/>
    </xf>
    <xf borderId="23" fillId="0" fontId="3" numFmtId="1" xfId="0" applyAlignment="1" applyBorder="1" applyFont="1" applyNumberFormat="1">
      <alignment horizontal="center" vertical="center"/>
    </xf>
    <xf borderId="26" fillId="0" fontId="3" numFmtId="0" xfId="0" applyAlignment="1" applyBorder="1" applyFont="1">
      <alignment horizontal="center"/>
    </xf>
    <xf borderId="12" fillId="0" fontId="5" numFmtId="0" xfId="0" applyAlignment="1" applyBorder="1" applyFont="1">
      <alignment horizontal="center"/>
    </xf>
    <xf borderId="22" fillId="0" fontId="4" numFmtId="2" xfId="0" applyAlignment="1" applyBorder="1" applyFont="1" applyNumberFormat="1">
      <alignment horizontal="center"/>
    </xf>
    <xf borderId="22" fillId="0" fontId="4" numFmtId="0" xfId="0" applyAlignment="1" applyBorder="1" applyFont="1">
      <alignment horizontal="center"/>
    </xf>
    <xf borderId="13" fillId="9" fontId="5" numFmtId="0" xfId="0" applyAlignment="1" applyBorder="1" applyFont="1">
      <alignment horizontal="center"/>
    </xf>
    <xf borderId="27" fillId="0" fontId="3" numFmtId="0" xfId="0" applyAlignment="1" applyBorder="1" applyFont="1">
      <alignment horizontal="center" vertical="center"/>
    </xf>
    <xf borderId="27" fillId="0" fontId="3" numFmtId="0" xfId="0" applyAlignment="1" applyBorder="1" applyFont="1">
      <alignment horizontal="center"/>
    </xf>
    <xf borderId="28" fillId="0" fontId="3" numFmtId="0" xfId="0" applyAlignment="1" applyBorder="1" applyFont="1">
      <alignment horizontal="center"/>
    </xf>
    <xf borderId="27" fillId="0" fontId="2" numFmtId="0" xfId="0" applyBorder="1" applyFont="1"/>
    <xf borderId="29" fillId="0" fontId="2" numFmtId="0" xfId="0" applyBorder="1" applyFont="1"/>
    <xf borderId="1" fillId="0" fontId="3" numFmtId="0" xfId="0" applyAlignment="1" applyBorder="1" applyFont="1">
      <alignment horizontal="center"/>
    </xf>
    <xf borderId="30" fillId="0" fontId="2" numFmtId="0" xfId="0" applyBorder="1" applyFont="1"/>
    <xf borderId="5" fillId="0" fontId="14" numFmtId="0" xfId="0" applyAlignment="1" applyBorder="1" applyFont="1">
      <alignment horizontal="center" vertical="center"/>
    </xf>
    <xf borderId="31" fillId="0" fontId="2" numFmtId="0" xfId="0" applyBorder="1" applyFont="1"/>
    <xf borderId="8" fillId="0" fontId="15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 vertical="center"/>
    </xf>
    <xf borderId="0" fillId="0" fontId="4" numFmtId="0" xfId="0" applyAlignment="1" applyFont="1">
      <alignment horizontal="left" vertical="center"/>
    </xf>
    <xf borderId="3" fillId="0" fontId="4" numFmtId="0" xfId="0" applyBorder="1" applyFont="1"/>
    <xf borderId="32" fillId="0" fontId="2" numFmtId="0" xfId="0" applyBorder="1" applyFont="1"/>
    <xf borderId="23" fillId="0" fontId="3" numFmtId="14" xfId="0" applyAlignment="1" applyBorder="1" applyFont="1" applyNumberFormat="1">
      <alignment horizontal="center" vertical="center"/>
    </xf>
    <xf borderId="3" fillId="0" fontId="3" numFmtId="14" xfId="0" applyAlignment="1" applyBorder="1" applyFont="1" applyNumberFormat="1">
      <alignment horizontal="center" vertical="center"/>
    </xf>
    <xf borderId="26" fillId="11" fontId="13" numFmtId="0" xfId="0" applyAlignment="1" applyBorder="1" applyFill="1" applyFont="1">
      <alignment horizontal="left"/>
    </xf>
    <xf borderId="23" fillId="11" fontId="4" numFmtId="0" xfId="0" applyAlignment="1" applyBorder="1" applyFont="1">
      <alignment horizontal="center"/>
    </xf>
    <xf borderId="23" fillId="11" fontId="4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/>
    </xf>
    <xf borderId="26" fillId="12" fontId="3" numFmtId="0" xfId="0" applyAlignment="1" applyBorder="1" applyFill="1" applyFont="1">
      <alignment horizontal="center"/>
    </xf>
    <xf borderId="23" fillId="12" fontId="3" numFmtId="0" xfId="0" applyAlignment="1" applyBorder="1" applyFont="1">
      <alignment horizontal="center" vertical="center"/>
    </xf>
    <xf borderId="33" fillId="0" fontId="2" numFmtId="0" xfId="0" applyBorder="1" applyFont="1"/>
    <xf borderId="34" fillId="0" fontId="2" numFmtId="0" xfId="0" applyBorder="1" applyFont="1"/>
    <xf borderId="4" fillId="0" fontId="2" numFmtId="0" xfId="0" applyBorder="1" applyFont="1"/>
    <xf borderId="35" fillId="0" fontId="2" numFmtId="0" xfId="0" applyBorder="1" applyFont="1"/>
    <xf borderId="23" fillId="0" fontId="3" numFmtId="0" xfId="0" applyAlignment="1" applyBorder="1" applyFont="1">
      <alignment horizontal="left" vertical="center"/>
    </xf>
    <xf borderId="23" fillId="0" fontId="3" numFmtId="0" xfId="0" applyAlignment="1" applyBorder="1" applyFont="1">
      <alignment horizontal="center" vertical="center"/>
    </xf>
    <xf borderId="26" fillId="11" fontId="4" numFmtId="0" xfId="0" applyAlignment="1" applyBorder="1" applyFont="1">
      <alignment horizontal="center"/>
    </xf>
    <xf borderId="14" fillId="0" fontId="13" numFmtId="0" xfId="0" applyBorder="1" applyFont="1"/>
    <xf borderId="0" fillId="0" fontId="13" numFmtId="0" xfId="0" applyFont="1"/>
    <xf borderId="35" fillId="0" fontId="13" numFmtId="0" xfId="0" applyBorder="1" applyFont="1"/>
    <xf borderId="12" fillId="0" fontId="4" numFmtId="0" xfId="0" applyBorder="1" applyFont="1"/>
    <xf borderId="36" fillId="11" fontId="13" numFmtId="0" xfId="0" applyAlignment="1" applyBorder="1" applyFont="1">
      <alignment horizontal="left"/>
    </xf>
    <xf borderId="37" fillId="0" fontId="2" numFmtId="0" xfId="0" applyBorder="1" applyFont="1"/>
    <xf borderId="38" fillId="0" fontId="2" numFmtId="0" xfId="0" applyBorder="1" applyFont="1"/>
    <xf quotePrefix="1" borderId="22" fillId="0" fontId="4" numFmtId="16" xfId="0" applyAlignment="1" applyBorder="1" applyFont="1" applyNumberFormat="1">
      <alignment horizontal="center"/>
    </xf>
    <xf borderId="13" fillId="13" fontId="4" numFmtId="0" xfId="0" applyAlignment="1" applyBorder="1" applyFill="1" applyFont="1">
      <alignment horizontal="center" vertical="center"/>
    </xf>
    <xf quotePrefix="1" borderId="39" fillId="13" fontId="4" numFmtId="0" xfId="0" applyAlignment="1" applyBorder="1" applyFont="1">
      <alignment horizontal="center"/>
    </xf>
    <xf borderId="40" fillId="0" fontId="2" numFmtId="0" xfId="0" applyBorder="1" applyFont="1"/>
    <xf borderId="3" fillId="0" fontId="3" numFmtId="0" xfId="0" applyAlignment="1" applyBorder="1" applyFont="1">
      <alignment horizontal="left" vertical="center"/>
    </xf>
    <xf borderId="41" fillId="13" fontId="4" numFmtId="16" xfId="0" applyAlignment="1" applyBorder="1" applyFont="1" applyNumberFormat="1">
      <alignment horizontal="center"/>
    </xf>
    <xf borderId="42" fillId="0" fontId="2" numFmtId="0" xfId="0" applyBorder="1" applyFont="1"/>
    <xf borderId="16" fillId="0" fontId="13" numFmtId="0" xfId="0" applyAlignment="1" applyBorder="1" applyFont="1">
      <alignment horizontal="center" shrinkToFit="0" vertical="center" wrapText="1"/>
    </xf>
    <xf borderId="28" fillId="0" fontId="4" numFmtId="0" xfId="0" applyBorder="1" applyFont="1"/>
    <xf borderId="27" fillId="0" fontId="4" numFmtId="0" xfId="0" applyBorder="1" applyFont="1"/>
    <xf borderId="27" fillId="0" fontId="4" numFmtId="0" xfId="0" applyAlignment="1" applyBorder="1" applyFont="1">
      <alignment horizontal="center" vertical="center"/>
    </xf>
    <xf borderId="43" fillId="11" fontId="4" numFmtId="0" xfId="0" applyAlignment="1" applyBorder="1" applyFont="1">
      <alignment horizontal="center"/>
    </xf>
    <xf borderId="44" fillId="0" fontId="2" numFmtId="0" xfId="0" applyBorder="1" applyFont="1"/>
    <xf borderId="43" fillId="11" fontId="4" numFmtId="0" xfId="0" applyAlignment="1" applyBorder="1" applyFont="1">
      <alignment horizontal="center" vertical="center"/>
    </xf>
    <xf borderId="45" fillId="0" fontId="2" numFmtId="0" xfId="0" applyBorder="1" applyFont="1"/>
    <xf borderId="46" fillId="0" fontId="2" numFmtId="0" xfId="0" applyBorder="1" applyFont="1"/>
    <xf borderId="47" fillId="0" fontId="2" numFmtId="0" xfId="0" applyBorder="1" applyFont="1"/>
    <xf borderId="48" fillId="0" fontId="2" numFmtId="0" xfId="0" applyBorder="1" applyFont="1"/>
    <xf borderId="29" fillId="0" fontId="4" numFmtId="0" xfId="0" applyBorder="1" applyFont="1"/>
    <xf borderId="49" fillId="0" fontId="3" numFmtId="0" xfId="0" applyAlignment="1" applyBorder="1" applyFont="1">
      <alignment horizontal="center"/>
    </xf>
    <xf borderId="43" fillId="0" fontId="3" numFmtId="0" xfId="0" applyAlignment="1" applyBorder="1" applyFont="1">
      <alignment horizontal="left" vertical="center"/>
    </xf>
    <xf borderId="43" fillId="0" fontId="3" numFmtId="0" xfId="0" applyAlignment="1" applyBorder="1" applyFont="1">
      <alignment horizontal="center" vertical="center"/>
    </xf>
    <xf borderId="43" fillId="0" fontId="3" numFmtId="1" xfId="0" applyAlignment="1" applyBorder="1" applyFont="1" applyNumberFormat="1">
      <alignment horizontal="center" vertical="center"/>
    </xf>
    <xf borderId="29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center" vertical="center"/>
    </xf>
    <xf borderId="0" fillId="0" fontId="4" numFmtId="1" xfId="0" applyAlignment="1" applyFont="1" applyNumberFormat="1">
      <alignment horizontal="center"/>
    </xf>
    <xf borderId="12" fillId="3" fontId="3" numFmtId="0" xfId="0" applyAlignment="1" applyBorder="1" applyFont="1">
      <alignment horizontal="center" vertical="center"/>
    </xf>
    <xf borderId="12" fillId="4" fontId="6" numFmtId="0" xfId="0" applyAlignment="1" applyBorder="1" applyFont="1">
      <alignment horizontal="center" vertical="center"/>
    </xf>
    <xf borderId="12" fillId="6" fontId="3" numFmtId="0" xfId="0" applyAlignment="1" applyBorder="1" applyFont="1">
      <alignment horizontal="center" vertical="center"/>
    </xf>
    <xf borderId="5" fillId="0" fontId="4" numFmtId="1" xfId="0" applyAlignment="1" applyBorder="1" applyFont="1" applyNumberFormat="1">
      <alignment horizontal="center" shrinkToFit="0" vertical="center" wrapText="1"/>
    </xf>
    <xf borderId="11" fillId="0" fontId="2" numFmtId="0" xfId="0" applyBorder="1" applyFont="1"/>
    <xf borderId="0" fillId="0" fontId="4" numFmtId="1" xfId="0" applyAlignment="1" applyFont="1" applyNumberFormat="1">
      <alignment horizontal="center" shrinkToFit="0" vertical="center" wrapText="1"/>
    </xf>
    <xf borderId="14" fillId="0" fontId="2" numFmtId="0" xfId="0" applyBorder="1" applyFont="1"/>
    <xf borderId="28" fillId="0" fontId="2" numFmtId="0" xfId="0" applyBorder="1" applyFont="1"/>
    <xf borderId="1" fillId="14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vertical="center"/>
    </xf>
    <xf borderId="50" fillId="0" fontId="3" numFmtId="0" xfId="0" applyAlignment="1" applyBorder="1" applyFont="1">
      <alignment horizontal="right"/>
    </xf>
    <xf borderId="1" fillId="0" fontId="3" numFmtId="14" xfId="0" applyAlignment="1" applyBorder="1" applyFont="1" applyNumberFormat="1">
      <alignment horizontal="left"/>
    </xf>
    <xf borderId="5" fillId="0" fontId="17" numFmtId="0" xfId="0" applyAlignment="1" applyBorder="1" applyFont="1">
      <alignment horizontal="center" vertical="center"/>
    </xf>
    <xf borderId="51" fillId="0" fontId="2" numFmtId="0" xfId="0" applyBorder="1" applyFont="1"/>
    <xf borderId="52" fillId="0" fontId="18" numFmtId="0" xfId="0" applyAlignment="1" applyBorder="1" applyFont="1">
      <alignment horizontal="center" shrinkToFit="0" vertical="center" wrapText="1"/>
    </xf>
    <xf borderId="53" fillId="0" fontId="18" numFmtId="0" xfId="0" applyAlignment="1" applyBorder="1" applyFont="1">
      <alignment horizontal="center" shrinkToFit="0" vertical="center" wrapText="1"/>
    </xf>
    <xf borderId="52" fillId="0" fontId="18" numFmtId="0" xfId="0" applyAlignment="1" applyBorder="1" applyFont="1">
      <alignment horizontal="center" shrinkToFit="0" vertical="center" wrapText="1"/>
    </xf>
    <xf borderId="6" fillId="0" fontId="18" numFmtId="0" xfId="0" applyAlignment="1" applyBorder="1" applyFont="1">
      <alignment horizontal="center" shrinkToFit="0" vertical="center" wrapText="1"/>
    </xf>
    <xf borderId="54" fillId="0" fontId="2" numFmtId="0" xfId="0" applyBorder="1" applyFont="1"/>
    <xf borderId="55" fillId="0" fontId="2" numFmtId="0" xfId="0" applyBorder="1" applyFont="1"/>
    <xf borderId="56" fillId="0" fontId="2" numFmtId="0" xfId="0" applyBorder="1" applyFont="1"/>
    <xf borderId="4" fillId="0" fontId="19" numFmtId="0" xfId="0" applyAlignment="1" applyBorder="1" applyFont="1">
      <alignment horizontal="center" vertical="center"/>
    </xf>
    <xf borderId="50" fillId="0" fontId="19" numFmtId="0" xfId="0" applyAlignment="1" applyBorder="1" applyFont="1">
      <alignment horizontal="center" vertical="center"/>
    </xf>
    <xf borderId="30" fillId="0" fontId="20" numFmtId="0" xfId="0" applyAlignment="1" applyBorder="1" applyFont="1">
      <alignment horizontal="center" vertical="center"/>
    </xf>
    <xf borderId="57" fillId="0" fontId="19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57" fillId="0" fontId="17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57" fillId="0" fontId="17" numFmtId="1" xfId="0" applyAlignment="1" applyBorder="1" applyFont="1" applyNumberFormat="1">
      <alignment horizontal="center" shrinkToFit="0" vertical="center" wrapText="1"/>
    </xf>
    <xf borderId="2" fillId="0" fontId="17" numFmtId="0" xfId="0" applyAlignment="1" applyBorder="1" applyFont="1">
      <alignment horizontal="center" vertical="center"/>
    </xf>
    <xf borderId="58" fillId="0" fontId="19" numFmtId="1" xfId="0" applyAlignment="1" applyBorder="1" applyFont="1" applyNumberFormat="1">
      <alignment horizontal="center" shrinkToFit="0" vertical="center" wrapText="1"/>
    </xf>
    <xf borderId="50" fillId="0" fontId="4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19" numFmtId="0" xfId="0" applyAlignment="1" applyBorder="1" applyFont="1">
      <alignment horizontal="center" vertical="center"/>
    </xf>
    <xf borderId="59" fillId="0" fontId="2" numFmtId="0" xfId="0" applyBorder="1" applyFont="1"/>
    <xf borderId="2" fillId="0" fontId="19" numFmtId="0" xfId="0" applyAlignment="1" applyBorder="1" applyFont="1">
      <alignment horizontal="center" vertical="center"/>
    </xf>
    <xf borderId="2" fillId="0" fontId="20" numFmtId="0" xfId="0" applyAlignment="1" applyBorder="1" applyFont="1">
      <alignment horizontal="center" vertical="center"/>
    </xf>
    <xf borderId="50" fillId="0" fontId="17" numFmtId="0" xfId="0" applyAlignment="1" applyBorder="1" applyFont="1">
      <alignment horizontal="center" vertical="center"/>
    </xf>
    <xf borderId="50" fillId="0" fontId="17" numFmtId="1" xfId="0" applyAlignment="1" applyBorder="1" applyFont="1" applyNumberFormat="1">
      <alignment horizontal="center" shrinkToFit="0" vertical="center" wrapText="1"/>
    </xf>
    <xf borderId="50" fillId="0" fontId="19" numFmtId="1" xfId="0" applyAlignment="1" applyBorder="1" applyFont="1" applyNumberFormat="1">
      <alignment horizontal="center" shrinkToFit="0" vertical="center" wrapText="1"/>
    </xf>
    <xf borderId="50" fillId="0" fontId="19" numFmtId="16" xfId="0" applyAlignment="1" applyBorder="1" applyFont="1" applyNumberForma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50" fillId="0" fontId="4" numFmtId="0" xfId="0" applyAlignment="1" applyBorder="1" applyFont="1">
      <alignment horizontal="center" vertical="center"/>
    </xf>
    <xf borderId="50" fillId="0" fontId="20" numFmtId="0" xfId="0" applyAlignment="1" applyBorder="1" applyFont="1">
      <alignment horizontal="center" vertical="center"/>
    </xf>
    <xf quotePrefix="1" borderId="50" fillId="0" fontId="19" numFmtId="16" xfId="0" applyAlignment="1" applyBorder="1" applyFont="1" applyNumberFormat="1">
      <alignment horizontal="center" shrinkToFit="0" vertical="center" wrapText="1"/>
    </xf>
    <xf borderId="59" fillId="0" fontId="4" numFmtId="0" xfId="0" applyAlignment="1" applyBorder="1" applyFont="1">
      <alignment horizontal="center" vertical="center"/>
    </xf>
    <xf borderId="60" fillId="0" fontId="4" numFmtId="0" xfId="0" applyAlignment="1" applyBorder="1" applyFont="1">
      <alignment horizontal="center" vertical="center"/>
    </xf>
    <xf borderId="14" fillId="0" fontId="19" numFmtId="0" xfId="0" applyAlignment="1" applyBorder="1" applyFont="1">
      <alignment horizontal="center" vertical="center"/>
    </xf>
    <xf borderId="27" fillId="0" fontId="19" numFmtId="0" xfId="0" applyAlignment="1" applyBorder="1" applyFont="1">
      <alignment horizontal="center" vertical="center"/>
    </xf>
    <xf borderId="55" fillId="0" fontId="19" numFmtId="2" xfId="0" applyAlignment="1" applyBorder="1" applyFont="1" applyNumberFormat="1">
      <alignment horizontal="center" vertical="center"/>
    </xf>
    <xf borderId="27" fillId="0" fontId="19" numFmtId="2" xfId="0" applyAlignment="1" applyBorder="1" applyFont="1" applyNumberFormat="1">
      <alignment horizontal="center" vertical="center"/>
    </xf>
    <xf borderId="55" fillId="0" fontId="19" numFmtId="1" xfId="0" applyAlignment="1" applyBorder="1" applyFont="1" applyNumberFormat="1">
      <alignment vertical="center"/>
    </xf>
    <xf borderId="55" fillId="0" fontId="19" numFmtId="0" xfId="0" applyAlignment="1" applyBorder="1" applyFont="1">
      <alignment horizontal="center" vertical="center"/>
    </xf>
    <xf borderId="27" fillId="0" fontId="20" numFmtId="1" xfId="0" applyAlignment="1" applyBorder="1" applyFont="1" applyNumberFormat="1">
      <alignment vertical="center"/>
    </xf>
    <xf borderId="55" fillId="0" fontId="17" numFmtId="165" xfId="0" applyAlignment="1" applyBorder="1" applyFont="1" applyNumberFormat="1">
      <alignment horizontal="center" vertical="center"/>
    </xf>
    <xf borderId="27" fillId="0" fontId="17" numFmtId="165" xfId="0" applyAlignment="1" applyBorder="1" applyFont="1" applyNumberFormat="1">
      <alignment horizontal="center" vertical="center"/>
    </xf>
    <xf borderId="55" fillId="0" fontId="17" numFmtId="1" xfId="0" applyAlignment="1" applyBorder="1" applyFont="1" applyNumberFormat="1">
      <alignment horizontal="center" shrinkToFit="0" vertical="center" wrapText="1"/>
    </xf>
    <xf borderId="27" fillId="0" fontId="17" numFmtId="1" xfId="0" applyAlignment="1" applyBorder="1" applyFont="1" applyNumberFormat="1">
      <alignment horizontal="center" vertical="center"/>
    </xf>
    <xf borderId="61" fillId="0" fontId="19" numFmtId="166" xfId="0" applyAlignment="1" applyBorder="1" applyFont="1" applyNumberFormat="1">
      <alignment horizontal="center" shrinkToFit="0" vertical="center" wrapText="1"/>
    </xf>
    <xf borderId="27" fillId="0" fontId="19" numFmtId="165" xfId="0" applyAlignment="1" applyBorder="1" applyFont="1" applyNumberFormat="1">
      <alignment horizontal="center" vertical="center"/>
    </xf>
    <xf borderId="55" fillId="0" fontId="17" numFmtId="1" xfId="0" applyAlignment="1" applyBorder="1" applyFont="1" applyNumberFormat="1">
      <alignment horizontal="center" vertical="center"/>
    </xf>
    <xf borderId="55" fillId="0" fontId="4" numFmtId="0" xfId="0" applyAlignment="1" applyBorder="1" applyFont="1">
      <alignment horizontal="center" vertical="center"/>
    </xf>
    <xf borderId="62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63" fillId="0" fontId="6" numFmtId="0" xfId="0" applyAlignment="1" applyBorder="1" applyFont="1">
      <alignment horizontal="center" shrinkToFit="0" vertical="center" wrapText="1"/>
    </xf>
    <xf borderId="64" fillId="0" fontId="21" numFmtId="0" xfId="0" applyAlignment="1" applyBorder="1" applyFont="1">
      <alignment horizontal="center" shrinkToFit="0" vertical="center" wrapText="1"/>
    </xf>
    <xf borderId="12" fillId="0" fontId="21" numFmtId="0" xfId="0" applyAlignment="1" applyBorder="1" applyFont="1">
      <alignment horizontal="left" shrinkToFit="0" vertical="center" wrapText="1"/>
    </xf>
    <xf borderId="12" fillId="0" fontId="21" numFmtId="165" xfId="0" applyAlignment="1" applyBorder="1" applyFont="1" applyNumberFormat="1">
      <alignment horizontal="center" shrinkToFit="0" vertical="center" wrapText="1"/>
    </xf>
    <xf borderId="65" fillId="0" fontId="21" numFmtId="165" xfId="0" applyAlignment="1" applyBorder="1" applyFont="1" applyNumberFormat="1">
      <alignment horizontal="center" shrinkToFit="0" vertical="center" wrapText="1"/>
    </xf>
    <xf borderId="66" fillId="0" fontId="21" numFmtId="0" xfId="0" applyAlignment="1" applyBorder="1" applyFont="1">
      <alignment horizontal="center" shrinkToFit="0" vertical="center" wrapText="1"/>
    </xf>
    <xf borderId="67" fillId="0" fontId="21" numFmtId="0" xfId="0" applyAlignment="1" applyBorder="1" applyFont="1">
      <alignment horizontal="left" shrinkToFit="0" vertical="center" wrapText="1"/>
    </xf>
    <xf borderId="67" fillId="0" fontId="21" numFmtId="0" xfId="0" applyAlignment="1" applyBorder="1" applyFont="1">
      <alignment horizontal="center" shrinkToFit="0" vertical="center" wrapText="1"/>
    </xf>
    <xf borderId="67" fillId="0" fontId="21" numFmtId="165" xfId="0" applyAlignment="1" applyBorder="1" applyFont="1" applyNumberFormat="1">
      <alignment horizontal="center" shrinkToFit="0" vertical="center" wrapText="1"/>
    </xf>
    <xf borderId="68" fillId="0" fontId="21" numFmtId="165" xfId="0" applyAlignment="1" applyBorder="1" applyFont="1" applyNumberFormat="1">
      <alignment horizontal="center" shrinkToFit="0" vertical="center" wrapText="1"/>
    </xf>
    <xf borderId="0" fillId="0" fontId="4" numFmtId="0" xfId="0" applyFont="1"/>
    <xf borderId="0" fillId="0" fontId="4" numFmtId="0" xfId="0" applyAlignment="1" applyFont="1">
      <alignment horizontal="left"/>
    </xf>
    <xf borderId="12" fillId="5" fontId="3" numFmtId="0" xfId="0" applyAlignment="1" applyBorder="1" applyFont="1">
      <alignment vertical="center"/>
    </xf>
    <xf borderId="12" fillId="5" fontId="4" numFmtId="0" xfId="0" applyAlignment="1" applyBorder="1" applyFont="1">
      <alignment vertical="center"/>
    </xf>
    <xf borderId="12" fillId="5" fontId="4" numFmtId="0" xfId="0" applyBorder="1" applyFont="1"/>
    <xf borderId="12" fillId="5" fontId="4" numFmtId="14" xfId="0" applyAlignment="1" applyBorder="1" applyFont="1" applyNumberFormat="1">
      <alignment vertical="center"/>
    </xf>
    <xf borderId="69" fillId="5" fontId="4" numFmtId="0" xfId="0" applyAlignment="1" applyBorder="1" applyFont="1">
      <alignment vertical="center"/>
    </xf>
    <xf borderId="12" fillId="15" fontId="4" numFmtId="0" xfId="0" applyAlignment="1" applyBorder="1" applyFill="1" applyFont="1">
      <alignment horizontal="center" vertical="center"/>
    </xf>
    <xf borderId="12" fillId="0" fontId="4" numFmtId="0" xfId="0" applyAlignment="1" applyBorder="1" applyFont="1">
      <alignment horizontal="left" vertical="center"/>
    </xf>
    <xf borderId="12" fillId="15" fontId="4" numFmtId="0" xfId="0" applyBorder="1" applyFont="1"/>
    <xf borderId="12" fillId="15" fontId="4" numFmtId="14" xfId="0" applyAlignment="1" applyBorder="1" applyFont="1" applyNumberFormat="1">
      <alignment horizontal="center" vertical="center"/>
    </xf>
    <xf borderId="12" fillId="15" fontId="4" numFmtId="0" xfId="0" applyAlignment="1" applyBorder="1" applyFont="1">
      <alignment horizontal="left" vertical="center"/>
    </xf>
    <xf borderId="69" fillId="15" fontId="4" numFmtId="0" xfId="0" applyAlignment="1" applyBorder="1" applyFont="1">
      <alignment horizontal="center" vertical="center"/>
    </xf>
    <xf quotePrefix="1" borderId="12" fillId="0" fontId="4" numFmtId="0" xfId="0" applyAlignment="1" applyBorder="1" applyFont="1">
      <alignment horizontal="center" vertical="center"/>
    </xf>
    <xf borderId="12" fillId="9" fontId="4" numFmtId="0" xfId="0" applyAlignment="1" applyBorder="1" applyFont="1">
      <alignment shrinkToFit="0" wrapText="1"/>
    </xf>
    <xf borderId="12" fillId="0" fontId="4" numFmtId="14" xfId="0" applyAlignment="1" applyBorder="1" applyFont="1" applyNumberFormat="1">
      <alignment horizontal="center" vertical="center"/>
    </xf>
    <xf borderId="12" fillId="0" fontId="4" numFmtId="167" xfId="0" applyAlignment="1" applyBorder="1" applyFont="1" applyNumberFormat="1">
      <alignment horizontal="center" vertical="center"/>
    </xf>
    <xf borderId="25" fillId="0" fontId="4" numFmtId="0" xfId="0" applyAlignment="1" applyBorder="1" applyFont="1">
      <alignment horizontal="center" vertical="center"/>
    </xf>
    <xf quotePrefix="1" borderId="12" fillId="0" fontId="4" numFmtId="16" xfId="0" applyAlignment="1" applyBorder="1" applyFont="1" applyNumberFormat="1">
      <alignment horizontal="center" vertical="center"/>
    </xf>
    <xf quotePrefix="1" borderId="12" fillId="0" fontId="13" numFmtId="0" xfId="0" applyAlignment="1" applyBorder="1" applyFont="1">
      <alignment horizontal="center"/>
    </xf>
    <xf borderId="12" fillId="0" fontId="4" numFmtId="14" xfId="0" applyAlignment="1" applyBorder="1" applyFont="1" applyNumberFormat="1">
      <alignment horizontal="center"/>
    </xf>
    <xf borderId="12" fillId="0" fontId="13" numFmtId="14" xfId="0" applyAlignment="1" applyBorder="1" applyFont="1" applyNumberFormat="1">
      <alignment horizontal="center"/>
    </xf>
    <xf borderId="0" fillId="0" fontId="4" numFmtId="16" xfId="0" applyAlignment="1" applyFont="1" applyNumberFormat="1">
      <alignment horizontal="center" vertical="center"/>
    </xf>
    <xf borderId="12" fillId="3" fontId="4" numFmtId="0" xfId="0" applyAlignment="1" applyBorder="1" applyFont="1">
      <alignment horizontal="center" vertical="center"/>
    </xf>
    <xf borderId="12" fillId="9" fontId="4" numFmtId="0" xfId="0" applyBorder="1" applyFont="1"/>
    <xf quotePrefix="1" borderId="12" fillId="0" fontId="22" numFmtId="0" xfId="0" applyAlignment="1" applyBorder="1" applyFont="1">
      <alignment horizontal="center" vertical="center"/>
    </xf>
    <xf borderId="12" fillId="5" fontId="4" numFmtId="0" xfId="0" applyAlignment="1" applyBorder="1" applyFont="1">
      <alignment horizontal="center" vertical="center"/>
    </xf>
    <xf quotePrefix="1" borderId="12" fillId="0" fontId="4" numFmtId="17" xfId="0" applyAlignment="1" applyBorder="1" applyFont="1" applyNumberFormat="1">
      <alignment horizontal="center" vertical="center"/>
    </xf>
    <xf borderId="12" fillId="0" fontId="4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quotePrefix="1" borderId="12" fillId="5" fontId="4" numFmtId="16" xfId="0" applyAlignment="1" applyBorder="1" applyFont="1" applyNumberFormat="1">
      <alignment horizontal="center" vertical="center"/>
    </xf>
    <xf borderId="12" fillId="5" fontId="3" numFmtId="0" xfId="0" applyAlignment="1" applyBorder="1" applyFont="1">
      <alignment horizontal="left" vertical="center"/>
    </xf>
    <xf borderId="12" fillId="15" fontId="16" numFmtId="0" xfId="0" applyAlignment="1" applyBorder="1" applyFont="1">
      <alignment horizontal="center" vertical="center"/>
    </xf>
    <xf borderId="12" fillId="0" fontId="22" numFmtId="0" xfId="0" applyAlignment="1" applyBorder="1" applyFont="1">
      <alignment horizontal="center" vertical="center"/>
    </xf>
    <xf borderId="12" fillId="9" fontId="4" numFmtId="0" xfId="0" applyAlignment="1" applyBorder="1" applyFont="1">
      <alignment horizontal="left" vertical="center"/>
    </xf>
    <xf borderId="12" fillId="0" fontId="22" numFmtId="17" xfId="0" applyAlignment="1" applyBorder="1" applyFont="1" applyNumberFormat="1">
      <alignment horizontal="center" shrinkToFit="0" vertical="center" wrapText="1"/>
    </xf>
    <xf borderId="12" fillId="9" fontId="4" numFmtId="0" xfId="0" applyAlignment="1" applyBorder="1" applyFont="1">
      <alignment horizontal="center" vertical="center"/>
    </xf>
    <xf quotePrefix="1" borderId="12" fillId="0" fontId="22" numFmtId="16" xfId="0" applyAlignment="1" applyBorder="1" applyFont="1" applyNumberFormat="1">
      <alignment horizontal="center" vertical="center"/>
    </xf>
    <xf borderId="12" fillId="0" fontId="22" numFmtId="0" xfId="0" applyAlignment="1" applyBorder="1" applyFont="1">
      <alignment horizontal="center" vertical="center"/>
    </xf>
    <xf quotePrefix="1" borderId="12" fillId="0" fontId="4" numFmtId="15" xfId="0" applyAlignment="1" applyBorder="1" applyFont="1" applyNumberFormat="1">
      <alignment horizontal="center" vertical="center"/>
    </xf>
    <xf borderId="12" fillId="0" fontId="4" numFmtId="15" xfId="0" applyAlignment="1" applyBorder="1" applyFont="1" applyNumberFormat="1">
      <alignment horizontal="center" vertical="center"/>
    </xf>
    <xf borderId="12" fillId="0" fontId="4" numFmtId="14" xfId="0" applyAlignment="1" applyBorder="1" applyFont="1" applyNumberFormat="1">
      <alignment horizontal="center" shrinkToFit="0" vertical="center" wrapText="1"/>
    </xf>
    <xf borderId="12" fillId="0" fontId="4" numFmtId="0" xfId="0" applyAlignment="1" applyBorder="1" applyFont="1">
      <alignment horizontal="center"/>
    </xf>
    <xf borderId="12" fillId="5" fontId="23" numFmtId="0" xfId="0" applyAlignment="1" applyBorder="1" applyFont="1">
      <alignment horizontal="left" vertical="center"/>
    </xf>
    <xf borderId="12" fillId="0" fontId="8" numFmtId="0" xfId="0" applyAlignment="1" applyBorder="1" applyFont="1">
      <alignment horizontal="center" vertical="center"/>
    </xf>
    <xf borderId="12" fillId="0" fontId="4" numFmtId="16" xfId="0" applyAlignment="1" applyBorder="1" applyFont="1" applyNumberFormat="1">
      <alignment horizontal="center" vertical="center"/>
    </xf>
    <xf borderId="12" fillId="5" fontId="4" numFmtId="0" xfId="0" applyAlignment="1" applyBorder="1" applyFont="1">
      <alignment horizontal="center" shrinkToFit="0" vertical="center" wrapText="1"/>
    </xf>
    <xf borderId="12" fillId="5" fontId="4" numFmtId="0" xfId="0" applyAlignment="1" applyBorder="1" applyFont="1">
      <alignment horizontal="left" vertical="center"/>
    </xf>
    <xf quotePrefix="1" borderId="12" fillId="5" fontId="4" numFmtId="0" xfId="0" applyAlignment="1" applyBorder="1" applyFont="1">
      <alignment horizontal="center" vertical="center"/>
    </xf>
    <xf borderId="12" fillId="5" fontId="4" numFmtId="0" xfId="0" applyAlignment="1" applyBorder="1" applyFont="1">
      <alignment horizontal="left" shrinkToFit="0" vertical="center" wrapText="1"/>
    </xf>
    <xf borderId="50" fillId="16" fontId="24" numFmtId="0" xfId="0" applyAlignment="1" applyBorder="1" applyFill="1" applyFont="1">
      <alignment horizontal="center" shrinkToFit="0" vertical="center" wrapText="1"/>
    </xf>
    <xf borderId="70" fillId="16" fontId="24" numFmtId="0" xfId="0" applyAlignment="1" applyBorder="1" applyFont="1">
      <alignment horizontal="center" shrinkToFit="0" vertical="center" wrapText="1"/>
    </xf>
    <xf borderId="61" fillId="17" fontId="25" numFmtId="0" xfId="0" applyAlignment="1" applyBorder="1" applyFill="1" applyFont="1">
      <alignment horizontal="center" shrinkToFit="0" vertical="center" wrapText="1"/>
    </xf>
    <xf borderId="1" fillId="17" fontId="26" numFmtId="0" xfId="0" applyAlignment="1" applyBorder="1" applyFont="1">
      <alignment horizontal="left" shrinkToFit="0" vertical="center" wrapText="1"/>
    </xf>
    <xf borderId="57" fillId="0" fontId="19" numFmtId="0" xfId="0" applyAlignment="1" applyBorder="1" applyFont="1">
      <alignment horizontal="center" shrinkToFit="0" vertical="center" wrapText="1"/>
    </xf>
    <xf borderId="3" fillId="0" fontId="19" numFmtId="0" xfId="0" applyAlignment="1" applyBorder="1" applyFont="1">
      <alignment horizontal="center" shrinkToFit="0" vertical="center" wrapText="1"/>
    </xf>
    <xf borderId="50" fillId="0" fontId="19" numFmtId="0" xfId="0" applyAlignment="1" applyBorder="1" applyFont="1">
      <alignment horizontal="center" shrinkToFit="0" vertical="center" wrapText="1"/>
    </xf>
    <xf borderId="52" fillId="0" fontId="19" numFmtId="0" xfId="0" applyAlignment="1" applyBorder="1" applyFont="1">
      <alignment horizontal="center" shrinkToFit="0" vertical="center" wrapText="1"/>
    </xf>
    <xf borderId="52" fillId="18" fontId="19" numFmtId="0" xfId="0" applyAlignment="1" applyBorder="1" applyFill="1" applyFont="1">
      <alignment horizontal="center" shrinkToFit="0" vertical="center" wrapText="1"/>
    </xf>
    <xf borderId="14" fillId="0" fontId="19" numFmtId="0" xfId="0" applyAlignment="1" applyBorder="1" applyFont="1">
      <alignment horizontal="center" shrinkToFit="0" vertical="center" wrapText="1"/>
    </xf>
    <xf borderId="50" fillId="18" fontId="19" numFmtId="0" xfId="0" applyAlignment="1" applyBorder="1" applyFont="1">
      <alignment horizontal="center" shrinkToFit="0" vertical="center" wrapText="1"/>
    </xf>
    <xf borderId="11" fillId="0" fontId="19" numFmtId="0" xfId="0" applyAlignment="1" applyBorder="1" applyFont="1">
      <alignment horizontal="center" shrinkToFit="0" vertical="center" wrapText="1"/>
    </xf>
    <xf borderId="70" fillId="18" fontId="19" numFmtId="0" xfId="0" applyAlignment="1" applyBorder="1" applyFont="1">
      <alignment horizontal="center" shrinkToFit="0" vertical="center" wrapText="1"/>
    </xf>
    <xf borderId="71" fillId="18" fontId="19" numFmtId="0" xfId="0" applyAlignment="1" applyBorder="1" applyFont="1">
      <alignment horizontal="center" shrinkToFit="0" vertical="center" wrapText="1"/>
    </xf>
    <xf borderId="57" fillId="0" fontId="2" numFmtId="0" xfId="0" applyBorder="1" applyFont="1"/>
    <xf borderId="30" fillId="0" fontId="19" numFmtId="0" xfId="0" applyAlignment="1" applyBorder="1" applyFont="1">
      <alignment horizontal="center" shrinkToFit="0" vertical="center" wrapText="1"/>
    </xf>
    <xf borderId="50" fillId="0" fontId="19" numFmtId="0" xfId="0" applyAlignment="1" applyBorder="1" applyFont="1">
      <alignment shrinkToFit="0" vertical="center" wrapText="1"/>
    </xf>
    <xf borderId="50" fillId="18" fontId="19" numFmtId="0" xfId="0" applyAlignment="1" applyBorder="1" applyFont="1">
      <alignment shrinkToFit="0" vertical="center" wrapText="1"/>
    </xf>
    <xf borderId="58" fillId="18" fontId="19" numFmtId="0" xfId="0" applyAlignment="1" applyBorder="1" applyFont="1">
      <alignment horizontal="center" shrinkToFit="0" vertical="center" wrapText="1"/>
    </xf>
    <xf borderId="72" fillId="18" fontId="19" numFmtId="0" xfId="0" applyAlignment="1" applyBorder="1" applyFont="1">
      <alignment horizontal="center" shrinkToFit="0" vertical="center" wrapText="1"/>
    </xf>
    <xf borderId="61" fillId="18" fontId="19" numFmtId="0" xfId="0" applyAlignment="1" applyBorder="1" applyFont="1">
      <alignment horizontal="center" shrinkToFit="0" vertical="center" wrapText="1"/>
    </xf>
    <xf borderId="73" fillId="18" fontId="19" numFmtId="0" xfId="0" applyAlignment="1" applyBorder="1" applyFont="1">
      <alignment horizontal="center" shrinkToFit="0" vertical="center" wrapText="1"/>
    </xf>
    <xf borderId="71" fillId="18" fontId="19" numFmtId="14" xfId="0" applyAlignment="1" applyBorder="1" applyFont="1" applyNumberFormat="1">
      <alignment horizontal="center" shrinkToFit="0" vertical="center" wrapText="1"/>
    </xf>
    <xf borderId="73" fillId="18" fontId="17" numFmtId="0" xfId="0" applyAlignment="1" applyBorder="1" applyFont="1">
      <alignment horizontal="center" shrinkToFit="0" vertical="center" wrapText="1"/>
    </xf>
    <xf borderId="73" fillId="18" fontId="19" numFmtId="0" xfId="0" applyAlignment="1" applyBorder="1" applyFont="1">
      <alignment shrinkToFit="0" vertical="center" wrapText="1"/>
    </xf>
    <xf borderId="70" fillId="18" fontId="19" numFmtId="0" xfId="0" applyAlignment="1" applyBorder="1" applyFont="1">
      <alignment shrinkToFit="0" vertical="center" wrapText="1"/>
    </xf>
    <xf borderId="23" fillId="19" fontId="3" numFmtId="0" xfId="0" applyAlignment="1" applyBorder="1" applyFill="1" applyFont="1">
      <alignment horizontal="center"/>
    </xf>
    <xf borderId="12" fillId="20" fontId="4" numFmtId="0" xfId="0" applyAlignment="1" applyBorder="1" applyFill="1" applyFont="1">
      <alignment horizontal="center"/>
    </xf>
    <xf quotePrefix="1" borderId="12" fillId="0" fontId="4" numFmtId="0" xfId="0" applyAlignment="1" applyBorder="1" applyFont="1">
      <alignment horizontal="center"/>
    </xf>
    <xf borderId="23" fillId="9" fontId="4" numFmtId="0" xfId="0" applyAlignment="1" applyBorder="1" applyFont="1">
      <alignment horizontal="center"/>
    </xf>
    <xf quotePrefix="1" borderId="25" fillId="0" fontId="4" numFmtId="0" xfId="0" applyAlignment="1" applyBorder="1" applyFont="1">
      <alignment horizontal="center"/>
    </xf>
    <xf borderId="13" fillId="0" fontId="27" numFmtId="49" xfId="0" applyAlignment="1" applyBorder="1" applyFont="1" applyNumberFormat="1">
      <alignment horizontal="center" shrinkToFit="0" vertical="center" wrapText="1"/>
    </xf>
    <xf quotePrefix="1" borderId="12" fillId="0" fontId="4" numFmtId="16" xfId="0" applyAlignment="1" applyBorder="1" applyFont="1" applyNumberFormat="1">
      <alignment horizontal="center"/>
    </xf>
    <xf borderId="25" fillId="0" fontId="4" numFmtId="0" xfId="0" applyAlignment="1" applyBorder="1" applyFont="1">
      <alignment horizontal="center"/>
    </xf>
    <xf borderId="13" fillId="0" fontId="27" numFmtId="49" xfId="0" applyAlignment="1" applyBorder="1" applyFont="1" applyNumberFormat="1">
      <alignment horizontal="center"/>
    </xf>
    <xf borderId="69" fillId="0" fontId="27" numFmtId="49" xfId="0" applyAlignment="1" applyBorder="1" applyFont="1" applyNumberFormat="1">
      <alignment horizontal="center"/>
    </xf>
    <xf borderId="13" fillId="0" fontId="27" numFmtId="16" xfId="0" applyAlignment="1" applyBorder="1" applyFont="1" applyNumberFormat="1">
      <alignment horizontal="center"/>
    </xf>
    <xf borderId="69" fillId="0" fontId="27" numFmtId="16" xfId="0" applyAlignment="1" applyBorder="1" applyFont="1" applyNumberFormat="1">
      <alignment horizontal="center"/>
    </xf>
    <xf borderId="13" fillId="0" fontId="28" numFmtId="49" xfId="0" applyAlignment="1" applyBorder="1" applyFont="1" applyNumberFormat="1">
      <alignment horizontal="center"/>
    </xf>
    <xf borderId="69" fillId="0" fontId="28" numFmtId="49" xfId="0" applyAlignment="1" applyBorder="1" applyFont="1" applyNumberFormat="1">
      <alignment horizontal="center"/>
    </xf>
    <xf borderId="13" fillId="0" fontId="29" numFmtId="49" xfId="0" applyAlignment="1" applyBorder="1" applyFont="1" applyNumberFormat="1">
      <alignment horizontal="center"/>
    </xf>
    <xf borderId="69" fillId="0" fontId="29" numFmtId="49" xfId="0" applyAlignment="1" applyBorder="1" applyFont="1" applyNumberFormat="1">
      <alignment horizontal="center"/>
    </xf>
    <xf borderId="12" fillId="0" fontId="4" numFmtId="16" xfId="0" applyAlignment="1" applyBorder="1" applyFont="1" applyNumberFormat="1">
      <alignment horizontal="center"/>
    </xf>
    <xf borderId="13" fillId="0" fontId="27" numFmtId="0" xfId="0" applyAlignment="1" applyBorder="1" applyFont="1">
      <alignment horizontal="center"/>
    </xf>
    <xf borderId="69" fillId="0" fontId="27" numFmtId="0" xfId="0" applyAlignment="1" applyBorder="1" applyFont="1">
      <alignment horizontal="center"/>
    </xf>
    <xf borderId="25" fillId="0" fontId="4" numFmtId="14" xfId="0" applyAlignment="1" applyBorder="1" applyFont="1" applyNumberFormat="1">
      <alignment horizontal="center"/>
    </xf>
    <xf borderId="13" fillId="0" fontId="30" numFmtId="0" xfId="0" applyAlignment="1" applyBorder="1" applyFont="1">
      <alignment horizontal="center" shrinkToFit="0" vertical="center" wrapText="1"/>
    </xf>
    <xf borderId="69" fillId="0" fontId="30" numFmtId="0" xfId="0" applyAlignment="1" applyBorder="1" applyFont="1">
      <alignment horizontal="center" shrinkToFit="0" vertical="center" wrapText="1"/>
    </xf>
    <xf quotePrefix="1" borderId="12" fillId="0" fontId="4" numFmtId="16" xfId="0" applyAlignment="1" applyBorder="1" applyFont="1" applyNumberFormat="1">
      <alignment horizontal="center" vertical="center"/>
    </xf>
    <xf quotePrefix="1" borderId="12" fillId="0" fontId="4" numFmtId="0" xfId="0" applyAlignment="1" applyBorder="1" applyFont="1">
      <alignment horizontal="center" vertical="center"/>
    </xf>
    <xf borderId="13" fillId="0" fontId="28" numFmtId="0" xfId="0" applyAlignment="1" applyBorder="1" applyFont="1">
      <alignment horizontal="center"/>
    </xf>
    <xf borderId="0" fillId="0" fontId="4" numFmtId="0" xfId="0" applyAlignment="1" applyFont="1">
      <alignment horizontal="center" vertical="top"/>
    </xf>
    <xf borderId="13" fillId="0" fontId="31" numFmtId="0" xfId="0" applyAlignment="1" applyBorder="1" applyFont="1">
      <alignment horizontal="center"/>
    </xf>
    <xf borderId="13" fillId="0" fontId="27" numFmtId="2" xfId="0" applyAlignment="1" applyBorder="1" applyFont="1" applyNumberFormat="1">
      <alignment horizontal="center" vertical="center"/>
    </xf>
    <xf quotePrefix="1" borderId="12" fillId="5" fontId="27" numFmtId="49" xfId="0" applyAlignment="1" applyBorder="1" applyFont="1" applyNumberFormat="1">
      <alignment horizontal="center"/>
    </xf>
    <xf borderId="12" fillId="0" fontId="27" numFmtId="0" xfId="0" applyAlignment="1" applyBorder="1" applyFont="1">
      <alignment horizontal="center"/>
    </xf>
    <xf borderId="12" fillId="5" fontId="28" numFmtId="49" xfId="0" applyAlignment="1" applyBorder="1" applyFont="1" applyNumberFormat="1">
      <alignment horizontal="center"/>
    </xf>
    <xf borderId="12" fillId="0" fontId="28" numFmtId="0" xfId="0" applyAlignment="1" applyBorder="1" applyFont="1">
      <alignment horizontal="center"/>
    </xf>
    <xf borderId="12" fillId="5" fontId="27" numFmtId="49" xfId="0" applyAlignment="1" applyBorder="1" applyFont="1" applyNumberFormat="1">
      <alignment horizontal="center"/>
    </xf>
    <xf borderId="12" fillId="5" fontId="30" numFmtId="0" xfId="0" applyAlignment="1" applyBorder="1" applyFont="1">
      <alignment horizontal="center" shrinkToFit="0" vertical="center" wrapText="1"/>
    </xf>
    <xf borderId="12" fillId="0" fontId="30" numFmtId="0" xfId="0" applyAlignment="1" applyBorder="1" applyFont="1">
      <alignment horizontal="center" shrinkToFit="0" vertical="center" wrapText="1"/>
    </xf>
    <xf borderId="0" fillId="0" fontId="4" numFmtId="14" xfId="0" applyAlignment="1" applyFont="1" applyNumberFormat="1">
      <alignment horizontal="center"/>
    </xf>
    <xf quotePrefix="1" borderId="12" fillId="0" fontId="4" numFmtId="17" xfId="0" applyAlignment="1" applyBorder="1" applyFont="1" applyNumberFormat="1">
      <alignment horizontal="center"/>
    </xf>
    <xf borderId="12" fillId="0" fontId="32" numFmtId="0" xfId="0" applyAlignment="1" applyBorder="1" applyFont="1">
      <alignment horizontal="center" vertical="center"/>
    </xf>
    <xf borderId="18" fillId="0" fontId="33" numFmtId="20" xfId="0" applyAlignment="1" applyBorder="1" applyFont="1" applyNumberFormat="1">
      <alignment horizontal="center" shrinkToFit="0" vertical="center" wrapText="1"/>
    </xf>
    <xf borderId="12" fillId="21" fontId="34" numFmtId="20" xfId="0" applyAlignment="1" applyBorder="1" applyFill="1" applyFont="1" applyNumberFormat="1">
      <alignment vertical="center"/>
    </xf>
    <xf borderId="12" fillId="0" fontId="35" numFmtId="20" xfId="0" applyAlignment="1" applyBorder="1" applyFont="1" applyNumberFormat="1">
      <alignment horizontal="center" shrinkToFit="0" vertical="center" wrapText="1"/>
    </xf>
    <xf borderId="12" fillId="21" fontId="34" numFmtId="20" xfId="0" applyAlignment="1" applyBorder="1" applyFont="1" applyNumberFormat="1">
      <alignment horizontal="center" shrinkToFit="0" vertical="center" wrapText="1"/>
    </xf>
    <xf borderId="23" fillId="0" fontId="33" numFmtId="168" xfId="0" applyAlignment="1" applyBorder="1" applyFont="1" applyNumberFormat="1">
      <alignment horizontal="center" shrinkToFit="0" vertical="center" wrapText="1"/>
    </xf>
    <xf borderId="12" fillId="21" fontId="34" numFmtId="20" xfId="0" applyAlignment="1" applyBorder="1" applyFont="1" applyNumberFormat="1">
      <alignment horizontal="left" shrinkToFit="0" vertical="center" wrapText="1"/>
    </xf>
    <xf borderId="23" fillId="0" fontId="33" numFmtId="20" xfId="0" applyAlignment="1" applyBorder="1" applyFont="1" applyNumberFormat="1">
      <alignment horizontal="left" shrinkToFit="0" vertical="center" wrapText="1"/>
    </xf>
    <xf borderId="12" fillId="0" fontId="33" numFmtId="20" xfId="0" applyAlignment="1" applyBorder="1" applyFont="1" applyNumberFormat="1">
      <alignment shrinkToFit="0" vertical="center" wrapText="1"/>
    </xf>
    <xf borderId="12" fillId="0" fontId="34" numFmtId="20" xfId="0" applyAlignment="1" applyBorder="1" applyFont="1" applyNumberFormat="1">
      <alignment horizontal="left" shrinkToFit="0" vertical="center" wrapText="1"/>
    </xf>
    <xf borderId="13" fillId="0" fontId="36" numFmtId="0" xfId="0" applyAlignment="1" applyBorder="1" applyFont="1">
      <alignment vertical="center"/>
    </xf>
    <xf borderId="13" fillId="0" fontId="35" numFmtId="0" xfId="0" applyAlignment="1" applyBorder="1" applyFont="1">
      <alignment vertical="center"/>
    </xf>
    <xf borderId="13" fillId="0" fontId="37" numFmtId="0" xfId="0" applyAlignment="1" applyBorder="1" applyFont="1">
      <alignment horizontal="center" shrinkToFit="0" vertical="center" wrapText="1"/>
    </xf>
    <xf borderId="21" fillId="0" fontId="2" numFmtId="0" xfId="0" applyBorder="1" applyFont="1"/>
    <xf borderId="12" fillId="21" fontId="34" numFmtId="20" xfId="0" applyAlignment="1" applyBorder="1" applyFont="1" applyNumberFormat="1">
      <alignment shrinkToFit="0" vertical="center" wrapText="1"/>
    </xf>
    <xf borderId="23" fillId="0" fontId="35" numFmtId="20" xfId="0" applyAlignment="1" applyBorder="1" applyFont="1" applyNumberFormat="1">
      <alignment horizontal="left" shrinkToFit="0" vertical="center" wrapText="1"/>
    </xf>
    <xf borderId="13" fillId="0" fontId="37" numFmtId="20" xfId="0" applyAlignment="1" applyBorder="1" applyFont="1" applyNumberFormat="1">
      <alignment horizontal="center" shrinkToFit="0" vertical="center" wrapText="1"/>
    </xf>
    <xf borderId="23" fillId="0" fontId="33" numFmtId="168" xfId="0" applyAlignment="1" applyBorder="1" applyFont="1" applyNumberFormat="1">
      <alignment horizontal="left" shrinkToFit="0" vertical="center" wrapText="1"/>
    </xf>
    <xf borderId="12" fillId="0" fontId="33" numFmtId="15" xfId="0" applyAlignment="1" applyBorder="1" applyFont="1" applyNumberFormat="1">
      <alignment horizontal="left" shrinkToFit="0" vertical="center" wrapText="1"/>
    </xf>
    <xf quotePrefix="1" borderId="23" fillId="0" fontId="35" numFmtId="20" xfId="0" applyAlignment="1" applyBorder="1" applyFont="1" applyNumberFormat="1">
      <alignment horizontal="left" shrinkToFit="0" wrapText="1"/>
    </xf>
    <xf borderId="13" fillId="0" fontId="38" numFmtId="20" xfId="0" applyAlignment="1" applyBorder="1" applyFont="1" applyNumberFormat="1">
      <alignment horizontal="left" shrinkToFit="0" vertical="center" wrapText="1"/>
    </xf>
    <xf borderId="13" fillId="0" fontId="36" numFmtId="0" xfId="0" applyAlignment="1" applyBorder="1" applyFont="1">
      <alignment horizontal="center" shrinkToFit="0" vertical="center" wrapText="1"/>
    </xf>
    <xf borderId="13" fillId="0" fontId="33" numFmtId="0" xfId="0" applyAlignment="1" applyBorder="1" applyFont="1">
      <alignment horizontal="center" vertical="center"/>
    </xf>
    <xf borderId="12" fillId="0" fontId="35" numFmtId="1" xfId="0" applyAlignment="1" applyBorder="1" applyFont="1" applyNumberFormat="1">
      <alignment horizontal="center" shrinkToFit="0" vertical="center" wrapText="1"/>
    </xf>
    <xf borderId="12" fillId="18" fontId="35" numFmtId="20" xfId="0" applyAlignment="1" applyBorder="1" applyFont="1" applyNumberFormat="1">
      <alignment horizontal="left" shrinkToFit="0" vertical="center" wrapText="1"/>
    </xf>
    <xf borderId="12" fillId="18" fontId="35" numFmtId="1" xfId="0" applyAlignment="1" applyBorder="1" applyFont="1" applyNumberFormat="1">
      <alignment horizontal="center" shrinkToFit="0" vertical="center" wrapText="1"/>
    </xf>
    <xf borderId="12" fillId="18" fontId="35" numFmtId="166" xfId="0" applyAlignment="1" applyBorder="1" applyFont="1" applyNumberFormat="1">
      <alignment horizontal="center" shrinkToFit="0" vertical="center" wrapText="1"/>
    </xf>
    <xf borderId="12" fillId="0" fontId="39" numFmtId="20" xfId="0" applyAlignment="1" applyBorder="1" applyFont="1" applyNumberFormat="1">
      <alignment horizontal="left" shrinkToFit="0" vertical="center" wrapText="1"/>
    </xf>
    <xf borderId="12" fillId="0" fontId="40" numFmtId="20" xfId="0" applyAlignment="1" applyBorder="1" applyFont="1" applyNumberFormat="1">
      <alignment shrinkToFit="0" vertical="center" wrapText="1"/>
    </xf>
    <xf borderId="13" fillId="0" fontId="36" numFmtId="9" xfId="0" applyAlignment="1" applyBorder="1" applyFont="1" applyNumberFormat="1">
      <alignment horizontal="center" vertical="center"/>
    </xf>
    <xf borderId="13" fillId="0" fontId="33" numFmtId="0" xfId="0" applyBorder="1" applyFont="1"/>
    <xf borderId="12" fillId="0" fontId="35" numFmtId="20" xfId="0" applyAlignment="1" applyBorder="1" applyFont="1" applyNumberFormat="1">
      <alignment horizontal="left" shrinkToFit="0" vertical="center" wrapText="1"/>
    </xf>
    <xf quotePrefix="1" borderId="12" fillId="0" fontId="40" numFmtId="20" xfId="0" applyAlignment="1" applyBorder="1" applyFont="1" applyNumberFormat="1">
      <alignment horizontal="left" shrinkToFit="0" vertical="center" wrapText="1"/>
    </xf>
    <xf borderId="13" fillId="0" fontId="33" numFmtId="1" xfId="0" applyBorder="1" applyFont="1" applyNumberFormat="1"/>
    <xf borderId="12" fillId="0" fontId="33" numFmtId="20" xfId="0" applyBorder="1" applyFont="1" applyNumberFormat="1"/>
    <xf borderId="12" fillId="0" fontId="40" numFmtId="0" xfId="0" applyAlignment="1" applyBorder="1" applyFont="1">
      <alignment shrinkToFit="0" vertical="center" wrapText="1"/>
    </xf>
    <xf borderId="12" fillId="0" fontId="35" numFmtId="166" xfId="0" applyAlignment="1" applyBorder="1" applyFont="1" applyNumberFormat="1">
      <alignment horizontal="center" shrinkToFit="0" vertical="center" wrapText="1"/>
    </xf>
    <xf borderId="12" fillId="0" fontId="35" numFmtId="1" xfId="0" applyAlignment="1" applyBorder="1" applyFont="1" applyNumberFormat="1">
      <alignment shrinkToFit="0" vertical="center" wrapText="1"/>
    </xf>
    <xf borderId="12" fillId="0" fontId="41" numFmtId="20" xfId="0" applyAlignment="1" applyBorder="1" applyFont="1" applyNumberFormat="1">
      <alignment horizontal="left" shrinkToFit="0" vertical="center" wrapText="1"/>
    </xf>
    <xf borderId="12" fillId="0" fontId="33" numFmtId="20" xfId="0" applyAlignment="1" applyBorder="1" applyFont="1" applyNumberFormat="1">
      <alignment shrinkToFit="0" vertical="center" wrapText="1"/>
    </xf>
    <xf borderId="12" fillId="0" fontId="36" numFmtId="166" xfId="0" applyAlignment="1" applyBorder="1" applyFont="1" applyNumberFormat="1">
      <alignment horizontal="center" shrinkToFit="0" vertical="center" wrapText="1"/>
    </xf>
    <xf borderId="22" fillId="0" fontId="33" numFmtId="20" xfId="0" applyAlignment="1" applyBorder="1" applyFont="1" applyNumberFormat="1">
      <alignment horizontal="left" vertical="center"/>
    </xf>
    <xf borderId="74" fillId="0" fontId="42" numFmtId="20" xfId="0" applyAlignment="1" applyBorder="1" applyFont="1" applyNumberFormat="1">
      <alignment horizontal="center" vertical="center"/>
    </xf>
    <xf borderId="75" fillId="0" fontId="2" numFmtId="0" xfId="0" applyBorder="1" applyFont="1"/>
    <xf borderId="76" fillId="0" fontId="2" numFmtId="0" xfId="0" applyBorder="1" applyFont="1"/>
    <xf borderId="13" fillId="0" fontId="35" numFmtId="166" xfId="0" applyAlignment="1" applyBorder="1" applyFont="1" applyNumberFormat="1">
      <alignment vertical="center"/>
    </xf>
    <xf borderId="13" fillId="0" fontId="35" numFmtId="2" xfId="0" applyAlignment="1" applyBorder="1" applyFont="1" applyNumberFormat="1">
      <alignment vertical="center"/>
    </xf>
    <xf borderId="77" fillId="0" fontId="42" numFmtId="20" xfId="0" applyAlignment="1" applyBorder="1" applyFont="1" applyNumberFormat="1">
      <alignment horizontal="center" vertical="center"/>
    </xf>
    <xf borderId="78" fillId="0" fontId="2" numFmtId="0" xfId="0" applyBorder="1" applyFont="1"/>
    <xf borderId="79" fillId="0" fontId="2" numFmtId="0" xfId="0" applyBorder="1" applyFont="1"/>
    <xf borderId="13" fillId="0" fontId="35" numFmtId="165" xfId="0" applyAlignment="1" applyBorder="1" applyFont="1" applyNumberFormat="1">
      <alignment vertical="center"/>
    </xf>
    <xf borderId="77" fillId="0" fontId="42" numFmtId="20" xfId="0" applyAlignment="1" applyBorder="1" applyFont="1" applyNumberFormat="1">
      <alignment horizontal="left" vertical="center"/>
    </xf>
    <xf borderId="13" fillId="0" fontId="33" numFmtId="166" xfId="0" applyBorder="1" applyFont="1" applyNumberFormat="1"/>
    <xf borderId="13" fillId="0" fontId="43" numFmtId="20" xfId="0" applyAlignment="1" applyBorder="1" applyFont="1" applyNumberFormat="1">
      <alignment horizontal="left" shrinkToFit="0" vertical="center" wrapText="1"/>
    </xf>
    <xf borderId="80" fillId="0" fontId="42" numFmtId="20" xfId="0" applyAlignment="1" applyBorder="1" applyFont="1" applyNumberFormat="1">
      <alignment horizontal="center" shrinkToFit="0" vertical="center" wrapText="1"/>
    </xf>
    <xf borderId="80" fillId="0" fontId="44" numFmtId="20" xfId="0" applyAlignment="1" applyBorder="1" applyFont="1" applyNumberFormat="1">
      <alignment horizontal="center" vertical="center"/>
    </xf>
    <xf borderId="80" fillId="0" fontId="44" numFmtId="20" xfId="0" applyAlignment="1" applyBorder="1" applyFont="1" applyNumberFormat="1">
      <alignment horizontal="center" shrinkToFit="0" vertical="center" wrapText="1"/>
    </xf>
    <xf borderId="80" fillId="0" fontId="40" numFmtId="20" xfId="0" applyAlignment="1" applyBorder="1" applyFont="1" applyNumberFormat="1">
      <alignment horizontal="center" shrinkToFit="0" vertical="center" wrapText="1"/>
    </xf>
    <xf borderId="80" fillId="0" fontId="41" numFmtId="20" xfId="0" applyAlignment="1" applyBorder="1" applyFont="1" applyNumberFormat="1">
      <alignment horizontal="center" shrinkToFit="0" vertical="center" wrapText="1"/>
    </xf>
    <xf borderId="13" fillId="0" fontId="45" numFmtId="20" xfId="0" applyAlignment="1" applyBorder="1" applyFont="1" applyNumberFormat="1">
      <alignment horizontal="left" shrinkToFit="0" vertical="center" wrapText="1"/>
    </xf>
    <xf borderId="80" fillId="0" fontId="42" numFmtId="1" xfId="0" applyAlignment="1" applyBorder="1" applyFont="1" applyNumberFormat="1">
      <alignment horizontal="center" shrinkToFit="0" vertical="center" wrapText="1"/>
    </xf>
    <xf borderId="80" fillId="0" fontId="42" numFmtId="1" xfId="0" applyAlignment="1" applyBorder="1" applyFont="1" applyNumberFormat="1">
      <alignment horizontal="center" vertical="center"/>
    </xf>
    <xf borderId="80" fillId="0" fontId="46" numFmtId="1" xfId="0" applyAlignment="1" applyBorder="1" applyFont="1" applyNumberFormat="1">
      <alignment horizontal="center" vertical="center"/>
    </xf>
    <xf borderId="80" fillId="0" fontId="46" numFmtId="20" xfId="0" applyAlignment="1" applyBorder="1" applyFont="1" applyNumberFormat="1">
      <alignment horizontal="center" shrinkToFit="0" vertical="center" wrapText="1"/>
    </xf>
    <xf borderId="80" fillId="0" fontId="46" numFmtId="20" xfId="0" applyAlignment="1" applyBorder="1" applyFont="1" applyNumberFormat="1">
      <alignment horizontal="center" vertical="center"/>
    </xf>
    <xf borderId="13" fillId="0" fontId="46" numFmtId="0" xfId="0" applyBorder="1" applyFont="1"/>
    <xf borderId="13" fillId="0" fontId="45" numFmtId="0" xfId="0" applyAlignment="1" applyBorder="1" applyFont="1">
      <alignment vertical="center"/>
    </xf>
    <xf borderId="80" fillId="0" fontId="46" numFmtId="1" xfId="0" applyAlignment="1" applyBorder="1" applyFont="1" applyNumberFormat="1">
      <alignment horizontal="center" shrinkToFit="0" vertical="center" wrapText="1"/>
    </xf>
    <xf borderId="77" fillId="0" fontId="42" numFmtId="0" xfId="0" applyAlignment="1" applyBorder="1" applyFont="1">
      <alignment horizontal="left" vertical="center"/>
    </xf>
    <xf borderId="80" fillId="0" fontId="42" numFmtId="0" xfId="0" applyAlignment="1" applyBorder="1" applyFont="1">
      <alignment horizontal="center" shrinkToFit="0" vertical="center" wrapText="1"/>
    </xf>
    <xf borderId="80" fillId="0" fontId="44" numFmtId="0" xfId="0" applyAlignment="1" applyBorder="1" applyFont="1">
      <alignment horizontal="center" vertical="center"/>
    </xf>
    <xf borderId="0" fillId="0" fontId="47" numFmtId="0" xfId="0" applyAlignment="1" applyFont="1">
      <alignment shrinkToFit="0" vertical="center" wrapText="1"/>
    </xf>
    <xf borderId="81" fillId="0" fontId="42" numFmtId="2" xfId="0" applyAlignment="1" applyBorder="1" applyFont="1" applyNumberFormat="1">
      <alignment horizontal="center" shrinkToFit="0" vertical="center" wrapText="1"/>
    </xf>
    <xf borderId="81" fillId="0" fontId="46" numFmtId="2" xfId="0" applyAlignment="1" applyBorder="1" applyFont="1" applyNumberFormat="1">
      <alignment horizontal="center" vertical="center"/>
    </xf>
    <xf borderId="81" fillId="0" fontId="42" numFmtId="2" xfId="0" applyAlignment="1" applyBorder="1" applyFont="1" applyNumberFormat="1">
      <alignment horizontal="center" vertical="center"/>
    </xf>
    <xf borderId="81" fillId="0" fontId="42" numFmtId="0" xfId="0" applyAlignment="1" applyBorder="1" applyFont="1">
      <alignment horizontal="center" vertical="center"/>
    </xf>
    <xf borderId="81" fillId="0" fontId="34" numFmtId="0" xfId="0" applyAlignment="1" applyBorder="1" applyFont="1">
      <alignment horizontal="left" vertical="center"/>
    </xf>
    <xf borderId="81" fillId="0" fontId="46" numFmtId="0" xfId="0" applyBorder="1" applyFont="1"/>
    <xf borderId="13" fillId="0" fontId="33" numFmtId="0" xfId="0" applyAlignment="1" applyBorder="1" applyFont="1">
      <alignment shrinkToFit="0" wrapText="1"/>
    </xf>
    <xf borderId="62" fillId="5" fontId="46" numFmtId="0" xfId="0" applyBorder="1" applyFont="1"/>
    <xf borderId="7" fillId="0" fontId="46" numFmtId="0" xfId="0" applyAlignment="1" applyBorder="1" applyFont="1">
      <alignment shrinkToFit="0" wrapText="1"/>
    </xf>
    <xf borderId="7" fillId="0" fontId="46" numFmtId="0" xfId="0" applyBorder="1" applyFont="1"/>
    <xf borderId="63" fillId="0" fontId="46" numFmtId="0" xfId="0" applyBorder="1" applyFont="1"/>
    <xf borderId="69" fillId="0" fontId="48" numFmtId="0" xfId="0" applyAlignment="1" applyBorder="1" applyFont="1">
      <alignment horizontal="left"/>
    </xf>
    <xf borderId="12" fillId="0" fontId="49" numFmtId="0" xfId="0" applyAlignment="1" applyBorder="1" applyFont="1">
      <alignment horizontal="left"/>
    </xf>
    <xf borderId="12" fillId="0" fontId="50" numFmtId="0" xfId="0" applyAlignment="1" applyBorder="1" applyFont="1">
      <alignment shrinkToFit="0" vertical="center" wrapText="1"/>
    </xf>
    <xf borderId="12" fillId="0" fontId="51" numFmtId="0" xfId="0" applyAlignment="1" applyBorder="1" applyFont="1">
      <alignment shrinkToFit="0" vertical="center" wrapText="1"/>
    </xf>
    <xf borderId="12" fillId="0" fontId="35" numFmtId="0" xfId="0" applyAlignment="1" applyBorder="1" applyFont="1">
      <alignment vertical="center"/>
    </xf>
    <xf quotePrefix="1" borderId="64" fillId="0" fontId="33" numFmtId="17" xfId="0" applyAlignment="1" applyBorder="1" applyFont="1" applyNumberFormat="1">
      <alignment horizontal="left" vertical="center"/>
    </xf>
    <xf borderId="12" fillId="0" fontId="52" numFmtId="0" xfId="0" applyAlignment="1" applyBorder="1" applyFont="1">
      <alignment shrinkToFit="0" wrapText="1"/>
    </xf>
    <xf borderId="12" fillId="0" fontId="49" numFmtId="0" xfId="0" applyAlignment="1" applyBorder="1" applyFont="1">
      <alignment shrinkToFit="0" wrapText="1"/>
    </xf>
    <xf borderId="65" fillId="0" fontId="49" numFmtId="0" xfId="0" applyBorder="1" applyFont="1"/>
    <xf borderId="69" fillId="0" fontId="53" numFmtId="0" xfId="0" applyAlignment="1" applyBorder="1" applyFont="1">
      <alignment horizontal="left"/>
    </xf>
    <xf borderId="12" fillId="0" fontId="35" numFmtId="0" xfId="0" applyAlignment="1" applyBorder="1" applyFont="1">
      <alignment horizontal="center" vertical="center"/>
    </xf>
    <xf borderId="12" fillId="0" fontId="51" numFmtId="0" xfId="0" applyAlignment="1" applyBorder="1" applyFont="1">
      <alignment horizontal="left" vertical="center"/>
    </xf>
    <xf borderId="12" fillId="0" fontId="51" numFmtId="15" xfId="0" applyAlignment="1" applyBorder="1" applyFont="1" applyNumberFormat="1">
      <alignment horizontal="left" vertical="center"/>
    </xf>
    <xf borderId="12" fillId="0" fontId="49" numFmtId="0" xfId="0" applyBorder="1" applyFont="1"/>
    <xf borderId="69" fillId="0" fontId="54" numFmtId="0" xfId="0" applyAlignment="1" applyBorder="1" applyFont="1">
      <alignment horizontal="left"/>
    </xf>
    <xf borderId="66" fillId="0" fontId="33" numFmtId="0" xfId="0" applyAlignment="1" applyBorder="1" applyFont="1">
      <alignment horizontal="left"/>
    </xf>
    <xf borderId="67" fillId="0" fontId="49" numFmtId="0" xfId="0" applyAlignment="1" applyBorder="1" applyFont="1">
      <alignment shrinkToFit="0" wrapText="1"/>
    </xf>
    <xf borderId="67" fillId="0" fontId="49" numFmtId="0" xfId="0" applyBorder="1" applyFont="1"/>
    <xf borderId="68" fillId="0" fontId="49" numFmtId="0" xfId="0" applyBorder="1" applyFont="1"/>
    <xf borderId="12" fillId="0" fontId="33" numFmtId="0" xfId="0" applyBorder="1" applyFont="1"/>
    <xf borderId="12" fillId="0" fontId="33" numFmtId="0" xfId="0" applyAlignment="1" applyBorder="1" applyFont="1">
      <alignment shrinkToFit="0" wrapText="1"/>
    </xf>
    <xf borderId="13" fillId="0" fontId="33" numFmtId="0" xfId="0" applyAlignment="1" applyBorder="1" applyFont="1">
      <alignment horizontal="center"/>
    </xf>
    <xf borderId="13" fillId="0" fontId="33" numFmtId="0" xfId="0" applyAlignment="1" applyBorder="1" applyFont="1">
      <alignment horizontal="left" vertical="center"/>
    </xf>
    <xf borderId="12" fillId="5" fontId="46" numFmtId="0" xfId="0" applyBorder="1" applyFont="1"/>
    <xf borderId="12" fillId="0" fontId="46" numFmtId="0" xfId="0" applyAlignment="1" applyBorder="1" applyFont="1">
      <alignment horizontal="center"/>
    </xf>
    <xf borderId="12" fillId="0" fontId="55" numFmtId="0" xfId="0" applyAlignment="1" applyBorder="1" applyFont="1">
      <alignment shrinkToFit="0" vertical="center" wrapText="1"/>
    </xf>
    <xf borderId="12" fillId="0" fontId="56" numFmtId="0" xfId="0" applyAlignment="1" applyBorder="1" applyFont="1">
      <alignment shrinkToFit="0" vertical="center" wrapText="1"/>
    </xf>
    <xf borderId="12" fillId="0" fontId="33" numFmtId="0" xfId="0" applyAlignment="1" applyBorder="1" applyFont="1">
      <alignment horizontal="center"/>
    </xf>
    <xf borderId="12" fillId="0" fontId="33" numFmtId="165" xfId="0" applyAlignment="1" applyBorder="1" applyFont="1" applyNumberFormat="1">
      <alignment horizontal="center"/>
    </xf>
    <xf borderId="12" fillId="0" fontId="49" numFmtId="0" xfId="0" applyAlignment="1" applyBorder="1" applyFont="1">
      <alignment horizontal="center"/>
    </xf>
    <xf borderId="12" fillId="0" fontId="53" numFmtId="0" xfId="0" applyAlignment="1" applyBorder="1" applyFont="1">
      <alignment horizontal="center"/>
    </xf>
    <xf borderId="12" fillId="0" fontId="57" numFmtId="0" xfId="0" applyBorder="1" applyFont="1"/>
    <xf borderId="12" fillId="0" fontId="33" numFmtId="165" xfId="0" applyBorder="1" applyFont="1" applyNumberFormat="1"/>
    <xf borderId="62" fillId="0" fontId="15" numFmtId="0" xfId="0" applyAlignment="1" applyBorder="1" applyFont="1">
      <alignment horizontal="left" shrinkToFit="0" vertical="center" wrapText="1"/>
    </xf>
    <xf borderId="8" fillId="14" fontId="21" numFmtId="0" xfId="0" applyAlignment="1" applyBorder="1" applyFont="1">
      <alignment horizontal="center" shrinkToFit="0" vertical="center" wrapText="1"/>
    </xf>
    <xf borderId="82" fillId="0" fontId="2" numFmtId="0" xfId="0" applyBorder="1" applyFont="1"/>
    <xf borderId="0" fillId="0" fontId="21" numFmtId="0" xfId="0" applyAlignment="1" applyFont="1">
      <alignment shrinkToFit="0" vertical="center" wrapText="1"/>
    </xf>
    <xf borderId="0" fillId="0" fontId="21" numFmtId="0" xfId="0" applyFont="1"/>
    <xf borderId="64" fillId="0" fontId="15" numFmtId="0" xfId="0" applyAlignment="1" applyBorder="1" applyFont="1">
      <alignment horizontal="left" shrinkToFit="0" vertical="center" wrapText="1"/>
    </xf>
    <xf borderId="23" fillId="0" fontId="21" numFmtId="0" xfId="0" applyAlignment="1" applyBorder="1" applyFont="1">
      <alignment horizontal="center" shrinkToFit="0" vertical="center" wrapText="1"/>
    </xf>
    <xf borderId="83" fillId="0" fontId="2" numFmtId="0" xfId="0" applyBorder="1" applyFont="1"/>
    <xf borderId="66" fillId="0" fontId="15" numFmtId="0" xfId="0" applyAlignment="1" applyBorder="1" applyFont="1">
      <alignment shrinkToFit="0" vertical="center" wrapText="1"/>
    </xf>
    <xf borderId="43" fillId="0" fontId="15" numFmtId="14" xfId="0" applyAlignment="1" applyBorder="1" applyFont="1" applyNumberFormat="1">
      <alignment horizontal="left" shrinkToFit="0" vertical="center" wrapText="1"/>
    </xf>
    <xf borderId="84" fillId="0" fontId="2" numFmtId="0" xfId="0" applyBorder="1" applyFont="1"/>
    <xf borderId="0" fillId="0" fontId="15" numFmtId="0" xfId="0" applyAlignment="1" applyFont="1">
      <alignment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21" numFmtId="0" xfId="0" applyAlignment="1" applyFont="1">
      <alignment horizontal="left" shrinkToFit="0" vertical="center" wrapText="1"/>
    </xf>
    <xf borderId="85" fillId="0" fontId="15" numFmtId="0" xfId="0" applyAlignment="1" applyBorder="1" applyFont="1">
      <alignment horizontal="center" shrinkToFit="0" vertical="center" wrapText="1"/>
    </xf>
    <xf borderId="86" fillId="0" fontId="15" numFmtId="0" xfId="0" applyAlignment="1" applyBorder="1" applyFont="1">
      <alignment horizontal="center" shrinkToFit="0" vertical="center" wrapText="1"/>
    </xf>
    <xf borderId="60" fillId="0" fontId="15" numFmtId="0" xfId="0" applyAlignment="1" applyBorder="1" applyFont="1">
      <alignment horizontal="center" shrinkToFit="0" vertical="center" wrapText="1"/>
    </xf>
    <xf borderId="87" fillId="0" fontId="21" numFmtId="0" xfId="0" applyAlignment="1" applyBorder="1" applyFont="1">
      <alignment horizontal="center" shrinkToFit="0" vertical="center" wrapText="1"/>
    </xf>
    <xf borderId="34" fillId="0" fontId="21" numFmtId="0" xfId="0" applyAlignment="1" applyBorder="1" applyFont="1">
      <alignment horizontal="left" shrinkToFit="0" vertical="center" wrapText="1"/>
    </xf>
    <xf borderId="34" fillId="0" fontId="21" numFmtId="0" xfId="0" applyAlignment="1" applyBorder="1" applyFont="1">
      <alignment horizontal="center" shrinkToFit="0" vertical="center" wrapText="1"/>
    </xf>
    <xf borderId="34" fillId="0" fontId="21" numFmtId="1" xfId="0" applyAlignment="1" applyBorder="1" applyFont="1" applyNumberFormat="1">
      <alignment horizontal="center" shrinkToFit="0" vertical="center" wrapText="1"/>
    </xf>
    <xf borderId="88" fillId="0" fontId="15" numFmtId="0" xfId="0" applyAlignment="1" applyBorder="1" applyFont="1">
      <alignment horizontal="left" shrinkToFit="0" vertical="center" wrapText="1"/>
    </xf>
    <xf borderId="0" fillId="0" fontId="21" numFmtId="0" xfId="0" applyAlignment="1" applyFont="1">
      <alignment horizontal="center" shrinkToFit="0" vertical="center" wrapText="1"/>
    </xf>
    <xf borderId="12" fillId="0" fontId="21" numFmtId="0" xfId="0" applyAlignment="1" applyBorder="1" applyFont="1">
      <alignment horizontal="left" shrinkToFit="0" vertical="center" wrapText="1"/>
    </xf>
    <xf borderId="12" fillId="0" fontId="21" numFmtId="0" xfId="0" applyAlignment="1" applyBorder="1" applyFont="1">
      <alignment horizontal="center" shrinkToFit="0" vertical="center" wrapText="1"/>
    </xf>
    <xf borderId="12" fillId="0" fontId="21" numFmtId="1" xfId="0" applyAlignment="1" applyBorder="1" applyFont="1" applyNumberFormat="1">
      <alignment horizontal="center" shrinkToFit="0" vertical="center" wrapText="1"/>
    </xf>
    <xf borderId="65" fillId="0" fontId="15" numFmtId="0" xfId="0" applyAlignment="1" applyBorder="1" applyFont="1">
      <alignment horizontal="left" shrinkToFit="0" vertical="center" wrapText="1"/>
    </xf>
    <xf borderId="12" fillId="0" fontId="21" numFmtId="9" xfId="0" applyAlignment="1" applyBorder="1" applyFont="1" applyNumberFormat="1">
      <alignment horizontal="center" shrinkToFit="0" vertical="center" wrapText="1"/>
    </xf>
    <xf borderId="65" fillId="0" fontId="21" numFmtId="0" xfId="0" applyAlignment="1" applyBorder="1" applyFont="1">
      <alignment horizontal="left" shrinkToFit="0" vertical="center" wrapText="1"/>
    </xf>
    <xf borderId="12" fillId="0" fontId="21" numFmtId="3" xfId="0" applyAlignment="1" applyBorder="1" applyFont="1" applyNumberFormat="1">
      <alignment horizontal="center" shrinkToFit="0" vertical="center" wrapText="1"/>
    </xf>
    <xf borderId="85" fillId="0" fontId="21" numFmtId="0" xfId="0" applyAlignment="1" applyBorder="1" applyFont="1">
      <alignment horizontal="center" shrinkToFit="0" vertical="center" wrapText="1"/>
    </xf>
    <xf borderId="60" fillId="0" fontId="21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67" fillId="0" fontId="21" numFmtId="0" xfId="0" applyAlignment="1" applyBorder="1" applyFont="1">
      <alignment horizontal="left" shrinkToFit="0" vertical="center" wrapText="1"/>
    </xf>
    <xf borderId="67" fillId="0" fontId="21" numFmtId="0" xfId="0" applyAlignment="1" applyBorder="1" applyFont="1">
      <alignment horizontal="center" shrinkToFit="0" vertical="center" wrapText="1"/>
    </xf>
    <xf borderId="67" fillId="0" fontId="21" numFmtId="1" xfId="0" applyAlignment="1" applyBorder="1" applyFont="1" applyNumberFormat="1">
      <alignment horizontal="center" shrinkToFit="0" vertical="center" wrapText="1"/>
    </xf>
    <xf borderId="68" fillId="0" fontId="21" numFmtId="0" xfId="0" applyAlignment="1" applyBorder="1" applyFont="1">
      <alignment horizontal="left" shrinkToFit="0" vertical="center" wrapText="1"/>
    </xf>
    <xf borderId="89" fillId="0" fontId="58" numFmtId="0" xfId="0" applyAlignment="1" applyBorder="1" applyFont="1">
      <alignment vertical="center"/>
    </xf>
    <xf borderId="90" fillId="0" fontId="58" numFmtId="0" xfId="0" applyAlignment="1" applyBorder="1" applyFont="1">
      <alignment vertical="center"/>
    </xf>
    <xf borderId="71" fillId="0" fontId="58" numFmtId="0" xfId="0" applyAlignment="1" applyBorder="1" applyFont="1">
      <alignment vertical="center"/>
    </xf>
    <xf borderId="91" fillId="0" fontId="58" numFmtId="0" xfId="0" applyAlignment="1" applyBorder="1" applyFont="1">
      <alignment vertical="center"/>
    </xf>
    <xf borderId="13" fillId="0" fontId="58" numFmtId="0" xfId="0" applyAlignment="1" applyBorder="1" applyFont="1">
      <alignment vertical="center"/>
    </xf>
    <xf borderId="72" fillId="0" fontId="58" numFmtId="0" xfId="0" applyAlignment="1" applyBorder="1" applyFont="1">
      <alignment vertical="center"/>
    </xf>
    <xf borderId="92" fillId="0" fontId="58" numFmtId="0" xfId="0" applyAlignment="1" applyBorder="1" applyFont="1">
      <alignment vertical="center"/>
    </xf>
    <xf borderId="93" fillId="0" fontId="58" numFmtId="0" xfId="0" applyAlignment="1" applyBorder="1" applyFont="1">
      <alignment vertical="center"/>
    </xf>
    <xf borderId="73" fillId="0" fontId="58" numFmtId="0" xfId="0" applyAlignment="1" applyBorder="1" applyFont="1">
      <alignment vertical="center"/>
    </xf>
    <xf borderId="94" fillId="0" fontId="59" numFmtId="0" xfId="0" applyAlignment="1" applyBorder="1" applyFont="1">
      <alignment shrinkToFit="0" vertical="center" wrapText="1"/>
    </xf>
    <xf borderId="95" fillId="0" fontId="59" numFmtId="0" xfId="0" applyAlignment="1" applyBorder="1" applyFont="1">
      <alignment shrinkToFit="0" vertical="center" wrapText="1"/>
    </xf>
    <xf borderId="34" fillId="0" fontId="60" numFmtId="0" xfId="0" applyAlignment="1" applyBorder="1" applyFont="1">
      <alignment shrinkToFit="0" vertical="center" wrapText="1"/>
    </xf>
    <xf borderId="95" fillId="0" fontId="11" numFmtId="0" xfId="0" applyAlignment="1" applyBorder="1" applyFont="1">
      <alignment shrinkToFit="0" vertical="center" wrapText="1"/>
    </xf>
    <xf borderId="95" fillId="0" fontId="61" numFmtId="0" xfId="0" applyAlignment="1" applyBorder="1" applyFont="1">
      <alignment vertical="center"/>
    </xf>
    <xf borderId="95" fillId="0" fontId="59" numFmtId="0" xfId="0" applyAlignment="1" applyBorder="1" applyFont="1">
      <alignment vertical="center"/>
    </xf>
    <xf borderId="96" fillId="0" fontId="59" numFmtId="0" xfId="0" applyAlignment="1" applyBorder="1" applyFont="1">
      <alignment shrinkToFit="0" vertical="center" wrapText="1"/>
    </xf>
    <xf borderId="87" fillId="0" fontId="60" numFmtId="0" xfId="0" applyAlignment="1" applyBorder="1" applyFont="1">
      <alignment shrinkToFit="0" vertical="center" wrapText="1"/>
    </xf>
    <xf borderId="88" fillId="0" fontId="60" numFmtId="0" xfId="0" applyAlignment="1" applyBorder="1" applyFont="1">
      <alignment shrinkToFit="0" vertical="center" wrapText="1"/>
    </xf>
    <xf borderId="66" fillId="0" fontId="59" numFmtId="0" xfId="0" applyAlignment="1" applyBorder="1" applyFont="1">
      <alignment shrinkToFit="0" vertical="center" wrapText="1"/>
    </xf>
    <xf borderId="67" fillId="0" fontId="59" numFmtId="0" xfId="0" applyAlignment="1" applyBorder="1" applyFont="1">
      <alignment shrinkToFit="0" vertical="center" wrapText="1"/>
    </xf>
    <xf borderId="67" fillId="0" fontId="60" numFmtId="0" xfId="0" applyAlignment="1" applyBorder="1" applyFont="1">
      <alignment shrinkToFit="0" vertical="center" wrapText="1"/>
    </xf>
    <xf borderId="67" fillId="0" fontId="11" numFmtId="0" xfId="0" applyAlignment="1" applyBorder="1" applyFont="1">
      <alignment shrinkToFit="0" vertical="center" wrapText="1"/>
    </xf>
    <xf borderId="67" fillId="0" fontId="59" numFmtId="0" xfId="0" applyAlignment="1" applyBorder="1" applyFont="1">
      <alignment horizontal="center" shrinkToFit="0" vertical="center" wrapText="1"/>
    </xf>
    <xf borderId="67" fillId="0" fontId="59" numFmtId="1" xfId="0" applyAlignment="1" applyBorder="1" applyFont="1" applyNumberFormat="1">
      <alignment horizontal="center" shrinkToFit="0" vertical="center" wrapText="1"/>
    </xf>
    <xf borderId="67" fillId="0" fontId="59" numFmtId="0" xfId="0" applyAlignment="1" applyBorder="1" applyFont="1">
      <alignment vertical="center"/>
    </xf>
    <xf borderId="68" fillId="0" fontId="59" numFmtId="0" xfId="0" applyAlignment="1" applyBorder="1" applyFont="1">
      <alignment shrinkToFit="0" vertical="center" wrapText="1"/>
    </xf>
    <xf borderId="66" fillId="0" fontId="60" numFmtId="0" xfId="0" applyAlignment="1" applyBorder="1" applyFont="1">
      <alignment horizontal="center" shrinkToFit="0" vertical="center" wrapText="1"/>
    </xf>
    <xf borderId="67" fillId="0" fontId="60" numFmtId="0" xfId="0" applyAlignment="1" applyBorder="1" applyFont="1">
      <alignment horizontal="center" shrinkToFit="0" vertical="center" wrapText="1"/>
    </xf>
    <xf borderId="68" fillId="0" fontId="60" numFmtId="0" xfId="0" applyAlignment="1" applyBorder="1" applyFont="1">
      <alignment horizontal="center" shrinkToFit="0" vertical="center" wrapText="1"/>
    </xf>
    <xf borderId="97" fillId="0" fontId="11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vertical="center"/>
    </xf>
    <xf borderId="7" fillId="0" fontId="10" numFmtId="2" xfId="0" applyAlignment="1" applyBorder="1" applyFont="1" applyNumberFormat="1">
      <alignment horizontal="center" vertical="center"/>
    </xf>
    <xf borderId="7" fillId="0" fontId="10" numFmtId="165" xfId="0" applyAlignment="1" applyBorder="1" applyFont="1" applyNumberFormat="1">
      <alignment horizontal="center" vertical="center"/>
    </xf>
    <xf borderId="8" fillId="0" fontId="10" numFmtId="165" xfId="0" applyAlignment="1" applyBorder="1" applyFont="1" applyNumberFormat="1">
      <alignment horizontal="center" vertical="center"/>
    </xf>
    <xf borderId="98" fillId="0" fontId="11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63" fillId="0" fontId="11" numFmtId="0" xfId="0" applyAlignment="1" applyBorder="1" applyFont="1">
      <alignment horizontal="center" shrinkToFit="0" vertical="center" wrapText="1"/>
    </xf>
    <xf borderId="99" fillId="0" fontId="11" numFmtId="0" xfId="0" applyAlignment="1" applyBorder="1" applyFont="1">
      <alignment horizontal="center" shrinkToFit="0" vertical="center" wrapText="1"/>
    </xf>
    <xf borderId="12" fillId="0" fontId="10" numFmtId="2" xfId="0" applyAlignment="1" applyBorder="1" applyFont="1" applyNumberFormat="1">
      <alignment horizontal="center" vertical="center"/>
    </xf>
    <xf borderId="25" fillId="0" fontId="10" numFmtId="0" xfId="0" applyAlignment="1" applyBorder="1" applyFont="1">
      <alignment horizontal="center" vertical="center"/>
    </xf>
    <xf borderId="12" fillId="0" fontId="10" numFmtId="165" xfId="0" applyAlignment="1" applyBorder="1" applyFont="1" applyNumberFormat="1">
      <alignment horizontal="center" vertical="center"/>
    </xf>
    <xf borderId="23" fillId="0" fontId="10" numFmtId="165" xfId="0" applyAlignment="1" applyBorder="1" applyFont="1" applyNumberFormat="1">
      <alignment horizontal="center" vertical="center"/>
    </xf>
    <xf borderId="12" fillId="0" fontId="10" numFmtId="0" xfId="0" applyAlignment="1" applyBorder="1" applyFont="1">
      <alignment horizontal="center" shrinkToFit="0" vertical="center" wrapText="1"/>
    </xf>
    <xf borderId="18" fillId="0" fontId="11" numFmtId="0" xfId="0" applyAlignment="1" applyBorder="1" applyFont="1">
      <alignment horizontal="center" shrinkToFit="0" vertical="center" wrapText="1"/>
    </xf>
    <xf borderId="23" fillId="0" fontId="11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65" fillId="0" fontId="11" numFmtId="0" xfId="0" applyAlignment="1" applyBorder="1" applyFont="1">
      <alignment horizontal="center" shrinkToFit="0" vertical="center" wrapText="1"/>
    </xf>
    <xf borderId="64" fillId="0" fontId="11" numFmtId="0" xfId="0" applyAlignment="1" applyBorder="1" applyFont="1">
      <alignment horizontal="center" shrinkToFit="0" vertical="center" wrapText="1"/>
    </xf>
    <xf borderId="25" fillId="0" fontId="10" numFmtId="2" xfId="0" applyAlignment="1" applyBorder="1" applyFont="1" applyNumberFormat="1">
      <alignment horizontal="center" vertical="center"/>
    </xf>
    <xf borderId="65" fillId="0" fontId="62" numFmtId="0" xfId="0" applyAlignment="1" applyBorder="1" applyFont="1">
      <alignment horizontal="center" shrinkToFit="0" vertical="center" wrapText="1"/>
    </xf>
    <xf borderId="12" fillId="0" fontId="63" numFmtId="0" xfId="0" applyAlignment="1" applyBorder="1" applyFont="1">
      <alignment horizontal="center" shrinkToFit="0" vertical="center" wrapText="1"/>
    </xf>
    <xf borderId="65" fillId="0" fontId="63" numFmtId="0" xfId="0" applyAlignment="1" applyBorder="1" applyFont="1">
      <alignment horizontal="center" shrinkToFit="0" vertical="center" wrapText="1"/>
    </xf>
    <xf borderId="65" fillId="0" fontId="10" numFmtId="0" xfId="0" applyAlignment="1" applyBorder="1" applyFont="1">
      <alignment horizontal="center" shrinkToFit="0" vertical="center" wrapText="1"/>
    </xf>
    <xf borderId="34" fillId="0" fontId="10" numFmtId="0" xfId="0" applyAlignment="1" applyBorder="1" applyFont="1">
      <alignment horizontal="center" vertical="center"/>
    </xf>
    <xf borderId="19" fillId="0" fontId="11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vertical="center"/>
    </xf>
    <xf borderId="12" fillId="0" fontId="10" numFmtId="165" xfId="0" applyAlignment="1" applyBorder="1" applyFont="1" applyNumberFormat="1">
      <alignment horizontal="center" vertical="center"/>
    </xf>
    <xf borderId="12" fillId="0" fontId="10" numFmtId="0" xfId="0" applyAlignment="1" applyBorder="1" applyFont="1">
      <alignment horizontal="center" shrinkToFit="0" vertical="center" wrapText="1"/>
    </xf>
    <xf borderId="100" fillId="0" fontId="11" numFmtId="0" xfId="0" applyAlignment="1" applyBorder="1" applyFont="1">
      <alignment horizontal="center" shrinkToFit="0" vertical="center" wrapText="1"/>
    </xf>
    <xf borderId="65" fillId="0" fontId="11" numFmtId="0" xfId="0" applyAlignment="1" applyBorder="1" applyFont="1">
      <alignment horizontal="center" shrinkToFit="0" vertical="center" wrapText="1"/>
    </xf>
    <xf borderId="12" fillId="0" fontId="11" numFmtId="2" xfId="0" applyAlignment="1" applyBorder="1" applyFont="1" applyNumberFormat="1">
      <alignment horizontal="center" shrinkToFit="0" vertical="center" wrapText="1"/>
    </xf>
    <xf borderId="12" fillId="0" fontId="62" numFmtId="0" xfId="0" applyAlignment="1" applyBorder="1" applyFont="1">
      <alignment horizontal="center" shrinkToFit="0" vertical="center" wrapText="1"/>
    </xf>
    <xf borderId="65" fillId="0" fontId="62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vertical="center"/>
    </xf>
    <xf borderId="65" fillId="0" fontId="11" numFmtId="0" xfId="0" applyAlignment="1" applyBorder="1" applyFont="1">
      <alignment horizontal="center" vertical="center"/>
    </xf>
    <xf borderId="12" fillId="0" fontId="62" numFmtId="0" xfId="0" applyAlignment="1" applyBorder="1" applyFont="1">
      <alignment horizontal="center" vertical="center"/>
    </xf>
    <xf borderId="65" fillId="0" fontId="62" numFmtId="0" xfId="0" applyAlignment="1" applyBorder="1" applyFont="1">
      <alignment horizontal="center" vertical="center"/>
    </xf>
    <xf borderId="12" fillId="0" fontId="11" numFmtId="0" xfId="0" applyAlignment="1" applyBorder="1" applyFont="1">
      <alignment horizontal="center" vertical="center"/>
    </xf>
    <xf borderId="65" fillId="0" fontId="11" numFmtId="0" xfId="0" applyAlignment="1" applyBorder="1" applyFont="1">
      <alignment horizontal="center" vertical="center"/>
    </xf>
    <xf borderId="12" fillId="0" fontId="11" numFmtId="2" xfId="0" applyAlignment="1" applyBorder="1" applyFont="1" applyNumberFormat="1">
      <alignment horizontal="center" shrinkToFit="0" vertical="center" wrapText="1"/>
    </xf>
    <xf borderId="12" fillId="0" fontId="62" numFmtId="0" xfId="0" applyAlignment="1" applyBorder="1" applyFont="1">
      <alignment horizontal="center" shrinkToFit="0" vertical="center" wrapText="1"/>
    </xf>
    <xf borderId="12" fillId="0" fontId="62" numFmtId="0" xfId="0" applyAlignment="1" applyBorder="1" applyFont="1">
      <alignment horizontal="center" vertical="center"/>
    </xf>
    <xf borderId="65" fillId="0" fontId="62" numFmtId="0" xfId="0" applyAlignment="1" applyBorder="1" applyFont="1">
      <alignment horizontal="center" vertical="center"/>
    </xf>
    <xf borderId="13" fillId="0" fontId="11" numFmtId="0" xfId="0" applyAlignment="1" applyBorder="1" applyFont="1">
      <alignment horizontal="center" vertical="center"/>
    </xf>
    <xf borderId="12" fillId="0" fontId="11" numFmtId="1" xfId="0" applyAlignment="1" applyBorder="1" applyFont="1" applyNumberFormat="1">
      <alignment horizontal="center" vertical="center"/>
    </xf>
    <xf borderId="12" fillId="0" fontId="10" numFmtId="2" xfId="0" applyAlignment="1" applyBorder="1" applyFont="1" applyNumberFormat="1">
      <alignment horizontal="center" vertical="center"/>
    </xf>
    <xf borderId="12" fillId="0" fontId="11" numFmtId="1" xfId="0" applyAlignment="1" applyBorder="1" applyFont="1" applyNumberFormat="1">
      <alignment horizontal="center" shrinkToFit="0" vertical="center" wrapText="1"/>
    </xf>
    <xf borderId="12" fillId="0" fontId="11" numFmtId="166" xfId="0" applyAlignment="1" applyBorder="1" applyFont="1" applyNumberFormat="1">
      <alignment horizontal="center" shrinkToFit="0" vertical="center" wrapText="1"/>
    </xf>
    <xf borderId="100" fillId="0" fontId="11" numFmtId="0" xfId="0" applyAlignment="1" applyBorder="1" applyFont="1">
      <alignment horizontal="center" vertical="center"/>
    </xf>
    <xf borderId="23" fillId="0" fontId="11" numFmtId="0" xfId="0" applyAlignment="1" applyBorder="1" applyFont="1">
      <alignment horizontal="center" vertical="center"/>
    </xf>
    <xf borderId="12" fillId="0" fontId="63" numFmtId="0" xfId="0" applyAlignment="1" applyBorder="1" applyFont="1">
      <alignment horizontal="center" vertical="center"/>
    </xf>
    <xf borderId="65" fillId="0" fontId="63" numFmtId="0" xfId="0" applyAlignment="1" applyBorder="1" applyFont="1">
      <alignment horizontal="center" vertical="center"/>
    </xf>
    <xf borderId="65" fillId="0" fontId="62" numFmtId="166" xfId="0" applyAlignment="1" applyBorder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12" fillId="0" fontId="64" numFmtId="0" xfId="0" applyAlignment="1" applyBorder="1" applyFont="1">
      <alignment horizontal="center" vertical="center"/>
    </xf>
    <xf borderId="65" fillId="0" fontId="64" numFmtId="0" xfId="0" applyAlignment="1" applyBorder="1" applyFont="1">
      <alignment horizontal="center" vertical="center"/>
    </xf>
    <xf borderId="12" fillId="0" fontId="62" numFmtId="166" xfId="0" applyAlignment="1" applyBorder="1" applyFont="1" applyNumberFormat="1">
      <alignment horizontal="center" vertical="center"/>
    </xf>
    <xf borderId="101" fillId="0" fontId="10" numFmtId="0" xfId="0" applyAlignment="1" applyBorder="1" applyFont="1">
      <alignment horizontal="center" vertical="center"/>
    </xf>
    <xf borderId="101" fillId="0" fontId="10" numFmtId="1" xfId="0" applyAlignment="1" applyBorder="1" applyFont="1" applyNumberFormat="1">
      <alignment horizontal="center" vertical="center"/>
    </xf>
    <xf borderId="17" fillId="0" fontId="10" numFmtId="2" xfId="0" applyAlignment="1" applyBorder="1" applyFont="1" applyNumberFormat="1">
      <alignment horizontal="center" vertical="center"/>
    </xf>
    <xf borderId="101" fillId="0" fontId="11" numFmtId="0" xfId="0" applyAlignment="1" applyBorder="1" applyFont="1">
      <alignment horizontal="center" shrinkToFit="0" vertical="center" wrapText="1"/>
    </xf>
    <xf borderId="101" fillId="0" fontId="11" numFmtId="1" xfId="0" applyAlignment="1" applyBorder="1" applyFont="1" applyNumberFormat="1">
      <alignment horizontal="center" shrinkToFit="0" vertical="center" wrapText="1"/>
    </xf>
    <xf borderId="101" fillId="0" fontId="10" numFmtId="165" xfId="0" applyAlignment="1" applyBorder="1" applyFont="1" applyNumberFormat="1">
      <alignment horizontal="center" vertical="center"/>
    </xf>
    <xf borderId="18" fillId="0" fontId="10" numFmtId="0" xfId="0" applyAlignment="1" applyBorder="1" applyFont="1">
      <alignment horizontal="center" vertical="center"/>
    </xf>
    <xf borderId="102" fillId="0" fontId="11" numFmtId="0" xfId="0" applyAlignment="1" applyBorder="1" applyFont="1">
      <alignment horizontal="center" shrinkToFit="0" vertical="center" wrapText="1"/>
    </xf>
    <xf borderId="101" fillId="0" fontId="11" numFmtId="0" xfId="0" applyAlignment="1" applyBorder="1" applyFont="1">
      <alignment horizontal="center" vertical="center"/>
    </xf>
    <xf borderId="103" fillId="0" fontId="11" numFmtId="0" xfId="0" applyAlignment="1" applyBorder="1" applyFont="1">
      <alignment horizontal="center" vertical="center"/>
    </xf>
    <xf borderId="64" fillId="0" fontId="11" numFmtId="0" xfId="0" applyAlignment="1" applyBorder="1" applyFont="1">
      <alignment horizontal="center" vertical="center"/>
    </xf>
    <xf borderId="12" fillId="0" fontId="11" numFmtId="2" xfId="0" applyAlignment="1" applyBorder="1" applyFont="1" applyNumberFormat="1">
      <alignment horizontal="center" vertical="center"/>
    </xf>
    <xf borderId="12" fillId="0" fontId="11" numFmtId="165" xfId="0" applyAlignment="1" applyBorder="1" applyFont="1" applyNumberFormat="1">
      <alignment horizontal="center" vertical="center"/>
    </xf>
    <xf borderId="91" fillId="0" fontId="11" numFmtId="0" xfId="0" applyAlignment="1" applyBorder="1" applyFont="1">
      <alignment horizontal="center" vertical="center"/>
    </xf>
    <xf borderId="13" fillId="0" fontId="11" numFmtId="1" xfId="0" applyAlignment="1" applyBorder="1" applyFont="1" applyNumberFormat="1">
      <alignment horizontal="center" vertical="center"/>
    </xf>
    <xf borderId="13" fillId="0" fontId="11" numFmtId="166" xfId="0" applyAlignment="1" applyBorder="1" applyFont="1" applyNumberFormat="1">
      <alignment horizontal="center" shrinkToFit="0" vertical="center" wrapText="1"/>
    </xf>
    <xf borderId="13" fillId="0" fontId="11" numFmtId="2" xfId="0" applyAlignment="1" applyBorder="1" applyFont="1" applyNumberFormat="1">
      <alignment horizontal="center" vertical="center"/>
    </xf>
    <xf borderId="13" fillId="0" fontId="11" numFmtId="165" xfId="0" applyAlignment="1" applyBorder="1" applyFont="1" applyNumberFormat="1">
      <alignment horizontal="center" vertical="center"/>
    </xf>
    <xf borderId="72" fillId="0" fontId="11" numFmtId="0" xfId="0" applyAlignment="1" applyBorder="1" applyFont="1">
      <alignment horizontal="center" vertical="center"/>
    </xf>
    <xf borderId="91" fillId="0" fontId="59" numFmtId="0" xfId="0" applyAlignment="1" applyBorder="1" applyFont="1">
      <alignment horizontal="center" vertical="center"/>
    </xf>
    <xf borderId="13" fillId="0" fontId="59" numFmtId="0" xfId="0" applyAlignment="1" applyBorder="1" applyFont="1">
      <alignment horizontal="center" vertical="center"/>
    </xf>
    <xf borderId="13" fillId="0" fontId="59" numFmtId="2" xfId="0" applyAlignment="1" applyBorder="1" applyFont="1" applyNumberFormat="1">
      <alignment horizontal="center" vertical="center"/>
    </xf>
    <xf borderId="13" fillId="0" fontId="59" numFmtId="165" xfId="0" applyAlignment="1" applyBorder="1" applyFont="1" applyNumberFormat="1">
      <alignment horizontal="center" vertical="center"/>
    </xf>
    <xf borderId="72" fillId="0" fontId="59" numFmtId="0" xfId="0" applyAlignment="1" applyBorder="1" applyFont="1">
      <alignment horizontal="center" vertical="center"/>
    </xf>
    <xf borderId="91" fillId="0" fontId="59" numFmtId="2" xfId="0" applyAlignment="1" applyBorder="1" applyFont="1" applyNumberFormat="1">
      <alignment horizontal="center" vertical="center"/>
    </xf>
    <xf borderId="13" fillId="0" fontId="59" numFmtId="49" xfId="0" applyAlignment="1" applyBorder="1" applyFont="1" applyNumberFormat="1">
      <alignment horizontal="center" vertical="center"/>
    </xf>
    <xf borderId="13" fillId="0" fontId="59" numFmtId="165" xfId="0" applyAlignment="1" applyBorder="1" applyFont="1" applyNumberFormat="1">
      <alignment horizontal="center" shrinkToFit="0" vertical="center" wrapText="1"/>
    </xf>
    <xf borderId="13" fillId="0" fontId="59" numFmtId="1" xfId="0" applyAlignment="1" applyBorder="1" applyFont="1" applyNumberFormat="1">
      <alignment horizontal="center" shrinkToFit="0" vertical="center" wrapText="1"/>
    </xf>
    <xf borderId="13" fillId="0" fontId="59" numFmtId="2" xfId="0" applyAlignment="1" applyBorder="1" applyFont="1" applyNumberFormat="1">
      <alignment horizontal="center" shrinkToFit="0" vertical="center" wrapText="1"/>
    </xf>
    <xf borderId="100" fillId="0" fontId="59" numFmtId="49" xfId="0" applyAlignment="1" applyBorder="1" applyFont="1" applyNumberFormat="1">
      <alignment vertical="center"/>
    </xf>
    <xf borderId="104" fillId="0" fontId="59" numFmtId="49" xfId="0" applyAlignment="1" applyBorder="1" applyFont="1" applyNumberFormat="1">
      <alignment vertical="center"/>
    </xf>
    <xf borderId="69" fillId="0" fontId="59" numFmtId="49" xfId="0" applyAlignment="1" applyBorder="1" applyFont="1" applyNumberFormat="1">
      <alignment vertical="center"/>
    </xf>
    <xf borderId="101" fillId="0" fontId="65" numFmtId="49" xfId="0" applyAlignment="1" applyBorder="1" applyFont="1" applyNumberFormat="1">
      <alignment shrinkToFit="0" vertical="center" wrapText="1"/>
    </xf>
    <xf borderId="100" fillId="0" fontId="65" numFmtId="49" xfId="0" applyAlignment="1" applyBorder="1" applyFont="1" applyNumberFormat="1">
      <alignment vertical="center"/>
    </xf>
    <xf borderId="104" fillId="0" fontId="65" numFmtId="49" xfId="0" applyAlignment="1" applyBorder="1" applyFont="1" applyNumberFormat="1">
      <alignment vertical="center"/>
    </xf>
    <xf borderId="69" fillId="0" fontId="65" numFmtId="49" xfId="0" applyAlignment="1" applyBorder="1" applyFont="1" applyNumberFormat="1">
      <alignment vertical="center"/>
    </xf>
    <xf borderId="95" fillId="0" fontId="65" numFmtId="49" xfId="0" applyAlignment="1" applyBorder="1" applyFont="1" applyNumberFormat="1">
      <alignment shrinkToFit="0" vertical="center" wrapText="1"/>
    </xf>
    <xf borderId="95" fillId="0" fontId="65" numFmtId="49" xfId="0" applyAlignment="1" applyBorder="1" applyFont="1" applyNumberFormat="1">
      <alignment horizontal="center" vertical="center"/>
    </xf>
    <xf borderId="12" fillId="0" fontId="65" numFmtId="49" xfId="0" applyAlignment="1" applyBorder="1" applyFont="1" applyNumberFormat="1">
      <alignment horizontal="center" vertical="center"/>
    </xf>
    <xf borderId="12" fillId="0" fontId="65" numFmtId="1" xfId="0" applyAlignment="1" applyBorder="1" applyFont="1" applyNumberFormat="1">
      <alignment horizontal="center" vertical="center"/>
    </xf>
    <xf borderId="92" fillId="0" fontId="59" numFmtId="0" xfId="0" applyAlignment="1" applyBorder="1" applyFont="1">
      <alignment horizontal="center" vertical="center"/>
    </xf>
    <xf borderId="93" fillId="0" fontId="59" numFmtId="0" xfId="0" applyAlignment="1" applyBorder="1" applyFont="1">
      <alignment horizontal="center" vertical="center"/>
    </xf>
    <xf borderId="73" fillId="0" fontId="59" numFmtId="0" xfId="0" applyAlignment="1" applyBorder="1" applyFont="1">
      <alignment horizontal="center" vertical="center"/>
    </xf>
    <xf borderId="0" fillId="0" fontId="66" numFmtId="0" xfId="0" applyAlignment="1" applyFont="1">
      <alignment horizontal="center" vertical="center"/>
    </xf>
    <xf borderId="0" fillId="0" fontId="67" numFmtId="0" xfId="0" applyFont="1"/>
    <xf borderId="61" fillId="18" fontId="68" numFmtId="0" xfId="0" applyAlignment="1" applyBorder="1" applyFont="1">
      <alignment shrinkToFit="0" vertical="center" wrapText="1"/>
    </xf>
    <xf borderId="73" fillId="18" fontId="68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shrinkToFit="0" vertical="center" wrapText="1"/>
    </xf>
    <xf borderId="73" fillId="18" fontId="68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left"/>
    </xf>
    <xf borderId="12" fillId="0" fontId="69" numFmtId="169" xfId="0" applyAlignment="1" applyBorder="1" applyFont="1" applyNumberFormat="1">
      <alignment horizontal="center" shrinkToFit="0" vertical="center" wrapText="1"/>
    </xf>
    <xf borderId="12" fillId="0" fontId="4" numFmtId="0" xfId="0" applyAlignment="1" applyBorder="1" applyFont="1">
      <alignment horizontal="left"/>
    </xf>
    <xf borderId="12" fillId="0" fontId="4" numFmtId="0" xfId="0" applyAlignment="1" applyBorder="1" applyFont="1">
      <alignment horizontal="center"/>
    </xf>
    <xf borderId="12" fillId="0" fontId="69" numFmtId="169" xfId="0" applyAlignment="1" applyBorder="1" applyFont="1" applyNumberFormat="1">
      <alignment horizontal="center" shrinkToFit="0" vertical="center" wrapText="1"/>
    </xf>
    <xf borderId="12" fillId="0" fontId="4" numFmtId="0" xfId="0" applyBorder="1" applyFont="1"/>
    <xf borderId="12" fillId="0" fontId="69" numFmtId="170" xfId="0" applyAlignment="1" applyBorder="1" applyFont="1" applyNumberFormat="1">
      <alignment horizontal="center" shrinkToFit="0" vertical="center" wrapText="1"/>
    </xf>
    <xf borderId="12" fillId="0" fontId="8" numFmtId="0" xfId="0" applyAlignment="1" applyBorder="1" applyFont="1">
      <alignment horizontal="left"/>
    </xf>
    <xf borderId="12" fillId="0" fontId="8" numFmtId="0" xfId="0" applyAlignment="1" applyBorder="1" applyFont="1">
      <alignment horizontal="center" shrinkToFit="0" vertical="center" wrapText="1"/>
    </xf>
    <xf borderId="12" fillId="0" fontId="8" numFmtId="0" xfId="0" applyBorder="1" applyFont="1"/>
    <xf borderId="101" fillId="0" fontId="69" numFmtId="169" xfId="0" applyAlignment="1" applyBorder="1" applyFont="1" applyNumberFormat="1">
      <alignment horizontal="center" shrinkToFit="0" vertical="center" wrapText="1"/>
    </xf>
    <xf borderId="101" fillId="0" fontId="4" numFmtId="0" xfId="0" applyAlignment="1" applyBorder="1" applyFont="1">
      <alignment horizontal="center" shrinkToFit="0" vertical="center" wrapText="1"/>
    </xf>
    <xf borderId="101" fillId="0" fontId="4" numFmtId="0" xfId="0" applyBorder="1" applyFont="1"/>
    <xf borderId="12" fillId="18" fontId="8" numFmtId="171" xfId="0" applyAlignment="1" applyBorder="1" applyFont="1" applyNumberFormat="1">
      <alignment horizontal="center" shrinkToFit="0" vertical="center" wrapText="1"/>
    </xf>
    <xf borderId="12" fillId="18" fontId="8" numFmtId="171" xfId="0" applyAlignment="1" applyBorder="1" applyFont="1" applyNumberFormat="1">
      <alignment horizontal="center" shrinkToFit="0" wrapText="1"/>
    </xf>
    <xf borderId="12" fillId="0" fontId="69" numFmtId="171" xfId="0" applyAlignment="1" applyBorder="1" applyFont="1" applyNumberFormat="1">
      <alignment horizontal="center" shrinkToFit="0" vertical="center" wrapText="1"/>
    </xf>
    <xf borderId="105" fillId="0" fontId="70" numFmtId="0" xfId="0" applyAlignment="1" applyBorder="1" applyFont="1">
      <alignment horizontal="center" vertical="center"/>
    </xf>
    <xf borderId="12" fillId="0" fontId="4" numFmtId="0" xfId="0" applyAlignment="1" applyBorder="1" applyFont="1">
      <alignment vertical="center"/>
    </xf>
    <xf borderId="12" fillId="0" fontId="69" numFmtId="170" xfId="0" applyAlignment="1" applyBorder="1" applyFont="1" applyNumberFormat="1">
      <alignment horizontal="center" shrinkToFit="0" vertical="center" wrapText="1"/>
    </xf>
    <xf borderId="18" fillId="0" fontId="4" numFmtId="0" xfId="0" applyAlignment="1" applyBorder="1" applyFont="1">
      <alignment horizontal="left"/>
    </xf>
    <xf borderId="18" fillId="0" fontId="4" numFmtId="0" xfId="0" applyAlignment="1" applyBorder="1" applyFont="1">
      <alignment horizontal="center"/>
    </xf>
    <xf borderId="18" fillId="0" fontId="69" numFmtId="169" xfId="0" applyAlignment="1" applyBorder="1" applyFont="1" applyNumberFormat="1">
      <alignment horizontal="center" shrinkToFit="0" vertical="center" wrapText="1"/>
    </xf>
    <xf borderId="18" fillId="0" fontId="4" numFmtId="0" xfId="0" applyAlignment="1" applyBorder="1" applyFont="1">
      <alignment vertical="center"/>
    </xf>
    <xf borderId="1" fillId="22" fontId="71" numFmtId="0" xfId="0" applyAlignment="1" applyBorder="1" applyFill="1" applyFont="1">
      <alignment horizontal="center" shrinkToFit="0" vertical="center" wrapText="1"/>
    </xf>
    <xf borderId="106" fillId="0" fontId="2" numFmtId="0" xfId="0" applyBorder="1" applyFont="1"/>
    <xf borderId="107" fillId="22" fontId="71" numFmtId="0" xfId="0" applyAlignment="1" applyBorder="1" applyFont="1">
      <alignment horizontal="center" shrinkToFit="0" vertical="center" wrapText="1"/>
    </xf>
    <xf borderId="108" fillId="0" fontId="2" numFmtId="0" xfId="0" applyBorder="1" applyFont="1"/>
    <xf borderId="109" fillId="0" fontId="2" numFmtId="0" xfId="0" applyBorder="1" applyFont="1"/>
    <xf borderId="52" fillId="22" fontId="71" numFmtId="0" xfId="0" applyAlignment="1" applyBorder="1" applyFont="1">
      <alignment horizontal="center" shrinkToFit="0" vertical="center" wrapText="1"/>
    </xf>
    <xf borderId="13" fillId="18" fontId="72" numFmtId="0" xfId="0" applyAlignment="1" applyBorder="1" applyFont="1">
      <alignment shrinkToFit="0" vertical="center" wrapText="1"/>
    </xf>
    <xf borderId="13" fillId="18" fontId="4" numFmtId="0" xfId="0" applyBorder="1" applyFont="1"/>
    <xf borderId="23" fillId="0" fontId="4" numFmtId="0" xfId="0" applyBorder="1" applyFont="1"/>
    <xf borderId="5" fillId="23" fontId="3" numFmtId="0" xfId="0" applyAlignment="1" applyBorder="1" applyFill="1" applyFont="1">
      <alignment horizontal="center" vertical="center"/>
    </xf>
    <xf borderId="13" fillId="18" fontId="73" numFmtId="0" xfId="0" applyAlignment="1" applyBorder="1" applyFont="1">
      <alignment shrinkToFit="0" vertical="center" wrapText="1"/>
    </xf>
    <xf borderId="110" fillId="0" fontId="2" numFmtId="0" xfId="0" applyBorder="1" applyFont="1"/>
    <xf borderId="111" fillId="0" fontId="2" numFmtId="0" xfId="0" applyBorder="1" applyFont="1"/>
    <xf borderId="61" fillId="18" fontId="74" numFmtId="0" xfId="0" applyAlignment="1" applyBorder="1" applyFont="1">
      <alignment shrinkToFit="0" vertical="center" wrapText="1"/>
    </xf>
    <xf borderId="73" fillId="18" fontId="74" numFmtId="0" xfId="0" applyAlignment="1" applyBorder="1" applyFont="1">
      <alignment horizontal="center" shrinkToFit="0" vertical="center" wrapText="1"/>
    </xf>
    <xf borderId="73" fillId="18" fontId="7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/>
    </xf>
    <xf borderId="73" fillId="18" fontId="74" numFmtId="0" xfId="0" applyAlignment="1" applyBorder="1" applyFont="1">
      <alignment shrinkToFit="0" vertical="center" wrapText="1"/>
    </xf>
    <xf borderId="57" fillId="0" fontId="76" numFmtId="0" xfId="0" applyAlignment="1" applyBorder="1" applyFont="1">
      <alignment horizontal="center" shrinkToFit="0" vertical="center" wrapText="1"/>
    </xf>
    <xf borderId="57" fillId="0" fontId="4" numFmtId="0" xfId="0" applyAlignment="1" applyBorder="1" applyFont="1">
      <alignment horizontal="center" shrinkToFit="0" wrapText="1"/>
    </xf>
    <xf borderId="1" fillId="0" fontId="76" numFmtId="0" xfId="0" applyAlignment="1" applyBorder="1" applyFont="1">
      <alignment horizontal="center" vertical="center"/>
    </xf>
    <xf borderId="30" fillId="0" fontId="76" numFmtId="0" xfId="0" applyAlignment="1" applyBorder="1" applyFont="1">
      <alignment vertical="center"/>
    </xf>
    <xf borderId="58" fillId="18" fontId="74" numFmtId="0" xfId="0" applyAlignment="1" applyBorder="1" applyFont="1">
      <alignment shrinkToFit="0" vertical="center" wrapText="1"/>
    </xf>
    <xf borderId="72" fillId="18" fontId="74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center"/>
    </xf>
    <xf borderId="1" fillId="5" fontId="77" numFmtId="0" xfId="0" applyAlignment="1" applyBorder="1" applyFont="1">
      <alignment horizontal="center" shrinkToFit="0" vertical="center" wrapText="1"/>
    </xf>
    <xf borderId="112" fillId="24" fontId="77" numFmtId="0" xfId="0" applyAlignment="1" applyBorder="1" applyFill="1" applyFont="1">
      <alignment horizontal="center" shrinkToFit="0" vertical="center" wrapText="1"/>
    </xf>
    <xf borderId="113" fillId="24" fontId="77" numFmtId="0" xfId="0" applyAlignment="1" applyBorder="1" applyFont="1">
      <alignment horizontal="center" shrinkToFit="0" vertical="center" wrapText="1"/>
    </xf>
    <xf borderId="114" fillId="24" fontId="77" numFmtId="0" xfId="0" applyAlignment="1" applyBorder="1" applyFont="1">
      <alignment horizontal="center" shrinkToFit="0" vertical="center" wrapText="1"/>
    </xf>
    <xf borderId="115" fillId="24" fontId="77" numFmtId="0" xfId="0" applyAlignment="1" applyBorder="1" applyFont="1">
      <alignment horizontal="center" shrinkToFit="0" vertical="center" wrapText="1"/>
    </xf>
    <xf borderId="116" fillId="24" fontId="77" numFmtId="0" xfId="0" applyAlignment="1" applyBorder="1" applyFont="1">
      <alignment horizontal="center" shrinkToFit="0" vertical="center" wrapText="1"/>
    </xf>
    <xf borderId="117" fillId="0" fontId="78" numFmtId="0" xfId="0" applyAlignment="1" applyBorder="1" applyFont="1">
      <alignment horizontal="center" vertical="center"/>
    </xf>
    <xf borderId="1" fillId="0" fontId="78" numFmtId="0" xfId="0" applyAlignment="1" applyBorder="1" applyFont="1">
      <alignment horizontal="center" vertical="center"/>
    </xf>
    <xf quotePrefix="1" borderId="50" fillId="0" fontId="79" numFmtId="17" xfId="0" applyAlignment="1" applyBorder="1" applyFont="1" applyNumberFormat="1">
      <alignment horizontal="center" vertical="center"/>
    </xf>
    <xf borderId="2" fillId="0" fontId="79" numFmtId="0" xfId="0" applyAlignment="1" applyBorder="1" applyFont="1">
      <alignment horizontal="center" vertical="center"/>
    </xf>
    <xf quotePrefix="1" borderId="50" fillId="0" fontId="79" numFmtId="0" xfId="0" applyAlignment="1" applyBorder="1" applyFont="1">
      <alignment horizontal="center" vertical="center"/>
    </xf>
    <xf borderId="50" fillId="0" fontId="78" numFmtId="0" xfId="0" applyAlignment="1" applyBorder="1" applyFont="1">
      <alignment horizontal="center" shrinkToFit="0" vertical="center" wrapText="1"/>
    </xf>
    <xf borderId="2" fillId="0" fontId="80" numFmtId="0" xfId="0" applyAlignment="1" applyBorder="1" applyFont="1">
      <alignment horizontal="center" shrinkToFit="0" vertical="center" wrapText="1"/>
    </xf>
    <xf borderId="50" fillId="0" fontId="80" numFmtId="0" xfId="0" applyAlignment="1" applyBorder="1" applyFont="1">
      <alignment horizontal="center" shrinkToFit="0" vertical="center" wrapText="1"/>
    </xf>
    <xf borderId="2" fillId="0" fontId="78" numFmtId="0" xfId="0" applyAlignment="1" applyBorder="1" applyFont="1">
      <alignment horizontal="center" shrinkToFit="0" vertical="center" wrapText="1"/>
    </xf>
    <xf borderId="64" fillId="0" fontId="78" numFmtId="0" xfId="0" applyAlignment="1" applyBorder="1" applyFont="1">
      <alignment horizontal="center" vertical="center"/>
    </xf>
    <xf borderId="0" fillId="0" fontId="78" numFmtId="0" xfId="0" applyAlignment="1" applyFont="1">
      <alignment horizontal="center" vertical="center"/>
    </xf>
    <xf borderId="57" fillId="0" fontId="79" numFmtId="0" xfId="0" applyAlignment="1" applyBorder="1" applyFont="1">
      <alignment horizontal="center" vertical="center"/>
    </xf>
    <xf borderId="0" fillId="0" fontId="79" numFmtId="0" xfId="0" applyAlignment="1" applyFont="1">
      <alignment horizontal="center" vertical="center"/>
    </xf>
    <xf borderId="0" fillId="0" fontId="78" numFmtId="0" xfId="0" applyAlignment="1" applyFont="1">
      <alignment horizontal="center" shrinkToFit="0" vertical="center" wrapText="1"/>
    </xf>
    <xf borderId="57" fillId="0" fontId="78" numFmtId="0" xfId="0" applyAlignment="1" applyBorder="1" applyFont="1">
      <alignment horizontal="center" shrinkToFit="0" vertical="center" wrapText="1"/>
    </xf>
    <xf borderId="0" fillId="0" fontId="80" numFmtId="0" xfId="0" applyAlignment="1" applyFont="1">
      <alignment horizontal="center" shrinkToFit="0" vertical="center" wrapText="1"/>
    </xf>
    <xf borderId="26" fillId="0" fontId="78" numFmtId="0" xfId="0" applyAlignment="1" applyBorder="1" applyFont="1">
      <alignment horizontal="center" vertical="center"/>
    </xf>
    <xf borderId="50" fillId="0" fontId="79" numFmtId="0" xfId="0" applyAlignment="1" applyBorder="1" applyFont="1">
      <alignment horizontal="center" vertical="center"/>
    </xf>
    <xf quotePrefix="1" borderId="0" fillId="0" fontId="78" numFmtId="0" xfId="0" applyAlignment="1" applyFont="1">
      <alignment horizontal="center" shrinkToFit="0" vertical="center" wrapText="1"/>
    </xf>
    <xf borderId="3" fillId="0" fontId="80" numFmtId="0" xfId="0" applyAlignment="1" applyBorder="1" applyFont="1">
      <alignment horizontal="center" shrinkToFit="0" vertical="center" wrapText="1"/>
    </xf>
    <xf borderId="1" fillId="0" fontId="78" numFmtId="0" xfId="0" applyAlignment="1" applyBorder="1" applyFont="1">
      <alignment horizontal="center" shrinkToFit="0" vertical="center" wrapText="1"/>
    </xf>
    <xf borderId="28" fillId="0" fontId="78" numFmtId="0" xfId="0" applyAlignment="1" applyBorder="1" applyFont="1">
      <alignment horizontal="center" shrinkToFit="0" vertical="center" wrapText="1"/>
    </xf>
    <xf borderId="55" fillId="0" fontId="78" numFmtId="0" xfId="0" applyAlignment="1" applyBorder="1" applyFont="1">
      <alignment horizontal="center" shrinkToFit="0" vertical="center" wrapText="1"/>
    </xf>
    <xf borderId="118" fillId="25" fontId="81" numFmtId="0" xfId="0" applyAlignment="1" applyBorder="1" applyFill="1" applyFont="1">
      <alignment horizontal="center" vertical="center"/>
    </xf>
    <xf borderId="0" fillId="0" fontId="82" numFmtId="0" xfId="0" applyAlignment="1" applyFont="1">
      <alignment vertical="center"/>
    </xf>
    <xf borderId="119" fillId="25" fontId="81" numFmtId="0" xfId="0" applyAlignment="1" applyBorder="1" applyFont="1">
      <alignment horizontal="center" vertical="center"/>
    </xf>
    <xf borderId="120" fillId="0" fontId="2" numFmtId="0" xfId="0" applyBorder="1" applyFont="1"/>
    <xf borderId="121" fillId="0" fontId="2" numFmtId="0" xfId="0" applyBorder="1" applyFont="1"/>
    <xf borderId="18" fillId="15" fontId="83" numFmtId="0" xfId="0" applyAlignment="1" applyBorder="1" applyFont="1">
      <alignment horizontal="center" shrinkToFit="0" vertical="center" wrapText="1"/>
    </xf>
    <xf borderId="23" fillId="15" fontId="83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101" fillId="15" fontId="83" numFmtId="0" xfId="0" applyAlignment="1" applyBorder="1" applyFont="1">
      <alignment horizontal="center" shrinkToFit="0" vertical="center" wrapText="1"/>
    </xf>
    <xf borderId="12" fillId="0" fontId="21" numFmtId="0" xfId="0" applyAlignment="1" applyBorder="1" applyFont="1">
      <alignment horizontal="center" shrinkToFit="0" vertical="center" wrapText="1"/>
    </xf>
    <xf borderId="12" fillId="0" fontId="84" numFmtId="0" xfId="0" applyAlignment="1" applyBorder="1" applyFont="1">
      <alignment horizontal="center" vertical="center"/>
    </xf>
    <xf quotePrefix="1" borderId="12" fillId="0" fontId="84" numFmtId="16" xfId="0" applyAlignment="1" applyBorder="1" applyFont="1" applyNumberFormat="1">
      <alignment horizontal="center" vertical="center"/>
    </xf>
    <xf borderId="101" fillId="0" fontId="84" numFmtId="0" xfId="0" applyAlignment="1" applyBorder="1" applyFont="1">
      <alignment horizontal="center" vertical="center"/>
    </xf>
    <xf borderId="101" fillId="0" fontId="84" numFmtId="1" xfId="0" applyAlignment="1" applyBorder="1" applyFont="1" applyNumberFormat="1">
      <alignment horizontal="center" vertical="center"/>
    </xf>
    <xf borderId="101" fillId="0" fontId="21" numFmtId="165" xfId="0" applyAlignment="1" applyBorder="1" applyFont="1" applyNumberFormat="1">
      <alignment horizontal="center" vertical="center"/>
    </xf>
    <xf borderId="18" fillId="0" fontId="21" numFmtId="0" xfId="0" applyAlignment="1" applyBorder="1" applyFont="1">
      <alignment horizontal="center" vertical="center"/>
    </xf>
    <xf borderId="18" fillId="0" fontId="84" numFmtId="0" xfId="0" applyAlignment="1" applyBorder="1" applyFont="1">
      <alignment horizontal="center" vertical="center"/>
    </xf>
    <xf borderId="18" fillId="0" fontId="21" numFmtId="1" xfId="0" applyAlignment="1" applyBorder="1" applyFont="1" applyNumberFormat="1">
      <alignment horizontal="center" vertical="center"/>
    </xf>
    <xf borderId="13" fillId="0" fontId="13" numFmtId="165" xfId="0" applyAlignment="1" applyBorder="1" applyFont="1" applyNumberFormat="1">
      <alignment vertical="center"/>
    </xf>
    <xf quotePrefix="1" borderId="12" fillId="0" fontId="84" numFmtId="0" xfId="0" applyAlignment="1" applyBorder="1" applyFont="1">
      <alignment horizontal="center" vertical="center"/>
    </xf>
    <xf borderId="13" fillId="0" fontId="13" numFmtId="0" xfId="0" applyAlignment="1" applyBorder="1" applyFont="1">
      <alignment vertical="center"/>
    </xf>
    <xf borderId="100" fillId="0" fontId="21" numFmtId="0" xfId="0" applyAlignment="1" applyBorder="1" applyFont="1">
      <alignment horizontal="center" shrinkToFit="0" vertical="center" wrapText="1"/>
    </xf>
    <xf borderId="102" fillId="0" fontId="84" numFmtId="0" xfId="0" applyAlignment="1" applyBorder="1" applyFont="1">
      <alignment horizontal="center" vertical="center"/>
    </xf>
    <xf borderId="102" fillId="0" fontId="84" numFmtId="1" xfId="0" applyAlignment="1" applyBorder="1" applyFont="1" applyNumberFormat="1">
      <alignment horizontal="center" vertical="center"/>
    </xf>
    <xf borderId="12" fillId="0" fontId="84" numFmtId="16" xfId="0" applyAlignment="1" applyBorder="1" applyFont="1" applyNumberFormat="1">
      <alignment horizontal="center" vertical="center"/>
    </xf>
    <xf borderId="23" fillId="0" fontId="15" numFmtId="0" xfId="0" applyAlignment="1" applyBorder="1" applyFont="1">
      <alignment horizontal="center" shrinkToFit="0" vertical="center" wrapText="1"/>
    </xf>
    <xf borderId="100" fillId="0" fontId="15" numFmtId="2" xfId="0" applyAlignment="1" applyBorder="1" applyFont="1" applyNumberFormat="1">
      <alignment horizontal="center" shrinkToFit="0" vertical="center" wrapText="1"/>
    </xf>
    <xf borderId="12" fillId="0" fontId="21" numFmtId="165" xfId="0" applyAlignment="1" applyBorder="1" applyFont="1" applyNumberFormat="1">
      <alignment horizontal="center" vertical="center"/>
    </xf>
    <xf borderId="12" fillId="0" fontId="15" numFmtId="0" xfId="0" applyAlignment="1" applyBorder="1" applyFont="1">
      <alignment horizontal="center" shrinkToFit="0" vertical="center" wrapText="1"/>
    </xf>
    <xf borderId="0" fillId="0" fontId="82" numFmtId="165" xfId="0" applyAlignment="1" applyFont="1" applyNumberFormat="1">
      <alignment vertical="center"/>
    </xf>
    <xf borderId="13" fillId="0" fontId="82" numFmtId="0" xfId="0" applyAlignment="1" applyBorder="1" applyFont="1">
      <alignment vertical="center"/>
    </xf>
  </cellXfs>
  <cellStyles count="1">
    <cellStyle xfId="0" name="Normal" builtinId="0"/>
  </cellStyles>
  <dxfs count="4">
    <dxf>
      <font>
        <color rgb="FF00B050"/>
      </font>
      <fill>
        <patternFill patternType="solid">
          <fgColor rgb="FF92D050"/>
          <bgColor rgb="FF92D050"/>
        </patternFill>
      </fill>
      <border/>
    </dxf>
    <dxf>
      <font>
        <color rgb="FF548135"/>
      </font>
      <fill>
        <patternFill patternType="solid">
          <fgColor rgb="FFFFC000"/>
          <bgColor rgb="FFFFC000"/>
        </patternFill>
      </fill>
      <border/>
    </dxf>
    <dxf>
      <font>
        <color rgb="FF0070C0"/>
      </font>
      <fill>
        <patternFill patternType="solid">
          <fgColor rgb="FF00B0F0"/>
          <bgColor rgb="FF00B0F0"/>
        </patternFill>
      </fill>
      <border/>
    </dxf>
    <dxf>
      <font>
        <color rgb="FFFF0000"/>
      </font>
      <fill>
        <patternFill patternType="solid">
          <fgColor rgb="FFC00000"/>
          <bgColor rgb="FFC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2.xml"/><Relationship Id="rId11" Type="http://schemas.openxmlformats.org/officeDocument/2006/relationships/worksheet" Target="worksheets/sheet8.xml"/><Relationship Id="rId22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21" Type="http://schemas.openxmlformats.org/officeDocument/2006/relationships/externalLink" Target="externalLinks/externalLink3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1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94.png"/><Relationship Id="rId2" Type="http://schemas.openxmlformats.org/officeDocument/2006/relationships/image" Target="../media/image39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9525</xdr:colOff>
      <xdr:row>2</xdr:row>
      <xdr:rowOff>0</xdr:rowOff>
    </xdr:from>
    <xdr:ext cx="514350" cy="361950"/>
    <xdr:sp macro="" textlink="">
      <xdr:nvSpPr>
        <xdr:cNvPr id="2" name="Isosceles Triangle 1">
          <a:extLst>
            <a:ext uri="{FF2B5EF4-FFF2-40B4-BE49-F238E27FC236}"/>
          </a:extLst>
        </xdr:cNvPr>
        <xdr:cNvSpPr/>
      </xdr:nvSpPr>
      <xdr:spPr>
        <a:xfrm>
          <a:off x="7184695" y="66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b="1" lang="en-IN"/>
        </a:p>
      </xdr:txBody>
    </xdr:sp>
    <xdr:clientData fLocksWithSheet="0"/>
  </xdr:oneCellAnchor>
  <xdr:oneCellAnchor>
    <xdr:from>
      <xdr:col>19</xdr:col>
      <xdr:colOff>9525</xdr:colOff>
      <xdr:row>2</xdr:row>
      <xdr:rowOff>19050</xdr:rowOff>
    </xdr:from>
    <xdr:ext cx="533400" cy="352425"/>
    <xdr:sp macro="" textlink="">
      <xdr:nvSpPr>
        <xdr:cNvPr id="3" name="Isosceles Triangle 2">
          <a:extLst>
            <a:ext uri="{FF2B5EF4-FFF2-40B4-BE49-F238E27FC236}"/>
          </a:extLst>
        </xdr:cNvPr>
        <xdr:cNvSpPr/>
      </xdr:nvSpPr>
      <xdr:spPr>
        <a:xfrm>
          <a:off x="6306608" y="687917"/>
          <a:ext cx="525258" cy="363090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2</xdr:row>
      <xdr:rowOff>28575</xdr:rowOff>
    </xdr:from>
    <xdr:ext cx="495300" cy="352425"/>
    <xdr:sp macro="" textlink="">
      <xdr:nvSpPr>
        <xdr:cNvPr id="4" name="Isosceles Triangle 3">
          <a:extLst>
            <a:ext uri="{FF2B5EF4-FFF2-40B4-BE49-F238E27FC236}"/>
          </a:extLst>
        </xdr:cNvPr>
        <xdr:cNvSpPr/>
      </xdr:nvSpPr>
      <xdr:spPr>
        <a:xfrm>
          <a:off x="9210675" y="698500"/>
          <a:ext cx="504092" cy="363090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2</xdr:row>
      <xdr:rowOff>19050</xdr:rowOff>
    </xdr:from>
    <xdr:ext cx="514350" cy="352425"/>
    <xdr:sp macro="" textlink="">
      <xdr:nvSpPr>
        <xdr:cNvPr id="5" name="Isosceles Triangle 4">
          <a:extLst>
            <a:ext uri="{FF2B5EF4-FFF2-40B4-BE49-F238E27FC236}"/>
          </a:extLst>
        </xdr:cNvPr>
        <xdr:cNvSpPr/>
      </xdr:nvSpPr>
      <xdr:spPr>
        <a:xfrm>
          <a:off x="10125075" y="687917"/>
          <a:ext cx="513617" cy="363090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2</xdr:row>
      <xdr:rowOff>28575</xdr:rowOff>
    </xdr:from>
    <xdr:ext cx="514350" cy="352425"/>
    <xdr:sp macro="" textlink="">
      <xdr:nvSpPr>
        <xdr:cNvPr id="6" name="Isosceles Triangle 5">
          <a:extLst>
            <a:ext uri="{FF2B5EF4-FFF2-40B4-BE49-F238E27FC236}"/>
          </a:extLst>
        </xdr:cNvPr>
        <xdr:cNvSpPr/>
      </xdr:nvSpPr>
      <xdr:spPr>
        <a:xfrm>
          <a:off x="11210925" y="698500"/>
          <a:ext cx="523142" cy="363090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2</xdr:row>
      <xdr:rowOff>19050</xdr:rowOff>
    </xdr:from>
    <xdr:ext cx="495300" cy="352425"/>
    <xdr:sp macro="" textlink="">
      <xdr:nvSpPr>
        <xdr:cNvPr id="7" name="Isosceles Triangle 6">
          <a:extLst>
            <a:ext uri="{FF2B5EF4-FFF2-40B4-BE49-F238E27FC236}"/>
          </a:extLst>
        </xdr:cNvPr>
        <xdr:cNvSpPr/>
      </xdr:nvSpPr>
      <xdr:spPr>
        <a:xfrm>
          <a:off x="12115800" y="686594"/>
          <a:ext cx="504092" cy="363090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10</xdr:row>
      <xdr:rowOff>0</xdr:rowOff>
    </xdr:from>
    <xdr:ext cx="514350" cy="361950"/>
    <xdr:sp macro="" textlink="">
      <xdr:nvSpPr>
        <xdr:cNvPr id="8" name="Isosceles Triangle 7">
          <a:extLst>
            <a:ext uri="{FF2B5EF4-FFF2-40B4-BE49-F238E27FC236}"/>
          </a:extLst>
        </xdr:cNvPr>
        <xdr:cNvSpPr/>
      </xdr:nvSpPr>
      <xdr:spPr>
        <a:xfrm>
          <a:off x="11210925" y="2190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10</xdr:row>
      <xdr:rowOff>0</xdr:rowOff>
    </xdr:from>
    <xdr:ext cx="514350" cy="361950"/>
    <xdr:sp macro="" textlink="">
      <xdr:nvSpPr>
        <xdr:cNvPr id="9" name="Isosceles Triangle 8">
          <a:extLst>
            <a:ext uri="{FF2B5EF4-FFF2-40B4-BE49-F238E27FC236}"/>
          </a:extLst>
        </xdr:cNvPr>
        <xdr:cNvSpPr/>
      </xdr:nvSpPr>
      <xdr:spPr>
        <a:xfrm>
          <a:off x="10125075" y="2190750"/>
          <a:ext cx="513617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10</xdr:row>
      <xdr:rowOff>9525</xdr:rowOff>
    </xdr:from>
    <xdr:ext cx="514350" cy="361950"/>
    <xdr:sp macro="" textlink="">
      <xdr:nvSpPr>
        <xdr:cNvPr id="10" name="Isosceles Triangle 9">
          <a:extLst>
            <a:ext uri="{FF2B5EF4-FFF2-40B4-BE49-F238E27FC236}"/>
          </a:extLst>
        </xdr:cNvPr>
        <xdr:cNvSpPr/>
      </xdr:nvSpPr>
      <xdr:spPr>
        <a:xfrm>
          <a:off x="8220075" y="2201574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10</xdr:row>
      <xdr:rowOff>0</xdr:rowOff>
    </xdr:from>
    <xdr:ext cx="514350" cy="361950"/>
    <xdr:sp macro="" textlink="">
      <xdr:nvSpPr>
        <xdr:cNvPr id="11" name="Isosceles Triangle 10">
          <a:extLst>
            <a:ext uri="{FF2B5EF4-FFF2-40B4-BE49-F238E27FC236}"/>
          </a:extLst>
        </xdr:cNvPr>
        <xdr:cNvSpPr/>
      </xdr:nvSpPr>
      <xdr:spPr>
        <a:xfrm>
          <a:off x="7172325" y="219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10</xdr:row>
      <xdr:rowOff>0</xdr:rowOff>
    </xdr:from>
    <xdr:ext cx="514350" cy="361950"/>
    <xdr:sp macro="" textlink="">
      <xdr:nvSpPr>
        <xdr:cNvPr id="12" name="Isosceles Triangle 11">
          <a:extLst>
            <a:ext uri="{FF2B5EF4-FFF2-40B4-BE49-F238E27FC236}"/>
          </a:extLst>
        </xdr:cNvPr>
        <xdr:cNvSpPr/>
      </xdr:nvSpPr>
      <xdr:spPr>
        <a:xfrm>
          <a:off x="6640286" y="2104571"/>
          <a:ext cx="537656" cy="364602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10</xdr:row>
      <xdr:rowOff>0</xdr:rowOff>
    </xdr:from>
    <xdr:ext cx="514350" cy="361950"/>
    <xdr:sp macro="" textlink="">
      <xdr:nvSpPr>
        <xdr:cNvPr id="13" name="Isosceles Triangle 12">
          <a:extLst>
            <a:ext uri="{FF2B5EF4-FFF2-40B4-BE49-F238E27FC236}"/>
          </a:extLst>
        </xdr:cNvPr>
        <xdr:cNvSpPr/>
      </xdr:nvSpPr>
      <xdr:spPr>
        <a:xfrm>
          <a:off x="4514850" y="2190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18</xdr:row>
      <xdr:rowOff>0</xdr:rowOff>
    </xdr:from>
    <xdr:ext cx="514350" cy="361950"/>
    <xdr:sp macro="" textlink="">
      <xdr:nvSpPr>
        <xdr:cNvPr id="14" name="Isosceles Triangle 13">
          <a:extLst>
            <a:ext uri="{FF2B5EF4-FFF2-40B4-BE49-F238E27FC236}"/>
          </a:extLst>
        </xdr:cNvPr>
        <xdr:cNvSpPr/>
      </xdr:nvSpPr>
      <xdr:spPr>
        <a:xfrm>
          <a:off x="6296025" y="3714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18</xdr:row>
      <xdr:rowOff>0</xdr:rowOff>
    </xdr:from>
    <xdr:ext cx="495300" cy="361950"/>
    <xdr:sp macro="" textlink="">
      <xdr:nvSpPr>
        <xdr:cNvPr id="15" name="Isosceles Triangle 14">
          <a:extLst>
            <a:ext uri="{FF2B5EF4-FFF2-40B4-BE49-F238E27FC236}"/>
          </a:extLst>
        </xdr:cNvPr>
        <xdr:cNvSpPr/>
      </xdr:nvSpPr>
      <xdr:spPr>
        <a:xfrm>
          <a:off x="9210675" y="3714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10</xdr:row>
      <xdr:rowOff>0</xdr:rowOff>
    </xdr:from>
    <xdr:ext cx="514350" cy="361950"/>
    <xdr:sp macro="" textlink="">
      <xdr:nvSpPr>
        <xdr:cNvPr id="16" name="Isosceles Triangle 15">
          <a:extLst>
            <a:ext uri="{FF2B5EF4-FFF2-40B4-BE49-F238E27FC236}"/>
          </a:extLst>
        </xdr:cNvPr>
        <xdr:cNvSpPr/>
      </xdr:nvSpPr>
      <xdr:spPr>
        <a:xfrm>
          <a:off x="2543175" y="2190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10</xdr:row>
      <xdr:rowOff>0</xdr:rowOff>
    </xdr:from>
    <xdr:ext cx="514350" cy="361950"/>
    <xdr:sp macro="" textlink="">
      <xdr:nvSpPr>
        <xdr:cNvPr id="17" name="Isosceles Triangle 16">
          <a:extLst>
            <a:ext uri="{FF2B5EF4-FFF2-40B4-BE49-F238E27FC236}"/>
          </a:extLst>
        </xdr:cNvPr>
        <xdr:cNvSpPr/>
      </xdr:nvSpPr>
      <xdr:spPr>
        <a:xfrm>
          <a:off x="609600" y="219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26</xdr:row>
      <xdr:rowOff>0</xdr:rowOff>
    </xdr:from>
    <xdr:ext cx="533400" cy="361950"/>
    <xdr:sp macro="" textlink="">
      <xdr:nvSpPr>
        <xdr:cNvPr id="18" name="Isosceles Triangle 17">
          <a:extLst>
            <a:ext uri="{FF2B5EF4-FFF2-40B4-BE49-F238E27FC236}"/>
          </a:extLst>
        </xdr:cNvPr>
        <xdr:cNvSpPr/>
      </xdr:nvSpPr>
      <xdr:spPr>
        <a:xfrm>
          <a:off x="1552575" y="523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26</xdr:row>
      <xdr:rowOff>0</xdr:rowOff>
    </xdr:from>
    <xdr:ext cx="514350" cy="361950"/>
    <xdr:sp macro="" textlink="">
      <xdr:nvSpPr>
        <xdr:cNvPr id="19" name="Isosceles Triangle 18">
          <a:extLst>
            <a:ext uri="{FF2B5EF4-FFF2-40B4-BE49-F238E27FC236}"/>
          </a:extLst>
        </xdr:cNvPr>
        <xdr:cNvSpPr/>
      </xdr:nvSpPr>
      <xdr:spPr>
        <a:xfrm>
          <a:off x="2543175" y="5238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26</xdr:row>
      <xdr:rowOff>0</xdr:rowOff>
    </xdr:from>
    <xdr:ext cx="514350" cy="361950"/>
    <xdr:sp macro="" textlink="">
      <xdr:nvSpPr>
        <xdr:cNvPr id="20" name="Isosceles Triangle 19">
          <a:extLst>
            <a:ext uri="{FF2B5EF4-FFF2-40B4-BE49-F238E27FC236}"/>
          </a:extLst>
        </xdr:cNvPr>
        <xdr:cNvSpPr/>
      </xdr:nvSpPr>
      <xdr:spPr>
        <a:xfrm>
          <a:off x="4514850" y="523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26</xdr:row>
      <xdr:rowOff>0</xdr:rowOff>
    </xdr:from>
    <xdr:ext cx="514350" cy="361950"/>
    <xdr:sp macro="" textlink="">
      <xdr:nvSpPr>
        <xdr:cNvPr id="21" name="Isosceles Triangle 20">
          <a:extLst>
            <a:ext uri="{FF2B5EF4-FFF2-40B4-BE49-F238E27FC236}"/>
          </a:extLst>
        </xdr:cNvPr>
        <xdr:cNvSpPr/>
      </xdr:nvSpPr>
      <xdr:spPr>
        <a:xfrm>
          <a:off x="6296025" y="5238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26</xdr:row>
      <xdr:rowOff>0</xdr:rowOff>
    </xdr:from>
    <xdr:ext cx="514350" cy="361950"/>
    <xdr:sp macro="" textlink="">
      <xdr:nvSpPr>
        <xdr:cNvPr id="22" name="Isosceles Triangle 21">
          <a:extLst>
            <a:ext uri="{FF2B5EF4-FFF2-40B4-BE49-F238E27FC236}"/>
          </a:extLst>
        </xdr:cNvPr>
        <xdr:cNvSpPr/>
      </xdr:nvSpPr>
      <xdr:spPr>
        <a:xfrm>
          <a:off x="7172325" y="523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26</xdr:row>
      <xdr:rowOff>0</xdr:rowOff>
    </xdr:from>
    <xdr:ext cx="514350" cy="361950"/>
    <xdr:sp macro="" textlink="">
      <xdr:nvSpPr>
        <xdr:cNvPr id="23" name="Isosceles Triangle 22">
          <a:extLst>
            <a:ext uri="{FF2B5EF4-FFF2-40B4-BE49-F238E27FC236}"/>
          </a:extLst>
        </xdr:cNvPr>
        <xdr:cNvSpPr/>
      </xdr:nvSpPr>
      <xdr:spPr>
        <a:xfrm>
          <a:off x="11210925" y="523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26</xdr:row>
      <xdr:rowOff>0</xdr:rowOff>
    </xdr:from>
    <xdr:ext cx="514350" cy="361950"/>
    <xdr:sp macro="" textlink="">
      <xdr:nvSpPr>
        <xdr:cNvPr id="24" name="Isosceles Triangle 23">
          <a:extLst>
            <a:ext uri="{FF2B5EF4-FFF2-40B4-BE49-F238E27FC236}"/>
          </a:extLst>
        </xdr:cNvPr>
        <xdr:cNvSpPr/>
      </xdr:nvSpPr>
      <xdr:spPr>
        <a:xfrm>
          <a:off x="12115800" y="5238750"/>
          <a:ext cx="50409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34</xdr:row>
      <xdr:rowOff>0</xdr:rowOff>
    </xdr:from>
    <xdr:ext cx="514350" cy="361950"/>
    <xdr:sp macro="" textlink="">
      <xdr:nvSpPr>
        <xdr:cNvPr id="25" name="Isosceles Triangle 24">
          <a:extLst>
            <a:ext uri="{FF2B5EF4-FFF2-40B4-BE49-F238E27FC236}"/>
          </a:extLst>
        </xdr:cNvPr>
        <xdr:cNvSpPr/>
      </xdr:nvSpPr>
      <xdr:spPr>
        <a:xfrm>
          <a:off x="609600" y="6762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34</xdr:row>
      <xdr:rowOff>0</xdr:rowOff>
    </xdr:from>
    <xdr:ext cx="514350" cy="361950"/>
    <xdr:sp macro="" textlink="">
      <xdr:nvSpPr>
        <xdr:cNvPr id="26" name="Isosceles Triangle 25">
          <a:extLst>
            <a:ext uri="{FF2B5EF4-FFF2-40B4-BE49-F238E27FC236}"/>
          </a:extLst>
        </xdr:cNvPr>
        <xdr:cNvSpPr/>
      </xdr:nvSpPr>
      <xdr:spPr>
        <a:xfrm>
          <a:off x="4514850" y="6762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34</xdr:row>
      <xdr:rowOff>0</xdr:rowOff>
    </xdr:from>
    <xdr:ext cx="514350" cy="361950"/>
    <xdr:sp macro="" textlink="">
      <xdr:nvSpPr>
        <xdr:cNvPr id="27" name="Isosceles Triangle 26">
          <a:extLst>
            <a:ext uri="{FF2B5EF4-FFF2-40B4-BE49-F238E27FC236}"/>
          </a:extLst>
        </xdr:cNvPr>
        <xdr:cNvSpPr/>
      </xdr:nvSpPr>
      <xdr:spPr>
        <a:xfrm>
          <a:off x="6296025" y="676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34</xdr:row>
      <xdr:rowOff>0</xdr:rowOff>
    </xdr:from>
    <xdr:ext cx="514350" cy="361950"/>
    <xdr:sp macro="" textlink="">
      <xdr:nvSpPr>
        <xdr:cNvPr id="28" name="Isosceles Triangle 27">
          <a:extLst>
            <a:ext uri="{FF2B5EF4-FFF2-40B4-BE49-F238E27FC236}"/>
          </a:extLst>
        </xdr:cNvPr>
        <xdr:cNvSpPr/>
      </xdr:nvSpPr>
      <xdr:spPr>
        <a:xfrm>
          <a:off x="7172325" y="676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34</xdr:row>
      <xdr:rowOff>0</xdr:rowOff>
    </xdr:from>
    <xdr:ext cx="514350" cy="361950"/>
    <xdr:sp macro="" textlink="">
      <xdr:nvSpPr>
        <xdr:cNvPr id="29" name="Isosceles Triangle 28">
          <a:extLst>
            <a:ext uri="{FF2B5EF4-FFF2-40B4-BE49-F238E27FC236}"/>
          </a:extLst>
        </xdr:cNvPr>
        <xdr:cNvSpPr/>
      </xdr:nvSpPr>
      <xdr:spPr>
        <a:xfrm>
          <a:off x="11210925" y="6762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34</xdr:row>
      <xdr:rowOff>0</xdr:rowOff>
    </xdr:from>
    <xdr:ext cx="514350" cy="361950"/>
    <xdr:sp macro="" textlink="">
      <xdr:nvSpPr>
        <xdr:cNvPr id="30" name="Isosceles Triangle 29">
          <a:extLst>
            <a:ext uri="{FF2B5EF4-FFF2-40B4-BE49-F238E27FC236}"/>
          </a:extLst>
        </xdr:cNvPr>
        <xdr:cNvSpPr/>
      </xdr:nvSpPr>
      <xdr:spPr>
        <a:xfrm>
          <a:off x="12115800" y="6762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34</xdr:row>
      <xdr:rowOff>0</xdr:rowOff>
    </xdr:from>
    <xdr:ext cx="514350" cy="361950"/>
    <xdr:sp macro="" textlink="">
      <xdr:nvSpPr>
        <xdr:cNvPr id="31" name="Isosceles Triangle 30">
          <a:extLst>
            <a:ext uri="{FF2B5EF4-FFF2-40B4-BE49-F238E27FC236}"/>
          </a:extLst>
        </xdr:cNvPr>
        <xdr:cNvSpPr/>
      </xdr:nvSpPr>
      <xdr:spPr>
        <a:xfrm>
          <a:off x="13115925" y="6762750"/>
          <a:ext cx="589817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41</xdr:row>
      <xdr:rowOff>190500</xdr:rowOff>
    </xdr:from>
    <xdr:ext cx="533400" cy="361950"/>
    <xdr:sp macro="" textlink="">
      <xdr:nvSpPr>
        <xdr:cNvPr id="32" name="Isosceles Triangle 31">
          <a:extLst>
            <a:ext uri="{FF2B5EF4-FFF2-40B4-BE49-F238E27FC236}"/>
          </a:extLst>
        </xdr:cNvPr>
        <xdr:cNvSpPr/>
      </xdr:nvSpPr>
      <xdr:spPr>
        <a:xfrm>
          <a:off x="1552575" y="8290637"/>
          <a:ext cx="523875" cy="380999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42</xdr:row>
      <xdr:rowOff>0</xdr:rowOff>
    </xdr:from>
    <xdr:ext cx="533400" cy="361950"/>
    <xdr:sp macro="" textlink="">
      <xdr:nvSpPr>
        <xdr:cNvPr id="33" name="Isosceles Triangle 32">
          <a:extLst>
            <a:ext uri="{FF2B5EF4-FFF2-40B4-BE49-F238E27FC236}"/>
          </a:extLst>
        </xdr:cNvPr>
        <xdr:cNvSpPr/>
      </xdr:nvSpPr>
      <xdr:spPr>
        <a:xfrm>
          <a:off x="5381625" y="8286750"/>
          <a:ext cx="533400" cy="381000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42</xdr:row>
      <xdr:rowOff>0</xdr:rowOff>
    </xdr:from>
    <xdr:ext cx="514350" cy="361950"/>
    <xdr:sp macro="" textlink="">
      <xdr:nvSpPr>
        <xdr:cNvPr id="34" name="Isosceles Triangle 33">
          <a:extLst>
            <a:ext uri="{FF2B5EF4-FFF2-40B4-BE49-F238E27FC236}"/>
          </a:extLst>
        </xdr:cNvPr>
        <xdr:cNvSpPr/>
      </xdr:nvSpPr>
      <xdr:spPr>
        <a:xfrm>
          <a:off x="10125075" y="8286750"/>
          <a:ext cx="513617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42</xdr:row>
      <xdr:rowOff>0</xdr:rowOff>
    </xdr:from>
    <xdr:ext cx="514350" cy="361950"/>
    <xdr:sp macro="" textlink="">
      <xdr:nvSpPr>
        <xdr:cNvPr id="35" name="Isosceles Triangle 34">
          <a:extLst>
            <a:ext uri="{FF2B5EF4-FFF2-40B4-BE49-F238E27FC236}"/>
          </a:extLst>
        </xdr:cNvPr>
        <xdr:cNvSpPr/>
      </xdr:nvSpPr>
      <xdr:spPr>
        <a:xfrm>
          <a:off x="12115800" y="8286750"/>
          <a:ext cx="50409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42</xdr:row>
      <xdr:rowOff>0</xdr:rowOff>
    </xdr:from>
    <xdr:ext cx="514350" cy="361950"/>
    <xdr:sp macro="" textlink="">
      <xdr:nvSpPr>
        <xdr:cNvPr id="36" name="Isosceles Triangle 35">
          <a:extLst>
            <a:ext uri="{FF2B5EF4-FFF2-40B4-BE49-F238E27FC236}"/>
          </a:extLst>
        </xdr:cNvPr>
        <xdr:cNvSpPr/>
      </xdr:nvSpPr>
      <xdr:spPr>
        <a:xfrm>
          <a:off x="13115925" y="8286750"/>
          <a:ext cx="589817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50</xdr:row>
      <xdr:rowOff>0</xdr:rowOff>
    </xdr:from>
    <xdr:ext cx="514350" cy="361950"/>
    <xdr:sp macro="" textlink="">
      <xdr:nvSpPr>
        <xdr:cNvPr id="37" name="Isosceles Triangle 36">
          <a:extLst>
            <a:ext uri="{FF2B5EF4-FFF2-40B4-BE49-F238E27FC236}"/>
          </a:extLst>
        </xdr:cNvPr>
        <xdr:cNvSpPr/>
      </xdr:nvSpPr>
      <xdr:spPr>
        <a:xfrm>
          <a:off x="609600" y="981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50</xdr:row>
      <xdr:rowOff>0</xdr:rowOff>
    </xdr:from>
    <xdr:ext cx="533400" cy="361950"/>
    <xdr:sp macro="" textlink="">
      <xdr:nvSpPr>
        <xdr:cNvPr id="38" name="Isosceles Triangle 37">
          <a:extLst>
            <a:ext uri="{FF2B5EF4-FFF2-40B4-BE49-F238E27FC236}"/>
          </a:extLst>
        </xdr:cNvPr>
        <xdr:cNvSpPr/>
      </xdr:nvSpPr>
      <xdr:spPr>
        <a:xfrm>
          <a:off x="1552575" y="981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50</xdr:row>
      <xdr:rowOff>0</xdr:rowOff>
    </xdr:from>
    <xdr:ext cx="514350" cy="361950"/>
    <xdr:sp macro="" textlink="">
      <xdr:nvSpPr>
        <xdr:cNvPr id="39" name="Isosceles Triangle 38">
          <a:extLst>
            <a:ext uri="{FF2B5EF4-FFF2-40B4-BE49-F238E27FC236}"/>
          </a:extLst>
        </xdr:cNvPr>
        <xdr:cNvSpPr/>
      </xdr:nvSpPr>
      <xdr:spPr>
        <a:xfrm>
          <a:off x="6296025" y="981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50</xdr:row>
      <xdr:rowOff>0</xdr:rowOff>
    </xdr:from>
    <xdr:ext cx="514350" cy="361950"/>
    <xdr:sp macro="" textlink="">
      <xdr:nvSpPr>
        <xdr:cNvPr id="40" name="Isosceles Triangle 39">
          <a:extLst>
            <a:ext uri="{FF2B5EF4-FFF2-40B4-BE49-F238E27FC236}"/>
          </a:extLst>
        </xdr:cNvPr>
        <xdr:cNvSpPr/>
      </xdr:nvSpPr>
      <xdr:spPr>
        <a:xfrm>
          <a:off x="7172325" y="9810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50</xdr:row>
      <xdr:rowOff>0</xdr:rowOff>
    </xdr:from>
    <xdr:ext cx="514350" cy="361950"/>
    <xdr:sp macro="" textlink="">
      <xdr:nvSpPr>
        <xdr:cNvPr id="41" name="Isosceles Triangle 40">
          <a:extLst>
            <a:ext uri="{FF2B5EF4-FFF2-40B4-BE49-F238E27FC236}"/>
          </a:extLst>
        </xdr:cNvPr>
        <xdr:cNvSpPr/>
      </xdr:nvSpPr>
      <xdr:spPr>
        <a:xfrm>
          <a:off x="8220075" y="9810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50</xdr:row>
      <xdr:rowOff>0</xdr:rowOff>
    </xdr:from>
    <xdr:ext cx="514350" cy="361950"/>
    <xdr:sp macro="" textlink="">
      <xdr:nvSpPr>
        <xdr:cNvPr id="42" name="Isosceles Triangle 41">
          <a:extLst>
            <a:ext uri="{FF2B5EF4-FFF2-40B4-BE49-F238E27FC236}"/>
          </a:extLst>
        </xdr:cNvPr>
        <xdr:cNvSpPr/>
      </xdr:nvSpPr>
      <xdr:spPr>
        <a:xfrm>
          <a:off x="10125075" y="9810750"/>
          <a:ext cx="5136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50</xdr:row>
      <xdr:rowOff>0</xdr:rowOff>
    </xdr:from>
    <xdr:ext cx="514350" cy="361950"/>
    <xdr:sp macro="" textlink="">
      <xdr:nvSpPr>
        <xdr:cNvPr id="43" name="Isosceles Triangle 42">
          <a:extLst>
            <a:ext uri="{FF2B5EF4-FFF2-40B4-BE49-F238E27FC236}"/>
          </a:extLst>
        </xdr:cNvPr>
        <xdr:cNvSpPr/>
      </xdr:nvSpPr>
      <xdr:spPr>
        <a:xfrm>
          <a:off x="11210925" y="981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58</xdr:row>
      <xdr:rowOff>0</xdr:rowOff>
    </xdr:from>
    <xdr:ext cx="514350" cy="361950"/>
    <xdr:sp macro="" textlink="">
      <xdr:nvSpPr>
        <xdr:cNvPr id="44" name="Isosceles Triangle 43">
          <a:extLst>
            <a:ext uri="{FF2B5EF4-FFF2-40B4-BE49-F238E27FC236}"/>
          </a:extLst>
        </xdr:cNvPr>
        <xdr:cNvSpPr/>
      </xdr:nvSpPr>
      <xdr:spPr>
        <a:xfrm>
          <a:off x="609600" y="1133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58</xdr:row>
      <xdr:rowOff>0</xdr:rowOff>
    </xdr:from>
    <xdr:ext cx="533400" cy="361950"/>
    <xdr:sp macro="" textlink="">
      <xdr:nvSpPr>
        <xdr:cNvPr id="45" name="Isosceles Triangle 44">
          <a:extLst>
            <a:ext uri="{FF2B5EF4-FFF2-40B4-BE49-F238E27FC236}"/>
          </a:extLst>
        </xdr:cNvPr>
        <xdr:cNvSpPr/>
      </xdr:nvSpPr>
      <xdr:spPr>
        <a:xfrm>
          <a:off x="1552575" y="11334750"/>
          <a:ext cx="532456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58</xdr:row>
      <xdr:rowOff>0</xdr:rowOff>
    </xdr:from>
    <xdr:ext cx="514350" cy="361950"/>
    <xdr:sp macro="" textlink="">
      <xdr:nvSpPr>
        <xdr:cNvPr id="46" name="Isosceles Triangle 45">
          <a:extLst>
            <a:ext uri="{FF2B5EF4-FFF2-40B4-BE49-F238E27FC236}"/>
          </a:extLst>
        </xdr:cNvPr>
        <xdr:cNvSpPr/>
      </xdr:nvSpPr>
      <xdr:spPr>
        <a:xfrm>
          <a:off x="2543175" y="1133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514350" cy="361950"/>
    <xdr:sp macro="" textlink="">
      <xdr:nvSpPr>
        <xdr:cNvPr id="47" name="Isosceles Triangle 46">
          <a:extLst>
            <a:ext uri="{FF2B5EF4-FFF2-40B4-BE49-F238E27FC236}"/>
          </a:extLst>
        </xdr:cNvPr>
        <xdr:cNvSpPr/>
      </xdr:nvSpPr>
      <xdr:spPr>
        <a:xfrm>
          <a:off x="3609975" y="1133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58</xdr:row>
      <xdr:rowOff>0</xdr:rowOff>
    </xdr:from>
    <xdr:ext cx="514350" cy="361950"/>
    <xdr:sp macro="" textlink="">
      <xdr:nvSpPr>
        <xdr:cNvPr id="48" name="Isosceles Triangle 47">
          <a:extLst>
            <a:ext uri="{FF2B5EF4-FFF2-40B4-BE49-F238E27FC236}"/>
          </a:extLst>
        </xdr:cNvPr>
        <xdr:cNvSpPr/>
      </xdr:nvSpPr>
      <xdr:spPr>
        <a:xfrm>
          <a:off x="5381625" y="1133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58</xdr:row>
      <xdr:rowOff>0</xdr:rowOff>
    </xdr:from>
    <xdr:ext cx="514350" cy="361950"/>
    <xdr:sp macro="" textlink="">
      <xdr:nvSpPr>
        <xdr:cNvPr id="49" name="Isosceles Triangle 48">
          <a:extLst>
            <a:ext uri="{FF2B5EF4-FFF2-40B4-BE49-F238E27FC236}"/>
          </a:extLst>
        </xdr:cNvPr>
        <xdr:cNvSpPr/>
      </xdr:nvSpPr>
      <xdr:spPr>
        <a:xfrm>
          <a:off x="7172325" y="1133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58</xdr:row>
      <xdr:rowOff>0</xdr:rowOff>
    </xdr:from>
    <xdr:ext cx="514350" cy="361950"/>
    <xdr:sp macro="" textlink="">
      <xdr:nvSpPr>
        <xdr:cNvPr id="50" name="Isosceles Triangle 49">
          <a:extLst>
            <a:ext uri="{FF2B5EF4-FFF2-40B4-BE49-F238E27FC236}"/>
          </a:extLst>
        </xdr:cNvPr>
        <xdr:cNvSpPr/>
      </xdr:nvSpPr>
      <xdr:spPr>
        <a:xfrm>
          <a:off x="8220075" y="1133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58</xdr:row>
      <xdr:rowOff>0</xdr:rowOff>
    </xdr:from>
    <xdr:ext cx="495300" cy="361950"/>
    <xdr:sp macro="" textlink="">
      <xdr:nvSpPr>
        <xdr:cNvPr id="51" name="Isosceles Triangle 50">
          <a:extLst>
            <a:ext uri="{FF2B5EF4-FFF2-40B4-BE49-F238E27FC236}"/>
          </a:extLst>
        </xdr:cNvPr>
        <xdr:cNvSpPr/>
      </xdr:nvSpPr>
      <xdr:spPr>
        <a:xfrm>
          <a:off x="9210675" y="11334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58</xdr:row>
      <xdr:rowOff>0</xdr:rowOff>
    </xdr:from>
    <xdr:ext cx="514350" cy="361950"/>
    <xdr:sp macro="" textlink="">
      <xdr:nvSpPr>
        <xdr:cNvPr id="52" name="Isosceles Triangle 51">
          <a:extLst>
            <a:ext uri="{FF2B5EF4-FFF2-40B4-BE49-F238E27FC236}"/>
          </a:extLst>
        </xdr:cNvPr>
        <xdr:cNvSpPr/>
      </xdr:nvSpPr>
      <xdr:spPr>
        <a:xfrm>
          <a:off x="10125075" y="11334750"/>
          <a:ext cx="5136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58</xdr:row>
      <xdr:rowOff>0</xdr:rowOff>
    </xdr:from>
    <xdr:ext cx="514350" cy="361950"/>
    <xdr:sp macro="" textlink="">
      <xdr:nvSpPr>
        <xdr:cNvPr id="53" name="Isosceles Triangle 52">
          <a:extLst>
            <a:ext uri="{FF2B5EF4-FFF2-40B4-BE49-F238E27FC236}"/>
          </a:extLst>
        </xdr:cNvPr>
        <xdr:cNvSpPr/>
      </xdr:nvSpPr>
      <xdr:spPr>
        <a:xfrm>
          <a:off x="11210925" y="1133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58</xdr:row>
      <xdr:rowOff>0</xdr:rowOff>
    </xdr:from>
    <xdr:ext cx="514350" cy="361950"/>
    <xdr:sp macro="" textlink="">
      <xdr:nvSpPr>
        <xdr:cNvPr id="54" name="Isosceles Triangle 53">
          <a:extLst>
            <a:ext uri="{FF2B5EF4-FFF2-40B4-BE49-F238E27FC236}"/>
          </a:extLst>
        </xdr:cNvPr>
        <xdr:cNvSpPr/>
      </xdr:nvSpPr>
      <xdr:spPr>
        <a:xfrm>
          <a:off x="12115800" y="11334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58</xdr:row>
      <xdr:rowOff>0</xdr:rowOff>
    </xdr:from>
    <xdr:ext cx="514350" cy="361950"/>
    <xdr:sp macro="" textlink="">
      <xdr:nvSpPr>
        <xdr:cNvPr id="55" name="Isosceles Triangle 54">
          <a:extLst>
            <a:ext uri="{FF2B5EF4-FFF2-40B4-BE49-F238E27FC236}"/>
          </a:extLst>
        </xdr:cNvPr>
        <xdr:cNvSpPr/>
      </xdr:nvSpPr>
      <xdr:spPr>
        <a:xfrm>
          <a:off x="13115925" y="11334750"/>
          <a:ext cx="5898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66</xdr:row>
      <xdr:rowOff>0</xdr:rowOff>
    </xdr:from>
    <xdr:ext cx="514350" cy="361950"/>
    <xdr:sp macro="" textlink="">
      <xdr:nvSpPr>
        <xdr:cNvPr id="56" name="Isosceles Triangle 55">
          <a:extLst>
            <a:ext uri="{FF2B5EF4-FFF2-40B4-BE49-F238E27FC236}"/>
          </a:extLst>
        </xdr:cNvPr>
        <xdr:cNvSpPr/>
      </xdr:nvSpPr>
      <xdr:spPr>
        <a:xfrm>
          <a:off x="609600" y="1285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66</xdr:row>
      <xdr:rowOff>0</xdr:rowOff>
    </xdr:from>
    <xdr:ext cx="514350" cy="361950"/>
    <xdr:sp macro="" textlink="">
      <xdr:nvSpPr>
        <xdr:cNvPr id="57" name="Isosceles Triangle 56">
          <a:extLst>
            <a:ext uri="{FF2B5EF4-FFF2-40B4-BE49-F238E27FC236}"/>
          </a:extLst>
        </xdr:cNvPr>
        <xdr:cNvSpPr/>
      </xdr:nvSpPr>
      <xdr:spPr>
        <a:xfrm>
          <a:off x="3609975" y="12858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66</xdr:row>
      <xdr:rowOff>0</xdr:rowOff>
    </xdr:from>
    <xdr:ext cx="514350" cy="361950"/>
    <xdr:sp macro="" textlink="">
      <xdr:nvSpPr>
        <xdr:cNvPr id="58" name="Isosceles Triangle 57">
          <a:extLst>
            <a:ext uri="{FF2B5EF4-FFF2-40B4-BE49-F238E27FC236}"/>
          </a:extLst>
        </xdr:cNvPr>
        <xdr:cNvSpPr/>
      </xdr:nvSpPr>
      <xdr:spPr>
        <a:xfrm>
          <a:off x="4514850" y="12858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66</xdr:row>
      <xdr:rowOff>0</xdr:rowOff>
    </xdr:from>
    <xdr:ext cx="514350" cy="361950"/>
    <xdr:sp macro="" textlink="">
      <xdr:nvSpPr>
        <xdr:cNvPr id="59" name="Isosceles Triangle 58">
          <a:extLst>
            <a:ext uri="{FF2B5EF4-FFF2-40B4-BE49-F238E27FC236}"/>
          </a:extLst>
        </xdr:cNvPr>
        <xdr:cNvSpPr/>
      </xdr:nvSpPr>
      <xdr:spPr>
        <a:xfrm>
          <a:off x="5381625" y="12858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66</xdr:row>
      <xdr:rowOff>0</xdr:rowOff>
    </xdr:from>
    <xdr:ext cx="514350" cy="361950"/>
    <xdr:sp macro="" textlink="">
      <xdr:nvSpPr>
        <xdr:cNvPr id="60" name="Isosceles Triangle 59">
          <a:extLst>
            <a:ext uri="{FF2B5EF4-FFF2-40B4-BE49-F238E27FC236}"/>
          </a:extLst>
        </xdr:cNvPr>
        <xdr:cNvSpPr/>
      </xdr:nvSpPr>
      <xdr:spPr>
        <a:xfrm>
          <a:off x="6296025" y="1285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66</xdr:row>
      <xdr:rowOff>0</xdr:rowOff>
    </xdr:from>
    <xdr:ext cx="514350" cy="361950"/>
    <xdr:sp macro="" textlink="">
      <xdr:nvSpPr>
        <xdr:cNvPr id="61" name="Isosceles Triangle 60">
          <a:extLst>
            <a:ext uri="{FF2B5EF4-FFF2-40B4-BE49-F238E27FC236}"/>
          </a:extLst>
        </xdr:cNvPr>
        <xdr:cNvSpPr/>
      </xdr:nvSpPr>
      <xdr:spPr>
        <a:xfrm>
          <a:off x="7172325" y="1285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66</xdr:row>
      <xdr:rowOff>0</xdr:rowOff>
    </xdr:from>
    <xdr:ext cx="514350" cy="361950"/>
    <xdr:sp macro="" textlink="">
      <xdr:nvSpPr>
        <xdr:cNvPr id="62" name="Isosceles Triangle 61">
          <a:extLst>
            <a:ext uri="{FF2B5EF4-FFF2-40B4-BE49-F238E27FC236}"/>
          </a:extLst>
        </xdr:cNvPr>
        <xdr:cNvSpPr/>
      </xdr:nvSpPr>
      <xdr:spPr>
        <a:xfrm>
          <a:off x="8220075" y="1285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66</xdr:row>
      <xdr:rowOff>0</xdr:rowOff>
    </xdr:from>
    <xdr:ext cx="495300" cy="361950"/>
    <xdr:sp macro="" textlink="">
      <xdr:nvSpPr>
        <xdr:cNvPr id="63" name="Isosceles Triangle 62">
          <a:extLst>
            <a:ext uri="{FF2B5EF4-FFF2-40B4-BE49-F238E27FC236}"/>
          </a:extLst>
        </xdr:cNvPr>
        <xdr:cNvSpPr/>
      </xdr:nvSpPr>
      <xdr:spPr>
        <a:xfrm>
          <a:off x="9210675" y="12858750"/>
          <a:ext cx="50409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66</xdr:row>
      <xdr:rowOff>0</xdr:rowOff>
    </xdr:from>
    <xdr:ext cx="514350" cy="361950"/>
    <xdr:sp macro="" textlink="">
      <xdr:nvSpPr>
        <xdr:cNvPr id="64" name="Isosceles Triangle 63">
          <a:extLst>
            <a:ext uri="{FF2B5EF4-FFF2-40B4-BE49-F238E27FC236}"/>
          </a:extLst>
        </xdr:cNvPr>
        <xdr:cNvSpPr/>
      </xdr:nvSpPr>
      <xdr:spPr>
        <a:xfrm>
          <a:off x="10125075" y="12858750"/>
          <a:ext cx="513617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66</xdr:row>
      <xdr:rowOff>0</xdr:rowOff>
    </xdr:from>
    <xdr:ext cx="514350" cy="361950"/>
    <xdr:sp macro="" textlink="">
      <xdr:nvSpPr>
        <xdr:cNvPr id="65" name="Isosceles Triangle 64">
          <a:extLst>
            <a:ext uri="{FF2B5EF4-FFF2-40B4-BE49-F238E27FC236}"/>
          </a:extLst>
        </xdr:cNvPr>
        <xdr:cNvSpPr/>
      </xdr:nvSpPr>
      <xdr:spPr>
        <a:xfrm>
          <a:off x="11210925" y="1285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66</xdr:row>
      <xdr:rowOff>0</xdr:rowOff>
    </xdr:from>
    <xdr:ext cx="514350" cy="361950"/>
    <xdr:sp macro="" textlink="">
      <xdr:nvSpPr>
        <xdr:cNvPr id="66" name="Isosceles Triangle 65">
          <a:extLst>
            <a:ext uri="{FF2B5EF4-FFF2-40B4-BE49-F238E27FC236}"/>
          </a:extLst>
        </xdr:cNvPr>
        <xdr:cNvSpPr/>
      </xdr:nvSpPr>
      <xdr:spPr>
        <a:xfrm>
          <a:off x="12115800" y="12858750"/>
          <a:ext cx="50409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66</xdr:row>
      <xdr:rowOff>0</xdr:rowOff>
    </xdr:from>
    <xdr:ext cx="514350" cy="361950"/>
    <xdr:sp macro="" textlink="">
      <xdr:nvSpPr>
        <xdr:cNvPr id="67" name="Isosceles Triangle 66">
          <a:extLst>
            <a:ext uri="{FF2B5EF4-FFF2-40B4-BE49-F238E27FC236}"/>
          </a:extLst>
        </xdr:cNvPr>
        <xdr:cNvSpPr/>
      </xdr:nvSpPr>
      <xdr:spPr>
        <a:xfrm>
          <a:off x="13115925" y="12858750"/>
          <a:ext cx="589817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74</xdr:row>
      <xdr:rowOff>0</xdr:rowOff>
    </xdr:from>
    <xdr:ext cx="514350" cy="361950"/>
    <xdr:sp macro="" textlink="">
      <xdr:nvSpPr>
        <xdr:cNvPr id="68" name="Isosceles Triangle 67">
          <a:extLst>
            <a:ext uri="{FF2B5EF4-FFF2-40B4-BE49-F238E27FC236}"/>
          </a:extLst>
        </xdr:cNvPr>
        <xdr:cNvSpPr/>
      </xdr:nvSpPr>
      <xdr:spPr>
        <a:xfrm>
          <a:off x="609600" y="1438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74</xdr:row>
      <xdr:rowOff>0</xdr:rowOff>
    </xdr:from>
    <xdr:ext cx="533400" cy="361950"/>
    <xdr:sp macro="" textlink="">
      <xdr:nvSpPr>
        <xdr:cNvPr id="69" name="Isosceles Triangle 68">
          <a:extLst>
            <a:ext uri="{FF2B5EF4-FFF2-40B4-BE49-F238E27FC236}"/>
          </a:extLst>
        </xdr:cNvPr>
        <xdr:cNvSpPr/>
      </xdr:nvSpPr>
      <xdr:spPr>
        <a:xfrm>
          <a:off x="1552575" y="14382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74</xdr:row>
      <xdr:rowOff>0</xdr:rowOff>
    </xdr:from>
    <xdr:ext cx="514350" cy="361950"/>
    <xdr:sp macro="" textlink="">
      <xdr:nvSpPr>
        <xdr:cNvPr id="70" name="Isosceles Triangle 69">
          <a:extLst>
            <a:ext uri="{FF2B5EF4-FFF2-40B4-BE49-F238E27FC236}"/>
          </a:extLst>
        </xdr:cNvPr>
        <xdr:cNvSpPr/>
      </xdr:nvSpPr>
      <xdr:spPr>
        <a:xfrm>
          <a:off x="2543175" y="14382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74</xdr:row>
      <xdr:rowOff>0</xdr:rowOff>
    </xdr:from>
    <xdr:ext cx="514350" cy="361950"/>
    <xdr:sp macro="" textlink="">
      <xdr:nvSpPr>
        <xdr:cNvPr id="71" name="Isosceles Triangle 70">
          <a:extLst>
            <a:ext uri="{FF2B5EF4-FFF2-40B4-BE49-F238E27FC236}"/>
          </a:extLst>
        </xdr:cNvPr>
        <xdr:cNvSpPr/>
      </xdr:nvSpPr>
      <xdr:spPr>
        <a:xfrm>
          <a:off x="4514850" y="14382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9525</xdr:colOff>
      <xdr:row>74</xdr:row>
      <xdr:rowOff>9525</xdr:rowOff>
    </xdr:from>
    <xdr:ext cx="514350" cy="361950"/>
    <xdr:sp macro="" textlink="">
      <xdr:nvSpPr>
        <xdr:cNvPr id="72" name="Isosceles Triangle 71">
          <a:extLst>
            <a:ext uri="{FF2B5EF4-FFF2-40B4-BE49-F238E27FC236}"/>
          </a:extLst>
        </xdr:cNvPr>
        <xdr:cNvSpPr/>
      </xdr:nvSpPr>
      <xdr:spPr>
        <a:xfrm>
          <a:off x="5396346" y="14393574"/>
          <a:ext cx="518163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74</xdr:row>
      <xdr:rowOff>0</xdr:rowOff>
    </xdr:from>
    <xdr:ext cx="514350" cy="361950"/>
    <xdr:sp macro="" textlink="">
      <xdr:nvSpPr>
        <xdr:cNvPr id="73" name="Isosceles Triangle 72">
          <a:extLst>
            <a:ext uri="{FF2B5EF4-FFF2-40B4-BE49-F238E27FC236}"/>
          </a:extLst>
        </xdr:cNvPr>
        <xdr:cNvSpPr/>
      </xdr:nvSpPr>
      <xdr:spPr>
        <a:xfrm>
          <a:off x="6296025" y="1438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74</xdr:row>
      <xdr:rowOff>0</xdr:rowOff>
    </xdr:from>
    <xdr:ext cx="514350" cy="361950"/>
    <xdr:sp macro="" textlink="">
      <xdr:nvSpPr>
        <xdr:cNvPr id="74" name="Isosceles Triangle 73">
          <a:extLst>
            <a:ext uri="{FF2B5EF4-FFF2-40B4-BE49-F238E27FC236}"/>
          </a:extLst>
        </xdr:cNvPr>
        <xdr:cNvSpPr/>
      </xdr:nvSpPr>
      <xdr:spPr>
        <a:xfrm>
          <a:off x="7172325" y="14382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74</xdr:row>
      <xdr:rowOff>0</xdr:rowOff>
    </xdr:from>
    <xdr:ext cx="514350" cy="361950"/>
    <xdr:sp macro="" textlink="">
      <xdr:nvSpPr>
        <xdr:cNvPr id="75" name="Isosceles Triangle 74">
          <a:extLst>
            <a:ext uri="{FF2B5EF4-FFF2-40B4-BE49-F238E27FC236}"/>
          </a:extLst>
        </xdr:cNvPr>
        <xdr:cNvSpPr/>
      </xdr:nvSpPr>
      <xdr:spPr>
        <a:xfrm>
          <a:off x="8220075" y="14382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74</xdr:row>
      <xdr:rowOff>0</xdr:rowOff>
    </xdr:from>
    <xdr:ext cx="495300" cy="361950"/>
    <xdr:sp macro="" textlink="">
      <xdr:nvSpPr>
        <xdr:cNvPr id="76" name="Isosceles Triangle 75">
          <a:extLst>
            <a:ext uri="{FF2B5EF4-FFF2-40B4-BE49-F238E27FC236}"/>
          </a:extLst>
        </xdr:cNvPr>
        <xdr:cNvSpPr/>
      </xdr:nvSpPr>
      <xdr:spPr>
        <a:xfrm>
          <a:off x="9210675" y="14382750"/>
          <a:ext cx="50409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74</xdr:row>
      <xdr:rowOff>0</xdr:rowOff>
    </xdr:from>
    <xdr:ext cx="514350" cy="361950"/>
    <xdr:sp macro="" textlink="">
      <xdr:nvSpPr>
        <xdr:cNvPr id="77" name="Isosceles Triangle 76">
          <a:extLst>
            <a:ext uri="{FF2B5EF4-FFF2-40B4-BE49-F238E27FC236}"/>
          </a:extLst>
        </xdr:cNvPr>
        <xdr:cNvSpPr/>
      </xdr:nvSpPr>
      <xdr:spPr>
        <a:xfrm>
          <a:off x="10125075" y="14382750"/>
          <a:ext cx="513617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74</xdr:row>
      <xdr:rowOff>0</xdr:rowOff>
    </xdr:from>
    <xdr:ext cx="514350" cy="361950"/>
    <xdr:sp macro="" textlink="">
      <xdr:nvSpPr>
        <xdr:cNvPr id="78" name="Isosceles Triangle 77">
          <a:extLst>
            <a:ext uri="{FF2B5EF4-FFF2-40B4-BE49-F238E27FC236}"/>
          </a:extLst>
        </xdr:cNvPr>
        <xdr:cNvSpPr/>
      </xdr:nvSpPr>
      <xdr:spPr>
        <a:xfrm>
          <a:off x="11210925" y="14382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74</xdr:row>
      <xdr:rowOff>0</xdr:rowOff>
    </xdr:from>
    <xdr:ext cx="514350" cy="361950"/>
    <xdr:sp macro="" textlink="">
      <xdr:nvSpPr>
        <xdr:cNvPr id="79" name="Isosceles Triangle 78">
          <a:extLst>
            <a:ext uri="{FF2B5EF4-FFF2-40B4-BE49-F238E27FC236}"/>
          </a:extLst>
        </xdr:cNvPr>
        <xdr:cNvSpPr/>
      </xdr:nvSpPr>
      <xdr:spPr>
        <a:xfrm>
          <a:off x="12115800" y="14382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74</xdr:row>
      <xdr:rowOff>0</xdr:rowOff>
    </xdr:from>
    <xdr:ext cx="514350" cy="361950"/>
    <xdr:sp macro="" textlink="">
      <xdr:nvSpPr>
        <xdr:cNvPr id="80" name="Isosceles Triangle 79">
          <a:extLst>
            <a:ext uri="{FF2B5EF4-FFF2-40B4-BE49-F238E27FC236}"/>
          </a:extLst>
        </xdr:cNvPr>
        <xdr:cNvSpPr/>
      </xdr:nvSpPr>
      <xdr:spPr>
        <a:xfrm>
          <a:off x="13115925" y="14382750"/>
          <a:ext cx="5898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82</xdr:row>
      <xdr:rowOff>0</xdr:rowOff>
    </xdr:from>
    <xdr:ext cx="514350" cy="361950"/>
    <xdr:sp macro="" textlink="">
      <xdr:nvSpPr>
        <xdr:cNvPr id="81" name="Isosceles Triangle 80">
          <a:extLst>
            <a:ext uri="{FF2B5EF4-FFF2-40B4-BE49-F238E27FC236}"/>
          </a:extLst>
        </xdr:cNvPr>
        <xdr:cNvSpPr/>
      </xdr:nvSpPr>
      <xdr:spPr>
        <a:xfrm>
          <a:off x="609600" y="15906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82</xdr:row>
      <xdr:rowOff>0</xdr:rowOff>
    </xdr:from>
    <xdr:ext cx="533400" cy="361950"/>
    <xdr:sp macro="" textlink="">
      <xdr:nvSpPr>
        <xdr:cNvPr id="82" name="Isosceles Triangle 81">
          <a:extLst>
            <a:ext uri="{FF2B5EF4-FFF2-40B4-BE49-F238E27FC236}"/>
          </a:extLst>
        </xdr:cNvPr>
        <xdr:cNvSpPr/>
      </xdr:nvSpPr>
      <xdr:spPr>
        <a:xfrm>
          <a:off x="1552575" y="15906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82</xdr:row>
      <xdr:rowOff>0</xdr:rowOff>
    </xdr:from>
    <xdr:ext cx="514350" cy="361950"/>
    <xdr:sp macro="" textlink="">
      <xdr:nvSpPr>
        <xdr:cNvPr id="83" name="Isosceles Triangle 82">
          <a:extLst>
            <a:ext uri="{FF2B5EF4-FFF2-40B4-BE49-F238E27FC236}"/>
          </a:extLst>
        </xdr:cNvPr>
        <xdr:cNvSpPr/>
      </xdr:nvSpPr>
      <xdr:spPr>
        <a:xfrm>
          <a:off x="4514850" y="1590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18</xdr:col>
      <xdr:colOff>400050</xdr:colOff>
      <xdr:row>82</xdr:row>
      <xdr:rowOff>0</xdr:rowOff>
    </xdr:from>
    <xdr:ext cx="485775" cy="361950"/>
    <xdr:sp macro="" textlink="">
      <xdr:nvSpPr>
        <xdr:cNvPr id="84" name="Isosceles Triangle 83">
          <a:extLst>
            <a:ext uri="{FF2B5EF4-FFF2-40B4-BE49-F238E27FC236}"/>
          </a:extLst>
        </xdr:cNvPr>
        <xdr:cNvSpPr/>
      </xdr:nvSpPr>
      <xdr:spPr>
        <a:xfrm>
          <a:off x="6294665" y="15906750"/>
          <a:ext cx="51213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82</xdr:row>
      <xdr:rowOff>0</xdr:rowOff>
    </xdr:from>
    <xdr:ext cx="514350" cy="361950"/>
    <xdr:sp macro="" textlink="">
      <xdr:nvSpPr>
        <xdr:cNvPr id="85" name="Isosceles Triangle 84">
          <a:extLst>
            <a:ext uri="{FF2B5EF4-FFF2-40B4-BE49-F238E27FC236}"/>
          </a:extLst>
        </xdr:cNvPr>
        <xdr:cNvSpPr/>
      </xdr:nvSpPr>
      <xdr:spPr>
        <a:xfrm>
          <a:off x="7172325" y="15906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82</xdr:row>
      <xdr:rowOff>0</xdr:rowOff>
    </xdr:from>
    <xdr:ext cx="514350" cy="361950"/>
    <xdr:sp macro="" textlink="">
      <xdr:nvSpPr>
        <xdr:cNvPr id="86" name="Isosceles Triangle 85">
          <a:extLst>
            <a:ext uri="{FF2B5EF4-FFF2-40B4-BE49-F238E27FC236}"/>
          </a:extLst>
        </xdr:cNvPr>
        <xdr:cNvSpPr/>
      </xdr:nvSpPr>
      <xdr:spPr>
        <a:xfrm>
          <a:off x="8220075" y="15906750"/>
          <a:ext cx="523142" cy="373673"/>
        </a:xfrm>
        <a:prstGeom prst="triangle">
          <a:avLst>
            <a:gd fmla="val 50000" name="adj"/>
          </a:avLst>
        </a:prstGeom>
        <a:solidFill>
          <a:srgbClr val="FFFF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82</xdr:row>
      <xdr:rowOff>0</xdr:rowOff>
    </xdr:from>
    <xdr:ext cx="495300" cy="361950"/>
    <xdr:sp macro="" textlink="">
      <xdr:nvSpPr>
        <xdr:cNvPr id="87" name="Isosceles Triangle 86">
          <a:extLst>
            <a:ext uri="{FF2B5EF4-FFF2-40B4-BE49-F238E27FC236}"/>
          </a:extLst>
        </xdr:cNvPr>
        <xdr:cNvSpPr/>
      </xdr:nvSpPr>
      <xdr:spPr>
        <a:xfrm>
          <a:off x="9210675" y="15906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82</xdr:row>
      <xdr:rowOff>0</xdr:rowOff>
    </xdr:from>
    <xdr:ext cx="514350" cy="361950"/>
    <xdr:sp macro="" textlink="">
      <xdr:nvSpPr>
        <xdr:cNvPr id="88" name="Isosceles Triangle 87">
          <a:extLst>
            <a:ext uri="{FF2B5EF4-FFF2-40B4-BE49-F238E27FC236}"/>
          </a:extLst>
        </xdr:cNvPr>
        <xdr:cNvSpPr/>
      </xdr:nvSpPr>
      <xdr:spPr>
        <a:xfrm>
          <a:off x="10125075" y="15906750"/>
          <a:ext cx="5136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82</xdr:row>
      <xdr:rowOff>0</xdr:rowOff>
    </xdr:from>
    <xdr:ext cx="514350" cy="361950"/>
    <xdr:sp macro="" textlink="">
      <xdr:nvSpPr>
        <xdr:cNvPr id="89" name="Isosceles Triangle 88">
          <a:extLst>
            <a:ext uri="{FF2B5EF4-FFF2-40B4-BE49-F238E27FC236}"/>
          </a:extLst>
        </xdr:cNvPr>
        <xdr:cNvSpPr/>
      </xdr:nvSpPr>
      <xdr:spPr>
        <a:xfrm>
          <a:off x="11210925" y="15906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82</xdr:row>
      <xdr:rowOff>0</xdr:rowOff>
    </xdr:from>
    <xdr:ext cx="514350" cy="361950"/>
    <xdr:sp macro="" textlink="">
      <xdr:nvSpPr>
        <xdr:cNvPr id="90" name="Isosceles Triangle 89">
          <a:extLst>
            <a:ext uri="{FF2B5EF4-FFF2-40B4-BE49-F238E27FC236}"/>
          </a:extLst>
        </xdr:cNvPr>
        <xdr:cNvSpPr/>
      </xdr:nvSpPr>
      <xdr:spPr>
        <a:xfrm>
          <a:off x="12115800" y="15906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82</xdr:row>
      <xdr:rowOff>0</xdr:rowOff>
    </xdr:from>
    <xdr:ext cx="514350" cy="361950"/>
    <xdr:sp macro="" textlink="">
      <xdr:nvSpPr>
        <xdr:cNvPr id="91" name="Isosceles Triangle 90">
          <a:extLst>
            <a:ext uri="{FF2B5EF4-FFF2-40B4-BE49-F238E27FC236}"/>
          </a:extLst>
        </xdr:cNvPr>
        <xdr:cNvSpPr/>
      </xdr:nvSpPr>
      <xdr:spPr>
        <a:xfrm>
          <a:off x="13115925" y="15906750"/>
          <a:ext cx="589817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90</xdr:row>
      <xdr:rowOff>0</xdr:rowOff>
    </xdr:from>
    <xdr:ext cx="514350" cy="361950"/>
    <xdr:sp macro="" textlink="">
      <xdr:nvSpPr>
        <xdr:cNvPr id="92" name="Isosceles Triangle 91">
          <a:extLst>
            <a:ext uri="{FF2B5EF4-FFF2-40B4-BE49-F238E27FC236}"/>
          </a:extLst>
        </xdr:cNvPr>
        <xdr:cNvSpPr/>
      </xdr:nvSpPr>
      <xdr:spPr>
        <a:xfrm>
          <a:off x="609600" y="1743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90</xdr:row>
      <xdr:rowOff>0</xdr:rowOff>
    </xdr:from>
    <xdr:ext cx="533400" cy="361950"/>
    <xdr:sp macro="" textlink="">
      <xdr:nvSpPr>
        <xdr:cNvPr id="93" name="Isosceles Triangle 92">
          <a:extLst>
            <a:ext uri="{FF2B5EF4-FFF2-40B4-BE49-F238E27FC236}"/>
          </a:extLst>
        </xdr:cNvPr>
        <xdr:cNvSpPr/>
      </xdr:nvSpPr>
      <xdr:spPr>
        <a:xfrm>
          <a:off x="1552575" y="1743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90</xdr:row>
      <xdr:rowOff>0</xdr:rowOff>
    </xdr:from>
    <xdr:ext cx="514350" cy="361950"/>
    <xdr:sp macro="" textlink="">
      <xdr:nvSpPr>
        <xdr:cNvPr id="94" name="Isosceles Triangle 93">
          <a:extLst>
            <a:ext uri="{FF2B5EF4-FFF2-40B4-BE49-F238E27FC236}"/>
          </a:extLst>
        </xdr:cNvPr>
        <xdr:cNvSpPr/>
      </xdr:nvSpPr>
      <xdr:spPr>
        <a:xfrm>
          <a:off x="2543175" y="1743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90</xdr:row>
      <xdr:rowOff>0</xdr:rowOff>
    </xdr:from>
    <xdr:ext cx="514350" cy="361950"/>
    <xdr:sp macro="" textlink="">
      <xdr:nvSpPr>
        <xdr:cNvPr id="95" name="Isosceles Triangle 94">
          <a:extLst>
            <a:ext uri="{FF2B5EF4-FFF2-40B4-BE49-F238E27FC236}"/>
          </a:extLst>
        </xdr:cNvPr>
        <xdr:cNvSpPr/>
      </xdr:nvSpPr>
      <xdr:spPr>
        <a:xfrm>
          <a:off x="3609975" y="17430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90</xdr:row>
      <xdr:rowOff>0</xdr:rowOff>
    </xdr:from>
    <xdr:ext cx="514350" cy="361950"/>
    <xdr:sp macro="" textlink="">
      <xdr:nvSpPr>
        <xdr:cNvPr id="96" name="Isosceles Triangle 95">
          <a:extLst>
            <a:ext uri="{FF2B5EF4-FFF2-40B4-BE49-F238E27FC236}"/>
          </a:extLst>
        </xdr:cNvPr>
        <xdr:cNvSpPr/>
      </xdr:nvSpPr>
      <xdr:spPr>
        <a:xfrm>
          <a:off x="4514850" y="17430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90</xdr:row>
      <xdr:rowOff>0</xdr:rowOff>
    </xdr:from>
    <xdr:ext cx="514350" cy="361950"/>
    <xdr:sp macro="" textlink="">
      <xdr:nvSpPr>
        <xdr:cNvPr id="97" name="Isosceles Triangle 96">
          <a:extLst>
            <a:ext uri="{FF2B5EF4-FFF2-40B4-BE49-F238E27FC236}"/>
          </a:extLst>
        </xdr:cNvPr>
        <xdr:cNvSpPr/>
      </xdr:nvSpPr>
      <xdr:spPr>
        <a:xfrm>
          <a:off x="5381625" y="17430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90</xdr:row>
      <xdr:rowOff>0</xdr:rowOff>
    </xdr:from>
    <xdr:ext cx="514350" cy="361950"/>
    <xdr:sp macro="" textlink="">
      <xdr:nvSpPr>
        <xdr:cNvPr id="98" name="Isosceles Triangle 97">
          <a:extLst>
            <a:ext uri="{FF2B5EF4-FFF2-40B4-BE49-F238E27FC236}"/>
          </a:extLst>
        </xdr:cNvPr>
        <xdr:cNvSpPr/>
      </xdr:nvSpPr>
      <xdr:spPr>
        <a:xfrm>
          <a:off x="6296025" y="1743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90</xdr:row>
      <xdr:rowOff>0</xdr:rowOff>
    </xdr:from>
    <xdr:ext cx="514350" cy="361950"/>
    <xdr:sp macro="" textlink="">
      <xdr:nvSpPr>
        <xdr:cNvPr id="99" name="Isosceles Triangle 98">
          <a:extLst>
            <a:ext uri="{FF2B5EF4-FFF2-40B4-BE49-F238E27FC236}"/>
          </a:extLst>
        </xdr:cNvPr>
        <xdr:cNvSpPr/>
      </xdr:nvSpPr>
      <xdr:spPr>
        <a:xfrm>
          <a:off x="7172325" y="1743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90</xdr:row>
      <xdr:rowOff>0</xdr:rowOff>
    </xdr:from>
    <xdr:ext cx="514350" cy="361950"/>
    <xdr:sp macro="" textlink="">
      <xdr:nvSpPr>
        <xdr:cNvPr id="100" name="Isosceles Triangle 99">
          <a:extLst>
            <a:ext uri="{FF2B5EF4-FFF2-40B4-BE49-F238E27FC236}"/>
          </a:extLst>
        </xdr:cNvPr>
        <xdr:cNvSpPr/>
      </xdr:nvSpPr>
      <xdr:spPr>
        <a:xfrm>
          <a:off x="8220075" y="17430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90</xdr:row>
      <xdr:rowOff>0</xdr:rowOff>
    </xdr:from>
    <xdr:ext cx="495300" cy="361950"/>
    <xdr:sp macro="" textlink="">
      <xdr:nvSpPr>
        <xdr:cNvPr id="101" name="Isosceles Triangle 100">
          <a:extLst>
            <a:ext uri="{FF2B5EF4-FFF2-40B4-BE49-F238E27FC236}"/>
          </a:extLst>
        </xdr:cNvPr>
        <xdr:cNvSpPr/>
      </xdr:nvSpPr>
      <xdr:spPr>
        <a:xfrm>
          <a:off x="9210675" y="17430750"/>
          <a:ext cx="50409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90</xdr:row>
      <xdr:rowOff>0</xdr:rowOff>
    </xdr:from>
    <xdr:ext cx="514350" cy="361950"/>
    <xdr:sp macro="" textlink="">
      <xdr:nvSpPr>
        <xdr:cNvPr id="102" name="Isosceles Triangle 101">
          <a:extLst>
            <a:ext uri="{FF2B5EF4-FFF2-40B4-BE49-F238E27FC236}"/>
          </a:extLst>
        </xdr:cNvPr>
        <xdr:cNvSpPr/>
      </xdr:nvSpPr>
      <xdr:spPr>
        <a:xfrm>
          <a:off x="10125075" y="17430750"/>
          <a:ext cx="513617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90</xdr:row>
      <xdr:rowOff>0</xdr:rowOff>
    </xdr:from>
    <xdr:ext cx="514350" cy="361950"/>
    <xdr:sp macro="" textlink="">
      <xdr:nvSpPr>
        <xdr:cNvPr id="103" name="Isosceles Triangle 102">
          <a:extLst>
            <a:ext uri="{FF2B5EF4-FFF2-40B4-BE49-F238E27FC236}"/>
          </a:extLst>
        </xdr:cNvPr>
        <xdr:cNvSpPr/>
      </xdr:nvSpPr>
      <xdr:spPr>
        <a:xfrm>
          <a:off x="11210925" y="17430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90</xdr:row>
      <xdr:rowOff>0</xdr:rowOff>
    </xdr:from>
    <xdr:ext cx="514350" cy="361950"/>
    <xdr:sp macro="" textlink="">
      <xdr:nvSpPr>
        <xdr:cNvPr id="104" name="Isosceles Triangle 103">
          <a:extLst>
            <a:ext uri="{FF2B5EF4-FFF2-40B4-BE49-F238E27FC236}"/>
          </a:extLst>
        </xdr:cNvPr>
        <xdr:cNvSpPr/>
      </xdr:nvSpPr>
      <xdr:spPr>
        <a:xfrm>
          <a:off x="12115800" y="17430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90</xdr:row>
      <xdr:rowOff>0</xdr:rowOff>
    </xdr:from>
    <xdr:ext cx="514350" cy="361950"/>
    <xdr:sp macro="" textlink="">
      <xdr:nvSpPr>
        <xdr:cNvPr id="105" name="Isosceles Triangle 104">
          <a:extLst>
            <a:ext uri="{FF2B5EF4-FFF2-40B4-BE49-F238E27FC236}"/>
          </a:extLst>
        </xdr:cNvPr>
        <xdr:cNvSpPr/>
      </xdr:nvSpPr>
      <xdr:spPr>
        <a:xfrm>
          <a:off x="13115925" y="17430750"/>
          <a:ext cx="5898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98</xdr:row>
      <xdr:rowOff>0</xdr:rowOff>
    </xdr:from>
    <xdr:ext cx="514350" cy="361950"/>
    <xdr:sp macro="" textlink="">
      <xdr:nvSpPr>
        <xdr:cNvPr id="106" name="Isosceles Triangle 105">
          <a:extLst>
            <a:ext uri="{FF2B5EF4-FFF2-40B4-BE49-F238E27FC236}"/>
          </a:extLst>
        </xdr:cNvPr>
        <xdr:cNvSpPr/>
      </xdr:nvSpPr>
      <xdr:spPr>
        <a:xfrm>
          <a:off x="609600" y="1895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98</xdr:row>
      <xdr:rowOff>0</xdr:rowOff>
    </xdr:from>
    <xdr:ext cx="533400" cy="361950"/>
    <xdr:sp macro="" textlink="">
      <xdr:nvSpPr>
        <xdr:cNvPr id="107" name="Isosceles Triangle 106">
          <a:extLst>
            <a:ext uri="{FF2B5EF4-FFF2-40B4-BE49-F238E27FC236}"/>
          </a:extLst>
        </xdr:cNvPr>
        <xdr:cNvSpPr/>
      </xdr:nvSpPr>
      <xdr:spPr>
        <a:xfrm>
          <a:off x="1552575" y="1895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98</xdr:row>
      <xdr:rowOff>0</xdr:rowOff>
    </xdr:from>
    <xdr:ext cx="514350" cy="361950"/>
    <xdr:sp macro="" textlink="">
      <xdr:nvSpPr>
        <xdr:cNvPr id="108" name="Isosceles Triangle 107">
          <a:extLst>
            <a:ext uri="{FF2B5EF4-FFF2-40B4-BE49-F238E27FC236}"/>
          </a:extLst>
        </xdr:cNvPr>
        <xdr:cNvSpPr/>
      </xdr:nvSpPr>
      <xdr:spPr>
        <a:xfrm>
          <a:off x="2543175" y="1895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98</xdr:row>
      <xdr:rowOff>0</xdr:rowOff>
    </xdr:from>
    <xdr:ext cx="514350" cy="361950"/>
    <xdr:sp macro="" textlink="">
      <xdr:nvSpPr>
        <xdr:cNvPr id="109" name="Isosceles Triangle 108">
          <a:extLst>
            <a:ext uri="{FF2B5EF4-FFF2-40B4-BE49-F238E27FC236}"/>
          </a:extLst>
        </xdr:cNvPr>
        <xdr:cNvSpPr/>
      </xdr:nvSpPr>
      <xdr:spPr>
        <a:xfrm>
          <a:off x="3609975" y="18954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12</xdr:col>
      <xdr:colOff>352425</xdr:colOff>
      <xdr:row>98</xdr:row>
      <xdr:rowOff>9525</xdr:rowOff>
    </xdr:from>
    <xdr:ext cx="552450" cy="352425"/>
    <xdr:sp macro="" textlink="">
      <xdr:nvSpPr>
        <xdr:cNvPr id="110" name="Isosceles Triangle 109">
          <a:extLst>
            <a:ext uri="{FF2B5EF4-FFF2-40B4-BE49-F238E27FC236}"/>
          </a:extLst>
        </xdr:cNvPr>
        <xdr:cNvSpPr/>
      </xdr:nvSpPr>
      <xdr:spPr>
        <a:xfrm>
          <a:off x="4500565" y="18965574"/>
          <a:ext cx="547686" cy="37140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98</xdr:row>
      <xdr:rowOff>0</xdr:rowOff>
    </xdr:from>
    <xdr:ext cx="514350" cy="361950"/>
    <xdr:sp macro="" textlink="">
      <xdr:nvSpPr>
        <xdr:cNvPr id="111" name="Isosceles Triangle 110">
          <a:extLst>
            <a:ext uri="{FF2B5EF4-FFF2-40B4-BE49-F238E27FC236}"/>
          </a:extLst>
        </xdr:cNvPr>
        <xdr:cNvSpPr/>
      </xdr:nvSpPr>
      <xdr:spPr>
        <a:xfrm>
          <a:off x="5381625" y="18954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98</xdr:row>
      <xdr:rowOff>0</xdr:rowOff>
    </xdr:from>
    <xdr:ext cx="514350" cy="361950"/>
    <xdr:sp macro="" textlink="">
      <xdr:nvSpPr>
        <xdr:cNvPr id="112" name="Isosceles Triangle 111">
          <a:extLst>
            <a:ext uri="{FF2B5EF4-FFF2-40B4-BE49-F238E27FC236}"/>
          </a:extLst>
        </xdr:cNvPr>
        <xdr:cNvSpPr/>
      </xdr:nvSpPr>
      <xdr:spPr>
        <a:xfrm>
          <a:off x="6296025" y="18954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9525</xdr:colOff>
      <xdr:row>98</xdr:row>
      <xdr:rowOff>9525</xdr:rowOff>
    </xdr:from>
    <xdr:ext cx="514350" cy="361950"/>
    <xdr:sp macro="" textlink="">
      <xdr:nvSpPr>
        <xdr:cNvPr id="113" name="Isosceles Triangle 112">
          <a:extLst>
            <a:ext uri="{FF2B5EF4-FFF2-40B4-BE49-F238E27FC236}"/>
          </a:extLst>
        </xdr:cNvPr>
        <xdr:cNvSpPr/>
      </xdr:nvSpPr>
      <xdr:spPr>
        <a:xfrm>
          <a:off x="7185932" y="18968357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98</xdr:row>
      <xdr:rowOff>0</xdr:rowOff>
    </xdr:from>
    <xdr:ext cx="514350" cy="361950"/>
    <xdr:sp macro="" textlink="">
      <xdr:nvSpPr>
        <xdr:cNvPr id="114" name="Isosceles Triangle 113">
          <a:extLst>
            <a:ext uri="{FF2B5EF4-FFF2-40B4-BE49-F238E27FC236}"/>
          </a:extLst>
        </xdr:cNvPr>
        <xdr:cNvSpPr/>
      </xdr:nvSpPr>
      <xdr:spPr>
        <a:xfrm>
          <a:off x="8220075" y="18954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98</xdr:row>
      <xdr:rowOff>0</xdr:rowOff>
    </xdr:from>
    <xdr:ext cx="495300" cy="361950"/>
    <xdr:sp macro="" textlink="">
      <xdr:nvSpPr>
        <xdr:cNvPr id="115" name="Isosceles Triangle 114">
          <a:extLst>
            <a:ext uri="{FF2B5EF4-FFF2-40B4-BE49-F238E27FC236}"/>
          </a:extLst>
        </xdr:cNvPr>
        <xdr:cNvSpPr/>
      </xdr:nvSpPr>
      <xdr:spPr>
        <a:xfrm>
          <a:off x="9210675" y="18954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98</xdr:row>
      <xdr:rowOff>0</xdr:rowOff>
    </xdr:from>
    <xdr:ext cx="514350" cy="361950"/>
    <xdr:sp macro="" textlink="">
      <xdr:nvSpPr>
        <xdr:cNvPr id="116" name="Isosceles Triangle 115">
          <a:extLst>
            <a:ext uri="{FF2B5EF4-FFF2-40B4-BE49-F238E27FC236}"/>
          </a:extLst>
        </xdr:cNvPr>
        <xdr:cNvSpPr/>
      </xdr:nvSpPr>
      <xdr:spPr>
        <a:xfrm>
          <a:off x="10125075" y="18954750"/>
          <a:ext cx="5136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98</xdr:row>
      <xdr:rowOff>0</xdr:rowOff>
    </xdr:from>
    <xdr:ext cx="514350" cy="361950"/>
    <xdr:sp macro="" textlink="">
      <xdr:nvSpPr>
        <xdr:cNvPr id="117" name="Isosceles Triangle 116">
          <a:extLst>
            <a:ext uri="{FF2B5EF4-FFF2-40B4-BE49-F238E27FC236}"/>
          </a:extLst>
        </xdr:cNvPr>
        <xdr:cNvSpPr/>
      </xdr:nvSpPr>
      <xdr:spPr>
        <a:xfrm>
          <a:off x="11210925" y="1895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r>
            <a:rPr lang="en-IN"/>
            <a:t>.</a:t>
          </a:r>
        </a:p>
      </xdr:txBody>
    </xdr:sp>
    <xdr:clientData fLocksWithSheet="0"/>
  </xdr:oneCellAnchor>
  <xdr:oneCellAnchor>
    <xdr:from>
      <xdr:col>37</xdr:col>
      <xdr:colOff>0</xdr:colOff>
      <xdr:row>98</xdr:row>
      <xdr:rowOff>0</xdr:rowOff>
    </xdr:from>
    <xdr:ext cx="514350" cy="361950"/>
    <xdr:sp macro="" textlink="">
      <xdr:nvSpPr>
        <xdr:cNvPr id="118" name="Isosceles Triangle 117">
          <a:extLst>
            <a:ext uri="{FF2B5EF4-FFF2-40B4-BE49-F238E27FC236}"/>
          </a:extLst>
        </xdr:cNvPr>
        <xdr:cNvSpPr/>
      </xdr:nvSpPr>
      <xdr:spPr>
        <a:xfrm>
          <a:off x="12115800" y="18954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98</xdr:row>
      <xdr:rowOff>0</xdr:rowOff>
    </xdr:from>
    <xdr:ext cx="514350" cy="361950"/>
    <xdr:sp macro="" textlink="">
      <xdr:nvSpPr>
        <xdr:cNvPr id="119" name="Isosceles Triangle 118">
          <a:extLst>
            <a:ext uri="{FF2B5EF4-FFF2-40B4-BE49-F238E27FC236}"/>
          </a:extLst>
        </xdr:cNvPr>
        <xdr:cNvSpPr/>
      </xdr:nvSpPr>
      <xdr:spPr>
        <a:xfrm>
          <a:off x="13115925" y="18954750"/>
          <a:ext cx="5898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106</xdr:row>
      <xdr:rowOff>0</xdr:rowOff>
    </xdr:from>
    <xdr:ext cx="514350" cy="361950"/>
    <xdr:sp macro="" textlink="">
      <xdr:nvSpPr>
        <xdr:cNvPr id="120" name="Isosceles Triangle 119">
          <a:extLst>
            <a:ext uri="{FF2B5EF4-FFF2-40B4-BE49-F238E27FC236}"/>
          </a:extLst>
        </xdr:cNvPr>
        <xdr:cNvSpPr/>
      </xdr:nvSpPr>
      <xdr:spPr>
        <a:xfrm>
          <a:off x="609600" y="2047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106</xdr:row>
      <xdr:rowOff>0</xdr:rowOff>
    </xdr:from>
    <xdr:ext cx="533400" cy="361950"/>
    <xdr:sp macro="" textlink="">
      <xdr:nvSpPr>
        <xdr:cNvPr id="121" name="Isosceles Triangle 120">
          <a:extLst>
            <a:ext uri="{FF2B5EF4-FFF2-40B4-BE49-F238E27FC236}"/>
          </a:extLst>
        </xdr:cNvPr>
        <xdr:cNvSpPr/>
      </xdr:nvSpPr>
      <xdr:spPr>
        <a:xfrm>
          <a:off x="1552575" y="2047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106</xdr:row>
      <xdr:rowOff>0</xdr:rowOff>
    </xdr:from>
    <xdr:ext cx="514350" cy="361950"/>
    <xdr:sp macro="" textlink="">
      <xdr:nvSpPr>
        <xdr:cNvPr id="122" name="Isosceles Triangle 121">
          <a:extLst>
            <a:ext uri="{FF2B5EF4-FFF2-40B4-BE49-F238E27FC236}"/>
          </a:extLst>
        </xdr:cNvPr>
        <xdr:cNvSpPr/>
      </xdr:nvSpPr>
      <xdr:spPr>
        <a:xfrm>
          <a:off x="2543175" y="20478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514350" cy="361950"/>
    <xdr:sp macro="" textlink="">
      <xdr:nvSpPr>
        <xdr:cNvPr id="123" name="Isosceles Triangle 122">
          <a:extLst>
            <a:ext uri="{FF2B5EF4-FFF2-40B4-BE49-F238E27FC236}"/>
          </a:extLst>
        </xdr:cNvPr>
        <xdr:cNvSpPr/>
      </xdr:nvSpPr>
      <xdr:spPr>
        <a:xfrm>
          <a:off x="3609975" y="20478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106</xdr:row>
      <xdr:rowOff>0</xdr:rowOff>
    </xdr:from>
    <xdr:ext cx="514350" cy="361950"/>
    <xdr:sp macro="" textlink="">
      <xdr:nvSpPr>
        <xdr:cNvPr id="124" name="Isosceles Triangle 123">
          <a:extLst>
            <a:ext uri="{FF2B5EF4-FFF2-40B4-BE49-F238E27FC236}"/>
          </a:extLst>
        </xdr:cNvPr>
        <xdr:cNvSpPr/>
      </xdr:nvSpPr>
      <xdr:spPr>
        <a:xfrm>
          <a:off x="4514850" y="20478750"/>
          <a:ext cx="523142" cy="373673"/>
        </a:xfrm>
        <a:prstGeom prst="triangle">
          <a:avLst>
            <a:gd fmla="val 50000" name="adj"/>
          </a:avLst>
        </a:prstGeom>
        <a:solidFill>
          <a:srgbClr val="FFFF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106</xdr:row>
      <xdr:rowOff>0</xdr:rowOff>
    </xdr:from>
    <xdr:ext cx="514350" cy="361950"/>
    <xdr:sp macro="" textlink="">
      <xdr:nvSpPr>
        <xdr:cNvPr id="125" name="Isosceles Triangle 124">
          <a:extLst>
            <a:ext uri="{FF2B5EF4-FFF2-40B4-BE49-F238E27FC236}"/>
          </a:extLst>
        </xdr:cNvPr>
        <xdr:cNvSpPr/>
      </xdr:nvSpPr>
      <xdr:spPr>
        <a:xfrm>
          <a:off x="5381625" y="20478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106</xdr:row>
      <xdr:rowOff>0</xdr:rowOff>
    </xdr:from>
    <xdr:ext cx="514350" cy="361950"/>
    <xdr:sp macro="" textlink="">
      <xdr:nvSpPr>
        <xdr:cNvPr id="126" name="Isosceles Triangle 125">
          <a:extLst>
            <a:ext uri="{FF2B5EF4-FFF2-40B4-BE49-F238E27FC236}"/>
          </a:extLst>
        </xdr:cNvPr>
        <xdr:cNvSpPr/>
      </xdr:nvSpPr>
      <xdr:spPr>
        <a:xfrm>
          <a:off x="6296025" y="2047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106</xdr:row>
      <xdr:rowOff>0</xdr:rowOff>
    </xdr:from>
    <xdr:ext cx="514350" cy="361950"/>
    <xdr:sp macro="" textlink="">
      <xdr:nvSpPr>
        <xdr:cNvPr id="127" name="Isosceles Triangle 126">
          <a:extLst>
            <a:ext uri="{FF2B5EF4-FFF2-40B4-BE49-F238E27FC236}"/>
          </a:extLst>
        </xdr:cNvPr>
        <xdr:cNvSpPr/>
      </xdr:nvSpPr>
      <xdr:spPr>
        <a:xfrm>
          <a:off x="7172325" y="2047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2</xdr:row>
      <xdr:rowOff>19050</xdr:rowOff>
    </xdr:from>
    <xdr:ext cx="533400" cy="352425"/>
    <xdr:sp macro="" textlink="">
      <xdr:nvSpPr>
        <xdr:cNvPr id="128" name="Isosceles Triangle 127">
          <a:extLst>
            <a:ext uri="{FF2B5EF4-FFF2-40B4-BE49-F238E27FC236}"/>
          </a:extLst>
        </xdr:cNvPr>
        <xdr:cNvSpPr/>
      </xdr:nvSpPr>
      <xdr:spPr>
        <a:xfrm>
          <a:off x="1552575" y="687917"/>
          <a:ext cx="523142" cy="363090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2</xdr:row>
      <xdr:rowOff>19050</xdr:rowOff>
    </xdr:from>
    <xdr:ext cx="514350" cy="352425"/>
    <xdr:sp macro="" textlink="">
      <xdr:nvSpPr>
        <xdr:cNvPr id="129" name="Isosceles Triangle 128">
          <a:extLst>
            <a:ext uri="{FF2B5EF4-FFF2-40B4-BE49-F238E27FC236}"/>
          </a:extLst>
        </xdr:cNvPr>
        <xdr:cNvSpPr/>
      </xdr:nvSpPr>
      <xdr:spPr>
        <a:xfrm>
          <a:off x="2543175" y="687916"/>
          <a:ext cx="523142" cy="363090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2</xdr:row>
      <xdr:rowOff>28575</xdr:rowOff>
    </xdr:from>
    <xdr:ext cx="533400" cy="314325"/>
    <xdr:sp macro="" textlink="">
      <xdr:nvSpPr>
        <xdr:cNvPr id="130" name="Isosceles Triangle 129">
          <a:extLst>
            <a:ext uri="{FF2B5EF4-FFF2-40B4-BE49-F238E27FC236}"/>
          </a:extLst>
        </xdr:cNvPr>
        <xdr:cNvSpPr/>
      </xdr:nvSpPr>
      <xdr:spPr>
        <a:xfrm>
          <a:off x="3728357" y="684894"/>
          <a:ext cx="571500" cy="32203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12</xdr:col>
      <xdr:colOff>381000</xdr:colOff>
      <xdr:row>2</xdr:row>
      <xdr:rowOff>28575</xdr:rowOff>
    </xdr:from>
    <xdr:ext cx="542925" cy="314325"/>
    <xdr:sp macro="" textlink="">
      <xdr:nvSpPr>
        <xdr:cNvPr id="131" name="Isosceles Triangle 130">
          <a:extLst>
            <a:ext uri="{FF2B5EF4-FFF2-40B4-BE49-F238E27FC236}"/>
          </a:extLst>
        </xdr:cNvPr>
        <xdr:cNvSpPr/>
      </xdr:nvSpPr>
      <xdr:spPr>
        <a:xfrm>
          <a:off x="4680856" y="684893"/>
          <a:ext cx="589643" cy="32203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2</xdr:row>
      <xdr:rowOff>19050</xdr:rowOff>
    </xdr:from>
    <xdr:ext cx="514350" cy="352425"/>
    <xdr:sp macro="" textlink="">
      <xdr:nvSpPr>
        <xdr:cNvPr id="132" name="Isosceles Triangle 131">
          <a:extLst>
            <a:ext uri="{FF2B5EF4-FFF2-40B4-BE49-F238E27FC236}"/>
          </a:extLst>
        </xdr:cNvPr>
        <xdr:cNvSpPr/>
      </xdr:nvSpPr>
      <xdr:spPr>
        <a:xfrm>
          <a:off x="5381625" y="687917"/>
          <a:ext cx="523142" cy="363090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193</xdr:row>
      <xdr:rowOff>19050</xdr:rowOff>
    </xdr:from>
    <xdr:ext cx="533400" cy="352425"/>
    <xdr:sp macro="" textlink="">
      <xdr:nvSpPr>
        <xdr:cNvPr id="133" name="Isosceles Triangle 132">
          <a:extLst>
            <a:ext uri="{FF2B5EF4-FFF2-40B4-BE49-F238E27FC236}"/>
          </a:extLst>
        </xdr:cNvPr>
        <xdr:cNvSpPr/>
      </xdr:nvSpPr>
      <xdr:spPr>
        <a:xfrm>
          <a:off x="1552575" y="37082942"/>
          <a:ext cx="523142" cy="363090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193</xdr:row>
      <xdr:rowOff>19050</xdr:rowOff>
    </xdr:from>
    <xdr:ext cx="514350" cy="352425"/>
    <xdr:sp macro="" textlink="">
      <xdr:nvSpPr>
        <xdr:cNvPr id="134" name="Isosceles Triangle 133">
          <a:extLst>
            <a:ext uri="{FF2B5EF4-FFF2-40B4-BE49-F238E27FC236}"/>
          </a:extLst>
        </xdr:cNvPr>
        <xdr:cNvSpPr/>
      </xdr:nvSpPr>
      <xdr:spPr>
        <a:xfrm>
          <a:off x="2543175" y="37082941"/>
          <a:ext cx="523142" cy="363090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193</xdr:row>
      <xdr:rowOff>28575</xdr:rowOff>
    </xdr:from>
    <xdr:ext cx="514350" cy="352425"/>
    <xdr:sp macro="" textlink="">
      <xdr:nvSpPr>
        <xdr:cNvPr id="135" name="Isosceles Triangle 134">
          <a:extLst>
            <a:ext uri="{FF2B5EF4-FFF2-40B4-BE49-F238E27FC236}"/>
          </a:extLst>
        </xdr:cNvPr>
        <xdr:cNvSpPr/>
      </xdr:nvSpPr>
      <xdr:spPr>
        <a:xfrm>
          <a:off x="3609975" y="37093525"/>
          <a:ext cx="523142" cy="363090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152400</xdr:colOff>
      <xdr:row>193</xdr:row>
      <xdr:rowOff>133350</xdr:rowOff>
    </xdr:from>
    <xdr:ext cx="238125" cy="171450"/>
    <xdr:sp macro="" textlink="">
      <xdr:nvSpPr>
        <xdr:cNvPr id="136" name="5-Point Star 520">
          <a:extLst>
            <a:ext uri="{FF2B5EF4-FFF2-40B4-BE49-F238E27FC236}"/>
          </a:extLst>
        </xdr:cNvPr>
        <xdr:cNvSpPr/>
      </xdr:nvSpPr>
      <xdr:spPr>
        <a:xfrm>
          <a:off x="1711325" y="37199358"/>
          <a:ext cx="223309" cy="179917"/>
        </a:xfrm>
        <a:prstGeom prst="star5">
          <a:avLst/>
        </a:prstGeom>
        <a:solidFill>
          <a:srgbClr val="00B0F0"/>
        </a:solidFill>
        <a:ln cap="flat" cmpd="sng" w="12700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4</xdr:col>
      <xdr:colOff>247650</xdr:colOff>
      <xdr:row>193</xdr:row>
      <xdr:rowOff>9525</xdr:rowOff>
    </xdr:from>
    <xdr:ext cx="1000125" cy="9525"/>
    <xdr:cxnSp macro="">
      <xdr:nvCxnSpPr>
        <xdr:cNvPr id="137" name="Curved Connector 523">
          <a:extLst>
            <a:ext uri="{FF2B5EF4-FFF2-40B4-BE49-F238E27FC236}"/>
          </a:extLst>
        </xdr:cNvPr>
        <xdr:cNvCxnSpPr/>
      </xdr:nvCxnSpPr>
      <xdr:spPr>
        <a:xfrm flipH="1" rot="16200000">
          <a:off x="2296583" y="36582350"/>
          <a:ext cx="10584" cy="990600"/>
        </a:xfrm>
        <a:prstGeom prst="curvedConnector3">
          <a:avLst>
            <a:gd fmla="val 1339919" name="adj1"/>
          </a:avLst>
        </a:prstGeom>
        <a:ln w="38100">
          <a:solidFill>
            <a:srgbClr val="92D050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295275</xdr:colOff>
      <xdr:row>190</xdr:row>
      <xdr:rowOff>171450</xdr:rowOff>
    </xdr:from>
    <xdr:ext cx="371475" cy="533400"/>
    <xdr:cxnSp macro="">
      <xdr:nvCxnSpPr>
        <xdr:cNvPr id="138" name="Straight Arrow Connector 137">
          <a:extLst>
            <a:ext uri="{FF2B5EF4-FFF2-40B4-BE49-F238E27FC236}"/>
          </a:extLst>
        </xdr:cNvPr>
        <xdr:cNvCxnSpPr/>
      </xdr:nvCxnSpPr>
      <xdr:spPr>
        <a:xfrm>
          <a:off x="1440657" y="36668868"/>
          <a:ext cx="359915" cy="559900"/>
        </a:xfrm>
        <a:prstGeom prst="straightConnector1">
          <a:avLst/>
        </a:prstGeom>
        <a:ln cap="flat" cmpd="sng" w="6350" algn="ctr">
          <a:solidFill>
            <a:schemeClr val="accent1"/>
          </a:solidFill>
          <a:prstDash val="solid"/>
          <a:miter lim="800000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6</xdr:col>
      <xdr:colOff>47625</xdr:colOff>
      <xdr:row>191</xdr:row>
      <xdr:rowOff>0</xdr:rowOff>
    </xdr:from>
    <xdr:ext cx="9525" cy="466725"/>
    <xdr:cxnSp macro="">
      <xdr:nvCxnSpPr>
        <xdr:cNvPr id="139" name="Straight Arrow Connector 138">
          <a:extLst>
            <a:ext uri="{FF2B5EF4-FFF2-40B4-BE49-F238E27FC236}"/>
          </a:extLst>
        </xdr:cNvPr>
        <xdr:cNvCxnSpPr/>
      </xdr:nvCxnSpPr>
      <xdr:spPr>
        <a:xfrm>
          <a:off x="2124075" y="36680774"/>
          <a:ext cx="13229" cy="492126"/>
        </a:xfrm>
        <a:prstGeom prst="straightConnector1">
          <a:avLst/>
        </a:prstGeom>
        <a:ln cap="flat" cmpd="sng" w="6350" algn="ctr">
          <a:solidFill>
            <a:schemeClr val="accent1"/>
          </a:solidFill>
          <a:prstDash val="solid"/>
          <a:miter lim="800000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9</xdr:col>
      <xdr:colOff>28575</xdr:colOff>
      <xdr:row>191</xdr:row>
      <xdr:rowOff>0</xdr:rowOff>
    </xdr:from>
    <xdr:ext cx="0" cy="438150"/>
    <xdr:cxnSp macro="">
      <xdr:nvCxnSpPr>
        <xdr:cNvPr id="140" name="Straight Arrow Connector 139">
          <a:extLst>
            <a:ext uri="{FF2B5EF4-FFF2-40B4-BE49-F238E27FC236}"/>
          </a:extLst>
        </xdr:cNvPr>
        <xdr:cNvCxnSpPr/>
      </xdr:nvCxnSpPr>
      <xdr:spPr>
        <a:xfrm>
          <a:off x="3112293" y="36680774"/>
          <a:ext cx="0" cy="464344"/>
        </a:xfrm>
        <a:prstGeom prst="straightConnector1">
          <a:avLst/>
        </a:prstGeom>
        <a:ln cap="flat" cmpd="sng" w="6350" algn="ctr">
          <a:solidFill>
            <a:schemeClr val="accent1"/>
          </a:solidFill>
          <a:prstDash val="solid"/>
          <a:miter lim="800000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</xdr:col>
      <xdr:colOff>228600</xdr:colOff>
      <xdr:row>193</xdr:row>
      <xdr:rowOff>9525</xdr:rowOff>
    </xdr:from>
    <xdr:ext cx="561975" cy="314325"/>
    <xdr:cxnSp macro="">
      <xdr:nvCxnSpPr>
        <xdr:cNvPr id="141" name="Straight Arrow Connector 140">
          <a:extLst>
            <a:ext uri="{FF2B5EF4-FFF2-40B4-BE49-F238E27FC236}"/>
          </a:extLst>
        </xdr:cNvPr>
        <xdr:cNvCxnSpPr/>
      </xdr:nvCxnSpPr>
      <xdr:spPr>
        <a:xfrm>
          <a:off x="1109134" y="37072359"/>
          <a:ext cx="549274" cy="328083"/>
        </a:xfrm>
        <a:prstGeom prst="straightConnector1">
          <a:avLst/>
        </a:prstGeom>
        <a:ln cap="flat" cmpd="sng" w="6350" algn="ctr">
          <a:solidFill>
            <a:schemeClr val="accent1"/>
          </a:solidFill>
          <a:prstDash val="solid"/>
          <a:miter lim="800000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190500</xdr:colOff>
      <xdr:row>196</xdr:row>
      <xdr:rowOff>114300</xdr:rowOff>
    </xdr:from>
    <xdr:ext cx="228600" cy="0"/>
    <xdr:cxnSp macro="">
      <xdr:nvCxnSpPr>
        <xdr:cNvPr id="142" name="Straight Arrow Connector 141">
          <a:extLst>
            <a:ext uri="{FF2B5EF4-FFF2-40B4-BE49-F238E27FC236}"/>
          </a:extLst>
        </xdr:cNvPr>
        <xdr:cNvCxnSpPr/>
      </xdr:nvCxnSpPr>
      <xdr:spPr>
        <a:xfrm>
          <a:off x="1333500" y="37749692"/>
          <a:ext cx="219075" cy="0"/>
        </a:xfrm>
        <a:prstGeom prst="straightConnector1">
          <a:avLst/>
        </a:prstGeom>
        <a:ln cap="flat" cmpd="sng" w="6350" algn="ctr">
          <a:solidFill>
            <a:schemeClr val="accent1"/>
          </a:solidFill>
          <a:prstDash val="solid"/>
          <a:miter lim="800000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6</xdr:col>
      <xdr:colOff>0</xdr:colOff>
      <xdr:row>197</xdr:row>
      <xdr:rowOff>123825</xdr:rowOff>
    </xdr:from>
    <xdr:ext cx="38100" cy="238125"/>
    <xdr:cxnSp macro="">
      <xdr:nvCxnSpPr>
        <xdr:cNvPr id="144" name="Straight Arrow Connector 143">
          <a:extLst>
            <a:ext uri="{FF2B5EF4-FFF2-40B4-BE49-F238E27FC236}"/>
          </a:extLst>
        </xdr:cNvPr>
        <xdr:cNvCxnSpPr/>
      </xdr:nvCxnSpPr>
      <xdr:spPr>
        <a:xfrm flipH="1" flipV="1">
          <a:off x="2085710" y="37950776"/>
          <a:ext cx="42333" cy="253999"/>
        </a:xfrm>
        <a:prstGeom prst="straightConnector1">
          <a:avLst/>
        </a:prstGeom>
        <a:ln cap="flat" cmpd="sng" w="6350" algn="ctr">
          <a:solidFill>
            <a:schemeClr val="accent1"/>
          </a:solidFill>
          <a:prstDash val="solid"/>
          <a:miter lim="800000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9</xdr:col>
      <xdr:colOff>390525</xdr:colOff>
      <xdr:row>198</xdr:row>
      <xdr:rowOff>66675</xdr:rowOff>
    </xdr:from>
    <xdr:ext cx="95250" cy="104775"/>
    <xdr:cxnSp macro="">
      <xdr:nvCxnSpPr>
        <xdr:cNvPr id="145" name="Straight Arrow Connector 144">
          <a:extLst>
            <a:ext uri="{FF2B5EF4-FFF2-40B4-BE49-F238E27FC236}"/>
          </a:extLst>
        </xdr:cNvPr>
        <xdr:cNvCxnSpPr/>
      </xdr:nvCxnSpPr>
      <xdr:spPr>
        <a:xfrm flipH="1" flipV="1">
          <a:off x="3469481" y="38085712"/>
          <a:ext cx="176213" cy="107156"/>
        </a:xfrm>
        <a:prstGeom prst="straightConnector1">
          <a:avLst/>
        </a:prstGeom>
        <a:ln cap="flat" cmpd="sng" w="6350" algn="ctr">
          <a:solidFill>
            <a:schemeClr val="accent1"/>
          </a:solidFill>
          <a:prstDash val="solid"/>
          <a:miter lim="800000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38100</xdr:colOff>
      <xdr:row>198</xdr:row>
      <xdr:rowOff>85725</xdr:rowOff>
    </xdr:from>
    <xdr:ext cx="361950" cy="161925"/>
    <xdr:sp macro="" textlink="">
      <xdr:nvSpPr>
        <xdr:cNvPr id="146" name="Lightning Bolt 145">
          <a:extLst>
            <a:ext uri="{FF2B5EF4-FFF2-40B4-BE49-F238E27FC236}"/>
          </a:extLst>
        </xdr:cNvPr>
        <xdr:cNvSpPr/>
      </xdr:nvSpPr>
      <xdr:spPr>
        <a:xfrm rot="2857557">
          <a:off x="5150999" y="38038699"/>
          <a:ext cx="168357" cy="296429"/>
        </a:xfrm>
        <a:prstGeom prst="lightningBolt">
          <a:avLst/>
        </a:prstGeom>
        <a:solidFill>
          <a:srgbClr val="FF0000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66675</xdr:colOff>
      <xdr:row>196</xdr:row>
      <xdr:rowOff>95250</xdr:rowOff>
    </xdr:from>
    <xdr:ext cx="276225" cy="171450"/>
    <xdr:sp macro="" textlink="">
      <xdr:nvSpPr>
        <xdr:cNvPr id="147" name="Lightning Bolt 146">
          <a:extLst>
            <a:ext uri="{FF2B5EF4-FFF2-40B4-BE49-F238E27FC236}"/>
          </a:extLst>
        </xdr:cNvPr>
        <xdr:cNvSpPr/>
      </xdr:nvSpPr>
      <xdr:spPr>
        <a:xfrm rot="2857557">
          <a:off x="5168418" y="37682341"/>
          <a:ext cx="176380" cy="270962"/>
        </a:xfrm>
        <a:prstGeom prst="lightningBolt">
          <a:avLst/>
        </a:prstGeom>
        <a:solidFill>
          <a:srgbClr val="FF99FF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123825</xdr:colOff>
      <xdr:row>192</xdr:row>
      <xdr:rowOff>19050</xdr:rowOff>
    </xdr:from>
    <xdr:ext cx="133350" cy="323850"/>
    <xdr:sp macro="" textlink="">
      <xdr:nvSpPr>
        <xdr:cNvPr id="148" name="Arrow: Up 169">
          <a:extLst>
            <a:ext uri="{FF2B5EF4-FFF2-40B4-BE49-F238E27FC236}"/>
          </a:extLst>
        </xdr:cNvPr>
        <xdr:cNvSpPr/>
      </xdr:nvSpPr>
      <xdr:spPr>
        <a:xfrm>
          <a:off x="5179221" y="36895086"/>
          <a:ext cx="142874" cy="335469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123825</xdr:colOff>
      <xdr:row>190</xdr:row>
      <xdr:rowOff>9525</xdr:rowOff>
    </xdr:from>
    <xdr:ext cx="123825" cy="333375"/>
    <xdr:sp macro="" textlink="">
      <xdr:nvSpPr>
        <xdr:cNvPr id="149" name="Arrow: Up 170">
          <a:extLst>
            <a:ext uri="{FF2B5EF4-FFF2-40B4-BE49-F238E27FC236}"/>
          </a:extLst>
        </xdr:cNvPr>
        <xdr:cNvSpPr/>
      </xdr:nvSpPr>
      <xdr:spPr>
        <a:xfrm>
          <a:off x="5179220" y="365021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133350</xdr:colOff>
      <xdr:row>194</xdr:row>
      <xdr:rowOff>0</xdr:rowOff>
    </xdr:from>
    <xdr:ext cx="123825" cy="352425"/>
    <xdr:sp macro="" textlink="">
      <xdr:nvSpPr>
        <xdr:cNvPr id="150" name="Arrow: Up-Down 171">
          <a:extLst>
            <a:ext uri="{FF2B5EF4-FFF2-40B4-BE49-F238E27FC236}"/>
          </a:extLst>
        </xdr:cNvPr>
        <xdr:cNvSpPr/>
      </xdr:nvSpPr>
      <xdr:spPr>
        <a:xfrm>
          <a:off x="5191124" y="37252274"/>
          <a:ext cx="130970" cy="370806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38100</xdr:colOff>
      <xdr:row>11</xdr:row>
      <xdr:rowOff>152400</xdr:rowOff>
    </xdr:from>
    <xdr:ext cx="161925" cy="381000"/>
    <xdr:sp macro="" textlink="">
      <xdr:nvSpPr>
        <xdr:cNvPr id="153" name="Arrow: Up 174">
          <a:extLst>
            <a:ext uri="{FF2B5EF4-FFF2-40B4-BE49-F238E27FC236}"/>
          </a:extLst>
        </xdr:cNvPr>
        <xdr:cNvSpPr/>
      </xdr:nvSpPr>
      <xdr:spPr>
        <a:xfrm>
          <a:off x="2121910" y="2536032"/>
          <a:ext cx="171016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95250</xdr:colOff>
      <xdr:row>11</xdr:row>
      <xdr:rowOff>142875</xdr:rowOff>
    </xdr:from>
    <xdr:ext cx="142875" cy="390525"/>
    <xdr:sp macro="" textlink="">
      <xdr:nvSpPr>
        <xdr:cNvPr id="154" name="Arrow: Up 175">
          <a:extLst>
            <a:ext uri="{FF2B5EF4-FFF2-40B4-BE49-F238E27FC236}"/>
          </a:extLst>
        </xdr:cNvPr>
        <xdr:cNvSpPr/>
      </xdr:nvSpPr>
      <xdr:spPr>
        <a:xfrm>
          <a:off x="4239706" y="2526289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209550</xdr:colOff>
      <xdr:row>19</xdr:row>
      <xdr:rowOff>161925</xdr:rowOff>
    </xdr:from>
    <xdr:ext cx="142875" cy="381000"/>
    <xdr:sp macro="" textlink="">
      <xdr:nvSpPr>
        <xdr:cNvPr id="155" name="Arrow: Up 176">
          <a:extLst>
            <a:ext uri="{FF2B5EF4-FFF2-40B4-BE49-F238E27FC236}"/>
          </a:extLst>
        </xdr:cNvPr>
        <xdr:cNvSpPr/>
      </xdr:nvSpPr>
      <xdr:spPr>
        <a:xfrm>
          <a:off x="1357313" y="4071938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123825</xdr:colOff>
      <xdr:row>19</xdr:row>
      <xdr:rowOff>161925</xdr:rowOff>
    </xdr:from>
    <xdr:ext cx="142875" cy="381000"/>
    <xdr:sp macro="" textlink="">
      <xdr:nvSpPr>
        <xdr:cNvPr id="156" name="Arrow: Up 177">
          <a:extLst>
            <a:ext uri="{FF2B5EF4-FFF2-40B4-BE49-F238E27FC236}"/>
          </a:extLst>
        </xdr:cNvPr>
        <xdr:cNvSpPr/>
      </xdr:nvSpPr>
      <xdr:spPr>
        <a:xfrm>
          <a:off x="7836694" y="4071937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114300</xdr:colOff>
      <xdr:row>27</xdr:row>
      <xdr:rowOff>161925</xdr:rowOff>
    </xdr:from>
    <xdr:ext cx="142875" cy="390525"/>
    <xdr:sp macro="" textlink="">
      <xdr:nvSpPr>
        <xdr:cNvPr id="157" name="Arrow: Up 178">
          <a:extLst>
            <a:ext uri="{FF2B5EF4-FFF2-40B4-BE49-F238E27FC236}"/>
          </a:extLst>
        </xdr:cNvPr>
        <xdr:cNvSpPr/>
      </xdr:nvSpPr>
      <xdr:spPr>
        <a:xfrm>
          <a:off x="1262063" y="5595937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190500</xdr:colOff>
      <xdr:row>27</xdr:row>
      <xdr:rowOff>161925</xdr:rowOff>
    </xdr:from>
    <xdr:ext cx="142875" cy="390525"/>
    <xdr:sp macro="" textlink="">
      <xdr:nvSpPr>
        <xdr:cNvPr id="158" name="Arrow: Up 179">
          <a:extLst>
            <a:ext uri="{FF2B5EF4-FFF2-40B4-BE49-F238E27FC236}"/>
          </a:extLst>
        </xdr:cNvPr>
        <xdr:cNvSpPr/>
      </xdr:nvSpPr>
      <xdr:spPr>
        <a:xfrm>
          <a:off x="6110937" y="5595938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171450</xdr:colOff>
      <xdr:row>27</xdr:row>
      <xdr:rowOff>142875</xdr:rowOff>
    </xdr:from>
    <xdr:ext cx="142875" cy="400050"/>
    <xdr:sp macro="" textlink="">
      <xdr:nvSpPr>
        <xdr:cNvPr id="159" name="Arrow: Up 180">
          <a:extLst>
            <a:ext uri="{FF2B5EF4-FFF2-40B4-BE49-F238E27FC236}"/>
          </a:extLst>
        </xdr:cNvPr>
        <xdr:cNvSpPr/>
      </xdr:nvSpPr>
      <xdr:spPr>
        <a:xfrm>
          <a:off x="7879990" y="5575373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180975</xdr:colOff>
      <xdr:row>35</xdr:row>
      <xdr:rowOff>142875</xdr:rowOff>
    </xdr:from>
    <xdr:ext cx="142875" cy="390525"/>
    <xdr:sp macro="" textlink="">
      <xdr:nvSpPr>
        <xdr:cNvPr id="160" name="Arrow: Up 181">
          <a:extLst>
            <a:ext uri="{FF2B5EF4-FFF2-40B4-BE49-F238E27FC236}"/>
          </a:extLst>
        </xdr:cNvPr>
        <xdr:cNvSpPr/>
      </xdr:nvSpPr>
      <xdr:spPr>
        <a:xfrm>
          <a:off x="9900587" y="7098290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123825</xdr:colOff>
      <xdr:row>43</xdr:row>
      <xdr:rowOff>161925</xdr:rowOff>
    </xdr:from>
    <xdr:ext cx="142875" cy="381000"/>
    <xdr:sp macro="" textlink="">
      <xdr:nvSpPr>
        <xdr:cNvPr id="161" name="Arrow: Up 182">
          <a:extLst>
            <a:ext uri="{FF2B5EF4-FFF2-40B4-BE49-F238E27FC236}"/>
          </a:extLst>
        </xdr:cNvPr>
        <xdr:cNvSpPr/>
      </xdr:nvSpPr>
      <xdr:spPr>
        <a:xfrm>
          <a:off x="11865769" y="8643938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47625</xdr:colOff>
      <xdr:row>43</xdr:row>
      <xdr:rowOff>161925</xdr:rowOff>
    </xdr:from>
    <xdr:ext cx="142875" cy="381000"/>
    <xdr:sp macro="" textlink="">
      <xdr:nvSpPr>
        <xdr:cNvPr id="162" name="Arrow: Up 183">
          <a:extLst>
            <a:ext uri="{FF2B5EF4-FFF2-40B4-BE49-F238E27FC236}"/>
          </a:extLst>
        </xdr:cNvPr>
        <xdr:cNvSpPr/>
      </xdr:nvSpPr>
      <xdr:spPr>
        <a:xfrm>
          <a:off x="12668250" y="8643937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123825</xdr:colOff>
      <xdr:row>43</xdr:row>
      <xdr:rowOff>171450</xdr:rowOff>
    </xdr:from>
    <xdr:ext cx="142875" cy="381000"/>
    <xdr:sp macro="" textlink="">
      <xdr:nvSpPr>
        <xdr:cNvPr id="163" name="Arrow: Up 184">
          <a:extLst>
            <a:ext uri="{FF2B5EF4-FFF2-40B4-BE49-F238E27FC236}"/>
          </a:extLst>
        </xdr:cNvPr>
        <xdr:cNvSpPr/>
      </xdr:nvSpPr>
      <xdr:spPr>
        <a:xfrm>
          <a:off x="10768229" y="86547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161925</xdr:colOff>
      <xdr:row>51</xdr:row>
      <xdr:rowOff>142875</xdr:rowOff>
    </xdr:from>
    <xdr:ext cx="142875" cy="400050"/>
    <xdr:sp macro="" textlink="">
      <xdr:nvSpPr>
        <xdr:cNvPr id="164" name="Arrow: Up 185">
          <a:extLst>
            <a:ext uri="{FF2B5EF4-FFF2-40B4-BE49-F238E27FC236}"/>
          </a:extLst>
        </xdr:cNvPr>
        <xdr:cNvSpPr/>
      </xdr:nvSpPr>
      <xdr:spPr>
        <a:xfrm>
          <a:off x="3240016" y="10146291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104775</xdr:colOff>
      <xdr:row>51</xdr:row>
      <xdr:rowOff>133350</xdr:rowOff>
    </xdr:from>
    <xdr:ext cx="142875" cy="400050"/>
    <xdr:sp macro="" textlink="">
      <xdr:nvSpPr>
        <xdr:cNvPr id="165" name="Arrow: Up 186">
          <a:extLst>
            <a:ext uri="{FF2B5EF4-FFF2-40B4-BE49-F238E27FC236}"/>
          </a:extLst>
        </xdr:cNvPr>
        <xdr:cNvSpPr/>
      </xdr:nvSpPr>
      <xdr:spPr>
        <a:xfrm>
          <a:off x="6938747" y="10135467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142875</xdr:colOff>
      <xdr:row>59</xdr:row>
      <xdr:rowOff>161925</xdr:rowOff>
    </xdr:from>
    <xdr:ext cx="142875" cy="381000"/>
    <xdr:sp macro="" textlink="">
      <xdr:nvSpPr>
        <xdr:cNvPr id="166" name="Arrow: Up 187">
          <a:extLst>
            <a:ext uri="{FF2B5EF4-FFF2-40B4-BE49-F238E27FC236}"/>
          </a:extLst>
        </xdr:cNvPr>
        <xdr:cNvSpPr/>
      </xdr:nvSpPr>
      <xdr:spPr>
        <a:xfrm>
          <a:off x="8896350" y="11691937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66675</xdr:colOff>
      <xdr:row>59</xdr:row>
      <xdr:rowOff>142875</xdr:rowOff>
    </xdr:from>
    <xdr:ext cx="142875" cy="390525"/>
    <xdr:sp macro="" textlink="">
      <xdr:nvSpPr>
        <xdr:cNvPr id="167" name="Arrow: Up 188">
          <a:extLst>
            <a:ext uri="{FF2B5EF4-FFF2-40B4-BE49-F238E27FC236}"/>
          </a:extLst>
        </xdr:cNvPr>
        <xdr:cNvSpPr/>
      </xdr:nvSpPr>
      <xdr:spPr>
        <a:xfrm>
          <a:off x="10715192" y="11670290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123825</xdr:colOff>
      <xdr:row>67</xdr:row>
      <xdr:rowOff>161925</xdr:rowOff>
    </xdr:from>
    <xdr:ext cx="142875" cy="381000"/>
    <xdr:sp macro="" textlink="">
      <xdr:nvSpPr>
        <xdr:cNvPr id="168" name="Arrow: Up 189">
          <a:extLst>
            <a:ext uri="{FF2B5EF4-FFF2-40B4-BE49-F238E27FC236}"/>
          </a:extLst>
        </xdr:cNvPr>
        <xdr:cNvSpPr/>
      </xdr:nvSpPr>
      <xdr:spPr>
        <a:xfrm>
          <a:off x="3207544" y="13215938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133350</xdr:colOff>
      <xdr:row>67</xdr:row>
      <xdr:rowOff>171450</xdr:rowOff>
    </xdr:from>
    <xdr:ext cx="142875" cy="381000"/>
    <xdr:sp macro="" textlink="">
      <xdr:nvSpPr>
        <xdr:cNvPr id="169" name="Arrow: Up 190">
          <a:extLst>
            <a:ext uri="{FF2B5EF4-FFF2-40B4-BE49-F238E27FC236}"/>
          </a:extLst>
        </xdr:cNvPr>
        <xdr:cNvSpPr/>
      </xdr:nvSpPr>
      <xdr:spPr>
        <a:xfrm>
          <a:off x="4279755" y="13226762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142875</xdr:colOff>
      <xdr:row>67</xdr:row>
      <xdr:rowOff>161925</xdr:rowOff>
    </xdr:from>
    <xdr:ext cx="142875" cy="381000"/>
    <xdr:sp macro="" textlink="">
      <xdr:nvSpPr>
        <xdr:cNvPr id="170" name="Arrow: Up 191">
          <a:extLst>
            <a:ext uri="{FF2B5EF4-FFF2-40B4-BE49-F238E27FC236}"/>
          </a:extLst>
        </xdr:cNvPr>
        <xdr:cNvSpPr/>
      </xdr:nvSpPr>
      <xdr:spPr>
        <a:xfrm>
          <a:off x="5191125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142875</xdr:colOff>
      <xdr:row>67</xdr:row>
      <xdr:rowOff>161925</xdr:rowOff>
    </xdr:from>
    <xdr:ext cx="142875" cy="381000"/>
    <xdr:sp macro="" textlink="">
      <xdr:nvSpPr>
        <xdr:cNvPr id="171" name="Arrow: Up 192">
          <a:extLst>
            <a:ext uri="{FF2B5EF4-FFF2-40B4-BE49-F238E27FC236}"/>
          </a:extLst>
        </xdr:cNvPr>
        <xdr:cNvSpPr/>
      </xdr:nvSpPr>
      <xdr:spPr>
        <a:xfrm>
          <a:off x="6057900" y="13215938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123825</xdr:colOff>
      <xdr:row>67</xdr:row>
      <xdr:rowOff>161925</xdr:rowOff>
    </xdr:from>
    <xdr:ext cx="142875" cy="381000"/>
    <xdr:sp macro="" textlink="">
      <xdr:nvSpPr>
        <xdr:cNvPr id="172" name="Arrow: Up 193">
          <a:extLst>
            <a:ext uri="{FF2B5EF4-FFF2-40B4-BE49-F238E27FC236}"/>
          </a:extLst>
        </xdr:cNvPr>
        <xdr:cNvSpPr/>
      </xdr:nvSpPr>
      <xdr:spPr>
        <a:xfrm>
          <a:off x="7836694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180975</xdr:colOff>
      <xdr:row>67</xdr:row>
      <xdr:rowOff>161925</xdr:rowOff>
    </xdr:from>
    <xdr:ext cx="142875" cy="381000"/>
    <xdr:sp macro="" textlink="">
      <xdr:nvSpPr>
        <xdr:cNvPr id="173" name="Arrow: Up 194">
          <a:extLst>
            <a:ext uri="{FF2B5EF4-FFF2-40B4-BE49-F238E27FC236}"/>
          </a:extLst>
        </xdr:cNvPr>
        <xdr:cNvSpPr/>
      </xdr:nvSpPr>
      <xdr:spPr>
        <a:xfrm>
          <a:off x="9901670" y="13215937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180975</xdr:colOff>
      <xdr:row>75</xdr:row>
      <xdr:rowOff>171450</xdr:rowOff>
    </xdr:from>
    <xdr:ext cx="142875" cy="390525"/>
    <xdr:sp macro="" textlink="">
      <xdr:nvSpPr>
        <xdr:cNvPr id="174" name="Arrow: Up 195">
          <a:extLst>
            <a:ext uri="{FF2B5EF4-FFF2-40B4-BE49-F238E27FC236}"/>
          </a:extLst>
        </xdr:cNvPr>
        <xdr:cNvSpPr/>
      </xdr:nvSpPr>
      <xdr:spPr>
        <a:xfrm>
          <a:off x="2261538" y="14750761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228600</xdr:colOff>
      <xdr:row>75</xdr:row>
      <xdr:rowOff>142875</xdr:rowOff>
    </xdr:from>
    <xdr:ext cx="142875" cy="400050"/>
    <xdr:sp macro="" textlink="">
      <xdr:nvSpPr>
        <xdr:cNvPr id="175" name="Arrow: Up 196">
          <a:extLst>
            <a:ext uri="{FF2B5EF4-FFF2-40B4-BE49-F238E27FC236}"/>
          </a:extLst>
        </xdr:cNvPr>
        <xdr:cNvSpPr/>
      </xdr:nvSpPr>
      <xdr:spPr>
        <a:xfrm>
          <a:off x="3306041" y="1471829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104775</xdr:colOff>
      <xdr:row>75</xdr:row>
      <xdr:rowOff>161925</xdr:rowOff>
    </xdr:from>
    <xdr:ext cx="133350" cy="390525"/>
    <xdr:sp macro="" textlink="">
      <xdr:nvSpPr>
        <xdr:cNvPr id="176" name="Arrow: Up 197">
          <a:extLst>
            <a:ext uri="{FF2B5EF4-FFF2-40B4-BE49-F238E27FC236}"/>
          </a:extLst>
        </xdr:cNvPr>
        <xdr:cNvSpPr/>
      </xdr:nvSpPr>
      <xdr:spPr>
        <a:xfrm>
          <a:off x="6935499" y="147399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200025</xdr:colOff>
      <xdr:row>75</xdr:row>
      <xdr:rowOff>152400</xdr:rowOff>
    </xdr:from>
    <xdr:ext cx="142875" cy="400050"/>
    <xdr:sp macro="" textlink="">
      <xdr:nvSpPr>
        <xdr:cNvPr id="177" name="Arrow: Up 198">
          <a:extLst>
            <a:ext uri="{FF2B5EF4-FFF2-40B4-BE49-F238E27FC236}"/>
          </a:extLst>
        </xdr:cNvPr>
        <xdr:cNvSpPr/>
      </xdr:nvSpPr>
      <xdr:spPr>
        <a:xfrm>
          <a:off x="9923318" y="1472911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47625</xdr:colOff>
      <xdr:row>75</xdr:row>
      <xdr:rowOff>152400</xdr:rowOff>
    </xdr:from>
    <xdr:ext cx="142875" cy="400050"/>
    <xdr:sp macro="" textlink="">
      <xdr:nvSpPr>
        <xdr:cNvPr id="178" name="Arrow: Up 199">
          <a:extLst>
            <a:ext uri="{FF2B5EF4-FFF2-40B4-BE49-F238E27FC236}"/>
          </a:extLst>
        </xdr:cNvPr>
        <xdr:cNvSpPr/>
      </xdr:nvSpPr>
      <xdr:spPr>
        <a:xfrm>
          <a:off x="12675827" y="1472911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219075</xdr:colOff>
      <xdr:row>83</xdr:row>
      <xdr:rowOff>161925</xdr:rowOff>
    </xdr:from>
    <xdr:ext cx="142875" cy="381000"/>
    <xdr:sp macro="" textlink="">
      <xdr:nvSpPr>
        <xdr:cNvPr id="179" name="Arrow: Up 200">
          <a:extLst>
            <a:ext uri="{FF2B5EF4-FFF2-40B4-BE49-F238E27FC236}"/>
          </a:extLst>
        </xdr:cNvPr>
        <xdr:cNvSpPr/>
      </xdr:nvSpPr>
      <xdr:spPr>
        <a:xfrm>
          <a:off x="1371382" y="16263938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28575</xdr:colOff>
      <xdr:row>83</xdr:row>
      <xdr:rowOff>161925</xdr:rowOff>
    </xdr:from>
    <xdr:ext cx="142875" cy="381000"/>
    <xdr:sp macro="" textlink="">
      <xdr:nvSpPr>
        <xdr:cNvPr id="180" name="Arrow: Up 201">
          <a:extLst>
            <a:ext uri="{FF2B5EF4-FFF2-40B4-BE49-F238E27FC236}"/>
          </a:extLst>
        </xdr:cNvPr>
        <xdr:cNvSpPr/>
      </xdr:nvSpPr>
      <xdr:spPr>
        <a:xfrm>
          <a:off x="5083968" y="1626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28575</xdr:colOff>
      <xdr:row>91</xdr:row>
      <xdr:rowOff>161925</xdr:rowOff>
    </xdr:from>
    <xdr:ext cx="142875" cy="381000"/>
    <xdr:sp macro="" textlink="">
      <xdr:nvSpPr>
        <xdr:cNvPr id="181" name="Arrow: Up 202">
          <a:extLst>
            <a:ext uri="{FF2B5EF4-FFF2-40B4-BE49-F238E27FC236}"/>
          </a:extLst>
        </xdr:cNvPr>
        <xdr:cNvSpPr/>
      </xdr:nvSpPr>
      <xdr:spPr>
        <a:xfrm>
          <a:off x="7741443" y="17787938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200025</xdr:colOff>
      <xdr:row>91</xdr:row>
      <xdr:rowOff>161925</xdr:rowOff>
    </xdr:from>
    <xdr:ext cx="142875" cy="381000"/>
    <xdr:sp macro="" textlink="">
      <xdr:nvSpPr>
        <xdr:cNvPr id="182" name="Arrow: Up 203">
          <a:extLst>
            <a:ext uri="{FF2B5EF4-FFF2-40B4-BE49-F238E27FC236}"/>
          </a:extLst>
        </xdr:cNvPr>
        <xdr:cNvSpPr/>
      </xdr:nvSpPr>
      <xdr:spPr>
        <a:xfrm>
          <a:off x="7908131" y="17787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142875</xdr:colOff>
      <xdr:row>91</xdr:row>
      <xdr:rowOff>161925</xdr:rowOff>
    </xdr:from>
    <xdr:ext cx="142875" cy="381000"/>
    <xdr:sp macro="" textlink="">
      <xdr:nvSpPr>
        <xdr:cNvPr id="183" name="Arrow: Up 204">
          <a:extLst>
            <a:ext uri="{FF2B5EF4-FFF2-40B4-BE49-F238E27FC236}"/>
          </a:extLst>
        </xdr:cNvPr>
        <xdr:cNvSpPr/>
      </xdr:nvSpPr>
      <xdr:spPr>
        <a:xfrm>
          <a:off x="12763500" y="17787938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123825</xdr:colOff>
      <xdr:row>99</xdr:row>
      <xdr:rowOff>171450</xdr:rowOff>
    </xdr:from>
    <xdr:ext cx="142875" cy="381000"/>
    <xdr:sp macro="" textlink="">
      <xdr:nvSpPr>
        <xdr:cNvPr id="184" name="Arrow: Up 205">
          <a:extLst>
            <a:ext uri="{FF2B5EF4-FFF2-40B4-BE49-F238E27FC236}"/>
          </a:extLst>
        </xdr:cNvPr>
        <xdr:cNvSpPr/>
      </xdr:nvSpPr>
      <xdr:spPr>
        <a:xfrm>
          <a:off x="3207544" y="19322762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66675</xdr:colOff>
      <xdr:row>99</xdr:row>
      <xdr:rowOff>161925</xdr:rowOff>
    </xdr:from>
    <xdr:ext cx="142875" cy="381000"/>
    <xdr:sp macro="" textlink="">
      <xdr:nvSpPr>
        <xdr:cNvPr id="185" name="Arrow: Up 206">
          <a:extLst>
            <a:ext uri="{FF2B5EF4-FFF2-40B4-BE49-F238E27FC236}"/>
          </a:extLst>
        </xdr:cNvPr>
        <xdr:cNvSpPr/>
      </xdr:nvSpPr>
      <xdr:spPr>
        <a:xfrm>
          <a:off x="1218767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25</xdr:col>
      <xdr:colOff>0</xdr:colOff>
      <xdr:row>106</xdr:row>
      <xdr:rowOff>0</xdr:rowOff>
    </xdr:from>
    <xdr:ext cx="514350" cy="361950"/>
    <xdr:sp macro="" textlink="">
      <xdr:nvSpPr>
        <xdr:cNvPr id="186" name="Isosceles Triangle 185">
          <a:extLst>
            <a:ext uri="{FF2B5EF4-FFF2-40B4-BE49-F238E27FC236}"/>
          </a:extLst>
        </xdr:cNvPr>
        <xdr:cNvSpPr/>
      </xdr:nvSpPr>
      <xdr:spPr>
        <a:xfrm>
          <a:off x="8220075" y="2047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106</xdr:row>
      <xdr:rowOff>0</xdr:rowOff>
    </xdr:from>
    <xdr:ext cx="495300" cy="361950"/>
    <xdr:sp macro="" textlink="">
      <xdr:nvSpPr>
        <xdr:cNvPr id="187" name="Isosceles Triangle 186">
          <a:extLst>
            <a:ext uri="{FF2B5EF4-FFF2-40B4-BE49-F238E27FC236}"/>
          </a:extLst>
        </xdr:cNvPr>
        <xdr:cNvSpPr/>
      </xdr:nvSpPr>
      <xdr:spPr>
        <a:xfrm>
          <a:off x="9210675" y="20478750"/>
          <a:ext cx="504093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106</xdr:row>
      <xdr:rowOff>0</xdr:rowOff>
    </xdr:from>
    <xdr:ext cx="514350" cy="361950"/>
    <xdr:sp macro="" textlink="">
      <xdr:nvSpPr>
        <xdr:cNvPr id="188" name="Isosceles Triangle 187">
          <a:extLst>
            <a:ext uri="{FF2B5EF4-FFF2-40B4-BE49-F238E27FC236}"/>
          </a:extLst>
        </xdr:cNvPr>
        <xdr:cNvSpPr/>
      </xdr:nvSpPr>
      <xdr:spPr>
        <a:xfrm>
          <a:off x="10125075" y="20478750"/>
          <a:ext cx="513618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106</xdr:row>
      <xdr:rowOff>0</xdr:rowOff>
    </xdr:from>
    <xdr:ext cx="514350" cy="361950"/>
    <xdr:sp macro="" textlink="">
      <xdr:nvSpPr>
        <xdr:cNvPr id="189" name="Isosceles Triangle 188">
          <a:extLst>
            <a:ext uri="{FF2B5EF4-FFF2-40B4-BE49-F238E27FC236}"/>
          </a:extLst>
        </xdr:cNvPr>
        <xdr:cNvSpPr/>
      </xdr:nvSpPr>
      <xdr:spPr>
        <a:xfrm>
          <a:off x="11210925" y="2047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106</xdr:row>
      <xdr:rowOff>0</xdr:rowOff>
    </xdr:from>
    <xdr:ext cx="514350" cy="361950"/>
    <xdr:sp macro="" textlink="">
      <xdr:nvSpPr>
        <xdr:cNvPr id="190" name="Isosceles Triangle 189">
          <a:extLst>
            <a:ext uri="{FF2B5EF4-FFF2-40B4-BE49-F238E27FC236}"/>
          </a:extLst>
        </xdr:cNvPr>
        <xdr:cNvSpPr/>
      </xdr:nvSpPr>
      <xdr:spPr>
        <a:xfrm>
          <a:off x="12115800" y="20478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106</xdr:row>
      <xdr:rowOff>0</xdr:rowOff>
    </xdr:from>
    <xdr:ext cx="514350" cy="361950"/>
    <xdr:sp macro="" textlink="">
      <xdr:nvSpPr>
        <xdr:cNvPr id="191" name="Isosceles Triangle 190">
          <a:extLst>
            <a:ext uri="{FF2B5EF4-FFF2-40B4-BE49-F238E27FC236}"/>
          </a:extLst>
        </xdr:cNvPr>
        <xdr:cNvSpPr/>
      </xdr:nvSpPr>
      <xdr:spPr>
        <a:xfrm>
          <a:off x="13115925" y="20478750"/>
          <a:ext cx="589818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114</xdr:row>
      <xdr:rowOff>0</xdr:rowOff>
    </xdr:from>
    <xdr:ext cx="514350" cy="361950"/>
    <xdr:sp macro="" textlink="">
      <xdr:nvSpPr>
        <xdr:cNvPr id="192" name="Isosceles Triangle 191">
          <a:extLst>
            <a:ext uri="{FF2B5EF4-FFF2-40B4-BE49-F238E27FC236}"/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30</xdr:col>
      <xdr:colOff>114300</xdr:colOff>
      <xdr:row>99</xdr:row>
      <xdr:rowOff>161925</xdr:rowOff>
    </xdr:from>
    <xdr:ext cx="142875" cy="381000"/>
    <xdr:sp macro="" textlink="">
      <xdr:nvSpPr>
        <xdr:cNvPr id="193" name="Arrow: Up 214">
          <a:extLst>
            <a:ext uri="{FF2B5EF4-FFF2-40B4-BE49-F238E27FC236}"/>
          </a:extLst>
        </xdr:cNvPr>
        <xdr:cNvSpPr/>
      </xdr:nvSpPr>
      <xdr:spPr>
        <a:xfrm>
          <a:off x="9834562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28575</xdr:colOff>
      <xdr:row>99</xdr:row>
      <xdr:rowOff>161925</xdr:rowOff>
    </xdr:from>
    <xdr:ext cx="142875" cy="381000"/>
    <xdr:sp macro="" textlink="">
      <xdr:nvSpPr>
        <xdr:cNvPr id="194" name="Arrow: Up 215">
          <a:extLst>
            <a:ext uri="{FF2B5EF4-FFF2-40B4-BE49-F238E27FC236}"/>
          </a:extLst>
        </xdr:cNvPr>
        <xdr:cNvSpPr/>
      </xdr:nvSpPr>
      <xdr:spPr>
        <a:xfrm>
          <a:off x="10675144" y="19311937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38100</xdr:colOff>
      <xdr:row>107</xdr:row>
      <xdr:rowOff>180975</xdr:rowOff>
    </xdr:from>
    <xdr:ext cx="142875" cy="381000"/>
    <xdr:sp macro="" textlink="">
      <xdr:nvSpPr>
        <xdr:cNvPr id="195" name="Arrow: Up 216">
          <a:extLst>
            <a:ext uri="{FF2B5EF4-FFF2-40B4-BE49-F238E27FC236}"/>
          </a:extLst>
        </xdr:cNvPr>
        <xdr:cNvSpPr/>
      </xdr:nvSpPr>
      <xdr:spPr>
        <a:xfrm>
          <a:off x="1187377" y="208575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22</xdr:col>
      <xdr:colOff>0</xdr:colOff>
      <xdr:row>58</xdr:row>
      <xdr:rowOff>0</xdr:rowOff>
    </xdr:from>
    <xdr:ext cx="514350" cy="352425"/>
    <xdr:sp macro="" textlink="">
      <xdr:nvSpPr>
        <xdr:cNvPr id="198" name="Isosceles Triangle 197">
          <a:extLst>
            <a:ext uri="{FF2B5EF4-FFF2-40B4-BE49-F238E27FC236}"/>
          </a:extLst>
        </xdr:cNvPr>
        <xdr:cNvSpPr/>
      </xdr:nvSpPr>
      <xdr:spPr>
        <a:xfrm>
          <a:off x="7175256" y="11342076"/>
          <a:ext cx="52314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58</xdr:row>
      <xdr:rowOff>0</xdr:rowOff>
    </xdr:from>
    <xdr:ext cx="514350" cy="352425"/>
    <xdr:sp macro="" textlink="">
      <xdr:nvSpPr>
        <xdr:cNvPr id="199" name="Isosceles Triangle 198">
          <a:extLst>
            <a:ext uri="{FF2B5EF4-FFF2-40B4-BE49-F238E27FC236}"/>
          </a:extLst>
        </xdr:cNvPr>
        <xdr:cNvSpPr/>
      </xdr:nvSpPr>
      <xdr:spPr>
        <a:xfrm>
          <a:off x="8220075" y="11334750"/>
          <a:ext cx="52314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9525</xdr:colOff>
      <xdr:row>65</xdr:row>
      <xdr:rowOff>190500</xdr:rowOff>
    </xdr:from>
    <xdr:ext cx="504825" cy="352425"/>
    <xdr:sp macro="" textlink="">
      <xdr:nvSpPr>
        <xdr:cNvPr id="200" name="Isosceles Triangle 199">
          <a:extLst>
            <a:ext uri="{FF2B5EF4-FFF2-40B4-BE49-F238E27FC236}"/>
          </a:extLst>
        </xdr:cNvPr>
        <xdr:cNvSpPr/>
      </xdr:nvSpPr>
      <xdr:spPr>
        <a:xfrm>
          <a:off x="11223137" y="12854109"/>
          <a:ext cx="511663" cy="37261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66</xdr:row>
      <xdr:rowOff>0</xdr:rowOff>
    </xdr:from>
    <xdr:ext cx="514350" cy="352425"/>
    <xdr:sp macro="" textlink="">
      <xdr:nvSpPr>
        <xdr:cNvPr id="201" name="Isosceles Triangle 200">
          <a:extLst>
            <a:ext uri="{FF2B5EF4-FFF2-40B4-BE49-F238E27FC236}"/>
          </a:extLst>
        </xdr:cNvPr>
        <xdr:cNvSpPr/>
      </xdr:nvSpPr>
      <xdr:spPr>
        <a:xfrm>
          <a:off x="10125075" y="12858750"/>
          <a:ext cx="513617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74</xdr:row>
      <xdr:rowOff>9525</xdr:rowOff>
    </xdr:from>
    <xdr:ext cx="523875" cy="342900"/>
    <xdr:sp macro="" textlink="">
      <xdr:nvSpPr>
        <xdr:cNvPr id="202" name="Isosceles Triangle 201">
          <a:extLst>
            <a:ext uri="{FF2B5EF4-FFF2-40B4-BE49-F238E27FC236}"/>
          </a:extLst>
        </xdr:cNvPr>
        <xdr:cNvSpPr/>
      </xdr:nvSpPr>
      <xdr:spPr>
        <a:xfrm>
          <a:off x="609600" y="14392741"/>
          <a:ext cx="525337" cy="35814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66</xdr:row>
      <xdr:rowOff>0</xdr:rowOff>
    </xdr:from>
    <xdr:ext cx="514350" cy="352425"/>
    <xdr:sp macro="" textlink="">
      <xdr:nvSpPr>
        <xdr:cNvPr id="203" name="Isosceles Triangle 202">
          <a:extLst>
            <a:ext uri="{FF2B5EF4-FFF2-40B4-BE49-F238E27FC236}"/>
          </a:extLst>
        </xdr:cNvPr>
        <xdr:cNvSpPr/>
      </xdr:nvSpPr>
      <xdr:spPr>
        <a:xfrm>
          <a:off x="13115925" y="12858750"/>
          <a:ext cx="589817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66</xdr:row>
      <xdr:rowOff>0</xdr:rowOff>
    </xdr:from>
    <xdr:ext cx="514350" cy="361950"/>
    <xdr:sp macro="" textlink="">
      <xdr:nvSpPr>
        <xdr:cNvPr id="204" name="Isosceles Triangle 203">
          <a:extLst>
            <a:ext uri="{FF2B5EF4-FFF2-40B4-BE49-F238E27FC236}"/>
          </a:extLst>
        </xdr:cNvPr>
        <xdr:cNvSpPr/>
      </xdr:nvSpPr>
      <xdr:spPr>
        <a:xfrm>
          <a:off x="12115800" y="12858750"/>
          <a:ext cx="504092" cy="377501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74</xdr:row>
      <xdr:rowOff>0</xdr:rowOff>
    </xdr:from>
    <xdr:ext cx="533400" cy="352425"/>
    <xdr:sp macro="" textlink="">
      <xdr:nvSpPr>
        <xdr:cNvPr id="205" name="Isosceles Triangle 204">
          <a:extLst>
            <a:ext uri="{FF2B5EF4-FFF2-40B4-BE49-F238E27FC236}"/>
          </a:extLst>
        </xdr:cNvPr>
        <xdr:cNvSpPr/>
      </xdr:nvSpPr>
      <xdr:spPr>
        <a:xfrm>
          <a:off x="1552575" y="1438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74</xdr:row>
      <xdr:rowOff>9525</xdr:rowOff>
    </xdr:from>
    <xdr:ext cx="542925" cy="352425"/>
    <xdr:sp macro="" textlink="">
      <xdr:nvSpPr>
        <xdr:cNvPr id="206" name="Isosceles Triangle 205">
          <a:extLst>
            <a:ext uri="{FF2B5EF4-FFF2-40B4-BE49-F238E27FC236}"/>
          </a:extLst>
        </xdr:cNvPr>
        <xdr:cNvSpPr/>
      </xdr:nvSpPr>
      <xdr:spPr>
        <a:xfrm>
          <a:off x="3609975" y="14399662"/>
          <a:ext cx="545016" cy="364088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74</xdr:row>
      <xdr:rowOff>0</xdr:rowOff>
    </xdr:from>
    <xdr:ext cx="514350" cy="352425"/>
    <xdr:sp macro="" textlink="">
      <xdr:nvSpPr>
        <xdr:cNvPr id="207" name="Isosceles Triangle 206">
          <a:extLst>
            <a:ext uri="{FF2B5EF4-FFF2-40B4-BE49-F238E27FC236}"/>
          </a:extLst>
        </xdr:cNvPr>
        <xdr:cNvSpPr/>
      </xdr:nvSpPr>
      <xdr:spPr>
        <a:xfrm>
          <a:off x="4514850" y="1438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74</xdr:row>
      <xdr:rowOff>0</xdr:rowOff>
    </xdr:from>
    <xdr:ext cx="514350" cy="352425"/>
    <xdr:sp macro="" textlink="">
      <xdr:nvSpPr>
        <xdr:cNvPr id="208" name="Isosceles Triangle 207">
          <a:extLst>
            <a:ext uri="{FF2B5EF4-FFF2-40B4-BE49-F238E27FC236}"/>
          </a:extLst>
        </xdr:cNvPr>
        <xdr:cNvSpPr/>
      </xdr:nvSpPr>
      <xdr:spPr>
        <a:xfrm>
          <a:off x="2543175" y="1438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74</xdr:row>
      <xdr:rowOff>0</xdr:rowOff>
    </xdr:from>
    <xdr:ext cx="514350" cy="352425"/>
    <xdr:sp macro="" textlink="">
      <xdr:nvSpPr>
        <xdr:cNvPr id="209" name="Isosceles Triangle 208">
          <a:extLst>
            <a:ext uri="{FF2B5EF4-FFF2-40B4-BE49-F238E27FC236}"/>
          </a:extLst>
        </xdr:cNvPr>
        <xdr:cNvSpPr/>
      </xdr:nvSpPr>
      <xdr:spPr>
        <a:xfrm>
          <a:off x="7172325" y="1438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74</xdr:row>
      <xdr:rowOff>0</xdr:rowOff>
    </xdr:from>
    <xdr:ext cx="514350" cy="352425"/>
    <xdr:sp macro="" textlink="">
      <xdr:nvSpPr>
        <xdr:cNvPr id="210" name="Isosceles Triangle 209">
          <a:extLst>
            <a:ext uri="{FF2B5EF4-FFF2-40B4-BE49-F238E27FC236}"/>
          </a:extLst>
        </xdr:cNvPr>
        <xdr:cNvSpPr/>
      </xdr:nvSpPr>
      <xdr:spPr>
        <a:xfrm>
          <a:off x="8220075" y="1438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74</xdr:row>
      <xdr:rowOff>0</xdr:rowOff>
    </xdr:from>
    <xdr:ext cx="495300" cy="352425"/>
    <xdr:sp macro="" textlink="">
      <xdr:nvSpPr>
        <xdr:cNvPr id="211" name="Isosceles Triangle 210">
          <a:extLst>
            <a:ext uri="{FF2B5EF4-FFF2-40B4-BE49-F238E27FC236}"/>
          </a:extLst>
        </xdr:cNvPr>
        <xdr:cNvSpPr/>
      </xdr:nvSpPr>
      <xdr:spPr>
        <a:xfrm>
          <a:off x="9210675" y="14382750"/>
          <a:ext cx="50409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74</xdr:row>
      <xdr:rowOff>0</xdr:rowOff>
    </xdr:from>
    <xdr:ext cx="514350" cy="352425"/>
    <xdr:sp macro="" textlink="">
      <xdr:nvSpPr>
        <xdr:cNvPr id="212" name="Isosceles Triangle 211">
          <a:extLst>
            <a:ext uri="{FF2B5EF4-FFF2-40B4-BE49-F238E27FC236}"/>
          </a:extLst>
        </xdr:cNvPr>
        <xdr:cNvSpPr/>
      </xdr:nvSpPr>
      <xdr:spPr>
        <a:xfrm>
          <a:off x="11210925" y="1438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9525</xdr:colOff>
      <xdr:row>2</xdr:row>
      <xdr:rowOff>19050</xdr:rowOff>
    </xdr:from>
    <xdr:ext cx="514350" cy="342900"/>
    <xdr:sp macro="" textlink="">
      <xdr:nvSpPr>
        <xdr:cNvPr id="213" name="Isosceles Triangle 212">
          <a:extLst>
            <a:ext uri="{FF2B5EF4-FFF2-40B4-BE49-F238E27FC236}"/>
          </a:extLst>
        </xdr:cNvPr>
        <xdr:cNvSpPr/>
      </xdr:nvSpPr>
      <xdr:spPr>
        <a:xfrm>
          <a:off x="620424" y="686371"/>
          <a:ext cx="523141" cy="358142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74</xdr:row>
      <xdr:rowOff>0</xdr:rowOff>
    </xdr:from>
    <xdr:ext cx="514350" cy="352425"/>
    <xdr:sp macro="" textlink="">
      <xdr:nvSpPr>
        <xdr:cNvPr id="214" name="Isosceles Triangle 213">
          <a:extLst>
            <a:ext uri="{FF2B5EF4-FFF2-40B4-BE49-F238E27FC236}"/>
          </a:extLst>
        </xdr:cNvPr>
        <xdr:cNvSpPr/>
      </xdr:nvSpPr>
      <xdr:spPr>
        <a:xfrm>
          <a:off x="6296025" y="1438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514350" cy="352425"/>
    <xdr:sp macro="" textlink="">
      <xdr:nvSpPr>
        <xdr:cNvPr id="215" name="Isosceles Triangle 214">
          <a:extLst>
            <a:ext uri="{FF2B5EF4-FFF2-40B4-BE49-F238E27FC236}"/>
          </a:extLst>
        </xdr:cNvPr>
        <xdr:cNvSpPr/>
      </xdr:nvSpPr>
      <xdr:spPr>
        <a:xfrm>
          <a:off x="3609975" y="11334750"/>
          <a:ext cx="52314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58</xdr:row>
      <xdr:rowOff>0</xdr:rowOff>
    </xdr:from>
    <xdr:ext cx="514350" cy="352425"/>
    <xdr:sp macro="" textlink="">
      <xdr:nvSpPr>
        <xdr:cNvPr id="216" name="Isosceles Triangle 215">
          <a:extLst>
            <a:ext uri="{FF2B5EF4-FFF2-40B4-BE49-F238E27FC236}"/>
          </a:extLst>
        </xdr:cNvPr>
        <xdr:cNvSpPr/>
      </xdr:nvSpPr>
      <xdr:spPr>
        <a:xfrm>
          <a:off x="2543175" y="11334750"/>
          <a:ext cx="52314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9525</xdr:colOff>
      <xdr:row>66</xdr:row>
      <xdr:rowOff>0</xdr:rowOff>
    </xdr:from>
    <xdr:ext cx="485775" cy="352425"/>
    <xdr:sp macro="" textlink="">
      <xdr:nvSpPr>
        <xdr:cNvPr id="217" name="Isosceles Triangle 216">
          <a:extLst>
            <a:ext uri="{FF2B5EF4-FFF2-40B4-BE49-F238E27FC236}"/>
          </a:extLst>
        </xdr:cNvPr>
        <xdr:cNvSpPr/>
      </xdr:nvSpPr>
      <xdr:spPr>
        <a:xfrm>
          <a:off x="8232445" y="12858750"/>
          <a:ext cx="494566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30</xdr:col>
      <xdr:colOff>447675</xdr:colOff>
      <xdr:row>57</xdr:row>
      <xdr:rowOff>180975</xdr:rowOff>
    </xdr:from>
    <xdr:ext cx="485775" cy="361950"/>
    <xdr:sp macro="" textlink="">
      <xdr:nvSpPr>
        <xdr:cNvPr id="218" name="Isosceles Triangle 217">
          <a:extLst>
            <a:ext uri="{FF2B5EF4-FFF2-40B4-BE49-F238E27FC236}"/>
          </a:extLst>
        </xdr:cNvPr>
        <xdr:cNvSpPr/>
      </xdr:nvSpPr>
      <xdr:spPr>
        <a:xfrm>
          <a:off x="10122048" y="11333586"/>
          <a:ext cx="523477" cy="372924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58</xdr:row>
      <xdr:rowOff>0</xdr:rowOff>
    </xdr:from>
    <xdr:ext cx="514350" cy="352425"/>
    <xdr:sp macro="" textlink="">
      <xdr:nvSpPr>
        <xdr:cNvPr id="219" name="Isosceles Triangle 218">
          <a:extLst>
            <a:ext uri="{FF2B5EF4-FFF2-40B4-BE49-F238E27FC236}"/>
          </a:extLst>
        </xdr:cNvPr>
        <xdr:cNvSpPr/>
      </xdr:nvSpPr>
      <xdr:spPr>
        <a:xfrm>
          <a:off x="5381625" y="11334750"/>
          <a:ext cx="52314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58</xdr:row>
      <xdr:rowOff>0</xdr:rowOff>
    </xdr:from>
    <xdr:ext cx="495300" cy="352425"/>
    <xdr:sp macro="" textlink="">
      <xdr:nvSpPr>
        <xdr:cNvPr id="220" name="Isosceles Triangle 219">
          <a:extLst>
            <a:ext uri="{FF2B5EF4-FFF2-40B4-BE49-F238E27FC236}"/>
          </a:extLst>
        </xdr:cNvPr>
        <xdr:cNvSpPr/>
      </xdr:nvSpPr>
      <xdr:spPr>
        <a:xfrm>
          <a:off x="9210675" y="11334750"/>
          <a:ext cx="50409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9525</xdr:colOff>
      <xdr:row>66</xdr:row>
      <xdr:rowOff>0</xdr:rowOff>
    </xdr:from>
    <xdr:ext cx="485775" cy="352425"/>
    <xdr:sp macro="" textlink="">
      <xdr:nvSpPr>
        <xdr:cNvPr id="221" name="Isosceles Triangle 220">
          <a:extLst>
            <a:ext uri="{FF2B5EF4-FFF2-40B4-BE49-F238E27FC236}"/>
          </a:extLst>
        </xdr:cNvPr>
        <xdr:cNvSpPr/>
      </xdr:nvSpPr>
      <xdr:spPr>
        <a:xfrm>
          <a:off x="5393995" y="12858750"/>
          <a:ext cx="494566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82</xdr:row>
      <xdr:rowOff>0</xdr:rowOff>
    </xdr:from>
    <xdr:ext cx="514350" cy="352425"/>
    <xdr:sp macro="" textlink="">
      <xdr:nvSpPr>
        <xdr:cNvPr id="222" name="Isosceles Triangle 221">
          <a:extLst>
            <a:ext uri="{FF2B5EF4-FFF2-40B4-BE49-F238E27FC236}"/>
          </a:extLst>
        </xdr:cNvPr>
        <xdr:cNvSpPr/>
      </xdr:nvSpPr>
      <xdr:spPr>
        <a:xfrm>
          <a:off x="13115925" y="15906750"/>
          <a:ext cx="589817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82</xdr:row>
      <xdr:rowOff>0</xdr:rowOff>
    </xdr:from>
    <xdr:ext cx="514350" cy="352425"/>
    <xdr:sp macro="" textlink="">
      <xdr:nvSpPr>
        <xdr:cNvPr id="223" name="Isosceles Triangle 222">
          <a:extLst>
            <a:ext uri="{FF2B5EF4-FFF2-40B4-BE49-F238E27FC236}"/>
          </a:extLst>
        </xdr:cNvPr>
        <xdr:cNvSpPr/>
      </xdr:nvSpPr>
      <xdr:spPr>
        <a:xfrm>
          <a:off x="12115800" y="15906750"/>
          <a:ext cx="50409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58</xdr:row>
      <xdr:rowOff>0</xdr:rowOff>
    </xdr:from>
    <xdr:ext cx="514350" cy="352425"/>
    <xdr:sp macro="" textlink="">
      <xdr:nvSpPr>
        <xdr:cNvPr id="224" name="Isosceles Triangle 223">
          <a:extLst>
            <a:ext uri="{FF2B5EF4-FFF2-40B4-BE49-F238E27FC236}"/>
          </a:extLst>
        </xdr:cNvPr>
        <xdr:cNvSpPr/>
      </xdr:nvSpPr>
      <xdr:spPr>
        <a:xfrm>
          <a:off x="12115800" y="11334750"/>
          <a:ext cx="50409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58</xdr:row>
      <xdr:rowOff>0</xdr:rowOff>
    </xdr:from>
    <xdr:ext cx="514350" cy="352425"/>
    <xdr:sp macro="" textlink="">
      <xdr:nvSpPr>
        <xdr:cNvPr id="225" name="Isosceles Triangle 224">
          <a:extLst>
            <a:ext uri="{FF2B5EF4-FFF2-40B4-BE49-F238E27FC236}"/>
          </a:extLst>
        </xdr:cNvPr>
        <xdr:cNvSpPr/>
      </xdr:nvSpPr>
      <xdr:spPr>
        <a:xfrm>
          <a:off x="11210925" y="11334750"/>
          <a:ext cx="52314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58</xdr:row>
      <xdr:rowOff>0</xdr:rowOff>
    </xdr:from>
    <xdr:ext cx="514350" cy="352425"/>
    <xdr:sp macro="" textlink="">
      <xdr:nvSpPr>
        <xdr:cNvPr id="226" name="Isosceles Triangle 225">
          <a:extLst>
            <a:ext uri="{FF2B5EF4-FFF2-40B4-BE49-F238E27FC236}"/>
          </a:extLst>
        </xdr:cNvPr>
        <xdr:cNvSpPr/>
      </xdr:nvSpPr>
      <xdr:spPr>
        <a:xfrm>
          <a:off x="13115925" y="11334750"/>
          <a:ext cx="589817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90</xdr:row>
      <xdr:rowOff>0</xdr:rowOff>
    </xdr:from>
    <xdr:ext cx="514350" cy="352425"/>
    <xdr:sp macro="" textlink="">
      <xdr:nvSpPr>
        <xdr:cNvPr id="227" name="Isosceles Triangle 226">
          <a:extLst>
            <a:ext uri="{FF2B5EF4-FFF2-40B4-BE49-F238E27FC236}"/>
          </a:extLst>
        </xdr:cNvPr>
        <xdr:cNvSpPr/>
      </xdr:nvSpPr>
      <xdr:spPr>
        <a:xfrm>
          <a:off x="609600" y="17430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90</xdr:row>
      <xdr:rowOff>0</xdr:rowOff>
    </xdr:from>
    <xdr:ext cx="533400" cy="352425"/>
    <xdr:sp macro="" textlink="">
      <xdr:nvSpPr>
        <xdr:cNvPr id="228" name="Isosceles Triangle 227">
          <a:extLst>
            <a:ext uri="{FF2B5EF4-FFF2-40B4-BE49-F238E27FC236}"/>
          </a:extLst>
        </xdr:cNvPr>
        <xdr:cNvSpPr/>
      </xdr:nvSpPr>
      <xdr:spPr>
        <a:xfrm>
          <a:off x="1552575" y="17430750"/>
          <a:ext cx="523143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66</xdr:row>
      <xdr:rowOff>0</xdr:rowOff>
    </xdr:from>
    <xdr:ext cx="514350" cy="352425"/>
    <xdr:sp macro="" textlink="">
      <xdr:nvSpPr>
        <xdr:cNvPr id="229" name="Isosceles Triangle 228">
          <a:extLst>
            <a:ext uri="{FF2B5EF4-FFF2-40B4-BE49-F238E27FC236}"/>
          </a:extLst>
        </xdr:cNvPr>
        <xdr:cNvSpPr/>
      </xdr:nvSpPr>
      <xdr:spPr>
        <a:xfrm>
          <a:off x="609600" y="12858750"/>
          <a:ext cx="52314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82</xdr:row>
      <xdr:rowOff>0</xdr:rowOff>
    </xdr:from>
    <xdr:ext cx="514350" cy="352425"/>
    <xdr:sp macro="" textlink="">
      <xdr:nvSpPr>
        <xdr:cNvPr id="230" name="Isosceles Triangle 229">
          <a:extLst>
            <a:ext uri="{FF2B5EF4-FFF2-40B4-BE49-F238E27FC236}"/>
          </a:extLst>
        </xdr:cNvPr>
        <xdr:cNvSpPr/>
      </xdr:nvSpPr>
      <xdr:spPr>
        <a:xfrm>
          <a:off x="4514850" y="15906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98</xdr:row>
      <xdr:rowOff>0</xdr:rowOff>
    </xdr:from>
    <xdr:ext cx="514350" cy="352425"/>
    <xdr:sp macro="" textlink="">
      <xdr:nvSpPr>
        <xdr:cNvPr id="231" name="Isosceles Triangle 230">
          <a:extLst>
            <a:ext uri="{FF2B5EF4-FFF2-40B4-BE49-F238E27FC236}"/>
          </a:extLst>
        </xdr:cNvPr>
        <xdr:cNvSpPr/>
      </xdr:nvSpPr>
      <xdr:spPr>
        <a:xfrm>
          <a:off x="12115800" y="18954750"/>
          <a:ext cx="50409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9525</xdr:colOff>
      <xdr:row>66</xdr:row>
      <xdr:rowOff>0</xdr:rowOff>
    </xdr:from>
    <xdr:ext cx="485775" cy="352425"/>
    <xdr:sp macro="" textlink="">
      <xdr:nvSpPr>
        <xdr:cNvPr id="232" name="Isosceles Triangle 231">
          <a:extLst>
            <a:ext uri="{FF2B5EF4-FFF2-40B4-BE49-F238E27FC236}"/>
          </a:extLst>
        </xdr:cNvPr>
        <xdr:cNvSpPr/>
      </xdr:nvSpPr>
      <xdr:spPr>
        <a:xfrm>
          <a:off x="4527220" y="12858750"/>
          <a:ext cx="494566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82</xdr:row>
      <xdr:rowOff>0</xdr:rowOff>
    </xdr:from>
    <xdr:ext cx="514350" cy="352425"/>
    <xdr:sp macro="" textlink="">
      <xdr:nvSpPr>
        <xdr:cNvPr id="233" name="Isosceles Triangle 232">
          <a:extLst>
            <a:ext uri="{FF2B5EF4-FFF2-40B4-BE49-F238E27FC236}"/>
          </a:extLst>
        </xdr:cNvPr>
        <xdr:cNvSpPr/>
      </xdr:nvSpPr>
      <xdr:spPr>
        <a:xfrm>
          <a:off x="11210925" y="15906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9525</xdr:colOff>
      <xdr:row>66</xdr:row>
      <xdr:rowOff>0</xdr:rowOff>
    </xdr:from>
    <xdr:ext cx="485775" cy="352425"/>
    <xdr:sp macro="" textlink="">
      <xdr:nvSpPr>
        <xdr:cNvPr id="234" name="Isosceles Triangle 233">
          <a:extLst>
            <a:ext uri="{FF2B5EF4-FFF2-40B4-BE49-F238E27FC236}"/>
          </a:extLst>
        </xdr:cNvPr>
        <xdr:cNvSpPr/>
      </xdr:nvSpPr>
      <xdr:spPr>
        <a:xfrm>
          <a:off x="6307931" y="12858750"/>
          <a:ext cx="494566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98</xdr:row>
      <xdr:rowOff>0</xdr:rowOff>
    </xdr:from>
    <xdr:ext cx="514350" cy="352425"/>
    <xdr:sp macro="" textlink="">
      <xdr:nvSpPr>
        <xdr:cNvPr id="235" name="Isosceles Triangle 234">
          <a:extLst>
            <a:ext uri="{FF2B5EF4-FFF2-40B4-BE49-F238E27FC236}"/>
          </a:extLst>
        </xdr:cNvPr>
        <xdr:cNvSpPr/>
      </xdr:nvSpPr>
      <xdr:spPr>
        <a:xfrm>
          <a:off x="13115925" y="18954750"/>
          <a:ext cx="589817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90</xdr:row>
      <xdr:rowOff>0</xdr:rowOff>
    </xdr:from>
    <xdr:ext cx="514350" cy="352425"/>
    <xdr:sp macro="" textlink="">
      <xdr:nvSpPr>
        <xdr:cNvPr id="236" name="Isosceles Triangle 235">
          <a:extLst>
            <a:ext uri="{FF2B5EF4-FFF2-40B4-BE49-F238E27FC236}"/>
          </a:extLst>
        </xdr:cNvPr>
        <xdr:cNvSpPr/>
      </xdr:nvSpPr>
      <xdr:spPr>
        <a:xfrm>
          <a:off x="2543175" y="17430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82</xdr:row>
      <xdr:rowOff>0</xdr:rowOff>
    </xdr:from>
    <xdr:ext cx="514350" cy="352425"/>
    <xdr:sp macro="" textlink="">
      <xdr:nvSpPr>
        <xdr:cNvPr id="237" name="Isosceles Triangle 236">
          <a:extLst>
            <a:ext uri="{FF2B5EF4-FFF2-40B4-BE49-F238E27FC236}"/>
          </a:extLst>
        </xdr:cNvPr>
        <xdr:cNvSpPr/>
      </xdr:nvSpPr>
      <xdr:spPr>
        <a:xfrm>
          <a:off x="6296025" y="15906750"/>
          <a:ext cx="523143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82</xdr:row>
      <xdr:rowOff>0</xdr:rowOff>
    </xdr:from>
    <xdr:ext cx="514350" cy="352425"/>
    <xdr:sp macro="" textlink="">
      <xdr:nvSpPr>
        <xdr:cNvPr id="238" name="Isosceles Triangle 237">
          <a:extLst>
            <a:ext uri="{FF2B5EF4-FFF2-40B4-BE49-F238E27FC236}"/>
          </a:extLst>
        </xdr:cNvPr>
        <xdr:cNvSpPr/>
      </xdr:nvSpPr>
      <xdr:spPr>
        <a:xfrm>
          <a:off x="609600" y="15906750"/>
          <a:ext cx="523141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90</xdr:row>
      <xdr:rowOff>0</xdr:rowOff>
    </xdr:from>
    <xdr:ext cx="514350" cy="352425"/>
    <xdr:sp macro="" textlink="">
      <xdr:nvSpPr>
        <xdr:cNvPr id="239" name="Isosceles Triangle 238">
          <a:extLst>
            <a:ext uri="{FF2B5EF4-FFF2-40B4-BE49-F238E27FC236}"/>
          </a:extLst>
        </xdr:cNvPr>
        <xdr:cNvSpPr/>
      </xdr:nvSpPr>
      <xdr:spPr>
        <a:xfrm>
          <a:off x="3609975" y="17430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106</xdr:row>
      <xdr:rowOff>0</xdr:rowOff>
    </xdr:from>
    <xdr:ext cx="514350" cy="352425"/>
    <xdr:sp macro="" textlink="">
      <xdr:nvSpPr>
        <xdr:cNvPr id="240" name="Isosceles Triangle 239">
          <a:extLst>
            <a:ext uri="{FF2B5EF4-FFF2-40B4-BE49-F238E27FC236}"/>
          </a:extLst>
        </xdr:cNvPr>
        <xdr:cNvSpPr/>
      </xdr:nvSpPr>
      <xdr:spPr>
        <a:xfrm>
          <a:off x="609600" y="20478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106</xdr:row>
      <xdr:rowOff>0</xdr:rowOff>
    </xdr:from>
    <xdr:ext cx="514350" cy="352425"/>
    <xdr:sp macro="" textlink="">
      <xdr:nvSpPr>
        <xdr:cNvPr id="241" name="Isosceles Triangle 240">
          <a:extLst>
            <a:ext uri="{FF2B5EF4-FFF2-40B4-BE49-F238E27FC236}"/>
          </a:extLst>
        </xdr:cNvPr>
        <xdr:cNvSpPr/>
      </xdr:nvSpPr>
      <xdr:spPr>
        <a:xfrm>
          <a:off x="2543175" y="20478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90</xdr:row>
      <xdr:rowOff>0</xdr:rowOff>
    </xdr:from>
    <xdr:ext cx="514350" cy="352425"/>
    <xdr:sp macro="" textlink="">
      <xdr:nvSpPr>
        <xdr:cNvPr id="242" name="Isosceles Triangle 241">
          <a:extLst>
            <a:ext uri="{FF2B5EF4-FFF2-40B4-BE49-F238E27FC236}"/>
          </a:extLst>
        </xdr:cNvPr>
        <xdr:cNvSpPr/>
      </xdr:nvSpPr>
      <xdr:spPr>
        <a:xfrm>
          <a:off x="4514850" y="17430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82</xdr:row>
      <xdr:rowOff>0</xdr:rowOff>
    </xdr:from>
    <xdr:ext cx="533400" cy="352425"/>
    <xdr:sp macro="" textlink="">
      <xdr:nvSpPr>
        <xdr:cNvPr id="243" name="Isosceles Triangle 242">
          <a:extLst>
            <a:ext uri="{FF2B5EF4-FFF2-40B4-BE49-F238E27FC236}"/>
          </a:extLst>
        </xdr:cNvPr>
        <xdr:cNvSpPr/>
      </xdr:nvSpPr>
      <xdr:spPr>
        <a:xfrm>
          <a:off x="1552575" y="15906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66</xdr:row>
      <xdr:rowOff>0</xdr:rowOff>
    </xdr:from>
    <xdr:ext cx="514350" cy="352425"/>
    <xdr:sp macro="" textlink="">
      <xdr:nvSpPr>
        <xdr:cNvPr id="244" name="Isosceles Triangle 243">
          <a:extLst>
            <a:ext uri="{FF2B5EF4-FFF2-40B4-BE49-F238E27FC236}"/>
          </a:extLst>
        </xdr:cNvPr>
        <xdr:cNvSpPr/>
      </xdr:nvSpPr>
      <xdr:spPr>
        <a:xfrm>
          <a:off x="3609975" y="12858750"/>
          <a:ext cx="52314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90</xdr:row>
      <xdr:rowOff>0</xdr:rowOff>
    </xdr:from>
    <xdr:ext cx="495300" cy="352425"/>
    <xdr:sp macro="" textlink="">
      <xdr:nvSpPr>
        <xdr:cNvPr id="245" name="Isosceles Triangle 244">
          <a:extLst>
            <a:ext uri="{FF2B5EF4-FFF2-40B4-BE49-F238E27FC236}"/>
          </a:extLst>
        </xdr:cNvPr>
        <xdr:cNvSpPr/>
      </xdr:nvSpPr>
      <xdr:spPr>
        <a:xfrm>
          <a:off x="10125075" y="17430750"/>
          <a:ext cx="50173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106</xdr:row>
      <xdr:rowOff>0</xdr:rowOff>
    </xdr:from>
    <xdr:ext cx="533400" cy="352425"/>
    <xdr:sp macro="" textlink="">
      <xdr:nvSpPr>
        <xdr:cNvPr id="246" name="Isosceles Triangle 245">
          <a:extLst>
            <a:ext uri="{FF2B5EF4-FFF2-40B4-BE49-F238E27FC236}"/>
          </a:extLst>
        </xdr:cNvPr>
        <xdr:cNvSpPr/>
      </xdr:nvSpPr>
      <xdr:spPr>
        <a:xfrm>
          <a:off x="1552575" y="20478750"/>
          <a:ext cx="523143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90</xdr:row>
      <xdr:rowOff>0</xdr:rowOff>
    </xdr:from>
    <xdr:ext cx="514350" cy="352425"/>
    <xdr:sp macro="" textlink="">
      <xdr:nvSpPr>
        <xdr:cNvPr id="247" name="Isosceles Triangle 246">
          <a:extLst>
            <a:ext uri="{FF2B5EF4-FFF2-40B4-BE49-F238E27FC236}"/>
          </a:extLst>
        </xdr:cNvPr>
        <xdr:cNvSpPr/>
      </xdr:nvSpPr>
      <xdr:spPr>
        <a:xfrm>
          <a:off x="8220075" y="17430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514350" cy="352425"/>
    <xdr:sp macro="" textlink="">
      <xdr:nvSpPr>
        <xdr:cNvPr id="248" name="Isosceles Triangle 247">
          <a:extLst>
            <a:ext uri="{FF2B5EF4-FFF2-40B4-BE49-F238E27FC236}"/>
          </a:extLst>
        </xdr:cNvPr>
        <xdr:cNvSpPr/>
      </xdr:nvSpPr>
      <xdr:spPr>
        <a:xfrm>
          <a:off x="3609975" y="20478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74</xdr:row>
      <xdr:rowOff>0</xdr:rowOff>
    </xdr:from>
    <xdr:ext cx="514350" cy="352425"/>
    <xdr:sp macro="" textlink="">
      <xdr:nvSpPr>
        <xdr:cNvPr id="249" name="Isosceles Triangle 248">
          <a:extLst>
            <a:ext uri="{FF2B5EF4-FFF2-40B4-BE49-F238E27FC236}"/>
          </a:extLst>
        </xdr:cNvPr>
        <xdr:cNvSpPr/>
      </xdr:nvSpPr>
      <xdr:spPr>
        <a:xfrm>
          <a:off x="13115925" y="14382750"/>
          <a:ext cx="589816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90</xdr:row>
      <xdr:rowOff>0</xdr:rowOff>
    </xdr:from>
    <xdr:ext cx="495300" cy="352425"/>
    <xdr:sp macro="" textlink="">
      <xdr:nvSpPr>
        <xdr:cNvPr id="250" name="Isosceles Triangle 249">
          <a:extLst>
            <a:ext uri="{FF2B5EF4-FFF2-40B4-BE49-F238E27FC236}"/>
          </a:extLst>
        </xdr:cNvPr>
        <xdr:cNvSpPr/>
      </xdr:nvSpPr>
      <xdr:spPr>
        <a:xfrm>
          <a:off x="9210675" y="17430750"/>
          <a:ext cx="50409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106</xdr:row>
      <xdr:rowOff>0</xdr:rowOff>
    </xdr:from>
    <xdr:ext cx="514350" cy="352425"/>
    <xdr:sp macro="" textlink="">
      <xdr:nvSpPr>
        <xdr:cNvPr id="251" name="Isosceles Triangle 250">
          <a:extLst>
            <a:ext uri="{FF2B5EF4-FFF2-40B4-BE49-F238E27FC236}"/>
          </a:extLst>
        </xdr:cNvPr>
        <xdr:cNvSpPr/>
      </xdr:nvSpPr>
      <xdr:spPr>
        <a:xfrm>
          <a:off x="5381625" y="20478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106</xdr:row>
      <xdr:rowOff>0</xdr:rowOff>
    </xdr:from>
    <xdr:ext cx="495300" cy="352425"/>
    <xdr:sp macro="" textlink="">
      <xdr:nvSpPr>
        <xdr:cNvPr id="252" name="Isosceles Triangle 251">
          <a:extLst>
            <a:ext uri="{FF2B5EF4-FFF2-40B4-BE49-F238E27FC236}"/>
          </a:extLst>
        </xdr:cNvPr>
        <xdr:cNvSpPr/>
      </xdr:nvSpPr>
      <xdr:spPr>
        <a:xfrm>
          <a:off x="9210675" y="20478750"/>
          <a:ext cx="50409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90</xdr:row>
      <xdr:rowOff>0</xdr:rowOff>
    </xdr:from>
    <xdr:ext cx="514350" cy="352425"/>
    <xdr:sp macro="" textlink="">
      <xdr:nvSpPr>
        <xdr:cNvPr id="253" name="Isosceles Triangle 252">
          <a:extLst>
            <a:ext uri="{FF2B5EF4-FFF2-40B4-BE49-F238E27FC236}"/>
          </a:extLst>
        </xdr:cNvPr>
        <xdr:cNvSpPr/>
      </xdr:nvSpPr>
      <xdr:spPr>
        <a:xfrm>
          <a:off x="13115925" y="17430750"/>
          <a:ext cx="589817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106</xdr:row>
      <xdr:rowOff>0</xdr:rowOff>
    </xdr:from>
    <xdr:ext cx="514350" cy="352425"/>
    <xdr:sp macro="" textlink="">
      <xdr:nvSpPr>
        <xdr:cNvPr id="254" name="Isosceles Triangle 253">
          <a:extLst>
            <a:ext uri="{FF2B5EF4-FFF2-40B4-BE49-F238E27FC236}"/>
          </a:extLst>
        </xdr:cNvPr>
        <xdr:cNvSpPr/>
      </xdr:nvSpPr>
      <xdr:spPr>
        <a:xfrm>
          <a:off x="8220075" y="20478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106</xdr:row>
      <xdr:rowOff>0</xdr:rowOff>
    </xdr:from>
    <xdr:ext cx="514350" cy="352425"/>
    <xdr:sp macro="" textlink="">
      <xdr:nvSpPr>
        <xdr:cNvPr id="255" name="Isosceles Triangle 254">
          <a:extLst>
            <a:ext uri="{FF2B5EF4-FFF2-40B4-BE49-F238E27FC236}"/>
          </a:extLst>
        </xdr:cNvPr>
        <xdr:cNvSpPr/>
      </xdr:nvSpPr>
      <xdr:spPr>
        <a:xfrm>
          <a:off x="4514850" y="20478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98</xdr:row>
      <xdr:rowOff>0</xdr:rowOff>
    </xdr:from>
    <xdr:ext cx="533400" cy="352425"/>
    <xdr:sp macro="" textlink="">
      <xdr:nvSpPr>
        <xdr:cNvPr id="256" name="Isosceles Triangle 255">
          <a:extLst>
            <a:ext uri="{FF2B5EF4-FFF2-40B4-BE49-F238E27FC236}"/>
          </a:extLst>
        </xdr:cNvPr>
        <xdr:cNvSpPr/>
      </xdr:nvSpPr>
      <xdr:spPr>
        <a:xfrm>
          <a:off x="1552575" y="18954750"/>
          <a:ext cx="523143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90</xdr:row>
      <xdr:rowOff>0</xdr:rowOff>
    </xdr:from>
    <xdr:ext cx="514350" cy="352425"/>
    <xdr:sp macro="" textlink="">
      <xdr:nvSpPr>
        <xdr:cNvPr id="257" name="Isosceles Triangle 256">
          <a:extLst>
            <a:ext uri="{FF2B5EF4-FFF2-40B4-BE49-F238E27FC236}"/>
          </a:extLst>
        </xdr:cNvPr>
        <xdr:cNvSpPr/>
      </xdr:nvSpPr>
      <xdr:spPr>
        <a:xfrm>
          <a:off x="6296025" y="17430750"/>
          <a:ext cx="523143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106</xdr:row>
      <xdr:rowOff>0</xdr:rowOff>
    </xdr:from>
    <xdr:ext cx="514350" cy="352425"/>
    <xdr:sp macro="" textlink="">
      <xdr:nvSpPr>
        <xdr:cNvPr id="258" name="Isosceles Triangle 257">
          <a:extLst>
            <a:ext uri="{FF2B5EF4-FFF2-40B4-BE49-F238E27FC236}"/>
          </a:extLst>
        </xdr:cNvPr>
        <xdr:cNvSpPr/>
      </xdr:nvSpPr>
      <xdr:spPr>
        <a:xfrm>
          <a:off x="7172325" y="20478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90</xdr:row>
      <xdr:rowOff>0</xdr:rowOff>
    </xdr:from>
    <xdr:ext cx="514350" cy="352425"/>
    <xdr:sp macro="" textlink="">
      <xdr:nvSpPr>
        <xdr:cNvPr id="259" name="Isosceles Triangle 258">
          <a:extLst>
            <a:ext uri="{FF2B5EF4-FFF2-40B4-BE49-F238E27FC236}"/>
          </a:extLst>
        </xdr:cNvPr>
        <xdr:cNvSpPr/>
      </xdr:nvSpPr>
      <xdr:spPr>
        <a:xfrm>
          <a:off x="12115800" y="17430750"/>
          <a:ext cx="50409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106</xdr:row>
      <xdr:rowOff>0</xdr:rowOff>
    </xdr:from>
    <xdr:ext cx="514350" cy="352425"/>
    <xdr:sp macro="" textlink="">
      <xdr:nvSpPr>
        <xdr:cNvPr id="260" name="Isosceles Triangle 259">
          <a:extLst>
            <a:ext uri="{FF2B5EF4-FFF2-40B4-BE49-F238E27FC236}"/>
          </a:extLst>
        </xdr:cNvPr>
        <xdr:cNvSpPr/>
      </xdr:nvSpPr>
      <xdr:spPr>
        <a:xfrm>
          <a:off x="6296025" y="20478750"/>
          <a:ext cx="523143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82</xdr:row>
      <xdr:rowOff>0</xdr:rowOff>
    </xdr:from>
    <xdr:ext cx="514350" cy="352425"/>
    <xdr:sp macro="" textlink="">
      <xdr:nvSpPr>
        <xdr:cNvPr id="261" name="Isosceles Triangle 260">
          <a:extLst>
            <a:ext uri="{FF2B5EF4-FFF2-40B4-BE49-F238E27FC236}"/>
          </a:extLst>
        </xdr:cNvPr>
        <xdr:cNvSpPr/>
      </xdr:nvSpPr>
      <xdr:spPr>
        <a:xfrm>
          <a:off x="8220075" y="15906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10</xdr:row>
      <xdr:rowOff>0</xdr:rowOff>
    </xdr:from>
    <xdr:ext cx="514350" cy="352425"/>
    <xdr:sp macro="" textlink="">
      <xdr:nvSpPr>
        <xdr:cNvPr id="262" name="Isosceles Triangle 261">
          <a:extLst>
            <a:ext uri="{FF2B5EF4-FFF2-40B4-BE49-F238E27FC236}"/>
          </a:extLst>
        </xdr:cNvPr>
        <xdr:cNvSpPr/>
      </xdr:nvSpPr>
      <xdr:spPr>
        <a:xfrm>
          <a:off x="11210925" y="2190750"/>
          <a:ext cx="52314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10</xdr:row>
      <xdr:rowOff>0</xdr:rowOff>
    </xdr:from>
    <xdr:ext cx="514350" cy="352425"/>
    <xdr:sp macro="" textlink="">
      <xdr:nvSpPr>
        <xdr:cNvPr id="263" name="Isosceles Triangle 262">
          <a:extLst>
            <a:ext uri="{FF2B5EF4-FFF2-40B4-BE49-F238E27FC236}"/>
          </a:extLst>
        </xdr:cNvPr>
        <xdr:cNvSpPr/>
      </xdr:nvSpPr>
      <xdr:spPr>
        <a:xfrm>
          <a:off x="6296025" y="2190750"/>
          <a:ext cx="52314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10</xdr:row>
      <xdr:rowOff>0</xdr:rowOff>
    </xdr:from>
    <xdr:ext cx="514350" cy="352425"/>
    <xdr:sp macro="" textlink="">
      <xdr:nvSpPr>
        <xdr:cNvPr id="264" name="Isosceles Triangle 263">
          <a:extLst>
            <a:ext uri="{FF2B5EF4-FFF2-40B4-BE49-F238E27FC236}"/>
          </a:extLst>
        </xdr:cNvPr>
        <xdr:cNvSpPr/>
      </xdr:nvSpPr>
      <xdr:spPr>
        <a:xfrm>
          <a:off x="4514850" y="2190750"/>
          <a:ext cx="523141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10</xdr:row>
      <xdr:rowOff>0</xdr:rowOff>
    </xdr:from>
    <xdr:ext cx="514350" cy="352425"/>
    <xdr:sp macro="" textlink="">
      <xdr:nvSpPr>
        <xdr:cNvPr id="265" name="Isosceles Triangle 264">
          <a:extLst>
            <a:ext uri="{FF2B5EF4-FFF2-40B4-BE49-F238E27FC236}"/>
          </a:extLst>
        </xdr:cNvPr>
        <xdr:cNvSpPr/>
      </xdr:nvSpPr>
      <xdr:spPr>
        <a:xfrm>
          <a:off x="7172325" y="2190750"/>
          <a:ext cx="523141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2</xdr:row>
      <xdr:rowOff>0</xdr:rowOff>
    </xdr:from>
    <xdr:ext cx="523875" cy="352425"/>
    <xdr:sp macro="" textlink="">
      <xdr:nvSpPr>
        <xdr:cNvPr id="266" name="Isosceles Triangle 265">
          <a:extLst>
            <a:ext uri="{FF2B5EF4-FFF2-40B4-BE49-F238E27FC236}"/>
          </a:extLst>
        </xdr:cNvPr>
        <xdr:cNvSpPr/>
      </xdr:nvSpPr>
      <xdr:spPr>
        <a:xfrm>
          <a:off x="8223532" y="676055"/>
          <a:ext cx="527781" cy="36934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b="1" lang="en-IN"/>
        </a:p>
      </xdr:txBody>
    </xdr:sp>
    <xdr:clientData fLocksWithSheet="0"/>
  </xdr:oneCellAnchor>
  <xdr:oneCellAnchor>
    <xdr:from>
      <xdr:col>19</xdr:col>
      <xdr:colOff>0</xdr:colOff>
      <xdr:row>26</xdr:row>
      <xdr:rowOff>0</xdr:rowOff>
    </xdr:from>
    <xdr:ext cx="514350" cy="361950"/>
    <xdr:sp macro="" textlink="">
      <xdr:nvSpPr>
        <xdr:cNvPr id="267" name="Isosceles Triangle 266">
          <a:extLst>
            <a:ext uri="{FF2B5EF4-FFF2-40B4-BE49-F238E27FC236}"/>
          </a:extLst>
        </xdr:cNvPr>
        <xdr:cNvSpPr/>
      </xdr:nvSpPr>
      <xdr:spPr>
        <a:xfrm>
          <a:off x="6298746" y="523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61</xdr:col>
      <xdr:colOff>276225</xdr:colOff>
      <xdr:row>64</xdr:row>
      <xdr:rowOff>123825</xdr:rowOff>
    </xdr:from>
    <xdr:ext cx="180975" cy="180975"/>
    <xdr:sp macro="" textlink="">
      <xdr:nvSpPr>
        <xdr:cNvPr id="268" name="5-Point Star 520">
          <a:extLst>
            <a:ext uri="{FF2B5EF4-FFF2-40B4-BE49-F238E27FC236}"/>
          </a:extLst>
        </xdr:cNvPr>
        <xdr:cNvSpPr/>
      </xdr:nvSpPr>
      <xdr:spPr>
        <a:xfrm flipH="1">
          <a:off x="22986206" y="12608719"/>
          <a:ext cx="187716" cy="190500"/>
        </a:xfrm>
        <a:prstGeom prst="star5">
          <a:avLst/>
        </a:prstGeom>
        <a:solidFill>
          <a:srgbClr val="00B0F0"/>
        </a:solidFill>
        <a:ln cap="flat" cmpd="sng" w="12700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8</xdr:col>
      <xdr:colOff>19050</xdr:colOff>
      <xdr:row>193</xdr:row>
      <xdr:rowOff>19050</xdr:rowOff>
    </xdr:from>
    <xdr:ext cx="981075" cy="9525"/>
    <xdr:cxnSp macro="">
      <xdr:nvCxnSpPr>
        <xdr:cNvPr id="269" name="Curved Connector 522">
          <a:extLst>
            <a:ext uri="{FF2B5EF4-FFF2-40B4-BE49-F238E27FC236}"/>
          </a:extLst>
        </xdr:cNvPr>
        <xdr:cNvCxnSpPr/>
      </xdr:nvCxnSpPr>
      <xdr:spPr>
        <a:xfrm flipH="1" rot="16200000">
          <a:off x="3361502" y="36557187"/>
          <a:ext cx="10584" cy="1066800"/>
        </a:xfrm>
        <a:prstGeom prst="curvedConnector3">
          <a:avLst>
            <a:gd fmla="val 1339919" name="adj1"/>
          </a:avLst>
        </a:prstGeom>
        <a:ln cap="flat" cmpd="sng" w="19050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122</xdr:row>
      <xdr:rowOff>0</xdr:rowOff>
    </xdr:from>
    <xdr:ext cx="514350" cy="361950"/>
    <xdr:sp macro="" textlink="">
      <xdr:nvSpPr>
        <xdr:cNvPr id="270" name="Isosceles Triangle 269">
          <a:extLst>
            <a:ext uri="{FF2B5EF4-FFF2-40B4-BE49-F238E27FC236}"/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130</xdr:row>
      <xdr:rowOff>0</xdr:rowOff>
    </xdr:from>
    <xdr:ext cx="514350" cy="361950"/>
    <xdr:sp macro="" textlink="">
      <xdr:nvSpPr>
        <xdr:cNvPr id="271" name="Isosceles Triangle 270">
          <a:extLst>
            <a:ext uri="{FF2B5EF4-FFF2-40B4-BE49-F238E27FC236}"/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514350" cy="361950"/>
    <xdr:sp macro="" textlink="">
      <xdr:nvSpPr>
        <xdr:cNvPr id="272" name="Isosceles Triangle 271">
          <a:extLst>
            <a:ext uri="{FF2B5EF4-FFF2-40B4-BE49-F238E27FC236}"/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146</xdr:row>
      <xdr:rowOff>0</xdr:rowOff>
    </xdr:from>
    <xdr:ext cx="514350" cy="361950"/>
    <xdr:sp macro="" textlink="">
      <xdr:nvSpPr>
        <xdr:cNvPr id="273" name="Isosceles Triangle 272">
          <a:extLst>
            <a:ext uri="{FF2B5EF4-FFF2-40B4-BE49-F238E27FC236}"/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154</xdr:row>
      <xdr:rowOff>0</xdr:rowOff>
    </xdr:from>
    <xdr:ext cx="514350" cy="361950"/>
    <xdr:sp macro="" textlink="">
      <xdr:nvSpPr>
        <xdr:cNvPr id="274" name="Isosceles Triangle 273">
          <a:extLst>
            <a:ext uri="{FF2B5EF4-FFF2-40B4-BE49-F238E27FC236}"/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162</xdr:row>
      <xdr:rowOff>0</xdr:rowOff>
    </xdr:from>
    <xdr:ext cx="514350" cy="361950"/>
    <xdr:sp macro="" textlink="">
      <xdr:nvSpPr>
        <xdr:cNvPr id="275" name="Isosceles Triangle 274">
          <a:extLst>
            <a:ext uri="{FF2B5EF4-FFF2-40B4-BE49-F238E27FC236}"/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170</xdr:row>
      <xdr:rowOff>0</xdr:rowOff>
    </xdr:from>
    <xdr:ext cx="514350" cy="361950"/>
    <xdr:sp macro="" textlink="">
      <xdr:nvSpPr>
        <xdr:cNvPr id="276" name="Isosceles Triangle 275">
          <a:extLst>
            <a:ext uri="{FF2B5EF4-FFF2-40B4-BE49-F238E27FC236}"/>
          </a:extLst>
        </xdr:cNvPr>
        <xdr:cNvSpPr/>
      </xdr:nvSpPr>
      <xdr:spPr>
        <a:xfrm>
          <a:off x="609600" y="32670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178</xdr:row>
      <xdr:rowOff>0</xdr:rowOff>
    </xdr:from>
    <xdr:ext cx="514350" cy="361950"/>
    <xdr:sp macro="" textlink="">
      <xdr:nvSpPr>
        <xdr:cNvPr id="277" name="Isosceles Triangle 276">
          <a:extLst>
            <a:ext uri="{FF2B5EF4-FFF2-40B4-BE49-F238E27FC236}"/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114</xdr:row>
      <xdr:rowOff>0</xdr:rowOff>
    </xdr:from>
    <xdr:ext cx="514350" cy="361950"/>
    <xdr:sp macro="" textlink="">
      <xdr:nvSpPr>
        <xdr:cNvPr id="278" name="Isosceles Triangle 277">
          <a:extLst>
            <a:ext uri="{FF2B5EF4-FFF2-40B4-BE49-F238E27FC236}"/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114</xdr:row>
      <xdr:rowOff>0</xdr:rowOff>
    </xdr:from>
    <xdr:ext cx="533400" cy="361950"/>
    <xdr:sp macro="" textlink="">
      <xdr:nvSpPr>
        <xdr:cNvPr id="279" name="Isosceles Triangle 278">
          <a:extLst>
            <a:ext uri="{FF2B5EF4-FFF2-40B4-BE49-F238E27FC236}"/>
          </a:extLst>
        </xdr:cNvPr>
        <xdr:cNvSpPr/>
      </xdr:nvSpPr>
      <xdr:spPr>
        <a:xfrm>
          <a:off x="1552575" y="2200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114</xdr:row>
      <xdr:rowOff>0</xdr:rowOff>
    </xdr:from>
    <xdr:ext cx="514350" cy="361950"/>
    <xdr:sp macro="" textlink="">
      <xdr:nvSpPr>
        <xdr:cNvPr id="280" name="Isosceles Triangle 279">
          <a:extLst>
            <a:ext uri="{FF2B5EF4-FFF2-40B4-BE49-F238E27FC236}"/>
          </a:extLst>
        </xdr:cNvPr>
        <xdr:cNvSpPr/>
      </xdr:nvSpPr>
      <xdr:spPr>
        <a:xfrm>
          <a:off x="2543175" y="2200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114</xdr:row>
      <xdr:rowOff>0</xdr:rowOff>
    </xdr:from>
    <xdr:ext cx="514350" cy="361950"/>
    <xdr:sp macro="" textlink="">
      <xdr:nvSpPr>
        <xdr:cNvPr id="281" name="Isosceles Triangle 280">
          <a:extLst>
            <a:ext uri="{FF2B5EF4-FFF2-40B4-BE49-F238E27FC236}"/>
          </a:extLst>
        </xdr:cNvPr>
        <xdr:cNvSpPr/>
      </xdr:nvSpPr>
      <xdr:spPr>
        <a:xfrm>
          <a:off x="3609975" y="2200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114</xdr:row>
      <xdr:rowOff>0</xdr:rowOff>
    </xdr:from>
    <xdr:ext cx="514350" cy="361950"/>
    <xdr:sp macro="" textlink="">
      <xdr:nvSpPr>
        <xdr:cNvPr id="282" name="Isosceles Triangle 281">
          <a:extLst>
            <a:ext uri="{FF2B5EF4-FFF2-40B4-BE49-F238E27FC236}"/>
          </a:extLst>
        </xdr:cNvPr>
        <xdr:cNvSpPr/>
      </xdr:nvSpPr>
      <xdr:spPr>
        <a:xfrm>
          <a:off x="4514850" y="2200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114</xdr:row>
      <xdr:rowOff>0</xdr:rowOff>
    </xdr:from>
    <xdr:ext cx="514350" cy="361950"/>
    <xdr:sp macro="" textlink="">
      <xdr:nvSpPr>
        <xdr:cNvPr id="283" name="Isosceles Triangle 282">
          <a:extLst>
            <a:ext uri="{FF2B5EF4-FFF2-40B4-BE49-F238E27FC236}"/>
          </a:extLst>
        </xdr:cNvPr>
        <xdr:cNvSpPr/>
      </xdr:nvSpPr>
      <xdr:spPr>
        <a:xfrm>
          <a:off x="5381625" y="2200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114</xdr:row>
      <xdr:rowOff>0</xdr:rowOff>
    </xdr:from>
    <xdr:ext cx="514350" cy="361950"/>
    <xdr:sp macro="" textlink="">
      <xdr:nvSpPr>
        <xdr:cNvPr id="284" name="Isosceles Triangle 283">
          <a:extLst>
            <a:ext uri="{FF2B5EF4-FFF2-40B4-BE49-F238E27FC236}"/>
          </a:extLst>
        </xdr:cNvPr>
        <xdr:cNvSpPr/>
      </xdr:nvSpPr>
      <xdr:spPr>
        <a:xfrm>
          <a:off x="6296025" y="2200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114</xdr:row>
      <xdr:rowOff>0</xdr:rowOff>
    </xdr:from>
    <xdr:ext cx="514350" cy="361950"/>
    <xdr:sp macro="" textlink="">
      <xdr:nvSpPr>
        <xdr:cNvPr id="285" name="Isosceles Triangle 284">
          <a:extLst>
            <a:ext uri="{FF2B5EF4-FFF2-40B4-BE49-F238E27FC236}"/>
          </a:extLst>
        </xdr:cNvPr>
        <xdr:cNvSpPr/>
      </xdr:nvSpPr>
      <xdr:spPr>
        <a:xfrm>
          <a:off x="7172325" y="22002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114</xdr:row>
      <xdr:rowOff>0</xdr:rowOff>
    </xdr:from>
    <xdr:ext cx="514350" cy="361950"/>
    <xdr:sp macro="" textlink="">
      <xdr:nvSpPr>
        <xdr:cNvPr id="286" name="Isosceles Triangle 285">
          <a:extLst>
            <a:ext uri="{FF2B5EF4-FFF2-40B4-BE49-F238E27FC236}"/>
          </a:extLst>
        </xdr:cNvPr>
        <xdr:cNvSpPr/>
      </xdr:nvSpPr>
      <xdr:spPr>
        <a:xfrm>
          <a:off x="8220075" y="22002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114</xdr:row>
      <xdr:rowOff>0</xdr:rowOff>
    </xdr:from>
    <xdr:ext cx="495300" cy="361950"/>
    <xdr:sp macro="" textlink="">
      <xdr:nvSpPr>
        <xdr:cNvPr id="287" name="Isosceles Triangle 286">
          <a:extLst>
            <a:ext uri="{FF2B5EF4-FFF2-40B4-BE49-F238E27FC236}"/>
          </a:extLst>
        </xdr:cNvPr>
        <xdr:cNvSpPr/>
      </xdr:nvSpPr>
      <xdr:spPr>
        <a:xfrm>
          <a:off x="9210675" y="22002750"/>
          <a:ext cx="504093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114</xdr:row>
      <xdr:rowOff>0</xdr:rowOff>
    </xdr:from>
    <xdr:ext cx="514350" cy="361950"/>
    <xdr:sp macro="" textlink="">
      <xdr:nvSpPr>
        <xdr:cNvPr id="288" name="Isosceles Triangle 287">
          <a:extLst>
            <a:ext uri="{FF2B5EF4-FFF2-40B4-BE49-F238E27FC236}"/>
          </a:extLst>
        </xdr:cNvPr>
        <xdr:cNvSpPr/>
      </xdr:nvSpPr>
      <xdr:spPr>
        <a:xfrm>
          <a:off x="10125075" y="22002750"/>
          <a:ext cx="513618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114</xdr:row>
      <xdr:rowOff>0</xdr:rowOff>
    </xdr:from>
    <xdr:ext cx="514350" cy="361950"/>
    <xdr:sp macro="" textlink="">
      <xdr:nvSpPr>
        <xdr:cNvPr id="289" name="Isosceles Triangle 288">
          <a:extLst>
            <a:ext uri="{FF2B5EF4-FFF2-40B4-BE49-F238E27FC236}"/>
          </a:extLst>
        </xdr:cNvPr>
        <xdr:cNvSpPr/>
      </xdr:nvSpPr>
      <xdr:spPr>
        <a:xfrm>
          <a:off x="11210925" y="22002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114</xdr:row>
      <xdr:rowOff>0</xdr:rowOff>
    </xdr:from>
    <xdr:ext cx="514350" cy="361950"/>
    <xdr:sp macro="" textlink="">
      <xdr:nvSpPr>
        <xdr:cNvPr id="290" name="Isosceles Triangle 289">
          <a:extLst>
            <a:ext uri="{FF2B5EF4-FFF2-40B4-BE49-F238E27FC236}"/>
          </a:extLst>
        </xdr:cNvPr>
        <xdr:cNvSpPr/>
      </xdr:nvSpPr>
      <xdr:spPr>
        <a:xfrm>
          <a:off x="12115800" y="22002750"/>
          <a:ext cx="50409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114</xdr:row>
      <xdr:rowOff>0</xdr:rowOff>
    </xdr:from>
    <xdr:ext cx="514350" cy="361950"/>
    <xdr:sp macro="" textlink="">
      <xdr:nvSpPr>
        <xdr:cNvPr id="291" name="Isosceles Triangle 290">
          <a:extLst>
            <a:ext uri="{FF2B5EF4-FFF2-40B4-BE49-F238E27FC236}"/>
          </a:extLst>
        </xdr:cNvPr>
        <xdr:cNvSpPr/>
      </xdr:nvSpPr>
      <xdr:spPr>
        <a:xfrm>
          <a:off x="13115925" y="22002750"/>
          <a:ext cx="589818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114</xdr:row>
      <xdr:rowOff>0</xdr:rowOff>
    </xdr:from>
    <xdr:ext cx="514350" cy="352425"/>
    <xdr:sp macro="" textlink="">
      <xdr:nvSpPr>
        <xdr:cNvPr id="293" name="Isosceles Triangle 292">
          <a:extLst>
            <a:ext uri="{FF2B5EF4-FFF2-40B4-BE49-F238E27FC236}"/>
          </a:extLst>
        </xdr:cNvPr>
        <xdr:cNvSpPr/>
      </xdr:nvSpPr>
      <xdr:spPr>
        <a:xfrm>
          <a:off x="609600" y="2200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114</xdr:row>
      <xdr:rowOff>0</xdr:rowOff>
    </xdr:from>
    <xdr:ext cx="514350" cy="352425"/>
    <xdr:sp macro="" textlink="">
      <xdr:nvSpPr>
        <xdr:cNvPr id="294" name="Isosceles Triangle 293">
          <a:extLst>
            <a:ext uri="{FF2B5EF4-FFF2-40B4-BE49-F238E27FC236}"/>
          </a:extLst>
        </xdr:cNvPr>
        <xdr:cNvSpPr/>
      </xdr:nvSpPr>
      <xdr:spPr>
        <a:xfrm>
          <a:off x="2543175" y="2200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114</xdr:row>
      <xdr:rowOff>0</xdr:rowOff>
    </xdr:from>
    <xdr:ext cx="533400" cy="352425"/>
    <xdr:sp macro="" textlink="">
      <xdr:nvSpPr>
        <xdr:cNvPr id="295" name="Isosceles Triangle 294">
          <a:extLst>
            <a:ext uri="{FF2B5EF4-FFF2-40B4-BE49-F238E27FC236}"/>
          </a:extLst>
        </xdr:cNvPr>
        <xdr:cNvSpPr/>
      </xdr:nvSpPr>
      <xdr:spPr>
        <a:xfrm>
          <a:off x="1552575" y="22002750"/>
          <a:ext cx="523143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114</xdr:row>
      <xdr:rowOff>0</xdr:rowOff>
    </xdr:from>
    <xdr:ext cx="514350" cy="352425"/>
    <xdr:sp macro="" textlink="">
      <xdr:nvSpPr>
        <xdr:cNvPr id="296" name="Isosceles Triangle 295">
          <a:extLst>
            <a:ext uri="{FF2B5EF4-FFF2-40B4-BE49-F238E27FC236}"/>
          </a:extLst>
        </xdr:cNvPr>
        <xdr:cNvSpPr/>
      </xdr:nvSpPr>
      <xdr:spPr>
        <a:xfrm>
          <a:off x="3609975" y="2200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114</xdr:row>
      <xdr:rowOff>0</xdr:rowOff>
    </xdr:from>
    <xdr:ext cx="514350" cy="352425"/>
    <xdr:sp macro="" textlink="">
      <xdr:nvSpPr>
        <xdr:cNvPr id="297" name="Isosceles Triangle 296">
          <a:extLst>
            <a:ext uri="{FF2B5EF4-FFF2-40B4-BE49-F238E27FC236}"/>
          </a:extLst>
        </xdr:cNvPr>
        <xdr:cNvSpPr/>
      </xdr:nvSpPr>
      <xdr:spPr>
        <a:xfrm>
          <a:off x="5381625" y="2200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114</xdr:row>
      <xdr:rowOff>0</xdr:rowOff>
    </xdr:from>
    <xdr:ext cx="495300" cy="352425"/>
    <xdr:sp macro="" textlink="">
      <xdr:nvSpPr>
        <xdr:cNvPr id="298" name="Isosceles Triangle 297">
          <a:extLst>
            <a:ext uri="{FF2B5EF4-FFF2-40B4-BE49-F238E27FC236}"/>
          </a:extLst>
        </xdr:cNvPr>
        <xdr:cNvSpPr/>
      </xdr:nvSpPr>
      <xdr:spPr>
        <a:xfrm>
          <a:off x="9210675" y="22002750"/>
          <a:ext cx="50409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114</xdr:row>
      <xdr:rowOff>0</xdr:rowOff>
    </xdr:from>
    <xdr:ext cx="514350" cy="352425"/>
    <xdr:sp macro="" textlink="">
      <xdr:nvSpPr>
        <xdr:cNvPr id="299" name="Isosceles Triangle 298">
          <a:extLst>
            <a:ext uri="{FF2B5EF4-FFF2-40B4-BE49-F238E27FC236}"/>
          </a:extLst>
        </xdr:cNvPr>
        <xdr:cNvSpPr/>
      </xdr:nvSpPr>
      <xdr:spPr>
        <a:xfrm>
          <a:off x="8220075" y="2200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114</xdr:row>
      <xdr:rowOff>0</xdr:rowOff>
    </xdr:from>
    <xdr:ext cx="514350" cy="352425"/>
    <xdr:sp macro="" textlink="">
      <xdr:nvSpPr>
        <xdr:cNvPr id="300" name="Isosceles Triangle 299">
          <a:extLst>
            <a:ext uri="{FF2B5EF4-FFF2-40B4-BE49-F238E27FC236}"/>
          </a:extLst>
        </xdr:cNvPr>
        <xdr:cNvSpPr/>
      </xdr:nvSpPr>
      <xdr:spPr>
        <a:xfrm>
          <a:off x="4514850" y="2200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114</xdr:row>
      <xdr:rowOff>0</xdr:rowOff>
    </xdr:from>
    <xdr:ext cx="514350" cy="352425"/>
    <xdr:sp macro="" textlink="">
      <xdr:nvSpPr>
        <xdr:cNvPr id="301" name="Isosceles Triangle 300">
          <a:extLst>
            <a:ext uri="{FF2B5EF4-FFF2-40B4-BE49-F238E27FC236}"/>
          </a:extLst>
        </xdr:cNvPr>
        <xdr:cNvSpPr/>
      </xdr:nvSpPr>
      <xdr:spPr>
        <a:xfrm>
          <a:off x="7172325" y="2200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114</xdr:row>
      <xdr:rowOff>0</xdr:rowOff>
    </xdr:from>
    <xdr:ext cx="514350" cy="352425"/>
    <xdr:sp macro="" textlink="">
      <xdr:nvSpPr>
        <xdr:cNvPr id="302" name="Isosceles Triangle 301">
          <a:extLst>
            <a:ext uri="{FF2B5EF4-FFF2-40B4-BE49-F238E27FC236}"/>
          </a:extLst>
        </xdr:cNvPr>
        <xdr:cNvSpPr/>
      </xdr:nvSpPr>
      <xdr:spPr>
        <a:xfrm>
          <a:off x="6296025" y="22002750"/>
          <a:ext cx="523143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122</xdr:row>
      <xdr:rowOff>0</xdr:rowOff>
    </xdr:from>
    <xdr:ext cx="514350" cy="361950"/>
    <xdr:sp macro="" textlink="">
      <xdr:nvSpPr>
        <xdr:cNvPr id="303" name="Isosceles Triangle 302">
          <a:extLst>
            <a:ext uri="{FF2B5EF4-FFF2-40B4-BE49-F238E27FC236}"/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122</xdr:row>
      <xdr:rowOff>0</xdr:rowOff>
    </xdr:from>
    <xdr:ext cx="533400" cy="361950"/>
    <xdr:sp macro="" textlink="">
      <xdr:nvSpPr>
        <xdr:cNvPr id="304" name="Isosceles Triangle 303">
          <a:extLst>
            <a:ext uri="{FF2B5EF4-FFF2-40B4-BE49-F238E27FC236}"/>
          </a:extLst>
        </xdr:cNvPr>
        <xdr:cNvSpPr/>
      </xdr:nvSpPr>
      <xdr:spPr>
        <a:xfrm>
          <a:off x="1552575" y="2352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122</xdr:row>
      <xdr:rowOff>0</xdr:rowOff>
    </xdr:from>
    <xdr:ext cx="514350" cy="361950"/>
    <xdr:sp macro="" textlink="">
      <xdr:nvSpPr>
        <xdr:cNvPr id="305" name="Isosceles Triangle 304">
          <a:extLst>
            <a:ext uri="{FF2B5EF4-FFF2-40B4-BE49-F238E27FC236}"/>
          </a:extLst>
        </xdr:cNvPr>
        <xdr:cNvSpPr/>
      </xdr:nvSpPr>
      <xdr:spPr>
        <a:xfrm>
          <a:off x="2543175" y="2352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122</xdr:row>
      <xdr:rowOff>0</xdr:rowOff>
    </xdr:from>
    <xdr:ext cx="514350" cy="361950"/>
    <xdr:sp macro="" textlink="">
      <xdr:nvSpPr>
        <xdr:cNvPr id="306" name="Isosceles Triangle 305">
          <a:extLst>
            <a:ext uri="{FF2B5EF4-FFF2-40B4-BE49-F238E27FC236}"/>
          </a:extLst>
        </xdr:cNvPr>
        <xdr:cNvSpPr/>
      </xdr:nvSpPr>
      <xdr:spPr>
        <a:xfrm>
          <a:off x="3609975" y="2352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122</xdr:row>
      <xdr:rowOff>0</xdr:rowOff>
    </xdr:from>
    <xdr:ext cx="514350" cy="361950"/>
    <xdr:sp macro="" textlink="">
      <xdr:nvSpPr>
        <xdr:cNvPr id="307" name="Isosceles Triangle 306">
          <a:extLst>
            <a:ext uri="{FF2B5EF4-FFF2-40B4-BE49-F238E27FC236}"/>
          </a:extLst>
        </xdr:cNvPr>
        <xdr:cNvSpPr/>
      </xdr:nvSpPr>
      <xdr:spPr>
        <a:xfrm>
          <a:off x="4514850" y="2352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122</xdr:row>
      <xdr:rowOff>0</xdr:rowOff>
    </xdr:from>
    <xdr:ext cx="514350" cy="361950"/>
    <xdr:sp macro="" textlink="">
      <xdr:nvSpPr>
        <xdr:cNvPr id="308" name="Isosceles Triangle 307">
          <a:extLst>
            <a:ext uri="{FF2B5EF4-FFF2-40B4-BE49-F238E27FC236}"/>
          </a:extLst>
        </xdr:cNvPr>
        <xdr:cNvSpPr/>
      </xdr:nvSpPr>
      <xdr:spPr>
        <a:xfrm>
          <a:off x="5381625" y="2352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122</xdr:row>
      <xdr:rowOff>0</xdr:rowOff>
    </xdr:from>
    <xdr:ext cx="514350" cy="361950"/>
    <xdr:sp macro="" textlink="">
      <xdr:nvSpPr>
        <xdr:cNvPr id="309" name="Isosceles Triangle 308">
          <a:extLst>
            <a:ext uri="{FF2B5EF4-FFF2-40B4-BE49-F238E27FC236}"/>
          </a:extLst>
        </xdr:cNvPr>
        <xdr:cNvSpPr/>
      </xdr:nvSpPr>
      <xdr:spPr>
        <a:xfrm>
          <a:off x="6296025" y="2352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122</xdr:row>
      <xdr:rowOff>0</xdr:rowOff>
    </xdr:from>
    <xdr:ext cx="514350" cy="361950"/>
    <xdr:sp macro="" textlink="">
      <xdr:nvSpPr>
        <xdr:cNvPr id="310" name="Isosceles Triangle 309">
          <a:extLst>
            <a:ext uri="{FF2B5EF4-FFF2-40B4-BE49-F238E27FC236}"/>
          </a:extLst>
        </xdr:cNvPr>
        <xdr:cNvSpPr/>
      </xdr:nvSpPr>
      <xdr:spPr>
        <a:xfrm>
          <a:off x="7172325" y="2352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122</xdr:row>
      <xdr:rowOff>0</xdr:rowOff>
    </xdr:from>
    <xdr:ext cx="514350" cy="361950"/>
    <xdr:sp macro="" textlink="">
      <xdr:nvSpPr>
        <xdr:cNvPr id="311" name="Isosceles Triangle 310">
          <a:extLst>
            <a:ext uri="{FF2B5EF4-FFF2-40B4-BE49-F238E27FC236}"/>
          </a:extLst>
        </xdr:cNvPr>
        <xdr:cNvSpPr/>
      </xdr:nvSpPr>
      <xdr:spPr>
        <a:xfrm>
          <a:off x="8220075" y="2352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122</xdr:row>
      <xdr:rowOff>0</xdr:rowOff>
    </xdr:from>
    <xdr:ext cx="495300" cy="361950"/>
    <xdr:sp macro="" textlink="">
      <xdr:nvSpPr>
        <xdr:cNvPr id="312" name="Isosceles Triangle 311">
          <a:extLst>
            <a:ext uri="{FF2B5EF4-FFF2-40B4-BE49-F238E27FC236}"/>
          </a:extLst>
        </xdr:cNvPr>
        <xdr:cNvSpPr/>
      </xdr:nvSpPr>
      <xdr:spPr>
        <a:xfrm>
          <a:off x="9210675" y="23526750"/>
          <a:ext cx="504093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122</xdr:row>
      <xdr:rowOff>0</xdr:rowOff>
    </xdr:from>
    <xdr:ext cx="514350" cy="361950"/>
    <xdr:sp macro="" textlink="">
      <xdr:nvSpPr>
        <xdr:cNvPr id="313" name="Isosceles Triangle 312">
          <a:extLst>
            <a:ext uri="{FF2B5EF4-FFF2-40B4-BE49-F238E27FC236}"/>
          </a:extLst>
        </xdr:cNvPr>
        <xdr:cNvSpPr/>
      </xdr:nvSpPr>
      <xdr:spPr>
        <a:xfrm>
          <a:off x="10125075" y="23526750"/>
          <a:ext cx="5136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122</xdr:row>
      <xdr:rowOff>0</xdr:rowOff>
    </xdr:from>
    <xdr:ext cx="514350" cy="361950"/>
    <xdr:sp macro="" textlink="">
      <xdr:nvSpPr>
        <xdr:cNvPr id="314" name="Isosceles Triangle 313">
          <a:extLst>
            <a:ext uri="{FF2B5EF4-FFF2-40B4-BE49-F238E27FC236}"/>
          </a:extLst>
        </xdr:cNvPr>
        <xdr:cNvSpPr/>
      </xdr:nvSpPr>
      <xdr:spPr>
        <a:xfrm>
          <a:off x="11210925" y="23526750"/>
          <a:ext cx="52314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122</xdr:row>
      <xdr:rowOff>0</xdr:rowOff>
    </xdr:from>
    <xdr:ext cx="514350" cy="361950"/>
    <xdr:sp macro="" textlink="">
      <xdr:nvSpPr>
        <xdr:cNvPr id="315" name="Isosceles Triangle 314">
          <a:extLst>
            <a:ext uri="{FF2B5EF4-FFF2-40B4-BE49-F238E27FC236}"/>
          </a:extLst>
        </xdr:cNvPr>
        <xdr:cNvSpPr/>
      </xdr:nvSpPr>
      <xdr:spPr>
        <a:xfrm>
          <a:off x="12115800" y="23526750"/>
          <a:ext cx="50409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122</xdr:row>
      <xdr:rowOff>0</xdr:rowOff>
    </xdr:from>
    <xdr:ext cx="514350" cy="361950"/>
    <xdr:sp macro="" textlink="">
      <xdr:nvSpPr>
        <xdr:cNvPr id="316" name="Isosceles Triangle 315">
          <a:extLst>
            <a:ext uri="{FF2B5EF4-FFF2-40B4-BE49-F238E27FC236}"/>
          </a:extLst>
        </xdr:cNvPr>
        <xdr:cNvSpPr/>
      </xdr:nvSpPr>
      <xdr:spPr>
        <a:xfrm>
          <a:off x="13115925" y="23526750"/>
          <a:ext cx="5898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</xdr:col>
      <xdr:colOff>123825</xdr:colOff>
      <xdr:row>123</xdr:row>
      <xdr:rowOff>161925</xdr:rowOff>
    </xdr:from>
    <xdr:ext cx="142875" cy="381000"/>
    <xdr:sp macro="" textlink="">
      <xdr:nvSpPr>
        <xdr:cNvPr id="317" name="Arrow: Up 351">
          <a:extLst>
            <a:ext uri="{FF2B5EF4-FFF2-40B4-BE49-F238E27FC236}"/>
          </a:extLst>
        </xdr:cNvPr>
        <xdr:cNvSpPr/>
      </xdr:nvSpPr>
      <xdr:spPr>
        <a:xfrm>
          <a:off x="1273968" y="2388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</xdr:col>
      <xdr:colOff>0</xdr:colOff>
      <xdr:row>122</xdr:row>
      <xdr:rowOff>0</xdr:rowOff>
    </xdr:from>
    <xdr:ext cx="514350" cy="352425"/>
    <xdr:sp macro="" textlink="">
      <xdr:nvSpPr>
        <xdr:cNvPr id="318" name="Isosceles Triangle 317">
          <a:extLst>
            <a:ext uri="{FF2B5EF4-FFF2-40B4-BE49-F238E27FC236}"/>
          </a:extLst>
        </xdr:cNvPr>
        <xdr:cNvSpPr/>
      </xdr:nvSpPr>
      <xdr:spPr>
        <a:xfrm>
          <a:off x="609600" y="23526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122</xdr:row>
      <xdr:rowOff>0</xdr:rowOff>
    </xdr:from>
    <xdr:ext cx="514350" cy="352425"/>
    <xdr:sp macro="" textlink="">
      <xdr:nvSpPr>
        <xdr:cNvPr id="319" name="Isosceles Triangle 318">
          <a:extLst>
            <a:ext uri="{FF2B5EF4-FFF2-40B4-BE49-F238E27FC236}"/>
          </a:extLst>
        </xdr:cNvPr>
        <xdr:cNvSpPr/>
      </xdr:nvSpPr>
      <xdr:spPr>
        <a:xfrm>
          <a:off x="2543175" y="23526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122</xdr:row>
      <xdr:rowOff>0</xdr:rowOff>
    </xdr:from>
    <xdr:ext cx="533400" cy="352425"/>
    <xdr:sp macro="" textlink="">
      <xdr:nvSpPr>
        <xdr:cNvPr id="320" name="Isosceles Triangle 319">
          <a:extLst>
            <a:ext uri="{FF2B5EF4-FFF2-40B4-BE49-F238E27FC236}"/>
          </a:extLst>
        </xdr:cNvPr>
        <xdr:cNvSpPr/>
      </xdr:nvSpPr>
      <xdr:spPr>
        <a:xfrm>
          <a:off x="1552575" y="23526750"/>
          <a:ext cx="523143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122</xdr:row>
      <xdr:rowOff>0</xdr:rowOff>
    </xdr:from>
    <xdr:ext cx="514350" cy="352425"/>
    <xdr:sp macro="" textlink="">
      <xdr:nvSpPr>
        <xdr:cNvPr id="321" name="Isosceles Triangle 320">
          <a:extLst>
            <a:ext uri="{FF2B5EF4-FFF2-40B4-BE49-F238E27FC236}"/>
          </a:extLst>
        </xdr:cNvPr>
        <xdr:cNvSpPr/>
      </xdr:nvSpPr>
      <xdr:spPr>
        <a:xfrm>
          <a:off x="3609975" y="23526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122</xdr:row>
      <xdr:rowOff>0</xdr:rowOff>
    </xdr:from>
    <xdr:ext cx="514350" cy="352425"/>
    <xdr:sp macro="" textlink="">
      <xdr:nvSpPr>
        <xdr:cNvPr id="322" name="Isosceles Triangle 321">
          <a:extLst>
            <a:ext uri="{FF2B5EF4-FFF2-40B4-BE49-F238E27FC236}"/>
          </a:extLst>
        </xdr:cNvPr>
        <xdr:cNvSpPr/>
      </xdr:nvSpPr>
      <xdr:spPr>
        <a:xfrm>
          <a:off x="5381625" y="23526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122</xdr:row>
      <xdr:rowOff>0</xdr:rowOff>
    </xdr:from>
    <xdr:ext cx="495300" cy="352425"/>
    <xdr:sp macro="" textlink="">
      <xdr:nvSpPr>
        <xdr:cNvPr id="323" name="Isosceles Triangle 322">
          <a:extLst>
            <a:ext uri="{FF2B5EF4-FFF2-40B4-BE49-F238E27FC236}"/>
          </a:extLst>
        </xdr:cNvPr>
        <xdr:cNvSpPr/>
      </xdr:nvSpPr>
      <xdr:spPr>
        <a:xfrm>
          <a:off x="9210675" y="23526750"/>
          <a:ext cx="50409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122</xdr:row>
      <xdr:rowOff>0</xdr:rowOff>
    </xdr:from>
    <xdr:ext cx="514350" cy="352425"/>
    <xdr:sp macro="" textlink="">
      <xdr:nvSpPr>
        <xdr:cNvPr id="324" name="Isosceles Triangle 323">
          <a:extLst>
            <a:ext uri="{FF2B5EF4-FFF2-40B4-BE49-F238E27FC236}"/>
          </a:extLst>
        </xdr:cNvPr>
        <xdr:cNvSpPr/>
      </xdr:nvSpPr>
      <xdr:spPr>
        <a:xfrm>
          <a:off x="8220075" y="23526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122</xdr:row>
      <xdr:rowOff>0</xdr:rowOff>
    </xdr:from>
    <xdr:ext cx="514350" cy="352425"/>
    <xdr:sp macro="" textlink="">
      <xdr:nvSpPr>
        <xdr:cNvPr id="325" name="Isosceles Triangle 324">
          <a:extLst>
            <a:ext uri="{FF2B5EF4-FFF2-40B4-BE49-F238E27FC236}"/>
          </a:extLst>
        </xdr:cNvPr>
        <xdr:cNvSpPr/>
      </xdr:nvSpPr>
      <xdr:spPr>
        <a:xfrm>
          <a:off x="4514850" y="23526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122</xdr:row>
      <xdr:rowOff>0</xdr:rowOff>
    </xdr:from>
    <xdr:ext cx="514350" cy="352425"/>
    <xdr:sp macro="" textlink="">
      <xdr:nvSpPr>
        <xdr:cNvPr id="326" name="Isosceles Triangle 325">
          <a:extLst>
            <a:ext uri="{FF2B5EF4-FFF2-40B4-BE49-F238E27FC236}"/>
          </a:extLst>
        </xdr:cNvPr>
        <xdr:cNvSpPr/>
      </xdr:nvSpPr>
      <xdr:spPr>
        <a:xfrm>
          <a:off x="7172325" y="23526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122</xdr:row>
      <xdr:rowOff>0</xdr:rowOff>
    </xdr:from>
    <xdr:ext cx="514350" cy="352425"/>
    <xdr:sp macro="" textlink="">
      <xdr:nvSpPr>
        <xdr:cNvPr id="327" name="Isosceles Triangle 326">
          <a:extLst>
            <a:ext uri="{FF2B5EF4-FFF2-40B4-BE49-F238E27FC236}"/>
          </a:extLst>
        </xdr:cNvPr>
        <xdr:cNvSpPr/>
      </xdr:nvSpPr>
      <xdr:spPr>
        <a:xfrm>
          <a:off x="6296025" y="23526750"/>
          <a:ext cx="523143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130</xdr:row>
      <xdr:rowOff>0</xdr:rowOff>
    </xdr:from>
    <xdr:ext cx="514350" cy="361950"/>
    <xdr:sp macro="" textlink="">
      <xdr:nvSpPr>
        <xdr:cNvPr id="328" name="Isosceles Triangle 327">
          <a:extLst>
            <a:ext uri="{FF2B5EF4-FFF2-40B4-BE49-F238E27FC236}"/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129</xdr:row>
      <xdr:rowOff>180975</xdr:rowOff>
    </xdr:from>
    <xdr:ext cx="533400" cy="361950"/>
    <xdr:sp macro="" textlink="">
      <xdr:nvSpPr>
        <xdr:cNvPr id="329" name="Isosceles Triangle 328">
          <a:extLst>
            <a:ext uri="{FF2B5EF4-FFF2-40B4-BE49-F238E27FC236}"/>
          </a:extLst>
        </xdr:cNvPr>
        <xdr:cNvSpPr/>
      </xdr:nvSpPr>
      <xdr:spPr>
        <a:xfrm>
          <a:off x="1552575" y="25049216"/>
          <a:ext cx="523875" cy="382534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130</xdr:row>
      <xdr:rowOff>0</xdr:rowOff>
    </xdr:from>
    <xdr:ext cx="514350" cy="361950"/>
    <xdr:sp macro="" textlink="">
      <xdr:nvSpPr>
        <xdr:cNvPr id="330" name="Isosceles Triangle 329">
          <a:extLst>
            <a:ext uri="{FF2B5EF4-FFF2-40B4-BE49-F238E27FC236}"/>
          </a:extLst>
        </xdr:cNvPr>
        <xdr:cNvSpPr/>
      </xdr:nvSpPr>
      <xdr:spPr>
        <a:xfrm>
          <a:off x="2543175" y="2505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130</xdr:row>
      <xdr:rowOff>0</xdr:rowOff>
    </xdr:from>
    <xdr:ext cx="514350" cy="361950"/>
    <xdr:sp macro="" textlink="">
      <xdr:nvSpPr>
        <xdr:cNvPr id="331" name="Isosceles Triangle 330">
          <a:extLst>
            <a:ext uri="{FF2B5EF4-FFF2-40B4-BE49-F238E27FC236}"/>
          </a:extLst>
        </xdr:cNvPr>
        <xdr:cNvSpPr/>
      </xdr:nvSpPr>
      <xdr:spPr>
        <a:xfrm>
          <a:off x="3609975" y="2505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130</xdr:row>
      <xdr:rowOff>0</xdr:rowOff>
    </xdr:from>
    <xdr:ext cx="514350" cy="361950"/>
    <xdr:sp macro="" textlink="">
      <xdr:nvSpPr>
        <xdr:cNvPr id="332" name="Isosceles Triangle 331">
          <a:extLst>
            <a:ext uri="{FF2B5EF4-FFF2-40B4-BE49-F238E27FC236}"/>
          </a:extLst>
        </xdr:cNvPr>
        <xdr:cNvSpPr/>
      </xdr:nvSpPr>
      <xdr:spPr>
        <a:xfrm>
          <a:off x="4514850" y="2505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130</xdr:row>
      <xdr:rowOff>0</xdr:rowOff>
    </xdr:from>
    <xdr:ext cx="514350" cy="361950"/>
    <xdr:sp macro="" textlink="">
      <xdr:nvSpPr>
        <xdr:cNvPr id="333" name="Isosceles Triangle 332">
          <a:extLst>
            <a:ext uri="{FF2B5EF4-FFF2-40B4-BE49-F238E27FC236}"/>
          </a:extLst>
        </xdr:cNvPr>
        <xdr:cNvSpPr/>
      </xdr:nvSpPr>
      <xdr:spPr>
        <a:xfrm>
          <a:off x="5381625" y="2505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130</xdr:row>
      <xdr:rowOff>0</xdr:rowOff>
    </xdr:from>
    <xdr:ext cx="514350" cy="361950"/>
    <xdr:sp macro="" textlink="">
      <xdr:nvSpPr>
        <xdr:cNvPr id="334" name="Isosceles Triangle 333">
          <a:extLst>
            <a:ext uri="{FF2B5EF4-FFF2-40B4-BE49-F238E27FC236}"/>
          </a:extLst>
        </xdr:cNvPr>
        <xdr:cNvSpPr/>
      </xdr:nvSpPr>
      <xdr:spPr>
        <a:xfrm>
          <a:off x="6296025" y="2505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130</xdr:row>
      <xdr:rowOff>0</xdr:rowOff>
    </xdr:from>
    <xdr:ext cx="514350" cy="361950"/>
    <xdr:sp macro="" textlink="">
      <xdr:nvSpPr>
        <xdr:cNvPr id="335" name="Isosceles Triangle 334">
          <a:extLst>
            <a:ext uri="{FF2B5EF4-FFF2-40B4-BE49-F238E27FC236}"/>
          </a:extLst>
        </xdr:cNvPr>
        <xdr:cNvSpPr/>
      </xdr:nvSpPr>
      <xdr:spPr>
        <a:xfrm>
          <a:off x="7172325" y="2505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130</xdr:row>
      <xdr:rowOff>0</xdr:rowOff>
    </xdr:from>
    <xdr:ext cx="514350" cy="361950"/>
    <xdr:sp macro="" textlink="">
      <xdr:nvSpPr>
        <xdr:cNvPr id="336" name="Isosceles Triangle 335">
          <a:extLst>
            <a:ext uri="{FF2B5EF4-FFF2-40B4-BE49-F238E27FC236}"/>
          </a:extLst>
        </xdr:cNvPr>
        <xdr:cNvSpPr/>
      </xdr:nvSpPr>
      <xdr:spPr>
        <a:xfrm>
          <a:off x="8220075" y="2505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130</xdr:row>
      <xdr:rowOff>0</xdr:rowOff>
    </xdr:from>
    <xdr:ext cx="495300" cy="361950"/>
    <xdr:sp macro="" textlink="">
      <xdr:nvSpPr>
        <xdr:cNvPr id="337" name="Isosceles Triangle 336">
          <a:extLst>
            <a:ext uri="{FF2B5EF4-FFF2-40B4-BE49-F238E27FC236}"/>
          </a:extLst>
        </xdr:cNvPr>
        <xdr:cNvSpPr/>
      </xdr:nvSpPr>
      <xdr:spPr>
        <a:xfrm>
          <a:off x="9210675" y="25050750"/>
          <a:ext cx="504093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130</xdr:row>
      <xdr:rowOff>0</xdr:rowOff>
    </xdr:from>
    <xdr:ext cx="514350" cy="361950"/>
    <xdr:sp macro="" textlink="">
      <xdr:nvSpPr>
        <xdr:cNvPr id="338" name="Isosceles Triangle 337">
          <a:extLst>
            <a:ext uri="{FF2B5EF4-FFF2-40B4-BE49-F238E27FC236}"/>
          </a:extLst>
        </xdr:cNvPr>
        <xdr:cNvSpPr/>
      </xdr:nvSpPr>
      <xdr:spPr>
        <a:xfrm>
          <a:off x="10125075" y="25050750"/>
          <a:ext cx="5136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130</xdr:row>
      <xdr:rowOff>0</xdr:rowOff>
    </xdr:from>
    <xdr:ext cx="514350" cy="361950"/>
    <xdr:sp macro="" textlink="">
      <xdr:nvSpPr>
        <xdr:cNvPr id="339" name="Isosceles Triangle 338">
          <a:extLst>
            <a:ext uri="{FF2B5EF4-FFF2-40B4-BE49-F238E27FC236}"/>
          </a:extLst>
        </xdr:cNvPr>
        <xdr:cNvSpPr/>
      </xdr:nvSpPr>
      <xdr:spPr>
        <a:xfrm>
          <a:off x="11210925" y="25050750"/>
          <a:ext cx="52314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130</xdr:row>
      <xdr:rowOff>0</xdr:rowOff>
    </xdr:from>
    <xdr:ext cx="514350" cy="361950"/>
    <xdr:sp macro="" textlink="">
      <xdr:nvSpPr>
        <xdr:cNvPr id="340" name="Isosceles Triangle 339">
          <a:extLst>
            <a:ext uri="{FF2B5EF4-FFF2-40B4-BE49-F238E27FC236}"/>
          </a:extLst>
        </xdr:cNvPr>
        <xdr:cNvSpPr/>
      </xdr:nvSpPr>
      <xdr:spPr>
        <a:xfrm>
          <a:off x="12115800" y="25050750"/>
          <a:ext cx="50409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130</xdr:row>
      <xdr:rowOff>0</xdr:rowOff>
    </xdr:from>
    <xdr:ext cx="514350" cy="361950"/>
    <xdr:sp macro="" textlink="">
      <xdr:nvSpPr>
        <xdr:cNvPr id="341" name="Isosceles Triangle 340">
          <a:extLst>
            <a:ext uri="{FF2B5EF4-FFF2-40B4-BE49-F238E27FC236}"/>
          </a:extLst>
        </xdr:cNvPr>
        <xdr:cNvSpPr/>
      </xdr:nvSpPr>
      <xdr:spPr>
        <a:xfrm>
          <a:off x="13115925" y="25050750"/>
          <a:ext cx="5898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130</xdr:row>
      <xdr:rowOff>0</xdr:rowOff>
    </xdr:from>
    <xdr:ext cx="514350" cy="352425"/>
    <xdr:sp macro="" textlink="">
      <xdr:nvSpPr>
        <xdr:cNvPr id="342" name="Isosceles Triangle 341">
          <a:extLst>
            <a:ext uri="{FF2B5EF4-FFF2-40B4-BE49-F238E27FC236}"/>
          </a:extLst>
        </xdr:cNvPr>
        <xdr:cNvSpPr/>
      </xdr:nvSpPr>
      <xdr:spPr>
        <a:xfrm>
          <a:off x="609600" y="25050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130</xdr:row>
      <xdr:rowOff>0</xdr:rowOff>
    </xdr:from>
    <xdr:ext cx="514350" cy="352425"/>
    <xdr:sp macro="" textlink="">
      <xdr:nvSpPr>
        <xdr:cNvPr id="343" name="Isosceles Triangle 342">
          <a:extLst>
            <a:ext uri="{FF2B5EF4-FFF2-40B4-BE49-F238E27FC236}"/>
          </a:extLst>
        </xdr:cNvPr>
        <xdr:cNvSpPr/>
      </xdr:nvSpPr>
      <xdr:spPr>
        <a:xfrm>
          <a:off x="2543175" y="25050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130</xdr:row>
      <xdr:rowOff>0</xdr:rowOff>
    </xdr:from>
    <xdr:ext cx="514350" cy="352425"/>
    <xdr:sp macro="" textlink="">
      <xdr:nvSpPr>
        <xdr:cNvPr id="344" name="Isosceles Triangle 343">
          <a:extLst>
            <a:ext uri="{FF2B5EF4-FFF2-40B4-BE49-F238E27FC236}"/>
          </a:extLst>
        </xdr:cNvPr>
        <xdr:cNvSpPr/>
      </xdr:nvSpPr>
      <xdr:spPr>
        <a:xfrm>
          <a:off x="3609975" y="25050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130</xdr:row>
      <xdr:rowOff>0</xdr:rowOff>
    </xdr:from>
    <xdr:ext cx="514350" cy="352425"/>
    <xdr:sp macro="" textlink="">
      <xdr:nvSpPr>
        <xdr:cNvPr id="345" name="Isosceles Triangle 344">
          <a:extLst>
            <a:ext uri="{FF2B5EF4-FFF2-40B4-BE49-F238E27FC236}"/>
          </a:extLst>
        </xdr:cNvPr>
        <xdr:cNvSpPr/>
      </xdr:nvSpPr>
      <xdr:spPr>
        <a:xfrm>
          <a:off x="5381625" y="25050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130</xdr:row>
      <xdr:rowOff>0</xdr:rowOff>
    </xdr:from>
    <xdr:ext cx="495300" cy="352425"/>
    <xdr:sp macro="" textlink="">
      <xdr:nvSpPr>
        <xdr:cNvPr id="346" name="Isosceles Triangle 345">
          <a:extLst>
            <a:ext uri="{FF2B5EF4-FFF2-40B4-BE49-F238E27FC236}"/>
          </a:extLst>
        </xdr:cNvPr>
        <xdr:cNvSpPr/>
      </xdr:nvSpPr>
      <xdr:spPr>
        <a:xfrm>
          <a:off x="9210675" y="25050750"/>
          <a:ext cx="50409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130</xdr:row>
      <xdr:rowOff>0</xdr:rowOff>
    </xdr:from>
    <xdr:ext cx="514350" cy="352425"/>
    <xdr:sp macro="" textlink="">
      <xdr:nvSpPr>
        <xdr:cNvPr id="347" name="Isosceles Triangle 346">
          <a:extLst>
            <a:ext uri="{FF2B5EF4-FFF2-40B4-BE49-F238E27FC236}"/>
          </a:extLst>
        </xdr:cNvPr>
        <xdr:cNvSpPr/>
      </xdr:nvSpPr>
      <xdr:spPr>
        <a:xfrm>
          <a:off x="8220075" y="25050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130</xdr:row>
      <xdr:rowOff>0</xdr:rowOff>
    </xdr:from>
    <xdr:ext cx="514350" cy="352425"/>
    <xdr:sp macro="" textlink="">
      <xdr:nvSpPr>
        <xdr:cNvPr id="348" name="Isosceles Triangle 347">
          <a:extLst>
            <a:ext uri="{FF2B5EF4-FFF2-40B4-BE49-F238E27FC236}"/>
          </a:extLst>
        </xdr:cNvPr>
        <xdr:cNvSpPr/>
      </xdr:nvSpPr>
      <xdr:spPr>
        <a:xfrm>
          <a:off x="4514850" y="25050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130</xdr:row>
      <xdr:rowOff>0</xdr:rowOff>
    </xdr:from>
    <xdr:ext cx="514350" cy="352425"/>
    <xdr:sp macro="" textlink="">
      <xdr:nvSpPr>
        <xdr:cNvPr id="349" name="Isosceles Triangle 348">
          <a:extLst>
            <a:ext uri="{FF2B5EF4-FFF2-40B4-BE49-F238E27FC236}"/>
          </a:extLst>
        </xdr:cNvPr>
        <xdr:cNvSpPr/>
      </xdr:nvSpPr>
      <xdr:spPr>
        <a:xfrm>
          <a:off x="7172325" y="25050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130</xdr:row>
      <xdr:rowOff>0</xdr:rowOff>
    </xdr:from>
    <xdr:ext cx="514350" cy="352425"/>
    <xdr:sp macro="" textlink="">
      <xdr:nvSpPr>
        <xdr:cNvPr id="350" name="Isosceles Triangle 349">
          <a:extLst>
            <a:ext uri="{FF2B5EF4-FFF2-40B4-BE49-F238E27FC236}"/>
          </a:extLst>
        </xdr:cNvPr>
        <xdr:cNvSpPr/>
      </xdr:nvSpPr>
      <xdr:spPr>
        <a:xfrm>
          <a:off x="6296025" y="25050750"/>
          <a:ext cx="523143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514350" cy="361950"/>
    <xdr:sp macro="" textlink="">
      <xdr:nvSpPr>
        <xdr:cNvPr id="351" name="Isosceles Triangle 350">
          <a:extLst>
            <a:ext uri="{FF2B5EF4-FFF2-40B4-BE49-F238E27FC236}"/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138</xdr:row>
      <xdr:rowOff>0</xdr:rowOff>
    </xdr:from>
    <xdr:ext cx="533400" cy="361950"/>
    <xdr:sp macro="" textlink="">
      <xdr:nvSpPr>
        <xdr:cNvPr id="352" name="Isosceles Triangle 351">
          <a:extLst>
            <a:ext uri="{FF2B5EF4-FFF2-40B4-BE49-F238E27FC236}"/>
          </a:extLst>
        </xdr:cNvPr>
        <xdr:cNvSpPr/>
      </xdr:nvSpPr>
      <xdr:spPr>
        <a:xfrm>
          <a:off x="1552575" y="2657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138</xdr:row>
      <xdr:rowOff>0</xdr:rowOff>
    </xdr:from>
    <xdr:ext cx="514350" cy="361950"/>
    <xdr:sp macro="" textlink="">
      <xdr:nvSpPr>
        <xdr:cNvPr id="353" name="Isosceles Triangle 352">
          <a:extLst>
            <a:ext uri="{FF2B5EF4-FFF2-40B4-BE49-F238E27FC236}"/>
          </a:extLst>
        </xdr:cNvPr>
        <xdr:cNvSpPr/>
      </xdr:nvSpPr>
      <xdr:spPr>
        <a:xfrm>
          <a:off x="2543175" y="2657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138</xdr:row>
      <xdr:rowOff>0</xdr:rowOff>
    </xdr:from>
    <xdr:ext cx="514350" cy="361950"/>
    <xdr:sp macro="" textlink="">
      <xdr:nvSpPr>
        <xdr:cNvPr id="354" name="Isosceles Triangle 353">
          <a:extLst>
            <a:ext uri="{FF2B5EF4-FFF2-40B4-BE49-F238E27FC236}"/>
          </a:extLst>
        </xdr:cNvPr>
        <xdr:cNvSpPr/>
      </xdr:nvSpPr>
      <xdr:spPr>
        <a:xfrm>
          <a:off x="3609975" y="2657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138</xdr:row>
      <xdr:rowOff>0</xdr:rowOff>
    </xdr:from>
    <xdr:ext cx="514350" cy="361950"/>
    <xdr:sp macro="" textlink="">
      <xdr:nvSpPr>
        <xdr:cNvPr id="355" name="Isosceles Triangle 354">
          <a:extLst>
            <a:ext uri="{FF2B5EF4-FFF2-40B4-BE49-F238E27FC236}"/>
          </a:extLst>
        </xdr:cNvPr>
        <xdr:cNvSpPr/>
      </xdr:nvSpPr>
      <xdr:spPr>
        <a:xfrm>
          <a:off x="4514850" y="2657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138</xdr:row>
      <xdr:rowOff>0</xdr:rowOff>
    </xdr:from>
    <xdr:ext cx="514350" cy="361950"/>
    <xdr:sp macro="" textlink="">
      <xdr:nvSpPr>
        <xdr:cNvPr id="356" name="Isosceles Triangle 355">
          <a:extLst>
            <a:ext uri="{FF2B5EF4-FFF2-40B4-BE49-F238E27FC236}"/>
          </a:extLst>
        </xdr:cNvPr>
        <xdr:cNvSpPr/>
      </xdr:nvSpPr>
      <xdr:spPr>
        <a:xfrm>
          <a:off x="5381625" y="2657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138</xdr:row>
      <xdr:rowOff>0</xdr:rowOff>
    </xdr:from>
    <xdr:ext cx="514350" cy="361950"/>
    <xdr:sp macro="" textlink="">
      <xdr:nvSpPr>
        <xdr:cNvPr id="357" name="Isosceles Triangle 356">
          <a:extLst>
            <a:ext uri="{FF2B5EF4-FFF2-40B4-BE49-F238E27FC236}"/>
          </a:extLst>
        </xdr:cNvPr>
        <xdr:cNvSpPr/>
      </xdr:nvSpPr>
      <xdr:spPr>
        <a:xfrm>
          <a:off x="6296025" y="2657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138</xdr:row>
      <xdr:rowOff>0</xdr:rowOff>
    </xdr:from>
    <xdr:ext cx="514350" cy="361950"/>
    <xdr:sp macro="" textlink="">
      <xdr:nvSpPr>
        <xdr:cNvPr id="358" name="Isosceles Triangle 357">
          <a:extLst>
            <a:ext uri="{FF2B5EF4-FFF2-40B4-BE49-F238E27FC236}"/>
          </a:extLst>
        </xdr:cNvPr>
        <xdr:cNvSpPr/>
      </xdr:nvSpPr>
      <xdr:spPr>
        <a:xfrm>
          <a:off x="7172325" y="2657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138</xdr:row>
      <xdr:rowOff>0</xdr:rowOff>
    </xdr:from>
    <xdr:ext cx="514350" cy="361950"/>
    <xdr:sp macro="" textlink="">
      <xdr:nvSpPr>
        <xdr:cNvPr id="359" name="Isosceles Triangle 358">
          <a:extLst>
            <a:ext uri="{FF2B5EF4-FFF2-40B4-BE49-F238E27FC236}"/>
          </a:extLst>
        </xdr:cNvPr>
        <xdr:cNvSpPr/>
      </xdr:nvSpPr>
      <xdr:spPr>
        <a:xfrm>
          <a:off x="8220075" y="2657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138</xdr:row>
      <xdr:rowOff>0</xdr:rowOff>
    </xdr:from>
    <xdr:ext cx="495300" cy="361950"/>
    <xdr:sp macro="" textlink="">
      <xdr:nvSpPr>
        <xdr:cNvPr id="360" name="Isosceles Triangle 359">
          <a:extLst>
            <a:ext uri="{FF2B5EF4-FFF2-40B4-BE49-F238E27FC236}"/>
          </a:extLst>
        </xdr:cNvPr>
        <xdr:cNvSpPr/>
      </xdr:nvSpPr>
      <xdr:spPr>
        <a:xfrm>
          <a:off x="9210675" y="26574750"/>
          <a:ext cx="504093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138</xdr:row>
      <xdr:rowOff>0</xdr:rowOff>
    </xdr:from>
    <xdr:ext cx="514350" cy="361950"/>
    <xdr:sp macro="" textlink="">
      <xdr:nvSpPr>
        <xdr:cNvPr id="361" name="Isosceles Triangle 360">
          <a:extLst>
            <a:ext uri="{FF2B5EF4-FFF2-40B4-BE49-F238E27FC236}"/>
          </a:extLst>
        </xdr:cNvPr>
        <xdr:cNvSpPr/>
      </xdr:nvSpPr>
      <xdr:spPr>
        <a:xfrm>
          <a:off x="10125075" y="26574750"/>
          <a:ext cx="5136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138</xdr:row>
      <xdr:rowOff>0</xdr:rowOff>
    </xdr:from>
    <xdr:ext cx="514350" cy="361950"/>
    <xdr:sp macro="" textlink="">
      <xdr:nvSpPr>
        <xdr:cNvPr id="362" name="Isosceles Triangle 361">
          <a:extLst>
            <a:ext uri="{FF2B5EF4-FFF2-40B4-BE49-F238E27FC236}"/>
          </a:extLst>
        </xdr:cNvPr>
        <xdr:cNvSpPr/>
      </xdr:nvSpPr>
      <xdr:spPr>
        <a:xfrm>
          <a:off x="11210925" y="26574750"/>
          <a:ext cx="52314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138</xdr:row>
      <xdr:rowOff>0</xdr:rowOff>
    </xdr:from>
    <xdr:ext cx="514350" cy="361950"/>
    <xdr:sp macro="" textlink="">
      <xdr:nvSpPr>
        <xdr:cNvPr id="363" name="Isosceles Triangle 362">
          <a:extLst>
            <a:ext uri="{FF2B5EF4-FFF2-40B4-BE49-F238E27FC236}"/>
          </a:extLst>
        </xdr:cNvPr>
        <xdr:cNvSpPr/>
      </xdr:nvSpPr>
      <xdr:spPr>
        <a:xfrm>
          <a:off x="12115800" y="26574750"/>
          <a:ext cx="50409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138</xdr:row>
      <xdr:rowOff>0</xdr:rowOff>
    </xdr:from>
    <xdr:ext cx="514350" cy="361950"/>
    <xdr:sp macro="" textlink="">
      <xdr:nvSpPr>
        <xdr:cNvPr id="364" name="Isosceles Triangle 363">
          <a:extLst>
            <a:ext uri="{FF2B5EF4-FFF2-40B4-BE49-F238E27FC236}"/>
          </a:extLst>
        </xdr:cNvPr>
        <xdr:cNvSpPr/>
      </xdr:nvSpPr>
      <xdr:spPr>
        <a:xfrm>
          <a:off x="13115925" y="26574750"/>
          <a:ext cx="5898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</xdr:col>
      <xdr:colOff>123825</xdr:colOff>
      <xdr:row>139</xdr:row>
      <xdr:rowOff>161925</xdr:rowOff>
    </xdr:from>
    <xdr:ext cx="142875" cy="381000"/>
    <xdr:sp macro="" textlink="">
      <xdr:nvSpPr>
        <xdr:cNvPr id="365" name="Arrow: Up 399">
          <a:extLst>
            <a:ext uri="{FF2B5EF4-FFF2-40B4-BE49-F238E27FC236}"/>
          </a:extLst>
        </xdr:cNvPr>
        <xdr:cNvSpPr/>
      </xdr:nvSpPr>
      <xdr:spPr>
        <a:xfrm>
          <a:off x="1273968" y="2693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514350" cy="352425"/>
    <xdr:sp macro="" textlink="">
      <xdr:nvSpPr>
        <xdr:cNvPr id="366" name="Isosceles Triangle 365">
          <a:extLst>
            <a:ext uri="{FF2B5EF4-FFF2-40B4-BE49-F238E27FC236}"/>
          </a:extLst>
        </xdr:cNvPr>
        <xdr:cNvSpPr/>
      </xdr:nvSpPr>
      <xdr:spPr>
        <a:xfrm>
          <a:off x="609600" y="26574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138</xdr:row>
      <xdr:rowOff>0</xdr:rowOff>
    </xdr:from>
    <xdr:ext cx="514350" cy="352425"/>
    <xdr:sp macro="" textlink="">
      <xdr:nvSpPr>
        <xdr:cNvPr id="367" name="Isosceles Triangle 366">
          <a:extLst>
            <a:ext uri="{FF2B5EF4-FFF2-40B4-BE49-F238E27FC236}"/>
          </a:extLst>
        </xdr:cNvPr>
        <xdr:cNvSpPr/>
      </xdr:nvSpPr>
      <xdr:spPr>
        <a:xfrm>
          <a:off x="2543175" y="26574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138</xdr:row>
      <xdr:rowOff>0</xdr:rowOff>
    </xdr:from>
    <xdr:ext cx="533400" cy="352425"/>
    <xdr:sp macro="" textlink="">
      <xdr:nvSpPr>
        <xdr:cNvPr id="368" name="Isosceles Triangle 367">
          <a:extLst>
            <a:ext uri="{FF2B5EF4-FFF2-40B4-BE49-F238E27FC236}"/>
          </a:extLst>
        </xdr:cNvPr>
        <xdr:cNvSpPr/>
      </xdr:nvSpPr>
      <xdr:spPr>
        <a:xfrm>
          <a:off x="1552575" y="26574750"/>
          <a:ext cx="523143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138</xdr:row>
      <xdr:rowOff>0</xdr:rowOff>
    </xdr:from>
    <xdr:ext cx="514350" cy="352425"/>
    <xdr:sp macro="" textlink="">
      <xdr:nvSpPr>
        <xdr:cNvPr id="369" name="Isosceles Triangle 368">
          <a:extLst>
            <a:ext uri="{FF2B5EF4-FFF2-40B4-BE49-F238E27FC236}"/>
          </a:extLst>
        </xdr:cNvPr>
        <xdr:cNvSpPr/>
      </xdr:nvSpPr>
      <xdr:spPr>
        <a:xfrm>
          <a:off x="3609975" y="26574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138</xdr:row>
      <xdr:rowOff>0</xdr:rowOff>
    </xdr:from>
    <xdr:ext cx="514350" cy="352425"/>
    <xdr:sp macro="" textlink="">
      <xdr:nvSpPr>
        <xdr:cNvPr id="370" name="Isosceles Triangle 369">
          <a:extLst>
            <a:ext uri="{FF2B5EF4-FFF2-40B4-BE49-F238E27FC236}"/>
          </a:extLst>
        </xdr:cNvPr>
        <xdr:cNvSpPr/>
      </xdr:nvSpPr>
      <xdr:spPr>
        <a:xfrm>
          <a:off x="5381625" y="26574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138</xdr:row>
      <xdr:rowOff>0</xdr:rowOff>
    </xdr:from>
    <xdr:ext cx="495300" cy="352425"/>
    <xdr:sp macro="" textlink="">
      <xdr:nvSpPr>
        <xdr:cNvPr id="371" name="Isosceles Triangle 370">
          <a:extLst>
            <a:ext uri="{FF2B5EF4-FFF2-40B4-BE49-F238E27FC236}"/>
          </a:extLst>
        </xdr:cNvPr>
        <xdr:cNvSpPr/>
      </xdr:nvSpPr>
      <xdr:spPr>
        <a:xfrm>
          <a:off x="9210675" y="26574750"/>
          <a:ext cx="50409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138</xdr:row>
      <xdr:rowOff>0</xdr:rowOff>
    </xdr:from>
    <xdr:ext cx="514350" cy="352425"/>
    <xdr:sp macro="" textlink="">
      <xdr:nvSpPr>
        <xdr:cNvPr id="372" name="Isosceles Triangle 371">
          <a:extLst>
            <a:ext uri="{FF2B5EF4-FFF2-40B4-BE49-F238E27FC236}"/>
          </a:extLst>
        </xdr:cNvPr>
        <xdr:cNvSpPr/>
      </xdr:nvSpPr>
      <xdr:spPr>
        <a:xfrm>
          <a:off x="8220075" y="26574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138</xdr:row>
      <xdr:rowOff>0</xdr:rowOff>
    </xdr:from>
    <xdr:ext cx="514350" cy="352425"/>
    <xdr:sp macro="" textlink="">
      <xdr:nvSpPr>
        <xdr:cNvPr id="373" name="Isosceles Triangle 372">
          <a:extLst>
            <a:ext uri="{FF2B5EF4-FFF2-40B4-BE49-F238E27FC236}"/>
          </a:extLst>
        </xdr:cNvPr>
        <xdr:cNvSpPr/>
      </xdr:nvSpPr>
      <xdr:spPr>
        <a:xfrm>
          <a:off x="4514850" y="26574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138</xdr:row>
      <xdr:rowOff>0</xdr:rowOff>
    </xdr:from>
    <xdr:ext cx="514350" cy="352425"/>
    <xdr:sp macro="" textlink="">
      <xdr:nvSpPr>
        <xdr:cNvPr id="374" name="Isosceles Triangle 373">
          <a:extLst>
            <a:ext uri="{FF2B5EF4-FFF2-40B4-BE49-F238E27FC236}"/>
          </a:extLst>
        </xdr:cNvPr>
        <xdr:cNvSpPr/>
      </xdr:nvSpPr>
      <xdr:spPr>
        <a:xfrm>
          <a:off x="7172325" y="26574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138</xdr:row>
      <xdr:rowOff>0</xdr:rowOff>
    </xdr:from>
    <xdr:ext cx="514350" cy="352425"/>
    <xdr:sp macro="" textlink="">
      <xdr:nvSpPr>
        <xdr:cNvPr id="375" name="Isosceles Triangle 374">
          <a:extLst>
            <a:ext uri="{FF2B5EF4-FFF2-40B4-BE49-F238E27FC236}"/>
          </a:extLst>
        </xdr:cNvPr>
        <xdr:cNvSpPr/>
      </xdr:nvSpPr>
      <xdr:spPr>
        <a:xfrm>
          <a:off x="6296025" y="26574750"/>
          <a:ext cx="523143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146</xdr:row>
      <xdr:rowOff>0</xdr:rowOff>
    </xdr:from>
    <xdr:ext cx="514350" cy="361950"/>
    <xdr:sp macro="" textlink="">
      <xdr:nvSpPr>
        <xdr:cNvPr id="376" name="Isosceles Triangle 375">
          <a:extLst>
            <a:ext uri="{FF2B5EF4-FFF2-40B4-BE49-F238E27FC236}"/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146</xdr:row>
      <xdr:rowOff>0</xdr:rowOff>
    </xdr:from>
    <xdr:ext cx="533400" cy="361950"/>
    <xdr:sp macro="" textlink="">
      <xdr:nvSpPr>
        <xdr:cNvPr id="377" name="Isosceles Triangle 376">
          <a:extLst>
            <a:ext uri="{FF2B5EF4-FFF2-40B4-BE49-F238E27FC236}"/>
          </a:extLst>
        </xdr:cNvPr>
        <xdr:cNvSpPr/>
      </xdr:nvSpPr>
      <xdr:spPr>
        <a:xfrm>
          <a:off x="1552575" y="2809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146</xdr:row>
      <xdr:rowOff>0</xdr:rowOff>
    </xdr:from>
    <xdr:ext cx="514350" cy="361950"/>
    <xdr:sp macro="" textlink="">
      <xdr:nvSpPr>
        <xdr:cNvPr id="378" name="Isosceles Triangle 377">
          <a:extLst>
            <a:ext uri="{FF2B5EF4-FFF2-40B4-BE49-F238E27FC236}"/>
          </a:extLst>
        </xdr:cNvPr>
        <xdr:cNvSpPr/>
      </xdr:nvSpPr>
      <xdr:spPr>
        <a:xfrm>
          <a:off x="2543175" y="2809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146</xdr:row>
      <xdr:rowOff>0</xdr:rowOff>
    </xdr:from>
    <xdr:ext cx="514350" cy="361950"/>
    <xdr:sp macro="" textlink="">
      <xdr:nvSpPr>
        <xdr:cNvPr id="379" name="Isosceles Triangle 378">
          <a:extLst>
            <a:ext uri="{FF2B5EF4-FFF2-40B4-BE49-F238E27FC236}"/>
          </a:extLst>
        </xdr:cNvPr>
        <xdr:cNvSpPr/>
      </xdr:nvSpPr>
      <xdr:spPr>
        <a:xfrm>
          <a:off x="3609975" y="2809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146</xdr:row>
      <xdr:rowOff>0</xdr:rowOff>
    </xdr:from>
    <xdr:ext cx="514350" cy="361950"/>
    <xdr:sp macro="" textlink="">
      <xdr:nvSpPr>
        <xdr:cNvPr id="380" name="Isosceles Triangle 379">
          <a:extLst>
            <a:ext uri="{FF2B5EF4-FFF2-40B4-BE49-F238E27FC236}"/>
          </a:extLst>
        </xdr:cNvPr>
        <xdr:cNvSpPr/>
      </xdr:nvSpPr>
      <xdr:spPr>
        <a:xfrm>
          <a:off x="4514850" y="2809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146</xdr:row>
      <xdr:rowOff>0</xdr:rowOff>
    </xdr:from>
    <xdr:ext cx="514350" cy="361950"/>
    <xdr:sp macro="" textlink="">
      <xdr:nvSpPr>
        <xdr:cNvPr id="381" name="Isosceles Triangle 380">
          <a:extLst>
            <a:ext uri="{FF2B5EF4-FFF2-40B4-BE49-F238E27FC236}"/>
          </a:extLst>
        </xdr:cNvPr>
        <xdr:cNvSpPr/>
      </xdr:nvSpPr>
      <xdr:spPr>
        <a:xfrm>
          <a:off x="5381625" y="2809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146</xdr:row>
      <xdr:rowOff>0</xdr:rowOff>
    </xdr:from>
    <xdr:ext cx="514350" cy="361950"/>
    <xdr:sp macro="" textlink="">
      <xdr:nvSpPr>
        <xdr:cNvPr id="382" name="Isosceles Triangle 381">
          <a:extLst>
            <a:ext uri="{FF2B5EF4-FFF2-40B4-BE49-F238E27FC236}"/>
          </a:extLst>
        </xdr:cNvPr>
        <xdr:cNvSpPr/>
      </xdr:nvSpPr>
      <xdr:spPr>
        <a:xfrm>
          <a:off x="6296025" y="2809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146</xdr:row>
      <xdr:rowOff>0</xdr:rowOff>
    </xdr:from>
    <xdr:ext cx="514350" cy="361950"/>
    <xdr:sp macro="" textlink="">
      <xdr:nvSpPr>
        <xdr:cNvPr id="383" name="Isosceles Triangle 382">
          <a:extLst>
            <a:ext uri="{FF2B5EF4-FFF2-40B4-BE49-F238E27FC236}"/>
          </a:extLst>
        </xdr:cNvPr>
        <xdr:cNvSpPr/>
      </xdr:nvSpPr>
      <xdr:spPr>
        <a:xfrm>
          <a:off x="7172325" y="2809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146</xdr:row>
      <xdr:rowOff>0</xdr:rowOff>
    </xdr:from>
    <xdr:ext cx="514350" cy="361950"/>
    <xdr:sp macro="" textlink="">
      <xdr:nvSpPr>
        <xdr:cNvPr id="384" name="Isosceles Triangle 383">
          <a:extLst>
            <a:ext uri="{FF2B5EF4-FFF2-40B4-BE49-F238E27FC236}"/>
          </a:extLst>
        </xdr:cNvPr>
        <xdr:cNvSpPr/>
      </xdr:nvSpPr>
      <xdr:spPr>
        <a:xfrm>
          <a:off x="8220075" y="2809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146</xdr:row>
      <xdr:rowOff>0</xdr:rowOff>
    </xdr:from>
    <xdr:ext cx="495300" cy="361950"/>
    <xdr:sp macro="" textlink="">
      <xdr:nvSpPr>
        <xdr:cNvPr id="385" name="Isosceles Triangle 384">
          <a:extLst>
            <a:ext uri="{FF2B5EF4-FFF2-40B4-BE49-F238E27FC236}"/>
          </a:extLst>
        </xdr:cNvPr>
        <xdr:cNvSpPr/>
      </xdr:nvSpPr>
      <xdr:spPr>
        <a:xfrm>
          <a:off x="9210675" y="28098750"/>
          <a:ext cx="504093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146</xdr:row>
      <xdr:rowOff>0</xdr:rowOff>
    </xdr:from>
    <xdr:ext cx="514350" cy="361950"/>
    <xdr:sp macro="" textlink="">
      <xdr:nvSpPr>
        <xdr:cNvPr id="386" name="Isosceles Triangle 385">
          <a:extLst>
            <a:ext uri="{FF2B5EF4-FFF2-40B4-BE49-F238E27FC236}"/>
          </a:extLst>
        </xdr:cNvPr>
        <xdr:cNvSpPr/>
      </xdr:nvSpPr>
      <xdr:spPr>
        <a:xfrm>
          <a:off x="10125075" y="28098750"/>
          <a:ext cx="5136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146</xdr:row>
      <xdr:rowOff>0</xdr:rowOff>
    </xdr:from>
    <xdr:ext cx="514350" cy="361950"/>
    <xdr:sp macro="" textlink="">
      <xdr:nvSpPr>
        <xdr:cNvPr id="387" name="Isosceles Triangle 386">
          <a:extLst>
            <a:ext uri="{FF2B5EF4-FFF2-40B4-BE49-F238E27FC236}"/>
          </a:extLst>
        </xdr:cNvPr>
        <xdr:cNvSpPr/>
      </xdr:nvSpPr>
      <xdr:spPr>
        <a:xfrm>
          <a:off x="11210925" y="28098750"/>
          <a:ext cx="52314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146</xdr:row>
      <xdr:rowOff>0</xdr:rowOff>
    </xdr:from>
    <xdr:ext cx="514350" cy="361950"/>
    <xdr:sp macro="" textlink="">
      <xdr:nvSpPr>
        <xdr:cNvPr id="388" name="Isosceles Triangle 387">
          <a:extLst>
            <a:ext uri="{FF2B5EF4-FFF2-40B4-BE49-F238E27FC236}"/>
          </a:extLst>
        </xdr:cNvPr>
        <xdr:cNvSpPr/>
      </xdr:nvSpPr>
      <xdr:spPr>
        <a:xfrm>
          <a:off x="12115800" y="28098750"/>
          <a:ext cx="50409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146</xdr:row>
      <xdr:rowOff>0</xdr:rowOff>
    </xdr:from>
    <xdr:ext cx="514350" cy="361950"/>
    <xdr:sp macro="" textlink="">
      <xdr:nvSpPr>
        <xdr:cNvPr id="389" name="Isosceles Triangle 388">
          <a:extLst>
            <a:ext uri="{FF2B5EF4-FFF2-40B4-BE49-F238E27FC236}"/>
          </a:extLst>
        </xdr:cNvPr>
        <xdr:cNvSpPr/>
      </xdr:nvSpPr>
      <xdr:spPr>
        <a:xfrm>
          <a:off x="13115925" y="28098750"/>
          <a:ext cx="5898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</xdr:col>
      <xdr:colOff>123825</xdr:colOff>
      <xdr:row>147</xdr:row>
      <xdr:rowOff>161925</xdr:rowOff>
    </xdr:from>
    <xdr:ext cx="142875" cy="381000"/>
    <xdr:sp macro="" textlink="">
      <xdr:nvSpPr>
        <xdr:cNvPr id="390" name="Arrow: Up 424">
          <a:extLst>
            <a:ext uri="{FF2B5EF4-FFF2-40B4-BE49-F238E27FC236}"/>
          </a:extLst>
        </xdr:cNvPr>
        <xdr:cNvSpPr/>
      </xdr:nvSpPr>
      <xdr:spPr>
        <a:xfrm>
          <a:off x="1273968" y="2845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</xdr:col>
      <xdr:colOff>0</xdr:colOff>
      <xdr:row>146</xdr:row>
      <xdr:rowOff>0</xdr:rowOff>
    </xdr:from>
    <xdr:ext cx="514350" cy="352425"/>
    <xdr:sp macro="" textlink="">
      <xdr:nvSpPr>
        <xdr:cNvPr id="391" name="Isosceles Triangle 390">
          <a:extLst>
            <a:ext uri="{FF2B5EF4-FFF2-40B4-BE49-F238E27FC236}"/>
          </a:extLst>
        </xdr:cNvPr>
        <xdr:cNvSpPr/>
      </xdr:nvSpPr>
      <xdr:spPr>
        <a:xfrm>
          <a:off x="609600" y="28098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146</xdr:row>
      <xdr:rowOff>0</xdr:rowOff>
    </xdr:from>
    <xdr:ext cx="514350" cy="352425"/>
    <xdr:sp macro="" textlink="">
      <xdr:nvSpPr>
        <xdr:cNvPr id="392" name="Isosceles Triangle 391">
          <a:extLst>
            <a:ext uri="{FF2B5EF4-FFF2-40B4-BE49-F238E27FC236}"/>
          </a:extLst>
        </xdr:cNvPr>
        <xdr:cNvSpPr/>
      </xdr:nvSpPr>
      <xdr:spPr>
        <a:xfrm>
          <a:off x="2543175" y="28098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146</xdr:row>
      <xdr:rowOff>0</xdr:rowOff>
    </xdr:from>
    <xdr:ext cx="533400" cy="352425"/>
    <xdr:sp macro="" textlink="">
      <xdr:nvSpPr>
        <xdr:cNvPr id="393" name="Isosceles Triangle 392">
          <a:extLst>
            <a:ext uri="{FF2B5EF4-FFF2-40B4-BE49-F238E27FC236}"/>
          </a:extLst>
        </xdr:cNvPr>
        <xdr:cNvSpPr/>
      </xdr:nvSpPr>
      <xdr:spPr>
        <a:xfrm>
          <a:off x="1552575" y="28098750"/>
          <a:ext cx="523143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146</xdr:row>
      <xdr:rowOff>0</xdr:rowOff>
    </xdr:from>
    <xdr:ext cx="514350" cy="352425"/>
    <xdr:sp macro="" textlink="">
      <xdr:nvSpPr>
        <xdr:cNvPr id="394" name="Isosceles Triangle 393">
          <a:extLst>
            <a:ext uri="{FF2B5EF4-FFF2-40B4-BE49-F238E27FC236}"/>
          </a:extLst>
        </xdr:cNvPr>
        <xdr:cNvSpPr/>
      </xdr:nvSpPr>
      <xdr:spPr>
        <a:xfrm>
          <a:off x="3609975" y="28098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146</xdr:row>
      <xdr:rowOff>0</xdr:rowOff>
    </xdr:from>
    <xdr:ext cx="514350" cy="352425"/>
    <xdr:sp macro="" textlink="">
      <xdr:nvSpPr>
        <xdr:cNvPr id="395" name="Isosceles Triangle 394">
          <a:extLst>
            <a:ext uri="{FF2B5EF4-FFF2-40B4-BE49-F238E27FC236}"/>
          </a:extLst>
        </xdr:cNvPr>
        <xdr:cNvSpPr/>
      </xdr:nvSpPr>
      <xdr:spPr>
        <a:xfrm>
          <a:off x="5381625" y="28098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146</xdr:row>
      <xdr:rowOff>0</xdr:rowOff>
    </xdr:from>
    <xdr:ext cx="495300" cy="352425"/>
    <xdr:sp macro="" textlink="">
      <xdr:nvSpPr>
        <xdr:cNvPr id="396" name="Isosceles Triangle 395">
          <a:extLst>
            <a:ext uri="{FF2B5EF4-FFF2-40B4-BE49-F238E27FC236}"/>
          </a:extLst>
        </xdr:cNvPr>
        <xdr:cNvSpPr/>
      </xdr:nvSpPr>
      <xdr:spPr>
        <a:xfrm>
          <a:off x="9210675" y="28098750"/>
          <a:ext cx="50409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146</xdr:row>
      <xdr:rowOff>0</xdr:rowOff>
    </xdr:from>
    <xdr:ext cx="514350" cy="352425"/>
    <xdr:sp macro="" textlink="">
      <xdr:nvSpPr>
        <xdr:cNvPr id="397" name="Isosceles Triangle 396">
          <a:extLst>
            <a:ext uri="{FF2B5EF4-FFF2-40B4-BE49-F238E27FC236}"/>
          </a:extLst>
        </xdr:cNvPr>
        <xdr:cNvSpPr/>
      </xdr:nvSpPr>
      <xdr:spPr>
        <a:xfrm>
          <a:off x="8220075" y="28098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146</xdr:row>
      <xdr:rowOff>0</xdr:rowOff>
    </xdr:from>
    <xdr:ext cx="514350" cy="352425"/>
    <xdr:sp macro="" textlink="">
      <xdr:nvSpPr>
        <xdr:cNvPr id="398" name="Isosceles Triangle 397">
          <a:extLst>
            <a:ext uri="{FF2B5EF4-FFF2-40B4-BE49-F238E27FC236}"/>
          </a:extLst>
        </xdr:cNvPr>
        <xdr:cNvSpPr/>
      </xdr:nvSpPr>
      <xdr:spPr>
        <a:xfrm>
          <a:off x="4514850" y="28098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146</xdr:row>
      <xdr:rowOff>0</xdr:rowOff>
    </xdr:from>
    <xdr:ext cx="514350" cy="352425"/>
    <xdr:sp macro="" textlink="">
      <xdr:nvSpPr>
        <xdr:cNvPr id="399" name="Isosceles Triangle 398">
          <a:extLst>
            <a:ext uri="{FF2B5EF4-FFF2-40B4-BE49-F238E27FC236}"/>
          </a:extLst>
        </xdr:cNvPr>
        <xdr:cNvSpPr/>
      </xdr:nvSpPr>
      <xdr:spPr>
        <a:xfrm>
          <a:off x="7172325" y="28098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146</xdr:row>
      <xdr:rowOff>0</xdr:rowOff>
    </xdr:from>
    <xdr:ext cx="514350" cy="352425"/>
    <xdr:sp macro="" textlink="">
      <xdr:nvSpPr>
        <xdr:cNvPr id="400" name="Isosceles Triangle 399">
          <a:extLst>
            <a:ext uri="{FF2B5EF4-FFF2-40B4-BE49-F238E27FC236}"/>
          </a:extLst>
        </xdr:cNvPr>
        <xdr:cNvSpPr/>
      </xdr:nvSpPr>
      <xdr:spPr>
        <a:xfrm>
          <a:off x="6296025" y="28098750"/>
          <a:ext cx="523143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154</xdr:row>
      <xdr:rowOff>0</xdr:rowOff>
    </xdr:from>
    <xdr:ext cx="514350" cy="361950"/>
    <xdr:sp macro="" textlink="">
      <xdr:nvSpPr>
        <xdr:cNvPr id="401" name="Isosceles Triangle 400">
          <a:extLst>
            <a:ext uri="{FF2B5EF4-FFF2-40B4-BE49-F238E27FC236}"/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154</xdr:row>
      <xdr:rowOff>0</xdr:rowOff>
    </xdr:from>
    <xdr:ext cx="533400" cy="361950"/>
    <xdr:sp macro="" textlink="">
      <xdr:nvSpPr>
        <xdr:cNvPr id="402" name="Isosceles Triangle 401">
          <a:extLst>
            <a:ext uri="{FF2B5EF4-FFF2-40B4-BE49-F238E27FC236}"/>
          </a:extLst>
        </xdr:cNvPr>
        <xdr:cNvSpPr/>
      </xdr:nvSpPr>
      <xdr:spPr>
        <a:xfrm>
          <a:off x="1552575" y="2962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154</xdr:row>
      <xdr:rowOff>0</xdr:rowOff>
    </xdr:from>
    <xdr:ext cx="514350" cy="361950"/>
    <xdr:sp macro="" textlink="">
      <xdr:nvSpPr>
        <xdr:cNvPr id="403" name="Isosceles Triangle 402">
          <a:extLst>
            <a:ext uri="{FF2B5EF4-FFF2-40B4-BE49-F238E27FC236}"/>
          </a:extLst>
        </xdr:cNvPr>
        <xdr:cNvSpPr/>
      </xdr:nvSpPr>
      <xdr:spPr>
        <a:xfrm>
          <a:off x="2543175" y="2962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154</xdr:row>
      <xdr:rowOff>0</xdr:rowOff>
    </xdr:from>
    <xdr:ext cx="514350" cy="361950"/>
    <xdr:sp macro="" textlink="">
      <xdr:nvSpPr>
        <xdr:cNvPr id="404" name="Isosceles Triangle 403">
          <a:extLst>
            <a:ext uri="{FF2B5EF4-FFF2-40B4-BE49-F238E27FC236}"/>
          </a:extLst>
        </xdr:cNvPr>
        <xdr:cNvSpPr/>
      </xdr:nvSpPr>
      <xdr:spPr>
        <a:xfrm>
          <a:off x="3609975" y="2962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154</xdr:row>
      <xdr:rowOff>0</xdr:rowOff>
    </xdr:from>
    <xdr:ext cx="514350" cy="361950"/>
    <xdr:sp macro="" textlink="">
      <xdr:nvSpPr>
        <xdr:cNvPr id="405" name="Isosceles Triangle 404">
          <a:extLst>
            <a:ext uri="{FF2B5EF4-FFF2-40B4-BE49-F238E27FC236}"/>
          </a:extLst>
        </xdr:cNvPr>
        <xdr:cNvSpPr/>
      </xdr:nvSpPr>
      <xdr:spPr>
        <a:xfrm>
          <a:off x="4514850" y="2962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9525</xdr:colOff>
      <xdr:row>154</xdr:row>
      <xdr:rowOff>0</xdr:rowOff>
    </xdr:from>
    <xdr:ext cx="514350" cy="361950"/>
    <xdr:sp macro="" textlink="">
      <xdr:nvSpPr>
        <xdr:cNvPr id="406" name="Isosceles Triangle 405">
          <a:extLst>
            <a:ext uri="{FF2B5EF4-FFF2-40B4-BE49-F238E27FC236}"/>
          </a:extLst>
        </xdr:cNvPr>
        <xdr:cNvSpPr/>
      </xdr:nvSpPr>
      <xdr:spPr>
        <a:xfrm>
          <a:off x="5392449" y="2962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154</xdr:row>
      <xdr:rowOff>0</xdr:rowOff>
    </xdr:from>
    <xdr:ext cx="514350" cy="361950"/>
    <xdr:sp macro="" textlink="">
      <xdr:nvSpPr>
        <xdr:cNvPr id="407" name="Isosceles Triangle 406">
          <a:extLst>
            <a:ext uri="{FF2B5EF4-FFF2-40B4-BE49-F238E27FC236}"/>
          </a:extLst>
        </xdr:cNvPr>
        <xdr:cNvSpPr/>
      </xdr:nvSpPr>
      <xdr:spPr>
        <a:xfrm>
          <a:off x="6296025" y="2962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154</xdr:row>
      <xdr:rowOff>0</xdr:rowOff>
    </xdr:from>
    <xdr:ext cx="514350" cy="361950"/>
    <xdr:sp macro="" textlink="">
      <xdr:nvSpPr>
        <xdr:cNvPr id="408" name="Isosceles Triangle 407">
          <a:extLst>
            <a:ext uri="{FF2B5EF4-FFF2-40B4-BE49-F238E27FC236}"/>
          </a:extLst>
        </xdr:cNvPr>
        <xdr:cNvSpPr/>
      </xdr:nvSpPr>
      <xdr:spPr>
        <a:xfrm>
          <a:off x="7172325" y="2962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154</xdr:row>
      <xdr:rowOff>0</xdr:rowOff>
    </xdr:from>
    <xdr:ext cx="514350" cy="361950"/>
    <xdr:sp macro="" textlink="">
      <xdr:nvSpPr>
        <xdr:cNvPr id="409" name="Isosceles Triangle 408">
          <a:extLst>
            <a:ext uri="{FF2B5EF4-FFF2-40B4-BE49-F238E27FC236}"/>
          </a:extLst>
        </xdr:cNvPr>
        <xdr:cNvSpPr/>
      </xdr:nvSpPr>
      <xdr:spPr>
        <a:xfrm>
          <a:off x="8220075" y="2962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154</xdr:row>
      <xdr:rowOff>0</xdr:rowOff>
    </xdr:from>
    <xdr:ext cx="495300" cy="361950"/>
    <xdr:sp macro="" textlink="">
      <xdr:nvSpPr>
        <xdr:cNvPr id="410" name="Isosceles Triangle 409">
          <a:extLst>
            <a:ext uri="{FF2B5EF4-FFF2-40B4-BE49-F238E27FC236}"/>
          </a:extLst>
        </xdr:cNvPr>
        <xdr:cNvSpPr/>
      </xdr:nvSpPr>
      <xdr:spPr>
        <a:xfrm>
          <a:off x="9210675" y="29622750"/>
          <a:ext cx="504093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154</xdr:row>
      <xdr:rowOff>0</xdr:rowOff>
    </xdr:from>
    <xdr:ext cx="514350" cy="361950"/>
    <xdr:sp macro="" textlink="">
      <xdr:nvSpPr>
        <xdr:cNvPr id="411" name="Isosceles Triangle 410">
          <a:extLst>
            <a:ext uri="{FF2B5EF4-FFF2-40B4-BE49-F238E27FC236}"/>
          </a:extLst>
        </xdr:cNvPr>
        <xdr:cNvSpPr/>
      </xdr:nvSpPr>
      <xdr:spPr>
        <a:xfrm>
          <a:off x="10125075" y="29622750"/>
          <a:ext cx="5136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154</xdr:row>
      <xdr:rowOff>0</xdr:rowOff>
    </xdr:from>
    <xdr:ext cx="514350" cy="361950"/>
    <xdr:sp macro="" textlink="">
      <xdr:nvSpPr>
        <xdr:cNvPr id="412" name="Isosceles Triangle 411">
          <a:extLst>
            <a:ext uri="{FF2B5EF4-FFF2-40B4-BE49-F238E27FC236}"/>
          </a:extLst>
        </xdr:cNvPr>
        <xdr:cNvSpPr/>
      </xdr:nvSpPr>
      <xdr:spPr>
        <a:xfrm>
          <a:off x="11210925" y="29622750"/>
          <a:ext cx="52314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154</xdr:row>
      <xdr:rowOff>0</xdr:rowOff>
    </xdr:from>
    <xdr:ext cx="514350" cy="361950"/>
    <xdr:sp macro="" textlink="">
      <xdr:nvSpPr>
        <xdr:cNvPr id="413" name="Isosceles Triangle 412">
          <a:extLst>
            <a:ext uri="{FF2B5EF4-FFF2-40B4-BE49-F238E27FC236}"/>
          </a:extLst>
        </xdr:cNvPr>
        <xdr:cNvSpPr/>
      </xdr:nvSpPr>
      <xdr:spPr>
        <a:xfrm>
          <a:off x="12115800" y="29622750"/>
          <a:ext cx="50409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154</xdr:row>
      <xdr:rowOff>0</xdr:rowOff>
    </xdr:from>
    <xdr:ext cx="514350" cy="361950"/>
    <xdr:sp macro="" textlink="">
      <xdr:nvSpPr>
        <xdr:cNvPr id="414" name="Isosceles Triangle 413">
          <a:extLst>
            <a:ext uri="{FF2B5EF4-FFF2-40B4-BE49-F238E27FC236}"/>
          </a:extLst>
        </xdr:cNvPr>
        <xdr:cNvSpPr/>
      </xdr:nvSpPr>
      <xdr:spPr>
        <a:xfrm>
          <a:off x="13115925" y="29622750"/>
          <a:ext cx="5898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</xdr:col>
      <xdr:colOff>57150</xdr:colOff>
      <xdr:row>155</xdr:row>
      <xdr:rowOff>133350</xdr:rowOff>
    </xdr:from>
    <xdr:ext cx="142875" cy="390525"/>
    <xdr:sp macro="" textlink="">
      <xdr:nvSpPr>
        <xdr:cNvPr id="415" name="Arrow: Up 449">
          <a:extLst>
            <a:ext uri="{FF2B5EF4-FFF2-40B4-BE49-F238E27FC236}"/>
          </a:extLst>
        </xdr:cNvPr>
        <xdr:cNvSpPr/>
      </xdr:nvSpPr>
      <xdr:spPr>
        <a:xfrm>
          <a:off x="1209025" y="299474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</xdr:col>
      <xdr:colOff>0</xdr:colOff>
      <xdr:row>154</xdr:row>
      <xdr:rowOff>0</xdr:rowOff>
    </xdr:from>
    <xdr:ext cx="514350" cy="352425"/>
    <xdr:sp macro="" textlink="">
      <xdr:nvSpPr>
        <xdr:cNvPr id="416" name="Isosceles Triangle 415">
          <a:extLst>
            <a:ext uri="{FF2B5EF4-FFF2-40B4-BE49-F238E27FC236}"/>
          </a:extLst>
        </xdr:cNvPr>
        <xdr:cNvSpPr/>
      </xdr:nvSpPr>
      <xdr:spPr>
        <a:xfrm>
          <a:off x="609600" y="29622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154</xdr:row>
      <xdr:rowOff>0</xdr:rowOff>
    </xdr:from>
    <xdr:ext cx="514350" cy="352425"/>
    <xdr:sp macro="" textlink="">
      <xdr:nvSpPr>
        <xdr:cNvPr id="417" name="Isosceles Triangle 416">
          <a:extLst>
            <a:ext uri="{FF2B5EF4-FFF2-40B4-BE49-F238E27FC236}"/>
          </a:extLst>
        </xdr:cNvPr>
        <xdr:cNvSpPr/>
      </xdr:nvSpPr>
      <xdr:spPr>
        <a:xfrm>
          <a:off x="2543175" y="29622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154</xdr:row>
      <xdr:rowOff>0</xdr:rowOff>
    </xdr:from>
    <xdr:ext cx="533400" cy="352425"/>
    <xdr:sp macro="" textlink="">
      <xdr:nvSpPr>
        <xdr:cNvPr id="418" name="Isosceles Triangle 417">
          <a:extLst>
            <a:ext uri="{FF2B5EF4-FFF2-40B4-BE49-F238E27FC236}"/>
          </a:extLst>
        </xdr:cNvPr>
        <xdr:cNvSpPr/>
      </xdr:nvSpPr>
      <xdr:spPr>
        <a:xfrm>
          <a:off x="1552575" y="29622750"/>
          <a:ext cx="523143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154</xdr:row>
      <xdr:rowOff>0</xdr:rowOff>
    </xdr:from>
    <xdr:ext cx="514350" cy="352425"/>
    <xdr:sp macro="" textlink="">
      <xdr:nvSpPr>
        <xdr:cNvPr id="419" name="Isosceles Triangle 418">
          <a:extLst>
            <a:ext uri="{FF2B5EF4-FFF2-40B4-BE49-F238E27FC236}"/>
          </a:extLst>
        </xdr:cNvPr>
        <xdr:cNvSpPr/>
      </xdr:nvSpPr>
      <xdr:spPr>
        <a:xfrm>
          <a:off x="3609975" y="29622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154</xdr:row>
      <xdr:rowOff>0</xdr:rowOff>
    </xdr:from>
    <xdr:ext cx="514350" cy="352425"/>
    <xdr:sp macro="" textlink="">
      <xdr:nvSpPr>
        <xdr:cNvPr id="420" name="Isosceles Triangle 419">
          <a:extLst>
            <a:ext uri="{FF2B5EF4-FFF2-40B4-BE49-F238E27FC236}"/>
          </a:extLst>
        </xdr:cNvPr>
        <xdr:cNvSpPr/>
      </xdr:nvSpPr>
      <xdr:spPr>
        <a:xfrm>
          <a:off x="5381625" y="29622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154</xdr:row>
      <xdr:rowOff>0</xdr:rowOff>
    </xdr:from>
    <xdr:ext cx="495300" cy="352425"/>
    <xdr:sp macro="" textlink="">
      <xdr:nvSpPr>
        <xdr:cNvPr id="421" name="Isosceles Triangle 420">
          <a:extLst>
            <a:ext uri="{FF2B5EF4-FFF2-40B4-BE49-F238E27FC236}"/>
          </a:extLst>
        </xdr:cNvPr>
        <xdr:cNvSpPr/>
      </xdr:nvSpPr>
      <xdr:spPr>
        <a:xfrm>
          <a:off x="9210675" y="29622750"/>
          <a:ext cx="50409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154</xdr:row>
      <xdr:rowOff>0</xdr:rowOff>
    </xdr:from>
    <xdr:ext cx="514350" cy="352425"/>
    <xdr:sp macro="" textlink="">
      <xdr:nvSpPr>
        <xdr:cNvPr id="422" name="Isosceles Triangle 421">
          <a:extLst>
            <a:ext uri="{FF2B5EF4-FFF2-40B4-BE49-F238E27FC236}"/>
          </a:extLst>
        </xdr:cNvPr>
        <xdr:cNvSpPr/>
      </xdr:nvSpPr>
      <xdr:spPr>
        <a:xfrm>
          <a:off x="8220075" y="29622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154</xdr:row>
      <xdr:rowOff>0</xdr:rowOff>
    </xdr:from>
    <xdr:ext cx="514350" cy="352425"/>
    <xdr:sp macro="" textlink="">
      <xdr:nvSpPr>
        <xdr:cNvPr id="423" name="Isosceles Triangle 422">
          <a:extLst>
            <a:ext uri="{FF2B5EF4-FFF2-40B4-BE49-F238E27FC236}"/>
          </a:extLst>
        </xdr:cNvPr>
        <xdr:cNvSpPr/>
      </xdr:nvSpPr>
      <xdr:spPr>
        <a:xfrm>
          <a:off x="4514850" y="29622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154</xdr:row>
      <xdr:rowOff>0</xdr:rowOff>
    </xdr:from>
    <xdr:ext cx="514350" cy="352425"/>
    <xdr:sp macro="" textlink="">
      <xdr:nvSpPr>
        <xdr:cNvPr id="424" name="Isosceles Triangle 423">
          <a:extLst>
            <a:ext uri="{FF2B5EF4-FFF2-40B4-BE49-F238E27FC236}"/>
          </a:extLst>
        </xdr:cNvPr>
        <xdr:cNvSpPr/>
      </xdr:nvSpPr>
      <xdr:spPr>
        <a:xfrm>
          <a:off x="7172325" y="29622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154</xdr:row>
      <xdr:rowOff>0</xdr:rowOff>
    </xdr:from>
    <xdr:ext cx="514350" cy="352425"/>
    <xdr:sp macro="" textlink="">
      <xdr:nvSpPr>
        <xdr:cNvPr id="425" name="Isosceles Triangle 424">
          <a:extLst>
            <a:ext uri="{FF2B5EF4-FFF2-40B4-BE49-F238E27FC236}"/>
          </a:extLst>
        </xdr:cNvPr>
        <xdr:cNvSpPr/>
      </xdr:nvSpPr>
      <xdr:spPr>
        <a:xfrm>
          <a:off x="6296025" y="29622750"/>
          <a:ext cx="523143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162</xdr:row>
      <xdr:rowOff>0</xdr:rowOff>
    </xdr:from>
    <xdr:ext cx="514350" cy="361950"/>
    <xdr:sp macro="" textlink="">
      <xdr:nvSpPr>
        <xdr:cNvPr id="426" name="Isosceles Triangle 425">
          <a:extLst>
            <a:ext uri="{FF2B5EF4-FFF2-40B4-BE49-F238E27FC236}"/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9525</xdr:colOff>
      <xdr:row>162</xdr:row>
      <xdr:rowOff>9525</xdr:rowOff>
    </xdr:from>
    <xdr:ext cx="533400" cy="361950"/>
    <xdr:sp macro="" textlink="">
      <xdr:nvSpPr>
        <xdr:cNvPr id="427" name="Isosceles Triangle 426">
          <a:extLst>
            <a:ext uri="{FF2B5EF4-FFF2-40B4-BE49-F238E27FC236}"/>
          </a:extLst>
        </xdr:cNvPr>
        <xdr:cNvSpPr/>
      </xdr:nvSpPr>
      <xdr:spPr>
        <a:xfrm>
          <a:off x="1567938" y="31162113"/>
          <a:ext cx="524986" cy="379818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162</xdr:row>
      <xdr:rowOff>0</xdr:rowOff>
    </xdr:from>
    <xdr:ext cx="514350" cy="361950"/>
    <xdr:sp macro="" textlink="">
      <xdr:nvSpPr>
        <xdr:cNvPr id="428" name="Isosceles Triangle 427">
          <a:extLst>
            <a:ext uri="{FF2B5EF4-FFF2-40B4-BE49-F238E27FC236}"/>
          </a:extLst>
        </xdr:cNvPr>
        <xdr:cNvSpPr/>
      </xdr:nvSpPr>
      <xdr:spPr>
        <a:xfrm>
          <a:off x="2543175" y="3114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162</xdr:row>
      <xdr:rowOff>0</xdr:rowOff>
    </xdr:from>
    <xdr:ext cx="514350" cy="361950"/>
    <xdr:sp macro="" textlink="">
      <xdr:nvSpPr>
        <xdr:cNvPr id="429" name="Isosceles Triangle 428">
          <a:extLst>
            <a:ext uri="{FF2B5EF4-FFF2-40B4-BE49-F238E27FC236}"/>
          </a:extLst>
        </xdr:cNvPr>
        <xdr:cNvSpPr/>
      </xdr:nvSpPr>
      <xdr:spPr>
        <a:xfrm>
          <a:off x="3609975" y="3114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162</xdr:row>
      <xdr:rowOff>0</xdr:rowOff>
    </xdr:from>
    <xdr:ext cx="514350" cy="361950"/>
    <xdr:sp macro="" textlink="">
      <xdr:nvSpPr>
        <xdr:cNvPr id="430" name="Isosceles Triangle 429">
          <a:extLst>
            <a:ext uri="{FF2B5EF4-FFF2-40B4-BE49-F238E27FC236}"/>
          </a:extLst>
        </xdr:cNvPr>
        <xdr:cNvSpPr/>
      </xdr:nvSpPr>
      <xdr:spPr>
        <a:xfrm>
          <a:off x="4514850" y="3114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162</xdr:row>
      <xdr:rowOff>0</xdr:rowOff>
    </xdr:from>
    <xdr:ext cx="514350" cy="361950"/>
    <xdr:sp macro="" textlink="">
      <xdr:nvSpPr>
        <xdr:cNvPr id="431" name="Isosceles Triangle 430">
          <a:extLst>
            <a:ext uri="{FF2B5EF4-FFF2-40B4-BE49-F238E27FC236}"/>
          </a:extLst>
        </xdr:cNvPr>
        <xdr:cNvSpPr/>
      </xdr:nvSpPr>
      <xdr:spPr>
        <a:xfrm>
          <a:off x="6296025" y="3114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162</xdr:row>
      <xdr:rowOff>0</xdr:rowOff>
    </xdr:from>
    <xdr:ext cx="514350" cy="361950"/>
    <xdr:sp macro="" textlink="">
      <xdr:nvSpPr>
        <xdr:cNvPr id="432" name="Isosceles Triangle 431">
          <a:extLst>
            <a:ext uri="{FF2B5EF4-FFF2-40B4-BE49-F238E27FC236}"/>
          </a:extLst>
        </xdr:cNvPr>
        <xdr:cNvSpPr/>
      </xdr:nvSpPr>
      <xdr:spPr>
        <a:xfrm>
          <a:off x="7172325" y="3114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162</xdr:row>
      <xdr:rowOff>0</xdr:rowOff>
    </xdr:from>
    <xdr:ext cx="514350" cy="361950"/>
    <xdr:sp macro="" textlink="">
      <xdr:nvSpPr>
        <xdr:cNvPr id="433" name="Isosceles Triangle 432">
          <a:extLst>
            <a:ext uri="{FF2B5EF4-FFF2-40B4-BE49-F238E27FC236}"/>
          </a:extLst>
        </xdr:cNvPr>
        <xdr:cNvSpPr/>
      </xdr:nvSpPr>
      <xdr:spPr>
        <a:xfrm>
          <a:off x="8220075" y="3114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162</xdr:row>
      <xdr:rowOff>0</xdr:rowOff>
    </xdr:from>
    <xdr:ext cx="495300" cy="361950"/>
    <xdr:sp macro="" textlink="">
      <xdr:nvSpPr>
        <xdr:cNvPr id="434" name="Isosceles Triangle 433">
          <a:extLst>
            <a:ext uri="{FF2B5EF4-FFF2-40B4-BE49-F238E27FC236}"/>
          </a:extLst>
        </xdr:cNvPr>
        <xdr:cNvSpPr/>
      </xdr:nvSpPr>
      <xdr:spPr>
        <a:xfrm>
          <a:off x="9210675" y="31146750"/>
          <a:ext cx="504093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162</xdr:row>
      <xdr:rowOff>0</xdr:rowOff>
    </xdr:from>
    <xdr:ext cx="514350" cy="361950"/>
    <xdr:sp macro="" textlink="">
      <xdr:nvSpPr>
        <xdr:cNvPr id="435" name="Isosceles Triangle 434">
          <a:extLst>
            <a:ext uri="{FF2B5EF4-FFF2-40B4-BE49-F238E27FC236}"/>
          </a:extLst>
        </xdr:cNvPr>
        <xdr:cNvSpPr/>
      </xdr:nvSpPr>
      <xdr:spPr>
        <a:xfrm>
          <a:off x="11210925" y="31146750"/>
          <a:ext cx="52314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162</xdr:row>
      <xdr:rowOff>0</xdr:rowOff>
    </xdr:from>
    <xdr:ext cx="514350" cy="361950"/>
    <xdr:sp macro="" textlink="">
      <xdr:nvSpPr>
        <xdr:cNvPr id="436" name="Isosceles Triangle 435">
          <a:extLst>
            <a:ext uri="{FF2B5EF4-FFF2-40B4-BE49-F238E27FC236}"/>
          </a:extLst>
        </xdr:cNvPr>
        <xdr:cNvSpPr/>
      </xdr:nvSpPr>
      <xdr:spPr>
        <a:xfrm>
          <a:off x="12115800" y="31146750"/>
          <a:ext cx="50409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162</xdr:row>
      <xdr:rowOff>0</xdr:rowOff>
    </xdr:from>
    <xdr:ext cx="514350" cy="361950"/>
    <xdr:sp macro="" textlink="">
      <xdr:nvSpPr>
        <xdr:cNvPr id="437" name="Isosceles Triangle 436">
          <a:extLst>
            <a:ext uri="{FF2B5EF4-FFF2-40B4-BE49-F238E27FC236}"/>
          </a:extLst>
        </xdr:cNvPr>
        <xdr:cNvSpPr/>
      </xdr:nvSpPr>
      <xdr:spPr>
        <a:xfrm>
          <a:off x="13115925" y="31146750"/>
          <a:ext cx="5898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</xdr:col>
      <xdr:colOff>123825</xdr:colOff>
      <xdr:row>163</xdr:row>
      <xdr:rowOff>161925</xdr:rowOff>
    </xdr:from>
    <xdr:ext cx="142875" cy="381000"/>
    <xdr:sp macro="" textlink="">
      <xdr:nvSpPr>
        <xdr:cNvPr id="438" name="Arrow: Up 474">
          <a:extLst>
            <a:ext uri="{FF2B5EF4-FFF2-40B4-BE49-F238E27FC236}"/>
          </a:extLst>
        </xdr:cNvPr>
        <xdr:cNvSpPr/>
      </xdr:nvSpPr>
      <xdr:spPr>
        <a:xfrm>
          <a:off x="1273968" y="3150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</xdr:col>
      <xdr:colOff>0</xdr:colOff>
      <xdr:row>162</xdr:row>
      <xdr:rowOff>0</xdr:rowOff>
    </xdr:from>
    <xdr:ext cx="514350" cy="352425"/>
    <xdr:sp macro="" textlink="">
      <xdr:nvSpPr>
        <xdr:cNvPr id="439" name="Isosceles Triangle 438">
          <a:extLst>
            <a:ext uri="{FF2B5EF4-FFF2-40B4-BE49-F238E27FC236}"/>
          </a:extLst>
        </xdr:cNvPr>
        <xdr:cNvSpPr/>
      </xdr:nvSpPr>
      <xdr:spPr>
        <a:xfrm>
          <a:off x="609600" y="31146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162</xdr:row>
      <xdr:rowOff>0</xdr:rowOff>
    </xdr:from>
    <xdr:ext cx="514350" cy="352425"/>
    <xdr:sp macro="" textlink="">
      <xdr:nvSpPr>
        <xdr:cNvPr id="440" name="Isosceles Triangle 439">
          <a:extLst>
            <a:ext uri="{FF2B5EF4-FFF2-40B4-BE49-F238E27FC236}"/>
          </a:extLst>
        </xdr:cNvPr>
        <xdr:cNvSpPr/>
      </xdr:nvSpPr>
      <xdr:spPr>
        <a:xfrm>
          <a:off x="2543175" y="31146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162</xdr:row>
      <xdr:rowOff>0</xdr:rowOff>
    </xdr:from>
    <xdr:ext cx="533400" cy="352425"/>
    <xdr:sp macro="" textlink="">
      <xdr:nvSpPr>
        <xdr:cNvPr id="441" name="Isosceles Triangle 440">
          <a:extLst>
            <a:ext uri="{FF2B5EF4-FFF2-40B4-BE49-F238E27FC236}"/>
          </a:extLst>
        </xdr:cNvPr>
        <xdr:cNvSpPr/>
      </xdr:nvSpPr>
      <xdr:spPr>
        <a:xfrm>
          <a:off x="1552575" y="31146750"/>
          <a:ext cx="523143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162</xdr:row>
      <xdr:rowOff>0</xdr:rowOff>
    </xdr:from>
    <xdr:ext cx="514350" cy="352425"/>
    <xdr:sp macro="" textlink="">
      <xdr:nvSpPr>
        <xdr:cNvPr id="442" name="Isosceles Triangle 441">
          <a:extLst>
            <a:ext uri="{FF2B5EF4-FFF2-40B4-BE49-F238E27FC236}"/>
          </a:extLst>
        </xdr:cNvPr>
        <xdr:cNvSpPr/>
      </xdr:nvSpPr>
      <xdr:spPr>
        <a:xfrm>
          <a:off x="3609975" y="31146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162</xdr:row>
      <xdr:rowOff>0</xdr:rowOff>
    </xdr:from>
    <xdr:ext cx="495300" cy="352425"/>
    <xdr:sp macro="" textlink="">
      <xdr:nvSpPr>
        <xdr:cNvPr id="443" name="Isosceles Triangle 442">
          <a:extLst>
            <a:ext uri="{FF2B5EF4-FFF2-40B4-BE49-F238E27FC236}"/>
          </a:extLst>
        </xdr:cNvPr>
        <xdr:cNvSpPr/>
      </xdr:nvSpPr>
      <xdr:spPr>
        <a:xfrm>
          <a:off x="9210675" y="31146750"/>
          <a:ext cx="50409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162</xdr:row>
      <xdr:rowOff>0</xdr:rowOff>
    </xdr:from>
    <xdr:ext cx="514350" cy="352425"/>
    <xdr:sp macro="" textlink="">
      <xdr:nvSpPr>
        <xdr:cNvPr id="444" name="Isosceles Triangle 443">
          <a:extLst>
            <a:ext uri="{FF2B5EF4-FFF2-40B4-BE49-F238E27FC236}"/>
          </a:extLst>
        </xdr:cNvPr>
        <xdr:cNvSpPr/>
      </xdr:nvSpPr>
      <xdr:spPr>
        <a:xfrm>
          <a:off x="8220075" y="31146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162</xdr:row>
      <xdr:rowOff>0</xdr:rowOff>
    </xdr:from>
    <xdr:ext cx="514350" cy="352425"/>
    <xdr:sp macro="" textlink="">
      <xdr:nvSpPr>
        <xdr:cNvPr id="445" name="Isosceles Triangle 444">
          <a:extLst>
            <a:ext uri="{FF2B5EF4-FFF2-40B4-BE49-F238E27FC236}"/>
          </a:extLst>
        </xdr:cNvPr>
        <xdr:cNvSpPr/>
      </xdr:nvSpPr>
      <xdr:spPr>
        <a:xfrm>
          <a:off x="4514850" y="31146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162</xdr:row>
      <xdr:rowOff>0</xdr:rowOff>
    </xdr:from>
    <xdr:ext cx="514350" cy="352425"/>
    <xdr:sp macro="" textlink="">
      <xdr:nvSpPr>
        <xdr:cNvPr id="446" name="Isosceles Triangle 445">
          <a:extLst>
            <a:ext uri="{FF2B5EF4-FFF2-40B4-BE49-F238E27FC236}"/>
          </a:extLst>
        </xdr:cNvPr>
        <xdr:cNvSpPr/>
      </xdr:nvSpPr>
      <xdr:spPr>
        <a:xfrm>
          <a:off x="7172325" y="31146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162</xdr:row>
      <xdr:rowOff>0</xdr:rowOff>
    </xdr:from>
    <xdr:ext cx="514350" cy="352425"/>
    <xdr:sp macro="" textlink="">
      <xdr:nvSpPr>
        <xdr:cNvPr id="447" name="Isosceles Triangle 446">
          <a:extLst>
            <a:ext uri="{FF2B5EF4-FFF2-40B4-BE49-F238E27FC236}"/>
          </a:extLst>
        </xdr:cNvPr>
        <xdr:cNvSpPr/>
      </xdr:nvSpPr>
      <xdr:spPr>
        <a:xfrm>
          <a:off x="6296025" y="31146750"/>
          <a:ext cx="523143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170</xdr:row>
      <xdr:rowOff>0</xdr:rowOff>
    </xdr:from>
    <xdr:ext cx="514350" cy="361950"/>
    <xdr:sp macro="" textlink="">
      <xdr:nvSpPr>
        <xdr:cNvPr id="448" name="Isosceles Triangle 447">
          <a:extLst>
            <a:ext uri="{FF2B5EF4-FFF2-40B4-BE49-F238E27FC236}"/>
          </a:extLst>
        </xdr:cNvPr>
        <xdr:cNvSpPr/>
      </xdr:nvSpPr>
      <xdr:spPr>
        <a:xfrm>
          <a:off x="2543175" y="3267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170</xdr:row>
      <xdr:rowOff>0</xdr:rowOff>
    </xdr:from>
    <xdr:ext cx="514350" cy="361950"/>
    <xdr:sp macro="" textlink="">
      <xdr:nvSpPr>
        <xdr:cNvPr id="449" name="Isosceles Triangle 448">
          <a:extLst>
            <a:ext uri="{FF2B5EF4-FFF2-40B4-BE49-F238E27FC236}"/>
          </a:extLst>
        </xdr:cNvPr>
        <xdr:cNvSpPr/>
      </xdr:nvSpPr>
      <xdr:spPr>
        <a:xfrm>
          <a:off x="3609975" y="3267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170</xdr:row>
      <xdr:rowOff>0</xdr:rowOff>
    </xdr:from>
    <xdr:ext cx="514350" cy="361950"/>
    <xdr:sp macro="" textlink="">
      <xdr:nvSpPr>
        <xdr:cNvPr id="450" name="Isosceles Triangle 449">
          <a:extLst>
            <a:ext uri="{FF2B5EF4-FFF2-40B4-BE49-F238E27FC236}"/>
          </a:extLst>
        </xdr:cNvPr>
        <xdr:cNvSpPr/>
      </xdr:nvSpPr>
      <xdr:spPr>
        <a:xfrm>
          <a:off x="4514850" y="3267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170</xdr:row>
      <xdr:rowOff>0</xdr:rowOff>
    </xdr:from>
    <xdr:ext cx="514350" cy="361950"/>
    <xdr:sp macro="" textlink="">
      <xdr:nvSpPr>
        <xdr:cNvPr id="451" name="Isosceles Triangle 450">
          <a:extLst>
            <a:ext uri="{FF2B5EF4-FFF2-40B4-BE49-F238E27FC236}"/>
          </a:extLst>
        </xdr:cNvPr>
        <xdr:cNvSpPr/>
      </xdr:nvSpPr>
      <xdr:spPr>
        <a:xfrm>
          <a:off x="5381625" y="3267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170</xdr:row>
      <xdr:rowOff>0</xdr:rowOff>
    </xdr:from>
    <xdr:ext cx="514350" cy="361950"/>
    <xdr:sp macro="" textlink="">
      <xdr:nvSpPr>
        <xdr:cNvPr id="452" name="Isosceles Triangle 451">
          <a:extLst>
            <a:ext uri="{FF2B5EF4-FFF2-40B4-BE49-F238E27FC236}"/>
          </a:extLst>
        </xdr:cNvPr>
        <xdr:cNvSpPr/>
      </xdr:nvSpPr>
      <xdr:spPr>
        <a:xfrm>
          <a:off x="6296025" y="3267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170</xdr:row>
      <xdr:rowOff>0</xdr:rowOff>
    </xdr:from>
    <xdr:ext cx="514350" cy="361950"/>
    <xdr:sp macro="" textlink="">
      <xdr:nvSpPr>
        <xdr:cNvPr id="453" name="Isosceles Triangle 452">
          <a:extLst>
            <a:ext uri="{FF2B5EF4-FFF2-40B4-BE49-F238E27FC236}"/>
          </a:extLst>
        </xdr:cNvPr>
        <xdr:cNvSpPr/>
      </xdr:nvSpPr>
      <xdr:spPr>
        <a:xfrm>
          <a:off x="7172325" y="3267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170</xdr:row>
      <xdr:rowOff>0</xdr:rowOff>
    </xdr:from>
    <xdr:ext cx="514350" cy="361950"/>
    <xdr:sp macro="" textlink="">
      <xdr:nvSpPr>
        <xdr:cNvPr id="454" name="Isosceles Triangle 453">
          <a:extLst>
            <a:ext uri="{FF2B5EF4-FFF2-40B4-BE49-F238E27FC236}"/>
          </a:extLst>
        </xdr:cNvPr>
        <xdr:cNvSpPr/>
      </xdr:nvSpPr>
      <xdr:spPr>
        <a:xfrm>
          <a:off x="8220075" y="3267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170</xdr:row>
      <xdr:rowOff>0</xdr:rowOff>
    </xdr:from>
    <xdr:ext cx="495300" cy="361950"/>
    <xdr:sp macro="" textlink="">
      <xdr:nvSpPr>
        <xdr:cNvPr id="455" name="Isosceles Triangle 454">
          <a:extLst>
            <a:ext uri="{FF2B5EF4-FFF2-40B4-BE49-F238E27FC236}"/>
          </a:extLst>
        </xdr:cNvPr>
        <xdr:cNvSpPr/>
      </xdr:nvSpPr>
      <xdr:spPr>
        <a:xfrm>
          <a:off x="9210675" y="32670750"/>
          <a:ext cx="504093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170</xdr:row>
      <xdr:rowOff>0</xdr:rowOff>
    </xdr:from>
    <xdr:ext cx="514350" cy="361950"/>
    <xdr:sp macro="" textlink="">
      <xdr:nvSpPr>
        <xdr:cNvPr id="456" name="Isosceles Triangle 455">
          <a:extLst>
            <a:ext uri="{FF2B5EF4-FFF2-40B4-BE49-F238E27FC236}"/>
          </a:extLst>
        </xdr:cNvPr>
        <xdr:cNvSpPr/>
      </xdr:nvSpPr>
      <xdr:spPr>
        <a:xfrm>
          <a:off x="10125075" y="32670750"/>
          <a:ext cx="5136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170</xdr:row>
      <xdr:rowOff>0</xdr:rowOff>
    </xdr:from>
    <xdr:ext cx="514350" cy="361950"/>
    <xdr:sp macro="" textlink="">
      <xdr:nvSpPr>
        <xdr:cNvPr id="457" name="Isosceles Triangle 456">
          <a:extLst>
            <a:ext uri="{FF2B5EF4-FFF2-40B4-BE49-F238E27FC236}"/>
          </a:extLst>
        </xdr:cNvPr>
        <xdr:cNvSpPr/>
      </xdr:nvSpPr>
      <xdr:spPr>
        <a:xfrm>
          <a:off x="11210925" y="32670750"/>
          <a:ext cx="52314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170</xdr:row>
      <xdr:rowOff>0</xdr:rowOff>
    </xdr:from>
    <xdr:ext cx="514350" cy="361950"/>
    <xdr:sp macro="" textlink="">
      <xdr:nvSpPr>
        <xdr:cNvPr id="458" name="Isosceles Triangle 457">
          <a:extLst>
            <a:ext uri="{FF2B5EF4-FFF2-40B4-BE49-F238E27FC236}"/>
          </a:extLst>
        </xdr:cNvPr>
        <xdr:cNvSpPr/>
      </xdr:nvSpPr>
      <xdr:spPr>
        <a:xfrm>
          <a:off x="12115800" y="32670750"/>
          <a:ext cx="50409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170</xdr:row>
      <xdr:rowOff>0</xdr:rowOff>
    </xdr:from>
    <xdr:ext cx="514350" cy="361950"/>
    <xdr:sp macro="" textlink="">
      <xdr:nvSpPr>
        <xdr:cNvPr id="459" name="Isosceles Triangle 458">
          <a:extLst>
            <a:ext uri="{FF2B5EF4-FFF2-40B4-BE49-F238E27FC236}"/>
          </a:extLst>
        </xdr:cNvPr>
        <xdr:cNvSpPr/>
      </xdr:nvSpPr>
      <xdr:spPr>
        <a:xfrm>
          <a:off x="13115925" y="32670750"/>
          <a:ext cx="5898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170</xdr:row>
      <xdr:rowOff>0</xdr:rowOff>
    </xdr:from>
    <xdr:ext cx="514350" cy="352425"/>
    <xdr:sp macro="" textlink="">
      <xdr:nvSpPr>
        <xdr:cNvPr id="460" name="Isosceles Triangle 459">
          <a:extLst>
            <a:ext uri="{FF2B5EF4-FFF2-40B4-BE49-F238E27FC236}"/>
          </a:extLst>
        </xdr:cNvPr>
        <xdr:cNvSpPr/>
      </xdr:nvSpPr>
      <xdr:spPr>
        <a:xfrm>
          <a:off x="3609975" y="32670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170</xdr:row>
      <xdr:rowOff>0</xdr:rowOff>
    </xdr:from>
    <xdr:ext cx="514350" cy="352425"/>
    <xdr:sp macro="" textlink="">
      <xdr:nvSpPr>
        <xdr:cNvPr id="461" name="Isosceles Triangle 460">
          <a:extLst>
            <a:ext uri="{FF2B5EF4-FFF2-40B4-BE49-F238E27FC236}"/>
          </a:extLst>
        </xdr:cNvPr>
        <xdr:cNvSpPr/>
      </xdr:nvSpPr>
      <xdr:spPr>
        <a:xfrm>
          <a:off x="5381625" y="32670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170</xdr:row>
      <xdr:rowOff>0</xdr:rowOff>
    </xdr:from>
    <xdr:ext cx="495300" cy="352425"/>
    <xdr:sp macro="" textlink="">
      <xdr:nvSpPr>
        <xdr:cNvPr id="462" name="Isosceles Triangle 461">
          <a:extLst>
            <a:ext uri="{FF2B5EF4-FFF2-40B4-BE49-F238E27FC236}"/>
          </a:extLst>
        </xdr:cNvPr>
        <xdr:cNvSpPr/>
      </xdr:nvSpPr>
      <xdr:spPr>
        <a:xfrm>
          <a:off x="9210675" y="32670750"/>
          <a:ext cx="50409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170</xdr:row>
      <xdr:rowOff>0</xdr:rowOff>
    </xdr:from>
    <xdr:ext cx="514350" cy="352425"/>
    <xdr:sp macro="" textlink="">
      <xdr:nvSpPr>
        <xdr:cNvPr id="463" name="Isosceles Triangle 462">
          <a:extLst>
            <a:ext uri="{FF2B5EF4-FFF2-40B4-BE49-F238E27FC236}"/>
          </a:extLst>
        </xdr:cNvPr>
        <xdr:cNvSpPr/>
      </xdr:nvSpPr>
      <xdr:spPr>
        <a:xfrm>
          <a:off x="8220075" y="32670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170</xdr:row>
      <xdr:rowOff>0</xdr:rowOff>
    </xdr:from>
    <xdr:ext cx="514350" cy="352425"/>
    <xdr:sp macro="" textlink="">
      <xdr:nvSpPr>
        <xdr:cNvPr id="464" name="Isosceles Triangle 463">
          <a:extLst>
            <a:ext uri="{FF2B5EF4-FFF2-40B4-BE49-F238E27FC236}"/>
          </a:extLst>
        </xdr:cNvPr>
        <xdr:cNvSpPr/>
      </xdr:nvSpPr>
      <xdr:spPr>
        <a:xfrm>
          <a:off x="4514850" y="32670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170</xdr:row>
      <xdr:rowOff>0</xdr:rowOff>
    </xdr:from>
    <xdr:ext cx="514350" cy="352425"/>
    <xdr:sp macro="" textlink="">
      <xdr:nvSpPr>
        <xdr:cNvPr id="465" name="Isosceles Triangle 464">
          <a:extLst>
            <a:ext uri="{FF2B5EF4-FFF2-40B4-BE49-F238E27FC236}"/>
          </a:extLst>
        </xdr:cNvPr>
        <xdr:cNvSpPr/>
      </xdr:nvSpPr>
      <xdr:spPr>
        <a:xfrm>
          <a:off x="7172325" y="32670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170</xdr:row>
      <xdr:rowOff>0</xdr:rowOff>
    </xdr:from>
    <xdr:ext cx="514350" cy="352425"/>
    <xdr:sp macro="" textlink="">
      <xdr:nvSpPr>
        <xdr:cNvPr id="466" name="Isosceles Triangle 465">
          <a:extLst>
            <a:ext uri="{FF2B5EF4-FFF2-40B4-BE49-F238E27FC236}"/>
          </a:extLst>
        </xdr:cNvPr>
        <xdr:cNvSpPr/>
      </xdr:nvSpPr>
      <xdr:spPr>
        <a:xfrm>
          <a:off x="6296025" y="32670750"/>
          <a:ext cx="523143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178</xdr:row>
      <xdr:rowOff>0</xdr:rowOff>
    </xdr:from>
    <xdr:ext cx="514350" cy="361950"/>
    <xdr:sp macro="" textlink="">
      <xdr:nvSpPr>
        <xdr:cNvPr id="467" name="Isosceles Triangle 466">
          <a:extLst>
            <a:ext uri="{FF2B5EF4-FFF2-40B4-BE49-F238E27FC236}"/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178</xdr:row>
      <xdr:rowOff>0</xdr:rowOff>
    </xdr:from>
    <xdr:ext cx="533400" cy="361950"/>
    <xdr:sp macro="" textlink="">
      <xdr:nvSpPr>
        <xdr:cNvPr id="468" name="Isosceles Triangle 467">
          <a:extLst>
            <a:ext uri="{FF2B5EF4-FFF2-40B4-BE49-F238E27FC236}"/>
          </a:extLst>
        </xdr:cNvPr>
        <xdr:cNvSpPr/>
      </xdr:nvSpPr>
      <xdr:spPr>
        <a:xfrm>
          <a:off x="1552575" y="3419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178</xdr:row>
      <xdr:rowOff>0</xdr:rowOff>
    </xdr:from>
    <xdr:ext cx="514350" cy="361950"/>
    <xdr:sp macro="" textlink="">
      <xdr:nvSpPr>
        <xdr:cNvPr id="469" name="Isosceles Triangle 468">
          <a:extLst>
            <a:ext uri="{FF2B5EF4-FFF2-40B4-BE49-F238E27FC236}"/>
          </a:extLst>
        </xdr:cNvPr>
        <xdr:cNvSpPr/>
      </xdr:nvSpPr>
      <xdr:spPr>
        <a:xfrm>
          <a:off x="2543175" y="3419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178</xdr:row>
      <xdr:rowOff>0</xdr:rowOff>
    </xdr:from>
    <xdr:ext cx="514350" cy="361950"/>
    <xdr:sp macro="" textlink="">
      <xdr:nvSpPr>
        <xdr:cNvPr id="470" name="Isosceles Triangle 469">
          <a:extLst>
            <a:ext uri="{FF2B5EF4-FFF2-40B4-BE49-F238E27FC236}"/>
          </a:extLst>
        </xdr:cNvPr>
        <xdr:cNvSpPr/>
      </xdr:nvSpPr>
      <xdr:spPr>
        <a:xfrm>
          <a:off x="3609975" y="3419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178</xdr:row>
      <xdr:rowOff>0</xdr:rowOff>
    </xdr:from>
    <xdr:ext cx="514350" cy="361950"/>
    <xdr:sp macro="" textlink="">
      <xdr:nvSpPr>
        <xdr:cNvPr id="471" name="Isosceles Triangle 470">
          <a:extLst>
            <a:ext uri="{FF2B5EF4-FFF2-40B4-BE49-F238E27FC236}"/>
          </a:extLst>
        </xdr:cNvPr>
        <xdr:cNvSpPr/>
      </xdr:nvSpPr>
      <xdr:spPr>
        <a:xfrm>
          <a:off x="4514850" y="3419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178</xdr:row>
      <xdr:rowOff>0</xdr:rowOff>
    </xdr:from>
    <xdr:ext cx="514350" cy="361950"/>
    <xdr:sp macro="" textlink="">
      <xdr:nvSpPr>
        <xdr:cNvPr id="472" name="Isosceles Triangle 471">
          <a:extLst>
            <a:ext uri="{FF2B5EF4-FFF2-40B4-BE49-F238E27FC236}"/>
          </a:extLst>
        </xdr:cNvPr>
        <xdr:cNvSpPr/>
      </xdr:nvSpPr>
      <xdr:spPr>
        <a:xfrm>
          <a:off x="5381625" y="3419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178</xdr:row>
      <xdr:rowOff>0</xdr:rowOff>
    </xdr:from>
    <xdr:ext cx="514350" cy="361950"/>
    <xdr:sp macro="" textlink="">
      <xdr:nvSpPr>
        <xdr:cNvPr id="473" name="Isosceles Triangle 472">
          <a:extLst>
            <a:ext uri="{FF2B5EF4-FFF2-40B4-BE49-F238E27FC236}"/>
          </a:extLst>
        </xdr:cNvPr>
        <xdr:cNvSpPr/>
      </xdr:nvSpPr>
      <xdr:spPr>
        <a:xfrm>
          <a:off x="6296025" y="3419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178</xdr:row>
      <xdr:rowOff>0</xdr:rowOff>
    </xdr:from>
    <xdr:ext cx="514350" cy="361950"/>
    <xdr:sp macro="" textlink="">
      <xdr:nvSpPr>
        <xdr:cNvPr id="474" name="Isosceles Triangle 473">
          <a:extLst>
            <a:ext uri="{FF2B5EF4-FFF2-40B4-BE49-F238E27FC236}"/>
          </a:extLst>
        </xdr:cNvPr>
        <xdr:cNvSpPr/>
      </xdr:nvSpPr>
      <xdr:spPr>
        <a:xfrm>
          <a:off x="7172325" y="3419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178</xdr:row>
      <xdr:rowOff>0</xdr:rowOff>
    </xdr:from>
    <xdr:ext cx="514350" cy="361950"/>
    <xdr:sp macro="" textlink="">
      <xdr:nvSpPr>
        <xdr:cNvPr id="475" name="Isosceles Triangle 474">
          <a:extLst>
            <a:ext uri="{FF2B5EF4-FFF2-40B4-BE49-F238E27FC236}"/>
          </a:extLst>
        </xdr:cNvPr>
        <xdr:cNvSpPr/>
      </xdr:nvSpPr>
      <xdr:spPr>
        <a:xfrm>
          <a:off x="8220075" y="3419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178</xdr:row>
      <xdr:rowOff>0</xdr:rowOff>
    </xdr:from>
    <xdr:ext cx="495300" cy="361950"/>
    <xdr:sp macro="" textlink="">
      <xdr:nvSpPr>
        <xdr:cNvPr id="476" name="Isosceles Triangle 475">
          <a:extLst>
            <a:ext uri="{FF2B5EF4-FFF2-40B4-BE49-F238E27FC236}"/>
          </a:extLst>
        </xdr:cNvPr>
        <xdr:cNvSpPr/>
      </xdr:nvSpPr>
      <xdr:spPr>
        <a:xfrm>
          <a:off x="9210675" y="34194750"/>
          <a:ext cx="504093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178</xdr:row>
      <xdr:rowOff>0</xdr:rowOff>
    </xdr:from>
    <xdr:ext cx="514350" cy="361950"/>
    <xdr:sp macro="" textlink="">
      <xdr:nvSpPr>
        <xdr:cNvPr id="477" name="Isosceles Triangle 476">
          <a:extLst>
            <a:ext uri="{FF2B5EF4-FFF2-40B4-BE49-F238E27FC236}"/>
          </a:extLst>
        </xdr:cNvPr>
        <xdr:cNvSpPr/>
      </xdr:nvSpPr>
      <xdr:spPr>
        <a:xfrm>
          <a:off x="10125075" y="34194750"/>
          <a:ext cx="513618" cy="373673"/>
        </a:xfrm>
        <a:prstGeom prst="triangle">
          <a:avLst>
            <a:gd fmla="val 50000" name="adj"/>
          </a:avLst>
        </a:prstGeom>
        <a:solidFill>
          <a:srgbClr val="92D05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178</xdr:row>
      <xdr:rowOff>0</xdr:rowOff>
    </xdr:from>
    <xdr:ext cx="514350" cy="361950"/>
    <xdr:sp macro="" textlink="">
      <xdr:nvSpPr>
        <xdr:cNvPr id="478" name="Isosceles Triangle 477">
          <a:extLst>
            <a:ext uri="{FF2B5EF4-FFF2-40B4-BE49-F238E27FC236}"/>
          </a:extLst>
        </xdr:cNvPr>
        <xdr:cNvSpPr/>
      </xdr:nvSpPr>
      <xdr:spPr>
        <a:xfrm>
          <a:off x="11210925" y="34194750"/>
          <a:ext cx="523142" cy="373673"/>
        </a:xfrm>
        <a:prstGeom prst="triangle">
          <a:avLst>
            <a:gd fmla="val 50000" name="adj"/>
          </a:avLst>
        </a:prstGeom>
        <a:solidFill>
          <a:srgbClr val="92D05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178</xdr:row>
      <xdr:rowOff>0</xdr:rowOff>
    </xdr:from>
    <xdr:ext cx="514350" cy="361950"/>
    <xdr:sp macro="" textlink="">
      <xdr:nvSpPr>
        <xdr:cNvPr id="479" name="Isosceles Triangle 478">
          <a:extLst>
            <a:ext uri="{FF2B5EF4-FFF2-40B4-BE49-F238E27FC236}"/>
          </a:extLst>
        </xdr:cNvPr>
        <xdr:cNvSpPr/>
      </xdr:nvSpPr>
      <xdr:spPr>
        <a:xfrm>
          <a:off x="12115800" y="34194750"/>
          <a:ext cx="504092" cy="373673"/>
        </a:xfrm>
        <a:prstGeom prst="triangle">
          <a:avLst>
            <a:gd fmla="val 50000" name="adj"/>
          </a:avLst>
        </a:prstGeom>
        <a:solidFill>
          <a:srgbClr val="92D05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178</xdr:row>
      <xdr:rowOff>0</xdr:rowOff>
    </xdr:from>
    <xdr:ext cx="514350" cy="361950"/>
    <xdr:sp macro="" textlink="">
      <xdr:nvSpPr>
        <xdr:cNvPr id="480" name="Isosceles Triangle 479">
          <a:extLst>
            <a:ext uri="{FF2B5EF4-FFF2-40B4-BE49-F238E27FC236}"/>
          </a:extLst>
        </xdr:cNvPr>
        <xdr:cNvSpPr/>
      </xdr:nvSpPr>
      <xdr:spPr>
        <a:xfrm>
          <a:off x="13115925" y="34194750"/>
          <a:ext cx="589818" cy="373673"/>
        </a:xfrm>
        <a:prstGeom prst="triangle">
          <a:avLst>
            <a:gd fmla="val 50000" name="adj"/>
          </a:avLst>
        </a:prstGeom>
        <a:solidFill>
          <a:srgbClr val="92D05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178</xdr:row>
      <xdr:rowOff>0</xdr:rowOff>
    </xdr:from>
    <xdr:ext cx="514350" cy="352425"/>
    <xdr:sp macro="" textlink="">
      <xdr:nvSpPr>
        <xdr:cNvPr id="481" name="Isosceles Triangle 480">
          <a:extLst>
            <a:ext uri="{FF2B5EF4-FFF2-40B4-BE49-F238E27FC236}"/>
          </a:extLst>
        </xdr:cNvPr>
        <xdr:cNvSpPr/>
      </xdr:nvSpPr>
      <xdr:spPr>
        <a:xfrm>
          <a:off x="609600" y="34194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178</xdr:row>
      <xdr:rowOff>0</xdr:rowOff>
    </xdr:from>
    <xdr:ext cx="514350" cy="352425"/>
    <xdr:sp macro="" textlink="">
      <xdr:nvSpPr>
        <xdr:cNvPr id="482" name="Isosceles Triangle 481">
          <a:extLst>
            <a:ext uri="{FF2B5EF4-FFF2-40B4-BE49-F238E27FC236}"/>
          </a:extLst>
        </xdr:cNvPr>
        <xdr:cNvSpPr/>
      </xdr:nvSpPr>
      <xdr:spPr>
        <a:xfrm>
          <a:off x="2543175" y="34194750"/>
          <a:ext cx="523142" cy="367975"/>
        </a:xfrm>
        <a:prstGeom prst="triangle">
          <a:avLst>
            <a:gd fmla="val 50000" name="adj"/>
          </a:avLst>
        </a:prstGeom>
        <a:solidFill>
          <a:srgbClr val="92D05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178</xdr:row>
      <xdr:rowOff>0</xdr:rowOff>
    </xdr:from>
    <xdr:ext cx="533400" cy="352425"/>
    <xdr:sp macro="" textlink="">
      <xdr:nvSpPr>
        <xdr:cNvPr id="483" name="Isosceles Triangle 482">
          <a:extLst>
            <a:ext uri="{FF2B5EF4-FFF2-40B4-BE49-F238E27FC236}"/>
          </a:extLst>
        </xdr:cNvPr>
        <xdr:cNvSpPr/>
      </xdr:nvSpPr>
      <xdr:spPr>
        <a:xfrm>
          <a:off x="1552575" y="34194750"/>
          <a:ext cx="523143" cy="367975"/>
        </a:xfrm>
        <a:prstGeom prst="triangle">
          <a:avLst>
            <a:gd fmla="val 50000" name="adj"/>
          </a:avLst>
        </a:prstGeom>
        <a:solidFill>
          <a:schemeClr val="lt1"/>
        </a:solidFill>
        <a:ln cap="flat" cmpd="sng" w="12700" algn="ctr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178</xdr:row>
      <xdr:rowOff>0</xdr:rowOff>
    </xdr:from>
    <xdr:ext cx="514350" cy="352425"/>
    <xdr:sp macro="" textlink="">
      <xdr:nvSpPr>
        <xdr:cNvPr id="484" name="Isosceles Triangle 483">
          <a:extLst>
            <a:ext uri="{FF2B5EF4-FFF2-40B4-BE49-F238E27FC236}"/>
          </a:extLst>
        </xdr:cNvPr>
        <xdr:cNvSpPr/>
      </xdr:nvSpPr>
      <xdr:spPr>
        <a:xfrm>
          <a:off x="3609975" y="34194750"/>
          <a:ext cx="523142" cy="367975"/>
        </a:xfrm>
        <a:prstGeom prst="triangle">
          <a:avLst>
            <a:gd fmla="val 50000" name="adj"/>
          </a:avLst>
        </a:prstGeom>
        <a:solidFill>
          <a:srgbClr val="92D05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178</xdr:row>
      <xdr:rowOff>0</xdr:rowOff>
    </xdr:from>
    <xdr:ext cx="514350" cy="352425"/>
    <xdr:sp macro="" textlink="">
      <xdr:nvSpPr>
        <xdr:cNvPr id="485" name="Isosceles Triangle 484">
          <a:extLst>
            <a:ext uri="{FF2B5EF4-FFF2-40B4-BE49-F238E27FC236}"/>
          </a:extLst>
        </xdr:cNvPr>
        <xdr:cNvSpPr/>
      </xdr:nvSpPr>
      <xdr:spPr>
        <a:xfrm>
          <a:off x="5381625" y="34194750"/>
          <a:ext cx="523142" cy="367975"/>
        </a:xfrm>
        <a:prstGeom prst="triangle">
          <a:avLst>
            <a:gd fmla="val 50000" name="adj"/>
          </a:avLst>
        </a:prstGeom>
        <a:solidFill>
          <a:srgbClr val="92D05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178</xdr:row>
      <xdr:rowOff>0</xdr:rowOff>
    </xdr:from>
    <xdr:ext cx="495300" cy="352425"/>
    <xdr:sp macro="" textlink="">
      <xdr:nvSpPr>
        <xdr:cNvPr id="486" name="Isosceles Triangle 485">
          <a:extLst>
            <a:ext uri="{FF2B5EF4-FFF2-40B4-BE49-F238E27FC236}"/>
          </a:extLst>
        </xdr:cNvPr>
        <xdr:cNvSpPr/>
      </xdr:nvSpPr>
      <xdr:spPr>
        <a:xfrm>
          <a:off x="9210675" y="34194750"/>
          <a:ext cx="504092" cy="367975"/>
        </a:xfrm>
        <a:prstGeom prst="triangle">
          <a:avLst>
            <a:gd fmla="val 50000" name="adj"/>
          </a:avLst>
        </a:prstGeom>
        <a:solidFill>
          <a:srgbClr val="92D05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178</xdr:row>
      <xdr:rowOff>0</xdr:rowOff>
    </xdr:from>
    <xdr:ext cx="514350" cy="352425"/>
    <xdr:sp macro="" textlink="">
      <xdr:nvSpPr>
        <xdr:cNvPr id="487" name="Isosceles Triangle 486">
          <a:extLst>
            <a:ext uri="{FF2B5EF4-FFF2-40B4-BE49-F238E27FC236}"/>
          </a:extLst>
        </xdr:cNvPr>
        <xdr:cNvSpPr/>
      </xdr:nvSpPr>
      <xdr:spPr>
        <a:xfrm>
          <a:off x="8220075" y="34194750"/>
          <a:ext cx="523142" cy="367975"/>
        </a:xfrm>
        <a:prstGeom prst="triangle">
          <a:avLst>
            <a:gd fmla="val 50000" name="adj"/>
          </a:avLst>
        </a:prstGeom>
        <a:solidFill>
          <a:srgbClr val="92D05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178</xdr:row>
      <xdr:rowOff>0</xdr:rowOff>
    </xdr:from>
    <xdr:ext cx="514350" cy="352425"/>
    <xdr:sp macro="" textlink="">
      <xdr:nvSpPr>
        <xdr:cNvPr id="488" name="Isosceles Triangle 487">
          <a:extLst>
            <a:ext uri="{FF2B5EF4-FFF2-40B4-BE49-F238E27FC236}"/>
          </a:extLst>
        </xdr:cNvPr>
        <xdr:cNvSpPr/>
      </xdr:nvSpPr>
      <xdr:spPr>
        <a:xfrm>
          <a:off x="4514850" y="34194750"/>
          <a:ext cx="523142" cy="367975"/>
        </a:xfrm>
        <a:prstGeom prst="triangle">
          <a:avLst>
            <a:gd fmla="val 50000" name="adj"/>
          </a:avLst>
        </a:prstGeom>
        <a:solidFill>
          <a:srgbClr val="92D05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178</xdr:row>
      <xdr:rowOff>0</xdr:rowOff>
    </xdr:from>
    <xdr:ext cx="514350" cy="352425"/>
    <xdr:sp macro="" textlink="">
      <xdr:nvSpPr>
        <xdr:cNvPr id="489" name="Isosceles Triangle 488">
          <a:extLst>
            <a:ext uri="{FF2B5EF4-FFF2-40B4-BE49-F238E27FC236}"/>
          </a:extLst>
        </xdr:cNvPr>
        <xdr:cNvSpPr/>
      </xdr:nvSpPr>
      <xdr:spPr>
        <a:xfrm>
          <a:off x="7172325" y="34194750"/>
          <a:ext cx="523142" cy="367975"/>
        </a:xfrm>
        <a:prstGeom prst="triangle">
          <a:avLst>
            <a:gd fmla="val 50000" name="adj"/>
          </a:avLst>
        </a:prstGeom>
        <a:solidFill>
          <a:srgbClr val="92D05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178</xdr:row>
      <xdr:rowOff>0</xdr:rowOff>
    </xdr:from>
    <xdr:ext cx="514350" cy="352425"/>
    <xdr:sp macro="" textlink="">
      <xdr:nvSpPr>
        <xdr:cNvPr id="490" name="Isosceles Triangle 489">
          <a:extLst>
            <a:ext uri="{FF2B5EF4-FFF2-40B4-BE49-F238E27FC236}"/>
          </a:extLst>
        </xdr:cNvPr>
        <xdr:cNvSpPr/>
      </xdr:nvSpPr>
      <xdr:spPr>
        <a:xfrm>
          <a:off x="6296025" y="34194750"/>
          <a:ext cx="523143" cy="367975"/>
        </a:xfrm>
        <a:prstGeom prst="triangle">
          <a:avLst>
            <a:gd fmla="val 50000" name="adj"/>
          </a:avLst>
        </a:prstGeom>
        <a:solidFill>
          <a:srgbClr val="92D05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0</xdr:col>
      <xdr:colOff>123825</xdr:colOff>
      <xdr:row>11</xdr:row>
      <xdr:rowOff>142875</xdr:rowOff>
    </xdr:from>
    <xdr:ext cx="142875" cy="390525"/>
    <xdr:sp macro="" textlink="">
      <xdr:nvSpPr>
        <xdr:cNvPr id="491" name="Arrow: Up 256">
          <a:extLst>
            <a:ext uri="{FF2B5EF4-FFF2-40B4-BE49-F238E27FC236}"/>
          </a:extLst>
        </xdr:cNvPr>
        <xdr:cNvSpPr/>
      </xdr:nvSpPr>
      <xdr:spPr>
        <a:xfrm>
          <a:off x="129886" y="25327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219075</xdr:colOff>
      <xdr:row>11</xdr:row>
      <xdr:rowOff>142875</xdr:rowOff>
    </xdr:from>
    <xdr:ext cx="142875" cy="390525"/>
    <xdr:sp macro="" textlink="">
      <xdr:nvSpPr>
        <xdr:cNvPr id="492" name="Arrow: Up 256">
          <a:extLst>
            <a:ext uri="{FF2B5EF4-FFF2-40B4-BE49-F238E27FC236}"/>
          </a:extLst>
        </xdr:cNvPr>
        <xdr:cNvSpPr/>
      </xdr:nvSpPr>
      <xdr:spPr>
        <a:xfrm>
          <a:off x="2303470" y="25322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95250</xdr:colOff>
      <xdr:row>11</xdr:row>
      <xdr:rowOff>142875</xdr:rowOff>
    </xdr:from>
    <xdr:ext cx="142875" cy="390525"/>
    <xdr:sp macro="" textlink="">
      <xdr:nvSpPr>
        <xdr:cNvPr id="493" name="Arrow: Up 256">
          <a:extLst>
            <a:ext uri="{FF2B5EF4-FFF2-40B4-BE49-F238E27FC236}"/>
          </a:extLst>
        </xdr:cNvPr>
        <xdr:cNvSpPr/>
      </xdr:nvSpPr>
      <xdr:spPr>
        <a:xfrm>
          <a:off x="5151726" y="25249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85725</xdr:colOff>
      <xdr:row>11</xdr:row>
      <xdr:rowOff>171450</xdr:rowOff>
    </xdr:from>
    <xdr:ext cx="142875" cy="381000"/>
    <xdr:sp macro="" textlink="">
      <xdr:nvSpPr>
        <xdr:cNvPr id="494" name="Arrow: Up 256">
          <a:extLst>
            <a:ext uri="{FF2B5EF4-FFF2-40B4-BE49-F238E27FC236}"/>
          </a:extLst>
        </xdr:cNvPr>
        <xdr:cNvSpPr/>
      </xdr:nvSpPr>
      <xdr:spPr>
        <a:xfrm>
          <a:off x="7792316" y="25544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247650</xdr:colOff>
      <xdr:row>11</xdr:row>
      <xdr:rowOff>180975</xdr:rowOff>
    </xdr:from>
    <xdr:ext cx="142875" cy="381000"/>
    <xdr:sp macro="" textlink="">
      <xdr:nvSpPr>
        <xdr:cNvPr id="495" name="Arrow: Up 232">
          <a:extLst>
            <a:ext uri="{FF2B5EF4-FFF2-40B4-BE49-F238E27FC236}"/>
          </a:extLst>
        </xdr:cNvPr>
        <xdr:cNvSpPr/>
      </xdr:nvSpPr>
      <xdr:spPr>
        <a:xfrm>
          <a:off x="7954673" y="2565256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428625</xdr:colOff>
      <xdr:row>11</xdr:row>
      <xdr:rowOff>190500</xdr:rowOff>
    </xdr:from>
    <xdr:ext cx="142875" cy="381000"/>
    <xdr:sp macro="" textlink="">
      <xdr:nvSpPr>
        <xdr:cNvPr id="496" name="Arrow: Up-Down 285">
          <a:extLst>
            <a:ext uri="{FF2B5EF4-FFF2-40B4-BE49-F238E27FC236}"/>
          </a:extLst>
        </xdr:cNvPr>
        <xdr:cNvSpPr/>
      </xdr:nvSpPr>
      <xdr:spPr>
        <a:xfrm>
          <a:off x="8138679" y="2576079"/>
          <a:ext cx="85726" cy="40652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66675</xdr:colOff>
      <xdr:row>11</xdr:row>
      <xdr:rowOff>180975</xdr:rowOff>
    </xdr:from>
    <xdr:ext cx="142875" cy="381000"/>
    <xdr:sp macro="" textlink="">
      <xdr:nvSpPr>
        <xdr:cNvPr id="497" name="Arrow: Up 232">
          <a:extLst>
            <a:ext uri="{FF2B5EF4-FFF2-40B4-BE49-F238E27FC236}"/>
          </a:extLst>
        </xdr:cNvPr>
        <xdr:cNvSpPr/>
      </xdr:nvSpPr>
      <xdr:spPr>
        <a:xfrm>
          <a:off x="8829242" y="2565256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47625</xdr:colOff>
      <xdr:row>11</xdr:row>
      <xdr:rowOff>161925</xdr:rowOff>
    </xdr:from>
    <xdr:ext cx="142875" cy="390525"/>
    <xdr:sp macro="" textlink="">
      <xdr:nvSpPr>
        <xdr:cNvPr id="498" name="Arrow: Up 256">
          <a:extLst>
            <a:ext uri="{FF2B5EF4-FFF2-40B4-BE49-F238E27FC236}"/>
          </a:extLst>
        </xdr:cNvPr>
        <xdr:cNvSpPr/>
      </xdr:nvSpPr>
      <xdr:spPr>
        <a:xfrm>
          <a:off x="9769619" y="25436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238125</xdr:colOff>
      <xdr:row>11</xdr:row>
      <xdr:rowOff>171450</xdr:rowOff>
    </xdr:from>
    <xdr:ext cx="142875" cy="381000"/>
    <xdr:sp macro="" textlink="">
      <xdr:nvSpPr>
        <xdr:cNvPr id="499" name="Arrow: Up 232">
          <a:extLst>
            <a:ext uri="{FF2B5EF4-FFF2-40B4-BE49-F238E27FC236}"/>
          </a:extLst>
        </xdr:cNvPr>
        <xdr:cNvSpPr/>
      </xdr:nvSpPr>
      <xdr:spPr>
        <a:xfrm>
          <a:off x="9953625" y="2554433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133350</xdr:colOff>
      <xdr:row>11</xdr:row>
      <xdr:rowOff>161925</xdr:rowOff>
    </xdr:from>
    <xdr:ext cx="142875" cy="390525"/>
    <xdr:sp macro="" textlink="">
      <xdr:nvSpPr>
        <xdr:cNvPr id="500" name="Arrow: Up 256">
          <a:extLst>
            <a:ext uri="{FF2B5EF4-FFF2-40B4-BE49-F238E27FC236}"/>
          </a:extLst>
        </xdr:cNvPr>
        <xdr:cNvSpPr/>
      </xdr:nvSpPr>
      <xdr:spPr>
        <a:xfrm>
          <a:off x="10780134" y="25436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47625</xdr:colOff>
      <xdr:row>11</xdr:row>
      <xdr:rowOff>171450</xdr:rowOff>
    </xdr:from>
    <xdr:ext cx="142875" cy="381000"/>
    <xdr:sp macro="" textlink="">
      <xdr:nvSpPr>
        <xdr:cNvPr id="501" name="Arrow: Up 233">
          <a:extLst>
            <a:ext uri="{FF2B5EF4-FFF2-40B4-BE49-F238E27FC236}"/>
          </a:extLst>
        </xdr:cNvPr>
        <xdr:cNvSpPr/>
      </xdr:nvSpPr>
      <xdr:spPr>
        <a:xfrm>
          <a:off x="11788919" y="2554433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0</xdr:col>
      <xdr:colOff>114300</xdr:colOff>
      <xdr:row>19</xdr:row>
      <xdr:rowOff>152400</xdr:rowOff>
    </xdr:from>
    <xdr:ext cx="142875" cy="390525"/>
    <xdr:sp macro="" textlink="">
      <xdr:nvSpPr>
        <xdr:cNvPr id="502" name="Arrow: Up 256">
          <a:extLst>
            <a:ext uri="{FF2B5EF4-FFF2-40B4-BE49-F238E27FC236}"/>
          </a:extLst>
        </xdr:cNvPr>
        <xdr:cNvSpPr/>
      </xdr:nvSpPr>
      <xdr:spPr>
        <a:xfrm>
          <a:off x="118197" y="40576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57150</xdr:colOff>
      <xdr:row>19</xdr:row>
      <xdr:rowOff>161925</xdr:rowOff>
    </xdr:from>
    <xdr:ext cx="142875" cy="390525"/>
    <xdr:sp macro="" textlink="">
      <xdr:nvSpPr>
        <xdr:cNvPr id="503" name="Arrow: Up 256">
          <a:extLst>
            <a:ext uri="{FF2B5EF4-FFF2-40B4-BE49-F238E27FC236}"/>
          </a:extLst>
        </xdr:cNvPr>
        <xdr:cNvSpPr/>
      </xdr:nvSpPr>
      <xdr:spPr>
        <a:xfrm>
          <a:off x="1207943" y="4067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114300</xdr:colOff>
      <xdr:row>19</xdr:row>
      <xdr:rowOff>161925</xdr:rowOff>
    </xdr:from>
    <xdr:ext cx="142875" cy="390525"/>
    <xdr:sp macro="" textlink="">
      <xdr:nvSpPr>
        <xdr:cNvPr id="504" name="Arrow: Up 256">
          <a:extLst>
            <a:ext uri="{FF2B5EF4-FFF2-40B4-BE49-F238E27FC236}"/>
          </a:extLst>
        </xdr:cNvPr>
        <xdr:cNvSpPr/>
      </xdr:nvSpPr>
      <xdr:spPr>
        <a:xfrm>
          <a:off x="3198451" y="40684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19050</xdr:colOff>
      <xdr:row>19</xdr:row>
      <xdr:rowOff>142875</xdr:rowOff>
    </xdr:from>
    <xdr:ext cx="142875" cy="390525"/>
    <xdr:sp macro="" textlink="">
      <xdr:nvSpPr>
        <xdr:cNvPr id="505" name="Arrow: Up 256">
          <a:extLst>
            <a:ext uri="{FF2B5EF4-FFF2-40B4-BE49-F238E27FC236}"/>
          </a:extLst>
        </xdr:cNvPr>
        <xdr:cNvSpPr/>
      </xdr:nvSpPr>
      <xdr:spPr>
        <a:xfrm>
          <a:off x="4165023" y="4056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180975</xdr:colOff>
      <xdr:row>19</xdr:row>
      <xdr:rowOff>133350</xdr:rowOff>
    </xdr:from>
    <xdr:ext cx="142875" cy="390525"/>
    <xdr:sp macro="" textlink="">
      <xdr:nvSpPr>
        <xdr:cNvPr id="506" name="Arrow: Up 228">
          <a:extLst>
            <a:ext uri="{FF2B5EF4-FFF2-40B4-BE49-F238E27FC236}"/>
          </a:extLst>
        </xdr:cNvPr>
        <xdr:cNvSpPr/>
      </xdr:nvSpPr>
      <xdr:spPr>
        <a:xfrm>
          <a:off x="4327381" y="4045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66675</xdr:colOff>
      <xdr:row>19</xdr:row>
      <xdr:rowOff>161925</xdr:rowOff>
    </xdr:from>
    <xdr:ext cx="142875" cy="390525"/>
    <xdr:sp macro="" textlink="">
      <xdr:nvSpPr>
        <xdr:cNvPr id="507" name="Arrow: Up 256">
          <a:extLst>
            <a:ext uri="{FF2B5EF4-FFF2-40B4-BE49-F238E27FC236}"/>
          </a:extLst>
        </xdr:cNvPr>
        <xdr:cNvSpPr/>
      </xdr:nvSpPr>
      <xdr:spPr>
        <a:xfrm>
          <a:off x="5124017" y="4067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0</xdr:colOff>
      <xdr:row>20</xdr:row>
      <xdr:rowOff>0</xdr:rowOff>
    </xdr:from>
    <xdr:ext cx="142875" cy="390525"/>
    <xdr:sp macro="" textlink="">
      <xdr:nvSpPr>
        <xdr:cNvPr id="508" name="Arrow: Up 241">
          <a:extLst>
            <a:ext uri="{FF2B5EF4-FFF2-40B4-BE49-F238E27FC236}"/>
          </a:extLst>
        </xdr:cNvPr>
        <xdr:cNvSpPr/>
      </xdr:nvSpPr>
      <xdr:spPr>
        <a:xfrm>
          <a:off x="5915025" y="409575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171450</xdr:colOff>
      <xdr:row>19</xdr:row>
      <xdr:rowOff>171450</xdr:rowOff>
    </xdr:from>
    <xdr:ext cx="142875" cy="381000"/>
    <xdr:sp macro="" textlink="">
      <xdr:nvSpPr>
        <xdr:cNvPr id="509" name="Arrow: Up-Down 285">
          <a:extLst>
            <a:ext uri="{FF2B5EF4-FFF2-40B4-BE49-F238E27FC236}"/>
          </a:extLst>
        </xdr:cNvPr>
        <xdr:cNvSpPr/>
      </xdr:nvSpPr>
      <xdr:spPr>
        <a:xfrm>
          <a:off x="6088207" y="4078432"/>
          <a:ext cx="142876" cy="406525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76200</xdr:colOff>
      <xdr:row>19</xdr:row>
      <xdr:rowOff>133350</xdr:rowOff>
    </xdr:from>
    <xdr:ext cx="142875" cy="390525"/>
    <xdr:sp macro="" textlink="">
      <xdr:nvSpPr>
        <xdr:cNvPr id="510" name="Arrow: Up 256">
          <a:extLst>
            <a:ext uri="{FF2B5EF4-FFF2-40B4-BE49-F238E27FC236}"/>
          </a:extLst>
        </xdr:cNvPr>
        <xdr:cNvSpPr/>
      </xdr:nvSpPr>
      <xdr:spPr>
        <a:xfrm>
          <a:off x="8830541" y="40468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123825</xdr:colOff>
      <xdr:row>19</xdr:row>
      <xdr:rowOff>161925</xdr:rowOff>
    </xdr:from>
    <xdr:ext cx="142875" cy="390525"/>
    <xdr:sp macro="" textlink="">
      <xdr:nvSpPr>
        <xdr:cNvPr id="511" name="Arrow: Up 237">
          <a:extLst>
            <a:ext uri="{FF2B5EF4-FFF2-40B4-BE49-F238E27FC236}"/>
          </a:extLst>
        </xdr:cNvPr>
        <xdr:cNvSpPr/>
      </xdr:nvSpPr>
      <xdr:spPr>
        <a:xfrm>
          <a:off x="10769311" y="4067607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66675</xdr:colOff>
      <xdr:row>19</xdr:row>
      <xdr:rowOff>171450</xdr:rowOff>
    </xdr:from>
    <xdr:ext cx="142875" cy="381000"/>
    <xdr:sp macro="" textlink="">
      <xdr:nvSpPr>
        <xdr:cNvPr id="512" name="Arrow: Up 237">
          <a:extLst>
            <a:ext uri="{FF2B5EF4-FFF2-40B4-BE49-F238E27FC236}"/>
          </a:extLst>
        </xdr:cNvPr>
        <xdr:cNvSpPr/>
      </xdr:nvSpPr>
      <xdr:spPr>
        <a:xfrm>
          <a:off x="11810568" y="4078431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104775</xdr:colOff>
      <xdr:row>19</xdr:row>
      <xdr:rowOff>171450</xdr:rowOff>
    </xdr:from>
    <xdr:ext cx="142875" cy="381000"/>
    <xdr:sp macro="" textlink="">
      <xdr:nvSpPr>
        <xdr:cNvPr id="513" name="Arrow: Up 256">
          <a:extLst>
            <a:ext uri="{FF2B5EF4-FFF2-40B4-BE49-F238E27FC236}"/>
          </a:extLst>
        </xdr:cNvPr>
        <xdr:cNvSpPr/>
      </xdr:nvSpPr>
      <xdr:spPr>
        <a:xfrm>
          <a:off x="12728863" y="40784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95250</xdr:colOff>
      <xdr:row>27</xdr:row>
      <xdr:rowOff>161925</xdr:rowOff>
    </xdr:from>
    <xdr:ext cx="142875" cy="400050"/>
    <xdr:sp macro="" textlink="">
      <xdr:nvSpPr>
        <xdr:cNvPr id="514" name="Arrow: Up 239">
          <a:extLst>
            <a:ext uri="{FF2B5EF4-FFF2-40B4-BE49-F238E27FC236}"/>
          </a:extLst>
        </xdr:cNvPr>
        <xdr:cNvSpPr/>
      </xdr:nvSpPr>
      <xdr:spPr>
        <a:xfrm>
          <a:off x="2173865" y="5591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0</xdr:colOff>
      <xdr:row>28</xdr:row>
      <xdr:rowOff>0</xdr:rowOff>
    </xdr:from>
    <xdr:ext cx="142875" cy="400050"/>
    <xdr:sp macro="" textlink="">
      <xdr:nvSpPr>
        <xdr:cNvPr id="515" name="Arrow: Up 256">
          <a:extLst>
            <a:ext uri="{FF2B5EF4-FFF2-40B4-BE49-F238E27FC236}"/>
          </a:extLst>
        </xdr:cNvPr>
        <xdr:cNvSpPr/>
      </xdr:nvSpPr>
      <xdr:spPr>
        <a:xfrm>
          <a:off x="3076575" y="5619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161925</xdr:colOff>
      <xdr:row>28</xdr:row>
      <xdr:rowOff>0</xdr:rowOff>
    </xdr:from>
    <xdr:ext cx="142875" cy="400050"/>
    <xdr:sp macro="" textlink="">
      <xdr:nvSpPr>
        <xdr:cNvPr id="516" name="Arrow: Up-Down 285">
          <a:extLst>
            <a:ext uri="{FF2B5EF4-FFF2-40B4-BE49-F238E27FC236}"/>
          </a:extLst>
        </xdr:cNvPr>
        <xdr:cNvSpPr/>
      </xdr:nvSpPr>
      <xdr:spPr>
        <a:xfrm>
          <a:off x="3238933" y="5619750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304800</xdr:colOff>
      <xdr:row>28</xdr:row>
      <xdr:rowOff>0</xdr:rowOff>
    </xdr:from>
    <xdr:ext cx="142875" cy="400050"/>
    <xdr:sp macro="" textlink="">
      <xdr:nvSpPr>
        <xdr:cNvPr id="517" name="Arrow: Up-Down 285">
          <a:extLst>
            <a:ext uri="{FF2B5EF4-FFF2-40B4-BE49-F238E27FC236}"/>
          </a:extLst>
        </xdr:cNvPr>
        <xdr:cNvSpPr/>
      </xdr:nvSpPr>
      <xdr:spPr>
        <a:xfrm>
          <a:off x="3390467" y="5619750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66675</xdr:colOff>
      <xdr:row>27</xdr:row>
      <xdr:rowOff>161925</xdr:rowOff>
    </xdr:from>
    <xdr:ext cx="142875" cy="400050"/>
    <xdr:sp macro="" textlink="">
      <xdr:nvSpPr>
        <xdr:cNvPr id="518" name="Arrow: Up 240">
          <a:extLst>
            <a:ext uri="{FF2B5EF4-FFF2-40B4-BE49-F238E27FC236}"/>
          </a:extLst>
        </xdr:cNvPr>
        <xdr:cNvSpPr/>
      </xdr:nvSpPr>
      <xdr:spPr>
        <a:xfrm>
          <a:off x="5124017" y="5591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9525</xdr:colOff>
      <xdr:row>27</xdr:row>
      <xdr:rowOff>152400</xdr:rowOff>
    </xdr:from>
    <xdr:ext cx="142875" cy="400050"/>
    <xdr:sp macro="" textlink="">
      <xdr:nvSpPr>
        <xdr:cNvPr id="519" name="Arrow: Up 240">
          <a:extLst>
            <a:ext uri="{FF2B5EF4-FFF2-40B4-BE49-F238E27FC236}"/>
          </a:extLst>
        </xdr:cNvPr>
        <xdr:cNvSpPr/>
      </xdr:nvSpPr>
      <xdr:spPr>
        <a:xfrm>
          <a:off x="5931693" y="559031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104775</xdr:colOff>
      <xdr:row>27</xdr:row>
      <xdr:rowOff>142875</xdr:rowOff>
    </xdr:from>
    <xdr:ext cx="142875" cy="400050"/>
    <xdr:sp macro="" textlink="">
      <xdr:nvSpPr>
        <xdr:cNvPr id="520" name="Arrow: Up 256">
          <a:extLst>
            <a:ext uri="{FF2B5EF4-FFF2-40B4-BE49-F238E27FC236}"/>
          </a:extLst>
        </xdr:cNvPr>
        <xdr:cNvSpPr/>
      </xdr:nvSpPr>
      <xdr:spPr>
        <a:xfrm>
          <a:off x="8861714" y="558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47625</xdr:colOff>
      <xdr:row>27</xdr:row>
      <xdr:rowOff>161925</xdr:rowOff>
    </xdr:from>
    <xdr:ext cx="142875" cy="400050"/>
    <xdr:sp macro="" textlink="">
      <xdr:nvSpPr>
        <xdr:cNvPr id="521" name="Arrow: Up 241">
          <a:extLst>
            <a:ext uri="{FF2B5EF4-FFF2-40B4-BE49-F238E27FC236}"/>
          </a:extLst>
        </xdr:cNvPr>
        <xdr:cNvSpPr/>
      </xdr:nvSpPr>
      <xdr:spPr>
        <a:xfrm>
          <a:off x="11788919" y="5591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66675</xdr:colOff>
      <xdr:row>27</xdr:row>
      <xdr:rowOff>142875</xdr:rowOff>
    </xdr:from>
    <xdr:ext cx="142875" cy="400050"/>
    <xdr:sp macro="" textlink="">
      <xdr:nvSpPr>
        <xdr:cNvPr id="522" name="Arrow: Up 256">
          <a:extLst>
            <a:ext uri="{FF2B5EF4-FFF2-40B4-BE49-F238E27FC236}"/>
          </a:extLst>
        </xdr:cNvPr>
        <xdr:cNvSpPr/>
      </xdr:nvSpPr>
      <xdr:spPr>
        <a:xfrm>
          <a:off x="12696392" y="55807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0</xdr:col>
      <xdr:colOff>85725</xdr:colOff>
      <xdr:row>35</xdr:row>
      <xdr:rowOff>123825</xdr:rowOff>
    </xdr:from>
    <xdr:ext cx="142875" cy="390525"/>
    <xdr:sp macro="" textlink="">
      <xdr:nvSpPr>
        <xdr:cNvPr id="523" name="Arrow: Up 241">
          <a:extLst>
            <a:ext uri="{FF2B5EF4-FFF2-40B4-BE49-F238E27FC236}"/>
          </a:extLst>
        </xdr:cNvPr>
        <xdr:cNvSpPr/>
      </xdr:nvSpPr>
      <xdr:spPr>
        <a:xfrm>
          <a:off x="86591" y="7083136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123825</xdr:colOff>
      <xdr:row>35</xdr:row>
      <xdr:rowOff>133350</xdr:rowOff>
    </xdr:from>
    <xdr:ext cx="142875" cy="390525"/>
    <xdr:sp macro="" textlink="">
      <xdr:nvSpPr>
        <xdr:cNvPr id="524" name="Arrow: Up 241">
          <a:extLst>
            <a:ext uri="{FF2B5EF4-FFF2-40B4-BE49-F238E27FC236}"/>
          </a:extLst>
        </xdr:cNvPr>
        <xdr:cNvSpPr/>
      </xdr:nvSpPr>
      <xdr:spPr>
        <a:xfrm>
          <a:off x="1272887" y="7093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95250</xdr:colOff>
      <xdr:row>35</xdr:row>
      <xdr:rowOff>142875</xdr:rowOff>
    </xdr:from>
    <xdr:ext cx="142875" cy="390525"/>
    <xdr:sp macro="" textlink="">
      <xdr:nvSpPr>
        <xdr:cNvPr id="525" name="Arrow: Up 256">
          <a:extLst>
            <a:ext uri="{FF2B5EF4-FFF2-40B4-BE49-F238E27FC236}"/>
          </a:extLst>
        </xdr:cNvPr>
        <xdr:cNvSpPr/>
      </xdr:nvSpPr>
      <xdr:spPr>
        <a:xfrm>
          <a:off x="2173864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9525</xdr:colOff>
      <xdr:row>35</xdr:row>
      <xdr:rowOff>142875</xdr:rowOff>
    </xdr:from>
    <xdr:ext cx="142875" cy="390525"/>
    <xdr:sp macro="" textlink="">
      <xdr:nvSpPr>
        <xdr:cNvPr id="526" name="Arrow: Up 256">
          <a:extLst>
            <a:ext uri="{FF2B5EF4-FFF2-40B4-BE49-F238E27FC236}"/>
          </a:extLst>
        </xdr:cNvPr>
        <xdr:cNvSpPr/>
      </xdr:nvSpPr>
      <xdr:spPr>
        <a:xfrm>
          <a:off x="415419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171450</xdr:colOff>
      <xdr:row>35</xdr:row>
      <xdr:rowOff>171450</xdr:rowOff>
    </xdr:from>
    <xdr:ext cx="142875" cy="381000"/>
    <xdr:sp macro="" textlink="">
      <xdr:nvSpPr>
        <xdr:cNvPr id="527" name="Arrow: Up 256">
          <a:extLst>
            <a:ext uri="{FF2B5EF4-FFF2-40B4-BE49-F238E27FC236}"/>
          </a:extLst>
        </xdr:cNvPr>
        <xdr:cNvSpPr/>
      </xdr:nvSpPr>
      <xdr:spPr>
        <a:xfrm>
          <a:off x="4316556" y="7126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114300</xdr:colOff>
      <xdr:row>35</xdr:row>
      <xdr:rowOff>142875</xdr:rowOff>
    </xdr:from>
    <xdr:ext cx="142875" cy="390525"/>
    <xdr:sp macro="" textlink="">
      <xdr:nvSpPr>
        <xdr:cNvPr id="528" name="Arrow: Up 243">
          <a:extLst>
            <a:ext uri="{FF2B5EF4-FFF2-40B4-BE49-F238E27FC236}"/>
          </a:extLst>
        </xdr:cNvPr>
        <xdr:cNvSpPr/>
      </xdr:nvSpPr>
      <xdr:spPr>
        <a:xfrm>
          <a:off x="6034088" y="7104784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0</xdr:colOff>
      <xdr:row>36</xdr:row>
      <xdr:rowOff>0</xdr:rowOff>
    </xdr:from>
    <xdr:ext cx="142875" cy="390525"/>
    <xdr:sp macro="" textlink="">
      <xdr:nvSpPr>
        <xdr:cNvPr id="529" name="Arrow: Up 256">
          <a:extLst>
            <a:ext uri="{FF2B5EF4-FFF2-40B4-BE49-F238E27FC236}"/>
          </a:extLst>
        </xdr:cNvPr>
        <xdr:cNvSpPr/>
      </xdr:nvSpPr>
      <xdr:spPr>
        <a:xfrm>
          <a:off x="7705725" y="7143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142875</xdr:colOff>
      <xdr:row>35</xdr:row>
      <xdr:rowOff>180975</xdr:rowOff>
    </xdr:from>
    <xdr:ext cx="142875" cy="381000"/>
    <xdr:sp macro="" textlink="">
      <xdr:nvSpPr>
        <xdr:cNvPr id="530" name="Arrow: Up 243">
          <a:extLst>
            <a:ext uri="{FF2B5EF4-FFF2-40B4-BE49-F238E27FC236}"/>
          </a:extLst>
        </xdr:cNvPr>
        <xdr:cNvSpPr/>
      </xdr:nvSpPr>
      <xdr:spPr>
        <a:xfrm>
          <a:off x="7857259" y="7137256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304800</xdr:colOff>
      <xdr:row>36</xdr:row>
      <xdr:rowOff>9525</xdr:rowOff>
    </xdr:from>
    <xdr:ext cx="142875" cy="390525"/>
    <xdr:sp macro="" textlink="">
      <xdr:nvSpPr>
        <xdr:cNvPr id="531" name="Arrow: Up-Down 285">
          <a:extLst>
            <a:ext uri="{FF2B5EF4-FFF2-40B4-BE49-F238E27FC236}"/>
          </a:extLst>
        </xdr:cNvPr>
        <xdr:cNvSpPr/>
      </xdr:nvSpPr>
      <xdr:spPr>
        <a:xfrm>
          <a:off x="8019617" y="7154574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9525</xdr:colOff>
      <xdr:row>35</xdr:row>
      <xdr:rowOff>142875</xdr:rowOff>
    </xdr:from>
    <xdr:ext cx="142875" cy="390525"/>
    <xdr:sp macro="" textlink="">
      <xdr:nvSpPr>
        <xdr:cNvPr id="532" name="Arrow: Up 256">
          <a:extLst>
            <a:ext uri="{FF2B5EF4-FFF2-40B4-BE49-F238E27FC236}"/>
          </a:extLst>
        </xdr:cNvPr>
        <xdr:cNvSpPr/>
      </xdr:nvSpPr>
      <xdr:spPr>
        <a:xfrm>
          <a:off x="9728705" y="71013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123825</xdr:colOff>
      <xdr:row>35</xdr:row>
      <xdr:rowOff>142875</xdr:rowOff>
    </xdr:from>
    <xdr:ext cx="142875" cy="390525"/>
    <xdr:sp macro="" textlink="">
      <xdr:nvSpPr>
        <xdr:cNvPr id="533" name="Arrow: Up 244">
          <a:extLst>
            <a:ext uri="{FF2B5EF4-FFF2-40B4-BE49-F238E27FC236}"/>
          </a:extLst>
        </xdr:cNvPr>
        <xdr:cNvSpPr/>
      </xdr:nvSpPr>
      <xdr:spPr>
        <a:xfrm>
          <a:off x="10769312" y="7104784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47625</xdr:colOff>
      <xdr:row>35</xdr:row>
      <xdr:rowOff>142875</xdr:rowOff>
    </xdr:from>
    <xdr:ext cx="142875" cy="390525"/>
    <xdr:sp macro="" textlink="">
      <xdr:nvSpPr>
        <xdr:cNvPr id="534" name="Arrow: Up 256">
          <a:extLst>
            <a:ext uri="{FF2B5EF4-FFF2-40B4-BE49-F238E27FC236}"/>
          </a:extLst>
        </xdr:cNvPr>
        <xdr:cNvSpPr/>
      </xdr:nvSpPr>
      <xdr:spPr>
        <a:xfrm>
          <a:off x="1178891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114300</xdr:colOff>
      <xdr:row>35</xdr:row>
      <xdr:rowOff>142875</xdr:rowOff>
    </xdr:from>
    <xdr:ext cx="142875" cy="390525"/>
    <xdr:sp macro="" textlink="">
      <xdr:nvSpPr>
        <xdr:cNvPr id="535" name="Arrow: Up 256">
          <a:extLst>
            <a:ext uri="{FF2B5EF4-FFF2-40B4-BE49-F238E27FC236}"/>
          </a:extLst>
        </xdr:cNvPr>
        <xdr:cNvSpPr/>
      </xdr:nvSpPr>
      <xdr:spPr>
        <a:xfrm>
          <a:off x="12739688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114300</xdr:colOff>
      <xdr:row>43</xdr:row>
      <xdr:rowOff>161925</xdr:rowOff>
    </xdr:from>
    <xdr:ext cx="142875" cy="390525"/>
    <xdr:sp macro="" textlink="">
      <xdr:nvSpPr>
        <xdr:cNvPr id="536" name="Arrow: Up 243">
          <a:extLst>
            <a:ext uri="{FF2B5EF4-FFF2-40B4-BE49-F238E27FC236}"/>
          </a:extLst>
        </xdr:cNvPr>
        <xdr:cNvSpPr/>
      </xdr:nvSpPr>
      <xdr:spPr>
        <a:xfrm>
          <a:off x="1262062" y="8639607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85725</xdr:colOff>
      <xdr:row>43</xdr:row>
      <xdr:rowOff>142875</xdr:rowOff>
    </xdr:from>
    <xdr:ext cx="142875" cy="390525"/>
    <xdr:sp macro="" textlink="">
      <xdr:nvSpPr>
        <xdr:cNvPr id="537" name="Arrow: Up 243">
          <a:extLst>
            <a:ext uri="{FF2B5EF4-FFF2-40B4-BE49-F238E27FC236}"/>
          </a:extLst>
        </xdr:cNvPr>
        <xdr:cNvSpPr/>
      </xdr:nvSpPr>
      <xdr:spPr>
        <a:xfrm>
          <a:off x="5134841" y="8628784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28575</xdr:colOff>
      <xdr:row>51</xdr:row>
      <xdr:rowOff>142875</xdr:rowOff>
    </xdr:from>
    <xdr:ext cx="142875" cy="400050"/>
    <xdr:sp macro="" textlink="">
      <xdr:nvSpPr>
        <xdr:cNvPr id="538" name="Arrow: Up 252">
          <a:extLst>
            <a:ext uri="{FF2B5EF4-FFF2-40B4-BE49-F238E27FC236}"/>
          </a:extLst>
        </xdr:cNvPr>
        <xdr:cNvSpPr/>
      </xdr:nvSpPr>
      <xdr:spPr>
        <a:xfrm>
          <a:off x="5080722" y="10152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180975</xdr:colOff>
      <xdr:row>51</xdr:row>
      <xdr:rowOff>142875</xdr:rowOff>
    </xdr:from>
    <xdr:ext cx="142875" cy="400050"/>
    <xdr:sp macro="" textlink="">
      <xdr:nvSpPr>
        <xdr:cNvPr id="539" name="Arrow: Up 252">
          <a:extLst>
            <a:ext uri="{FF2B5EF4-FFF2-40B4-BE49-F238E27FC236}"/>
          </a:extLst>
        </xdr:cNvPr>
        <xdr:cNvSpPr/>
      </xdr:nvSpPr>
      <xdr:spPr>
        <a:xfrm>
          <a:off x="5232255" y="10152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47625</xdr:colOff>
      <xdr:row>51</xdr:row>
      <xdr:rowOff>171450</xdr:rowOff>
    </xdr:from>
    <xdr:ext cx="142875" cy="390525"/>
    <xdr:sp macro="" textlink="">
      <xdr:nvSpPr>
        <xdr:cNvPr id="540" name="Arrow: Up-Down 285">
          <a:extLst>
            <a:ext uri="{FF2B5EF4-FFF2-40B4-BE49-F238E27FC236}"/>
          </a:extLst>
        </xdr:cNvPr>
        <xdr:cNvSpPr/>
      </xdr:nvSpPr>
      <xdr:spPr>
        <a:xfrm>
          <a:off x="7759844" y="10174432"/>
          <a:ext cx="142876" cy="40652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238125</xdr:colOff>
      <xdr:row>51</xdr:row>
      <xdr:rowOff>180975</xdr:rowOff>
    </xdr:from>
    <xdr:ext cx="142875" cy="390525"/>
    <xdr:sp macro="" textlink="">
      <xdr:nvSpPr>
        <xdr:cNvPr id="541" name="Arrow: Up-Down 285">
          <a:extLst>
            <a:ext uri="{FF2B5EF4-FFF2-40B4-BE49-F238E27FC236}"/>
          </a:extLst>
        </xdr:cNvPr>
        <xdr:cNvSpPr/>
      </xdr:nvSpPr>
      <xdr:spPr>
        <a:xfrm>
          <a:off x="7943850" y="10185256"/>
          <a:ext cx="142876" cy="40652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28575</xdr:colOff>
      <xdr:row>51</xdr:row>
      <xdr:rowOff>171450</xdr:rowOff>
    </xdr:from>
    <xdr:ext cx="142875" cy="390525"/>
    <xdr:sp macro="" textlink="">
      <xdr:nvSpPr>
        <xdr:cNvPr id="542" name="Arrow: Up 251">
          <a:extLst>
            <a:ext uri="{FF2B5EF4-FFF2-40B4-BE49-F238E27FC236}"/>
          </a:extLst>
        </xdr:cNvPr>
        <xdr:cNvSpPr/>
      </xdr:nvSpPr>
      <xdr:spPr>
        <a:xfrm>
          <a:off x="10671897" y="10174432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209550</xdr:colOff>
      <xdr:row>51</xdr:row>
      <xdr:rowOff>171450</xdr:rowOff>
    </xdr:from>
    <xdr:ext cx="142875" cy="390525"/>
    <xdr:sp macro="" textlink="">
      <xdr:nvSpPr>
        <xdr:cNvPr id="543" name="Arrow: Up 247">
          <a:extLst>
            <a:ext uri="{FF2B5EF4-FFF2-40B4-BE49-F238E27FC236}"/>
          </a:extLst>
        </xdr:cNvPr>
        <xdr:cNvSpPr/>
      </xdr:nvSpPr>
      <xdr:spPr>
        <a:xfrm>
          <a:off x="10855903" y="10174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19050</xdr:colOff>
      <xdr:row>51</xdr:row>
      <xdr:rowOff>142875</xdr:rowOff>
    </xdr:from>
    <xdr:ext cx="142875" cy="400050"/>
    <xdr:sp macro="" textlink="">
      <xdr:nvSpPr>
        <xdr:cNvPr id="544" name="Arrow: Up 247">
          <a:extLst>
            <a:ext uri="{FF2B5EF4-FFF2-40B4-BE49-F238E27FC236}"/>
          </a:extLst>
        </xdr:cNvPr>
        <xdr:cNvSpPr/>
      </xdr:nvSpPr>
      <xdr:spPr>
        <a:xfrm>
          <a:off x="11756448" y="10152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200025</xdr:colOff>
      <xdr:row>51</xdr:row>
      <xdr:rowOff>142875</xdr:rowOff>
    </xdr:from>
    <xdr:ext cx="142875" cy="400050"/>
    <xdr:sp macro="" textlink="">
      <xdr:nvSpPr>
        <xdr:cNvPr id="545" name="Arrow: Up 251">
          <a:extLst>
            <a:ext uri="{FF2B5EF4-FFF2-40B4-BE49-F238E27FC236}"/>
          </a:extLst>
        </xdr:cNvPr>
        <xdr:cNvSpPr/>
      </xdr:nvSpPr>
      <xdr:spPr>
        <a:xfrm>
          <a:off x="11940453" y="10152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66675</xdr:colOff>
      <xdr:row>59</xdr:row>
      <xdr:rowOff>161925</xdr:rowOff>
    </xdr:from>
    <xdr:ext cx="142875" cy="390525"/>
    <xdr:sp macro="" textlink="">
      <xdr:nvSpPr>
        <xdr:cNvPr id="546" name="Arrow: Up 251">
          <a:extLst>
            <a:ext uri="{FF2B5EF4-FFF2-40B4-BE49-F238E27FC236}"/>
          </a:extLst>
        </xdr:cNvPr>
        <xdr:cNvSpPr/>
      </xdr:nvSpPr>
      <xdr:spPr>
        <a:xfrm>
          <a:off x="1218767" y="11687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66675</xdr:colOff>
      <xdr:row>59</xdr:row>
      <xdr:rowOff>161925</xdr:rowOff>
    </xdr:from>
    <xdr:ext cx="142875" cy="390525"/>
    <xdr:sp macro="" textlink="">
      <xdr:nvSpPr>
        <xdr:cNvPr id="547" name="Arrow: Up 251">
          <a:extLst>
            <a:ext uri="{FF2B5EF4-FFF2-40B4-BE49-F238E27FC236}"/>
          </a:extLst>
        </xdr:cNvPr>
        <xdr:cNvSpPr/>
      </xdr:nvSpPr>
      <xdr:spPr>
        <a:xfrm>
          <a:off x="6905192" y="11687607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133350</xdr:colOff>
      <xdr:row>59</xdr:row>
      <xdr:rowOff>161925</xdr:rowOff>
    </xdr:from>
    <xdr:ext cx="142875" cy="390525"/>
    <xdr:sp macro="" textlink="">
      <xdr:nvSpPr>
        <xdr:cNvPr id="548" name="Arrow: Up 251">
          <a:extLst>
            <a:ext uri="{FF2B5EF4-FFF2-40B4-BE49-F238E27FC236}"/>
          </a:extLst>
        </xdr:cNvPr>
        <xdr:cNvSpPr/>
      </xdr:nvSpPr>
      <xdr:spPr>
        <a:xfrm>
          <a:off x="7846435" y="11687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95250</xdr:colOff>
      <xdr:row>59</xdr:row>
      <xdr:rowOff>171450</xdr:rowOff>
    </xdr:from>
    <xdr:ext cx="142875" cy="381000"/>
    <xdr:sp macro="" textlink="">
      <xdr:nvSpPr>
        <xdr:cNvPr id="549" name="Arrow: Up 255">
          <a:extLst>
            <a:ext uri="{FF2B5EF4-FFF2-40B4-BE49-F238E27FC236}"/>
          </a:extLst>
        </xdr:cNvPr>
        <xdr:cNvSpPr/>
      </xdr:nvSpPr>
      <xdr:spPr>
        <a:xfrm>
          <a:off x="9812915" y="11698431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266700</xdr:colOff>
      <xdr:row>59</xdr:row>
      <xdr:rowOff>142875</xdr:rowOff>
    </xdr:from>
    <xdr:ext cx="142875" cy="390525"/>
    <xdr:sp macro="" textlink="">
      <xdr:nvSpPr>
        <xdr:cNvPr id="550" name="Arrow: Up 247">
          <a:extLst>
            <a:ext uri="{FF2B5EF4-FFF2-40B4-BE49-F238E27FC236}"/>
          </a:extLst>
        </xdr:cNvPr>
        <xdr:cNvSpPr/>
      </xdr:nvSpPr>
      <xdr:spPr>
        <a:xfrm>
          <a:off x="10910021" y="11676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104775</xdr:colOff>
      <xdr:row>59</xdr:row>
      <xdr:rowOff>171450</xdr:rowOff>
    </xdr:from>
    <xdr:ext cx="142875" cy="381000"/>
    <xdr:sp macro="" textlink="">
      <xdr:nvSpPr>
        <xdr:cNvPr id="551" name="Arrow: Up-Down 285">
          <a:extLst>
            <a:ext uri="{FF2B5EF4-FFF2-40B4-BE49-F238E27FC236}"/>
          </a:extLst>
        </xdr:cNvPr>
        <xdr:cNvSpPr/>
      </xdr:nvSpPr>
      <xdr:spPr>
        <a:xfrm>
          <a:off x="11843038" y="11698431"/>
          <a:ext cx="142876" cy="406525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219075</xdr:colOff>
      <xdr:row>60</xdr:row>
      <xdr:rowOff>0</xdr:rowOff>
    </xdr:from>
    <xdr:ext cx="142875" cy="390525"/>
    <xdr:sp macro="" textlink="">
      <xdr:nvSpPr>
        <xdr:cNvPr id="552" name="Arrow: Up-Down 285">
          <a:extLst>
            <a:ext uri="{FF2B5EF4-FFF2-40B4-BE49-F238E27FC236}"/>
          </a:extLst>
        </xdr:cNvPr>
        <xdr:cNvSpPr/>
      </xdr:nvSpPr>
      <xdr:spPr>
        <a:xfrm>
          <a:off x="12847926" y="11715750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38100</xdr:colOff>
      <xdr:row>59</xdr:row>
      <xdr:rowOff>171450</xdr:rowOff>
    </xdr:from>
    <xdr:ext cx="142875" cy="381000"/>
    <xdr:sp macro="" textlink="">
      <xdr:nvSpPr>
        <xdr:cNvPr id="553" name="Arrow: Up 257">
          <a:extLst>
            <a:ext uri="{FF2B5EF4-FFF2-40B4-BE49-F238E27FC236}"/>
          </a:extLst>
        </xdr:cNvPr>
        <xdr:cNvSpPr/>
      </xdr:nvSpPr>
      <xdr:spPr>
        <a:xfrm>
          <a:off x="12663921" y="11698431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104775</xdr:colOff>
      <xdr:row>67</xdr:row>
      <xdr:rowOff>171450</xdr:rowOff>
    </xdr:from>
    <xdr:ext cx="142875" cy="381000"/>
    <xdr:sp macro="" textlink="">
      <xdr:nvSpPr>
        <xdr:cNvPr id="554" name="Arrow: Up-Down 285">
          <a:extLst>
            <a:ext uri="{FF2B5EF4-FFF2-40B4-BE49-F238E27FC236}"/>
          </a:extLst>
        </xdr:cNvPr>
        <xdr:cNvSpPr/>
      </xdr:nvSpPr>
      <xdr:spPr>
        <a:xfrm>
          <a:off x="1251238" y="13222432"/>
          <a:ext cx="142876" cy="40652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266700</xdr:colOff>
      <xdr:row>67</xdr:row>
      <xdr:rowOff>161925</xdr:rowOff>
    </xdr:from>
    <xdr:ext cx="142875" cy="390525"/>
    <xdr:sp macro="" textlink="">
      <xdr:nvSpPr>
        <xdr:cNvPr id="555" name="Arrow: Up-Down 285">
          <a:extLst>
            <a:ext uri="{FF2B5EF4-FFF2-40B4-BE49-F238E27FC236}"/>
          </a:extLst>
        </xdr:cNvPr>
        <xdr:cNvSpPr/>
      </xdr:nvSpPr>
      <xdr:spPr>
        <a:xfrm>
          <a:off x="3347172" y="13211608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19050</xdr:colOff>
      <xdr:row>67</xdr:row>
      <xdr:rowOff>161925</xdr:rowOff>
    </xdr:from>
    <xdr:ext cx="142875" cy="390525"/>
    <xdr:sp macro="" textlink="">
      <xdr:nvSpPr>
        <xdr:cNvPr id="556" name="Arrow: Up 268">
          <a:extLst>
            <a:ext uri="{FF2B5EF4-FFF2-40B4-BE49-F238E27FC236}"/>
          </a:extLst>
        </xdr:cNvPr>
        <xdr:cNvSpPr/>
      </xdr:nvSpPr>
      <xdr:spPr>
        <a:xfrm>
          <a:off x="9737148" y="13211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238125</xdr:colOff>
      <xdr:row>67</xdr:row>
      <xdr:rowOff>142875</xdr:rowOff>
    </xdr:from>
    <xdr:ext cx="142875" cy="390525"/>
    <xdr:sp macro="" textlink="">
      <xdr:nvSpPr>
        <xdr:cNvPr id="557" name="Arrow: Up 269">
          <a:extLst>
            <a:ext uri="{FF2B5EF4-FFF2-40B4-BE49-F238E27FC236}"/>
          </a:extLst>
        </xdr:cNvPr>
        <xdr:cNvSpPr/>
      </xdr:nvSpPr>
      <xdr:spPr>
        <a:xfrm>
          <a:off x="10877550" y="13200785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57150</xdr:colOff>
      <xdr:row>67</xdr:row>
      <xdr:rowOff>142875</xdr:rowOff>
    </xdr:from>
    <xdr:ext cx="142875" cy="390525"/>
    <xdr:sp macro="" textlink="">
      <xdr:nvSpPr>
        <xdr:cNvPr id="558" name="Arrow: Up 268">
          <a:extLst>
            <a:ext uri="{FF2B5EF4-FFF2-40B4-BE49-F238E27FC236}"/>
          </a:extLst>
        </xdr:cNvPr>
        <xdr:cNvSpPr/>
      </xdr:nvSpPr>
      <xdr:spPr>
        <a:xfrm>
          <a:off x="10704368" y="13200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200025</xdr:colOff>
      <xdr:row>75</xdr:row>
      <xdr:rowOff>142875</xdr:rowOff>
    </xdr:from>
    <xdr:ext cx="142875" cy="400050"/>
    <xdr:sp macro="" textlink="">
      <xdr:nvSpPr>
        <xdr:cNvPr id="559" name="Arrow: Up 271">
          <a:extLst>
            <a:ext uri="{FF2B5EF4-FFF2-40B4-BE49-F238E27FC236}"/>
          </a:extLst>
        </xdr:cNvPr>
        <xdr:cNvSpPr/>
      </xdr:nvSpPr>
      <xdr:spPr>
        <a:xfrm>
          <a:off x="1348654" y="14724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28575</xdr:colOff>
      <xdr:row>75</xdr:row>
      <xdr:rowOff>133350</xdr:rowOff>
    </xdr:from>
    <xdr:ext cx="142875" cy="400050"/>
    <xdr:sp macro="" textlink="">
      <xdr:nvSpPr>
        <xdr:cNvPr id="560" name="Arrow: Up 265">
          <a:extLst>
            <a:ext uri="{FF2B5EF4-FFF2-40B4-BE49-F238E27FC236}"/>
          </a:extLst>
        </xdr:cNvPr>
        <xdr:cNvSpPr/>
      </xdr:nvSpPr>
      <xdr:spPr>
        <a:xfrm>
          <a:off x="1175472" y="147139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0</xdr:colOff>
      <xdr:row>75</xdr:row>
      <xdr:rowOff>161925</xdr:rowOff>
    </xdr:from>
    <xdr:ext cx="142875" cy="400050"/>
    <xdr:sp macro="" textlink="">
      <xdr:nvSpPr>
        <xdr:cNvPr id="561" name="Arrow: Up 265">
          <a:extLst>
            <a:ext uri="{FF2B5EF4-FFF2-40B4-BE49-F238E27FC236}"/>
          </a:extLst>
        </xdr:cNvPr>
        <xdr:cNvSpPr/>
      </xdr:nvSpPr>
      <xdr:spPr>
        <a:xfrm>
          <a:off x="2076450" y="14735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38100</xdr:colOff>
      <xdr:row>75</xdr:row>
      <xdr:rowOff>142875</xdr:rowOff>
    </xdr:from>
    <xdr:ext cx="142875" cy="400050"/>
    <xdr:sp macro="" textlink="">
      <xdr:nvSpPr>
        <xdr:cNvPr id="562" name="Arrow: Up 265">
          <a:extLst>
            <a:ext uri="{FF2B5EF4-FFF2-40B4-BE49-F238E27FC236}"/>
          </a:extLst>
        </xdr:cNvPr>
        <xdr:cNvSpPr/>
      </xdr:nvSpPr>
      <xdr:spPr>
        <a:xfrm>
          <a:off x="3119870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95250</xdr:colOff>
      <xdr:row>75</xdr:row>
      <xdr:rowOff>161925</xdr:rowOff>
    </xdr:from>
    <xdr:ext cx="142875" cy="400050"/>
    <xdr:sp macro="" textlink="">
      <xdr:nvSpPr>
        <xdr:cNvPr id="563" name="Arrow: Up 265">
          <a:extLst>
            <a:ext uri="{FF2B5EF4-FFF2-40B4-BE49-F238E27FC236}"/>
          </a:extLst>
        </xdr:cNvPr>
        <xdr:cNvSpPr/>
      </xdr:nvSpPr>
      <xdr:spPr>
        <a:xfrm>
          <a:off x="4240790" y="1473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9525</xdr:colOff>
      <xdr:row>75</xdr:row>
      <xdr:rowOff>142875</xdr:rowOff>
    </xdr:from>
    <xdr:ext cx="142875" cy="400050"/>
    <xdr:sp macro="" textlink="">
      <xdr:nvSpPr>
        <xdr:cNvPr id="564" name="Arrow: Up 265">
          <a:extLst>
            <a:ext uri="{FF2B5EF4-FFF2-40B4-BE49-F238E27FC236}"/>
          </a:extLst>
        </xdr:cNvPr>
        <xdr:cNvSpPr/>
      </xdr:nvSpPr>
      <xdr:spPr>
        <a:xfrm>
          <a:off x="5059074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161925</xdr:colOff>
      <xdr:row>75</xdr:row>
      <xdr:rowOff>161925</xdr:rowOff>
    </xdr:from>
    <xdr:ext cx="142875" cy="400050"/>
    <xdr:sp macro="" textlink="">
      <xdr:nvSpPr>
        <xdr:cNvPr id="565" name="Arrow: Up 262">
          <a:extLst>
            <a:ext uri="{FF2B5EF4-FFF2-40B4-BE49-F238E27FC236}"/>
          </a:extLst>
        </xdr:cNvPr>
        <xdr:cNvSpPr/>
      </xdr:nvSpPr>
      <xdr:spPr>
        <a:xfrm>
          <a:off x="5210608" y="14735609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19050</xdr:colOff>
      <xdr:row>75</xdr:row>
      <xdr:rowOff>180975</xdr:rowOff>
    </xdr:from>
    <xdr:ext cx="142875" cy="390525"/>
    <xdr:sp macro="" textlink="">
      <xdr:nvSpPr>
        <xdr:cNvPr id="566" name="Arrow: Up 265">
          <a:extLst>
            <a:ext uri="{FF2B5EF4-FFF2-40B4-BE49-F238E27FC236}"/>
          </a:extLst>
        </xdr:cNvPr>
        <xdr:cNvSpPr/>
      </xdr:nvSpPr>
      <xdr:spPr>
        <a:xfrm>
          <a:off x="5936673" y="14757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47625</xdr:colOff>
      <xdr:row>75</xdr:row>
      <xdr:rowOff>142875</xdr:rowOff>
    </xdr:from>
    <xdr:ext cx="133350" cy="400050"/>
    <xdr:sp macro="" textlink="">
      <xdr:nvSpPr>
        <xdr:cNvPr id="567" name="Arrow: Up 275">
          <a:extLst>
            <a:ext uri="{FF2B5EF4-FFF2-40B4-BE49-F238E27FC236}"/>
          </a:extLst>
        </xdr:cNvPr>
        <xdr:cNvSpPr/>
      </xdr:nvSpPr>
      <xdr:spPr>
        <a:xfrm>
          <a:off x="7759845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238125</xdr:colOff>
      <xdr:row>75</xdr:row>
      <xdr:rowOff>161925</xdr:rowOff>
    </xdr:from>
    <xdr:ext cx="142875" cy="400050"/>
    <xdr:sp macro="" textlink="">
      <xdr:nvSpPr>
        <xdr:cNvPr id="568" name="Arrow: Up 262">
          <a:extLst>
            <a:ext uri="{FF2B5EF4-FFF2-40B4-BE49-F238E27FC236}"/>
          </a:extLst>
        </xdr:cNvPr>
        <xdr:cNvSpPr/>
      </xdr:nvSpPr>
      <xdr:spPr>
        <a:xfrm>
          <a:off x="7943850" y="14735607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209550</xdr:colOff>
      <xdr:row>75</xdr:row>
      <xdr:rowOff>142875</xdr:rowOff>
    </xdr:from>
    <xdr:ext cx="142875" cy="400050"/>
    <xdr:sp macro="" textlink="">
      <xdr:nvSpPr>
        <xdr:cNvPr id="569" name="Arrow: Up 262">
          <a:extLst>
            <a:ext uri="{FF2B5EF4-FFF2-40B4-BE49-F238E27FC236}"/>
          </a:extLst>
        </xdr:cNvPr>
        <xdr:cNvSpPr/>
      </xdr:nvSpPr>
      <xdr:spPr>
        <a:xfrm>
          <a:off x="8969952" y="14724785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38100</xdr:colOff>
      <xdr:row>75</xdr:row>
      <xdr:rowOff>142875</xdr:rowOff>
    </xdr:from>
    <xdr:ext cx="133350" cy="400050"/>
    <xdr:sp macro="" textlink="">
      <xdr:nvSpPr>
        <xdr:cNvPr id="570" name="Arrow: Up 275">
          <a:extLst>
            <a:ext uri="{FF2B5EF4-FFF2-40B4-BE49-F238E27FC236}"/>
          </a:extLst>
        </xdr:cNvPr>
        <xdr:cNvSpPr/>
      </xdr:nvSpPr>
      <xdr:spPr>
        <a:xfrm>
          <a:off x="8796771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9525</xdr:colOff>
      <xdr:row>75</xdr:row>
      <xdr:rowOff>161925</xdr:rowOff>
    </xdr:from>
    <xdr:ext cx="133350" cy="400050"/>
    <xdr:sp macro="" textlink="">
      <xdr:nvSpPr>
        <xdr:cNvPr id="571" name="Arrow: Up 275">
          <a:extLst>
            <a:ext uri="{FF2B5EF4-FFF2-40B4-BE49-F238E27FC236}"/>
          </a:extLst>
        </xdr:cNvPr>
        <xdr:cNvSpPr/>
      </xdr:nvSpPr>
      <xdr:spPr>
        <a:xfrm>
          <a:off x="972632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161925</xdr:colOff>
      <xdr:row>75</xdr:row>
      <xdr:rowOff>161925</xdr:rowOff>
    </xdr:from>
    <xdr:ext cx="133350" cy="400050"/>
    <xdr:sp macro="" textlink="">
      <xdr:nvSpPr>
        <xdr:cNvPr id="572" name="Arrow: Up 275">
          <a:extLst>
            <a:ext uri="{FF2B5EF4-FFF2-40B4-BE49-F238E27FC236}"/>
          </a:extLst>
        </xdr:cNvPr>
        <xdr:cNvSpPr/>
      </xdr:nvSpPr>
      <xdr:spPr>
        <a:xfrm>
          <a:off x="1080178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114300</xdr:colOff>
      <xdr:row>75</xdr:row>
      <xdr:rowOff>142875</xdr:rowOff>
    </xdr:from>
    <xdr:ext cx="133350" cy="400050"/>
    <xdr:sp macro="" textlink="">
      <xdr:nvSpPr>
        <xdr:cNvPr id="573" name="Arrow: Up 275">
          <a:extLst>
            <a:ext uri="{FF2B5EF4-FFF2-40B4-BE49-F238E27FC236}"/>
          </a:extLst>
        </xdr:cNvPr>
        <xdr:cNvSpPr/>
      </xdr:nvSpPr>
      <xdr:spPr>
        <a:xfrm>
          <a:off x="11853862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0</xdr:col>
      <xdr:colOff>0</xdr:colOff>
      <xdr:row>84</xdr:row>
      <xdr:rowOff>0</xdr:rowOff>
    </xdr:from>
    <xdr:ext cx="133350" cy="390525"/>
    <xdr:sp macro="" textlink="">
      <xdr:nvSpPr>
        <xdr:cNvPr id="574" name="Arrow: Up 275">
          <a:extLst>
            <a:ext uri="{FF2B5EF4-FFF2-40B4-BE49-F238E27FC236}"/>
          </a:extLst>
        </xdr:cNvPr>
        <xdr:cNvSpPr/>
      </xdr:nvSpPr>
      <xdr:spPr>
        <a:xfrm>
          <a:off x="0" y="16287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0</xdr:col>
      <xdr:colOff>161925</xdr:colOff>
      <xdr:row>84</xdr:row>
      <xdr:rowOff>0</xdr:rowOff>
    </xdr:from>
    <xdr:ext cx="142875" cy="390525"/>
    <xdr:sp macro="" textlink="">
      <xdr:nvSpPr>
        <xdr:cNvPr id="575" name="Arrow: Up 279">
          <a:extLst>
            <a:ext uri="{FF2B5EF4-FFF2-40B4-BE49-F238E27FC236}"/>
          </a:extLst>
        </xdr:cNvPr>
        <xdr:cNvSpPr/>
      </xdr:nvSpPr>
      <xdr:spPr>
        <a:xfrm>
          <a:off x="162358" y="16287750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47625</xdr:colOff>
      <xdr:row>83</xdr:row>
      <xdr:rowOff>161925</xdr:rowOff>
    </xdr:from>
    <xdr:ext cx="133350" cy="381000"/>
    <xdr:sp macro="" textlink="">
      <xdr:nvSpPr>
        <xdr:cNvPr id="576" name="Arrow: Up 275">
          <a:extLst>
            <a:ext uri="{FF2B5EF4-FFF2-40B4-BE49-F238E27FC236}"/>
          </a:extLst>
        </xdr:cNvPr>
        <xdr:cNvSpPr/>
      </xdr:nvSpPr>
      <xdr:spPr>
        <a:xfrm>
          <a:off x="1194304" y="162648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85725</xdr:colOff>
      <xdr:row>83</xdr:row>
      <xdr:rowOff>161925</xdr:rowOff>
    </xdr:from>
    <xdr:ext cx="142875" cy="390525"/>
    <xdr:sp macro="" textlink="">
      <xdr:nvSpPr>
        <xdr:cNvPr id="577" name="Arrow: Up 279">
          <a:extLst>
            <a:ext uri="{FF2B5EF4-FFF2-40B4-BE49-F238E27FC236}"/>
          </a:extLst>
        </xdr:cNvPr>
        <xdr:cNvSpPr/>
      </xdr:nvSpPr>
      <xdr:spPr>
        <a:xfrm>
          <a:off x="2163040" y="16259608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95250</xdr:colOff>
      <xdr:row>83</xdr:row>
      <xdr:rowOff>142875</xdr:rowOff>
    </xdr:from>
    <xdr:ext cx="133350" cy="390525"/>
    <xdr:sp macro="" textlink="">
      <xdr:nvSpPr>
        <xdr:cNvPr id="578" name="Arrow: Up 275">
          <a:extLst>
            <a:ext uri="{FF2B5EF4-FFF2-40B4-BE49-F238E27FC236}"/>
          </a:extLst>
        </xdr:cNvPr>
        <xdr:cNvSpPr/>
      </xdr:nvSpPr>
      <xdr:spPr>
        <a:xfrm>
          <a:off x="4240790" y="16248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114300</xdr:colOff>
      <xdr:row>84</xdr:row>
      <xdr:rowOff>0</xdr:rowOff>
    </xdr:from>
    <xdr:ext cx="142875" cy="390525"/>
    <xdr:sp macro="" textlink="">
      <xdr:nvSpPr>
        <xdr:cNvPr id="579" name="Arrow: Up 281">
          <a:extLst>
            <a:ext uri="{FF2B5EF4-FFF2-40B4-BE49-F238E27FC236}"/>
          </a:extLst>
        </xdr:cNvPr>
        <xdr:cNvSpPr/>
      </xdr:nvSpPr>
      <xdr:spPr>
        <a:xfrm>
          <a:off x="6034088" y="16287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95250</xdr:colOff>
      <xdr:row>83</xdr:row>
      <xdr:rowOff>133350</xdr:rowOff>
    </xdr:from>
    <xdr:ext cx="142875" cy="390525"/>
    <xdr:sp macro="" textlink="">
      <xdr:nvSpPr>
        <xdr:cNvPr id="580" name="Arrow: Up 284">
          <a:extLst>
            <a:ext uri="{FF2B5EF4-FFF2-40B4-BE49-F238E27FC236}"/>
          </a:extLst>
        </xdr:cNvPr>
        <xdr:cNvSpPr/>
      </xdr:nvSpPr>
      <xdr:spPr>
        <a:xfrm>
          <a:off x="8850890" y="16237961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133350</xdr:colOff>
      <xdr:row>83</xdr:row>
      <xdr:rowOff>133350</xdr:rowOff>
    </xdr:from>
    <xdr:ext cx="142875" cy="390525"/>
    <xdr:sp macro="" textlink="">
      <xdr:nvSpPr>
        <xdr:cNvPr id="581" name="Arrow: Up 281">
          <a:extLst>
            <a:ext uri="{FF2B5EF4-FFF2-40B4-BE49-F238E27FC236}"/>
          </a:extLst>
        </xdr:cNvPr>
        <xdr:cNvSpPr/>
      </xdr:nvSpPr>
      <xdr:spPr>
        <a:xfrm>
          <a:off x="9856210" y="16237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95250</xdr:colOff>
      <xdr:row>83</xdr:row>
      <xdr:rowOff>161925</xdr:rowOff>
    </xdr:from>
    <xdr:ext cx="142875" cy="390525"/>
    <xdr:sp macro="" textlink="">
      <xdr:nvSpPr>
        <xdr:cNvPr id="582" name="Arrow: Up 286">
          <a:extLst>
            <a:ext uri="{FF2B5EF4-FFF2-40B4-BE49-F238E27FC236}"/>
          </a:extLst>
        </xdr:cNvPr>
        <xdr:cNvSpPr/>
      </xdr:nvSpPr>
      <xdr:spPr>
        <a:xfrm>
          <a:off x="11832215" y="16259607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95250</xdr:colOff>
      <xdr:row>91</xdr:row>
      <xdr:rowOff>171450</xdr:rowOff>
    </xdr:from>
    <xdr:ext cx="133350" cy="381000"/>
    <xdr:sp macro="" textlink="">
      <xdr:nvSpPr>
        <xdr:cNvPr id="583" name="Arrow: Up 275">
          <a:extLst>
            <a:ext uri="{FF2B5EF4-FFF2-40B4-BE49-F238E27FC236}"/>
          </a:extLst>
        </xdr:cNvPr>
        <xdr:cNvSpPr/>
      </xdr:nvSpPr>
      <xdr:spPr>
        <a:xfrm>
          <a:off x="2173865" y="177944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161925</xdr:colOff>
      <xdr:row>91</xdr:row>
      <xdr:rowOff>171450</xdr:rowOff>
    </xdr:from>
    <xdr:ext cx="142875" cy="381000"/>
    <xdr:sp macro="" textlink="">
      <xdr:nvSpPr>
        <xdr:cNvPr id="584" name="Arrow: Up 289">
          <a:extLst>
            <a:ext uri="{FF2B5EF4-FFF2-40B4-BE49-F238E27FC236}"/>
          </a:extLst>
        </xdr:cNvPr>
        <xdr:cNvSpPr/>
      </xdr:nvSpPr>
      <xdr:spPr>
        <a:xfrm>
          <a:off x="3238933" y="17794432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0</xdr:colOff>
      <xdr:row>92</xdr:row>
      <xdr:rowOff>0</xdr:rowOff>
    </xdr:from>
    <xdr:ext cx="133350" cy="390525"/>
    <xdr:sp macro="" textlink="">
      <xdr:nvSpPr>
        <xdr:cNvPr id="585" name="Arrow: Up 275">
          <a:extLst>
            <a:ext uri="{FF2B5EF4-FFF2-40B4-BE49-F238E27FC236}"/>
          </a:extLst>
        </xdr:cNvPr>
        <xdr:cNvSpPr/>
      </xdr:nvSpPr>
      <xdr:spPr>
        <a:xfrm>
          <a:off x="4143375" y="17811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142875</xdr:colOff>
      <xdr:row>91</xdr:row>
      <xdr:rowOff>180975</xdr:rowOff>
    </xdr:from>
    <xdr:ext cx="142875" cy="381000"/>
    <xdr:sp macro="" textlink="">
      <xdr:nvSpPr>
        <xdr:cNvPr id="586" name="Arrow: Up 289">
          <a:extLst>
            <a:ext uri="{FF2B5EF4-FFF2-40B4-BE49-F238E27FC236}"/>
          </a:extLst>
        </xdr:cNvPr>
        <xdr:cNvSpPr/>
      </xdr:nvSpPr>
      <xdr:spPr>
        <a:xfrm>
          <a:off x="4294909" y="17805256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209550</xdr:colOff>
      <xdr:row>99</xdr:row>
      <xdr:rowOff>142875</xdr:rowOff>
    </xdr:from>
    <xdr:ext cx="142875" cy="390525"/>
    <xdr:sp macro="" textlink="">
      <xdr:nvSpPr>
        <xdr:cNvPr id="587" name="Arrow: Up 296">
          <a:extLst>
            <a:ext uri="{FF2B5EF4-FFF2-40B4-BE49-F238E27FC236}"/>
          </a:extLst>
        </xdr:cNvPr>
        <xdr:cNvSpPr/>
      </xdr:nvSpPr>
      <xdr:spPr>
        <a:xfrm>
          <a:off x="1359477" y="19296785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133350</xdr:colOff>
      <xdr:row>99</xdr:row>
      <xdr:rowOff>161925</xdr:rowOff>
    </xdr:from>
    <xdr:ext cx="142875" cy="390525"/>
    <xdr:sp macro="" textlink="">
      <xdr:nvSpPr>
        <xdr:cNvPr id="588" name="Arrow: Up 291">
          <a:extLst>
            <a:ext uri="{FF2B5EF4-FFF2-40B4-BE49-F238E27FC236}"/>
          </a:extLst>
        </xdr:cNvPr>
        <xdr:cNvSpPr/>
      </xdr:nvSpPr>
      <xdr:spPr>
        <a:xfrm>
          <a:off x="6055735" y="19307609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85725</xdr:colOff>
      <xdr:row>99</xdr:row>
      <xdr:rowOff>161925</xdr:rowOff>
    </xdr:from>
    <xdr:ext cx="142875" cy="390525"/>
    <xdr:sp macro="" textlink="">
      <xdr:nvSpPr>
        <xdr:cNvPr id="589" name="Arrow: Up 310">
          <a:extLst>
            <a:ext uri="{FF2B5EF4-FFF2-40B4-BE49-F238E27FC236}"/>
          </a:extLst>
        </xdr:cNvPr>
        <xdr:cNvSpPr/>
      </xdr:nvSpPr>
      <xdr:spPr>
        <a:xfrm>
          <a:off x="11821391" y="19307609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209550</xdr:colOff>
      <xdr:row>108</xdr:row>
      <xdr:rowOff>0</xdr:rowOff>
    </xdr:from>
    <xdr:ext cx="142875" cy="390525"/>
    <xdr:sp macro="" textlink="">
      <xdr:nvSpPr>
        <xdr:cNvPr id="590" name="Arrow: Up 296">
          <a:extLst>
            <a:ext uri="{FF2B5EF4-FFF2-40B4-BE49-F238E27FC236}"/>
          </a:extLst>
        </xdr:cNvPr>
        <xdr:cNvSpPr/>
      </xdr:nvSpPr>
      <xdr:spPr>
        <a:xfrm>
          <a:off x="1359477" y="20859751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123825</xdr:colOff>
      <xdr:row>107</xdr:row>
      <xdr:rowOff>133350</xdr:rowOff>
    </xdr:from>
    <xdr:ext cx="142875" cy="390525"/>
    <xdr:sp macro="" textlink="">
      <xdr:nvSpPr>
        <xdr:cNvPr id="591" name="Arrow: Up 296">
          <a:extLst>
            <a:ext uri="{FF2B5EF4-FFF2-40B4-BE49-F238E27FC236}"/>
          </a:extLst>
        </xdr:cNvPr>
        <xdr:cNvSpPr/>
      </xdr:nvSpPr>
      <xdr:spPr>
        <a:xfrm>
          <a:off x="2206336" y="20809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133350</xdr:colOff>
      <xdr:row>107</xdr:row>
      <xdr:rowOff>161925</xdr:rowOff>
    </xdr:from>
    <xdr:ext cx="142875" cy="390525"/>
    <xdr:sp macro="" textlink="">
      <xdr:nvSpPr>
        <xdr:cNvPr id="592" name="Arrow: Up 296">
          <a:extLst>
            <a:ext uri="{FF2B5EF4-FFF2-40B4-BE49-F238E27FC236}"/>
          </a:extLst>
        </xdr:cNvPr>
        <xdr:cNvSpPr/>
      </xdr:nvSpPr>
      <xdr:spPr>
        <a:xfrm>
          <a:off x="3217285" y="20831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95250</xdr:colOff>
      <xdr:row>107</xdr:row>
      <xdr:rowOff>161925</xdr:rowOff>
    </xdr:from>
    <xdr:ext cx="142875" cy="390525"/>
    <xdr:sp macro="" textlink="">
      <xdr:nvSpPr>
        <xdr:cNvPr id="593" name="Arrow: Up 313">
          <a:extLst>
            <a:ext uri="{FF2B5EF4-FFF2-40B4-BE49-F238E27FC236}"/>
          </a:extLst>
        </xdr:cNvPr>
        <xdr:cNvSpPr/>
      </xdr:nvSpPr>
      <xdr:spPr>
        <a:xfrm>
          <a:off x="4240790" y="20831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28575</xdr:colOff>
      <xdr:row>107</xdr:row>
      <xdr:rowOff>142875</xdr:rowOff>
    </xdr:from>
    <xdr:ext cx="142875" cy="390525"/>
    <xdr:sp macro="" textlink="">
      <xdr:nvSpPr>
        <xdr:cNvPr id="594" name="Arrow: Up 313">
          <a:extLst>
            <a:ext uri="{FF2B5EF4-FFF2-40B4-BE49-F238E27FC236}"/>
          </a:extLst>
        </xdr:cNvPr>
        <xdr:cNvSpPr/>
      </xdr:nvSpPr>
      <xdr:spPr>
        <a:xfrm>
          <a:off x="6861897" y="2082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190500</xdr:colOff>
      <xdr:row>107</xdr:row>
      <xdr:rowOff>171450</xdr:rowOff>
    </xdr:from>
    <xdr:ext cx="142875" cy="381000"/>
    <xdr:sp macro="" textlink="">
      <xdr:nvSpPr>
        <xdr:cNvPr id="595" name="Arrow: Up-Down 285">
          <a:extLst>
            <a:ext uri="{FF2B5EF4-FFF2-40B4-BE49-F238E27FC236}"/>
          </a:extLst>
        </xdr:cNvPr>
        <xdr:cNvSpPr/>
      </xdr:nvSpPr>
      <xdr:spPr>
        <a:xfrm>
          <a:off x="7024255" y="20842431"/>
          <a:ext cx="142876" cy="406525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171450</xdr:colOff>
      <xdr:row>107</xdr:row>
      <xdr:rowOff>142875</xdr:rowOff>
    </xdr:from>
    <xdr:ext cx="142875" cy="390525"/>
    <xdr:sp macro="" textlink="">
      <xdr:nvSpPr>
        <xdr:cNvPr id="596" name="Arrow: Up 296">
          <a:extLst>
            <a:ext uri="{FF2B5EF4-FFF2-40B4-BE49-F238E27FC236}"/>
          </a:extLst>
        </xdr:cNvPr>
        <xdr:cNvSpPr/>
      </xdr:nvSpPr>
      <xdr:spPr>
        <a:xfrm>
          <a:off x="7878906" y="20820783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114300</xdr:colOff>
      <xdr:row>107</xdr:row>
      <xdr:rowOff>161925</xdr:rowOff>
    </xdr:from>
    <xdr:ext cx="142875" cy="390525"/>
    <xdr:sp macro="" textlink="">
      <xdr:nvSpPr>
        <xdr:cNvPr id="597" name="Arrow: Up 296">
          <a:extLst>
            <a:ext uri="{FF2B5EF4-FFF2-40B4-BE49-F238E27FC236}"/>
          </a:extLst>
        </xdr:cNvPr>
        <xdr:cNvSpPr/>
      </xdr:nvSpPr>
      <xdr:spPr>
        <a:xfrm>
          <a:off x="10758488" y="20831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180975</xdr:colOff>
      <xdr:row>107</xdr:row>
      <xdr:rowOff>171450</xdr:rowOff>
    </xdr:from>
    <xdr:ext cx="142875" cy="381000"/>
    <xdr:sp macro="" textlink="">
      <xdr:nvSpPr>
        <xdr:cNvPr id="598" name="Arrow: Up 296">
          <a:extLst>
            <a:ext uri="{FF2B5EF4-FFF2-40B4-BE49-F238E27FC236}"/>
          </a:extLst>
        </xdr:cNvPr>
        <xdr:cNvSpPr/>
      </xdr:nvSpPr>
      <xdr:spPr>
        <a:xfrm>
          <a:off x="11918806" y="20842431"/>
          <a:ext cx="142875" cy="406909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19050</xdr:colOff>
      <xdr:row>107</xdr:row>
      <xdr:rowOff>180975</xdr:rowOff>
    </xdr:from>
    <xdr:ext cx="142875" cy="381000"/>
    <xdr:sp macro="" textlink="">
      <xdr:nvSpPr>
        <xdr:cNvPr id="599" name="Arrow: Up 313">
          <a:extLst>
            <a:ext uri="{FF2B5EF4-FFF2-40B4-BE49-F238E27FC236}"/>
          </a:extLst>
        </xdr:cNvPr>
        <xdr:cNvSpPr/>
      </xdr:nvSpPr>
      <xdr:spPr>
        <a:xfrm>
          <a:off x="11756448" y="20853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114300</xdr:colOff>
      <xdr:row>107</xdr:row>
      <xdr:rowOff>142875</xdr:rowOff>
    </xdr:from>
    <xdr:ext cx="142875" cy="390525"/>
    <xdr:sp macro="" textlink="">
      <xdr:nvSpPr>
        <xdr:cNvPr id="600" name="Arrow: Up 296">
          <a:extLst>
            <a:ext uri="{FF2B5EF4-FFF2-40B4-BE49-F238E27FC236}"/>
          </a:extLst>
        </xdr:cNvPr>
        <xdr:cNvSpPr/>
      </xdr:nvSpPr>
      <xdr:spPr>
        <a:xfrm>
          <a:off x="12739688" y="20820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104775</xdr:colOff>
      <xdr:row>115</xdr:row>
      <xdr:rowOff>161925</xdr:rowOff>
    </xdr:from>
    <xdr:ext cx="142875" cy="390525"/>
    <xdr:sp macro="" textlink="">
      <xdr:nvSpPr>
        <xdr:cNvPr id="601" name="Arrow: Up 296">
          <a:extLst>
            <a:ext uri="{FF2B5EF4-FFF2-40B4-BE49-F238E27FC236}"/>
          </a:extLst>
        </xdr:cNvPr>
        <xdr:cNvSpPr/>
      </xdr:nvSpPr>
      <xdr:spPr>
        <a:xfrm>
          <a:off x="1251239" y="22355607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104775</xdr:colOff>
      <xdr:row>115</xdr:row>
      <xdr:rowOff>161925</xdr:rowOff>
    </xdr:from>
    <xdr:ext cx="142875" cy="390525"/>
    <xdr:sp macro="" textlink="">
      <xdr:nvSpPr>
        <xdr:cNvPr id="602" name="Arrow: Up 296">
          <a:extLst>
            <a:ext uri="{FF2B5EF4-FFF2-40B4-BE49-F238E27FC236}"/>
          </a:extLst>
        </xdr:cNvPr>
        <xdr:cNvSpPr/>
      </xdr:nvSpPr>
      <xdr:spPr>
        <a:xfrm>
          <a:off x="2184688" y="22355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66675</xdr:colOff>
      <xdr:row>115</xdr:row>
      <xdr:rowOff>142875</xdr:rowOff>
    </xdr:from>
    <xdr:ext cx="142875" cy="390525"/>
    <xdr:sp macro="" textlink="">
      <xdr:nvSpPr>
        <xdr:cNvPr id="603" name="Arrow: Up 296">
          <a:extLst>
            <a:ext uri="{FF2B5EF4-FFF2-40B4-BE49-F238E27FC236}"/>
          </a:extLst>
        </xdr:cNvPr>
        <xdr:cNvSpPr/>
      </xdr:nvSpPr>
      <xdr:spPr>
        <a:xfrm>
          <a:off x="3152342" y="22344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257175</xdr:colOff>
      <xdr:row>115</xdr:row>
      <xdr:rowOff>161925</xdr:rowOff>
    </xdr:from>
    <xdr:ext cx="142875" cy="390525"/>
    <xdr:sp macro="" textlink="">
      <xdr:nvSpPr>
        <xdr:cNvPr id="604" name="Arrow: Up-Down 285">
          <a:extLst>
            <a:ext uri="{FF2B5EF4-FFF2-40B4-BE49-F238E27FC236}"/>
          </a:extLst>
        </xdr:cNvPr>
        <xdr:cNvSpPr/>
      </xdr:nvSpPr>
      <xdr:spPr>
        <a:xfrm>
          <a:off x="3336348" y="22355608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85725</xdr:colOff>
      <xdr:row>115</xdr:row>
      <xdr:rowOff>142875</xdr:rowOff>
    </xdr:from>
    <xdr:ext cx="142875" cy="390525"/>
    <xdr:sp macro="" textlink="">
      <xdr:nvSpPr>
        <xdr:cNvPr id="605" name="Arrow: Up 296">
          <a:extLst>
            <a:ext uri="{FF2B5EF4-FFF2-40B4-BE49-F238E27FC236}"/>
          </a:extLst>
        </xdr:cNvPr>
        <xdr:cNvSpPr/>
      </xdr:nvSpPr>
      <xdr:spPr>
        <a:xfrm>
          <a:off x="4229966" y="22344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85725</xdr:colOff>
      <xdr:row>115</xdr:row>
      <xdr:rowOff>161925</xdr:rowOff>
    </xdr:from>
    <xdr:ext cx="142875" cy="390525"/>
    <xdr:sp macro="" textlink="">
      <xdr:nvSpPr>
        <xdr:cNvPr id="606" name="Arrow: Up 296">
          <a:extLst>
            <a:ext uri="{FF2B5EF4-FFF2-40B4-BE49-F238E27FC236}"/>
          </a:extLst>
        </xdr:cNvPr>
        <xdr:cNvSpPr/>
      </xdr:nvSpPr>
      <xdr:spPr>
        <a:xfrm>
          <a:off x="5134841" y="22355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66675</xdr:colOff>
      <xdr:row>115</xdr:row>
      <xdr:rowOff>171450</xdr:rowOff>
    </xdr:from>
    <xdr:ext cx="142875" cy="381000"/>
    <xdr:sp macro="" textlink="">
      <xdr:nvSpPr>
        <xdr:cNvPr id="607" name="Arrow: Up 296">
          <a:extLst>
            <a:ext uri="{FF2B5EF4-FFF2-40B4-BE49-F238E27FC236}"/>
          </a:extLst>
        </xdr:cNvPr>
        <xdr:cNvSpPr/>
      </xdr:nvSpPr>
      <xdr:spPr>
        <a:xfrm>
          <a:off x="6905192" y="22366432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104775</xdr:colOff>
      <xdr:row>115</xdr:row>
      <xdr:rowOff>142875</xdr:rowOff>
    </xdr:from>
    <xdr:ext cx="142875" cy="390525"/>
    <xdr:sp macro="" textlink="">
      <xdr:nvSpPr>
        <xdr:cNvPr id="608" name="Arrow: Up 296">
          <a:extLst>
            <a:ext uri="{FF2B5EF4-FFF2-40B4-BE49-F238E27FC236}"/>
          </a:extLst>
        </xdr:cNvPr>
        <xdr:cNvSpPr/>
      </xdr:nvSpPr>
      <xdr:spPr>
        <a:xfrm>
          <a:off x="9823739" y="22344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114300</xdr:colOff>
      <xdr:row>115</xdr:row>
      <xdr:rowOff>161925</xdr:rowOff>
    </xdr:from>
    <xdr:ext cx="142875" cy="390525"/>
    <xdr:sp macro="" textlink="">
      <xdr:nvSpPr>
        <xdr:cNvPr id="609" name="Arrow: Up 296">
          <a:extLst>
            <a:ext uri="{FF2B5EF4-FFF2-40B4-BE49-F238E27FC236}"/>
          </a:extLst>
        </xdr:cNvPr>
        <xdr:cNvSpPr/>
      </xdr:nvSpPr>
      <xdr:spPr>
        <a:xfrm>
          <a:off x="10758488" y="22355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104775</xdr:colOff>
      <xdr:row>115</xdr:row>
      <xdr:rowOff>171450</xdr:rowOff>
    </xdr:from>
    <xdr:ext cx="142875" cy="381000"/>
    <xdr:sp macro="" textlink="">
      <xdr:nvSpPr>
        <xdr:cNvPr id="610" name="Arrow: Up 296">
          <a:extLst>
            <a:ext uri="{FF2B5EF4-FFF2-40B4-BE49-F238E27FC236}"/>
          </a:extLst>
        </xdr:cNvPr>
        <xdr:cNvSpPr/>
      </xdr:nvSpPr>
      <xdr:spPr>
        <a:xfrm>
          <a:off x="12728863" y="22366432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171450</xdr:colOff>
      <xdr:row>123</xdr:row>
      <xdr:rowOff>133350</xdr:rowOff>
    </xdr:from>
    <xdr:ext cx="142875" cy="390525"/>
    <xdr:sp macro="" textlink="">
      <xdr:nvSpPr>
        <xdr:cNvPr id="611" name="Arrow: Up 296">
          <a:extLst>
            <a:ext uri="{FF2B5EF4-FFF2-40B4-BE49-F238E27FC236}"/>
          </a:extLst>
        </xdr:cNvPr>
        <xdr:cNvSpPr/>
      </xdr:nvSpPr>
      <xdr:spPr>
        <a:xfrm>
          <a:off x="3249756" y="23857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95250</xdr:colOff>
      <xdr:row>123</xdr:row>
      <xdr:rowOff>142875</xdr:rowOff>
    </xdr:from>
    <xdr:ext cx="142875" cy="390525"/>
    <xdr:sp macro="" textlink="">
      <xdr:nvSpPr>
        <xdr:cNvPr id="612" name="Arrow: Up 296">
          <a:extLst>
            <a:ext uri="{FF2B5EF4-FFF2-40B4-BE49-F238E27FC236}"/>
          </a:extLst>
        </xdr:cNvPr>
        <xdr:cNvSpPr/>
      </xdr:nvSpPr>
      <xdr:spPr>
        <a:xfrm>
          <a:off x="5145665" y="23868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133350</xdr:colOff>
      <xdr:row>123</xdr:row>
      <xdr:rowOff>133350</xdr:rowOff>
    </xdr:from>
    <xdr:ext cx="142875" cy="390525"/>
    <xdr:sp macro="" textlink="">
      <xdr:nvSpPr>
        <xdr:cNvPr id="613" name="Arrow: Up 296">
          <a:extLst>
            <a:ext uri="{FF2B5EF4-FFF2-40B4-BE49-F238E27FC236}"/>
          </a:extLst>
        </xdr:cNvPr>
        <xdr:cNvSpPr/>
      </xdr:nvSpPr>
      <xdr:spPr>
        <a:xfrm>
          <a:off x="10780135" y="23857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133350</xdr:colOff>
      <xdr:row>123</xdr:row>
      <xdr:rowOff>142875</xdr:rowOff>
    </xdr:from>
    <xdr:ext cx="142875" cy="390525"/>
    <xdr:sp macro="" textlink="">
      <xdr:nvSpPr>
        <xdr:cNvPr id="614" name="Arrow: Up 296">
          <a:extLst>
            <a:ext uri="{FF2B5EF4-FFF2-40B4-BE49-F238E27FC236}"/>
          </a:extLst>
        </xdr:cNvPr>
        <xdr:cNvSpPr/>
      </xdr:nvSpPr>
      <xdr:spPr>
        <a:xfrm>
          <a:off x="12761335" y="23868783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114300</xdr:colOff>
      <xdr:row>131</xdr:row>
      <xdr:rowOff>161925</xdr:rowOff>
    </xdr:from>
    <xdr:ext cx="142875" cy="390525"/>
    <xdr:sp macro="" textlink="">
      <xdr:nvSpPr>
        <xdr:cNvPr id="615" name="Arrow: Up 296">
          <a:extLst>
            <a:ext uri="{FF2B5EF4-FFF2-40B4-BE49-F238E27FC236}"/>
          </a:extLst>
        </xdr:cNvPr>
        <xdr:cNvSpPr/>
      </xdr:nvSpPr>
      <xdr:spPr>
        <a:xfrm>
          <a:off x="1262062" y="25403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133350</xdr:colOff>
      <xdr:row>131</xdr:row>
      <xdr:rowOff>180975</xdr:rowOff>
    </xdr:from>
    <xdr:ext cx="142875" cy="381000"/>
    <xdr:sp macro="" textlink="">
      <xdr:nvSpPr>
        <xdr:cNvPr id="616" name="Arrow: Up 296">
          <a:extLst>
            <a:ext uri="{FF2B5EF4-FFF2-40B4-BE49-F238E27FC236}"/>
          </a:extLst>
        </xdr:cNvPr>
        <xdr:cNvSpPr/>
      </xdr:nvSpPr>
      <xdr:spPr>
        <a:xfrm>
          <a:off x="3217285" y="25425255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95250</xdr:colOff>
      <xdr:row>131</xdr:row>
      <xdr:rowOff>133350</xdr:rowOff>
    </xdr:from>
    <xdr:ext cx="142875" cy="390525"/>
    <xdr:sp macro="" textlink="">
      <xdr:nvSpPr>
        <xdr:cNvPr id="617" name="Arrow: Up 296">
          <a:extLst>
            <a:ext uri="{FF2B5EF4-FFF2-40B4-BE49-F238E27FC236}"/>
          </a:extLst>
        </xdr:cNvPr>
        <xdr:cNvSpPr/>
      </xdr:nvSpPr>
      <xdr:spPr>
        <a:xfrm>
          <a:off x="5145665" y="25381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142875</xdr:colOff>
      <xdr:row>131</xdr:row>
      <xdr:rowOff>133350</xdr:rowOff>
    </xdr:from>
    <xdr:ext cx="142875" cy="390525"/>
    <xdr:sp macro="" textlink="">
      <xdr:nvSpPr>
        <xdr:cNvPr id="618" name="Arrow: Up 296">
          <a:extLst>
            <a:ext uri="{FF2B5EF4-FFF2-40B4-BE49-F238E27FC236}"/>
          </a:extLst>
        </xdr:cNvPr>
        <xdr:cNvSpPr/>
      </xdr:nvSpPr>
      <xdr:spPr>
        <a:xfrm>
          <a:off x="6980960" y="25381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0</xdr:colOff>
      <xdr:row>131</xdr:row>
      <xdr:rowOff>133350</xdr:rowOff>
    </xdr:from>
    <xdr:ext cx="142875" cy="390525"/>
    <xdr:sp macro="" textlink="">
      <xdr:nvSpPr>
        <xdr:cNvPr id="619" name="Arrow: Up 805">
          <a:extLst>
            <a:ext uri="{FF2B5EF4-FFF2-40B4-BE49-F238E27FC236}"/>
          </a:extLst>
        </xdr:cNvPr>
        <xdr:cNvSpPr/>
      </xdr:nvSpPr>
      <xdr:spPr>
        <a:xfrm>
          <a:off x="6829425" y="25381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28575</xdr:colOff>
      <xdr:row>131</xdr:row>
      <xdr:rowOff>161925</xdr:rowOff>
    </xdr:from>
    <xdr:ext cx="142875" cy="390525"/>
    <xdr:sp macro="" textlink="">
      <xdr:nvSpPr>
        <xdr:cNvPr id="620" name="Arrow: Up 805">
          <a:extLst>
            <a:ext uri="{FF2B5EF4-FFF2-40B4-BE49-F238E27FC236}"/>
          </a:extLst>
        </xdr:cNvPr>
        <xdr:cNvSpPr/>
      </xdr:nvSpPr>
      <xdr:spPr>
        <a:xfrm>
          <a:off x="8785946" y="25403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238125</xdr:colOff>
      <xdr:row>131</xdr:row>
      <xdr:rowOff>142875</xdr:rowOff>
    </xdr:from>
    <xdr:ext cx="142875" cy="390525"/>
    <xdr:sp macro="" textlink="">
      <xdr:nvSpPr>
        <xdr:cNvPr id="621" name="Arrow: Up 296">
          <a:extLst>
            <a:ext uri="{FF2B5EF4-FFF2-40B4-BE49-F238E27FC236}"/>
          </a:extLst>
        </xdr:cNvPr>
        <xdr:cNvSpPr/>
      </xdr:nvSpPr>
      <xdr:spPr>
        <a:xfrm>
          <a:off x="8991600" y="25392783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123825</xdr:colOff>
      <xdr:row>131</xdr:row>
      <xdr:rowOff>161925</xdr:rowOff>
    </xdr:from>
    <xdr:ext cx="142875" cy="390525"/>
    <xdr:sp macro="" textlink="">
      <xdr:nvSpPr>
        <xdr:cNvPr id="622" name="Arrow: Up 296">
          <a:extLst>
            <a:ext uri="{FF2B5EF4-FFF2-40B4-BE49-F238E27FC236}"/>
          </a:extLst>
        </xdr:cNvPr>
        <xdr:cNvSpPr/>
      </xdr:nvSpPr>
      <xdr:spPr>
        <a:xfrm>
          <a:off x="9845386" y="25403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9525</xdr:colOff>
      <xdr:row>139</xdr:row>
      <xdr:rowOff>161925</xdr:rowOff>
    </xdr:from>
    <xdr:ext cx="142875" cy="390525"/>
    <xdr:sp macro="" textlink="">
      <xdr:nvSpPr>
        <xdr:cNvPr id="623" name="Arrow: Up 805">
          <a:extLst>
            <a:ext uri="{FF2B5EF4-FFF2-40B4-BE49-F238E27FC236}"/>
          </a:extLst>
        </xdr:cNvPr>
        <xdr:cNvSpPr/>
      </xdr:nvSpPr>
      <xdr:spPr>
        <a:xfrm>
          <a:off x="2087274" y="269276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190500</xdr:colOff>
      <xdr:row>139</xdr:row>
      <xdr:rowOff>161925</xdr:rowOff>
    </xdr:from>
    <xdr:ext cx="142875" cy="390525"/>
    <xdr:sp macro="" textlink="">
      <xdr:nvSpPr>
        <xdr:cNvPr id="624" name="Arrow: Up 296">
          <a:extLst>
            <a:ext uri="{FF2B5EF4-FFF2-40B4-BE49-F238E27FC236}"/>
          </a:extLst>
        </xdr:cNvPr>
        <xdr:cNvSpPr/>
      </xdr:nvSpPr>
      <xdr:spPr>
        <a:xfrm>
          <a:off x="2271279" y="26927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28575</xdr:colOff>
      <xdr:row>139</xdr:row>
      <xdr:rowOff>123825</xdr:rowOff>
    </xdr:from>
    <xdr:ext cx="142875" cy="390525"/>
    <xdr:sp macro="" textlink="">
      <xdr:nvSpPr>
        <xdr:cNvPr id="625" name="Arrow: Up 805">
          <a:extLst>
            <a:ext uri="{FF2B5EF4-FFF2-40B4-BE49-F238E27FC236}"/>
          </a:extLst>
        </xdr:cNvPr>
        <xdr:cNvSpPr/>
      </xdr:nvSpPr>
      <xdr:spPr>
        <a:xfrm>
          <a:off x="6861897" y="268951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200025</xdr:colOff>
      <xdr:row>139</xdr:row>
      <xdr:rowOff>114300</xdr:rowOff>
    </xdr:from>
    <xdr:ext cx="152400" cy="390525"/>
    <xdr:sp macro="" textlink="">
      <xdr:nvSpPr>
        <xdr:cNvPr id="626" name="Arrow: Up 296">
          <a:extLst>
            <a:ext uri="{FF2B5EF4-FFF2-40B4-BE49-F238E27FC236}"/>
          </a:extLst>
        </xdr:cNvPr>
        <xdr:cNvSpPr/>
      </xdr:nvSpPr>
      <xdr:spPr>
        <a:xfrm>
          <a:off x="7035078" y="26884313"/>
          <a:ext cx="139411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123825</xdr:colOff>
      <xdr:row>139</xdr:row>
      <xdr:rowOff>142875</xdr:rowOff>
    </xdr:from>
    <xdr:ext cx="142875" cy="390525"/>
    <xdr:sp macro="" textlink="">
      <xdr:nvSpPr>
        <xdr:cNvPr id="627" name="Arrow: Up 296">
          <a:extLst>
            <a:ext uri="{FF2B5EF4-FFF2-40B4-BE49-F238E27FC236}"/>
          </a:extLst>
        </xdr:cNvPr>
        <xdr:cNvSpPr/>
      </xdr:nvSpPr>
      <xdr:spPr>
        <a:xfrm>
          <a:off x="10769312" y="26916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95250</xdr:colOff>
      <xdr:row>139</xdr:row>
      <xdr:rowOff>133350</xdr:rowOff>
    </xdr:from>
    <xdr:ext cx="142875" cy="390525"/>
    <xdr:sp macro="" textlink="">
      <xdr:nvSpPr>
        <xdr:cNvPr id="628" name="Arrow: Up 296">
          <a:extLst>
            <a:ext uri="{FF2B5EF4-FFF2-40B4-BE49-F238E27FC236}"/>
          </a:extLst>
        </xdr:cNvPr>
        <xdr:cNvSpPr/>
      </xdr:nvSpPr>
      <xdr:spPr>
        <a:xfrm>
          <a:off x="11832215" y="26905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171450</xdr:colOff>
      <xdr:row>139</xdr:row>
      <xdr:rowOff>161925</xdr:rowOff>
    </xdr:from>
    <xdr:ext cx="142875" cy="390525"/>
    <xdr:sp macro="" textlink="">
      <xdr:nvSpPr>
        <xdr:cNvPr id="629" name="Arrow: Up 296">
          <a:extLst>
            <a:ext uri="{FF2B5EF4-FFF2-40B4-BE49-F238E27FC236}"/>
          </a:extLst>
        </xdr:cNvPr>
        <xdr:cNvSpPr/>
      </xdr:nvSpPr>
      <xdr:spPr>
        <a:xfrm>
          <a:off x="12793807" y="26927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85725</xdr:colOff>
      <xdr:row>147</xdr:row>
      <xdr:rowOff>142875</xdr:rowOff>
    </xdr:from>
    <xdr:ext cx="142875" cy="390525"/>
    <xdr:sp macro="" textlink="">
      <xdr:nvSpPr>
        <xdr:cNvPr id="630" name="Arrow: Up 296">
          <a:extLst>
            <a:ext uri="{FF2B5EF4-FFF2-40B4-BE49-F238E27FC236}"/>
          </a:extLst>
        </xdr:cNvPr>
        <xdr:cNvSpPr/>
      </xdr:nvSpPr>
      <xdr:spPr>
        <a:xfrm>
          <a:off x="2163041" y="28440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47625</xdr:colOff>
      <xdr:row>147</xdr:row>
      <xdr:rowOff>161925</xdr:rowOff>
    </xdr:from>
    <xdr:ext cx="142875" cy="390525"/>
    <xdr:sp macro="" textlink="">
      <xdr:nvSpPr>
        <xdr:cNvPr id="631" name="Arrow: Up 296">
          <a:extLst>
            <a:ext uri="{FF2B5EF4-FFF2-40B4-BE49-F238E27FC236}"/>
          </a:extLst>
        </xdr:cNvPr>
        <xdr:cNvSpPr/>
      </xdr:nvSpPr>
      <xdr:spPr>
        <a:xfrm>
          <a:off x="5969144" y="28451607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171450</xdr:colOff>
      <xdr:row>147</xdr:row>
      <xdr:rowOff>133350</xdr:rowOff>
    </xdr:from>
    <xdr:ext cx="142875" cy="390525"/>
    <xdr:sp macro="" textlink="">
      <xdr:nvSpPr>
        <xdr:cNvPr id="632" name="Arrow: Up 296">
          <a:extLst>
            <a:ext uri="{FF2B5EF4-FFF2-40B4-BE49-F238E27FC236}"/>
          </a:extLst>
        </xdr:cNvPr>
        <xdr:cNvSpPr/>
      </xdr:nvSpPr>
      <xdr:spPr>
        <a:xfrm>
          <a:off x="8926657" y="28429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28575</xdr:colOff>
      <xdr:row>147</xdr:row>
      <xdr:rowOff>133350</xdr:rowOff>
    </xdr:from>
    <xdr:ext cx="142875" cy="390525"/>
    <xdr:sp macro="" textlink="">
      <xdr:nvSpPr>
        <xdr:cNvPr id="633" name="Arrow: Up 296">
          <a:extLst>
            <a:ext uri="{FF2B5EF4-FFF2-40B4-BE49-F238E27FC236}"/>
          </a:extLst>
        </xdr:cNvPr>
        <xdr:cNvSpPr/>
      </xdr:nvSpPr>
      <xdr:spPr>
        <a:xfrm>
          <a:off x="9747972" y="28429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200025</xdr:colOff>
      <xdr:row>147</xdr:row>
      <xdr:rowOff>142875</xdr:rowOff>
    </xdr:from>
    <xdr:ext cx="142875" cy="390525"/>
    <xdr:sp macro="" textlink="">
      <xdr:nvSpPr>
        <xdr:cNvPr id="634" name="Arrow: Up-Down 285">
          <a:extLst>
            <a:ext uri="{FF2B5EF4-FFF2-40B4-BE49-F238E27FC236}"/>
          </a:extLst>
        </xdr:cNvPr>
        <xdr:cNvSpPr/>
      </xdr:nvSpPr>
      <xdr:spPr>
        <a:xfrm>
          <a:off x="9921154" y="28440784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104775</xdr:colOff>
      <xdr:row>147</xdr:row>
      <xdr:rowOff>171450</xdr:rowOff>
    </xdr:from>
    <xdr:ext cx="142875" cy="381000"/>
    <xdr:sp macro="" textlink="">
      <xdr:nvSpPr>
        <xdr:cNvPr id="635" name="Arrow: Up 913">
          <a:extLst>
            <a:ext uri="{FF2B5EF4-FFF2-40B4-BE49-F238E27FC236}"/>
          </a:extLst>
        </xdr:cNvPr>
        <xdr:cNvSpPr/>
      </xdr:nvSpPr>
      <xdr:spPr>
        <a:xfrm>
          <a:off x="11843039" y="284624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219075</xdr:colOff>
      <xdr:row>155</xdr:row>
      <xdr:rowOff>133350</xdr:rowOff>
    </xdr:from>
    <xdr:ext cx="142875" cy="390525"/>
    <xdr:sp macro="" textlink="">
      <xdr:nvSpPr>
        <xdr:cNvPr id="636" name="Arrow: Up 296">
          <a:extLst>
            <a:ext uri="{FF2B5EF4-FFF2-40B4-BE49-F238E27FC236}"/>
          </a:extLst>
        </xdr:cNvPr>
        <xdr:cNvSpPr/>
      </xdr:nvSpPr>
      <xdr:spPr>
        <a:xfrm>
          <a:off x="1370301" y="29953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133350</xdr:colOff>
      <xdr:row>155</xdr:row>
      <xdr:rowOff>161925</xdr:rowOff>
    </xdr:from>
    <xdr:ext cx="142875" cy="390525"/>
    <xdr:sp macro="" textlink="">
      <xdr:nvSpPr>
        <xdr:cNvPr id="637" name="Arrow: Up-Down 285">
          <a:extLst>
            <a:ext uri="{FF2B5EF4-FFF2-40B4-BE49-F238E27FC236}"/>
          </a:extLst>
        </xdr:cNvPr>
        <xdr:cNvSpPr/>
      </xdr:nvSpPr>
      <xdr:spPr>
        <a:xfrm>
          <a:off x="3217285" y="29975609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104775</xdr:colOff>
      <xdr:row>155</xdr:row>
      <xdr:rowOff>161925</xdr:rowOff>
    </xdr:from>
    <xdr:ext cx="142875" cy="390525"/>
    <xdr:sp macro="" textlink="">
      <xdr:nvSpPr>
        <xdr:cNvPr id="638" name="Arrow: Up 913">
          <a:extLst>
            <a:ext uri="{FF2B5EF4-FFF2-40B4-BE49-F238E27FC236}"/>
          </a:extLst>
        </xdr:cNvPr>
        <xdr:cNvSpPr/>
      </xdr:nvSpPr>
      <xdr:spPr>
        <a:xfrm>
          <a:off x="4251613" y="2997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133350</xdr:colOff>
      <xdr:row>155</xdr:row>
      <xdr:rowOff>161925</xdr:rowOff>
    </xdr:from>
    <xdr:ext cx="142875" cy="390525"/>
    <xdr:sp macro="" textlink="">
      <xdr:nvSpPr>
        <xdr:cNvPr id="639" name="Arrow: Up-Down 285">
          <a:extLst>
            <a:ext uri="{FF2B5EF4-FFF2-40B4-BE49-F238E27FC236}"/>
          </a:extLst>
        </xdr:cNvPr>
        <xdr:cNvSpPr/>
      </xdr:nvSpPr>
      <xdr:spPr>
        <a:xfrm>
          <a:off x="6055735" y="29975608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142875</xdr:colOff>
      <xdr:row>156</xdr:row>
      <xdr:rowOff>0</xdr:rowOff>
    </xdr:from>
    <xdr:ext cx="142875" cy="390525"/>
    <xdr:sp macro="" textlink="">
      <xdr:nvSpPr>
        <xdr:cNvPr id="640" name="Arrow: Up-Down 285">
          <a:extLst>
            <a:ext uri="{FF2B5EF4-FFF2-40B4-BE49-F238E27FC236}"/>
          </a:extLst>
        </xdr:cNvPr>
        <xdr:cNvSpPr/>
      </xdr:nvSpPr>
      <xdr:spPr>
        <a:xfrm>
          <a:off x="6980959" y="30003750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0</xdr:colOff>
      <xdr:row>155</xdr:row>
      <xdr:rowOff>180975</xdr:rowOff>
    </xdr:from>
    <xdr:ext cx="142875" cy="381000"/>
    <xdr:sp macro="" textlink="">
      <xdr:nvSpPr>
        <xdr:cNvPr id="641" name="Arrow: Up 296">
          <a:extLst>
            <a:ext uri="{FF2B5EF4-FFF2-40B4-BE49-F238E27FC236}"/>
          </a:extLst>
        </xdr:cNvPr>
        <xdr:cNvSpPr/>
      </xdr:nvSpPr>
      <xdr:spPr>
        <a:xfrm>
          <a:off x="6829425" y="29997256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238125</xdr:colOff>
      <xdr:row>155</xdr:row>
      <xdr:rowOff>133350</xdr:rowOff>
    </xdr:from>
    <xdr:ext cx="142875" cy="390525"/>
    <xdr:sp macro="" textlink="">
      <xdr:nvSpPr>
        <xdr:cNvPr id="642" name="Arrow: Up-Down 285">
          <a:extLst>
            <a:ext uri="{FF2B5EF4-FFF2-40B4-BE49-F238E27FC236}"/>
          </a:extLst>
        </xdr:cNvPr>
        <xdr:cNvSpPr/>
      </xdr:nvSpPr>
      <xdr:spPr>
        <a:xfrm>
          <a:off x="7943850" y="29953961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95250</xdr:colOff>
      <xdr:row>155</xdr:row>
      <xdr:rowOff>133350</xdr:rowOff>
    </xdr:from>
    <xdr:ext cx="142875" cy="390525"/>
    <xdr:sp macro="" textlink="">
      <xdr:nvSpPr>
        <xdr:cNvPr id="643" name="Arrow: Up 296">
          <a:extLst>
            <a:ext uri="{FF2B5EF4-FFF2-40B4-BE49-F238E27FC236}"/>
          </a:extLst>
        </xdr:cNvPr>
        <xdr:cNvSpPr/>
      </xdr:nvSpPr>
      <xdr:spPr>
        <a:xfrm>
          <a:off x="7803140" y="29953961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123825</xdr:colOff>
      <xdr:row>155</xdr:row>
      <xdr:rowOff>142875</xdr:rowOff>
    </xdr:from>
    <xdr:ext cx="142875" cy="390525"/>
    <xdr:sp macro="" textlink="">
      <xdr:nvSpPr>
        <xdr:cNvPr id="644" name="Arrow: Up 913">
          <a:extLst>
            <a:ext uri="{FF2B5EF4-FFF2-40B4-BE49-F238E27FC236}"/>
          </a:extLst>
        </xdr:cNvPr>
        <xdr:cNvSpPr/>
      </xdr:nvSpPr>
      <xdr:spPr>
        <a:xfrm>
          <a:off x="8883362" y="2996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114300</xdr:colOff>
      <xdr:row>155</xdr:row>
      <xdr:rowOff>171450</xdr:rowOff>
    </xdr:from>
    <xdr:ext cx="142875" cy="381000"/>
    <xdr:sp macro="" textlink="">
      <xdr:nvSpPr>
        <xdr:cNvPr id="645" name="Arrow: Up 296">
          <a:extLst>
            <a:ext uri="{FF2B5EF4-FFF2-40B4-BE49-F238E27FC236}"/>
          </a:extLst>
        </xdr:cNvPr>
        <xdr:cNvSpPr/>
      </xdr:nvSpPr>
      <xdr:spPr>
        <a:xfrm>
          <a:off x="9834563" y="29986431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238125</xdr:colOff>
      <xdr:row>155</xdr:row>
      <xdr:rowOff>180975</xdr:rowOff>
    </xdr:from>
    <xdr:ext cx="142875" cy="381000"/>
    <xdr:sp macro="" textlink="">
      <xdr:nvSpPr>
        <xdr:cNvPr id="646" name="Arrow: Up-Down 285">
          <a:extLst>
            <a:ext uri="{FF2B5EF4-FFF2-40B4-BE49-F238E27FC236}"/>
          </a:extLst>
        </xdr:cNvPr>
        <xdr:cNvSpPr/>
      </xdr:nvSpPr>
      <xdr:spPr>
        <a:xfrm>
          <a:off x="10877550" y="29997256"/>
          <a:ext cx="142876" cy="40652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47625</xdr:colOff>
      <xdr:row>155</xdr:row>
      <xdr:rowOff>142875</xdr:rowOff>
    </xdr:from>
    <xdr:ext cx="142875" cy="390525"/>
    <xdr:sp macro="" textlink="">
      <xdr:nvSpPr>
        <xdr:cNvPr id="647" name="Arrow: Up 296">
          <a:extLst>
            <a:ext uri="{FF2B5EF4-FFF2-40B4-BE49-F238E27FC236}"/>
          </a:extLst>
        </xdr:cNvPr>
        <xdr:cNvSpPr/>
      </xdr:nvSpPr>
      <xdr:spPr>
        <a:xfrm>
          <a:off x="10693545" y="29964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133350</xdr:colOff>
      <xdr:row>163</xdr:row>
      <xdr:rowOff>133350</xdr:rowOff>
    </xdr:from>
    <xdr:ext cx="142875" cy="390525"/>
    <xdr:sp macro="" textlink="">
      <xdr:nvSpPr>
        <xdr:cNvPr id="648" name="Arrow: Up 296">
          <a:extLst>
            <a:ext uri="{FF2B5EF4-FFF2-40B4-BE49-F238E27FC236}"/>
          </a:extLst>
        </xdr:cNvPr>
        <xdr:cNvSpPr/>
      </xdr:nvSpPr>
      <xdr:spPr>
        <a:xfrm>
          <a:off x="4284085" y="31477961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38100</xdr:colOff>
      <xdr:row>163</xdr:row>
      <xdr:rowOff>142875</xdr:rowOff>
    </xdr:from>
    <xdr:ext cx="142875" cy="390525"/>
    <xdr:sp macro="" textlink="">
      <xdr:nvSpPr>
        <xdr:cNvPr id="649" name="Arrow: Up 913">
          <a:extLst>
            <a:ext uri="{FF2B5EF4-FFF2-40B4-BE49-F238E27FC236}"/>
          </a:extLst>
        </xdr:cNvPr>
        <xdr:cNvSpPr/>
      </xdr:nvSpPr>
      <xdr:spPr>
        <a:xfrm>
          <a:off x="7749021" y="31488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247650</xdr:colOff>
      <xdr:row>163</xdr:row>
      <xdr:rowOff>142875</xdr:rowOff>
    </xdr:from>
    <xdr:ext cx="142875" cy="390525"/>
    <xdr:sp macro="" textlink="">
      <xdr:nvSpPr>
        <xdr:cNvPr id="650" name="Arrow: Up 296">
          <a:extLst>
            <a:ext uri="{FF2B5EF4-FFF2-40B4-BE49-F238E27FC236}"/>
          </a:extLst>
        </xdr:cNvPr>
        <xdr:cNvSpPr/>
      </xdr:nvSpPr>
      <xdr:spPr>
        <a:xfrm>
          <a:off x="7954673" y="31488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28575</xdr:colOff>
      <xdr:row>163</xdr:row>
      <xdr:rowOff>142875</xdr:rowOff>
    </xdr:from>
    <xdr:ext cx="142875" cy="390525"/>
    <xdr:sp macro="" textlink="">
      <xdr:nvSpPr>
        <xdr:cNvPr id="651" name="Arrow: Up 913">
          <a:extLst>
            <a:ext uri="{FF2B5EF4-FFF2-40B4-BE49-F238E27FC236}"/>
          </a:extLst>
        </xdr:cNvPr>
        <xdr:cNvSpPr/>
      </xdr:nvSpPr>
      <xdr:spPr>
        <a:xfrm>
          <a:off x="12653097" y="31488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238125</xdr:colOff>
      <xdr:row>163</xdr:row>
      <xdr:rowOff>142875</xdr:rowOff>
    </xdr:from>
    <xdr:ext cx="142875" cy="390525"/>
    <xdr:sp macro="" textlink="">
      <xdr:nvSpPr>
        <xdr:cNvPr id="652" name="Arrow: Up 296">
          <a:extLst>
            <a:ext uri="{FF2B5EF4-FFF2-40B4-BE49-F238E27FC236}"/>
          </a:extLst>
        </xdr:cNvPr>
        <xdr:cNvSpPr/>
      </xdr:nvSpPr>
      <xdr:spPr>
        <a:xfrm>
          <a:off x="12858750" y="31488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133350</xdr:colOff>
      <xdr:row>171</xdr:row>
      <xdr:rowOff>133350</xdr:rowOff>
    </xdr:from>
    <xdr:ext cx="142875" cy="390525"/>
    <xdr:sp macro="" textlink="">
      <xdr:nvSpPr>
        <xdr:cNvPr id="653" name="Arrow: Up 296">
          <a:extLst>
            <a:ext uri="{FF2B5EF4-FFF2-40B4-BE49-F238E27FC236}"/>
          </a:extLst>
        </xdr:cNvPr>
        <xdr:cNvSpPr/>
      </xdr:nvSpPr>
      <xdr:spPr>
        <a:xfrm>
          <a:off x="1283710" y="33001959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19050</xdr:colOff>
      <xdr:row>171</xdr:row>
      <xdr:rowOff>161925</xdr:rowOff>
    </xdr:from>
    <xdr:ext cx="142875" cy="390525"/>
    <xdr:sp macro="" textlink="">
      <xdr:nvSpPr>
        <xdr:cNvPr id="654" name="Arrow: Up 1075">
          <a:extLst>
            <a:ext uri="{FF2B5EF4-FFF2-40B4-BE49-F238E27FC236}"/>
          </a:extLst>
        </xdr:cNvPr>
        <xdr:cNvSpPr/>
      </xdr:nvSpPr>
      <xdr:spPr>
        <a:xfrm>
          <a:off x="5069897" y="33023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171450</xdr:colOff>
      <xdr:row>171</xdr:row>
      <xdr:rowOff>171450</xdr:rowOff>
    </xdr:from>
    <xdr:ext cx="142875" cy="381000"/>
    <xdr:sp macro="" textlink="">
      <xdr:nvSpPr>
        <xdr:cNvPr id="655" name="Arrow: Up 296">
          <a:extLst>
            <a:ext uri="{FF2B5EF4-FFF2-40B4-BE49-F238E27FC236}"/>
          </a:extLst>
        </xdr:cNvPr>
        <xdr:cNvSpPr/>
      </xdr:nvSpPr>
      <xdr:spPr>
        <a:xfrm>
          <a:off x="5221432" y="33034432"/>
          <a:ext cx="142875" cy="406909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104775</xdr:colOff>
      <xdr:row>171</xdr:row>
      <xdr:rowOff>142875</xdr:rowOff>
    </xdr:from>
    <xdr:ext cx="142875" cy="390525"/>
    <xdr:sp macro="" textlink="">
      <xdr:nvSpPr>
        <xdr:cNvPr id="656" name="Arrow: Up 296">
          <a:extLst>
            <a:ext uri="{FF2B5EF4-FFF2-40B4-BE49-F238E27FC236}"/>
          </a:extLst>
        </xdr:cNvPr>
        <xdr:cNvSpPr/>
      </xdr:nvSpPr>
      <xdr:spPr>
        <a:xfrm>
          <a:off x="6937664" y="33012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95250</xdr:colOff>
      <xdr:row>171</xdr:row>
      <xdr:rowOff>142875</xdr:rowOff>
    </xdr:from>
    <xdr:ext cx="142875" cy="390525"/>
    <xdr:sp macro="" textlink="">
      <xdr:nvSpPr>
        <xdr:cNvPr id="657" name="Arrow: Up 296">
          <a:extLst>
            <a:ext uri="{FF2B5EF4-FFF2-40B4-BE49-F238E27FC236}"/>
          </a:extLst>
        </xdr:cNvPr>
        <xdr:cNvSpPr/>
      </xdr:nvSpPr>
      <xdr:spPr>
        <a:xfrm>
          <a:off x="7803140" y="33012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133350</xdr:colOff>
      <xdr:row>171</xdr:row>
      <xdr:rowOff>161925</xdr:rowOff>
    </xdr:from>
    <xdr:ext cx="123825" cy="390525"/>
    <xdr:sp macro="" textlink="">
      <xdr:nvSpPr>
        <xdr:cNvPr id="658" name="Arrow: Up 296">
          <a:extLst>
            <a:ext uri="{FF2B5EF4-FFF2-40B4-BE49-F238E27FC236}"/>
          </a:extLst>
        </xdr:cNvPr>
        <xdr:cNvSpPr/>
      </xdr:nvSpPr>
      <xdr:spPr>
        <a:xfrm>
          <a:off x="8894187" y="33023607"/>
          <a:ext cx="129886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123825</xdr:colOff>
      <xdr:row>171</xdr:row>
      <xdr:rowOff>133350</xdr:rowOff>
    </xdr:from>
    <xdr:ext cx="142875" cy="390525"/>
    <xdr:sp macro="" textlink="">
      <xdr:nvSpPr>
        <xdr:cNvPr id="659" name="Arrow: Up 296">
          <a:extLst>
            <a:ext uri="{FF2B5EF4-FFF2-40B4-BE49-F238E27FC236}"/>
          </a:extLst>
        </xdr:cNvPr>
        <xdr:cNvSpPr/>
      </xdr:nvSpPr>
      <xdr:spPr>
        <a:xfrm>
          <a:off x="9845387" y="33001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114300</xdr:colOff>
      <xdr:row>171</xdr:row>
      <xdr:rowOff>133350</xdr:rowOff>
    </xdr:from>
    <xdr:ext cx="142875" cy="390525"/>
    <xdr:sp macro="" textlink="">
      <xdr:nvSpPr>
        <xdr:cNvPr id="660" name="Arrow: Up 296">
          <a:extLst>
            <a:ext uri="{FF2B5EF4-FFF2-40B4-BE49-F238E27FC236}"/>
          </a:extLst>
        </xdr:cNvPr>
        <xdr:cNvSpPr/>
      </xdr:nvSpPr>
      <xdr:spPr>
        <a:xfrm>
          <a:off x="10758488" y="33001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85725</xdr:colOff>
      <xdr:row>171</xdr:row>
      <xdr:rowOff>161925</xdr:rowOff>
    </xdr:from>
    <xdr:ext cx="142875" cy="390525"/>
    <xdr:sp macro="" textlink="">
      <xdr:nvSpPr>
        <xdr:cNvPr id="661" name="Arrow: Up 296">
          <a:extLst>
            <a:ext uri="{FF2B5EF4-FFF2-40B4-BE49-F238E27FC236}"/>
          </a:extLst>
        </xdr:cNvPr>
        <xdr:cNvSpPr/>
      </xdr:nvSpPr>
      <xdr:spPr>
        <a:xfrm>
          <a:off x="11821390" y="33023607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123825</xdr:colOff>
      <xdr:row>171</xdr:row>
      <xdr:rowOff>161925</xdr:rowOff>
    </xdr:from>
    <xdr:ext cx="142875" cy="390525"/>
    <xdr:sp macro="" textlink="">
      <xdr:nvSpPr>
        <xdr:cNvPr id="662" name="Arrow: Up 296">
          <a:extLst>
            <a:ext uri="{FF2B5EF4-FFF2-40B4-BE49-F238E27FC236}"/>
          </a:extLst>
        </xdr:cNvPr>
        <xdr:cNvSpPr/>
      </xdr:nvSpPr>
      <xdr:spPr>
        <a:xfrm>
          <a:off x="12750511" y="33023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123825</xdr:colOff>
      <xdr:row>83</xdr:row>
      <xdr:rowOff>161925</xdr:rowOff>
    </xdr:from>
    <xdr:ext cx="142875" cy="390525"/>
    <xdr:sp macro="" textlink="">
      <xdr:nvSpPr>
        <xdr:cNvPr id="663" name="Arrow: Up 281">
          <a:extLst>
            <a:ext uri="{FF2B5EF4-FFF2-40B4-BE49-F238E27FC236}"/>
          </a:extLst>
        </xdr:cNvPr>
        <xdr:cNvSpPr/>
      </xdr:nvSpPr>
      <xdr:spPr>
        <a:xfrm>
          <a:off x="7835612" y="16259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19050</xdr:colOff>
      <xdr:row>28</xdr:row>
      <xdr:rowOff>47625</xdr:rowOff>
    </xdr:from>
    <xdr:ext cx="295275" cy="361950"/>
    <xdr:sp macro="" textlink="">
      <xdr:nvSpPr>
        <xdr:cNvPr id="664" name="Lightning Bolt 663">
          <a:extLst>
            <a:ext uri="{FF2B5EF4-FFF2-40B4-BE49-F238E27FC236}"/>
          </a:extLst>
        </xdr:cNvPr>
        <xdr:cNvSpPr/>
      </xdr:nvSpPr>
      <xdr:spPr>
        <a:xfrm rot="2857557">
          <a:off x="6818763" y="5705374"/>
          <a:ext cx="369936" cy="296429"/>
        </a:xfrm>
        <a:prstGeom prst="lightningBolt">
          <a:avLst/>
        </a:prstGeom>
        <a:solidFill>
          <a:srgbClr val="FF0000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219075</xdr:colOff>
      <xdr:row>68</xdr:row>
      <xdr:rowOff>38100</xdr:rowOff>
    </xdr:from>
    <xdr:ext cx="323850" cy="323850"/>
    <xdr:sp macro="" textlink="">
      <xdr:nvSpPr>
        <xdr:cNvPr id="665" name="Lightning Bolt 664">
          <a:extLst>
            <a:ext uri="{FF2B5EF4-FFF2-40B4-BE49-F238E27FC236}"/>
          </a:extLst>
        </xdr:cNvPr>
        <xdr:cNvSpPr/>
      </xdr:nvSpPr>
      <xdr:spPr>
        <a:xfrm rot="2857557">
          <a:off x="7926285" y="13286934"/>
          <a:ext cx="333479" cy="322050"/>
        </a:xfrm>
        <a:prstGeom prst="lightningBolt">
          <a:avLst/>
        </a:prstGeom>
        <a:solidFill>
          <a:srgbClr val="FF99FF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142875</xdr:colOff>
      <xdr:row>76</xdr:row>
      <xdr:rowOff>19050</xdr:rowOff>
    </xdr:from>
    <xdr:ext cx="276225" cy="361950"/>
    <xdr:sp macro="" textlink="">
      <xdr:nvSpPr>
        <xdr:cNvPr id="666" name="Lightning Bolt 665">
          <a:extLst>
            <a:ext uri="{FF2B5EF4-FFF2-40B4-BE49-F238E27FC236}"/>
          </a:extLst>
        </xdr:cNvPr>
        <xdr:cNvSpPr/>
      </xdr:nvSpPr>
      <xdr:spPr>
        <a:xfrm rot="2857557">
          <a:off x="6013754" y="14835451"/>
          <a:ext cx="367028" cy="275291"/>
        </a:xfrm>
        <a:prstGeom prst="lightningBolt">
          <a:avLst/>
        </a:prstGeom>
        <a:solidFill>
          <a:srgbClr val="FF99FF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19050</xdr:colOff>
      <xdr:row>91</xdr:row>
      <xdr:rowOff>133350</xdr:rowOff>
    </xdr:from>
    <xdr:ext cx="381000" cy="466725"/>
    <xdr:sp macro="" textlink="">
      <xdr:nvSpPr>
        <xdr:cNvPr id="667" name="Lightning Bolt 666">
          <a:extLst>
            <a:ext uri="{FF2B5EF4-FFF2-40B4-BE49-F238E27FC236}"/>
          </a:extLst>
        </xdr:cNvPr>
        <xdr:cNvSpPr/>
      </xdr:nvSpPr>
      <xdr:spPr>
        <a:xfrm rot="2857557">
          <a:off x="8730672" y="17811051"/>
          <a:ext cx="486530" cy="387293"/>
        </a:xfrm>
        <a:prstGeom prst="lightningBolt">
          <a:avLst/>
        </a:prstGeom>
        <a:solidFill>
          <a:srgbClr val="FF99FF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66675</xdr:colOff>
      <xdr:row>139</xdr:row>
      <xdr:rowOff>38100</xdr:rowOff>
    </xdr:from>
    <xdr:ext cx="266700" cy="428625"/>
    <xdr:sp macro="" textlink="">
      <xdr:nvSpPr>
        <xdr:cNvPr id="668" name="Lightning Bolt 667">
          <a:extLst>
            <a:ext uri="{FF2B5EF4-FFF2-40B4-BE49-F238E27FC236}"/>
          </a:extLst>
        </xdr:cNvPr>
        <xdr:cNvSpPr/>
      </xdr:nvSpPr>
      <xdr:spPr>
        <a:xfrm rot="2857557">
          <a:off x="8735463" y="26900988"/>
          <a:ext cx="455088" cy="273126"/>
        </a:xfrm>
        <a:prstGeom prst="lightningBolt">
          <a:avLst/>
        </a:prstGeom>
        <a:solidFill>
          <a:srgbClr val="FF99FF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133350</xdr:colOff>
      <xdr:row>148</xdr:row>
      <xdr:rowOff>9525</xdr:rowOff>
    </xdr:from>
    <xdr:ext cx="276225" cy="352425"/>
    <xdr:sp macro="" textlink="">
      <xdr:nvSpPr>
        <xdr:cNvPr id="669" name="Lightning Bolt 668">
          <a:extLst>
            <a:ext uri="{FF2B5EF4-FFF2-40B4-BE49-F238E27FC236}"/>
          </a:extLst>
        </xdr:cNvPr>
        <xdr:cNvSpPr/>
      </xdr:nvSpPr>
      <xdr:spPr>
        <a:xfrm rot="2857557">
          <a:off x="6007704" y="28538608"/>
          <a:ext cx="371357" cy="275291"/>
        </a:xfrm>
        <a:prstGeom prst="lightningBolt">
          <a:avLst/>
        </a:prstGeom>
        <a:solidFill>
          <a:srgbClr val="FF99FF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0</xdr:colOff>
      <xdr:row>200</xdr:row>
      <xdr:rowOff>104775</xdr:rowOff>
    </xdr:from>
    <xdr:ext cx="266700" cy="171450"/>
    <xdr:sp macro="" textlink="">
      <xdr:nvSpPr>
        <xdr:cNvPr id="737" name="Lightning Bolt 736">
          <a:extLst>
            <a:ext uri="{FF2B5EF4-FFF2-40B4-BE49-F238E27FC236}"/>
          </a:extLst>
        </xdr:cNvPr>
        <xdr:cNvSpPr/>
      </xdr:nvSpPr>
      <xdr:spPr>
        <a:xfrm rot="2857557">
          <a:off x="5104557" y="38511233"/>
          <a:ext cx="176380" cy="273126"/>
        </a:xfrm>
        <a:prstGeom prst="lightningBolt">
          <a:avLst/>
        </a:prstGeom>
        <a:solidFill>
          <a:srgbClr val="00B0F0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314325</xdr:colOff>
      <xdr:row>84</xdr:row>
      <xdr:rowOff>19050</xdr:rowOff>
    </xdr:from>
    <xdr:ext cx="266700" cy="371475"/>
    <xdr:sp macro="" textlink="">
      <xdr:nvSpPr>
        <xdr:cNvPr id="738" name="Lightning Bolt 737">
          <a:extLst>
            <a:ext uri="{FF2B5EF4-FFF2-40B4-BE49-F238E27FC236}"/>
          </a:extLst>
        </xdr:cNvPr>
        <xdr:cNvSpPr/>
      </xdr:nvSpPr>
      <xdr:spPr>
        <a:xfrm rot="2857557">
          <a:off x="7925798" y="16414544"/>
          <a:ext cx="399714" cy="196926"/>
        </a:xfrm>
        <a:prstGeom prst="lightningBolt">
          <a:avLst/>
        </a:prstGeom>
        <a:solidFill>
          <a:srgbClr val="00B0F0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219075</xdr:colOff>
      <xdr:row>115</xdr:row>
      <xdr:rowOff>180975</xdr:rowOff>
    </xdr:from>
    <xdr:ext cx="276225" cy="371475"/>
    <xdr:sp macro="" textlink="">
      <xdr:nvSpPr>
        <xdr:cNvPr id="739" name="Lightning Bolt 738">
          <a:extLst>
            <a:ext uri="{FF2B5EF4-FFF2-40B4-BE49-F238E27FC236}"/>
          </a:extLst>
        </xdr:cNvPr>
        <xdr:cNvSpPr/>
      </xdr:nvSpPr>
      <xdr:spPr>
        <a:xfrm rot="2857557">
          <a:off x="2243272" y="22437733"/>
          <a:ext cx="395384" cy="274425"/>
        </a:xfrm>
        <a:prstGeom prst="lightningBolt">
          <a:avLst/>
        </a:prstGeom>
        <a:solidFill>
          <a:srgbClr val="00B0F0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342900</xdr:colOff>
      <xdr:row>155</xdr:row>
      <xdr:rowOff>180975</xdr:rowOff>
    </xdr:from>
    <xdr:ext cx="276225" cy="371475"/>
    <xdr:sp macro="" textlink="">
      <xdr:nvSpPr>
        <xdr:cNvPr id="740" name="Lightning Bolt 739">
          <a:extLst>
            <a:ext uri="{FF2B5EF4-FFF2-40B4-BE49-F238E27FC236}"/>
          </a:extLst>
        </xdr:cNvPr>
        <xdr:cNvSpPr/>
      </xdr:nvSpPr>
      <xdr:spPr>
        <a:xfrm rot="2857557">
          <a:off x="10923577" y="30059467"/>
          <a:ext cx="395384" cy="270961"/>
        </a:xfrm>
        <a:prstGeom prst="lightningBolt">
          <a:avLst/>
        </a:prstGeom>
        <a:solidFill>
          <a:srgbClr val="00B0F0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219075</xdr:colOff>
      <xdr:row>76</xdr:row>
      <xdr:rowOff>38100</xdr:rowOff>
    </xdr:from>
    <xdr:ext cx="190500" cy="333375"/>
    <xdr:sp macro="" textlink="">
      <xdr:nvSpPr>
        <xdr:cNvPr id="794" name="Lightning Bolt 793">
          <a:extLst>
            <a:ext uri="{FF2B5EF4-FFF2-40B4-BE49-F238E27FC236}"/>
          </a:extLst>
        </xdr:cNvPr>
        <xdr:cNvSpPr/>
      </xdr:nvSpPr>
      <xdr:spPr>
        <a:xfrm rot="2857557">
          <a:off x="6068910" y="14877609"/>
          <a:ext cx="333479" cy="188700"/>
        </a:xfrm>
        <a:prstGeom prst="lightningBolt">
          <a:avLst/>
        </a:prstGeom>
        <a:solidFill>
          <a:srgbClr val="FF99FF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37</xdr:col>
      <xdr:colOff>0</xdr:colOff>
      <xdr:row>50</xdr:row>
      <xdr:rowOff>9525</xdr:rowOff>
    </xdr:from>
    <xdr:ext cx="514350" cy="361950"/>
    <xdr:sp macro="" textlink="">
      <xdr:nvSpPr>
        <xdr:cNvPr id="796" name="Isosceles Triangle 795">
          <a:extLst>
            <a:ext uri="{FF2B5EF4-FFF2-40B4-BE49-F238E27FC236}"/>
          </a:extLst>
        </xdr:cNvPr>
        <xdr:cNvSpPr/>
      </xdr:nvSpPr>
      <xdr:spPr>
        <a:xfrm>
          <a:off x="12115800" y="9821453"/>
          <a:ext cx="516441" cy="37153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18</xdr:row>
      <xdr:rowOff>0</xdr:rowOff>
    </xdr:from>
    <xdr:ext cx="514350" cy="361950"/>
    <xdr:sp macro="" textlink="">
      <xdr:nvSpPr>
        <xdr:cNvPr id="797" name="Isosceles Triangle 796">
          <a:extLst>
            <a:ext uri="{FF2B5EF4-FFF2-40B4-BE49-F238E27FC236}"/>
          </a:extLst>
        </xdr:cNvPr>
        <xdr:cNvSpPr/>
      </xdr:nvSpPr>
      <xdr:spPr>
        <a:xfrm>
          <a:off x="7172325" y="3714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34</xdr:row>
      <xdr:rowOff>0</xdr:rowOff>
    </xdr:from>
    <xdr:ext cx="514350" cy="361950"/>
    <xdr:sp macro="" textlink="">
      <xdr:nvSpPr>
        <xdr:cNvPr id="798" name="Isosceles Triangle 797">
          <a:extLst>
            <a:ext uri="{FF2B5EF4-FFF2-40B4-BE49-F238E27FC236}"/>
          </a:extLst>
        </xdr:cNvPr>
        <xdr:cNvSpPr/>
      </xdr:nvSpPr>
      <xdr:spPr>
        <a:xfrm>
          <a:off x="3609975" y="6762750"/>
          <a:ext cx="523142" cy="373674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39</xdr:col>
      <xdr:colOff>485775</xdr:colOff>
      <xdr:row>26</xdr:row>
      <xdr:rowOff>0</xdr:rowOff>
    </xdr:from>
    <xdr:ext cx="523875" cy="361950"/>
    <xdr:sp macro="" textlink="">
      <xdr:nvSpPr>
        <xdr:cNvPr id="799" name="Isosceles Triangle 798">
          <a:extLst>
            <a:ext uri="{FF2B5EF4-FFF2-40B4-BE49-F238E27FC236}"/>
          </a:extLst>
        </xdr:cNvPr>
        <xdr:cNvSpPr/>
      </xdr:nvSpPr>
      <xdr:spPr>
        <a:xfrm>
          <a:off x="13108490" y="5238750"/>
          <a:ext cx="609601" cy="373674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9525</xdr:colOff>
      <xdr:row>2</xdr:row>
      <xdr:rowOff>0</xdr:rowOff>
    </xdr:from>
    <xdr:ext cx="514350" cy="361950"/>
    <xdr:sp macro="" textlink="">
      <xdr:nvSpPr>
        <xdr:cNvPr id="800" name="Isosceles Triangle 799">
          <a:extLst>
            <a:ext uri="{FF2B5EF4-FFF2-40B4-BE49-F238E27FC236}"/>
          </a:extLst>
        </xdr:cNvPr>
        <xdr:cNvSpPr/>
      </xdr:nvSpPr>
      <xdr:spPr>
        <a:xfrm>
          <a:off x="7184695" y="66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b="1" lang="en-IN"/>
        </a:p>
      </xdr:txBody>
    </xdr:sp>
    <xdr:clientData fLocksWithSheet="0"/>
  </xdr:oneCellAnchor>
  <xdr:oneCellAnchor>
    <xdr:from>
      <xdr:col>19</xdr:col>
      <xdr:colOff>9525</xdr:colOff>
      <xdr:row>2</xdr:row>
      <xdr:rowOff>19050</xdr:rowOff>
    </xdr:from>
    <xdr:ext cx="533400" cy="352425"/>
    <xdr:sp macro="" textlink="">
      <xdr:nvSpPr>
        <xdr:cNvPr id="801" name="Isosceles Triangle 800">
          <a:extLst>
            <a:ext uri="{FF2B5EF4-FFF2-40B4-BE49-F238E27FC236}"/>
          </a:extLst>
        </xdr:cNvPr>
        <xdr:cNvSpPr/>
      </xdr:nvSpPr>
      <xdr:spPr>
        <a:xfrm>
          <a:off x="6306608" y="687917"/>
          <a:ext cx="525258" cy="363090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2</xdr:row>
      <xdr:rowOff>28575</xdr:rowOff>
    </xdr:from>
    <xdr:ext cx="495300" cy="352425"/>
    <xdr:sp macro="" textlink="">
      <xdr:nvSpPr>
        <xdr:cNvPr id="802" name="Isosceles Triangle 801">
          <a:extLst>
            <a:ext uri="{FF2B5EF4-FFF2-40B4-BE49-F238E27FC236}"/>
          </a:extLst>
        </xdr:cNvPr>
        <xdr:cNvSpPr/>
      </xdr:nvSpPr>
      <xdr:spPr>
        <a:xfrm>
          <a:off x="9210675" y="698500"/>
          <a:ext cx="504092" cy="363090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2</xdr:row>
      <xdr:rowOff>19050</xdr:rowOff>
    </xdr:from>
    <xdr:ext cx="514350" cy="352425"/>
    <xdr:sp macro="" textlink="">
      <xdr:nvSpPr>
        <xdr:cNvPr id="803" name="Isosceles Triangle 802">
          <a:extLst>
            <a:ext uri="{FF2B5EF4-FFF2-40B4-BE49-F238E27FC236}"/>
          </a:extLst>
        </xdr:cNvPr>
        <xdr:cNvSpPr/>
      </xdr:nvSpPr>
      <xdr:spPr>
        <a:xfrm>
          <a:off x="10494818" y="679258"/>
          <a:ext cx="533533" cy="351544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2</xdr:row>
      <xdr:rowOff>28575</xdr:rowOff>
    </xdr:from>
    <xdr:ext cx="514350" cy="352425"/>
    <xdr:sp macro="" textlink="">
      <xdr:nvSpPr>
        <xdr:cNvPr id="804" name="Isosceles Triangle 803">
          <a:extLst>
            <a:ext uri="{FF2B5EF4-FFF2-40B4-BE49-F238E27FC236}"/>
          </a:extLst>
        </xdr:cNvPr>
        <xdr:cNvSpPr/>
      </xdr:nvSpPr>
      <xdr:spPr>
        <a:xfrm>
          <a:off x="11820071" y="684893"/>
          <a:ext cx="537657" cy="344947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2</xdr:row>
      <xdr:rowOff>19050</xdr:rowOff>
    </xdr:from>
    <xdr:ext cx="495300" cy="352425"/>
    <xdr:sp macro="" textlink="">
      <xdr:nvSpPr>
        <xdr:cNvPr id="805" name="Isosceles Triangle 804">
          <a:extLst>
            <a:ext uri="{FF2B5EF4-FFF2-40B4-BE49-F238E27FC236}"/>
          </a:extLst>
        </xdr:cNvPr>
        <xdr:cNvSpPr/>
      </xdr:nvSpPr>
      <xdr:spPr>
        <a:xfrm>
          <a:off x="12115800" y="686594"/>
          <a:ext cx="504092" cy="363090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10</xdr:row>
      <xdr:rowOff>0</xdr:rowOff>
    </xdr:from>
    <xdr:ext cx="514350" cy="361950"/>
    <xdr:sp macro="" textlink="">
      <xdr:nvSpPr>
        <xdr:cNvPr id="806" name="Isosceles Triangle 805">
          <a:extLst>
            <a:ext uri="{FF2B5EF4-FFF2-40B4-BE49-F238E27FC236}"/>
          </a:extLst>
        </xdr:cNvPr>
        <xdr:cNvSpPr/>
      </xdr:nvSpPr>
      <xdr:spPr>
        <a:xfrm>
          <a:off x="11210925" y="219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10</xdr:row>
      <xdr:rowOff>0</xdr:rowOff>
    </xdr:from>
    <xdr:ext cx="514350" cy="361950"/>
    <xdr:sp macro="" textlink="">
      <xdr:nvSpPr>
        <xdr:cNvPr id="807" name="Isosceles Triangle 806">
          <a:extLst>
            <a:ext uri="{FF2B5EF4-FFF2-40B4-BE49-F238E27FC236}"/>
          </a:extLst>
        </xdr:cNvPr>
        <xdr:cNvSpPr/>
      </xdr:nvSpPr>
      <xdr:spPr>
        <a:xfrm>
          <a:off x="10125075" y="2190750"/>
          <a:ext cx="5136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10</xdr:row>
      <xdr:rowOff>9525</xdr:rowOff>
    </xdr:from>
    <xdr:ext cx="514350" cy="361950"/>
    <xdr:sp macro="" textlink="">
      <xdr:nvSpPr>
        <xdr:cNvPr id="808" name="Isosceles Triangle 807">
          <a:extLst>
            <a:ext uri="{FF2B5EF4-FFF2-40B4-BE49-F238E27FC236}"/>
          </a:extLst>
        </xdr:cNvPr>
        <xdr:cNvSpPr/>
      </xdr:nvSpPr>
      <xdr:spPr>
        <a:xfrm>
          <a:off x="8220075" y="2201574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10</xdr:row>
      <xdr:rowOff>0</xdr:rowOff>
    </xdr:from>
    <xdr:ext cx="514350" cy="361950"/>
    <xdr:sp macro="" textlink="">
      <xdr:nvSpPr>
        <xdr:cNvPr id="809" name="Isosceles Triangle 808">
          <a:extLst>
            <a:ext uri="{FF2B5EF4-FFF2-40B4-BE49-F238E27FC236}"/>
          </a:extLst>
        </xdr:cNvPr>
        <xdr:cNvSpPr/>
      </xdr:nvSpPr>
      <xdr:spPr>
        <a:xfrm>
          <a:off x="7172325" y="219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10</xdr:row>
      <xdr:rowOff>0</xdr:rowOff>
    </xdr:from>
    <xdr:ext cx="514350" cy="361950"/>
    <xdr:sp macro="" textlink="">
      <xdr:nvSpPr>
        <xdr:cNvPr id="810" name="Isosceles Triangle 809">
          <a:extLst>
            <a:ext uri="{FF2B5EF4-FFF2-40B4-BE49-F238E27FC236}"/>
          </a:extLst>
        </xdr:cNvPr>
        <xdr:cNvSpPr/>
      </xdr:nvSpPr>
      <xdr:spPr>
        <a:xfrm>
          <a:off x="6296025" y="219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10</xdr:row>
      <xdr:rowOff>0</xdr:rowOff>
    </xdr:from>
    <xdr:ext cx="514350" cy="361950"/>
    <xdr:sp macro="" textlink="">
      <xdr:nvSpPr>
        <xdr:cNvPr id="811" name="Isosceles Triangle 810">
          <a:extLst>
            <a:ext uri="{FF2B5EF4-FFF2-40B4-BE49-F238E27FC236}"/>
          </a:extLst>
        </xdr:cNvPr>
        <xdr:cNvSpPr/>
      </xdr:nvSpPr>
      <xdr:spPr>
        <a:xfrm>
          <a:off x="4514850" y="219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18</xdr:row>
      <xdr:rowOff>0</xdr:rowOff>
    </xdr:from>
    <xdr:ext cx="514350" cy="361950"/>
    <xdr:sp macro="" textlink="">
      <xdr:nvSpPr>
        <xdr:cNvPr id="812" name="Isosceles Triangle 811">
          <a:extLst>
            <a:ext uri="{FF2B5EF4-FFF2-40B4-BE49-F238E27FC236}"/>
          </a:extLst>
        </xdr:cNvPr>
        <xdr:cNvSpPr/>
      </xdr:nvSpPr>
      <xdr:spPr>
        <a:xfrm>
          <a:off x="6296025" y="3714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18</xdr:row>
      <xdr:rowOff>0</xdr:rowOff>
    </xdr:from>
    <xdr:ext cx="495300" cy="361950"/>
    <xdr:sp macro="" textlink="">
      <xdr:nvSpPr>
        <xdr:cNvPr id="813" name="Isosceles Triangle 812">
          <a:extLst>
            <a:ext uri="{FF2B5EF4-FFF2-40B4-BE49-F238E27FC236}"/>
          </a:extLst>
        </xdr:cNvPr>
        <xdr:cNvSpPr/>
      </xdr:nvSpPr>
      <xdr:spPr>
        <a:xfrm>
          <a:off x="9210675" y="3714750"/>
          <a:ext cx="50409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10</xdr:row>
      <xdr:rowOff>0</xdr:rowOff>
    </xdr:from>
    <xdr:ext cx="514350" cy="361950"/>
    <xdr:sp macro="" textlink="">
      <xdr:nvSpPr>
        <xdr:cNvPr id="814" name="Isosceles Triangle 813">
          <a:extLst>
            <a:ext uri="{FF2B5EF4-FFF2-40B4-BE49-F238E27FC236}"/>
          </a:extLst>
        </xdr:cNvPr>
        <xdr:cNvSpPr/>
      </xdr:nvSpPr>
      <xdr:spPr>
        <a:xfrm>
          <a:off x="2543175" y="219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10</xdr:row>
      <xdr:rowOff>0</xdr:rowOff>
    </xdr:from>
    <xdr:ext cx="514350" cy="361950"/>
    <xdr:sp macro="" textlink="">
      <xdr:nvSpPr>
        <xdr:cNvPr id="815" name="Isosceles Triangle 814">
          <a:extLst>
            <a:ext uri="{FF2B5EF4-FFF2-40B4-BE49-F238E27FC236}"/>
          </a:extLst>
        </xdr:cNvPr>
        <xdr:cNvSpPr/>
      </xdr:nvSpPr>
      <xdr:spPr>
        <a:xfrm>
          <a:off x="609600" y="2190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26</xdr:row>
      <xdr:rowOff>0</xdr:rowOff>
    </xdr:from>
    <xdr:ext cx="533400" cy="361950"/>
    <xdr:sp macro="" textlink="">
      <xdr:nvSpPr>
        <xdr:cNvPr id="816" name="Isosceles Triangle 815">
          <a:extLst>
            <a:ext uri="{FF2B5EF4-FFF2-40B4-BE49-F238E27FC236}"/>
          </a:extLst>
        </xdr:cNvPr>
        <xdr:cNvSpPr/>
      </xdr:nvSpPr>
      <xdr:spPr>
        <a:xfrm>
          <a:off x="1552575" y="5238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26</xdr:row>
      <xdr:rowOff>0</xdr:rowOff>
    </xdr:from>
    <xdr:ext cx="514350" cy="361950"/>
    <xdr:sp macro="" textlink="">
      <xdr:nvSpPr>
        <xdr:cNvPr id="817" name="Isosceles Triangle 816">
          <a:extLst>
            <a:ext uri="{FF2B5EF4-FFF2-40B4-BE49-F238E27FC236}"/>
          </a:extLst>
        </xdr:cNvPr>
        <xdr:cNvSpPr/>
      </xdr:nvSpPr>
      <xdr:spPr>
        <a:xfrm>
          <a:off x="2543175" y="523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9525</xdr:colOff>
      <xdr:row>25</xdr:row>
      <xdr:rowOff>190500</xdr:rowOff>
    </xdr:from>
    <xdr:ext cx="514350" cy="352425"/>
    <xdr:sp macro="" textlink="">
      <xdr:nvSpPr>
        <xdr:cNvPr id="818" name="Isosceles Triangle 817">
          <a:extLst>
            <a:ext uri="{FF2B5EF4-FFF2-40B4-BE49-F238E27FC236}"/>
          </a:extLst>
        </xdr:cNvPr>
        <xdr:cNvSpPr/>
      </xdr:nvSpPr>
      <xdr:spPr>
        <a:xfrm>
          <a:off x="4526189" y="5241016"/>
          <a:ext cx="523142" cy="371407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26</xdr:row>
      <xdr:rowOff>0</xdr:rowOff>
    </xdr:from>
    <xdr:ext cx="514350" cy="361950"/>
    <xdr:sp macro="" textlink="">
      <xdr:nvSpPr>
        <xdr:cNvPr id="819" name="Isosceles Triangle 818">
          <a:extLst>
            <a:ext uri="{FF2B5EF4-FFF2-40B4-BE49-F238E27FC236}"/>
          </a:extLst>
        </xdr:cNvPr>
        <xdr:cNvSpPr/>
      </xdr:nvSpPr>
      <xdr:spPr>
        <a:xfrm>
          <a:off x="6296025" y="523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26</xdr:row>
      <xdr:rowOff>0</xdr:rowOff>
    </xdr:from>
    <xdr:ext cx="514350" cy="361950"/>
    <xdr:sp macro="" textlink="">
      <xdr:nvSpPr>
        <xdr:cNvPr id="820" name="Isosceles Triangle 819">
          <a:extLst>
            <a:ext uri="{FF2B5EF4-FFF2-40B4-BE49-F238E27FC236}"/>
          </a:extLst>
        </xdr:cNvPr>
        <xdr:cNvSpPr/>
      </xdr:nvSpPr>
      <xdr:spPr>
        <a:xfrm>
          <a:off x="7172325" y="523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26</xdr:row>
      <xdr:rowOff>0</xdr:rowOff>
    </xdr:from>
    <xdr:ext cx="514350" cy="361950"/>
    <xdr:sp macro="" textlink="">
      <xdr:nvSpPr>
        <xdr:cNvPr id="821" name="Isosceles Triangle 820">
          <a:extLst>
            <a:ext uri="{FF2B5EF4-FFF2-40B4-BE49-F238E27FC236}"/>
          </a:extLst>
        </xdr:cNvPr>
        <xdr:cNvSpPr/>
      </xdr:nvSpPr>
      <xdr:spPr>
        <a:xfrm>
          <a:off x="11210925" y="5238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26</xdr:row>
      <xdr:rowOff>0</xdr:rowOff>
    </xdr:from>
    <xdr:ext cx="514350" cy="361950"/>
    <xdr:sp macro="" textlink="">
      <xdr:nvSpPr>
        <xdr:cNvPr id="822" name="Isosceles Triangle 821">
          <a:extLst>
            <a:ext uri="{FF2B5EF4-FFF2-40B4-BE49-F238E27FC236}"/>
          </a:extLst>
        </xdr:cNvPr>
        <xdr:cNvSpPr/>
      </xdr:nvSpPr>
      <xdr:spPr>
        <a:xfrm>
          <a:off x="12115800" y="5238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34</xdr:row>
      <xdr:rowOff>0</xdr:rowOff>
    </xdr:from>
    <xdr:ext cx="514350" cy="361950"/>
    <xdr:sp macro="" textlink="">
      <xdr:nvSpPr>
        <xdr:cNvPr id="823" name="Isosceles Triangle 822">
          <a:extLst>
            <a:ext uri="{FF2B5EF4-FFF2-40B4-BE49-F238E27FC236}"/>
          </a:extLst>
        </xdr:cNvPr>
        <xdr:cNvSpPr/>
      </xdr:nvSpPr>
      <xdr:spPr>
        <a:xfrm>
          <a:off x="609600" y="676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34</xdr:row>
      <xdr:rowOff>0</xdr:rowOff>
    </xdr:from>
    <xdr:ext cx="514350" cy="361950"/>
    <xdr:sp macro="" textlink="">
      <xdr:nvSpPr>
        <xdr:cNvPr id="824" name="Isosceles Triangle 823">
          <a:extLst>
            <a:ext uri="{FF2B5EF4-FFF2-40B4-BE49-F238E27FC236}"/>
          </a:extLst>
        </xdr:cNvPr>
        <xdr:cNvSpPr/>
      </xdr:nvSpPr>
      <xdr:spPr>
        <a:xfrm>
          <a:off x="4514850" y="676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34</xdr:row>
      <xdr:rowOff>0</xdr:rowOff>
    </xdr:from>
    <xdr:ext cx="514350" cy="361950"/>
    <xdr:sp macro="" textlink="">
      <xdr:nvSpPr>
        <xdr:cNvPr id="825" name="Isosceles Triangle 824">
          <a:extLst>
            <a:ext uri="{FF2B5EF4-FFF2-40B4-BE49-F238E27FC236}"/>
          </a:extLst>
        </xdr:cNvPr>
        <xdr:cNvSpPr/>
      </xdr:nvSpPr>
      <xdr:spPr>
        <a:xfrm>
          <a:off x="6296025" y="676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34</xdr:row>
      <xdr:rowOff>0</xdr:rowOff>
    </xdr:from>
    <xdr:ext cx="514350" cy="361950"/>
    <xdr:sp macro="" textlink="">
      <xdr:nvSpPr>
        <xdr:cNvPr id="826" name="Isosceles Triangle 825">
          <a:extLst>
            <a:ext uri="{FF2B5EF4-FFF2-40B4-BE49-F238E27FC236}"/>
          </a:extLst>
        </xdr:cNvPr>
        <xdr:cNvSpPr/>
      </xdr:nvSpPr>
      <xdr:spPr>
        <a:xfrm>
          <a:off x="7172325" y="6762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34</xdr:row>
      <xdr:rowOff>0</xdr:rowOff>
    </xdr:from>
    <xdr:ext cx="514350" cy="361950"/>
    <xdr:sp macro="" textlink="">
      <xdr:nvSpPr>
        <xdr:cNvPr id="827" name="Isosceles Triangle 826">
          <a:extLst>
            <a:ext uri="{FF2B5EF4-FFF2-40B4-BE49-F238E27FC236}"/>
          </a:extLst>
        </xdr:cNvPr>
        <xdr:cNvSpPr/>
      </xdr:nvSpPr>
      <xdr:spPr>
        <a:xfrm>
          <a:off x="11210925" y="676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34</xdr:row>
      <xdr:rowOff>0</xdr:rowOff>
    </xdr:from>
    <xdr:ext cx="514350" cy="361950"/>
    <xdr:sp macro="" textlink="">
      <xdr:nvSpPr>
        <xdr:cNvPr id="828" name="Isosceles Triangle 827">
          <a:extLst>
            <a:ext uri="{FF2B5EF4-FFF2-40B4-BE49-F238E27FC236}"/>
          </a:extLst>
        </xdr:cNvPr>
        <xdr:cNvSpPr/>
      </xdr:nvSpPr>
      <xdr:spPr>
        <a:xfrm>
          <a:off x="12115800" y="6762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34</xdr:row>
      <xdr:rowOff>0</xdr:rowOff>
    </xdr:from>
    <xdr:ext cx="514350" cy="361950"/>
    <xdr:sp macro="" textlink="">
      <xdr:nvSpPr>
        <xdr:cNvPr id="829" name="Isosceles Triangle 828">
          <a:extLst>
            <a:ext uri="{FF2B5EF4-FFF2-40B4-BE49-F238E27FC236}"/>
          </a:extLst>
        </xdr:cNvPr>
        <xdr:cNvSpPr/>
      </xdr:nvSpPr>
      <xdr:spPr>
        <a:xfrm>
          <a:off x="13115925" y="6762750"/>
          <a:ext cx="5898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42</xdr:row>
      <xdr:rowOff>0</xdr:rowOff>
    </xdr:from>
    <xdr:ext cx="514350" cy="361950"/>
    <xdr:sp macro="" textlink="">
      <xdr:nvSpPr>
        <xdr:cNvPr id="830" name="Isosceles Triangle 829">
          <a:extLst>
            <a:ext uri="{FF2B5EF4-FFF2-40B4-BE49-F238E27FC236}"/>
          </a:extLst>
        </xdr:cNvPr>
        <xdr:cNvSpPr/>
      </xdr:nvSpPr>
      <xdr:spPr>
        <a:xfrm>
          <a:off x="5597071" y="7919357"/>
          <a:ext cx="537657" cy="364602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42</xdr:row>
      <xdr:rowOff>0</xdr:rowOff>
    </xdr:from>
    <xdr:ext cx="514350" cy="361950"/>
    <xdr:sp macro="" textlink="">
      <xdr:nvSpPr>
        <xdr:cNvPr id="831" name="Isosceles Triangle 830">
          <a:extLst>
            <a:ext uri="{FF2B5EF4-FFF2-40B4-BE49-F238E27FC236}"/>
          </a:extLst>
        </xdr:cNvPr>
        <xdr:cNvSpPr/>
      </xdr:nvSpPr>
      <xdr:spPr>
        <a:xfrm>
          <a:off x="10125075" y="8286750"/>
          <a:ext cx="513617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42</xdr:row>
      <xdr:rowOff>0</xdr:rowOff>
    </xdr:from>
    <xdr:ext cx="514350" cy="361950"/>
    <xdr:sp macro="" textlink="">
      <xdr:nvSpPr>
        <xdr:cNvPr id="832" name="Isosceles Triangle 831">
          <a:extLst>
            <a:ext uri="{FF2B5EF4-FFF2-40B4-BE49-F238E27FC236}"/>
          </a:extLst>
        </xdr:cNvPr>
        <xdr:cNvSpPr/>
      </xdr:nvSpPr>
      <xdr:spPr>
        <a:xfrm>
          <a:off x="12115800" y="8286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42</xdr:row>
      <xdr:rowOff>0</xdr:rowOff>
    </xdr:from>
    <xdr:ext cx="514350" cy="361950"/>
    <xdr:sp macro="" textlink="">
      <xdr:nvSpPr>
        <xdr:cNvPr id="833" name="Isosceles Triangle 832">
          <a:extLst>
            <a:ext uri="{FF2B5EF4-FFF2-40B4-BE49-F238E27FC236}"/>
          </a:extLst>
        </xdr:cNvPr>
        <xdr:cNvSpPr/>
      </xdr:nvSpPr>
      <xdr:spPr>
        <a:xfrm>
          <a:off x="13115925" y="8286750"/>
          <a:ext cx="589817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50</xdr:row>
      <xdr:rowOff>0</xdr:rowOff>
    </xdr:from>
    <xdr:ext cx="514350" cy="361950"/>
    <xdr:sp macro="" textlink="">
      <xdr:nvSpPr>
        <xdr:cNvPr id="834" name="Isosceles Triangle 833">
          <a:extLst>
            <a:ext uri="{FF2B5EF4-FFF2-40B4-BE49-F238E27FC236}"/>
          </a:extLst>
        </xdr:cNvPr>
        <xdr:cNvSpPr/>
      </xdr:nvSpPr>
      <xdr:spPr>
        <a:xfrm>
          <a:off x="609600" y="9810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50</xdr:row>
      <xdr:rowOff>0</xdr:rowOff>
    </xdr:from>
    <xdr:ext cx="533400" cy="361950"/>
    <xdr:sp macro="" textlink="">
      <xdr:nvSpPr>
        <xdr:cNvPr id="835" name="Isosceles Triangle 834">
          <a:extLst>
            <a:ext uri="{FF2B5EF4-FFF2-40B4-BE49-F238E27FC236}"/>
          </a:extLst>
        </xdr:cNvPr>
        <xdr:cNvSpPr/>
      </xdr:nvSpPr>
      <xdr:spPr>
        <a:xfrm>
          <a:off x="1552575" y="9810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50</xdr:row>
      <xdr:rowOff>0</xdr:rowOff>
    </xdr:from>
    <xdr:ext cx="514350" cy="361950"/>
    <xdr:sp macro="" textlink="">
      <xdr:nvSpPr>
        <xdr:cNvPr id="836" name="Isosceles Triangle 835">
          <a:extLst>
            <a:ext uri="{FF2B5EF4-FFF2-40B4-BE49-F238E27FC236}"/>
          </a:extLst>
        </xdr:cNvPr>
        <xdr:cNvSpPr/>
      </xdr:nvSpPr>
      <xdr:spPr>
        <a:xfrm>
          <a:off x="7172325" y="981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50</xdr:row>
      <xdr:rowOff>0</xdr:rowOff>
    </xdr:from>
    <xdr:ext cx="514350" cy="361950"/>
    <xdr:sp macro="" textlink="">
      <xdr:nvSpPr>
        <xdr:cNvPr id="837" name="Isosceles Triangle 836">
          <a:extLst>
            <a:ext uri="{FF2B5EF4-FFF2-40B4-BE49-F238E27FC236}"/>
          </a:extLst>
        </xdr:cNvPr>
        <xdr:cNvSpPr/>
      </xdr:nvSpPr>
      <xdr:spPr>
        <a:xfrm>
          <a:off x="8220075" y="981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50</xdr:row>
      <xdr:rowOff>0</xdr:rowOff>
    </xdr:from>
    <xdr:ext cx="514350" cy="361950"/>
    <xdr:sp macro="" textlink="">
      <xdr:nvSpPr>
        <xdr:cNvPr id="838" name="Isosceles Triangle 837">
          <a:extLst>
            <a:ext uri="{FF2B5EF4-FFF2-40B4-BE49-F238E27FC236}"/>
          </a:extLst>
        </xdr:cNvPr>
        <xdr:cNvSpPr/>
      </xdr:nvSpPr>
      <xdr:spPr>
        <a:xfrm>
          <a:off x="10125075" y="9810750"/>
          <a:ext cx="5136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50</xdr:row>
      <xdr:rowOff>0</xdr:rowOff>
    </xdr:from>
    <xdr:ext cx="514350" cy="361950"/>
    <xdr:sp macro="" textlink="">
      <xdr:nvSpPr>
        <xdr:cNvPr id="839" name="Isosceles Triangle 838">
          <a:extLst>
            <a:ext uri="{FF2B5EF4-FFF2-40B4-BE49-F238E27FC236}"/>
          </a:extLst>
        </xdr:cNvPr>
        <xdr:cNvSpPr/>
      </xdr:nvSpPr>
      <xdr:spPr>
        <a:xfrm>
          <a:off x="11210925" y="981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58</xdr:row>
      <xdr:rowOff>0</xdr:rowOff>
    </xdr:from>
    <xdr:ext cx="514350" cy="361950"/>
    <xdr:sp macro="" textlink="">
      <xdr:nvSpPr>
        <xdr:cNvPr id="840" name="Isosceles Triangle 839">
          <a:extLst>
            <a:ext uri="{FF2B5EF4-FFF2-40B4-BE49-F238E27FC236}"/>
          </a:extLst>
        </xdr:cNvPr>
        <xdr:cNvSpPr/>
      </xdr:nvSpPr>
      <xdr:spPr>
        <a:xfrm>
          <a:off x="609600" y="1133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58</xdr:row>
      <xdr:rowOff>0</xdr:rowOff>
    </xdr:from>
    <xdr:ext cx="533400" cy="361950"/>
    <xdr:sp macro="" textlink="">
      <xdr:nvSpPr>
        <xdr:cNvPr id="841" name="Isosceles Triangle 840">
          <a:extLst>
            <a:ext uri="{FF2B5EF4-FFF2-40B4-BE49-F238E27FC236}"/>
          </a:extLst>
        </xdr:cNvPr>
        <xdr:cNvSpPr/>
      </xdr:nvSpPr>
      <xdr:spPr>
        <a:xfrm>
          <a:off x="1552575" y="11334750"/>
          <a:ext cx="532456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58</xdr:row>
      <xdr:rowOff>0</xdr:rowOff>
    </xdr:from>
    <xdr:ext cx="514350" cy="361950"/>
    <xdr:sp macro="" textlink="">
      <xdr:nvSpPr>
        <xdr:cNvPr id="842" name="Isosceles Triangle 841">
          <a:extLst>
            <a:ext uri="{FF2B5EF4-FFF2-40B4-BE49-F238E27FC236}"/>
          </a:extLst>
        </xdr:cNvPr>
        <xdr:cNvSpPr/>
      </xdr:nvSpPr>
      <xdr:spPr>
        <a:xfrm>
          <a:off x="2543175" y="1133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514350" cy="361950"/>
    <xdr:sp macro="" textlink="">
      <xdr:nvSpPr>
        <xdr:cNvPr id="843" name="Isosceles Triangle 842">
          <a:extLst>
            <a:ext uri="{FF2B5EF4-FFF2-40B4-BE49-F238E27FC236}"/>
          </a:extLst>
        </xdr:cNvPr>
        <xdr:cNvSpPr/>
      </xdr:nvSpPr>
      <xdr:spPr>
        <a:xfrm>
          <a:off x="3609975" y="1133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58</xdr:row>
      <xdr:rowOff>0</xdr:rowOff>
    </xdr:from>
    <xdr:ext cx="514350" cy="361950"/>
    <xdr:sp macro="" textlink="">
      <xdr:nvSpPr>
        <xdr:cNvPr id="844" name="Isosceles Triangle 843">
          <a:extLst>
            <a:ext uri="{FF2B5EF4-FFF2-40B4-BE49-F238E27FC236}"/>
          </a:extLst>
        </xdr:cNvPr>
        <xdr:cNvSpPr/>
      </xdr:nvSpPr>
      <xdr:spPr>
        <a:xfrm>
          <a:off x="5381625" y="1133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58</xdr:row>
      <xdr:rowOff>0</xdr:rowOff>
    </xdr:from>
    <xdr:ext cx="514350" cy="361950"/>
    <xdr:sp macro="" textlink="">
      <xdr:nvSpPr>
        <xdr:cNvPr id="845" name="Isosceles Triangle 844">
          <a:extLst>
            <a:ext uri="{FF2B5EF4-FFF2-40B4-BE49-F238E27FC236}"/>
          </a:extLst>
        </xdr:cNvPr>
        <xdr:cNvSpPr/>
      </xdr:nvSpPr>
      <xdr:spPr>
        <a:xfrm>
          <a:off x="7172325" y="1133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58</xdr:row>
      <xdr:rowOff>0</xdr:rowOff>
    </xdr:from>
    <xdr:ext cx="514350" cy="361950"/>
    <xdr:sp macro="" textlink="">
      <xdr:nvSpPr>
        <xdr:cNvPr id="846" name="Isosceles Triangle 845">
          <a:extLst>
            <a:ext uri="{FF2B5EF4-FFF2-40B4-BE49-F238E27FC236}"/>
          </a:extLst>
        </xdr:cNvPr>
        <xdr:cNvSpPr/>
      </xdr:nvSpPr>
      <xdr:spPr>
        <a:xfrm>
          <a:off x="8220075" y="1133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58</xdr:row>
      <xdr:rowOff>0</xdr:rowOff>
    </xdr:from>
    <xdr:ext cx="495300" cy="361950"/>
    <xdr:sp macro="" textlink="">
      <xdr:nvSpPr>
        <xdr:cNvPr id="847" name="Isosceles Triangle 846">
          <a:extLst>
            <a:ext uri="{FF2B5EF4-FFF2-40B4-BE49-F238E27FC236}"/>
          </a:extLst>
        </xdr:cNvPr>
        <xdr:cNvSpPr/>
      </xdr:nvSpPr>
      <xdr:spPr>
        <a:xfrm>
          <a:off x="9210675" y="11334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58</xdr:row>
      <xdr:rowOff>0</xdr:rowOff>
    </xdr:from>
    <xdr:ext cx="514350" cy="361950"/>
    <xdr:sp macro="" textlink="">
      <xdr:nvSpPr>
        <xdr:cNvPr id="848" name="Isosceles Triangle 847">
          <a:extLst>
            <a:ext uri="{FF2B5EF4-FFF2-40B4-BE49-F238E27FC236}"/>
          </a:extLst>
        </xdr:cNvPr>
        <xdr:cNvSpPr/>
      </xdr:nvSpPr>
      <xdr:spPr>
        <a:xfrm>
          <a:off x="10125075" y="11334750"/>
          <a:ext cx="5136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58</xdr:row>
      <xdr:rowOff>0</xdr:rowOff>
    </xdr:from>
    <xdr:ext cx="514350" cy="361950"/>
    <xdr:sp macro="" textlink="">
      <xdr:nvSpPr>
        <xdr:cNvPr id="849" name="Isosceles Triangle 848">
          <a:extLst>
            <a:ext uri="{FF2B5EF4-FFF2-40B4-BE49-F238E27FC236}"/>
          </a:extLst>
        </xdr:cNvPr>
        <xdr:cNvSpPr/>
      </xdr:nvSpPr>
      <xdr:spPr>
        <a:xfrm>
          <a:off x="11210925" y="1133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58</xdr:row>
      <xdr:rowOff>0</xdr:rowOff>
    </xdr:from>
    <xdr:ext cx="514350" cy="361950"/>
    <xdr:sp macro="" textlink="">
      <xdr:nvSpPr>
        <xdr:cNvPr id="850" name="Isosceles Triangle 849">
          <a:extLst>
            <a:ext uri="{FF2B5EF4-FFF2-40B4-BE49-F238E27FC236}"/>
          </a:extLst>
        </xdr:cNvPr>
        <xdr:cNvSpPr/>
      </xdr:nvSpPr>
      <xdr:spPr>
        <a:xfrm>
          <a:off x="12115800" y="11334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58</xdr:row>
      <xdr:rowOff>0</xdr:rowOff>
    </xdr:from>
    <xdr:ext cx="514350" cy="361950"/>
    <xdr:sp macro="" textlink="">
      <xdr:nvSpPr>
        <xdr:cNvPr id="851" name="Isosceles Triangle 850">
          <a:extLst>
            <a:ext uri="{FF2B5EF4-FFF2-40B4-BE49-F238E27FC236}"/>
          </a:extLst>
        </xdr:cNvPr>
        <xdr:cNvSpPr/>
      </xdr:nvSpPr>
      <xdr:spPr>
        <a:xfrm>
          <a:off x="13115925" y="11334750"/>
          <a:ext cx="5898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66</xdr:row>
      <xdr:rowOff>0</xdr:rowOff>
    </xdr:from>
    <xdr:ext cx="514350" cy="361950"/>
    <xdr:sp macro="" textlink="">
      <xdr:nvSpPr>
        <xdr:cNvPr id="852" name="Isosceles Triangle 851">
          <a:extLst>
            <a:ext uri="{FF2B5EF4-FFF2-40B4-BE49-F238E27FC236}"/>
          </a:extLst>
        </xdr:cNvPr>
        <xdr:cNvSpPr/>
      </xdr:nvSpPr>
      <xdr:spPr>
        <a:xfrm>
          <a:off x="609600" y="1285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66</xdr:row>
      <xdr:rowOff>0</xdr:rowOff>
    </xdr:from>
    <xdr:ext cx="514350" cy="361950"/>
    <xdr:sp macro="" textlink="">
      <xdr:nvSpPr>
        <xdr:cNvPr id="853" name="Isosceles Triangle 852">
          <a:extLst>
            <a:ext uri="{FF2B5EF4-FFF2-40B4-BE49-F238E27FC236}"/>
          </a:extLst>
        </xdr:cNvPr>
        <xdr:cNvSpPr/>
      </xdr:nvSpPr>
      <xdr:spPr>
        <a:xfrm>
          <a:off x="3609975" y="1285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66</xdr:row>
      <xdr:rowOff>0</xdr:rowOff>
    </xdr:from>
    <xdr:ext cx="514350" cy="361950"/>
    <xdr:sp macro="" textlink="">
      <xdr:nvSpPr>
        <xdr:cNvPr id="854" name="Isosceles Triangle 853">
          <a:extLst>
            <a:ext uri="{FF2B5EF4-FFF2-40B4-BE49-F238E27FC236}"/>
          </a:extLst>
        </xdr:cNvPr>
        <xdr:cNvSpPr/>
      </xdr:nvSpPr>
      <xdr:spPr>
        <a:xfrm>
          <a:off x="4514850" y="1285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66</xdr:row>
      <xdr:rowOff>0</xdr:rowOff>
    </xdr:from>
    <xdr:ext cx="514350" cy="361950"/>
    <xdr:sp macro="" textlink="">
      <xdr:nvSpPr>
        <xdr:cNvPr id="855" name="Isosceles Triangle 854">
          <a:extLst>
            <a:ext uri="{FF2B5EF4-FFF2-40B4-BE49-F238E27FC236}"/>
          </a:extLst>
        </xdr:cNvPr>
        <xdr:cNvSpPr/>
      </xdr:nvSpPr>
      <xdr:spPr>
        <a:xfrm>
          <a:off x="5381625" y="1285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66</xdr:row>
      <xdr:rowOff>0</xdr:rowOff>
    </xdr:from>
    <xdr:ext cx="514350" cy="361950"/>
    <xdr:sp macro="" textlink="">
      <xdr:nvSpPr>
        <xdr:cNvPr id="856" name="Isosceles Triangle 855">
          <a:extLst>
            <a:ext uri="{FF2B5EF4-FFF2-40B4-BE49-F238E27FC236}"/>
          </a:extLst>
        </xdr:cNvPr>
        <xdr:cNvSpPr/>
      </xdr:nvSpPr>
      <xdr:spPr>
        <a:xfrm>
          <a:off x="6296025" y="1285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66</xdr:row>
      <xdr:rowOff>0</xdr:rowOff>
    </xdr:from>
    <xdr:ext cx="514350" cy="361950"/>
    <xdr:sp macro="" textlink="">
      <xdr:nvSpPr>
        <xdr:cNvPr id="857" name="Isosceles Triangle 856">
          <a:extLst>
            <a:ext uri="{FF2B5EF4-FFF2-40B4-BE49-F238E27FC236}"/>
          </a:extLst>
        </xdr:cNvPr>
        <xdr:cNvSpPr/>
      </xdr:nvSpPr>
      <xdr:spPr>
        <a:xfrm>
          <a:off x="7172325" y="12858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66</xdr:row>
      <xdr:rowOff>0</xdr:rowOff>
    </xdr:from>
    <xdr:ext cx="514350" cy="361950"/>
    <xdr:sp macro="" textlink="">
      <xdr:nvSpPr>
        <xdr:cNvPr id="858" name="Isosceles Triangle 857">
          <a:extLst>
            <a:ext uri="{FF2B5EF4-FFF2-40B4-BE49-F238E27FC236}"/>
          </a:extLst>
        </xdr:cNvPr>
        <xdr:cNvSpPr/>
      </xdr:nvSpPr>
      <xdr:spPr>
        <a:xfrm>
          <a:off x="8220075" y="1285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66</xdr:row>
      <xdr:rowOff>0</xdr:rowOff>
    </xdr:from>
    <xdr:ext cx="495300" cy="361950"/>
    <xdr:sp macro="" textlink="">
      <xdr:nvSpPr>
        <xdr:cNvPr id="859" name="Isosceles Triangle 858">
          <a:extLst>
            <a:ext uri="{FF2B5EF4-FFF2-40B4-BE49-F238E27FC236}"/>
          </a:extLst>
        </xdr:cNvPr>
        <xdr:cNvSpPr/>
      </xdr:nvSpPr>
      <xdr:spPr>
        <a:xfrm>
          <a:off x="9210675" y="12858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66</xdr:row>
      <xdr:rowOff>0</xdr:rowOff>
    </xdr:from>
    <xdr:ext cx="514350" cy="361950"/>
    <xdr:sp macro="" textlink="">
      <xdr:nvSpPr>
        <xdr:cNvPr id="860" name="Isosceles Triangle 859">
          <a:extLst>
            <a:ext uri="{FF2B5EF4-FFF2-40B4-BE49-F238E27FC236}"/>
          </a:extLst>
        </xdr:cNvPr>
        <xdr:cNvSpPr/>
      </xdr:nvSpPr>
      <xdr:spPr>
        <a:xfrm>
          <a:off x="10125075" y="12858750"/>
          <a:ext cx="5136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66</xdr:row>
      <xdr:rowOff>0</xdr:rowOff>
    </xdr:from>
    <xdr:ext cx="514350" cy="361950"/>
    <xdr:sp macro="" textlink="">
      <xdr:nvSpPr>
        <xdr:cNvPr id="861" name="Isosceles Triangle 860">
          <a:extLst>
            <a:ext uri="{FF2B5EF4-FFF2-40B4-BE49-F238E27FC236}"/>
          </a:extLst>
        </xdr:cNvPr>
        <xdr:cNvSpPr/>
      </xdr:nvSpPr>
      <xdr:spPr>
        <a:xfrm>
          <a:off x="11210925" y="1285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66</xdr:row>
      <xdr:rowOff>0</xdr:rowOff>
    </xdr:from>
    <xdr:ext cx="514350" cy="361950"/>
    <xdr:sp macro="" textlink="">
      <xdr:nvSpPr>
        <xdr:cNvPr id="862" name="Isosceles Triangle 861">
          <a:extLst>
            <a:ext uri="{FF2B5EF4-FFF2-40B4-BE49-F238E27FC236}"/>
          </a:extLst>
        </xdr:cNvPr>
        <xdr:cNvSpPr/>
      </xdr:nvSpPr>
      <xdr:spPr>
        <a:xfrm>
          <a:off x="12115800" y="12858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66</xdr:row>
      <xdr:rowOff>0</xdr:rowOff>
    </xdr:from>
    <xdr:ext cx="514350" cy="361950"/>
    <xdr:sp macro="" textlink="">
      <xdr:nvSpPr>
        <xdr:cNvPr id="863" name="Isosceles Triangle 862">
          <a:extLst>
            <a:ext uri="{FF2B5EF4-FFF2-40B4-BE49-F238E27FC236}"/>
          </a:extLst>
        </xdr:cNvPr>
        <xdr:cNvSpPr/>
      </xdr:nvSpPr>
      <xdr:spPr>
        <a:xfrm>
          <a:off x="13115925" y="12858750"/>
          <a:ext cx="5898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74</xdr:row>
      <xdr:rowOff>0</xdr:rowOff>
    </xdr:from>
    <xdr:ext cx="514350" cy="361950"/>
    <xdr:sp macro="" textlink="">
      <xdr:nvSpPr>
        <xdr:cNvPr id="864" name="Isosceles Triangle 863">
          <a:extLst>
            <a:ext uri="{FF2B5EF4-FFF2-40B4-BE49-F238E27FC236}"/>
          </a:extLst>
        </xdr:cNvPr>
        <xdr:cNvSpPr/>
      </xdr:nvSpPr>
      <xdr:spPr>
        <a:xfrm>
          <a:off x="609600" y="1438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74</xdr:row>
      <xdr:rowOff>0</xdr:rowOff>
    </xdr:from>
    <xdr:ext cx="533400" cy="361950"/>
    <xdr:sp macro="" textlink="">
      <xdr:nvSpPr>
        <xdr:cNvPr id="865" name="Isosceles Triangle 864">
          <a:extLst>
            <a:ext uri="{FF2B5EF4-FFF2-40B4-BE49-F238E27FC236}"/>
          </a:extLst>
        </xdr:cNvPr>
        <xdr:cNvSpPr/>
      </xdr:nvSpPr>
      <xdr:spPr>
        <a:xfrm>
          <a:off x="1552575" y="1438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74</xdr:row>
      <xdr:rowOff>0</xdr:rowOff>
    </xdr:from>
    <xdr:ext cx="514350" cy="361950"/>
    <xdr:sp macro="" textlink="">
      <xdr:nvSpPr>
        <xdr:cNvPr id="866" name="Isosceles Triangle 865">
          <a:extLst>
            <a:ext uri="{FF2B5EF4-FFF2-40B4-BE49-F238E27FC236}"/>
          </a:extLst>
        </xdr:cNvPr>
        <xdr:cNvSpPr/>
      </xdr:nvSpPr>
      <xdr:spPr>
        <a:xfrm>
          <a:off x="2543175" y="1438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74</xdr:row>
      <xdr:rowOff>0</xdr:rowOff>
    </xdr:from>
    <xdr:ext cx="514350" cy="361950"/>
    <xdr:sp macro="" textlink="">
      <xdr:nvSpPr>
        <xdr:cNvPr id="867" name="Isosceles Triangle 866">
          <a:extLst>
            <a:ext uri="{FF2B5EF4-FFF2-40B4-BE49-F238E27FC236}"/>
          </a:extLst>
        </xdr:cNvPr>
        <xdr:cNvSpPr/>
      </xdr:nvSpPr>
      <xdr:spPr>
        <a:xfrm>
          <a:off x="4514850" y="1438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9525</xdr:colOff>
      <xdr:row>74</xdr:row>
      <xdr:rowOff>9525</xdr:rowOff>
    </xdr:from>
    <xdr:ext cx="514350" cy="361950"/>
    <xdr:sp macro="" textlink="">
      <xdr:nvSpPr>
        <xdr:cNvPr id="868" name="Isosceles Triangle 867">
          <a:extLst>
            <a:ext uri="{FF2B5EF4-FFF2-40B4-BE49-F238E27FC236}"/>
          </a:extLst>
        </xdr:cNvPr>
        <xdr:cNvSpPr/>
      </xdr:nvSpPr>
      <xdr:spPr>
        <a:xfrm>
          <a:off x="5396346" y="14393574"/>
          <a:ext cx="518163" cy="373673"/>
        </a:xfrm>
        <a:prstGeom prst="triangle">
          <a:avLst>
            <a:gd fmla="val 50000" name="adj"/>
          </a:avLst>
        </a:prstGeom>
        <a:solidFill>
          <a:srgbClr val="FFFF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74</xdr:row>
      <xdr:rowOff>0</xdr:rowOff>
    </xdr:from>
    <xdr:ext cx="514350" cy="361950"/>
    <xdr:sp macro="" textlink="">
      <xdr:nvSpPr>
        <xdr:cNvPr id="869" name="Isosceles Triangle 868">
          <a:extLst>
            <a:ext uri="{FF2B5EF4-FFF2-40B4-BE49-F238E27FC236}"/>
          </a:extLst>
        </xdr:cNvPr>
        <xdr:cNvSpPr/>
      </xdr:nvSpPr>
      <xdr:spPr>
        <a:xfrm>
          <a:off x="6296025" y="1438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74</xdr:row>
      <xdr:rowOff>0</xdr:rowOff>
    </xdr:from>
    <xdr:ext cx="514350" cy="361950"/>
    <xdr:sp macro="" textlink="">
      <xdr:nvSpPr>
        <xdr:cNvPr id="870" name="Isosceles Triangle 869">
          <a:extLst>
            <a:ext uri="{FF2B5EF4-FFF2-40B4-BE49-F238E27FC236}"/>
          </a:extLst>
        </xdr:cNvPr>
        <xdr:cNvSpPr/>
      </xdr:nvSpPr>
      <xdr:spPr>
        <a:xfrm>
          <a:off x="7172325" y="1438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74</xdr:row>
      <xdr:rowOff>0</xdr:rowOff>
    </xdr:from>
    <xdr:ext cx="514350" cy="361950"/>
    <xdr:sp macro="" textlink="">
      <xdr:nvSpPr>
        <xdr:cNvPr id="871" name="Isosceles Triangle 870">
          <a:extLst>
            <a:ext uri="{FF2B5EF4-FFF2-40B4-BE49-F238E27FC236}"/>
          </a:extLst>
        </xdr:cNvPr>
        <xdr:cNvSpPr/>
      </xdr:nvSpPr>
      <xdr:spPr>
        <a:xfrm>
          <a:off x="8220075" y="1438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74</xdr:row>
      <xdr:rowOff>0</xdr:rowOff>
    </xdr:from>
    <xdr:ext cx="495300" cy="361950"/>
    <xdr:sp macro="" textlink="">
      <xdr:nvSpPr>
        <xdr:cNvPr id="872" name="Isosceles Triangle 871">
          <a:extLst>
            <a:ext uri="{FF2B5EF4-FFF2-40B4-BE49-F238E27FC236}"/>
          </a:extLst>
        </xdr:cNvPr>
        <xdr:cNvSpPr/>
      </xdr:nvSpPr>
      <xdr:spPr>
        <a:xfrm>
          <a:off x="9210675" y="14382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74</xdr:row>
      <xdr:rowOff>0</xdr:rowOff>
    </xdr:from>
    <xdr:ext cx="514350" cy="361950"/>
    <xdr:sp macro="" textlink="">
      <xdr:nvSpPr>
        <xdr:cNvPr id="873" name="Isosceles Triangle 872">
          <a:extLst>
            <a:ext uri="{FF2B5EF4-FFF2-40B4-BE49-F238E27FC236}"/>
          </a:extLst>
        </xdr:cNvPr>
        <xdr:cNvSpPr/>
      </xdr:nvSpPr>
      <xdr:spPr>
        <a:xfrm>
          <a:off x="10125075" y="14382750"/>
          <a:ext cx="5136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74</xdr:row>
      <xdr:rowOff>0</xdr:rowOff>
    </xdr:from>
    <xdr:ext cx="514350" cy="361950"/>
    <xdr:sp macro="" textlink="">
      <xdr:nvSpPr>
        <xdr:cNvPr id="874" name="Isosceles Triangle 873">
          <a:extLst>
            <a:ext uri="{FF2B5EF4-FFF2-40B4-BE49-F238E27FC236}"/>
          </a:extLst>
        </xdr:cNvPr>
        <xdr:cNvSpPr/>
      </xdr:nvSpPr>
      <xdr:spPr>
        <a:xfrm>
          <a:off x="11210925" y="1438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74</xdr:row>
      <xdr:rowOff>0</xdr:rowOff>
    </xdr:from>
    <xdr:ext cx="514350" cy="361950"/>
    <xdr:sp macro="" textlink="">
      <xdr:nvSpPr>
        <xdr:cNvPr id="875" name="Isosceles Triangle 874">
          <a:extLst>
            <a:ext uri="{FF2B5EF4-FFF2-40B4-BE49-F238E27FC236}"/>
          </a:extLst>
        </xdr:cNvPr>
        <xdr:cNvSpPr/>
      </xdr:nvSpPr>
      <xdr:spPr>
        <a:xfrm>
          <a:off x="12115800" y="14382750"/>
          <a:ext cx="50409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74</xdr:row>
      <xdr:rowOff>0</xdr:rowOff>
    </xdr:from>
    <xdr:ext cx="514350" cy="361950"/>
    <xdr:sp macro="" textlink="">
      <xdr:nvSpPr>
        <xdr:cNvPr id="876" name="Isosceles Triangle 875">
          <a:extLst>
            <a:ext uri="{FF2B5EF4-FFF2-40B4-BE49-F238E27FC236}"/>
          </a:extLst>
        </xdr:cNvPr>
        <xdr:cNvSpPr/>
      </xdr:nvSpPr>
      <xdr:spPr>
        <a:xfrm>
          <a:off x="13115925" y="14382750"/>
          <a:ext cx="5898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82</xdr:row>
      <xdr:rowOff>0</xdr:rowOff>
    </xdr:from>
    <xdr:ext cx="514350" cy="361950"/>
    <xdr:sp macro="" textlink="">
      <xdr:nvSpPr>
        <xdr:cNvPr id="877" name="Isosceles Triangle 876">
          <a:extLst>
            <a:ext uri="{FF2B5EF4-FFF2-40B4-BE49-F238E27FC236}"/>
          </a:extLst>
        </xdr:cNvPr>
        <xdr:cNvSpPr/>
      </xdr:nvSpPr>
      <xdr:spPr>
        <a:xfrm>
          <a:off x="609600" y="1590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82</xdr:row>
      <xdr:rowOff>0</xdr:rowOff>
    </xdr:from>
    <xdr:ext cx="514350" cy="361950"/>
    <xdr:sp macro="" textlink="">
      <xdr:nvSpPr>
        <xdr:cNvPr id="878" name="Isosceles Triangle 877">
          <a:extLst>
            <a:ext uri="{FF2B5EF4-FFF2-40B4-BE49-F238E27FC236}"/>
          </a:extLst>
        </xdr:cNvPr>
        <xdr:cNvSpPr/>
      </xdr:nvSpPr>
      <xdr:spPr>
        <a:xfrm>
          <a:off x="4514850" y="1590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18</xdr:col>
      <xdr:colOff>400050</xdr:colOff>
      <xdr:row>82</xdr:row>
      <xdr:rowOff>0</xdr:rowOff>
    </xdr:from>
    <xdr:ext cx="485775" cy="361950"/>
    <xdr:sp macro="" textlink="">
      <xdr:nvSpPr>
        <xdr:cNvPr id="879" name="Isosceles Triangle 878">
          <a:extLst>
            <a:ext uri="{FF2B5EF4-FFF2-40B4-BE49-F238E27FC236}"/>
          </a:extLst>
        </xdr:cNvPr>
        <xdr:cNvSpPr/>
      </xdr:nvSpPr>
      <xdr:spPr>
        <a:xfrm>
          <a:off x="6294665" y="15906750"/>
          <a:ext cx="51213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82</xdr:row>
      <xdr:rowOff>0</xdr:rowOff>
    </xdr:from>
    <xdr:ext cx="514350" cy="361950"/>
    <xdr:sp macro="" textlink="">
      <xdr:nvSpPr>
        <xdr:cNvPr id="880" name="Isosceles Triangle 879">
          <a:extLst>
            <a:ext uri="{FF2B5EF4-FFF2-40B4-BE49-F238E27FC236}"/>
          </a:extLst>
        </xdr:cNvPr>
        <xdr:cNvSpPr/>
      </xdr:nvSpPr>
      <xdr:spPr>
        <a:xfrm>
          <a:off x="7172325" y="1590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82</xdr:row>
      <xdr:rowOff>0</xdr:rowOff>
    </xdr:from>
    <xdr:ext cx="514350" cy="361950"/>
    <xdr:sp macro="" textlink="">
      <xdr:nvSpPr>
        <xdr:cNvPr id="881" name="Isosceles Triangle 880">
          <a:extLst>
            <a:ext uri="{FF2B5EF4-FFF2-40B4-BE49-F238E27FC236}"/>
          </a:extLst>
        </xdr:cNvPr>
        <xdr:cNvSpPr/>
      </xdr:nvSpPr>
      <xdr:spPr>
        <a:xfrm>
          <a:off x="8220075" y="1590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82</xdr:row>
      <xdr:rowOff>0</xdr:rowOff>
    </xdr:from>
    <xdr:ext cx="495300" cy="361950"/>
    <xdr:sp macro="" textlink="">
      <xdr:nvSpPr>
        <xdr:cNvPr id="882" name="Isosceles Triangle 881">
          <a:extLst>
            <a:ext uri="{FF2B5EF4-FFF2-40B4-BE49-F238E27FC236}"/>
          </a:extLst>
        </xdr:cNvPr>
        <xdr:cNvSpPr/>
      </xdr:nvSpPr>
      <xdr:spPr>
        <a:xfrm>
          <a:off x="9210675" y="15906750"/>
          <a:ext cx="50409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82</xdr:row>
      <xdr:rowOff>0</xdr:rowOff>
    </xdr:from>
    <xdr:ext cx="514350" cy="361950"/>
    <xdr:sp macro="" textlink="">
      <xdr:nvSpPr>
        <xdr:cNvPr id="883" name="Isosceles Triangle 882">
          <a:extLst>
            <a:ext uri="{FF2B5EF4-FFF2-40B4-BE49-F238E27FC236}"/>
          </a:extLst>
        </xdr:cNvPr>
        <xdr:cNvSpPr/>
      </xdr:nvSpPr>
      <xdr:spPr>
        <a:xfrm>
          <a:off x="10125075" y="15906750"/>
          <a:ext cx="513617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82</xdr:row>
      <xdr:rowOff>0</xdr:rowOff>
    </xdr:from>
    <xdr:ext cx="514350" cy="361950"/>
    <xdr:sp macro="" textlink="">
      <xdr:nvSpPr>
        <xdr:cNvPr id="884" name="Isosceles Triangle 883">
          <a:extLst>
            <a:ext uri="{FF2B5EF4-FFF2-40B4-BE49-F238E27FC236}"/>
          </a:extLst>
        </xdr:cNvPr>
        <xdr:cNvSpPr/>
      </xdr:nvSpPr>
      <xdr:spPr>
        <a:xfrm>
          <a:off x="11210925" y="1590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82</xdr:row>
      <xdr:rowOff>0</xdr:rowOff>
    </xdr:from>
    <xdr:ext cx="514350" cy="361950"/>
    <xdr:sp macro="" textlink="">
      <xdr:nvSpPr>
        <xdr:cNvPr id="885" name="Isosceles Triangle 884">
          <a:extLst>
            <a:ext uri="{FF2B5EF4-FFF2-40B4-BE49-F238E27FC236}"/>
          </a:extLst>
        </xdr:cNvPr>
        <xdr:cNvSpPr/>
      </xdr:nvSpPr>
      <xdr:spPr>
        <a:xfrm>
          <a:off x="12115800" y="15906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82</xdr:row>
      <xdr:rowOff>0</xdr:rowOff>
    </xdr:from>
    <xdr:ext cx="514350" cy="361950"/>
    <xdr:sp macro="" textlink="">
      <xdr:nvSpPr>
        <xdr:cNvPr id="886" name="Isosceles Triangle 885">
          <a:extLst>
            <a:ext uri="{FF2B5EF4-FFF2-40B4-BE49-F238E27FC236}"/>
          </a:extLst>
        </xdr:cNvPr>
        <xdr:cNvSpPr/>
      </xdr:nvSpPr>
      <xdr:spPr>
        <a:xfrm>
          <a:off x="13115925" y="15906750"/>
          <a:ext cx="5898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90</xdr:row>
      <xdr:rowOff>0</xdr:rowOff>
    </xdr:from>
    <xdr:ext cx="514350" cy="361950"/>
    <xdr:sp macro="" textlink="">
      <xdr:nvSpPr>
        <xdr:cNvPr id="887" name="Isosceles Triangle 886">
          <a:extLst>
            <a:ext uri="{FF2B5EF4-FFF2-40B4-BE49-F238E27FC236}"/>
          </a:extLst>
        </xdr:cNvPr>
        <xdr:cNvSpPr/>
      </xdr:nvSpPr>
      <xdr:spPr>
        <a:xfrm>
          <a:off x="609600" y="1743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90</xdr:row>
      <xdr:rowOff>0</xdr:rowOff>
    </xdr:from>
    <xdr:ext cx="533400" cy="361950"/>
    <xdr:sp macro="" textlink="">
      <xdr:nvSpPr>
        <xdr:cNvPr id="888" name="Isosceles Triangle 887">
          <a:extLst>
            <a:ext uri="{FF2B5EF4-FFF2-40B4-BE49-F238E27FC236}"/>
          </a:extLst>
        </xdr:cNvPr>
        <xdr:cNvSpPr/>
      </xdr:nvSpPr>
      <xdr:spPr>
        <a:xfrm>
          <a:off x="1552575" y="1743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90</xdr:row>
      <xdr:rowOff>0</xdr:rowOff>
    </xdr:from>
    <xdr:ext cx="514350" cy="361950"/>
    <xdr:sp macro="" textlink="">
      <xdr:nvSpPr>
        <xdr:cNvPr id="889" name="Isosceles Triangle 888">
          <a:extLst>
            <a:ext uri="{FF2B5EF4-FFF2-40B4-BE49-F238E27FC236}"/>
          </a:extLst>
        </xdr:cNvPr>
        <xdr:cNvSpPr/>
      </xdr:nvSpPr>
      <xdr:spPr>
        <a:xfrm>
          <a:off x="2543175" y="1743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90</xdr:row>
      <xdr:rowOff>0</xdr:rowOff>
    </xdr:from>
    <xdr:ext cx="514350" cy="361950"/>
    <xdr:sp macro="" textlink="">
      <xdr:nvSpPr>
        <xdr:cNvPr id="890" name="Isosceles Triangle 889">
          <a:extLst>
            <a:ext uri="{FF2B5EF4-FFF2-40B4-BE49-F238E27FC236}"/>
          </a:extLst>
        </xdr:cNvPr>
        <xdr:cNvSpPr/>
      </xdr:nvSpPr>
      <xdr:spPr>
        <a:xfrm>
          <a:off x="3609975" y="1743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90</xdr:row>
      <xdr:rowOff>0</xdr:rowOff>
    </xdr:from>
    <xdr:ext cx="514350" cy="361950"/>
    <xdr:sp macro="" textlink="">
      <xdr:nvSpPr>
        <xdr:cNvPr id="891" name="Isosceles Triangle 890">
          <a:extLst>
            <a:ext uri="{FF2B5EF4-FFF2-40B4-BE49-F238E27FC236}"/>
          </a:extLst>
        </xdr:cNvPr>
        <xdr:cNvSpPr/>
      </xdr:nvSpPr>
      <xdr:spPr>
        <a:xfrm>
          <a:off x="4514850" y="1743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90</xdr:row>
      <xdr:rowOff>0</xdr:rowOff>
    </xdr:from>
    <xdr:ext cx="514350" cy="361950"/>
    <xdr:sp macro="" textlink="">
      <xdr:nvSpPr>
        <xdr:cNvPr id="892" name="Isosceles Triangle 891">
          <a:extLst>
            <a:ext uri="{FF2B5EF4-FFF2-40B4-BE49-F238E27FC236}"/>
          </a:extLst>
        </xdr:cNvPr>
        <xdr:cNvSpPr/>
      </xdr:nvSpPr>
      <xdr:spPr>
        <a:xfrm>
          <a:off x="5381625" y="1743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90</xdr:row>
      <xdr:rowOff>0</xdr:rowOff>
    </xdr:from>
    <xdr:ext cx="514350" cy="361950"/>
    <xdr:sp macro="" textlink="">
      <xdr:nvSpPr>
        <xdr:cNvPr id="893" name="Isosceles Triangle 892">
          <a:extLst>
            <a:ext uri="{FF2B5EF4-FFF2-40B4-BE49-F238E27FC236}"/>
          </a:extLst>
        </xdr:cNvPr>
        <xdr:cNvSpPr/>
      </xdr:nvSpPr>
      <xdr:spPr>
        <a:xfrm>
          <a:off x="6296025" y="1743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90</xdr:row>
      <xdr:rowOff>0</xdr:rowOff>
    </xdr:from>
    <xdr:ext cx="514350" cy="361950"/>
    <xdr:sp macro="" textlink="">
      <xdr:nvSpPr>
        <xdr:cNvPr id="894" name="Isosceles Triangle 893">
          <a:extLst>
            <a:ext uri="{FF2B5EF4-FFF2-40B4-BE49-F238E27FC236}"/>
          </a:extLst>
        </xdr:cNvPr>
        <xdr:cNvSpPr/>
      </xdr:nvSpPr>
      <xdr:spPr>
        <a:xfrm>
          <a:off x="7172325" y="17430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90</xdr:row>
      <xdr:rowOff>0</xdr:rowOff>
    </xdr:from>
    <xdr:ext cx="514350" cy="361950"/>
    <xdr:sp macro="" textlink="">
      <xdr:nvSpPr>
        <xdr:cNvPr id="895" name="Isosceles Triangle 894">
          <a:extLst>
            <a:ext uri="{FF2B5EF4-FFF2-40B4-BE49-F238E27FC236}"/>
          </a:extLst>
        </xdr:cNvPr>
        <xdr:cNvSpPr/>
      </xdr:nvSpPr>
      <xdr:spPr>
        <a:xfrm>
          <a:off x="8220075" y="1743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90</xdr:row>
      <xdr:rowOff>0</xdr:rowOff>
    </xdr:from>
    <xdr:ext cx="495300" cy="361950"/>
    <xdr:sp macro="" textlink="">
      <xdr:nvSpPr>
        <xdr:cNvPr id="896" name="Isosceles Triangle 895">
          <a:extLst>
            <a:ext uri="{FF2B5EF4-FFF2-40B4-BE49-F238E27FC236}"/>
          </a:extLst>
        </xdr:cNvPr>
        <xdr:cNvSpPr/>
      </xdr:nvSpPr>
      <xdr:spPr>
        <a:xfrm>
          <a:off x="9210675" y="17430750"/>
          <a:ext cx="507809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90</xdr:row>
      <xdr:rowOff>0</xdr:rowOff>
    </xdr:from>
    <xdr:ext cx="514350" cy="361950"/>
    <xdr:sp macro="" textlink="">
      <xdr:nvSpPr>
        <xdr:cNvPr id="897" name="Isosceles Triangle 896">
          <a:extLst>
            <a:ext uri="{FF2B5EF4-FFF2-40B4-BE49-F238E27FC236}"/>
          </a:extLst>
        </xdr:cNvPr>
        <xdr:cNvSpPr/>
      </xdr:nvSpPr>
      <xdr:spPr>
        <a:xfrm>
          <a:off x="10125075" y="17430750"/>
          <a:ext cx="5136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90</xdr:row>
      <xdr:rowOff>0</xdr:rowOff>
    </xdr:from>
    <xdr:ext cx="514350" cy="361950"/>
    <xdr:sp macro="" textlink="">
      <xdr:nvSpPr>
        <xdr:cNvPr id="898" name="Isosceles Triangle 897">
          <a:extLst>
            <a:ext uri="{FF2B5EF4-FFF2-40B4-BE49-F238E27FC236}"/>
          </a:extLst>
        </xdr:cNvPr>
        <xdr:cNvSpPr/>
      </xdr:nvSpPr>
      <xdr:spPr>
        <a:xfrm>
          <a:off x="11210925" y="1743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90</xdr:row>
      <xdr:rowOff>0</xdr:rowOff>
    </xdr:from>
    <xdr:ext cx="514350" cy="361950"/>
    <xdr:sp macro="" textlink="">
      <xdr:nvSpPr>
        <xdr:cNvPr id="899" name="Isosceles Triangle 898">
          <a:extLst>
            <a:ext uri="{FF2B5EF4-FFF2-40B4-BE49-F238E27FC236}"/>
          </a:extLst>
        </xdr:cNvPr>
        <xdr:cNvSpPr/>
      </xdr:nvSpPr>
      <xdr:spPr>
        <a:xfrm>
          <a:off x="12115800" y="17430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90</xdr:row>
      <xdr:rowOff>0</xdr:rowOff>
    </xdr:from>
    <xdr:ext cx="514350" cy="361950"/>
    <xdr:sp macro="" textlink="">
      <xdr:nvSpPr>
        <xdr:cNvPr id="900" name="Isosceles Triangle 899">
          <a:extLst>
            <a:ext uri="{FF2B5EF4-FFF2-40B4-BE49-F238E27FC236}"/>
          </a:extLst>
        </xdr:cNvPr>
        <xdr:cNvSpPr/>
      </xdr:nvSpPr>
      <xdr:spPr>
        <a:xfrm>
          <a:off x="13115925" y="17430750"/>
          <a:ext cx="5898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98</xdr:row>
      <xdr:rowOff>0</xdr:rowOff>
    </xdr:from>
    <xdr:ext cx="514350" cy="361950"/>
    <xdr:sp macro="" textlink="">
      <xdr:nvSpPr>
        <xdr:cNvPr id="901" name="Isosceles Triangle 900">
          <a:extLst>
            <a:ext uri="{FF2B5EF4-FFF2-40B4-BE49-F238E27FC236}"/>
          </a:extLst>
        </xdr:cNvPr>
        <xdr:cNvSpPr/>
      </xdr:nvSpPr>
      <xdr:spPr>
        <a:xfrm>
          <a:off x="609600" y="1895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98</xdr:row>
      <xdr:rowOff>0</xdr:rowOff>
    </xdr:from>
    <xdr:ext cx="533400" cy="361950"/>
    <xdr:sp macro="" textlink="">
      <xdr:nvSpPr>
        <xdr:cNvPr id="902" name="Isosceles Triangle 901">
          <a:extLst>
            <a:ext uri="{FF2B5EF4-FFF2-40B4-BE49-F238E27FC236}"/>
          </a:extLst>
        </xdr:cNvPr>
        <xdr:cNvSpPr/>
      </xdr:nvSpPr>
      <xdr:spPr>
        <a:xfrm>
          <a:off x="1552575" y="1895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98</xdr:row>
      <xdr:rowOff>0</xdr:rowOff>
    </xdr:from>
    <xdr:ext cx="514350" cy="361950"/>
    <xdr:sp macro="" textlink="">
      <xdr:nvSpPr>
        <xdr:cNvPr id="903" name="Isosceles Triangle 902">
          <a:extLst>
            <a:ext uri="{FF2B5EF4-FFF2-40B4-BE49-F238E27FC236}"/>
          </a:extLst>
        </xdr:cNvPr>
        <xdr:cNvSpPr/>
      </xdr:nvSpPr>
      <xdr:spPr>
        <a:xfrm>
          <a:off x="2543175" y="18954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98</xdr:row>
      <xdr:rowOff>0</xdr:rowOff>
    </xdr:from>
    <xdr:ext cx="514350" cy="361950"/>
    <xdr:sp macro="" textlink="">
      <xdr:nvSpPr>
        <xdr:cNvPr id="904" name="Isosceles Triangle 903">
          <a:extLst>
            <a:ext uri="{FF2B5EF4-FFF2-40B4-BE49-F238E27FC236}"/>
          </a:extLst>
        </xdr:cNvPr>
        <xdr:cNvSpPr/>
      </xdr:nvSpPr>
      <xdr:spPr>
        <a:xfrm>
          <a:off x="3609975" y="1895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98</xdr:row>
      <xdr:rowOff>0</xdr:rowOff>
    </xdr:from>
    <xdr:ext cx="514350" cy="361950"/>
    <xdr:sp macro="" textlink="">
      <xdr:nvSpPr>
        <xdr:cNvPr id="905" name="Isosceles Triangle 904">
          <a:extLst>
            <a:ext uri="{FF2B5EF4-FFF2-40B4-BE49-F238E27FC236}"/>
          </a:extLst>
        </xdr:cNvPr>
        <xdr:cNvSpPr/>
      </xdr:nvSpPr>
      <xdr:spPr>
        <a:xfrm>
          <a:off x="5381625" y="1895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98</xdr:row>
      <xdr:rowOff>0</xdr:rowOff>
    </xdr:from>
    <xdr:ext cx="514350" cy="361950"/>
    <xdr:sp macro="" textlink="">
      <xdr:nvSpPr>
        <xdr:cNvPr id="906" name="Isosceles Triangle 905">
          <a:extLst>
            <a:ext uri="{FF2B5EF4-FFF2-40B4-BE49-F238E27FC236}"/>
          </a:extLst>
        </xdr:cNvPr>
        <xdr:cNvSpPr/>
      </xdr:nvSpPr>
      <xdr:spPr>
        <a:xfrm>
          <a:off x="6296025" y="1895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9525</xdr:colOff>
      <xdr:row>98</xdr:row>
      <xdr:rowOff>9525</xdr:rowOff>
    </xdr:from>
    <xdr:ext cx="514350" cy="361950"/>
    <xdr:sp macro="" textlink="">
      <xdr:nvSpPr>
        <xdr:cNvPr id="907" name="Isosceles Triangle 906">
          <a:extLst>
            <a:ext uri="{FF2B5EF4-FFF2-40B4-BE49-F238E27FC236}"/>
          </a:extLst>
        </xdr:cNvPr>
        <xdr:cNvSpPr/>
      </xdr:nvSpPr>
      <xdr:spPr>
        <a:xfrm>
          <a:off x="7185932" y="18968357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98</xdr:row>
      <xdr:rowOff>0</xdr:rowOff>
    </xdr:from>
    <xdr:ext cx="514350" cy="361950"/>
    <xdr:sp macro="" textlink="">
      <xdr:nvSpPr>
        <xdr:cNvPr id="908" name="Isosceles Triangle 907">
          <a:extLst>
            <a:ext uri="{FF2B5EF4-FFF2-40B4-BE49-F238E27FC236}"/>
          </a:extLst>
        </xdr:cNvPr>
        <xdr:cNvSpPr/>
      </xdr:nvSpPr>
      <xdr:spPr>
        <a:xfrm>
          <a:off x="8220075" y="1895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98</xdr:row>
      <xdr:rowOff>0</xdr:rowOff>
    </xdr:from>
    <xdr:ext cx="495300" cy="361950"/>
    <xdr:sp macro="" textlink="">
      <xdr:nvSpPr>
        <xdr:cNvPr id="909" name="Isosceles Triangle 908">
          <a:extLst>
            <a:ext uri="{FF2B5EF4-FFF2-40B4-BE49-F238E27FC236}"/>
          </a:extLst>
        </xdr:cNvPr>
        <xdr:cNvSpPr/>
      </xdr:nvSpPr>
      <xdr:spPr>
        <a:xfrm>
          <a:off x="9210675" y="18954750"/>
          <a:ext cx="50409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98</xdr:row>
      <xdr:rowOff>0</xdr:rowOff>
    </xdr:from>
    <xdr:ext cx="514350" cy="361950"/>
    <xdr:sp macro="" textlink="">
      <xdr:nvSpPr>
        <xdr:cNvPr id="910" name="Isosceles Triangle 909">
          <a:extLst>
            <a:ext uri="{FF2B5EF4-FFF2-40B4-BE49-F238E27FC236}"/>
          </a:extLst>
        </xdr:cNvPr>
        <xdr:cNvSpPr/>
      </xdr:nvSpPr>
      <xdr:spPr>
        <a:xfrm>
          <a:off x="10125075" y="18954750"/>
          <a:ext cx="5136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98</xdr:row>
      <xdr:rowOff>0</xdr:rowOff>
    </xdr:from>
    <xdr:ext cx="514350" cy="361950"/>
    <xdr:sp macro="" textlink="">
      <xdr:nvSpPr>
        <xdr:cNvPr id="911" name="Isosceles Triangle 910">
          <a:extLst>
            <a:ext uri="{FF2B5EF4-FFF2-40B4-BE49-F238E27FC236}"/>
          </a:extLst>
        </xdr:cNvPr>
        <xdr:cNvSpPr/>
      </xdr:nvSpPr>
      <xdr:spPr>
        <a:xfrm>
          <a:off x="11210925" y="1895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r>
            <a:rPr lang="en-IN"/>
            <a:t>.</a:t>
          </a:r>
        </a:p>
      </xdr:txBody>
    </xdr:sp>
    <xdr:clientData fLocksWithSheet="0"/>
  </xdr:oneCellAnchor>
  <xdr:oneCellAnchor>
    <xdr:from>
      <xdr:col>37</xdr:col>
      <xdr:colOff>0</xdr:colOff>
      <xdr:row>98</xdr:row>
      <xdr:rowOff>0</xdr:rowOff>
    </xdr:from>
    <xdr:ext cx="514350" cy="361950"/>
    <xdr:sp macro="" textlink="">
      <xdr:nvSpPr>
        <xdr:cNvPr id="912" name="Isosceles Triangle 911">
          <a:extLst>
            <a:ext uri="{FF2B5EF4-FFF2-40B4-BE49-F238E27FC236}"/>
          </a:extLst>
        </xdr:cNvPr>
        <xdr:cNvSpPr/>
      </xdr:nvSpPr>
      <xdr:spPr>
        <a:xfrm>
          <a:off x="12115800" y="18954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98</xdr:row>
      <xdr:rowOff>0</xdr:rowOff>
    </xdr:from>
    <xdr:ext cx="514350" cy="361950"/>
    <xdr:sp macro="" textlink="">
      <xdr:nvSpPr>
        <xdr:cNvPr id="913" name="Isosceles Triangle 912">
          <a:extLst>
            <a:ext uri="{FF2B5EF4-FFF2-40B4-BE49-F238E27FC236}"/>
          </a:extLst>
        </xdr:cNvPr>
        <xdr:cNvSpPr/>
      </xdr:nvSpPr>
      <xdr:spPr>
        <a:xfrm>
          <a:off x="13115925" y="18954750"/>
          <a:ext cx="589817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106</xdr:row>
      <xdr:rowOff>0</xdr:rowOff>
    </xdr:from>
    <xdr:ext cx="514350" cy="361950"/>
    <xdr:sp macro="" textlink="">
      <xdr:nvSpPr>
        <xdr:cNvPr id="914" name="Isosceles Triangle 913">
          <a:extLst>
            <a:ext uri="{FF2B5EF4-FFF2-40B4-BE49-F238E27FC236}"/>
          </a:extLst>
        </xdr:cNvPr>
        <xdr:cNvSpPr/>
      </xdr:nvSpPr>
      <xdr:spPr>
        <a:xfrm>
          <a:off x="609600" y="2047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106</xdr:row>
      <xdr:rowOff>0</xdr:rowOff>
    </xdr:from>
    <xdr:ext cx="533400" cy="361950"/>
    <xdr:sp macro="" textlink="">
      <xdr:nvSpPr>
        <xdr:cNvPr id="915" name="Isosceles Triangle 914">
          <a:extLst>
            <a:ext uri="{FF2B5EF4-FFF2-40B4-BE49-F238E27FC236}"/>
          </a:extLst>
        </xdr:cNvPr>
        <xdr:cNvSpPr/>
      </xdr:nvSpPr>
      <xdr:spPr>
        <a:xfrm>
          <a:off x="1552575" y="2047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106</xdr:row>
      <xdr:rowOff>0</xdr:rowOff>
    </xdr:from>
    <xdr:ext cx="514350" cy="361950"/>
    <xdr:sp macro="" textlink="">
      <xdr:nvSpPr>
        <xdr:cNvPr id="916" name="Isosceles Triangle 915">
          <a:extLst>
            <a:ext uri="{FF2B5EF4-FFF2-40B4-BE49-F238E27FC236}"/>
          </a:extLst>
        </xdr:cNvPr>
        <xdr:cNvSpPr/>
      </xdr:nvSpPr>
      <xdr:spPr>
        <a:xfrm>
          <a:off x="2543175" y="2047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514350" cy="361950"/>
    <xdr:sp macro="" textlink="">
      <xdr:nvSpPr>
        <xdr:cNvPr id="917" name="Isosceles Triangle 916">
          <a:extLst>
            <a:ext uri="{FF2B5EF4-FFF2-40B4-BE49-F238E27FC236}"/>
          </a:extLst>
        </xdr:cNvPr>
        <xdr:cNvSpPr/>
      </xdr:nvSpPr>
      <xdr:spPr>
        <a:xfrm>
          <a:off x="3609975" y="2047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106</xdr:row>
      <xdr:rowOff>0</xdr:rowOff>
    </xdr:from>
    <xdr:ext cx="514350" cy="361950"/>
    <xdr:sp macro="" textlink="">
      <xdr:nvSpPr>
        <xdr:cNvPr id="918" name="Isosceles Triangle 917">
          <a:extLst>
            <a:ext uri="{FF2B5EF4-FFF2-40B4-BE49-F238E27FC236}"/>
          </a:extLst>
        </xdr:cNvPr>
        <xdr:cNvSpPr/>
      </xdr:nvSpPr>
      <xdr:spPr>
        <a:xfrm>
          <a:off x="4514850" y="2047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106</xdr:row>
      <xdr:rowOff>0</xdr:rowOff>
    </xdr:from>
    <xdr:ext cx="514350" cy="361950"/>
    <xdr:sp macro="" textlink="">
      <xdr:nvSpPr>
        <xdr:cNvPr id="919" name="Isosceles Triangle 918">
          <a:extLst>
            <a:ext uri="{FF2B5EF4-FFF2-40B4-BE49-F238E27FC236}"/>
          </a:extLst>
        </xdr:cNvPr>
        <xdr:cNvSpPr/>
      </xdr:nvSpPr>
      <xdr:spPr>
        <a:xfrm>
          <a:off x="5381625" y="2047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106</xdr:row>
      <xdr:rowOff>0</xdr:rowOff>
    </xdr:from>
    <xdr:ext cx="514350" cy="361950"/>
    <xdr:sp macro="" textlink="">
      <xdr:nvSpPr>
        <xdr:cNvPr id="920" name="Isosceles Triangle 919">
          <a:extLst>
            <a:ext uri="{FF2B5EF4-FFF2-40B4-BE49-F238E27FC236}"/>
          </a:extLst>
        </xdr:cNvPr>
        <xdr:cNvSpPr/>
      </xdr:nvSpPr>
      <xdr:spPr>
        <a:xfrm>
          <a:off x="6296025" y="2047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106</xdr:row>
      <xdr:rowOff>0</xdr:rowOff>
    </xdr:from>
    <xdr:ext cx="514350" cy="361950"/>
    <xdr:sp macro="" textlink="">
      <xdr:nvSpPr>
        <xdr:cNvPr id="921" name="Isosceles Triangle 920">
          <a:extLst>
            <a:ext uri="{FF2B5EF4-FFF2-40B4-BE49-F238E27FC236}"/>
          </a:extLst>
        </xdr:cNvPr>
        <xdr:cNvSpPr/>
      </xdr:nvSpPr>
      <xdr:spPr>
        <a:xfrm>
          <a:off x="7172325" y="2047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2</xdr:row>
      <xdr:rowOff>19050</xdr:rowOff>
    </xdr:from>
    <xdr:ext cx="533400" cy="352425"/>
    <xdr:sp macro="" textlink="">
      <xdr:nvSpPr>
        <xdr:cNvPr id="922" name="Isosceles Triangle 921">
          <a:extLst>
            <a:ext uri="{FF2B5EF4-FFF2-40B4-BE49-F238E27FC236}"/>
          </a:extLst>
        </xdr:cNvPr>
        <xdr:cNvSpPr/>
      </xdr:nvSpPr>
      <xdr:spPr>
        <a:xfrm>
          <a:off x="1552575" y="687917"/>
          <a:ext cx="523142" cy="363090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2</xdr:row>
      <xdr:rowOff>19050</xdr:rowOff>
    </xdr:from>
    <xdr:ext cx="514350" cy="352425"/>
    <xdr:sp macro="" textlink="">
      <xdr:nvSpPr>
        <xdr:cNvPr id="925" name="Isosceles Triangle 924">
          <a:extLst>
            <a:ext uri="{FF2B5EF4-FFF2-40B4-BE49-F238E27FC236}"/>
          </a:extLst>
        </xdr:cNvPr>
        <xdr:cNvSpPr/>
      </xdr:nvSpPr>
      <xdr:spPr>
        <a:xfrm>
          <a:off x="5381625" y="687917"/>
          <a:ext cx="523142" cy="363090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193</xdr:row>
      <xdr:rowOff>19050</xdr:rowOff>
    </xdr:from>
    <xdr:ext cx="533400" cy="352425"/>
    <xdr:sp macro="" textlink="">
      <xdr:nvSpPr>
        <xdr:cNvPr id="926" name="Isosceles Triangle 925">
          <a:extLst>
            <a:ext uri="{FF2B5EF4-FFF2-40B4-BE49-F238E27FC236}"/>
          </a:extLst>
        </xdr:cNvPr>
        <xdr:cNvSpPr/>
      </xdr:nvSpPr>
      <xdr:spPr>
        <a:xfrm>
          <a:off x="1552575" y="37082942"/>
          <a:ext cx="523142" cy="363090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193</xdr:row>
      <xdr:rowOff>19050</xdr:rowOff>
    </xdr:from>
    <xdr:ext cx="514350" cy="352425"/>
    <xdr:sp macro="" textlink="">
      <xdr:nvSpPr>
        <xdr:cNvPr id="927" name="Isosceles Triangle 926">
          <a:extLst>
            <a:ext uri="{FF2B5EF4-FFF2-40B4-BE49-F238E27FC236}"/>
          </a:extLst>
        </xdr:cNvPr>
        <xdr:cNvSpPr/>
      </xdr:nvSpPr>
      <xdr:spPr>
        <a:xfrm>
          <a:off x="2543175" y="37082941"/>
          <a:ext cx="523142" cy="363090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193</xdr:row>
      <xdr:rowOff>28575</xdr:rowOff>
    </xdr:from>
    <xdr:ext cx="514350" cy="352425"/>
    <xdr:sp macro="" textlink="">
      <xdr:nvSpPr>
        <xdr:cNvPr id="928" name="Isosceles Triangle 927">
          <a:extLst>
            <a:ext uri="{FF2B5EF4-FFF2-40B4-BE49-F238E27FC236}"/>
          </a:extLst>
        </xdr:cNvPr>
        <xdr:cNvSpPr/>
      </xdr:nvSpPr>
      <xdr:spPr>
        <a:xfrm>
          <a:off x="3609975" y="37093525"/>
          <a:ext cx="523142" cy="363090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152400</xdr:colOff>
      <xdr:row>193</xdr:row>
      <xdr:rowOff>133350</xdr:rowOff>
    </xdr:from>
    <xdr:ext cx="238125" cy="171450"/>
    <xdr:sp macro="" textlink="">
      <xdr:nvSpPr>
        <xdr:cNvPr id="929" name="5-Point Star 520">
          <a:extLst>
            <a:ext uri="{FF2B5EF4-FFF2-40B4-BE49-F238E27FC236}"/>
          </a:extLst>
        </xdr:cNvPr>
        <xdr:cNvSpPr/>
      </xdr:nvSpPr>
      <xdr:spPr>
        <a:xfrm>
          <a:off x="1711325" y="37199358"/>
          <a:ext cx="223309" cy="179917"/>
        </a:xfrm>
        <a:prstGeom prst="star5">
          <a:avLst/>
        </a:prstGeom>
        <a:solidFill>
          <a:srgbClr val="00B0F0"/>
        </a:solidFill>
        <a:ln cap="flat" cmpd="sng" w="12700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4</xdr:col>
      <xdr:colOff>247650</xdr:colOff>
      <xdr:row>193</xdr:row>
      <xdr:rowOff>9525</xdr:rowOff>
    </xdr:from>
    <xdr:ext cx="1000125" cy="9525"/>
    <xdr:cxnSp macro="">
      <xdr:nvCxnSpPr>
        <xdr:cNvPr id="930" name="Curved Connector 523">
          <a:extLst>
            <a:ext uri="{FF2B5EF4-FFF2-40B4-BE49-F238E27FC236}"/>
          </a:extLst>
        </xdr:cNvPr>
        <xdr:cNvCxnSpPr/>
      </xdr:nvCxnSpPr>
      <xdr:spPr>
        <a:xfrm flipH="1" rot="16200000">
          <a:off x="2296583" y="36582350"/>
          <a:ext cx="10584" cy="990600"/>
        </a:xfrm>
        <a:prstGeom prst="curvedConnector3">
          <a:avLst>
            <a:gd fmla="val 1339919" name="adj1"/>
          </a:avLst>
        </a:prstGeom>
        <a:ln w="38100">
          <a:solidFill>
            <a:srgbClr val="92D050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295275</xdr:colOff>
      <xdr:row>190</xdr:row>
      <xdr:rowOff>171450</xdr:rowOff>
    </xdr:from>
    <xdr:ext cx="371475" cy="533400"/>
    <xdr:cxnSp macro="">
      <xdr:nvCxnSpPr>
        <xdr:cNvPr id="931" name="Straight Arrow Connector 930">
          <a:extLst>
            <a:ext uri="{FF2B5EF4-FFF2-40B4-BE49-F238E27FC236}"/>
          </a:extLst>
        </xdr:cNvPr>
        <xdr:cNvCxnSpPr/>
      </xdr:nvCxnSpPr>
      <xdr:spPr>
        <a:xfrm>
          <a:off x="1440657" y="36668868"/>
          <a:ext cx="359915" cy="559900"/>
        </a:xfrm>
        <a:prstGeom prst="straightConnector1">
          <a:avLst/>
        </a:prstGeom>
        <a:ln cap="flat" cmpd="sng" w="6350" algn="ctr">
          <a:solidFill>
            <a:schemeClr val="accent1"/>
          </a:solidFill>
          <a:prstDash val="solid"/>
          <a:miter lim="800000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6</xdr:col>
      <xdr:colOff>47625</xdr:colOff>
      <xdr:row>191</xdr:row>
      <xdr:rowOff>0</xdr:rowOff>
    </xdr:from>
    <xdr:ext cx="9525" cy="466725"/>
    <xdr:cxnSp macro="">
      <xdr:nvCxnSpPr>
        <xdr:cNvPr id="932" name="Straight Arrow Connector 931">
          <a:extLst>
            <a:ext uri="{FF2B5EF4-FFF2-40B4-BE49-F238E27FC236}"/>
          </a:extLst>
        </xdr:cNvPr>
        <xdr:cNvCxnSpPr/>
      </xdr:nvCxnSpPr>
      <xdr:spPr>
        <a:xfrm>
          <a:off x="2124075" y="36680774"/>
          <a:ext cx="13229" cy="492126"/>
        </a:xfrm>
        <a:prstGeom prst="straightConnector1">
          <a:avLst/>
        </a:prstGeom>
        <a:ln cap="flat" cmpd="sng" w="6350" algn="ctr">
          <a:solidFill>
            <a:schemeClr val="accent1"/>
          </a:solidFill>
          <a:prstDash val="solid"/>
          <a:miter lim="800000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9</xdr:col>
      <xdr:colOff>28575</xdr:colOff>
      <xdr:row>191</xdr:row>
      <xdr:rowOff>0</xdr:rowOff>
    </xdr:from>
    <xdr:ext cx="0" cy="438150"/>
    <xdr:cxnSp macro="">
      <xdr:nvCxnSpPr>
        <xdr:cNvPr id="933" name="Straight Arrow Connector 932">
          <a:extLst>
            <a:ext uri="{FF2B5EF4-FFF2-40B4-BE49-F238E27FC236}"/>
          </a:extLst>
        </xdr:cNvPr>
        <xdr:cNvCxnSpPr/>
      </xdr:nvCxnSpPr>
      <xdr:spPr>
        <a:xfrm>
          <a:off x="3112293" y="36680774"/>
          <a:ext cx="0" cy="464344"/>
        </a:xfrm>
        <a:prstGeom prst="straightConnector1">
          <a:avLst/>
        </a:prstGeom>
        <a:ln cap="flat" cmpd="sng" w="6350" algn="ctr">
          <a:solidFill>
            <a:schemeClr val="accent1"/>
          </a:solidFill>
          <a:prstDash val="solid"/>
          <a:miter lim="800000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</xdr:col>
      <xdr:colOff>228600</xdr:colOff>
      <xdr:row>193</xdr:row>
      <xdr:rowOff>9525</xdr:rowOff>
    </xdr:from>
    <xdr:ext cx="561975" cy="314325"/>
    <xdr:cxnSp macro="">
      <xdr:nvCxnSpPr>
        <xdr:cNvPr id="934" name="Straight Arrow Connector 933">
          <a:extLst>
            <a:ext uri="{FF2B5EF4-FFF2-40B4-BE49-F238E27FC236}"/>
          </a:extLst>
        </xdr:cNvPr>
        <xdr:cNvCxnSpPr/>
      </xdr:nvCxnSpPr>
      <xdr:spPr>
        <a:xfrm>
          <a:off x="1109134" y="37072359"/>
          <a:ext cx="549274" cy="328083"/>
        </a:xfrm>
        <a:prstGeom prst="straightConnector1">
          <a:avLst/>
        </a:prstGeom>
        <a:ln cap="flat" cmpd="sng" w="6350" algn="ctr">
          <a:solidFill>
            <a:schemeClr val="accent1"/>
          </a:solidFill>
          <a:prstDash val="solid"/>
          <a:miter lim="800000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190500</xdr:colOff>
      <xdr:row>196</xdr:row>
      <xdr:rowOff>114300</xdr:rowOff>
    </xdr:from>
    <xdr:ext cx="228600" cy="0"/>
    <xdr:cxnSp macro="">
      <xdr:nvCxnSpPr>
        <xdr:cNvPr id="935" name="Straight Arrow Connector 934">
          <a:extLst>
            <a:ext uri="{FF2B5EF4-FFF2-40B4-BE49-F238E27FC236}"/>
          </a:extLst>
        </xdr:cNvPr>
        <xdr:cNvCxnSpPr/>
      </xdr:nvCxnSpPr>
      <xdr:spPr>
        <a:xfrm>
          <a:off x="1333500" y="37749692"/>
          <a:ext cx="219075" cy="0"/>
        </a:xfrm>
        <a:prstGeom prst="straightConnector1">
          <a:avLst/>
        </a:prstGeom>
        <a:ln cap="flat" cmpd="sng" w="6350" algn="ctr">
          <a:solidFill>
            <a:schemeClr val="accent1"/>
          </a:solidFill>
          <a:prstDash val="solid"/>
          <a:miter lim="800000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6</xdr:col>
      <xdr:colOff>0</xdr:colOff>
      <xdr:row>197</xdr:row>
      <xdr:rowOff>123825</xdr:rowOff>
    </xdr:from>
    <xdr:ext cx="38100" cy="238125"/>
    <xdr:cxnSp macro="">
      <xdr:nvCxnSpPr>
        <xdr:cNvPr id="937" name="Straight Arrow Connector 936">
          <a:extLst>
            <a:ext uri="{FF2B5EF4-FFF2-40B4-BE49-F238E27FC236}"/>
          </a:extLst>
        </xdr:cNvPr>
        <xdr:cNvCxnSpPr/>
      </xdr:nvCxnSpPr>
      <xdr:spPr>
        <a:xfrm flipH="1" flipV="1">
          <a:off x="2085710" y="37950776"/>
          <a:ext cx="42333" cy="253999"/>
        </a:xfrm>
        <a:prstGeom prst="straightConnector1">
          <a:avLst/>
        </a:prstGeom>
        <a:ln cap="flat" cmpd="sng" w="6350" algn="ctr">
          <a:solidFill>
            <a:schemeClr val="accent1"/>
          </a:solidFill>
          <a:prstDash val="solid"/>
          <a:miter lim="800000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9</xdr:col>
      <xdr:colOff>390525</xdr:colOff>
      <xdr:row>198</xdr:row>
      <xdr:rowOff>66675</xdr:rowOff>
    </xdr:from>
    <xdr:ext cx="95250" cy="104775"/>
    <xdr:cxnSp macro="">
      <xdr:nvCxnSpPr>
        <xdr:cNvPr id="938" name="Straight Arrow Connector 937">
          <a:extLst>
            <a:ext uri="{FF2B5EF4-FFF2-40B4-BE49-F238E27FC236}"/>
          </a:extLst>
        </xdr:cNvPr>
        <xdr:cNvCxnSpPr/>
      </xdr:nvCxnSpPr>
      <xdr:spPr>
        <a:xfrm flipH="1" flipV="1">
          <a:off x="3469481" y="38085712"/>
          <a:ext cx="176213" cy="107156"/>
        </a:xfrm>
        <a:prstGeom prst="straightConnector1">
          <a:avLst/>
        </a:prstGeom>
        <a:ln cap="flat" cmpd="sng" w="6350" algn="ctr">
          <a:solidFill>
            <a:schemeClr val="accent1"/>
          </a:solidFill>
          <a:prstDash val="solid"/>
          <a:miter lim="800000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38100</xdr:colOff>
      <xdr:row>198</xdr:row>
      <xdr:rowOff>85725</xdr:rowOff>
    </xdr:from>
    <xdr:ext cx="361950" cy="161925"/>
    <xdr:sp macro="" textlink="">
      <xdr:nvSpPr>
        <xdr:cNvPr id="939" name="Lightning Bolt 938">
          <a:extLst>
            <a:ext uri="{FF2B5EF4-FFF2-40B4-BE49-F238E27FC236}"/>
          </a:extLst>
        </xdr:cNvPr>
        <xdr:cNvSpPr/>
      </xdr:nvSpPr>
      <xdr:spPr>
        <a:xfrm rot="2857557">
          <a:off x="5150999" y="38038699"/>
          <a:ext cx="168357" cy="296429"/>
        </a:xfrm>
        <a:prstGeom prst="lightningBolt">
          <a:avLst/>
        </a:prstGeom>
        <a:solidFill>
          <a:srgbClr val="FF0000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66675</xdr:colOff>
      <xdr:row>196</xdr:row>
      <xdr:rowOff>95250</xdr:rowOff>
    </xdr:from>
    <xdr:ext cx="276225" cy="171450"/>
    <xdr:sp macro="" textlink="">
      <xdr:nvSpPr>
        <xdr:cNvPr id="940" name="Lightning Bolt 939">
          <a:extLst>
            <a:ext uri="{FF2B5EF4-FFF2-40B4-BE49-F238E27FC236}"/>
          </a:extLst>
        </xdr:cNvPr>
        <xdr:cNvSpPr/>
      </xdr:nvSpPr>
      <xdr:spPr>
        <a:xfrm rot="2857557">
          <a:off x="5168418" y="37682341"/>
          <a:ext cx="176380" cy="270962"/>
        </a:xfrm>
        <a:prstGeom prst="lightningBolt">
          <a:avLst/>
        </a:prstGeom>
        <a:solidFill>
          <a:srgbClr val="FF99FF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123825</xdr:colOff>
      <xdr:row>192</xdr:row>
      <xdr:rowOff>19050</xdr:rowOff>
    </xdr:from>
    <xdr:ext cx="133350" cy="323850"/>
    <xdr:sp macro="" textlink="">
      <xdr:nvSpPr>
        <xdr:cNvPr id="941" name="Arrow: Up 1004">
          <a:extLst>
            <a:ext uri="{FF2B5EF4-FFF2-40B4-BE49-F238E27FC236}"/>
          </a:extLst>
        </xdr:cNvPr>
        <xdr:cNvSpPr/>
      </xdr:nvSpPr>
      <xdr:spPr>
        <a:xfrm>
          <a:off x="5179221" y="36895086"/>
          <a:ext cx="142874" cy="335469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123825</xdr:colOff>
      <xdr:row>190</xdr:row>
      <xdr:rowOff>9525</xdr:rowOff>
    </xdr:from>
    <xdr:ext cx="123825" cy="333375"/>
    <xdr:sp macro="" textlink="">
      <xdr:nvSpPr>
        <xdr:cNvPr id="942" name="Arrow: Up 1005">
          <a:extLst>
            <a:ext uri="{FF2B5EF4-FFF2-40B4-BE49-F238E27FC236}"/>
          </a:extLst>
        </xdr:cNvPr>
        <xdr:cNvSpPr/>
      </xdr:nvSpPr>
      <xdr:spPr>
        <a:xfrm>
          <a:off x="5179220" y="365021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133350</xdr:colOff>
      <xdr:row>194</xdr:row>
      <xdr:rowOff>0</xdr:rowOff>
    </xdr:from>
    <xdr:ext cx="123825" cy="352425"/>
    <xdr:sp macro="" textlink="">
      <xdr:nvSpPr>
        <xdr:cNvPr id="943" name="Arrow: Up-Down 1006">
          <a:extLst>
            <a:ext uri="{FF2B5EF4-FFF2-40B4-BE49-F238E27FC236}"/>
          </a:extLst>
        </xdr:cNvPr>
        <xdr:cNvSpPr/>
      </xdr:nvSpPr>
      <xdr:spPr>
        <a:xfrm>
          <a:off x="5191124" y="37252274"/>
          <a:ext cx="130970" cy="370806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38100</xdr:colOff>
      <xdr:row>11</xdr:row>
      <xdr:rowOff>152400</xdr:rowOff>
    </xdr:from>
    <xdr:ext cx="161925" cy="381000"/>
    <xdr:sp macro="" textlink="">
      <xdr:nvSpPr>
        <xdr:cNvPr id="946" name="Arrow: Up 1009">
          <a:extLst>
            <a:ext uri="{FF2B5EF4-FFF2-40B4-BE49-F238E27FC236}"/>
          </a:extLst>
        </xdr:cNvPr>
        <xdr:cNvSpPr/>
      </xdr:nvSpPr>
      <xdr:spPr>
        <a:xfrm>
          <a:off x="2121910" y="2536032"/>
          <a:ext cx="171016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95250</xdr:colOff>
      <xdr:row>11</xdr:row>
      <xdr:rowOff>142875</xdr:rowOff>
    </xdr:from>
    <xdr:ext cx="142875" cy="390525"/>
    <xdr:sp macro="" textlink="">
      <xdr:nvSpPr>
        <xdr:cNvPr id="947" name="Arrow: Up 1010">
          <a:extLst>
            <a:ext uri="{FF2B5EF4-FFF2-40B4-BE49-F238E27FC236}"/>
          </a:extLst>
        </xdr:cNvPr>
        <xdr:cNvSpPr/>
      </xdr:nvSpPr>
      <xdr:spPr>
        <a:xfrm>
          <a:off x="4239706" y="2526289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209550</xdr:colOff>
      <xdr:row>19</xdr:row>
      <xdr:rowOff>161925</xdr:rowOff>
    </xdr:from>
    <xdr:ext cx="142875" cy="381000"/>
    <xdr:sp macro="" textlink="">
      <xdr:nvSpPr>
        <xdr:cNvPr id="948" name="Arrow: Up 1011">
          <a:extLst>
            <a:ext uri="{FF2B5EF4-FFF2-40B4-BE49-F238E27FC236}"/>
          </a:extLst>
        </xdr:cNvPr>
        <xdr:cNvSpPr/>
      </xdr:nvSpPr>
      <xdr:spPr>
        <a:xfrm>
          <a:off x="1357313" y="4071938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123825</xdr:colOff>
      <xdr:row>19</xdr:row>
      <xdr:rowOff>161925</xdr:rowOff>
    </xdr:from>
    <xdr:ext cx="142875" cy="381000"/>
    <xdr:sp macro="" textlink="">
      <xdr:nvSpPr>
        <xdr:cNvPr id="949" name="Arrow: Up 1012">
          <a:extLst>
            <a:ext uri="{FF2B5EF4-FFF2-40B4-BE49-F238E27FC236}"/>
          </a:extLst>
        </xdr:cNvPr>
        <xdr:cNvSpPr/>
      </xdr:nvSpPr>
      <xdr:spPr>
        <a:xfrm>
          <a:off x="7836694" y="4071937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114300</xdr:colOff>
      <xdr:row>27</xdr:row>
      <xdr:rowOff>161925</xdr:rowOff>
    </xdr:from>
    <xdr:ext cx="142875" cy="390525"/>
    <xdr:sp macro="" textlink="">
      <xdr:nvSpPr>
        <xdr:cNvPr id="950" name="Arrow: Up 1013">
          <a:extLst>
            <a:ext uri="{FF2B5EF4-FFF2-40B4-BE49-F238E27FC236}"/>
          </a:extLst>
        </xdr:cNvPr>
        <xdr:cNvSpPr/>
      </xdr:nvSpPr>
      <xdr:spPr>
        <a:xfrm>
          <a:off x="1262063" y="5595937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190500</xdr:colOff>
      <xdr:row>27</xdr:row>
      <xdr:rowOff>161925</xdr:rowOff>
    </xdr:from>
    <xdr:ext cx="142875" cy="390525"/>
    <xdr:sp macro="" textlink="">
      <xdr:nvSpPr>
        <xdr:cNvPr id="951" name="Arrow: Up 1014">
          <a:extLst>
            <a:ext uri="{FF2B5EF4-FFF2-40B4-BE49-F238E27FC236}"/>
          </a:extLst>
        </xdr:cNvPr>
        <xdr:cNvSpPr/>
      </xdr:nvSpPr>
      <xdr:spPr>
        <a:xfrm>
          <a:off x="6110937" y="5595938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171450</xdr:colOff>
      <xdr:row>27</xdr:row>
      <xdr:rowOff>142875</xdr:rowOff>
    </xdr:from>
    <xdr:ext cx="142875" cy="400050"/>
    <xdr:sp macro="" textlink="">
      <xdr:nvSpPr>
        <xdr:cNvPr id="952" name="Arrow: Up 1015">
          <a:extLst>
            <a:ext uri="{FF2B5EF4-FFF2-40B4-BE49-F238E27FC236}"/>
          </a:extLst>
        </xdr:cNvPr>
        <xdr:cNvSpPr/>
      </xdr:nvSpPr>
      <xdr:spPr>
        <a:xfrm>
          <a:off x="7879990" y="5575373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180975</xdr:colOff>
      <xdr:row>35</xdr:row>
      <xdr:rowOff>142875</xdr:rowOff>
    </xdr:from>
    <xdr:ext cx="142875" cy="390525"/>
    <xdr:sp macro="" textlink="">
      <xdr:nvSpPr>
        <xdr:cNvPr id="953" name="Arrow: Up 1016">
          <a:extLst>
            <a:ext uri="{FF2B5EF4-FFF2-40B4-BE49-F238E27FC236}"/>
          </a:extLst>
        </xdr:cNvPr>
        <xdr:cNvSpPr/>
      </xdr:nvSpPr>
      <xdr:spPr>
        <a:xfrm>
          <a:off x="9900587" y="7098290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123825</xdr:colOff>
      <xdr:row>43</xdr:row>
      <xdr:rowOff>161925</xdr:rowOff>
    </xdr:from>
    <xdr:ext cx="142875" cy="381000"/>
    <xdr:sp macro="" textlink="">
      <xdr:nvSpPr>
        <xdr:cNvPr id="954" name="Arrow: Up 1017">
          <a:extLst>
            <a:ext uri="{FF2B5EF4-FFF2-40B4-BE49-F238E27FC236}"/>
          </a:extLst>
        </xdr:cNvPr>
        <xdr:cNvSpPr/>
      </xdr:nvSpPr>
      <xdr:spPr>
        <a:xfrm>
          <a:off x="11865769" y="8643938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47625</xdr:colOff>
      <xdr:row>43</xdr:row>
      <xdr:rowOff>161925</xdr:rowOff>
    </xdr:from>
    <xdr:ext cx="142875" cy="381000"/>
    <xdr:sp macro="" textlink="">
      <xdr:nvSpPr>
        <xdr:cNvPr id="955" name="Arrow: Up 1018">
          <a:extLst>
            <a:ext uri="{FF2B5EF4-FFF2-40B4-BE49-F238E27FC236}"/>
          </a:extLst>
        </xdr:cNvPr>
        <xdr:cNvSpPr/>
      </xdr:nvSpPr>
      <xdr:spPr>
        <a:xfrm>
          <a:off x="12668250" y="8643937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123825</xdr:colOff>
      <xdr:row>43</xdr:row>
      <xdr:rowOff>171450</xdr:rowOff>
    </xdr:from>
    <xdr:ext cx="142875" cy="381000"/>
    <xdr:sp macro="" textlink="">
      <xdr:nvSpPr>
        <xdr:cNvPr id="956" name="Arrow: Up 1019">
          <a:extLst>
            <a:ext uri="{FF2B5EF4-FFF2-40B4-BE49-F238E27FC236}"/>
          </a:extLst>
        </xdr:cNvPr>
        <xdr:cNvSpPr/>
      </xdr:nvSpPr>
      <xdr:spPr>
        <a:xfrm>
          <a:off x="10768229" y="86547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42</xdr:col>
      <xdr:colOff>66675</xdr:colOff>
      <xdr:row>43</xdr:row>
      <xdr:rowOff>152400</xdr:rowOff>
    </xdr:from>
    <xdr:ext cx="142875" cy="381000"/>
    <xdr:sp macro="" textlink="">
      <xdr:nvSpPr>
        <xdr:cNvPr id="957" name="Arrow: Up 1020">
          <a:extLst>
            <a:ext uri="{FF2B5EF4-FFF2-40B4-BE49-F238E27FC236}"/>
          </a:extLst>
        </xdr:cNvPr>
        <xdr:cNvSpPr/>
      </xdr:nvSpPr>
      <xdr:spPr>
        <a:xfrm>
          <a:off x="13777333" y="8632322"/>
          <a:ext cx="142875" cy="402261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161925</xdr:colOff>
      <xdr:row>51</xdr:row>
      <xdr:rowOff>142875</xdr:rowOff>
    </xdr:from>
    <xdr:ext cx="142875" cy="400050"/>
    <xdr:sp macro="" textlink="">
      <xdr:nvSpPr>
        <xdr:cNvPr id="958" name="Arrow: Up 1021">
          <a:extLst>
            <a:ext uri="{FF2B5EF4-FFF2-40B4-BE49-F238E27FC236}"/>
          </a:extLst>
        </xdr:cNvPr>
        <xdr:cNvSpPr/>
      </xdr:nvSpPr>
      <xdr:spPr>
        <a:xfrm>
          <a:off x="3240016" y="10146291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104775</xdr:colOff>
      <xdr:row>51</xdr:row>
      <xdr:rowOff>133350</xdr:rowOff>
    </xdr:from>
    <xdr:ext cx="142875" cy="400050"/>
    <xdr:sp macro="" textlink="">
      <xdr:nvSpPr>
        <xdr:cNvPr id="959" name="Arrow: Up 1022">
          <a:extLst>
            <a:ext uri="{FF2B5EF4-FFF2-40B4-BE49-F238E27FC236}"/>
          </a:extLst>
        </xdr:cNvPr>
        <xdr:cNvSpPr/>
      </xdr:nvSpPr>
      <xdr:spPr>
        <a:xfrm>
          <a:off x="6938747" y="10135467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142875</xdr:colOff>
      <xdr:row>59</xdr:row>
      <xdr:rowOff>161925</xdr:rowOff>
    </xdr:from>
    <xdr:ext cx="142875" cy="381000"/>
    <xdr:sp macro="" textlink="">
      <xdr:nvSpPr>
        <xdr:cNvPr id="960" name="Arrow: Up 1023">
          <a:extLst>
            <a:ext uri="{FF2B5EF4-FFF2-40B4-BE49-F238E27FC236}"/>
          </a:extLst>
        </xdr:cNvPr>
        <xdr:cNvSpPr/>
      </xdr:nvSpPr>
      <xdr:spPr>
        <a:xfrm>
          <a:off x="8896350" y="11691937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66675</xdr:colOff>
      <xdr:row>59</xdr:row>
      <xdr:rowOff>142875</xdr:rowOff>
    </xdr:from>
    <xdr:ext cx="142875" cy="390525"/>
    <xdr:sp macro="" textlink="">
      <xdr:nvSpPr>
        <xdr:cNvPr id="961" name="Arrow: Up 1024">
          <a:extLst>
            <a:ext uri="{FF2B5EF4-FFF2-40B4-BE49-F238E27FC236}"/>
          </a:extLst>
        </xdr:cNvPr>
        <xdr:cNvSpPr/>
      </xdr:nvSpPr>
      <xdr:spPr>
        <a:xfrm>
          <a:off x="10715192" y="11670290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42</xdr:col>
      <xdr:colOff>209550</xdr:colOff>
      <xdr:row>59</xdr:row>
      <xdr:rowOff>152400</xdr:rowOff>
    </xdr:from>
    <xdr:ext cx="161925" cy="381000"/>
    <xdr:sp macro="" textlink="">
      <xdr:nvSpPr>
        <xdr:cNvPr id="962" name="Arrow: Up 1025">
          <a:extLst>
            <a:ext uri="{FF2B5EF4-FFF2-40B4-BE49-F238E27FC236}"/>
          </a:extLst>
        </xdr:cNvPr>
        <xdr:cNvSpPr/>
      </xdr:nvSpPr>
      <xdr:spPr>
        <a:xfrm>
          <a:off x="13919046" y="11680031"/>
          <a:ext cx="170753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123825</xdr:colOff>
      <xdr:row>67</xdr:row>
      <xdr:rowOff>161925</xdr:rowOff>
    </xdr:from>
    <xdr:ext cx="142875" cy="381000"/>
    <xdr:sp macro="" textlink="">
      <xdr:nvSpPr>
        <xdr:cNvPr id="963" name="Arrow: Up 1026">
          <a:extLst>
            <a:ext uri="{FF2B5EF4-FFF2-40B4-BE49-F238E27FC236}"/>
          </a:extLst>
        </xdr:cNvPr>
        <xdr:cNvSpPr/>
      </xdr:nvSpPr>
      <xdr:spPr>
        <a:xfrm>
          <a:off x="3207544" y="13215938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133350</xdr:colOff>
      <xdr:row>67</xdr:row>
      <xdr:rowOff>171450</xdr:rowOff>
    </xdr:from>
    <xdr:ext cx="142875" cy="381000"/>
    <xdr:sp macro="" textlink="">
      <xdr:nvSpPr>
        <xdr:cNvPr id="964" name="Arrow: Up 1027">
          <a:extLst>
            <a:ext uri="{FF2B5EF4-FFF2-40B4-BE49-F238E27FC236}"/>
          </a:extLst>
        </xdr:cNvPr>
        <xdr:cNvSpPr/>
      </xdr:nvSpPr>
      <xdr:spPr>
        <a:xfrm>
          <a:off x="4279755" y="13226762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142875</xdr:colOff>
      <xdr:row>67</xdr:row>
      <xdr:rowOff>161925</xdr:rowOff>
    </xdr:from>
    <xdr:ext cx="142875" cy="381000"/>
    <xdr:sp macro="" textlink="">
      <xdr:nvSpPr>
        <xdr:cNvPr id="965" name="Arrow: Up 1028">
          <a:extLst>
            <a:ext uri="{FF2B5EF4-FFF2-40B4-BE49-F238E27FC236}"/>
          </a:extLst>
        </xdr:cNvPr>
        <xdr:cNvSpPr/>
      </xdr:nvSpPr>
      <xdr:spPr>
        <a:xfrm>
          <a:off x="5191125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142875</xdr:colOff>
      <xdr:row>67</xdr:row>
      <xdr:rowOff>161925</xdr:rowOff>
    </xdr:from>
    <xdr:ext cx="142875" cy="381000"/>
    <xdr:sp macro="" textlink="">
      <xdr:nvSpPr>
        <xdr:cNvPr id="966" name="Arrow: Up 1029">
          <a:extLst>
            <a:ext uri="{FF2B5EF4-FFF2-40B4-BE49-F238E27FC236}"/>
          </a:extLst>
        </xdr:cNvPr>
        <xdr:cNvSpPr/>
      </xdr:nvSpPr>
      <xdr:spPr>
        <a:xfrm>
          <a:off x="6057900" y="13215938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123825</xdr:colOff>
      <xdr:row>67</xdr:row>
      <xdr:rowOff>161925</xdr:rowOff>
    </xdr:from>
    <xdr:ext cx="142875" cy="381000"/>
    <xdr:sp macro="" textlink="">
      <xdr:nvSpPr>
        <xdr:cNvPr id="967" name="Arrow: Up 1030">
          <a:extLst>
            <a:ext uri="{FF2B5EF4-FFF2-40B4-BE49-F238E27FC236}"/>
          </a:extLst>
        </xdr:cNvPr>
        <xdr:cNvSpPr/>
      </xdr:nvSpPr>
      <xdr:spPr>
        <a:xfrm>
          <a:off x="7836694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180975</xdr:colOff>
      <xdr:row>67</xdr:row>
      <xdr:rowOff>161925</xdr:rowOff>
    </xdr:from>
    <xdr:ext cx="142875" cy="381000"/>
    <xdr:sp macro="" textlink="">
      <xdr:nvSpPr>
        <xdr:cNvPr id="968" name="Arrow: Up 1031">
          <a:extLst>
            <a:ext uri="{FF2B5EF4-FFF2-40B4-BE49-F238E27FC236}"/>
          </a:extLst>
        </xdr:cNvPr>
        <xdr:cNvSpPr/>
      </xdr:nvSpPr>
      <xdr:spPr>
        <a:xfrm>
          <a:off x="9901670" y="13215937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42</xdr:col>
      <xdr:colOff>66675</xdr:colOff>
      <xdr:row>67</xdr:row>
      <xdr:rowOff>171450</xdr:rowOff>
    </xdr:from>
    <xdr:ext cx="142875" cy="381000"/>
    <xdr:sp macro="" textlink="">
      <xdr:nvSpPr>
        <xdr:cNvPr id="969" name="Arrow: Up 1032">
          <a:extLst>
            <a:ext uri="{FF2B5EF4-FFF2-40B4-BE49-F238E27FC236}"/>
          </a:extLst>
        </xdr:cNvPr>
        <xdr:cNvSpPr/>
      </xdr:nvSpPr>
      <xdr:spPr>
        <a:xfrm>
          <a:off x="13779366" y="13227554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180975</xdr:colOff>
      <xdr:row>75</xdr:row>
      <xdr:rowOff>171450</xdr:rowOff>
    </xdr:from>
    <xdr:ext cx="142875" cy="390525"/>
    <xdr:sp macro="" textlink="">
      <xdr:nvSpPr>
        <xdr:cNvPr id="970" name="Arrow: Up 1033">
          <a:extLst>
            <a:ext uri="{FF2B5EF4-FFF2-40B4-BE49-F238E27FC236}"/>
          </a:extLst>
        </xdr:cNvPr>
        <xdr:cNvSpPr/>
      </xdr:nvSpPr>
      <xdr:spPr>
        <a:xfrm>
          <a:off x="2261538" y="14750761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228600</xdr:colOff>
      <xdr:row>75</xdr:row>
      <xdr:rowOff>142875</xdr:rowOff>
    </xdr:from>
    <xdr:ext cx="142875" cy="400050"/>
    <xdr:sp macro="" textlink="">
      <xdr:nvSpPr>
        <xdr:cNvPr id="971" name="Arrow: Up 1034">
          <a:extLst>
            <a:ext uri="{FF2B5EF4-FFF2-40B4-BE49-F238E27FC236}"/>
          </a:extLst>
        </xdr:cNvPr>
        <xdr:cNvSpPr/>
      </xdr:nvSpPr>
      <xdr:spPr>
        <a:xfrm>
          <a:off x="3306041" y="1471829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104775</xdr:colOff>
      <xdr:row>75</xdr:row>
      <xdr:rowOff>161925</xdr:rowOff>
    </xdr:from>
    <xdr:ext cx="133350" cy="390525"/>
    <xdr:sp macro="" textlink="">
      <xdr:nvSpPr>
        <xdr:cNvPr id="972" name="Arrow: Up 1035">
          <a:extLst>
            <a:ext uri="{FF2B5EF4-FFF2-40B4-BE49-F238E27FC236}"/>
          </a:extLst>
        </xdr:cNvPr>
        <xdr:cNvSpPr/>
      </xdr:nvSpPr>
      <xdr:spPr>
        <a:xfrm>
          <a:off x="6935499" y="147399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200025</xdr:colOff>
      <xdr:row>75</xdr:row>
      <xdr:rowOff>152400</xdr:rowOff>
    </xdr:from>
    <xdr:ext cx="142875" cy="400050"/>
    <xdr:sp macro="" textlink="">
      <xdr:nvSpPr>
        <xdr:cNvPr id="973" name="Arrow: Up 1036">
          <a:extLst>
            <a:ext uri="{FF2B5EF4-FFF2-40B4-BE49-F238E27FC236}"/>
          </a:extLst>
        </xdr:cNvPr>
        <xdr:cNvSpPr/>
      </xdr:nvSpPr>
      <xdr:spPr>
        <a:xfrm>
          <a:off x="9923318" y="1472911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47625</xdr:colOff>
      <xdr:row>75</xdr:row>
      <xdr:rowOff>152400</xdr:rowOff>
    </xdr:from>
    <xdr:ext cx="142875" cy="400050"/>
    <xdr:sp macro="" textlink="">
      <xdr:nvSpPr>
        <xdr:cNvPr id="974" name="Arrow: Up 1037">
          <a:extLst>
            <a:ext uri="{FF2B5EF4-FFF2-40B4-BE49-F238E27FC236}"/>
          </a:extLst>
        </xdr:cNvPr>
        <xdr:cNvSpPr/>
      </xdr:nvSpPr>
      <xdr:spPr>
        <a:xfrm>
          <a:off x="12675827" y="1472911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219075</xdr:colOff>
      <xdr:row>83</xdr:row>
      <xdr:rowOff>161925</xdr:rowOff>
    </xdr:from>
    <xdr:ext cx="142875" cy="381000"/>
    <xdr:sp macro="" textlink="">
      <xdr:nvSpPr>
        <xdr:cNvPr id="975" name="Arrow: Up 1038">
          <a:extLst>
            <a:ext uri="{FF2B5EF4-FFF2-40B4-BE49-F238E27FC236}"/>
          </a:extLst>
        </xdr:cNvPr>
        <xdr:cNvSpPr/>
      </xdr:nvSpPr>
      <xdr:spPr>
        <a:xfrm>
          <a:off x="1371382" y="16263938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28575</xdr:colOff>
      <xdr:row>83</xdr:row>
      <xdr:rowOff>161925</xdr:rowOff>
    </xdr:from>
    <xdr:ext cx="142875" cy="381000"/>
    <xdr:sp macro="" textlink="">
      <xdr:nvSpPr>
        <xdr:cNvPr id="976" name="Arrow: Up 1039">
          <a:extLst>
            <a:ext uri="{FF2B5EF4-FFF2-40B4-BE49-F238E27FC236}"/>
          </a:extLst>
        </xdr:cNvPr>
        <xdr:cNvSpPr/>
      </xdr:nvSpPr>
      <xdr:spPr>
        <a:xfrm>
          <a:off x="5083968" y="1626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28575</xdr:colOff>
      <xdr:row>91</xdr:row>
      <xdr:rowOff>161925</xdr:rowOff>
    </xdr:from>
    <xdr:ext cx="142875" cy="381000"/>
    <xdr:sp macro="" textlink="">
      <xdr:nvSpPr>
        <xdr:cNvPr id="977" name="Arrow: Up 1040">
          <a:extLst>
            <a:ext uri="{FF2B5EF4-FFF2-40B4-BE49-F238E27FC236}"/>
          </a:extLst>
        </xdr:cNvPr>
        <xdr:cNvSpPr/>
      </xdr:nvSpPr>
      <xdr:spPr>
        <a:xfrm>
          <a:off x="7741443" y="17787938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200025</xdr:colOff>
      <xdr:row>91</xdr:row>
      <xdr:rowOff>161925</xdr:rowOff>
    </xdr:from>
    <xdr:ext cx="142875" cy="381000"/>
    <xdr:sp macro="" textlink="">
      <xdr:nvSpPr>
        <xdr:cNvPr id="978" name="Arrow: Up 1041">
          <a:extLst>
            <a:ext uri="{FF2B5EF4-FFF2-40B4-BE49-F238E27FC236}"/>
          </a:extLst>
        </xdr:cNvPr>
        <xdr:cNvSpPr/>
      </xdr:nvSpPr>
      <xdr:spPr>
        <a:xfrm>
          <a:off x="7908131" y="17787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142875</xdr:colOff>
      <xdr:row>91</xdr:row>
      <xdr:rowOff>161925</xdr:rowOff>
    </xdr:from>
    <xdr:ext cx="142875" cy="381000"/>
    <xdr:sp macro="" textlink="">
      <xdr:nvSpPr>
        <xdr:cNvPr id="979" name="Arrow: Up 1042">
          <a:extLst>
            <a:ext uri="{FF2B5EF4-FFF2-40B4-BE49-F238E27FC236}"/>
          </a:extLst>
        </xdr:cNvPr>
        <xdr:cNvSpPr/>
      </xdr:nvSpPr>
      <xdr:spPr>
        <a:xfrm>
          <a:off x="12763500" y="17787938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123825</xdr:colOff>
      <xdr:row>99</xdr:row>
      <xdr:rowOff>171450</xdr:rowOff>
    </xdr:from>
    <xdr:ext cx="142875" cy="381000"/>
    <xdr:sp macro="" textlink="">
      <xdr:nvSpPr>
        <xdr:cNvPr id="980" name="Arrow: Up 1043">
          <a:extLst>
            <a:ext uri="{FF2B5EF4-FFF2-40B4-BE49-F238E27FC236}"/>
          </a:extLst>
        </xdr:cNvPr>
        <xdr:cNvSpPr/>
      </xdr:nvSpPr>
      <xdr:spPr>
        <a:xfrm>
          <a:off x="3207544" y="19322762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66675</xdr:colOff>
      <xdr:row>99</xdr:row>
      <xdr:rowOff>161925</xdr:rowOff>
    </xdr:from>
    <xdr:ext cx="142875" cy="381000"/>
    <xdr:sp macro="" textlink="">
      <xdr:nvSpPr>
        <xdr:cNvPr id="981" name="Arrow: Up 1044">
          <a:extLst>
            <a:ext uri="{FF2B5EF4-FFF2-40B4-BE49-F238E27FC236}"/>
          </a:extLst>
        </xdr:cNvPr>
        <xdr:cNvSpPr/>
      </xdr:nvSpPr>
      <xdr:spPr>
        <a:xfrm>
          <a:off x="1218767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25</xdr:col>
      <xdr:colOff>0</xdr:colOff>
      <xdr:row>106</xdr:row>
      <xdr:rowOff>0</xdr:rowOff>
    </xdr:from>
    <xdr:ext cx="514350" cy="361950"/>
    <xdr:sp macro="" textlink="">
      <xdr:nvSpPr>
        <xdr:cNvPr id="982" name="Isosceles Triangle 981">
          <a:extLst>
            <a:ext uri="{FF2B5EF4-FFF2-40B4-BE49-F238E27FC236}"/>
          </a:extLst>
        </xdr:cNvPr>
        <xdr:cNvSpPr/>
      </xdr:nvSpPr>
      <xdr:spPr>
        <a:xfrm>
          <a:off x="8220075" y="2047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106</xdr:row>
      <xdr:rowOff>0</xdr:rowOff>
    </xdr:from>
    <xdr:ext cx="495300" cy="361950"/>
    <xdr:sp macro="" textlink="">
      <xdr:nvSpPr>
        <xdr:cNvPr id="983" name="Isosceles Triangle 982">
          <a:extLst>
            <a:ext uri="{FF2B5EF4-FFF2-40B4-BE49-F238E27FC236}"/>
          </a:extLst>
        </xdr:cNvPr>
        <xdr:cNvSpPr/>
      </xdr:nvSpPr>
      <xdr:spPr>
        <a:xfrm>
          <a:off x="9210675" y="20478750"/>
          <a:ext cx="504093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106</xdr:row>
      <xdr:rowOff>0</xdr:rowOff>
    </xdr:from>
    <xdr:ext cx="514350" cy="361950"/>
    <xdr:sp macro="" textlink="">
      <xdr:nvSpPr>
        <xdr:cNvPr id="984" name="Isosceles Triangle 983">
          <a:extLst>
            <a:ext uri="{FF2B5EF4-FFF2-40B4-BE49-F238E27FC236}"/>
          </a:extLst>
        </xdr:cNvPr>
        <xdr:cNvSpPr/>
      </xdr:nvSpPr>
      <xdr:spPr>
        <a:xfrm>
          <a:off x="10125075" y="20478750"/>
          <a:ext cx="513618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106</xdr:row>
      <xdr:rowOff>0</xdr:rowOff>
    </xdr:from>
    <xdr:ext cx="514350" cy="361950"/>
    <xdr:sp macro="" textlink="">
      <xdr:nvSpPr>
        <xdr:cNvPr id="985" name="Isosceles Triangle 984">
          <a:extLst>
            <a:ext uri="{FF2B5EF4-FFF2-40B4-BE49-F238E27FC236}"/>
          </a:extLst>
        </xdr:cNvPr>
        <xdr:cNvSpPr/>
      </xdr:nvSpPr>
      <xdr:spPr>
        <a:xfrm>
          <a:off x="11210925" y="2047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106</xdr:row>
      <xdr:rowOff>0</xdr:rowOff>
    </xdr:from>
    <xdr:ext cx="514350" cy="361950"/>
    <xdr:sp macro="" textlink="">
      <xdr:nvSpPr>
        <xdr:cNvPr id="986" name="Isosceles Triangle 985">
          <a:extLst>
            <a:ext uri="{FF2B5EF4-FFF2-40B4-BE49-F238E27FC236}"/>
          </a:extLst>
        </xdr:cNvPr>
        <xdr:cNvSpPr/>
      </xdr:nvSpPr>
      <xdr:spPr>
        <a:xfrm>
          <a:off x="12115800" y="20478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106</xdr:row>
      <xdr:rowOff>0</xdr:rowOff>
    </xdr:from>
    <xdr:ext cx="514350" cy="361950"/>
    <xdr:sp macro="" textlink="">
      <xdr:nvSpPr>
        <xdr:cNvPr id="987" name="Isosceles Triangle 986">
          <a:extLst>
            <a:ext uri="{FF2B5EF4-FFF2-40B4-BE49-F238E27FC236}"/>
          </a:extLst>
        </xdr:cNvPr>
        <xdr:cNvSpPr/>
      </xdr:nvSpPr>
      <xdr:spPr>
        <a:xfrm>
          <a:off x="13115925" y="20478750"/>
          <a:ext cx="589818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114</xdr:row>
      <xdr:rowOff>0</xdr:rowOff>
    </xdr:from>
    <xdr:ext cx="514350" cy="361950"/>
    <xdr:sp macro="" textlink="">
      <xdr:nvSpPr>
        <xdr:cNvPr id="988" name="Isosceles Triangle 987">
          <a:extLst>
            <a:ext uri="{FF2B5EF4-FFF2-40B4-BE49-F238E27FC236}"/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30</xdr:col>
      <xdr:colOff>114300</xdr:colOff>
      <xdr:row>99</xdr:row>
      <xdr:rowOff>161925</xdr:rowOff>
    </xdr:from>
    <xdr:ext cx="142875" cy="381000"/>
    <xdr:sp macro="" textlink="">
      <xdr:nvSpPr>
        <xdr:cNvPr id="989" name="Arrow: Up 1052">
          <a:extLst>
            <a:ext uri="{FF2B5EF4-FFF2-40B4-BE49-F238E27FC236}"/>
          </a:extLst>
        </xdr:cNvPr>
        <xdr:cNvSpPr/>
      </xdr:nvSpPr>
      <xdr:spPr>
        <a:xfrm>
          <a:off x="9834562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28575</xdr:colOff>
      <xdr:row>99</xdr:row>
      <xdr:rowOff>161925</xdr:rowOff>
    </xdr:from>
    <xdr:ext cx="142875" cy="381000"/>
    <xdr:sp macro="" textlink="">
      <xdr:nvSpPr>
        <xdr:cNvPr id="990" name="Arrow: Up 1053">
          <a:extLst>
            <a:ext uri="{FF2B5EF4-FFF2-40B4-BE49-F238E27FC236}"/>
          </a:extLst>
        </xdr:cNvPr>
        <xdr:cNvSpPr/>
      </xdr:nvSpPr>
      <xdr:spPr>
        <a:xfrm>
          <a:off x="10675144" y="19311937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42</xdr:col>
      <xdr:colOff>114300</xdr:colOff>
      <xdr:row>99</xdr:row>
      <xdr:rowOff>161925</xdr:rowOff>
    </xdr:from>
    <xdr:ext cx="180975" cy="381000"/>
    <xdr:sp macro="" textlink="">
      <xdr:nvSpPr>
        <xdr:cNvPr id="991" name="Arrow: Up 1054">
          <a:extLst>
            <a:ext uri="{FF2B5EF4-FFF2-40B4-BE49-F238E27FC236}"/>
          </a:extLst>
        </xdr:cNvPr>
        <xdr:cNvSpPr/>
      </xdr:nvSpPr>
      <xdr:spPr>
        <a:xfrm>
          <a:off x="13825539" y="19311937"/>
          <a:ext cx="182949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38100</xdr:colOff>
      <xdr:row>107</xdr:row>
      <xdr:rowOff>180975</xdr:rowOff>
    </xdr:from>
    <xdr:ext cx="142875" cy="381000"/>
    <xdr:sp macro="" textlink="">
      <xdr:nvSpPr>
        <xdr:cNvPr id="992" name="Arrow: Up 1055">
          <a:extLst>
            <a:ext uri="{FF2B5EF4-FFF2-40B4-BE49-F238E27FC236}"/>
          </a:extLst>
        </xdr:cNvPr>
        <xdr:cNvSpPr/>
      </xdr:nvSpPr>
      <xdr:spPr>
        <a:xfrm>
          <a:off x="1187377" y="208575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22</xdr:col>
      <xdr:colOff>0</xdr:colOff>
      <xdr:row>58</xdr:row>
      <xdr:rowOff>0</xdr:rowOff>
    </xdr:from>
    <xdr:ext cx="514350" cy="352425"/>
    <xdr:sp macro="" textlink="">
      <xdr:nvSpPr>
        <xdr:cNvPr id="995" name="Isosceles Triangle 994">
          <a:extLst>
            <a:ext uri="{FF2B5EF4-FFF2-40B4-BE49-F238E27FC236}"/>
          </a:extLst>
        </xdr:cNvPr>
        <xdr:cNvSpPr/>
      </xdr:nvSpPr>
      <xdr:spPr>
        <a:xfrm>
          <a:off x="7175256" y="11342076"/>
          <a:ext cx="52314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58</xdr:row>
      <xdr:rowOff>0</xdr:rowOff>
    </xdr:from>
    <xdr:ext cx="514350" cy="352425"/>
    <xdr:sp macro="" textlink="">
      <xdr:nvSpPr>
        <xdr:cNvPr id="996" name="Isosceles Triangle 995">
          <a:extLst>
            <a:ext uri="{FF2B5EF4-FFF2-40B4-BE49-F238E27FC236}"/>
          </a:extLst>
        </xdr:cNvPr>
        <xdr:cNvSpPr/>
      </xdr:nvSpPr>
      <xdr:spPr>
        <a:xfrm>
          <a:off x="8220075" y="11334750"/>
          <a:ext cx="523142" cy="367976"/>
        </a:xfrm>
        <a:prstGeom prst="triangle">
          <a:avLst>
            <a:gd fmla="val 50000" name="adj"/>
          </a:avLst>
        </a:prstGeom>
        <a:solidFill>
          <a:srgbClr val="FFFF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9525</xdr:colOff>
      <xdr:row>65</xdr:row>
      <xdr:rowOff>190500</xdr:rowOff>
    </xdr:from>
    <xdr:ext cx="504825" cy="352425"/>
    <xdr:sp macro="" textlink="">
      <xdr:nvSpPr>
        <xdr:cNvPr id="997" name="Isosceles Triangle 996">
          <a:extLst>
            <a:ext uri="{FF2B5EF4-FFF2-40B4-BE49-F238E27FC236}"/>
          </a:extLst>
        </xdr:cNvPr>
        <xdr:cNvSpPr/>
      </xdr:nvSpPr>
      <xdr:spPr>
        <a:xfrm>
          <a:off x="11223137" y="12854109"/>
          <a:ext cx="511663" cy="372616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66</xdr:row>
      <xdr:rowOff>0</xdr:rowOff>
    </xdr:from>
    <xdr:ext cx="514350" cy="352425"/>
    <xdr:sp macro="" textlink="">
      <xdr:nvSpPr>
        <xdr:cNvPr id="998" name="Isosceles Triangle 997">
          <a:extLst>
            <a:ext uri="{FF2B5EF4-FFF2-40B4-BE49-F238E27FC236}"/>
          </a:extLst>
        </xdr:cNvPr>
        <xdr:cNvSpPr/>
      </xdr:nvSpPr>
      <xdr:spPr>
        <a:xfrm>
          <a:off x="10125075" y="12858750"/>
          <a:ext cx="513617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74</xdr:row>
      <xdr:rowOff>9525</xdr:rowOff>
    </xdr:from>
    <xdr:ext cx="523875" cy="342900"/>
    <xdr:sp macro="" textlink="">
      <xdr:nvSpPr>
        <xdr:cNvPr id="999" name="Isosceles Triangle 998">
          <a:extLst>
            <a:ext uri="{FF2B5EF4-FFF2-40B4-BE49-F238E27FC236}"/>
          </a:extLst>
        </xdr:cNvPr>
        <xdr:cNvSpPr/>
      </xdr:nvSpPr>
      <xdr:spPr>
        <a:xfrm>
          <a:off x="609600" y="14392741"/>
          <a:ext cx="525337" cy="35814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66</xdr:row>
      <xdr:rowOff>0</xdr:rowOff>
    </xdr:from>
    <xdr:ext cx="514350" cy="352425"/>
    <xdr:sp macro="" textlink="">
      <xdr:nvSpPr>
        <xdr:cNvPr id="1000" name="Isosceles Triangle 999">
          <a:extLst>
            <a:ext uri="{FF2B5EF4-FFF2-40B4-BE49-F238E27FC236}"/>
          </a:extLst>
        </xdr:cNvPr>
        <xdr:cNvSpPr/>
      </xdr:nvSpPr>
      <xdr:spPr>
        <a:xfrm>
          <a:off x="13115925" y="12858750"/>
          <a:ext cx="589817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66</xdr:row>
      <xdr:rowOff>0</xdr:rowOff>
    </xdr:from>
    <xdr:ext cx="514350" cy="361950"/>
    <xdr:sp macro="" textlink="">
      <xdr:nvSpPr>
        <xdr:cNvPr id="1001" name="Isosceles Triangle 1000">
          <a:extLst>
            <a:ext uri="{FF2B5EF4-FFF2-40B4-BE49-F238E27FC236}"/>
          </a:extLst>
        </xdr:cNvPr>
        <xdr:cNvSpPr/>
      </xdr:nvSpPr>
      <xdr:spPr>
        <a:xfrm>
          <a:off x="12115800" y="12858750"/>
          <a:ext cx="504092" cy="377501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74</xdr:row>
      <xdr:rowOff>0</xdr:rowOff>
    </xdr:from>
    <xdr:ext cx="533400" cy="352425"/>
    <xdr:sp macro="" textlink="">
      <xdr:nvSpPr>
        <xdr:cNvPr id="1002" name="Isosceles Triangle 1001">
          <a:extLst>
            <a:ext uri="{FF2B5EF4-FFF2-40B4-BE49-F238E27FC236}"/>
          </a:extLst>
        </xdr:cNvPr>
        <xdr:cNvSpPr/>
      </xdr:nvSpPr>
      <xdr:spPr>
        <a:xfrm>
          <a:off x="1552575" y="1438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74</xdr:row>
      <xdr:rowOff>0</xdr:rowOff>
    </xdr:from>
    <xdr:ext cx="514350" cy="352425"/>
    <xdr:sp macro="" textlink="">
      <xdr:nvSpPr>
        <xdr:cNvPr id="1003" name="Isosceles Triangle 1002">
          <a:extLst>
            <a:ext uri="{FF2B5EF4-FFF2-40B4-BE49-F238E27FC236}"/>
          </a:extLst>
        </xdr:cNvPr>
        <xdr:cNvSpPr/>
      </xdr:nvSpPr>
      <xdr:spPr>
        <a:xfrm>
          <a:off x="4514850" y="1438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74</xdr:row>
      <xdr:rowOff>0</xdr:rowOff>
    </xdr:from>
    <xdr:ext cx="514350" cy="352425"/>
    <xdr:sp macro="" textlink="">
      <xdr:nvSpPr>
        <xdr:cNvPr id="1004" name="Isosceles Triangle 1003">
          <a:extLst>
            <a:ext uri="{FF2B5EF4-FFF2-40B4-BE49-F238E27FC236}"/>
          </a:extLst>
        </xdr:cNvPr>
        <xdr:cNvSpPr/>
      </xdr:nvSpPr>
      <xdr:spPr>
        <a:xfrm>
          <a:off x="2543175" y="1438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74</xdr:row>
      <xdr:rowOff>0</xdr:rowOff>
    </xdr:from>
    <xdr:ext cx="514350" cy="352425"/>
    <xdr:sp macro="" textlink="">
      <xdr:nvSpPr>
        <xdr:cNvPr id="1005" name="Isosceles Triangle 1004">
          <a:extLst>
            <a:ext uri="{FF2B5EF4-FFF2-40B4-BE49-F238E27FC236}"/>
          </a:extLst>
        </xdr:cNvPr>
        <xdr:cNvSpPr/>
      </xdr:nvSpPr>
      <xdr:spPr>
        <a:xfrm>
          <a:off x="7172325" y="1438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74</xdr:row>
      <xdr:rowOff>0</xdr:rowOff>
    </xdr:from>
    <xdr:ext cx="514350" cy="352425"/>
    <xdr:sp macro="" textlink="">
      <xdr:nvSpPr>
        <xdr:cNvPr id="1006" name="Isosceles Triangle 1005">
          <a:extLst>
            <a:ext uri="{FF2B5EF4-FFF2-40B4-BE49-F238E27FC236}"/>
          </a:extLst>
        </xdr:cNvPr>
        <xdr:cNvSpPr/>
      </xdr:nvSpPr>
      <xdr:spPr>
        <a:xfrm>
          <a:off x="8220075" y="1438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74</xdr:row>
      <xdr:rowOff>0</xdr:rowOff>
    </xdr:from>
    <xdr:ext cx="495300" cy="352425"/>
    <xdr:sp macro="" textlink="">
      <xdr:nvSpPr>
        <xdr:cNvPr id="1007" name="Isosceles Triangle 1006">
          <a:extLst>
            <a:ext uri="{FF2B5EF4-FFF2-40B4-BE49-F238E27FC236}"/>
          </a:extLst>
        </xdr:cNvPr>
        <xdr:cNvSpPr/>
      </xdr:nvSpPr>
      <xdr:spPr>
        <a:xfrm>
          <a:off x="9210675" y="14382750"/>
          <a:ext cx="50409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74</xdr:row>
      <xdr:rowOff>0</xdr:rowOff>
    </xdr:from>
    <xdr:ext cx="514350" cy="352425"/>
    <xdr:sp macro="" textlink="">
      <xdr:nvSpPr>
        <xdr:cNvPr id="1008" name="Isosceles Triangle 1007">
          <a:extLst>
            <a:ext uri="{FF2B5EF4-FFF2-40B4-BE49-F238E27FC236}"/>
          </a:extLst>
        </xdr:cNvPr>
        <xdr:cNvSpPr/>
      </xdr:nvSpPr>
      <xdr:spPr>
        <a:xfrm>
          <a:off x="11210925" y="1438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9525</xdr:colOff>
      <xdr:row>2</xdr:row>
      <xdr:rowOff>19050</xdr:rowOff>
    </xdr:from>
    <xdr:ext cx="514350" cy="342900"/>
    <xdr:sp macro="" textlink="">
      <xdr:nvSpPr>
        <xdr:cNvPr id="1009" name="Isosceles Triangle 1008">
          <a:extLst>
            <a:ext uri="{FF2B5EF4-FFF2-40B4-BE49-F238E27FC236}"/>
          </a:extLst>
        </xdr:cNvPr>
        <xdr:cNvSpPr/>
      </xdr:nvSpPr>
      <xdr:spPr>
        <a:xfrm>
          <a:off x="620424" y="686371"/>
          <a:ext cx="523141" cy="358142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74</xdr:row>
      <xdr:rowOff>0</xdr:rowOff>
    </xdr:from>
    <xdr:ext cx="514350" cy="352425"/>
    <xdr:sp macro="" textlink="">
      <xdr:nvSpPr>
        <xdr:cNvPr id="1010" name="Isosceles Triangle 1009">
          <a:extLst>
            <a:ext uri="{FF2B5EF4-FFF2-40B4-BE49-F238E27FC236}"/>
          </a:extLst>
        </xdr:cNvPr>
        <xdr:cNvSpPr/>
      </xdr:nvSpPr>
      <xdr:spPr>
        <a:xfrm>
          <a:off x="6296025" y="14382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514350" cy="352425"/>
    <xdr:sp macro="" textlink="">
      <xdr:nvSpPr>
        <xdr:cNvPr id="1011" name="Isosceles Triangle 1010">
          <a:extLst>
            <a:ext uri="{FF2B5EF4-FFF2-40B4-BE49-F238E27FC236}"/>
          </a:extLst>
        </xdr:cNvPr>
        <xdr:cNvSpPr/>
      </xdr:nvSpPr>
      <xdr:spPr>
        <a:xfrm>
          <a:off x="3609975" y="11334750"/>
          <a:ext cx="52314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58</xdr:row>
      <xdr:rowOff>0</xdr:rowOff>
    </xdr:from>
    <xdr:ext cx="514350" cy="352425"/>
    <xdr:sp macro="" textlink="">
      <xdr:nvSpPr>
        <xdr:cNvPr id="1012" name="Isosceles Triangle 1011">
          <a:extLst>
            <a:ext uri="{FF2B5EF4-FFF2-40B4-BE49-F238E27FC236}"/>
          </a:extLst>
        </xdr:cNvPr>
        <xdr:cNvSpPr/>
      </xdr:nvSpPr>
      <xdr:spPr>
        <a:xfrm>
          <a:off x="2543175" y="11334750"/>
          <a:ext cx="523142" cy="367976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9525</xdr:colOff>
      <xdr:row>66</xdr:row>
      <xdr:rowOff>0</xdr:rowOff>
    </xdr:from>
    <xdr:ext cx="485775" cy="352425"/>
    <xdr:sp macro="" textlink="">
      <xdr:nvSpPr>
        <xdr:cNvPr id="1013" name="Isosceles Triangle 1012">
          <a:extLst>
            <a:ext uri="{FF2B5EF4-FFF2-40B4-BE49-F238E27FC236}"/>
          </a:extLst>
        </xdr:cNvPr>
        <xdr:cNvSpPr/>
      </xdr:nvSpPr>
      <xdr:spPr>
        <a:xfrm>
          <a:off x="8232445" y="12858750"/>
          <a:ext cx="494566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30</xdr:col>
      <xdr:colOff>447675</xdr:colOff>
      <xdr:row>57</xdr:row>
      <xdr:rowOff>180975</xdr:rowOff>
    </xdr:from>
    <xdr:ext cx="485775" cy="361950"/>
    <xdr:sp macro="" textlink="">
      <xdr:nvSpPr>
        <xdr:cNvPr id="1014" name="Isosceles Triangle 1013">
          <a:extLst>
            <a:ext uri="{FF2B5EF4-FFF2-40B4-BE49-F238E27FC236}"/>
          </a:extLst>
        </xdr:cNvPr>
        <xdr:cNvSpPr/>
      </xdr:nvSpPr>
      <xdr:spPr>
        <a:xfrm>
          <a:off x="10122048" y="11333586"/>
          <a:ext cx="523477" cy="372924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58</xdr:row>
      <xdr:rowOff>0</xdr:rowOff>
    </xdr:from>
    <xdr:ext cx="514350" cy="352425"/>
    <xdr:sp macro="" textlink="">
      <xdr:nvSpPr>
        <xdr:cNvPr id="1015" name="Isosceles Triangle 1014">
          <a:extLst>
            <a:ext uri="{FF2B5EF4-FFF2-40B4-BE49-F238E27FC236}"/>
          </a:extLst>
        </xdr:cNvPr>
        <xdr:cNvSpPr/>
      </xdr:nvSpPr>
      <xdr:spPr>
        <a:xfrm>
          <a:off x="5381625" y="11334750"/>
          <a:ext cx="52314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58</xdr:row>
      <xdr:rowOff>0</xdr:rowOff>
    </xdr:from>
    <xdr:ext cx="495300" cy="352425"/>
    <xdr:sp macro="" textlink="">
      <xdr:nvSpPr>
        <xdr:cNvPr id="1016" name="Isosceles Triangle 1015">
          <a:extLst>
            <a:ext uri="{FF2B5EF4-FFF2-40B4-BE49-F238E27FC236}"/>
          </a:extLst>
        </xdr:cNvPr>
        <xdr:cNvSpPr/>
      </xdr:nvSpPr>
      <xdr:spPr>
        <a:xfrm>
          <a:off x="9210675" y="11334750"/>
          <a:ext cx="50409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9525</xdr:colOff>
      <xdr:row>66</xdr:row>
      <xdr:rowOff>0</xdr:rowOff>
    </xdr:from>
    <xdr:ext cx="485775" cy="352425"/>
    <xdr:sp macro="" textlink="">
      <xdr:nvSpPr>
        <xdr:cNvPr id="1017" name="Isosceles Triangle 1016">
          <a:extLst>
            <a:ext uri="{FF2B5EF4-FFF2-40B4-BE49-F238E27FC236}"/>
          </a:extLst>
        </xdr:cNvPr>
        <xdr:cNvSpPr/>
      </xdr:nvSpPr>
      <xdr:spPr>
        <a:xfrm>
          <a:off x="5393995" y="12858750"/>
          <a:ext cx="494566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82</xdr:row>
      <xdr:rowOff>0</xdr:rowOff>
    </xdr:from>
    <xdr:ext cx="514350" cy="352425"/>
    <xdr:sp macro="" textlink="">
      <xdr:nvSpPr>
        <xdr:cNvPr id="1018" name="Isosceles Triangle 1017">
          <a:extLst>
            <a:ext uri="{FF2B5EF4-FFF2-40B4-BE49-F238E27FC236}"/>
          </a:extLst>
        </xdr:cNvPr>
        <xdr:cNvSpPr/>
      </xdr:nvSpPr>
      <xdr:spPr>
        <a:xfrm>
          <a:off x="13115925" y="15906750"/>
          <a:ext cx="589817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82</xdr:row>
      <xdr:rowOff>0</xdr:rowOff>
    </xdr:from>
    <xdr:ext cx="514350" cy="352425"/>
    <xdr:sp macro="" textlink="">
      <xdr:nvSpPr>
        <xdr:cNvPr id="1019" name="Isosceles Triangle 1018">
          <a:extLst>
            <a:ext uri="{FF2B5EF4-FFF2-40B4-BE49-F238E27FC236}"/>
          </a:extLst>
        </xdr:cNvPr>
        <xdr:cNvSpPr/>
      </xdr:nvSpPr>
      <xdr:spPr>
        <a:xfrm>
          <a:off x="12115800" y="15906750"/>
          <a:ext cx="50409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58</xdr:row>
      <xdr:rowOff>0</xdr:rowOff>
    </xdr:from>
    <xdr:ext cx="514350" cy="352425"/>
    <xdr:sp macro="" textlink="">
      <xdr:nvSpPr>
        <xdr:cNvPr id="1020" name="Isosceles Triangle 1019">
          <a:extLst>
            <a:ext uri="{FF2B5EF4-FFF2-40B4-BE49-F238E27FC236}"/>
          </a:extLst>
        </xdr:cNvPr>
        <xdr:cNvSpPr/>
      </xdr:nvSpPr>
      <xdr:spPr>
        <a:xfrm>
          <a:off x="12115800" y="11334750"/>
          <a:ext cx="504092" cy="367976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58</xdr:row>
      <xdr:rowOff>0</xdr:rowOff>
    </xdr:from>
    <xdr:ext cx="514350" cy="352425"/>
    <xdr:sp macro="" textlink="">
      <xdr:nvSpPr>
        <xdr:cNvPr id="1021" name="Isosceles Triangle 1020">
          <a:extLst>
            <a:ext uri="{FF2B5EF4-FFF2-40B4-BE49-F238E27FC236}"/>
          </a:extLst>
        </xdr:cNvPr>
        <xdr:cNvSpPr/>
      </xdr:nvSpPr>
      <xdr:spPr>
        <a:xfrm>
          <a:off x="11210925" y="11334750"/>
          <a:ext cx="52314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90</xdr:row>
      <xdr:rowOff>0</xdr:rowOff>
    </xdr:from>
    <xdr:ext cx="514350" cy="352425"/>
    <xdr:sp macro="" textlink="">
      <xdr:nvSpPr>
        <xdr:cNvPr id="1022" name="Isosceles Triangle 1021">
          <a:extLst>
            <a:ext uri="{FF2B5EF4-FFF2-40B4-BE49-F238E27FC236}"/>
          </a:extLst>
        </xdr:cNvPr>
        <xdr:cNvSpPr/>
      </xdr:nvSpPr>
      <xdr:spPr>
        <a:xfrm>
          <a:off x="609600" y="17430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90</xdr:row>
      <xdr:rowOff>0</xdr:rowOff>
    </xdr:from>
    <xdr:ext cx="533400" cy="352425"/>
    <xdr:sp macro="" textlink="">
      <xdr:nvSpPr>
        <xdr:cNvPr id="1023" name="Isosceles Triangle 1022">
          <a:extLst>
            <a:ext uri="{FF2B5EF4-FFF2-40B4-BE49-F238E27FC236}"/>
          </a:extLst>
        </xdr:cNvPr>
        <xdr:cNvSpPr/>
      </xdr:nvSpPr>
      <xdr:spPr>
        <a:xfrm>
          <a:off x="1552575" y="17430750"/>
          <a:ext cx="523143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66</xdr:row>
      <xdr:rowOff>0</xdr:rowOff>
    </xdr:from>
    <xdr:ext cx="514350" cy="352425"/>
    <xdr:sp macro="" textlink="">
      <xdr:nvSpPr>
        <xdr:cNvPr id="1024" name="Isosceles Triangle 1023">
          <a:extLst>
            <a:ext uri="{FF2B5EF4-FFF2-40B4-BE49-F238E27FC236}"/>
          </a:extLst>
        </xdr:cNvPr>
        <xdr:cNvSpPr/>
      </xdr:nvSpPr>
      <xdr:spPr>
        <a:xfrm>
          <a:off x="609600" y="12858750"/>
          <a:ext cx="52314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82</xdr:row>
      <xdr:rowOff>0</xdr:rowOff>
    </xdr:from>
    <xdr:ext cx="514350" cy="352425"/>
    <xdr:sp macro="" textlink="">
      <xdr:nvSpPr>
        <xdr:cNvPr id="1025" name="Isosceles Triangle 1024">
          <a:extLst>
            <a:ext uri="{FF2B5EF4-FFF2-40B4-BE49-F238E27FC236}"/>
          </a:extLst>
        </xdr:cNvPr>
        <xdr:cNvSpPr/>
      </xdr:nvSpPr>
      <xdr:spPr>
        <a:xfrm>
          <a:off x="4514850" y="15906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98</xdr:row>
      <xdr:rowOff>0</xdr:rowOff>
    </xdr:from>
    <xdr:ext cx="514350" cy="352425"/>
    <xdr:sp macro="" textlink="">
      <xdr:nvSpPr>
        <xdr:cNvPr id="1026" name="Isosceles Triangle 1025">
          <a:extLst>
            <a:ext uri="{FF2B5EF4-FFF2-40B4-BE49-F238E27FC236}"/>
          </a:extLst>
        </xdr:cNvPr>
        <xdr:cNvSpPr/>
      </xdr:nvSpPr>
      <xdr:spPr>
        <a:xfrm>
          <a:off x="12115800" y="18954750"/>
          <a:ext cx="50409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9525</xdr:colOff>
      <xdr:row>66</xdr:row>
      <xdr:rowOff>0</xdr:rowOff>
    </xdr:from>
    <xdr:ext cx="485775" cy="352425"/>
    <xdr:sp macro="" textlink="">
      <xdr:nvSpPr>
        <xdr:cNvPr id="1027" name="Isosceles Triangle 1026">
          <a:extLst>
            <a:ext uri="{FF2B5EF4-FFF2-40B4-BE49-F238E27FC236}"/>
          </a:extLst>
        </xdr:cNvPr>
        <xdr:cNvSpPr/>
      </xdr:nvSpPr>
      <xdr:spPr>
        <a:xfrm>
          <a:off x="4527220" y="12858750"/>
          <a:ext cx="494566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82</xdr:row>
      <xdr:rowOff>0</xdr:rowOff>
    </xdr:from>
    <xdr:ext cx="514350" cy="352425"/>
    <xdr:sp macro="" textlink="">
      <xdr:nvSpPr>
        <xdr:cNvPr id="1028" name="Isosceles Triangle 1027">
          <a:extLst>
            <a:ext uri="{FF2B5EF4-FFF2-40B4-BE49-F238E27FC236}"/>
          </a:extLst>
        </xdr:cNvPr>
        <xdr:cNvSpPr/>
      </xdr:nvSpPr>
      <xdr:spPr>
        <a:xfrm>
          <a:off x="11210925" y="15906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9525</xdr:colOff>
      <xdr:row>66</xdr:row>
      <xdr:rowOff>0</xdr:rowOff>
    </xdr:from>
    <xdr:ext cx="485775" cy="352425"/>
    <xdr:sp macro="" textlink="">
      <xdr:nvSpPr>
        <xdr:cNvPr id="1029" name="Isosceles Triangle 1028">
          <a:extLst>
            <a:ext uri="{FF2B5EF4-FFF2-40B4-BE49-F238E27FC236}"/>
          </a:extLst>
        </xdr:cNvPr>
        <xdr:cNvSpPr/>
      </xdr:nvSpPr>
      <xdr:spPr>
        <a:xfrm>
          <a:off x="6307931" y="12858750"/>
          <a:ext cx="494566" cy="367976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98</xdr:row>
      <xdr:rowOff>0</xdr:rowOff>
    </xdr:from>
    <xdr:ext cx="514350" cy="352425"/>
    <xdr:sp macro="" textlink="">
      <xdr:nvSpPr>
        <xdr:cNvPr id="1030" name="Isosceles Triangle 1029">
          <a:extLst>
            <a:ext uri="{FF2B5EF4-FFF2-40B4-BE49-F238E27FC236}"/>
          </a:extLst>
        </xdr:cNvPr>
        <xdr:cNvSpPr/>
      </xdr:nvSpPr>
      <xdr:spPr>
        <a:xfrm>
          <a:off x="13115925" y="18954750"/>
          <a:ext cx="589817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90</xdr:row>
      <xdr:rowOff>0</xdr:rowOff>
    </xdr:from>
    <xdr:ext cx="514350" cy="352425"/>
    <xdr:sp macro="" textlink="">
      <xdr:nvSpPr>
        <xdr:cNvPr id="1031" name="Isosceles Triangle 1030">
          <a:extLst>
            <a:ext uri="{FF2B5EF4-FFF2-40B4-BE49-F238E27FC236}"/>
          </a:extLst>
        </xdr:cNvPr>
        <xdr:cNvSpPr/>
      </xdr:nvSpPr>
      <xdr:spPr>
        <a:xfrm>
          <a:off x="2543175" y="17430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82</xdr:row>
      <xdr:rowOff>0</xdr:rowOff>
    </xdr:from>
    <xdr:ext cx="514350" cy="352425"/>
    <xdr:sp macro="" textlink="">
      <xdr:nvSpPr>
        <xdr:cNvPr id="1032" name="Isosceles Triangle 1031">
          <a:extLst>
            <a:ext uri="{FF2B5EF4-FFF2-40B4-BE49-F238E27FC236}"/>
          </a:extLst>
        </xdr:cNvPr>
        <xdr:cNvSpPr/>
      </xdr:nvSpPr>
      <xdr:spPr>
        <a:xfrm>
          <a:off x="6296025" y="15906750"/>
          <a:ext cx="523143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82</xdr:row>
      <xdr:rowOff>0</xdr:rowOff>
    </xdr:from>
    <xdr:ext cx="514350" cy="352425"/>
    <xdr:sp macro="" textlink="">
      <xdr:nvSpPr>
        <xdr:cNvPr id="1033" name="Isosceles Triangle 1032">
          <a:extLst>
            <a:ext uri="{FF2B5EF4-FFF2-40B4-BE49-F238E27FC236}"/>
          </a:extLst>
        </xdr:cNvPr>
        <xdr:cNvSpPr/>
      </xdr:nvSpPr>
      <xdr:spPr>
        <a:xfrm>
          <a:off x="609600" y="15906750"/>
          <a:ext cx="523141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90</xdr:row>
      <xdr:rowOff>0</xdr:rowOff>
    </xdr:from>
    <xdr:ext cx="514350" cy="352425"/>
    <xdr:sp macro="" textlink="">
      <xdr:nvSpPr>
        <xdr:cNvPr id="1034" name="Isosceles Triangle 1033">
          <a:extLst>
            <a:ext uri="{FF2B5EF4-FFF2-40B4-BE49-F238E27FC236}"/>
          </a:extLst>
        </xdr:cNvPr>
        <xdr:cNvSpPr/>
      </xdr:nvSpPr>
      <xdr:spPr>
        <a:xfrm>
          <a:off x="3609975" y="17430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106</xdr:row>
      <xdr:rowOff>0</xdr:rowOff>
    </xdr:from>
    <xdr:ext cx="514350" cy="352425"/>
    <xdr:sp macro="" textlink="">
      <xdr:nvSpPr>
        <xdr:cNvPr id="1035" name="Isosceles Triangle 1034">
          <a:extLst>
            <a:ext uri="{FF2B5EF4-FFF2-40B4-BE49-F238E27FC236}"/>
          </a:extLst>
        </xdr:cNvPr>
        <xdr:cNvSpPr/>
      </xdr:nvSpPr>
      <xdr:spPr>
        <a:xfrm>
          <a:off x="609600" y="20478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106</xdr:row>
      <xdr:rowOff>0</xdr:rowOff>
    </xdr:from>
    <xdr:ext cx="514350" cy="352425"/>
    <xdr:sp macro="" textlink="">
      <xdr:nvSpPr>
        <xdr:cNvPr id="1036" name="Isosceles Triangle 1035">
          <a:extLst>
            <a:ext uri="{FF2B5EF4-FFF2-40B4-BE49-F238E27FC236}"/>
          </a:extLst>
        </xdr:cNvPr>
        <xdr:cNvSpPr/>
      </xdr:nvSpPr>
      <xdr:spPr>
        <a:xfrm>
          <a:off x="2543175" y="20478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90</xdr:row>
      <xdr:rowOff>0</xdr:rowOff>
    </xdr:from>
    <xdr:ext cx="514350" cy="352425"/>
    <xdr:sp macro="" textlink="">
      <xdr:nvSpPr>
        <xdr:cNvPr id="1037" name="Isosceles Triangle 1036">
          <a:extLst>
            <a:ext uri="{FF2B5EF4-FFF2-40B4-BE49-F238E27FC236}"/>
          </a:extLst>
        </xdr:cNvPr>
        <xdr:cNvSpPr/>
      </xdr:nvSpPr>
      <xdr:spPr>
        <a:xfrm>
          <a:off x="4514850" y="17430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66</xdr:row>
      <xdr:rowOff>0</xdr:rowOff>
    </xdr:from>
    <xdr:ext cx="514350" cy="352425"/>
    <xdr:sp macro="" textlink="">
      <xdr:nvSpPr>
        <xdr:cNvPr id="1038" name="Isosceles Triangle 1037">
          <a:extLst>
            <a:ext uri="{FF2B5EF4-FFF2-40B4-BE49-F238E27FC236}"/>
          </a:extLst>
        </xdr:cNvPr>
        <xdr:cNvSpPr/>
      </xdr:nvSpPr>
      <xdr:spPr>
        <a:xfrm>
          <a:off x="3609975" y="12858750"/>
          <a:ext cx="52314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90</xdr:row>
      <xdr:rowOff>0</xdr:rowOff>
    </xdr:from>
    <xdr:ext cx="495300" cy="352425"/>
    <xdr:sp macro="" textlink="">
      <xdr:nvSpPr>
        <xdr:cNvPr id="1039" name="Isosceles Triangle 1038">
          <a:extLst>
            <a:ext uri="{FF2B5EF4-FFF2-40B4-BE49-F238E27FC236}"/>
          </a:extLst>
        </xdr:cNvPr>
        <xdr:cNvSpPr/>
      </xdr:nvSpPr>
      <xdr:spPr>
        <a:xfrm>
          <a:off x="10125075" y="17430750"/>
          <a:ext cx="50173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106</xdr:row>
      <xdr:rowOff>0</xdr:rowOff>
    </xdr:from>
    <xdr:ext cx="533400" cy="352425"/>
    <xdr:sp macro="" textlink="">
      <xdr:nvSpPr>
        <xdr:cNvPr id="1040" name="Isosceles Triangle 1039">
          <a:extLst>
            <a:ext uri="{FF2B5EF4-FFF2-40B4-BE49-F238E27FC236}"/>
          </a:extLst>
        </xdr:cNvPr>
        <xdr:cNvSpPr/>
      </xdr:nvSpPr>
      <xdr:spPr>
        <a:xfrm>
          <a:off x="1552575" y="20478750"/>
          <a:ext cx="523143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90</xdr:row>
      <xdr:rowOff>0</xdr:rowOff>
    </xdr:from>
    <xdr:ext cx="514350" cy="352425"/>
    <xdr:sp macro="" textlink="">
      <xdr:nvSpPr>
        <xdr:cNvPr id="1041" name="Isosceles Triangle 1040">
          <a:extLst>
            <a:ext uri="{FF2B5EF4-FFF2-40B4-BE49-F238E27FC236}"/>
          </a:extLst>
        </xdr:cNvPr>
        <xdr:cNvSpPr/>
      </xdr:nvSpPr>
      <xdr:spPr>
        <a:xfrm>
          <a:off x="8220075" y="17430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514350" cy="352425"/>
    <xdr:sp macro="" textlink="">
      <xdr:nvSpPr>
        <xdr:cNvPr id="1042" name="Isosceles Triangle 1041">
          <a:extLst>
            <a:ext uri="{FF2B5EF4-FFF2-40B4-BE49-F238E27FC236}"/>
          </a:extLst>
        </xdr:cNvPr>
        <xdr:cNvSpPr/>
      </xdr:nvSpPr>
      <xdr:spPr>
        <a:xfrm>
          <a:off x="3609975" y="20478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74</xdr:row>
      <xdr:rowOff>0</xdr:rowOff>
    </xdr:from>
    <xdr:ext cx="514350" cy="352425"/>
    <xdr:sp macro="" textlink="">
      <xdr:nvSpPr>
        <xdr:cNvPr id="1043" name="Isosceles Triangle 1042">
          <a:extLst>
            <a:ext uri="{FF2B5EF4-FFF2-40B4-BE49-F238E27FC236}"/>
          </a:extLst>
        </xdr:cNvPr>
        <xdr:cNvSpPr/>
      </xdr:nvSpPr>
      <xdr:spPr>
        <a:xfrm>
          <a:off x="13115925" y="14382750"/>
          <a:ext cx="589816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90</xdr:row>
      <xdr:rowOff>0</xdr:rowOff>
    </xdr:from>
    <xdr:ext cx="495300" cy="352425"/>
    <xdr:sp macro="" textlink="">
      <xdr:nvSpPr>
        <xdr:cNvPr id="1044" name="Isosceles Triangle 1043">
          <a:extLst>
            <a:ext uri="{FF2B5EF4-FFF2-40B4-BE49-F238E27FC236}"/>
          </a:extLst>
        </xdr:cNvPr>
        <xdr:cNvSpPr/>
      </xdr:nvSpPr>
      <xdr:spPr>
        <a:xfrm>
          <a:off x="9210675" y="17430750"/>
          <a:ext cx="50409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106</xdr:row>
      <xdr:rowOff>0</xdr:rowOff>
    </xdr:from>
    <xdr:ext cx="514350" cy="352425"/>
    <xdr:sp macro="" textlink="">
      <xdr:nvSpPr>
        <xdr:cNvPr id="1045" name="Isosceles Triangle 1044">
          <a:extLst>
            <a:ext uri="{FF2B5EF4-FFF2-40B4-BE49-F238E27FC236}"/>
          </a:extLst>
        </xdr:cNvPr>
        <xdr:cNvSpPr/>
      </xdr:nvSpPr>
      <xdr:spPr>
        <a:xfrm>
          <a:off x="5381625" y="20478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106</xdr:row>
      <xdr:rowOff>0</xdr:rowOff>
    </xdr:from>
    <xdr:ext cx="495300" cy="352425"/>
    <xdr:sp macro="" textlink="">
      <xdr:nvSpPr>
        <xdr:cNvPr id="1046" name="Isosceles Triangle 1045">
          <a:extLst>
            <a:ext uri="{FF2B5EF4-FFF2-40B4-BE49-F238E27FC236}"/>
          </a:extLst>
        </xdr:cNvPr>
        <xdr:cNvSpPr/>
      </xdr:nvSpPr>
      <xdr:spPr>
        <a:xfrm>
          <a:off x="9210675" y="20478750"/>
          <a:ext cx="504092" cy="367975"/>
        </a:xfrm>
        <a:prstGeom prst="triangle">
          <a:avLst>
            <a:gd fmla="val 50000" name="adj"/>
          </a:avLst>
        </a:prstGeom>
        <a:solidFill>
          <a:srgbClr val="FFFF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90</xdr:row>
      <xdr:rowOff>0</xdr:rowOff>
    </xdr:from>
    <xdr:ext cx="514350" cy="352425"/>
    <xdr:sp macro="" textlink="">
      <xdr:nvSpPr>
        <xdr:cNvPr id="1047" name="Isosceles Triangle 1046">
          <a:extLst>
            <a:ext uri="{FF2B5EF4-FFF2-40B4-BE49-F238E27FC236}"/>
          </a:extLst>
        </xdr:cNvPr>
        <xdr:cNvSpPr/>
      </xdr:nvSpPr>
      <xdr:spPr>
        <a:xfrm>
          <a:off x="13115925" y="17430750"/>
          <a:ext cx="589817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106</xdr:row>
      <xdr:rowOff>0</xdr:rowOff>
    </xdr:from>
    <xdr:ext cx="514350" cy="352425"/>
    <xdr:sp macro="" textlink="">
      <xdr:nvSpPr>
        <xdr:cNvPr id="1048" name="Isosceles Triangle 1047">
          <a:extLst>
            <a:ext uri="{FF2B5EF4-FFF2-40B4-BE49-F238E27FC236}"/>
          </a:extLst>
        </xdr:cNvPr>
        <xdr:cNvSpPr/>
      </xdr:nvSpPr>
      <xdr:spPr>
        <a:xfrm>
          <a:off x="8220075" y="20478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106</xdr:row>
      <xdr:rowOff>0</xdr:rowOff>
    </xdr:from>
    <xdr:ext cx="514350" cy="352425"/>
    <xdr:sp macro="" textlink="">
      <xdr:nvSpPr>
        <xdr:cNvPr id="1049" name="Isosceles Triangle 1048">
          <a:extLst>
            <a:ext uri="{FF2B5EF4-FFF2-40B4-BE49-F238E27FC236}"/>
          </a:extLst>
        </xdr:cNvPr>
        <xdr:cNvSpPr/>
      </xdr:nvSpPr>
      <xdr:spPr>
        <a:xfrm>
          <a:off x="4514850" y="20478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98</xdr:row>
      <xdr:rowOff>0</xdr:rowOff>
    </xdr:from>
    <xdr:ext cx="533400" cy="352425"/>
    <xdr:sp macro="" textlink="">
      <xdr:nvSpPr>
        <xdr:cNvPr id="1050" name="Isosceles Triangle 1049">
          <a:extLst>
            <a:ext uri="{FF2B5EF4-FFF2-40B4-BE49-F238E27FC236}"/>
          </a:extLst>
        </xdr:cNvPr>
        <xdr:cNvSpPr/>
      </xdr:nvSpPr>
      <xdr:spPr>
        <a:xfrm>
          <a:off x="1552575" y="18954750"/>
          <a:ext cx="523143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90</xdr:row>
      <xdr:rowOff>0</xdr:rowOff>
    </xdr:from>
    <xdr:ext cx="514350" cy="352425"/>
    <xdr:sp macro="" textlink="">
      <xdr:nvSpPr>
        <xdr:cNvPr id="1051" name="Isosceles Triangle 1050">
          <a:extLst>
            <a:ext uri="{FF2B5EF4-FFF2-40B4-BE49-F238E27FC236}"/>
          </a:extLst>
        </xdr:cNvPr>
        <xdr:cNvSpPr/>
      </xdr:nvSpPr>
      <xdr:spPr>
        <a:xfrm>
          <a:off x="6296025" y="17430750"/>
          <a:ext cx="523143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106</xdr:row>
      <xdr:rowOff>0</xdr:rowOff>
    </xdr:from>
    <xdr:ext cx="514350" cy="352425"/>
    <xdr:sp macro="" textlink="">
      <xdr:nvSpPr>
        <xdr:cNvPr id="1052" name="Isosceles Triangle 1051">
          <a:extLst>
            <a:ext uri="{FF2B5EF4-FFF2-40B4-BE49-F238E27FC236}"/>
          </a:extLst>
        </xdr:cNvPr>
        <xdr:cNvSpPr/>
      </xdr:nvSpPr>
      <xdr:spPr>
        <a:xfrm>
          <a:off x="7172325" y="20478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90</xdr:row>
      <xdr:rowOff>0</xdr:rowOff>
    </xdr:from>
    <xdr:ext cx="514350" cy="352425"/>
    <xdr:sp macro="" textlink="">
      <xdr:nvSpPr>
        <xdr:cNvPr id="1053" name="Isosceles Triangle 1052">
          <a:extLst>
            <a:ext uri="{FF2B5EF4-FFF2-40B4-BE49-F238E27FC236}"/>
          </a:extLst>
        </xdr:cNvPr>
        <xdr:cNvSpPr/>
      </xdr:nvSpPr>
      <xdr:spPr>
        <a:xfrm>
          <a:off x="12115800" y="17430750"/>
          <a:ext cx="50409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106</xdr:row>
      <xdr:rowOff>0</xdr:rowOff>
    </xdr:from>
    <xdr:ext cx="514350" cy="352425"/>
    <xdr:sp macro="" textlink="">
      <xdr:nvSpPr>
        <xdr:cNvPr id="1054" name="Isosceles Triangle 1053">
          <a:extLst>
            <a:ext uri="{FF2B5EF4-FFF2-40B4-BE49-F238E27FC236}"/>
          </a:extLst>
        </xdr:cNvPr>
        <xdr:cNvSpPr/>
      </xdr:nvSpPr>
      <xdr:spPr>
        <a:xfrm>
          <a:off x="6296025" y="20478750"/>
          <a:ext cx="523143" cy="367975"/>
        </a:xfrm>
        <a:prstGeom prst="triangle">
          <a:avLst>
            <a:gd fmla="val 50000" name="adj"/>
          </a:avLst>
        </a:prstGeom>
        <a:solidFill>
          <a:srgbClr val="FFFF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82</xdr:row>
      <xdr:rowOff>0</xdr:rowOff>
    </xdr:from>
    <xdr:ext cx="514350" cy="352425"/>
    <xdr:sp macro="" textlink="">
      <xdr:nvSpPr>
        <xdr:cNvPr id="1055" name="Isosceles Triangle 1054">
          <a:extLst>
            <a:ext uri="{FF2B5EF4-FFF2-40B4-BE49-F238E27FC236}"/>
          </a:extLst>
        </xdr:cNvPr>
        <xdr:cNvSpPr/>
      </xdr:nvSpPr>
      <xdr:spPr>
        <a:xfrm>
          <a:off x="8220075" y="15906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10</xdr:row>
      <xdr:rowOff>0</xdr:rowOff>
    </xdr:from>
    <xdr:ext cx="514350" cy="352425"/>
    <xdr:sp macro="" textlink="">
      <xdr:nvSpPr>
        <xdr:cNvPr id="1056" name="Isosceles Triangle 1055">
          <a:extLst>
            <a:ext uri="{FF2B5EF4-FFF2-40B4-BE49-F238E27FC236}"/>
          </a:extLst>
        </xdr:cNvPr>
        <xdr:cNvSpPr/>
      </xdr:nvSpPr>
      <xdr:spPr>
        <a:xfrm>
          <a:off x="11210925" y="2190750"/>
          <a:ext cx="52314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10</xdr:row>
      <xdr:rowOff>0</xdr:rowOff>
    </xdr:from>
    <xdr:ext cx="514350" cy="352425"/>
    <xdr:sp macro="" textlink="">
      <xdr:nvSpPr>
        <xdr:cNvPr id="1057" name="Isosceles Triangle 1056">
          <a:extLst>
            <a:ext uri="{FF2B5EF4-FFF2-40B4-BE49-F238E27FC236}"/>
          </a:extLst>
        </xdr:cNvPr>
        <xdr:cNvSpPr/>
      </xdr:nvSpPr>
      <xdr:spPr>
        <a:xfrm>
          <a:off x="6296025" y="2190750"/>
          <a:ext cx="523142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10</xdr:row>
      <xdr:rowOff>0</xdr:rowOff>
    </xdr:from>
    <xdr:ext cx="514350" cy="352425"/>
    <xdr:sp macro="" textlink="">
      <xdr:nvSpPr>
        <xdr:cNvPr id="1058" name="Isosceles Triangle 1057">
          <a:extLst>
            <a:ext uri="{FF2B5EF4-FFF2-40B4-BE49-F238E27FC236}"/>
          </a:extLst>
        </xdr:cNvPr>
        <xdr:cNvSpPr/>
      </xdr:nvSpPr>
      <xdr:spPr>
        <a:xfrm>
          <a:off x="4514850" y="2190750"/>
          <a:ext cx="523141" cy="367976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10</xdr:row>
      <xdr:rowOff>0</xdr:rowOff>
    </xdr:from>
    <xdr:ext cx="514350" cy="352425"/>
    <xdr:sp macro="" textlink="">
      <xdr:nvSpPr>
        <xdr:cNvPr id="1059" name="Isosceles Triangle 1058">
          <a:extLst>
            <a:ext uri="{FF2B5EF4-FFF2-40B4-BE49-F238E27FC236}"/>
          </a:extLst>
        </xdr:cNvPr>
        <xdr:cNvSpPr/>
      </xdr:nvSpPr>
      <xdr:spPr>
        <a:xfrm>
          <a:off x="7172325" y="2190750"/>
          <a:ext cx="523141" cy="367976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2</xdr:row>
      <xdr:rowOff>0</xdr:rowOff>
    </xdr:from>
    <xdr:ext cx="523875" cy="352425"/>
    <xdr:sp macro="" textlink="">
      <xdr:nvSpPr>
        <xdr:cNvPr id="1060" name="Isosceles Triangle 1059">
          <a:extLst>
            <a:ext uri="{FF2B5EF4-FFF2-40B4-BE49-F238E27FC236}"/>
          </a:extLst>
        </xdr:cNvPr>
        <xdr:cNvSpPr/>
      </xdr:nvSpPr>
      <xdr:spPr>
        <a:xfrm>
          <a:off x="8512457" y="667396"/>
          <a:ext cx="538172" cy="357220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b="1" lang="en-IN"/>
        </a:p>
      </xdr:txBody>
    </xdr:sp>
    <xdr:clientData fLocksWithSheet="0"/>
  </xdr:oneCellAnchor>
  <xdr:oneCellAnchor>
    <xdr:from>
      <xdr:col>19</xdr:col>
      <xdr:colOff>0</xdr:colOff>
      <xdr:row>26</xdr:row>
      <xdr:rowOff>0</xdr:rowOff>
    </xdr:from>
    <xdr:ext cx="514350" cy="361950"/>
    <xdr:sp macro="" textlink="">
      <xdr:nvSpPr>
        <xdr:cNvPr id="1061" name="Isosceles Triangle 1060">
          <a:extLst>
            <a:ext uri="{FF2B5EF4-FFF2-40B4-BE49-F238E27FC236}"/>
          </a:extLst>
        </xdr:cNvPr>
        <xdr:cNvSpPr/>
      </xdr:nvSpPr>
      <xdr:spPr>
        <a:xfrm>
          <a:off x="6298746" y="523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61</xdr:col>
      <xdr:colOff>276225</xdr:colOff>
      <xdr:row>64</xdr:row>
      <xdr:rowOff>123825</xdr:rowOff>
    </xdr:from>
    <xdr:ext cx="180975" cy="180975"/>
    <xdr:sp macro="" textlink="">
      <xdr:nvSpPr>
        <xdr:cNvPr id="1062" name="5-Point Star 520">
          <a:extLst>
            <a:ext uri="{FF2B5EF4-FFF2-40B4-BE49-F238E27FC236}"/>
          </a:extLst>
        </xdr:cNvPr>
        <xdr:cNvSpPr/>
      </xdr:nvSpPr>
      <xdr:spPr>
        <a:xfrm flipH="1">
          <a:off x="22986206" y="12608719"/>
          <a:ext cx="187716" cy="190500"/>
        </a:xfrm>
        <a:prstGeom prst="star5">
          <a:avLst/>
        </a:prstGeom>
        <a:solidFill>
          <a:srgbClr val="00B0F0"/>
        </a:solidFill>
        <a:ln cap="flat" cmpd="sng" w="12700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8</xdr:col>
      <xdr:colOff>19050</xdr:colOff>
      <xdr:row>193</xdr:row>
      <xdr:rowOff>19050</xdr:rowOff>
    </xdr:from>
    <xdr:ext cx="981075" cy="9525"/>
    <xdr:cxnSp macro="">
      <xdr:nvCxnSpPr>
        <xdr:cNvPr id="1063" name="Curved Connector 522">
          <a:extLst>
            <a:ext uri="{FF2B5EF4-FFF2-40B4-BE49-F238E27FC236}"/>
          </a:extLst>
        </xdr:cNvPr>
        <xdr:cNvCxnSpPr/>
      </xdr:nvCxnSpPr>
      <xdr:spPr>
        <a:xfrm flipH="1" rot="16200000">
          <a:off x="3361502" y="36557187"/>
          <a:ext cx="10584" cy="1066800"/>
        </a:xfrm>
        <a:prstGeom prst="curvedConnector3">
          <a:avLst>
            <a:gd fmla="val 1339919" name="adj1"/>
          </a:avLst>
        </a:prstGeom>
        <a:ln cap="flat" cmpd="sng" w="19050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122</xdr:row>
      <xdr:rowOff>0</xdr:rowOff>
    </xdr:from>
    <xdr:ext cx="514350" cy="361950"/>
    <xdr:sp macro="" textlink="">
      <xdr:nvSpPr>
        <xdr:cNvPr id="1064" name="Isosceles Triangle 1063">
          <a:extLst>
            <a:ext uri="{FF2B5EF4-FFF2-40B4-BE49-F238E27FC236}"/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130</xdr:row>
      <xdr:rowOff>0</xdr:rowOff>
    </xdr:from>
    <xdr:ext cx="514350" cy="361950"/>
    <xdr:sp macro="" textlink="">
      <xdr:nvSpPr>
        <xdr:cNvPr id="1065" name="Isosceles Triangle 1064">
          <a:extLst>
            <a:ext uri="{FF2B5EF4-FFF2-40B4-BE49-F238E27FC236}"/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514350" cy="361950"/>
    <xdr:sp macro="" textlink="">
      <xdr:nvSpPr>
        <xdr:cNvPr id="1066" name="Isosceles Triangle 1065">
          <a:extLst>
            <a:ext uri="{FF2B5EF4-FFF2-40B4-BE49-F238E27FC236}"/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146</xdr:row>
      <xdr:rowOff>0</xdr:rowOff>
    </xdr:from>
    <xdr:ext cx="514350" cy="361950"/>
    <xdr:sp macro="" textlink="">
      <xdr:nvSpPr>
        <xdr:cNvPr id="1067" name="Isosceles Triangle 1066">
          <a:extLst>
            <a:ext uri="{FF2B5EF4-FFF2-40B4-BE49-F238E27FC236}"/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154</xdr:row>
      <xdr:rowOff>0</xdr:rowOff>
    </xdr:from>
    <xdr:ext cx="514350" cy="361950"/>
    <xdr:sp macro="" textlink="">
      <xdr:nvSpPr>
        <xdr:cNvPr id="1068" name="Isosceles Triangle 1067">
          <a:extLst>
            <a:ext uri="{FF2B5EF4-FFF2-40B4-BE49-F238E27FC236}"/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162</xdr:row>
      <xdr:rowOff>0</xdr:rowOff>
    </xdr:from>
    <xdr:ext cx="514350" cy="361950"/>
    <xdr:sp macro="" textlink="">
      <xdr:nvSpPr>
        <xdr:cNvPr id="1069" name="Isosceles Triangle 1068">
          <a:extLst>
            <a:ext uri="{FF2B5EF4-FFF2-40B4-BE49-F238E27FC236}"/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178</xdr:row>
      <xdr:rowOff>0</xdr:rowOff>
    </xdr:from>
    <xdr:ext cx="514350" cy="361950"/>
    <xdr:sp macro="" textlink="">
      <xdr:nvSpPr>
        <xdr:cNvPr id="1070" name="Isosceles Triangle 1069">
          <a:extLst>
            <a:ext uri="{FF2B5EF4-FFF2-40B4-BE49-F238E27FC236}"/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114</xdr:row>
      <xdr:rowOff>0</xdr:rowOff>
    </xdr:from>
    <xdr:ext cx="514350" cy="361950"/>
    <xdr:sp macro="" textlink="">
      <xdr:nvSpPr>
        <xdr:cNvPr id="1071" name="Isosceles Triangle 1070">
          <a:extLst>
            <a:ext uri="{FF2B5EF4-FFF2-40B4-BE49-F238E27FC236}"/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114</xdr:row>
      <xdr:rowOff>0</xdr:rowOff>
    </xdr:from>
    <xdr:ext cx="533400" cy="361950"/>
    <xdr:sp macro="" textlink="">
      <xdr:nvSpPr>
        <xdr:cNvPr id="1072" name="Isosceles Triangle 1071">
          <a:extLst>
            <a:ext uri="{FF2B5EF4-FFF2-40B4-BE49-F238E27FC236}"/>
          </a:extLst>
        </xdr:cNvPr>
        <xdr:cNvSpPr/>
      </xdr:nvSpPr>
      <xdr:spPr>
        <a:xfrm>
          <a:off x="1552575" y="2200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114</xdr:row>
      <xdr:rowOff>0</xdr:rowOff>
    </xdr:from>
    <xdr:ext cx="514350" cy="361950"/>
    <xdr:sp macro="" textlink="">
      <xdr:nvSpPr>
        <xdr:cNvPr id="1073" name="Isosceles Triangle 1072">
          <a:extLst>
            <a:ext uri="{FF2B5EF4-FFF2-40B4-BE49-F238E27FC236}"/>
          </a:extLst>
        </xdr:cNvPr>
        <xdr:cNvSpPr/>
      </xdr:nvSpPr>
      <xdr:spPr>
        <a:xfrm>
          <a:off x="2543175" y="2200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114</xdr:row>
      <xdr:rowOff>0</xdr:rowOff>
    </xdr:from>
    <xdr:ext cx="514350" cy="361950"/>
    <xdr:sp macro="" textlink="">
      <xdr:nvSpPr>
        <xdr:cNvPr id="1074" name="Isosceles Triangle 1073">
          <a:extLst>
            <a:ext uri="{FF2B5EF4-FFF2-40B4-BE49-F238E27FC236}"/>
          </a:extLst>
        </xdr:cNvPr>
        <xdr:cNvSpPr/>
      </xdr:nvSpPr>
      <xdr:spPr>
        <a:xfrm>
          <a:off x="3609975" y="2200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114</xdr:row>
      <xdr:rowOff>0</xdr:rowOff>
    </xdr:from>
    <xdr:ext cx="514350" cy="361950"/>
    <xdr:sp macro="" textlink="">
      <xdr:nvSpPr>
        <xdr:cNvPr id="1075" name="Isosceles Triangle 1074">
          <a:extLst>
            <a:ext uri="{FF2B5EF4-FFF2-40B4-BE49-F238E27FC236}"/>
          </a:extLst>
        </xdr:cNvPr>
        <xdr:cNvSpPr/>
      </xdr:nvSpPr>
      <xdr:spPr>
        <a:xfrm>
          <a:off x="4514850" y="2200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114</xdr:row>
      <xdr:rowOff>0</xdr:rowOff>
    </xdr:from>
    <xdr:ext cx="514350" cy="361950"/>
    <xdr:sp macro="" textlink="">
      <xdr:nvSpPr>
        <xdr:cNvPr id="1076" name="Isosceles Triangle 1075">
          <a:extLst>
            <a:ext uri="{FF2B5EF4-FFF2-40B4-BE49-F238E27FC236}"/>
          </a:extLst>
        </xdr:cNvPr>
        <xdr:cNvSpPr/>
      </xdr:nvSpPr>
      <xdr:spPr>
        <a:xfrm>
          <a:off x="5381625" y="2200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114</xdr:row>
      <xdr:rowOff>0</xdr:rowOff>
    </xdr:from>
    <xdr:ext cx="514350" cy="361950"/>
    <xdr:sp macro="" textlink="">
      <xdr:nvSpPr>
        <xdr:cNvPr id="1077" name="Isosceles Triangle 1076">
          <a:extLst>
            <a:ext uri="{FF2B5EF4-FFF2-40B4-BE49-F238E27FC236}"/>
          </a:extLst>
        </xdr:cNvPr>
        <xdr:cNvSpPr/>
      </xdr:nvSpPr>
      <xdr:spPr>
        <a:xfrm>
          <a:off x="6296025" y="2200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114</xdr:row>
      <xdr:rowOff>0</xdr:rowOff>
    </xdr:from>
    <xdr:ext cx="514350" cy="361950"/>
    <xdr:sp macro="" textlink="">
      <xdr:nvSpPr>
        <xdr:cNvPr id="1078" name="Isosceles Triangle 1077">
          <a:extLst>
            <a:ext uri="{FF2B5EF4-FFF2-40B4-BE49-F238E27FC236}"/>
          </a:extLst>
        </xdr:cNvPr>
        <xdr:cNvSpPr/>
      </xdr:nvSpPr>
      <xdr:spPr>
        <a:xfrm>
          <a:off x="7172325" y="2200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114</xdr:row>
      <xdr:rowOff>0</xdr:rowOff>
    </xdr:from>
    <xdr:ext cx="514350" cy="361950"/>
    <xdr:sp macro="" textlink="">
      <xdr:nvSpPr>
        <xdr:cNvPr id="1079" name="Isosceles Triangle 1078">
          <a:extLst>
            <a:ext uri="{FF2B5EF4-FFF2-40B4-BE49-F238E27FC236}"/>
          </a:extLst>
        </xdr:cNvPr>
        <xdr:cNvSpPr/>
      </xdr:nvSpPr>
      <xdr:spPr>
        <a:xfrm>
          <a:off x="8220075" y="2200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114</xdr:row>
      <xdr:rowOff>0</xdr:rowOff>
    </xdr:from>
    <xdr:ext cx="495300" cy="361950"/>
    <xdr:sp macro="" textlink="">
      <xdr:nvSpPr>
        <xdr:cNvPr id="1080" name="Isosceles Triangle 1079">
          <a:extLst>
            <a:ext uri="{FF2B5EF4-FFF2-40B4-BE49-F238E27FC236}"/>
          </a:extLst>
        </xdr:cNvPr>
        <xdr:cNvSpPr/>
      </xdr:nvSpPr>
      <xdr:spPr>
        <a:xfrm>
          <a:off x="9210675" y="22002750"/>
          <a:ext cx="504093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114</xdr:row>
      <xdr:rowOff>0</xdr:rowOff>
    </xdr:from>
    <xdr:ext cx="514350" cy="361950"/>
    <xdr:sp macro="" textlink="">
      <xdr:nvSpPr>
        <xdr:cNvPr id="1081" name="Isosceles Triangle 1080">
          <a:extLst>
            <a:ext uri="{FF2B5EF4-FFF2-40B4-BE49-F238E27FC236}"/>
          </a:extLst>
        </xdr:cNvPr>
        <xdr:cNvSpPr/>
      </xdr:nvSpPr>
      <xdr:spPr>
        <a:xfrm>
          <a:off x="10125075" y="22002750"/>
          <a:ext cx="513618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114</xdr:row>
      <xdr:rowOff>0</xdr:rowOff>
    </xdr:from>
    <xdr:ext cx="514350" cy="361950"/>
    <xdr:sp macro="" textlink="">
      <xdr:nvSpPr>
        <xdr:cNvPr id="1082" name="Isosceles Triangle 1081">
          <a:extLst>
            <a:ext uri="{FF2B5EF4-FFF2-40B4-BE49-F238E27FC236}"/>
          </a:extLst>
        </xdr:cNvPr>
        <xdr:cNvSpPr/>
      </xdr:nvSpPr>
      <xdr:spPr>
        <a:xfrm>
          <a:off x="11210925" y="2200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114</xdr:row>
      <xdr:rowOff>0</xdr:rowOff>
    </xdr:from>
    <xdr:ext cx="514350" cy="361950"/>
    <xdr:sp macro="" textlink="">
      <xdr:nvSpPr>
        <xdr:cNvPr id="1083" name="Isosceles Triangle 1082">
          <a:extLst>
            <a:ext uri="{FF2B5EF4-FFF2-40B4-BE49-F238E27FC236}"/>
          </a:extLst>
        </xdr:cNvPr>
        <xdr:cNvSpPr/>
      </xdr:nvSpPr>
      <xdr:spPr>
        <a:xfrm>
          <a:off x="12115800" y="22002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114</xdr:row>
      <xdr:rowOff>0</xdr:rowOff>
    </xdr:from>
    <xdr:ext cx="514350" cy="361950"/>
    <xdr:sp macro="" textlink="">
      <xdr:nvSpPr>
        <xdr:cNvPr id="1084" name="Isosceles Triangle 1083">
          <a:extLst>
            <a:ext uri="{FF2B5EF4-FFF2-40B4-BE49-F238E27FC236}"/>
          </a:extLst>
        </xdr:cNvPr>
        <xdr:cNvSpPr/>
      </xdr:nvSpPr>
      <xdr:spPr>
        <a:xfrm>
          <a:off x="13115925" y="22002750"/>
          <a:ext cx="589818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114</xdr:row>
      <xdr:rowOff>0</xdr:rowOff>
    </xdr:from>
    <xdr:ext cx="514350" cy="352425"/>
    <xdr:sp macro="" textlink="">
      <xdr:nvSpPr>
        <xdr:cNvPr id="1086" name="Isosceles Triangle 1085">
          <a:extLst>
            <a:ext uri="{FF2B5EF4-FFF2-40B4-BE49-F238E27FC236}"/>
          </a:extLst>
        </xdr:cNvPr>
        <xdr:cNvSpPr/>
      </xdr:nvSpPr>
      <xdr:spPr>
        <a:xfrm>
          <a:off x="609600" y="2200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114</xdr:row>
      <xdr:rowOff>0</xdr:rowOff>
    </xdr:from>
    <xdr:ext cx="514350" cy="352425"/>
    <xdr:sp macro="" textlink="">
      <xdr:nvSpPr>
        <xdr:cNvPr id="1087" name="Isosceles Triangle 1086">
          <a:extLst>
            <a:ext uri="{FF2B5EF4-FFF2-40B4-BE49-F238E27FC236}"/>
          </a:extLst>
        </xdr:cNvPr>
        <xdr:cNvSpPr/>
      </xdr:nvSpPr>
      <xdr:spPr>
        <a:xfrm>
          <a:off x="2543175" y="2200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114</xdr:row>
      <xdr:rowOff>0</xdr:rowOff>
    </xdr:from>
    <xdr:ext cx="533400" cy="352425"/>
    <xdr:sp macro="" textlink="">
      <xdr:nvSpPr>
        <xdr:cNvPr id="1088" name="Isosceles Triangle 1087">
          <a:extLst>
            <a:ext uri="{FF2B5EF4-FFF2-40B4-BE49-F238E27FC236}"/>
          </a:extLst>
        </xdr:cNvPr>
        <xdr:cNvSpPr/>
      </xdr:nvSpPr>
      <xdr:spPr>
        <a:xfrm>
          <a:off x="1552575" y="22002750"/>
          <a:ext cx="523143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114</xdr:row>
      <xdr:rowOff>0</xdr:rowOff>
    </xdr:from>
    <xdr:ext cx="514350" cy="352425"/>
    <xdr:sp macro="" textlink="">
      <xdr:nvSpPr>
        <xdr:cNvPr id="1089" name="Isosceles Triangle 1088">
          <a:extLst>
            <a:ext uri="{FF2B5EF4-FFF2-40B4-BE49-F238E27FC236}"/>
          </a:extLst>
        </xdr:cNvPr>
        <xdr:cNvSpPr/>
      </xdr:nvSpPr>
      <xdr:spPr>
        <a:xfrm>
          <a:off x="3609975" y="2200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114</xdr:row>
      <xdr:rowOff>0</xdr:rowOff>
    </xdr:from>
    <xdr:ext cx="514350" cy="352425"/>
    <xdr:sp macro="" textlink="">
      <xdr:nvSpPr>
        <xdr:cNvPr id="1090" name="Isosceles Triangle 1089">
          <a:extLst>
            <a:ext uri="{FF2B5EF4-FFF2-40B4-BE49-F238E27FC236}"/>
          </a:extLst>
        </xdr:cNvPr>
        <xdr:cNvSpPr/>
      </xdr:nvSpPr>
      <xdr:spPr>
        <a:xfrm>
          <a:off x="5381625" y="2200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114</xdr:row>
      <xdr:rowOff>0</xdr:rowOff>
    </xdr:from>
    <xdr:ext cx="495300" cy="352425"/>
    <xdr:sp macro="" textlink="">
      <xdr:nvSpPr>
        <xdr:cNvPr id="1091" name="Isosceles Triangle 1090">
          <a:extLst>
            <a:ext uri="{FF2B5EF4-FFF2-40B4-BE49-F238E27FC236}"/>
          </a:extLst>
        </xdr:cNvPr>
        <xdr:cNvSpPr/>
      </xdr:nvSpPr>
      <xdr:spPr>
        <a:xfrm>
          <a:off x="9210675" y="22002750"/>
          <a:ext cx="50409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114</xdr:row>
      <xdr:rowOff>0</xdr:rowOff>
    </xdr:from>
    <xdr:ext cx="514350" cy="352425"/>
    <xdr:sp macro="" textlink="">
      <xdr:nvSpPr>
        <xdr:cNvPr id="1092" name="Isosceles Triangle 1091">
          <a:extLst>
            <a:ext uri="{FF2B5EF4-FFF2-40B4-BE49-F238E27FC236}"/>
          </a:extLst>
        </xdr:cNvPr>
        <xdr:cNvSpPr/>
      </xdr:nvSpPr>
      <xdr:spPr>
        <a:xfrm>
          <a:off x="8220075" y="2200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114</xdr:row>
      <xdr:rowOff>0</xdr:rowOff>
    </xdr:from>
    <xdr:ext cx="514350" cy="352425"/>
    <xdr:sp macro="" textlink="">
      <xdr:nvSpPr>
        <xdr:cNvPr id="1093" name="Isosceles Triangle 1092">
          <a:extLst>
            <a:ext uri="{FF2B5EF4-FFF2-40B4-BE49-F238E27FC236}"/>
          </a:extLst>
        </xdr:cNvPr>
        <xdr:cNvSpPr/>
      </xdr:nvSpPr>
      <xdr:spPr>
        <a:xfrm>
          <a:off x="4514850" y="2200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114</xdr:row>
      <xdr:rowOff>0</xdr:rowOff>
    </xdr:from>
    <xdr:ext cx="514350" cy="352425"/>
    <xdr:sp macro="" textlink="">
      <xdr:nvSpPr>
        <xdr:cNvPr id="1094" name="Isosceles Triangle 1093">
          <a:extLst>
            <a:ext uri="{FF2B5EF4-FFF2-40B4-BE49-F238E27FC236}"/>
          </a:extLst>
        </xdr:cNvPr>
        <xdr:cNvSpPr/>
      </xdr:nvSpPr>
      <xdr:spPr>
        <a:xfrm>
          <a:off x="7172325" y="22002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114</xdr:row>
      <xdr:rowOff>0</xdr:rowOff>
    </xdr:from>
    <xdr:ext cx="514350" cy="352425"/>
    <xdr:sp macro="" textlink="">
      <xdr:nvSpPr>
        <xdr:cNvPr id="1095" name="Isosceles Triangle 1094">
          <a:extLst>
            <a:ext uri="{FF2B5EF4-FFF2-40B4-BE49-F238E27FC236}"/>
          </a:extLst>
        </xdr:cNvPr>
        <xdr:cNvSpPr/>
      </xdr:nvSpPr>
      <xdr:spPr>
        <a:xfrm>
          <a:off x="6296025" y="22002750"/>
          <a:ext cx="523143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122</xdr:row>
      <xdr:rowOff>0</xdr:rowOff>
    </xdr:from>
    <xdr:ext cx="514350" cy="361950"/>
    <xdr:sp macro="" textlink="">
      <xdr:nvSpPr>
        <xdr:cNvPr id="1096" name="Isosceles Triangle 1095">
          <a:extLst>
            <a:ext uri="{FF2B5EF4-FFF2-40B4-BE49-F238E27FC236}"/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122</xdr:row>
      <xdr:rowOff>0</xdr:rowOff>
    </xdr:from>
    <xdr:ext cx="533400" cy="361950"/>
    <xdr:sp macro="" textlink="">
      <xdr:nvSpPr>
        <xdr:cNvPr id="1097" name="Isosceles Triangle 1096">
          <a:extLst>
            <a:ext uri="{FF2B5EF4-FFF2-40B4-BE49-F238E27FC236}"/>
          </a:extLst>
        </xdr:cNvPr>
        <xdr:cNvSpPr/>
      </xdr:nvSpPr>
      <xdr:spPr>
        <a:xfrm>
          <a:off x="1552575" y="2352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122</xdr:row>
      <xdr:rowOff>0</xdr:rowOff>
    </xdr:from>
    <xdr:ext cx="514350" cy="361950"/>
    <xdr:sp macro="" textlink="">
      <xdr:nvSpPr>
        <xdr:cNvPr id="1098" name="Isosceles Triangle 1097">
          <a:extLst>
            <a:ext uri="{FF2B5EF4-FFF2-40B4-BE49-F238E27FC236}"/>
          </a:extLst>
        </xdr:cNvPr>
        <xdr:cNvSpPr/>
      </xdr:nvSpPr>
      <xdr:spPr>
        <a:xfrm>
          <a:off x="2543175" y="2352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122</xdr:row>
      <xdr:rowOff>0</xdr:rowOff>
    </xdr:from>
    <xdr:ext cx="514350" cy="361950"/>
    <xdr:sp macro="" textlink="">
      <xdr:nvSpPr>
        <xdr:cNvPr id="1099" name="Isosceles Triangle 1098">
          <a:extLst>
            <a:ext uri="{FF2B5EF4-FFF2-40B4-BE49-F238E27FC236}"/>
          </a:extLst>
        </xdr:cNvPr>
        <xdr:cNvSpPr/>
      </xdr:nvSpPr>
      <xdr:spPr>
        <a:xfrm>
          <a:off x="3609975" y="2352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122</xdr:row>
      <xdr:rowOff>0</xdr:rowOff>
    </xdr:from>
    <xdr:ext cx="514350" cy="361950"/>
    <xdr:sp macro="" textlink="">
      <xdr:nvSpPr>
        <xdr:cNvPr id="1100" name="Isosceles Triangle 1099">
          <a:extLst>
            <a:ext uri="{FF2B5EF4-FFF2-40B4-BE49-F238E27FC236}"/>
          </a:extLst>
        </xdr:cNvPr>
        <xdr:cNvSpPr/>
      </xdr:nvSpPr>
      <xdr:spPr>
        <a:xfrm>
          <a:off x="4514850" y="2352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122</xdr:row>
      <xdr:rowOff>0</xdr:rowOff>
    </xdr:from>
    <xdr:ext cx="514350" cy="361950"/>
    <xdr:sp macro="" textlink="">
      <xdr:nvSpPr>
        <xdr:cNvPr id="1101" name="Isosceles Triangle 1100">
          <a:extLst>
            <a:ext uri="{FF2B5EF4-FFF2-40B4-BE49-F238E27FC236}"/>
          </a:extLst>
        </xdr:cNvPr>
        <xdr:cNvSpPr/>
      </xdr:nvSpPr>
      <xdr:spPr>
        <a:xfrm>
          <a:off x="5381625" y="2352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122</xdr:row>
      <xdr:rowOff>0</xdr:rowOff>
    </xdr:from>
    <xdr:ext cx="514350" cy="361950"/>
    <xdr:sp macro="" textlink="">
      <xdr:nvSpPr>
        <xdr:cNvPr id="1102" name="Isosceles Triangle 1101">
          <a:extLst>
            <a:ext uri="{FF2B5EF4-FFF2-40B4-BE49-F238E27FC236}"/>
          </a:extLst>
        </xdr:cNvPr>
        <xdr:cNvSpPr/>
      </xdr:nvSpPr>
      <xdr:spPr>
        <a:xfrm>
          <a:off x="6296025" y="2352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122</xdr:row>
      <xdr:rowOff>0</xdr:rowOff>
    </xdr:from>
    <xdr:ext cx="514350" cy="361950"/>
    <xdr:sp macro="" textlink="">
      <xdr:nvSpPr>
        <xdr:cNvPr id="1103" name="Isosceles Triangle 1102">
          <a:extLst>
            <a:ext uri="{FF2B5EF4-FFF2-40B4-BE49-F238E27FC236}"/>
          </a:extLst>
        </xdr:cNvPr>
        <xdr:cNvSpPr/>
      </xdr:nvSpPr>
      <xdr:spPr>
        <a:xfrm>
          <a:off x="7172325" y="2352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122</xdr:row>
      <xdr:rowOff>0</xdr:rowOff>
    </xdr:from>
    <xdr:ext cx="514350" cy="361950"/>
    <xdr:sp macro="" textlink="">
      <xdr:nvSpPr>
        <xdr:cNvPr id="1104" name="Isosceles Triangle 1103">
          <a:extLst>
            <a:ext uri="{FF2B5EF4-FFF2-40B4-BE49-F238E27FC236}"/>
          </a:extLst>
        </xdr:cNvPr>
        <xdr:cNvSpPr/>
      </xdr:nvSpPr>
      <xdr:spPr>
        <a:xfrm>
          <a:off x="8220075" y="2352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122</xdr:row>
      <xdr:rowOff>0</xdr:rowOff>
    </xdr:from>
    <xdr:ext cx="495300" cy="361950"/>
    <xdr:sp macro="" textlink="">
      <xdr:nvSpPr>
        <xdr:cNvPr id="1105" name="Isosceles Triangle 1104">
          <a:extLst>
            <a:ext uri="{FF2B5EF4-FFF2-40B4-BE49-F238E27FC236}"/>
          </a:extLst>
        </xdr:cNvPr>
        <xdr:cNvSpPr/>
      </xdr:nvSpPr>
      <xdr:spPr>
        <a:xfrm>
          <a:off x="9210675" y="23526750"/>
          <a:ext cx="504093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122</xdr:row>
      <xdr:rowOff>0</xdr:rowOff>
    </xdr:from>
    <xdr:ext cx="514350" cy="361950"/>
    <xdr:sp macro="" textlink="">
      <xdr:nvSpPr>
        <xdr:cNvPr id="1106" name="Isosceles Triangle 1105">
          <a:extLst>
            <a:ext uri="{FF2B5EF4-FFF2-40B4-BE49-F238E27FC236}"/>
          </a:extLst>
        </xdr:cNvPr>
        <xdr:cNvSpPr/>
      </xdr:nvSpPr>
      <xdr:spPr>
        <a:xfrm>
          <a:off x="10125075" y="23526750"/>
          <a:ext cx="5136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122</xdr:row>
      <xdr:rowOff>0</xdr:rowOff>
    </xdr:from>
    <xdr:ext cx="514350" cy="361950"/>
    <xdr:sp macro="" textlink="">
      <xdr:nvSpPr>
        <xdr:cNvPr id="1107" name="Isosceles Triangle 1106">
          <a:extLst>
            <a:ext uri="{FF2B5EF4-FFF2-40B4-BE49-F238E27FC236}"/>
          </a:extLst>
        </xdr:cNvPr>
        <xdr:cNvSpPr/>
      </xdr:nvSpPr>
      <xdr:spPr>
        <a:xfrm>
          <a:off x="11210925" y="23526750"/>
          <a:ext cx="52314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122</xdr:row>
      <xdr:rowOff>0</xdr:rowOff>
    </xdr:from>
    <xdr:ext cx="514350" cy="361950"/>
    <xdr:sp macro="" textlink="">
      <xdr:nvSpPr>
        <xdr:cNvPr id="1108" name="Isosceles Triangle 1107">
          <a:extLst>
            <a:ext uri="{FF2B5EF4-FFF2-40B4-BE49-F238E27FC236}"/>
          </a:extLst>
        </xdr:cNvPr>
        <xdr:cNvSpPr/>
      </xdr:nvSpPr>
      <xdr:spPr>
        <a:xfrm>
          <a:off x="12115800" y="23526750"/>
          <a:ext cx="50409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122</xdr:row>
      <xdr:rowOff>0</xdr:rowOff>
    </xdr:from>
    <xdr:ext cx="514350" cy="361950"/>
    <xdr:sp macro="" textlink="">
      <xdr:nvSpPr>
        <xdr:cNvPr id="1109" name="Isosceles Triangle 1108">
          <a:extLst>
            <a:ext uri="{FF2B5EF4-FFF2-40B4-BE49-F238E27FC236}"/>
          </a:extLst>
        </xdr:cNvPr>
        <xdr:cNvSpPr/>
      </xdr:nvSpPr>
      <xdr:spPr>
        <a:xfrm>
          <a:off x="13115925" y="23526750"/>
          <a:ext cx="5898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</xdr:col>
      <xdr:colOff>123825</xdr:colOff>
      <xdr:row>123</xdr:row>
      <xdr:rowOff>161925</xdr:rowOff>
    </xdr:from>
    <xdr:ext cx="142875" cy="381000"/>
    <xdr:sp macro="" textlink="">
      <xdr:nvSpPr>
        <xdr:cNvPr id="1110" name="Arrow: Up 1186">
          <a:extLst>
            <a:ext uri="{FF2B5EF4-FFF2-40B4-BE49-F238E27FC236}"/>
          </a:extLst>
        </xdr:cNvPr>
        <xdr:cNvSpPr/>
      </xdr:nvSpPr>
      <xdr:spPr>
        <a:xfrm>
          <a:off x="1273968" y="2388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</xdr:col>
      <xdr:colOff>0</xdr:colOff>
      <xdr:row>122</xdr:row>
      <xdr:rowOff>0</xdr:rowOff>
    </xdr:from>
    <xdr:ext cx="514350" cy="352425"/>
    <xdr:sp macro="" textlink="">
      <xdr:nvSpPr>
        <xdr:cNvPr id="1111" name="Isosceles Triangle 1110">
          <a:extLst>
            <a:ext uri="{FF2B5EF4-FFF2-40B4-BE49-F238E27FC236}"/>
          </a:extLst>
        </xdr:cNvPr>
        <xdr:cNvSpPr/>
      </xdr:nvSpPr>
      <xdr:spPr>
        <a:xfrm>
          <a:off x="609600" y="23526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122</xdr:row>
      <xdr:rowOff>0</xdr:rowOff>
    </xdr:from>
    <xdr:ext cx="514350" cy="352425"/>
    <xdr:sp macro="" textlink="">
      <xdr:nvSpPr>
        <xdr:cNvPr id="1112" name="Isosceles Triangle 1111">
          <a:extLst>
            <a:ext uri="{FF2B5EF4-FFF2-40B4-BE49-F238E27FC236}"/>
          </a:extLst>
        </xdr:cNvPr>
        <xdr:cNvSpPr/>
      </xdr:nvSpPr>
      <xdr:spPr>
        <a:xfrm>
          <a:off x="2543175" y="23526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122</xdr:row>
      <xdr:rowOff>0</xdr:rowOff>
    </xdr:from>
    <xdr:ext cx="533400" cy="352425"/>
    <xdr:sp macro="" textlink="">
      <xdr:nvSpPr>
        <xdr:cNvPr id="1113" name="Isosceles Triangle 1112">
          <a:extLst>
            <a:ext uri="{FF2B5EF4-FFF2-40B4-BE49-F238E27FC236}"/>
          </a:extLst>
        </xdr:cNvPr>
        <xdr:cNvSpPr/>
      </xdr:nvSpPr>
      <xdr:spPr>
        <a:xfrm>
          <a:off x="1552575" y="23526750"/>
          <a:ext cx="523143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122</xdr:row>
      <xdr:rowOff>0</xdr:rowOff>
    </xdr:from>
    <xdr:ext cx="514350" cy="352425"/>
    <xdr:sp macro="" textlink="">
      <xdr:nvSpPr>
        <xdr:cNvPr id="1114" name="Isosceles Triangle 1113">
          <a:extLst>
            <a:ext uri="{FF2B5EF4-FFF2-40B4-BE49-F238E27FC236}"/>
          </a:extLst>
        </xdr:cNvPr>
        <xdr:cNvSpPr/>
      </xdr:nvSpPr>
      <xdr:spPr>
        <a:xfrm>
          <a:off x="3609975" y="23526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122</xdr:row>
      <xdr:rowOff>0</xdr:rowOff>
    </xdr:from>
    <xdr:ext cx="523875" cy="352425"/>
    <xdr:sp macro="" textlink="">
      <xdr:nvSpPr>
        <xdr:cNvPr id="1115" name="Isosceles Triangle 1114">
          <a:extLst>
            <a:ext uri="{FF2B5EF4-FFF2-40B4-BE49-F238E27FC236}"/>
          </a:extLst>
        </xdr:cNvPr>
        <xdr:cNvSpPr/>
      </xdr:nvSpPr>
      <xdr:spPr>
        <a:xfrm>
          <a:off x="5597071" y="22451786"/>
          <a:ext cx="544286" cy="353785"/>
        </a:xfrm>
        <a:prstGeom prst="triangle">
          <a:avLst>
            <a:gd fmla="val 50000" name="adj"/>
          </a:avLst>
        </a:prstGeom>
        <a:solidFill>
          <a:srgbClr val="FFFF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122</xdr:row>
      <xdr:rowOff>0</xdr:rowOff>
    </xdr:from>
    <xdr:ext cx="495300" cy="352425"/>
    <xdr:sp macro="" textlink="">
      <xdr:nvSpPr>
        <xdr:cNvPr id="1116" name="Isosceles Triangle 1115">
          <a:extLst>
            <a:ext uri="{FF2B5EF4-FFF2-40B4-BE49-F238E27FC236}"/>
          </a:extLst>
        </xdr:cNvPr>
        <xdr:cNvSpPr/>
      </xdr:nvSpPr>
      <xdr:spPr>
        <a:xfrm>
          <a:off x="9210675" y="23526750"/>
          <a:ext cx="50409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122</xdr:row>
      <xdr:rowOff>0</xdr:rowOff>
    </xdr:from>
    <xdr:ext cx="514350" cy="352425"/>
    <xdr:sp macro="" textlink="">
      <xdr:nvSpPr>
        <xdr:cNvPr id="1117" name="Isosceles Triangle 1116">
          <a:extLst>
            <a:ext uri="{FF2B5EF4-FFF2-40B4-BE49-F238E27FC236}"/>
          </a:extLst>
        </xdr:cNvPr>
        <xdr:cNvSpPr/>
      </xdr:nvSpPr>
      <xdr:spPr>
        <a:xfrm>
          <a:off x="8220075" y="23526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122</xdr:row>
      <xdr:rowOff>0</xdr:rowOff>
    </xdr:from>
    <xdr:ext cx="514350" cy="352425"/>
    <xdr:sp macro="" textlink="">
      <xdr:nvSpPr>
        <xdr:cNvPr id="1118" name="Isosceles Triangle 1117">
          <a:extLst>
            <a:ext uri="{FF2B5EF4-FFF2-40B4-BE49-F238E27FC236}"/>
          </a:extLst>
        </xdr:cNvPr>
        <xdr:cNvSpPr/>
      </xdr:nvSpPr>
      <xdr:spPr>
        <a:xfrm>
          <a:off x="4514850" y="23526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122</xdr:row>
      <xdr:rowOff>0</xdr:rowOff>
    </xdr:from>
    <xdr:ext cx="514350" cy="352425"/>
    <xdr:sp macro="" textlink="">
      <xdr:nvSpPr>
        <xdr:cNvPr id="1119" name="Isosceles Triangle 1118">
          <a:extLst>
            <a:ext uri="{FF2B5EF4-FFF2-40B4-BE49-F238E27FC236}"/>
          </a:extLst>
        </xdr:cNvPr>
        <xdr:cNvSpPr/>
      </xdr:nvSpPr>
      <xdr:spPr>
        <a:xfrm>
          <a:off x="7172325" y="23526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122</xdr:row>
      <xdr:rowOff>0</xdr:rowOff>
    </xdr:from>
    <xdr:ext cx="514350" cy="352425"/>
    <xdr:sp macro="" textlink="">
      <xdr:nvSpPr>
        <xdr:cNvPr id="1120" name="Isosceles Triangle 1119">
          <a:extLst>
            <a:ext uri="{FF2B5EF4-FFF2-40B4-BE49-F238E27FC236}"/>
          </a:extLst>
        </xdr:cNvPr>
        <xdr:cNvSpPr/>
      </xdr:nvSpPr>
      <xdr:spPr>
        <a:xfrm>
          <a:off x="6296025" y="23526750"/>
          <a:ext cx="523143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130</xdr:row>
      <xdr:rowOff>0</xdr:rowOff>
    </xdr:from>
    <xdr:ext cx="514350" cy="361950"/>
    <xdr:sp macro="" textlink="">
      <xdr:nvSpPr>
        <xdr:cNvPr id="1121" name="Isosceles Triangle 1120">
          <a:extLst>
            <a:ext uri="{FF2B5EF4-FFF2-40B4-BE49-F238E27FC236}"/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129</xdr:row>
      <xdr:rowOff>180975</xdr:rowOff>
    </xdr:from>
    <xdr:ext cx="533400" cy="361950"/>
    <xdr:sp macro="" textlink="">
      <xdr:nvSpPr>
        <xdr:cNvPr id="1122" name="Isosceles Triangle 1121">
          <a:extLst>
            <a:ext uri="{FF2B5EF4-FFF2-40B4-BE49-F238E27FC236}"/>
          </a:extLst>
        </xdr:cNvPr>
        <xdr:cNvSpPr/>
      </xdr:nvSpPr>
      <xdr:spPr>
        <a:xfrm>
          <a:off x="1552575" y="25045312"/>
          <a:ext cx="523875" cy="386438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130</xdr:row>
      <xdr:rowOff>0</xdr:rowOff>
    </xdr:from>
    <xdr:ext cx="514350" cy="361950"/>
    <xdr:sp macro="" textlink="">
      <xdr:nvSpPr>
        <xdr:cNvPr id="1123" name="Isosceles Triangle 1122">
          <a:extLst>
            <a:ext uri="{FF2B5EF4-FFF2-40B4-BE49-F238E27FC236}"/>
          </a:extLst>
        </xdr:cNvPr>
        <xdr:cNvSpPr/>
      </xdr:nvSpPr>
      <xdr:spPr>
        <a:xfrm>
          <a:off x="2634074" y="23556148"/>
          <a:ext cx="529257" cy="361914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130</xdr:row>
      <xdr:rowOff>0</xdr:rowOff>
    </xdr:from>
    <xdr:ext cx="514350" cy="361950"/>
    <xdr:sp macro="" textlink="">
      <xdr:nvSpPr>
        <xdr:cNvPr id="1124" name="Isosceles Triangle 1123">
          <a:extLst>
            <a:ext uri="{FF2B5EF4-FFF2-40B4-BE49-F238E27FC236}"/>
          </a:extLst>
        </xdr:cNvPr>
        <xdr:cNvSpPr/>
      </xdr:nvSpPr>
      <xdr:spPr>
        <a:xfrm>
          <a:off x="3609975" y="2505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130</xdr:row>
      <xdr:rowOff>0</xdr:rowOff>
    </xdr:from>
    <xdr:ext cx="514350" cy="361950"/>
    <xdr:sp macro="" textlink="">
      <xdr:nvSpPr>
        <xdr:cNvPr id="1125" name="Isosceles Triangle 1124">
          <a:extLst>
            <a:ext uri="{FF2B5EF4-FFF2-40B4-BE49-F238E27FC236}"/>
          </a:extLst>
        </xdr:cNvPr>
        <xdr:cNvSpPr/>
      </xdr:nvSpPr>
      <xdr:spPr>
        <a:xfrm>
          <a:off x="4514850" y="2505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130</xdr:row>
      <xdr:rowOff>0</xdr:rowOff>
    </xdr:from>
    <xdr:ext cx="514350" cy="361950"/>
    <xdr:sp macro="" textlink="">
      <xdr:nvSpPr>
        <xdr:cNvPr id="1126" name="Isosceles Triangle 1125">
          <a:extLst>
            <a:ext uri="{FF2B5EF4-FFF2-40B4-BE49-F238E27FC236}"/>
          </a:extLst>
        </xdr:cNvPr>
        <xdr:cNvSpPr/>
      </xdr:nvSpPr>
      <xdr:spPr>
        <a:xfrm>
          <a:off x="5381625" y="2505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130</xdr:row>
      <xdr:rowOff>0</xdr:rowOff>
    </xdr:from>
    <xdr:ext cx="514350" cy="361950"/>
    <xdr:sp macro="" textlink="">
      <xdr:nvSpPr>
        <xdr:cNvPr id="1127" name="Isosceles Triangle 1126">
          <a:extLst>
            <a:ext uri="{FF2B5EF4-FFF2-40B4-BE49-F238E27FC236}"/>
          </a:extLst>
        </xdr:cNvPr>
        <xdr:cNvSpPr/>
      </xdr:nvSpPr>
      <xdr:spPr>
        <a:xfrm>
          <a:off x="6296025" y="2505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130</xdr:row>
      <xdr:rowOff>0</xdr:rowOff>
    </xdr:from>
    <xdr:ext cx="514350" cy="361950"/>
    <xdr:sp macro="" textlink="">
      <xdr:nvSpPr>
        <xdr:cNvPr id="1128" name="Isosceles Triangle 1127">
          <a:extLst>
            <a:ext uri="{FF2B5EF4-FFF2-40B4-BE49-F238E27FC236}"/>
          </a:extLst>
        </xdr:cNvPr>
        <xdr:cNvSpPr/>
      </xdr:nvSpPr>
      <xdr:spPr>
        <a:xfrm>
          <a:off x="7172325" y="2505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130</xdr:row>
      <xdr:rowOff>0</xdr:rowOff>
    </xdr:from>
    <xdr:ext cx="514350" cy="361950"/>
    <xdr:sp macro="" textlink="">
      <xdr:nvSpPr>
        <xdr:cNvPr id="1129" name="Isosceles Triangle 1128">
          <a:extLst>
            <a:ext uri="{FF2B5EF4-FFF2-40B4-BE49-F238E27FC236}"/>
          </a:extLst>
        </xdr:cNvPr>
        <xdr:cNvSpPr/>
      </xdr:nvSpPr>
      <xdr:spPr>
        <a:xfrm>
          <a:off x="8220075" y="2505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130</xdr:row>
      <xdr:rowOff>0</xdr:rowOff>
    </xdr:from>
    <xdr:ext cx="495300" cy="361950"/>
    <xdr:sp macro="" textlink="">
      <xdr:nvSpPr>
        <xdr:cNvPr id="1130" name="Isosceles Triangle 1129">
          <a:extLst>
            <a:ext uri="{FF2B5EF4-FFF2-40B4-BE49-F238E27FC236}"/>
          </a:extLst>
        </xdr:cNvPr>
        <xdr:cNvSpPr/>
      </xdr:nvSpPr>
      <xdr:spPr>
        <a:xfrm>
          <a:off x="9210675" y="25050750"/>
          <a:ext cx="504093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130</xdr:row>
      <xdr:rowOff>0</xdr:rowOff>
    </xdr:from>
    <xdr:ext cx="514350" cy="361950"/>
    <xdr:sp macro="" textlink="">
      <xdr:nvSpPr>
        <xdr:cNvPr id="1131" name="Isosceles Triangle 1130">
          <a:extLst>
            <a:ext uri="{FF2B5EF4-FFF2-40B4-BE49-F238E27FC236}"/>
          </a:extLst>
        </xdr:cNvPr>
        <xdr:cNvSpPr/>
      </xdr:nvSpPr>
      <xdr:spPr>
        <a:xfrm>
          <a:off x="10125075" y="25050750"/>
          <a:ext cx="513618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130</xdr:row>
      <xdr:rowOff>0</xdr:rowOff>
    </xdr:from>
    <xdr:ext cx="514350" cy="361950"/>
    <xdr:sp macro="" textlink="">
      <xdr:nvSpPr>
        <xdr:cNvPr id="1132" name="Isosceles Triangle 1131">
          <a:extLst>
            <a:ext uri="{FF2B5EF4-FFF2-40B4-BE49-F238E27FC236}"/>
          </a:extLst>
        </xdr:cNvPr>
        <xdr:cNvSpPr/>
      </xdr:nvSpPr>
      <xdr:spPr>
        <a:xfrm>
          <a:off x="11210925" y="25050750"/>
          <a:ext cx="52314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130</xdr:row>
      <xdr:rowOff>0</xdr:rowOff>
    </xdr:from>
    <xdr:ext cx="514350" cy="361950"/>
    <xdr:sp macro="" textlink="">
      <xdr:nvSpPr>
        <xdr:cNvPr id="1133" name="Isosceles Triangle 1132">
          <a:extLst>
            <a:ext uri="{FF2B5EF4-FFF2-40B4-BE49-F238E27FC236}"/>
          </a:extLst>
        </xdr:cNvPr>
        <xdr:cNvSpPr/>
      </xdr:nvSpPr>
      <xdr:spPr>
        <a:xfrm>
          <a:off x="12115800" y="25050750"/>
          <a:ext cx="50409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130</xdr:row>
      <xdr:rowOff>0</xdr:rowOff>
    </xdr:from>
    <xdr:ext cx="514350" cy="361950"/>
    <xdr:sp macro="" textlink="">
      <xdr:nvSpPr>
        <xdr:cNvPr id="1134" name="Isosceles Triangle 1133">
          <a:extLst>
            <a:ext uri="{FF2B5EF4-FFF2-40B4-BE49-F238E27FC236}"/>
          </a:extLst>
        </xdr:cNvPr>
        <xdr:cNvSpPr/>
      </xdr:nvSpPr>
      <xdr:spPr>
        <a:xfrm>
          <a:off x="13115925" y="25050750"/>
          <a:ext cx="589818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130</xdr:row>
      <xdr:rowOff>0</xdr:rowOff>
    </xdr:from>
    <xdr:ext cx="514350" cy="352425"/>
    <xdr:sp macro="" textlink="">
      <xdr:nvSpPr>
        <xdr:cNvPr id="1135" name="Isosceles Triangle 1134">
          <a:extLst>
            <a:ext uri="{FF2B5EF4-FFF2-40B4-BE49-F238E27FC236}"/>
          </a:extLst>
        </xdr:cNvPr>
        <xdr:cNvSpPr/>
      </xdr:nvSpPr>
      <xdr:spPr>
        <a:xfrm>
          <a:off x="609600" y="25050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130</xdr:row>
      <xdr:rowOff>0</xdr:rowOff>
    </xdr:from>
    <xdr:ext cx="514350" cy="352425"/>
    <xdr:sp macro="" textlink="">
      <xdr:nvSpPr>
        <xdr:cNvPr id="1136" name="Isosceles Triangle 1135">
          <a:extLst>
            <a:ext uri="{FF2B5EF4-FFF2-40B4-BE49-F238E27FC236}"/>
          </a:extLst>
        </xdr:cNvPr>
        <xdr:cNvSpPr/>
      </xdr:nvSpPr>
      <xdr:spPr>
        <a:xfrm>
          <a:off x="2543175" y="25050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130</xdr:row>
      <xdr:rowOff>0</xdr:rowOff>
    </xdr:from>
    <xdr:ext cx="514350" cy="352425"/>
    <xdr:sp macro="" textlink="">
      <xdr:nvSpPr>
        <xdr:cNvPr id="1137" name="Isosceles Triangle 1136">
          <a:extLst>
            <a:ext uri="{FF2B5EF4-FFF2-40B4-BE49-F238E27FC236}"/>
          </a:extLst>
        </xdr:cNvPr>
        <xdr:cNvSpPr/>
      </xdr:nvSpPr>
      <xdr:spPr>
        <a:xfrm>
          <a:off x="3609975" y="25050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130</xdr:row>
      <xdr:rowOff>0</xdr:rowOff>
    </xdr:from>
    <xdr:ext cx="514350" cy="352425"/>
    <xdr:sp macro="" textlink="">
      <xdr:nvSpPr>
        <xdr:cNvPr id="1138" name="Isosceles Triangle 1137">
          <a:extLst>
            <a:ext uri="{FF2B5EF4-FFF2-40B4-BE49-F238E27FC236}"/>
          </a:extLst>
        </xdr:cNvPr>
        <xdr:cNvSpPr/>
      </xdr:nvSpPr>
      <xdr:spPr>
        <a:xfrm>
          <a:off x="5381625" y="25050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130</xdr:row>
      <xdr:rowOff>0</xdr:rowOff>
    </xdr:from>
    <xdr:ext cx="495300" cy="352425"/>
    <xdr:sp macro="" textlink="">
      <xdr:nvSpPr>
        <xdr:cNvPr id="1139" name="Isosceles Triangle 1138">
          <a:extLst>
            <a:ext uri="{FF2B5EF4-FFF2-40B4-BE49-F238E27FC236}"/>
          </a:extLst>
        </xdr:cNvPr>
        <xdr:cNvSpPr/>
      </xdr:nvSpPr>
      <xdr:spPr>
        <a:xfrm>
          <a:off x="9210675" y="25050750"/>
          <a:ext cx="50409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130</xdr:row>
      <xdr:rowOff>0</xdr:rowOff>
    </xdr:from>
    <xdr:ext cx="514350" cy="352425"/>
    <xdr:sp macro="" textlink="">
      <xdr:nvSpPr>
        <xdr:cNvPr id="1140" name="Isosceles Triangle 1139">
          <a:extLst>
            <a:ext uri="{FF2B5EF4-FFF2-40B4-BE49-F238E27FC236}"/>
          </a:extLst>
        </xdr:cNvPr>
        <xdr:cNvSpPr/>
      </xdr:nvSpPr>
      <xdr:spPr>
        <a:xfrm>
          <a:off x="8220075" y="25050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130</xdr:row>
      <xdr:rowOff>0</xdr:rowOff>
    </xdr:from>
    <xdr:ext cx="514350" cy="352425"/>
    <xdr:sp macro="" textlink="">
      <xdr:nvSpPr>
        <xdr:cNvPr id="1141" name="Isosceles Triangle 1140">
          <a:extLst>
            <a:ext uri="{FF2B5EF4-FFF2-40B4-BE49-F238E27FC236}"/>
          </a:extLst>
        </xdr:cNvPr>
        <xdr:cNvSpPr/>
      </xdr:nvSpPr>
      <xdr:spPr>
        <a:xfrm>
          <a:off x="4514850" y="25050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130</xdr:row>
      <xdr:rowOff>0</xdr:rowOff>
    </xdr:from>
    <xdr:ext cx="514350" cy="352425"/>
    <xdr:sp macro="" textlink="">
      <xdr:nvSpPr>
        <xdr:cNvPr id="1142" name="Isosceles Triangle 1141">
          <a:extLst>
            <a:ext uri="{FF2B5EF4-FFF2-40B4-BE49-F238E27FC236}"/>
          </a:extLst>
        </xdr:cNvPr>
        <xdr:cNvSpPr/>
      </xdr:nvSpPr>
      <xdr:spPr>
        <a:xfrm>
          <a:off x="7172325" y="25050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130</xdr:row>
      <xdr:rowOff>0</xdr:rowOff>
    </xdr:from>
    <xdr:ext cx="514350" cy="352425"/>
    <xdr:sp macro="" textlink="">
      <xdr:nvSpPr>
        <xdr:cNvPr id="1143" name="Isosceles Triangle 1142">
          <a:extLst>
            <a:ext uri="{FF2B5EF4-FFF2-40B4-BE49-F238E27FC236}"/>
          </a:extLst>
        </xdr:cNvPr>
        <xdr:cNvSpPr/>
      </xdr:nvSpPr>
      <xdr:spPr>
        <a:xfrm>
          <a:off x="6296025" y="25050750"/>
          <a:ext cx="523143" cy="367975"/>
        </a:xfrm>
        <a:prstGeom prst="triangle">
          <a:avLst>
            <a:gd fmla="val 50000" name="adj"/>
          </a:avLst>
        </a:prstGeom>
        <a:solidFill>
          <a:srgbClr val="FFFF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514350" cy="361950"/>
    <xdr:sp macro="" textlink="">
      <xdr:nvSpPr>
        <xdr:cNvPr id="1144" name="Isosceles Triangle 1143">
          <a:extLst>
            <a:ext uri="{FF2B5EF4-FFF2-40B4-BE49-F238E27FC236}"/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138</xdr:row>
      <xdr:rowOff>0</xdr:rowOff>
    </xdr:from>
    <xdr:ext cx="533400" cy="361950"/>
    <xdr:sp macro="" textlink="">
      <xdr:nvSpPr>
        <xdr:cNvPr id="1145" name="Isosceles Triangle 1144">
          <a:extLst>
            <a:ext uri="{FF2B5EF4-FFF2-40B4-BE49-F238E27FC236}"/>
          </a:extLst>
        </xdr:cNvPr>
        <xdr:cNvSpPr/>
      </xdr:nvSpPr>
      <xdr:spPr>
        <a:xfrm>
          <a:off x="1552575" y="2657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138</xdr:row>
      <xdr:rowOff>0</xdr:rowOff>
    </xdr:from>
    <xdr:ext cx="514350" cy="361950"/>
    <xdr:sp macro="" textlink="">
      <xdr:nvSpPr>
        <xdr:cNvPr id="1146" name="Isosceles Triangle 1145">
          <a:extLst>
            <a:ext uri="{FF2B5EF4-FFF2-40B4-BE49-F238E27FC236}"/>
          </a:extLst>
        </xdr:cNvPr>
        <xdr:cNvSpPr/>
      </xdr:nvSpPr>
      <xdr:spPr>
        <a:xfrm>
          <a:off x="2543175" y="2657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138</xdr:row>
      <xdr:rowOff>0</xdr:rowOff>
    </xdr:from>
    <xdr:ext cx="514350" cy="361950"/>
    <xdr:sp macro="" textlink="">
      <xdr:nvSpPr>
        <xdr:cNvPr id="1147" name="Isosceles Triangle 1146">
          <a:extLst>
            <a:ext uri="{FF2B5EF4-FFF2-40B4-BE49-F238E27FC236}"/>
          </a:extLst>
        </xdr:cNvPr>
        <xdr:cNvSpPr/>
      </xdr:nvSpPr>
      <xdr:spPr>
        <a:xfrm>
          <a:off x="3609975" y="2657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138</xdr:row>
      <xdr:rowOff>0</xdr:rowOff>
    </xdr:from>
    <xdr:ext cx="514350" cy="361950"/>
    <xdr:sp macro="" textlink="">
      <xdr:nvSpPr>
        <xdr:cNvPr id="1148" name="Isosceles Triangle 1147">
          <a:extLst>
            <a:ext uri="{FF2B5EF4-FFF2-40B4-BE49-F238E27FC236}"/>
          </a:extLst>
        </xdr:cNvPr>
        <xdr:cNvSpPr/>
      </xdr:nvSpPr>
      <xdr:spPr>
        <a:xfrm>
          <a:off x="4514850" y="2657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138</xdr:row>
      <xdr:rowOff>0</xdr:rowOff>
    </xdr:from>
    <xdr:ext cx="514350" cy="361950"/>
    <xdr:sp macro="" textlink="">
      <xdr:nvSpPr>
        <xdr:cNvPr id="1149" name="Isosceles Triangle 1148">
          <a:extLst>
            <a:ext uri="{FF2B5EF4-FFF2-40B4-BE49-F238E27FC236}"/>
          </a:extLst>
        </xdr:cNvPr>
        <xdr:cNvSpPr/>
      </xdr:nvSpPr>
      <xdr:spPr>
        <a:xfrm>
          <a:off x="5381625" y="2657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138</xdr:row>
      <xdr:rowOff>0</xdr:rowOff>
    </xdr:from>
    <xdr:ext cx="514350" cy="361950"/>
    <xdr:sp macro="" textlink="">
      <xdr:nvSpPr>
        <xdr:cNvPr id="1150" name="Isosceles Triangle 1149">
          <a:extLst>
            <a:ext uri="{FF2B5EF4-FFF2-40B4-BE49-F238E27FC236}"/>
          </a:extLst>
        </xdr:cNvPr>
        <xdr:cNvSpPr/>
      </xdr:nvSpPr>
      <xdr:spPr>
        <a:xfrm>
          <a:off x="6296025" y="2657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138</xdr:row>
      <xdr:rowOff>0</xdr:rowOff>
    </xdr:from>
    <xdr:ext cx="514350" cy="361950"/>
    <xdr:sp macro="" textlink="">
      <xdr:nvSpPr>
        <xdr:cNvPr id="1151" name="Isosceles Triangle 1150">
          <a:extLst>
            <a:ext uri="{FF2B5EF4-FFF2-40B4-BE49-F238E27FC236}"/>
          </a:extLst>
        </xdr:cNvPr>
        <xdr:cNvSpPr/>
      </xdr:nvSpPr>
      <xdr:spPr>
        <a:xfrm>
          <a:off x="7172325" y="2657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138</xdr:row>
      <xdr:rowOff>0</xdr:rowOff>
    </xdr:from>
    <xdr:ext cx="514350" cy="361950"/>
    <xdr:sp macro="" textlink="">
      <xdr:nvSpPr>
        <xdr:cNvPr id="1152" name="Isosceles Triangle 1151">
          <a:extLst>
            <a:ext uri="{FF2B5EF4-FFF2-40B4-BE49-F238E27FC236}"/>
          </a:extLst>
        </xdr:cNvPr>
        <xdr:cNvSpPr/>
      </xdr:nvSpPr>
      <xdr:spPr>
        <a:xfrm>
          <a:off x="8220075" y="2657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138</xdr:row>
      <xdr:rowOff>0</xdr:rowOff>
    </xdr:from>
    <xdr:ext cx="495300" cy="361950"/>
    <xdr:sp macro="" textlink="">
      <xdr:nvSpPr>
        <xdr:cNvPr id="1153" name="Isosceles Triangle 1152">
          <a:extLst>
            <a:ext uri="{FF2B5EF4-FFF2-40B4-BE49-F238E27FC236}"/>
          </a:extLst>
        </xdr:cNvPr>
        <xdr:cNvSpPr/>
      </xdr:nvSpPr>
      <xdr:spPr>
        <a:xfrm>
          <a:off x="9210675" y="26574750"/>
          <a:ext cx="504093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138</xdr:row>
      <xdr:rowOff>0</xdr:rowOff>
    </xdr:from>
    <xdr:ext cx="514350" cy="361950"/>
    <xdr:sp macro="" textlink="">
      <xdr:nvSpPr>
        <xdr:cNvPr id="1154" name="Isosceles Triangle 1153">
          <a:extLst>
            <a:ext uri="{FF2B5EF4-FFF2-40B4-BE49-F238E27FC236}"/>
          </a:extLst>
        </xdr:cNvPr>
        <xdr:cNvSpPr/>
      </xdr:nvSpPr>
      <xdr:spPr>
        <a:xfrm>
          <a:off x="10125075" y="26574750"/>
          <a:ext cx="513618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138</xdr:row>
      <xdr:rowOff>0</xdr:rowOff>
    </xdr:from>
    <xdr:ext cx="514350" cy="361950"/>
    <xdr:sp macro="" textlink="">
      <xdr:nvSpPr>
        <xdr:cNvPr id="1155" name="Isosceles Triangle 1154">
          <a:extLst>
            <a:ext uri="{FF2B5EF4-FFF2-40B4-BE49-F238E27FC236}"/>
          </a:extLst>
        </xdr:cNvPr>
        <xdr:cNvSpPr/>
      </xdr:nvSpPr>
      <xdr:spPr>
        <a:xfrm>
          <a:off x="11210925" y="26574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138</xdr:row>
      <xdr:rowOff>0</xdr:rowOff>
    </xdr:from>
    <xdr:ext cx="514350" cy="361950"/>
    <xdr:sp macro="" textlink="">
      <xdr:nvSpPr>
        <xdr:cNvPr id="1156" name="Isosceles Triangle 1155">
          <a:extLst>
            <a:ext uri="{FF2B5EF4-FFF2-40B4-BE49-F238E27FC236}"/>
          </a:extLst>
        </xdr:cNvPr>
        <xdr:cNvSpPr/>
      </xdr:nvSpPr>
      <xdr:spPr>
        <a:xfrm>
          <a:off x="12115800" y="26574750"/>
          <a:ext cx="50409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138</xdr:row>
      <xdr:rowOff>0</xdr:rowOff>
    </xdr:from>
    <xdr:ext cx="514350" cy="361950"/>
    <xdr:sp macro="" textlink="">
      <xdr:nvSpPr>
        <xdr:cNvPr id="1157" name="Isosceles Triangle 1156">
          <a:extLst>
            <a:ext uri="{FF2B5EF4-FFF2-40B4-BE49-F238E27FC236}"/>
          </a:extLst>
        </xdr:cNvPr>
        <xdr:cNvSpPr/>
      </xdr:nvSpPr>
      <xdr:spPr>
        <a:xfrm>
          <a:off x="13115925" y="26574750"/>
          <a:ext cx="589818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</xdr:col>
      <xdr:colOff>123825</xdr:colOff>
      <xdr:row>139</xdr:row>
      <xdr:rowOff>161925</xdr:rowOff>
    </xdr:from>
    <xdr:ext cx="142875" cy="381000"/>
    <xdr:sp macro="" textlink="">
      <xdr:nvSpPr>
        <xdr:cNvPr id="1158" name="Arrow: Up 1234">
          <a:extLst>
            <a:ext uri="{FF2B5EF4-FFF2-40B4-BE49-F238E27FC236}"/>
          </a:extLst>
        </xdr:cNvPr>
        <xdr:cNvSpPr/>
      </xdr:nvSpPr>
      <xdr:spPr>
        <a:xfrm>
          <a:off x="1273968" y="2693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</xdr:col>
      <xdr:colOff>0</xdr:colOff>
      <xdr:row>138</xdr:row>
      <xdr:rowOff>0</xdr:rowOff>
    </xdr:from>
    <xdr:ext cx="514350" cy="352425"/>
    <xdr:sp macro="" textlink="">
      <xdr:nvSpPr>
        <xdr:cNvPr id="1159" name="Isosceles Triangle 1158">
          <a:extLst>
            <a:ext uri="{FF2B5EF4-FFF2-40B4-BE49-F238E27FC236}"/>
          </a:extLst>
        </xdr:cNvPr>
        <xdr:cNvSpPr/>
      </xdr:nvSpPr>
      <xdr:spPr>
        <a:xfrm>
          <a:off x="609600" y="26574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138</xdr:row>
      <xdr:rowOff>0</xdr:rowOff>
    </xdr:from>
    <xdr:ext cx="514350" cy="352425"/>
    <xdr:sp macro="" textlink="">
      <xdr:nvSpPr>
        <xdr:cNvPr id="1160" name="Isosceles Triangle 1159">
          <a:extLst>
            <a:ext uri="{FF2B5EF4-FFF2-40B4-BE49-F238E27FC236}"/>
          </a:extLst>
        </xdr:cNvPr>
        <xdr:cNvSpPr/>
      </xdr:nvSpPr>
      <xdr:spPr>
        <a:xfrm>
          <a:off x="2543175" y="26574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138</xdr:row>
      <xdr:rowOff>0</xdr:rowOff>
    </xdr:from>
    <xdr:ext cx="533400" cy="352425"/>
    <xdr:sp macro="" textlink="">
      <xdr:nvSpPr>
        <xdr:cNvPr id="1161" name="Isosceles Triangle 1160">
          <a:extLst>
            <a:ext uri="{FF2B5EF4-FFF2-40B4-BE49-F238E27FC236}"/>
          </a:extLst>
        </xdr:cNvPr>
        <xdr:cNvSpPr/>
      </xdr:nvSpPr>
      <xdr:spPr>
        <a:xfrm>
          <a:off x="1552575" y="26574750"/>
          <a:ext cx="523143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138</xdr:row>
      <xdr:rowOff>0</xdr:rowOff>
    </xdr:from>
    <xdr:ext cx="514350" cy="352425"/>
    <xdr:sp macro="" textlink="">
      <xdr:nvSpPr>
        <xdr:cNvPr id="1162" name="Isosceles Triangle 1161">
          <a:extLst>
            <a:ext uri="{FF2B5EF4-FFF2-40B4-BE49-F238E27FC236}"/>
          </a:extLst>
        </xdr:cNvPr>
        <xdr:cNvSpPr/>
      </xdr:nvSpPr>
      <xdr:spPr>
        <a:xfrm>
          <a:off x="3609975" y="26574750"/>
          <a:ext cx="523142" cy="367975"/>
        </a:xfrm>
        <a:prstGeom prst="triangle">
          <a:avLst>
            <a:gd fmla="val 50000" name="adj"/>
          </a:avLst>
        </a:prstGeom>
        <a:solidFill>
          <a:srgbClr val="FFFF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138</xdr:row>
      <xdr:rowOff>0</xdr:rowOff>
    </xdr:from>
    <xdr:ext cx="514350" cy="352425"/>
    <xdr:sp macro="" textlink="">
      <xdr:nvSpPr>
        <xdr:cNvPr id="1163" name="Isosceles Triangle 1162">
          <a:extLst>
            <a:ext uri="{FF2B5EF4-FFF2-40B4-BE49-F238E27FC236}"/>
          </a:extLst>
        </xdr:cNvPr>
        <xdr:cNvSpPr/>
      </xdr:nvSpPr>
      <xdr:spPr>
        <a:xfrm>
          <a:off x="5381625" y="26574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138</xdr:row>
      <xdr:rowOff>0</xdr:rowOff>
    </xdr:from>
    <xdr:ext cx="495300" cy="352425"/>
    <xdr:sp macro="" textlink="">
      <xdr:nvSpPr>
        <xdr:cNvPr id="1164" name="Isosceles Triangle 1163">
          <a:extLst>
            <a:ext uri="{FF2B5EF4-FFF2-40B4-BE49-F238E27FC236}"/>
          </a:extLst>
        </xdr:cNvPr>
        <xdr:cNvSpPr/>
      </xdr:nvSpPr>
      <xdr:spPr>
        <a:xfrm>
          <a:off x="9210675" y="26574750"/>
          <a:ext cx="50409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138</xdr:row>
      <xdr:rowOff>0</xdr:rowOff>
    </xdr:from>
    <xdr:ext cx="514350" cy="352425"/>
    <xdr:sp macro="" textlink="">
      <xdr:nvSpPr>
        <xdr:cNvPr id="1165" name="Isosceles Triangle 1164">
          <a:extLst>
            <a:ext uri="{FF2B5EF4-FFF2-40B4-BE49-F238E27FC236}"/>
          </a:extLst>
        </xdr:cNvPr>
        <xdr:cNvSpPr/>
      </xdr:nvSpPr>
      <xdr:spPr>
        <a:xfrm>
          <a:off x="8220075" y="26574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138</xdr:row>
      <xdr:rowOff>0</xdr:rowOff>
    </xdr:from>
    <xdr:ext cx="514350" cy="352425"/>
    <xdr:sp macro="" textlink="">
      <xdr:nvSpPr>
        <xdr:cNvPr id="1166" name="Isosceles Triangle 1165">
          <a:extLst>
            <a:ext uri="{FF2B5EF4-FFF2-40B4-BE49-F238E27FC236}"/>
          </a:extLst>
        </xdr:cNvPr>
        <xdr:cNvSpPr/>
      </xdr:nvSpPr>
      <xdr:spPr>
        <a:xfrm>
          <a:off x="4514850" y="26574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138</xdr:row>
      <xdr:rowOff>0</xdr:rowOff>
    </xdr:from>
    <xdr:ext cx="514350" cy="352425"/>
    <xdr:sp macro="" textlink="">
      <xdr:nvSpPr>
        <xdr:cNvPr id="1167" name="Isosceles Triangle 1166">
          <a:extLst>
            <a:ext uri="{FF2B5EF4-FFF2-40B4-BE49-F238E27FC236}"/>
          </a:extLst>
        </xdr:cNvPr>
        <xdr:cNvSpPr/>
      </xdr:nvSpPr>
      <xdr:spPr>
        <a:xfrm>
          <a:off x="7172325" y="26574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138</xdr:row>
      <xdr:rowOff>0</xdr:rowOff>
    </xdr:from>
    <xdr:ext cx="514350" cy="352425"/>
    <xdr:sp macro="" textlink="">
      <xdr:nvSpPr>
        <xdr:cNvPr id="1168" name="Isosceles Triangle 1167">
          <a:extLst>
            <a:ext uri="{FF2B5EF4-FFF2-40B4-BE49-F238E27FC236}"/>
          </a:extLst>
        </xdr:cNvPr>
        <xdr:cNvSpPr/>
      </xdr:nvSpPr>
      <xdr:spPr>
        <a:xfrm>
          <a:off x="6296025" y="26574750"/>
          <a:ext cx="523143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146</xdr:row>
      <xdr:rowOff>0</xdr:rowOff>
    </xdr:from>
    <xdr:ext cx="514350" cy="361950"/>
    <xdr:sp macro="" textlink="">
      <xdr:nvSpPr>
        <xdr:cNvPr id="1169" name="Isosceles Triangle 1168">
          <a:extLst>
            <a:ext uri="{FF2B5EF4-FFF2-40B4-BE49-F238E27FC236}"/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146</xdr:row>
      <xdr:rowOff>0</xdr:rowOff>
    </xdr:from>
    <xdr:ext cx="533400" cy="361950"/>
    <xdr:sp macro="" textlink="">
      <xdr:nvSpPr>
        <xdr:cNvPr id="1170" name="Isosceles Triangle 1169">
          <a:extLst>
            <a:ext uri="{FF2B5EF4-FFF2-40B4-BE49-F238E27FC236}"/>
          </a:extLst>
        </xdr:cNvPr>
        <xdr:cNvSpPr/>
      </xdr:nvSpPr>
      <xdr:spPr>
        <a:xfrm>
          <a:off x="1552575" y="2809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146</xdr:row>
      <xdr:rowOff>0</xdr:rowOff>
    </xdr:from>
    <xdr:ext cx="514350" cy="361950"/>
    <xdr:sp macro="" textlink="">
      <xdr:nvSpPr>
        <xdr:cNvPr id="1171" name="Isosceles Triangle 1170">
          <a:extLst>
            <a:ext uri="{FF2B5EF4-FFF2-40B4-BE49-F238E27FC236}"/>
          </a:extLst>
        </xdr:cNvPr>
        <xdr:cNvSpPr/>
      </xdr:nvSpPr>
      <xdr:spPr>
        <a:xfrm>
          <a:off x="2543175" y="2809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146</xdr:row>
      <xdr:rowOff>0</xdr:rowOff>
    </xdr:from>
    <xdr:ext cx="514350" cy="361950"/>
    <xdr:sp macro="" textlink="">
      <xdr:nvSpPr>
        <xdr:cNvPr id="1172" name="Isosceles Triangle 1171">
          <a:extLst>
            <a:ext uri="{FF2B5EF4-FFF2-40B4-BE49-F238E27FC236}"/>
          </a:extLst>
        </xdr:cNvPr>
        <xdr:cNvSpPr/>
      </xdr:nvSpPr>
      <xdr:spPr>
        <a:xfrm>
          <a:off x="3609975" y="2809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146</xdr:row>
      <xdr:rowOff>0</xdr:rowOff>
    </xdr:from>
    <xdr:ext cx="514350" cy="361950"/>
    <xdr:sp macro="" textlink="">
      <xdr:nvSpPr>
        <xdr:cNvPr id="1173" name="Isosceles Triangle 1172">
          <a:extLst>
            <a:ext uri="{FF2B5EF4-FFF2-40B4-BE49-F238E27FC236}"/>
          </a:extLst>
        </xdr:cNvPr>
        <xdr:cNvSpPr/>
      </xdr:nvSpPr>
      <xdr:spPr>
        <a:xfrm>
          <a:off x="4514850" y="2809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146</xdr:row>
      <xdr:rowOff>0</xdr:rowOff>
    </xdr:from>
    <xdr:ext cx="514350" cy="361950"/>
    <xdr:sp macro="" textlink="">
      <xdr:nvSpPr>
        <xdr:cNvPr id="1174" name="Isosceles Triangle 1173">
          <a:extLst>
            <a:ext uri="{FF2B5EF4-FFF2-40B4-BE49-F238E27FC236}"/>
          </a:extLst>
        </xdr:cNvPr>
        <xdr:cNvSpPr/>
      </xdr:nvSpPr>
      <xdr:spPr>
        <a:xfrm>
          <a:off x="5381625" y="2809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146</xdr:row>
      <xdr:rowOff>0</xdr:rowOff>
    </xdr:from>
    <xdr:ext cx="514350" cy="361950"/>
    <xdr:sp macro="" textlink="">
      <xdr:nvSpPr>
        <xdr:cNvPr id="1175" name="Isosceles Triangle 1174">
          <a:extLst>
            <a:ext uri="{FF2B5EF4-FFF2-40B4-BE49-F238E27FC236}"/>
          </a:extLst>
        </xdr:cNvPr>
        <xdr:cNvSpPr/>
      </xdr:nvSpPr>
      <xdr:spPr>
        <a:xfrm>
          <a:off x="6296025" y="2809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146</xdr:row>
      <xdr:rowOff>0</xdr:rowOff>
    </xdr:from>
    <xdr:ext cx="514350" cy="361950"/>
    <xdr:sp macro="" textlink="">
      <xdr:nvSpPr>
        <xdr:cNvPr id="1176" name="Isosceles Triangle 1175">
          <a:extLst>
            <a:ext uri="{FF2B5EF4-FFF2-40B4-BE49-F238E27FC236}"/>
          </a:extLst>
        </xdr:cNvPr>
        <xdr:cNvSpPr/>
      </xdr:nvSpPr>
      <xdr:spPr>
        <a:xfrm>
          <a:off x="7172325" y="2809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146</xdr:row>
      <xdr:rowOff>0</xdr:rowOff>
    </xdr:from>
    <xdr:ext cx="514350" cy="361950"/>
    <xdr:sp macro="" textlink="">
      <xdr:nvSpPr>
        <xdr:cNvPr id="1177" name="Isosceles Triangle 1176">
          <a:extLst>
            <a:ext uri="{FF2B5EF4-FFF2-40B4-BE49-F238E27FC236}"/>
          </a:extLst>
        </xdr:cNvPr>
        <xdr:cNvSpPr/>
      </xdr:nvSpPr>
      <xdr:spPr>
        <a:xfrm>
          <a:off x="8220075" y="28098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146</xdr:row>
      <xdr:rowOff>0</xdr:rowOff>
    </xdr:from>
    <xdr:ext cx="495300" cy="361950"/>
    <xdr:sp macro="" textlink="">
      <xdr:nvSpPr>
        <xdr:cNvPr id="1178" name="Isosceles Triangle 1177">
          <a:extLst>
            <a:ext uri="{FF2B5EF4-FFF2-40B4-BE49-F238E27FC236}"/>
          </a:extLst>
        </xdr:cNvPr>
        <xdr:cNvSpPr/>
      </xdr:nvSpPr>
      <xdr:spPr>
        <a:xfrm>
          <a:off x="9210675" y="28098750"/>
          <a:ext cx="504093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146</xdr:row>
      <xdr:rowOff>0</xdr:rowOff>
    </xdr:from>
    <xdr:ext cx="514350" cy="361950"/>
    <xdr:sp macro="" textlink="">
      <xdr:nvSpPr>
        <xdr:cNvPr id="1179" name="Isosceles Triangle 1178">
          <a:extLst>
            <a:ext uri="{FF2B5EF4-FFF2-40B4-BE49-F238E27FC236}"/>
          </a:extLst>
        </xdr:cNvPr>
        <xdr:cNvSpPr/>
      </xdr:nvSpPr>
      <xdr:spPr>
        <a:xfrm>
          <a:off x="10125075" y="28098750"/>
          <a:ext cx="5136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146</xdr:row>
      <xdr:rowOff>0</xdr:rowOff>
    </xdr:from>
    <xdr:ext cx="514350" cy="361950"/>
    <xdr:sp macro="" textlink="">
      <xdr:nvSpPr>
        <xdr:cNvPr id="1180" name="Isosceles Triangle 1179">
          <a:extLst>
            <a:ext uri="{FF2B5EF4-FFF2-40B4-BE49-F238E27FC236}"/>
          </a:extLst>
        </xdr:cNvPr>
        <xdr:cNvSpPr/>
      </xdr:nvSpPr>
      <xdr:spPr>
        <a:xfrm>
          <a:off x="11210925" y="28098750"/>
          <a:ext cx="52314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146</xdr:row>
      <xdr:rowOff>0</xdr:rowOff>
    </xdr:from>
    <xdr:ext cx="514350" cy="361950"/>
    <xdr:sp macro="" textlink="">
      <xdr:nvSpPr>
        <xdr:cNvPr id="1181" name="Isosceles Triangle 1180">
          <a:extLst>
            <a:ext uri="{FF2B5EF4-FFF2-40B4-BE49-F238E27FC236}"/>
          </a:extLst>
        </xdr:cNvPr>
        <xdr:cNvSpPr/>
      </xdr:nvSpPr>
      <xdr:spPr>
        <a:xfrm>
          <a:off x="12115800" y="28098750"/>
          <a:ext cx="50409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146</xdr:row>
      <xdr:rowOff>0</xdr:rowOff>
    </xdr:from>
    <xdr:ext cx="514350" cy="361950"/>
    <xdr:sp macro="" textlink="">
      <xdr:nvSpPr>
        <xdr:cNvPr id="1182" name="Isosceles Triangle 1181">
          <a:extLst>
            <a:ext uri="{FF2B5EF4-FFF2-40B4-BE49-F238E27FC236}"/>
          </a:extLst>
        </xdr:cNvPr>
        <xdr:cNvSpPr/>
      </xdr:nvSpPr>
      <xdr:spPr>
        <a:xfrm>
          <a:off x="13115925" y="28098750"/>
          <a:ext cx="5898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</xdr:col>
      <xdr:colOff>123825</xdr:colOff>
      <xdr:row>147</xdr:row>
      <xdr:rowOff>161925</xdr:rowOff>
    </xdr:from>
    <xdr:ext cx="142875" cy="381000"/>
    <xdr:sp macro="" textlink="">
      <xdr:nvSpPr>
        <xdr:cNvPr id="1183" name="Arrow: Up 1259">
          <a:extLst>
            <a:ext uri="{FF2B5EF4-FFF2-40B4-BE49-F238E27FC236}"/>
          </a:extLst>
        </xdr:cNvPr>
        <xdr:cNvSpPr/>
      </xdr:nvSpPr>
      <xdr:spPr>
        <a:xfrm>
          <a:off x="1273968" y="2845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</xdr:col>
      <xdr:colOff>0</xdr:colOff>
      <xdr:row>146</xdr:row>
      <xdr:rowOff>0</xdr:rowOff>
    </xdr:from>
    <xdr:ext cx="514350" cy="352425"/>
    <xdr:sp macro="" textlink="">
      <xdr:nvSpPr>
        <xdr:cNvPr id="1184" name="Isosceles Triangle 1183">
          <a:extLst>
            <a:ext uri="{FF2B5EF4-FFF2-40B4-BE49-F238E27FC236}"/>
          </a:extLst>
        </xdr:cNvPr>
        <xdr:cNvSpPr/>
      </xdr:nvSpPr>
      <xdr:spPr>
        <a:xfrm>
          <a:off x="609600" y="28098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146</xdr:row>
      <xdr:rowOff>0</xdr:rowOff>
    </xdr:from>
    <xdr:ext cx="514350" cy="352425"/>
    <xdr:sp macro="" textlink="">
      <xdr:nvSpPr>
        <xdr:cNvPr id="1185" name="Isosceles Triangle 1184">
          <a:extLst>
            <a:ext uri="{FF2B5EF4-FFF2-40B4-BE49-F238E27FC236}"/>
          </a:extLst>
        </xdr:cNvPr>
        <xdr:cNvSpPr/>
      </xdr:nvSpPr>
      <xdr:spPr>
        <a:xfrm>
          <a:off x="2543175" y="28098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146</xdr:row>
      <xdr:rowOff>0</xdr:rowOff>
    </xdr:from>
    <xdr:ext cx="533400" cy="352425"/>
    <xdr:sp macro="" textlink="">
      <xdr:nvSpPr>
        <xdr:cNvPr id="1186" name="Isosceles Triangle 1185">
          <a:extLst>
            <a:ext uri="{FF2B5EF4-FFF2-40B4-BE49-F238E27FC236}"/>
          </a:extLst>
        </xdr:cNvPr>
        <xdr:cNvSpPr/>
      </xdr:nvSpPr>
      <xdr:spPr>
        <a:xfrm>
          <a:off x="1552575" y="28098750"/>
          <a:ext cx="523143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146</xdr:row>
      <xdr:rowOff>0</xdr:rowOff>
    </xdr:from>
    <xdr:ext cx="514350" cy="352425"/>
    <xdr:sp macro="" textlink="">
      <xdr:nvSpPr>
        <xdr:cNvPr id="1187" name="Isosceles Triangle 1186">
          <a:extLst>
            <a:ext uri="{FF2B5EF4-FFF2-40B4-BE49-F238E27FC236}"/>
          </a:extLst>
        </xdr:cNvPr>
        <xdr:cNvSpPr/>
      </xdr:nvSpPr>
      <xdr:spPr>
        <a:xfrm>
          <a:off x="3609975" y="28098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146</xdr:row>
      <xdr:rowOff>0</xdr:rowOff>
    </xdr:from>
    <xdr:ext cx="514350" cy="352425"/>
    <xdr:sp macro="" textlink="">
      <xdr:nvSpPr>
        <xdr:cNvPr id="1188" name="Isosceles Triangle 1187">
          <a:extLst>
            <a:ext uri="{FF2B5EF4-FFF2-40B4-BE49-F238E27FC236}"/>
          </a:extLst>
        </xdr:cNvPr>
        <xdr:cNvSpPr/>
      </xdr:nvSpPr>
      <xdr:spPr>
        <a:xfrm>
          <a:off x="5381625" y="28098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146</xdr:row>
      <xdr:rowOff>0</xdr:rowOff>
    </xdr:from>
    <xdr:ext cx="495300" cy="352425"/>
    <xdr:sp macro="" textlink="">
      <xdr:nvSpPr>
        <xdr:cNvPr id="1189" name="Isosceles Triangle 1188">
          <a:extLst>
            <a:ext uri="{FF2B5EF4-FFF2-40B4-BE49-F238E27FC236}"/>
          </a:extLst>
        </xdr:cNvPr>
        <xdr:cNvSpPr/>
      </xdr:nvSpPr>
      <xdr:spPr>
        <a:xfrm>
          <a:off x="9210675" y="28098750"/>
          <a:ext cx="50409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146</xdr:row>
      <xdr:rowOff>0</xdr:rowOff>
    </xdr:from>
    <xdr:ext cx="514350" cy="352425"/>
    <xdr:sp macro="" textlink="">
      <xdr:nvSpPr>
        <xdr:cNvPr id="1190" name="Isosceles Triangle 1189">
          <a:extLst>
            <a:ext uri="{FF2B5EF4-FFF2-40B4-BE49-F238E27FC236}"/>
          </a:extLst>
        </xdr:cNvPr>
        <xdr:cNvSpPr/>
      </xdr:nvSpPr>
      <xdr:spPr>
        <a:xfrm>
          <a:off x="8220075" y="28098750"/>
          <a:ext cx="523142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146</xdr:row>
      <xdr:rowOff>0</xdr:rowOff>
    </xdr:from>
    <xdr:ext cx="514350" cy="352425"/>
    <xdr:sp macro="" textlink="">
      <xdr:nvSpPr>
        <xdr:cNvPr id="1191" name="Isosceles Triangle 1190">
          <a:extLst>
            <a:ext uri="{FF2B5EF4-FFF2-40B4-BE49-F238E27FC236}"/>
          </a:extLst>
        </xdr:cNvPr>
        <xdr:cNvSpPr/>
      </xdr:nvSpPr>
      <xdr:spPr>
        <a:xfrm>
          <a:off x="4514850" y="28098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146</xdr:row>
      <xdr:rowOff>0</xdr:rowOff>
    </xdr:from>
    <xdr:ext cx="514350" cy="352425"/>
    <xdr:sp macro="" textlink="">
      <xdr:nvSpPr>
        <xdr:cNvPr id="1192" name="Isosceles Triangle 1191">
          <a:extLst>
            <a:ext uri="{FF2B5EF4-FFF2-40B4-BE49-F238E27FC236}"/>
          </a:extLst>
        </xdr:cNvPr>
        <xdr:cNvSpPr/>
      </xdr:nvSpPr>
      <xdr:spPr>
        <a:xfrm>
          <a:off x="7172325" y="28098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146</xdr:row>
      <xdr:rowOff>0</xdr:rowOff>
    </xdr:from>
    <xdr:ext cx="514350" cy="352425"/>
    <xdr:sp macro="" textlink="">
      <xdr:nvSpPr>
        <xdr:cNvPr id="1193" name="Isosceles Triangle 1192">
          <a:extLst>
            <a:ext uri="{FF2B5EF4-FFF2-40B4-BE49-F238E27FC236}"/>
          </a:extLst>
        </xdr:cNvPr>
        <xdr:cNvSpPr/>
      </xdr:nvSpPr>
      <xdr:spPr>
        <a:xfrm>
          <a:off x="6296025" y="28098750"/>
          <a:ext cx="523143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154</xdr:row>
      <xdr:rowOff>0</xdr:rowOff>
    </xdr:from>
    <xdr:ext cx="514350" cy="361950"/>
    <xdr:sp macro="" textlink="">
      <xdr:nvSpPr>
        <xdr:cNvPr id="1194" name="Isosceles Triangle 1193">
          <a:extLst>
            <a:ext uri="{FF2B5EF4-FFF2-40B4-BE49-F238E27FC236}"/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154</xdr:row>
      <xdr:rowOff>0</xdr:rowOff>
    </xdr:from>
    <xdr:ext cx="533400" cy="361950"/>
    <xdr:sp macro="" textlink="">
      <xdr:nvSpPr>
        <xdr:cNvPr id="1195" name="Isosceles Triangle 1194">
          <a:extLst>
            <a:ext uri="{FF2B5EF4-FFF2-40B4-BE49-F238E27FC236}"/>
          </a:extLst>
        </xdr:cNvPr>
        <xdr:cNvSpPr/>
      </xdr:nvSpPr>
      <xdr:spPr>
        <a:xfrm>
          <a:off x="1552575" y="2962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154</xdr:row>
      <xdr:rowOff>0</xdr:rowOff>
    </xdr:from>
    <xdr:ext cx="514350" cy="361950"/>
    <xdr:sp macro="" textlink="">
      <xdr:nvSpPr>
        <xdr:cNvPr id="1196" name="Isosceles Triangle 1195">
          <a:extLst>
            <a:ext uri="{FF2B5EF4-FFF2-40B4-BE49-F238E27FC236}"/>
          </a:extLst>
        </xdr:cNvPr>
        <xdr:cNvSpPr/>
      </xdr:nvSpPr>
      <xdr:spPr>
        <a:xfrm>
          <a:off x="2543175" y="2962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154</xdr:row>
      <xdr:rowOff>0</xdr:rowOff>
    </xdr:from>
    <xdr:ext cx="514350" cy="361950"/>
    <xdr:sp macro="" textlink="">
      <xdr:nvSpPr>
        <xdr:cNvPr id="1197" name="Isosceles Triangle 1196">
          <a:extLst>
            <a:ext uri="{FF2B5EF4-FFF2-40B4-BE49-F238E27FC236}"/>
          </a:extLst>
        </xdr:cNvPr>
        <xdr:cNvSpPr/>
      </xdr:nvSpPr>
      <xdr:spPr>
        <a:xfrm>
          <a:off x="3609975" y="2962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154</xdr:row>
      <xdr:rowOff>0</xdr:rowOff>
    </xdr:from>
    <xdr:ext cx="514350" cy="361950"/>
    <xdr:sp macro="" textlink="">
      <xdr:nvSpPr>
        <xdr:cNvPr id="1198" name="Isosceles Triangle 1197">
          <a:extLst>
            <a:ext uri="{FF2B5EF4-FFF2-40B4-BE49-F238E27FC236}"/>
          </a:extLst>
        </xdr:cNvPr>
        <xdr:cNvSpPr/>
      </xdr:nvSpPr>
      <xdr:spPr>
        <a:xfrm>
          <a:off x="4514850" y="2962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9525</xdr:colOff>
      <xdr:row>154</xdr:row>
      <xdr:rowOff>0</xdr:rowOff>
    </xdr:from>
    <xdr:ext cx="514350" cy="361950"/>
    <xdr:sp macro="" textlink="">
      <xdr:nvSpPr>
        <xdr:cNvPr id="1199" name="Isosceles Triangle 1198">
          <a:extLst>
            <a:ext uri="{FF2B5EF4-FFF2-40B4-BE49-F238E27FC236}"/>
          </a:extLst>
        </xdr:cNvPr>
        <xdr:cNvSpPr/>
      </xdr:nvSpPr>
      <xdr:spPr>
        <a:xfrm>
          <a:off x="5392449" y="2962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154</xdr:row>
      <xdr:rowOff>0</xdr:rowOff>
    </xdr:from>
    <xdr:ext cx="514350" cy="361950"/>
    <xdr:sp macro="" textlink="">
      <xdr:nvSpPr>
        <xdr:cNvPr id="1200" name="Isosceles Triangle 1199">
          <a:extLst>
            <a:ext uri="{FF2B5EF4-FFF2-40B4-BE49-F238E27FC236}"/>
          </a:extLst>
        </xdr:cNvPr>
        <xdr:cNvSpPr/>
      </xdr:nvSpPr>
      <xdr:spPr>
        <a:xfrm>
          <a:off x="6296025" y="2962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154</xdr:row>
      <xdr:rowOff>0</xdr:rowOff>
    </xdr:from>
    <xdr:ext cx="514350" cy="361950"/>
    <xdr:sp macro="" textlink="">
      <xdr:nvSpPr>
        <xdr:cNvPr id="1201" name="Isosceles Triangle 1200">
          <a:extLst>
            <a:ext uri="{FF2B5EF4-FFF2-40B4-BE49-F238E27FC236}"/>
          </a:extLst>
        </xdr:cNvPr>
        <xdr:cNvSpPr/>
      </xdr:nvSpPr>
      <xdr:spPr>
        <a:xfrm>
          <a:off x="7172325" y="2962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154</xdr:row>
      <xdr:rowOff>0</xdr:rowOff>
    </xdr:from>
    <xdr:ext cx="514350" cy="361950"/>
    <xdr:sp macro="" textlink="">
      <xdr:nvSpPr>
        <xdr:cNvPr id="1202" name="Isosceles Triangle 1201">
          <a:extLst>
            <a:ext uri="{FF2B5EF4-FFF2-40B4-BE49-F238E27FC236}"/>
          </a:extLst>
        </xdr:cNvPr>
        <xdr:cNvSpPr/>
      </xdr:nvSpPr>
      <xdr:spPr>
        <a:xfrm>
          <a:off x="8220075" y="29622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154</xdr:row>
      <xdr:rowOff>0</xdr:rowOff>
    </xdr:from>
    <xdr:ext cx="495300" cy="361950"/>
    <xdr:sp macro="" textlink="">
      <xdr:nvSpPr>
        <xdr:cNvPr id="1203" name="Isosceles Triangle 1202">
          <a:extLst>
            <a:ext uri="{FF2B5EF4-FFF2-40B4-BE49-F238E27FC236}"/>
          </a:extLst>
        </xdr:cNvPr>
        <xdr:cNvSpPr/>
      </xdr:nvSpPr>
      <xdr:spPr>
        <a:xfrm>
          <a:off x="9210675" y="29622750"/>
          <a:ext cx="504093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154</xdr:row>
      <xdr:rowOff>0</xdr:rowOff>
    </xdr:from>
    <xdr:ext cx="514350" cy="361950"/>
    <xdr:sp macro="" textlink="">
      <xdr:nvSpPr>
        <xdr:cNvPr id="1204" name="Isosceles Triangle 1203">
          <a:extLst>
            <a:ext uri="{FF2B5EF4-FFF2-40B4-BE49-F238E27FC236}"/>
          </a:extLst>
        </xdr:cNvPr>
        <xdr:cNvSpPr/>
      </xdr:nvSpPr>
      <xdr:spPr>
        <a:xfrm>
          <a:off x="10125075" y="29622750"/>
          <a:ext cx="5136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154</xdr:row>
      <xdr:rowOff>0</xdr:rowOff>
    </xdr:from>
    <xdr:ext cx="514350" cy="361950"/>
    <xdr:sp macro="" textlink="">
      <xdr:nvSpPr>
        <xdr:cNvPr id="1205" name="Isosceles Triangle 1204">
          <a:extLst>
            <a:ext uri="{FF2B5EF4-FFF2-40B4-BE49-F238E27FC236}"/>
          </a:extLst>
        </xdr:cNvPr>
        <xdr:cNvSpPr/>
      </xdr:nvSpPr>
      <xdr:spPr>
        <a:xfrm>
          <a:off x="11210925" y="29622750"/>
          <a:ext cx="523142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154</xdr:row>
      <xdr:rowOff>0</xdr:rowOff>
    </xdr:from>
    <xdr:ext cx="514350" cy="361950"/>
    <xdr:sp macro="" textlink="">
      <xdr:nvSpPr>
        <xdr:cNvPr id="1206" name="Isosceles Triangle 1205">
          <a:extLst>
            <a:ext uri="{FF2B5EF4-FFF2-40B4-BE49-F238E27FC236}"/>
          </a:extLst>
        </xdr:cNvPr>
        <xdr:cNvSpPr/>
      </xdr:nvSpPr>
      <xdr:spPr>
        <a:xfrm>
          <a:off x="12115800" y="29622750"/>
          <a:ext cx="50409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154</xdr:row>
      <xdr:rowOff>0</xdr:rowOff>
    </xdr:from>
    <xdr:ext cx="514350" cy="361950"/>
    <xdr:sp macro="" textlink="">
      <xdr:nvSpPr>
        <xdr:cNvPr id="1207" name="Isosceles Triangle 1206">
          <a:extLst>
            <a:ext uri="{FF2B5EF4-FFF2-40B4-BE49-F238E27FC236}"/>
          </a:extLst>
        </xdr:cNvPr>
        <xdr:cNvSpPr/>
      </xdr:nvSpPr>
      <xdr:spPr>
        <a:xfrm>
          <a:off x="13115925" y="29622750"/>
          <a:ext cx="5898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</xdr:col>
      <xdr:colOff>57150</xdr:colOff>
      <xdr:row>155</xdr:row>
      <xdr:rowOff>133350</xdr:rowOff>
    </xdr:from>
    <xdr:ext cx="142875" cy="390525"/>
    <xdr:sp macro="" textlink="">
      <xdr:nvSpPr>
        <xdr:cNvPr id="1208" name="Arrow: Up 1284">
          <a:extLst>
            <a:ext uri="{FF2B5EF4-FFF2-40B4-BE49-F238E27FC236}"/>
          </a:extLst>
        </xdr:cNvPr>
        <xdr:cNvSpPr/>
      </xdr:nvSpPr>
      <xdr:spPr>
        <a:xfrm>
          <a:off x="1209025" y="299474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</xdr:col>
      <xdr:colOff>0</xdr:colOff>
      <xdr:row>154</xdr:row>
      <xdr:rowOff>0</xdr:rowOff>
    </xdr:from>
    <xdr:ext cx="514350" cy="352425"/>
    <xdr:sp macro="" textlink="">
      <xdr:nvSpPr>
        <xdr:cNvPr id="1209" name="Isosceles Triangle 1208">
          <a:extLst>
            <a:ext uri="{FF2B5EF4-FFF2-40B4-BE49-F238E27FC236}"/>
          </a:extLst>
        </xdr:cNvPr>
        <xdr:cNvSpPr/>
      </xdr:nvSpPr>
      <xdr:spPr>
        <a:xfrm>
          <a:off x="609600" y="29622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154</xdr:row>
      <xdr:rowOff>0</xdr:rowOff>
    </xdr:from>
    <xdr:ext cx="514350" cy="352425"/>
    <xdr:sp macro="" textlink="">
      <xdr:nvSpPr>
        <xdr:cNvPr id="1210" name="Isosceles Triangle 1209">
          <a:extLst>
            <a:ext uri="{FF2B5EF4-FFF2-40B4-BE49-F238E27FC236}"/>
          </a:extLst>
        </xdr:cNvPr>
        <xdr:cNvSpPr/>
      </xdr:nvSpPr>
      <xdr:spPr>
        <a:xfrm>
          <a:off x="2543175" y="29622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154</xdr:row>
      <xdr:rowOff>0</xdr:rowOff>
    </xdr:from>
    <xdr:ext cx="533400" cy="352425"/>
    <xdr:sp macro="" textlink="">
      <xdr:nvSpPr>
        <xdr:cNvPr id="1211" name="Isosceles Triangle 1210">
          <a:extLst>
            <a:ext uri="{FF2B5EF4-FFF2-40B4-BE49-F238E27FC236}"/>
          </a:extLst>
        </xdr:cNvPr>
        <xdr:cNvSpPr/>
      </xdr:nvSpPr>
      <xdr:spPr>
        <a:xfrm>
          <a:off x="1552575" y="29622750"/>
          <a:ext cx="523143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154</xdr:row>
      <xdr:rowOff>0</xdr:rowOff>
    </xdr:from>
    <xdr:ext cx="514350" cy="352425"/>
    <xdr:sp macro="" textlink="">
      <xdr:nvSpPr>
        <xdr:cNvPr id="1212" name="Isosceles Triangle 1211">
          <a:extLst>
            <a:ext uri="{FF2B5EF4-FFF2-40B4-BE49-F238E27FC236}"/>
          </a:extLst>
        </xdr:cNvPr>
        <xdr:cNvSpPr/>
      </xdr:nvSpPr>
      <xdr:spPr>
        <a:xfrm>
          <a:off x="3609975" y="29622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154</xdr:row>
      <xdr:rowOff>0</xdr:rowOff>
    </xdr:from>
    <xdr:ext cx="514350" cy="352425"/>
    <xdr:sp macro="" textlink="">
      <xdr:nvSpPr>
        <xdr:cNvPr id="1213" name="Isosceles Triangle 1212">
          <a:extLst>
            <a:ext uri="{FF2B5EF4-FFF2-40B4-BE49-F238E27FC236}"/>
          </a:extLst>
        </xdr:cNvPr>
        <xdr:cNvSpPr/>
      </xdr:nvSpPr>
      <xdr:spPr>
        <a:xfrm>
          <a:off x="5381625" y="29622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154</xdr:row>
      <xdr:rowOff>0</xdr:rowOff>
    </xdr:from>
    <xdr:ext cx="495300" cy="352425"/>
    <xdr:sp macro="" textlink="">
      <xdr:nvSpPr>
        <xdr:cNvPr id="1214" name="Isosceles Triangle 1213">
          <a:extLst>
            <a:ext uri="{FF2B5EF4-FFF2-40B4-BE49-F238E27FC236}"/>
          </a:extLst>
        </xdr:cNvPr>
        <xdr:cNvSpPr/>
      </xdr:nvSpPr>
      <xdr:spPr>
        <a:xfrm>
          <a:off x="9210675" y="29622750"/>
          <a:ext cx="50409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154</xdr:row>
      <xdr:rowOff>0</xdr:rowOff>
    </xdr:from>
    <xdr:ext cx="514350" cy="352425"/>
    <xdr:sp macro="" textlink="">
      <xdr:nvSpPr>
        <xdr:cNvPr id="1215" name="Isosceles Triangle 1214">
          <a:extLst>
            <a:ext uri="{FF2B5EF4-FFF2-40B4-BE49-F238E27FC236}"/>
          </a:extLst>
        </xdr:cNvPr>
        <xdr:cNvSpPr/>
      </xdr:nvSpPr>
      <xdr:spPr>
        <a:xfrm>
          <a:off x="8220075" y="29622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154</xdr:row>
      <xdr:rowOff>0</xdr:rowOff>
    </xdr:from>
    <xdr:ext cx="514350" cy="352425"/>
    <xdr:sp macro="" textlink="">
      <xdr:nvSpPr>
        <xdr:cNvPr id="1216" name="Isosceles Triangle 1215">
          <a:extLst>
            <a:ext uri="{FF2B5EF4-FFF2-40B4-BE49-F238E27FC236}"/>
          </a:extLst>
        </xdr:cNvPr>
        <xdr:cNvSpPr/>
      </xdr:nvSpPr>
      <xdr:spPr>
        <a:xfrm>
          <a:off x="4514850" y="29622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154</xdr:row>
      <xdr:rowOff>0</xdr:rowOff>
    </xdr:from>
    <xdr:ext cx="514350" cy="352425"/>
    <xdr:sp macro="" textlink="">
      <xdr:nvSpPr>
        <xdr:cNvPr id="1217" name="Isosceles Triangle 1216">
          <a:extLst>
            <a:ext uri="{FF2B5EF4-FFF2-40B4-BE49-F238E27FC236}"/>
          </a:extLst>
        </xdr:cNvPr>
        <xdr:cNvSpPr/>
      </xdr:nvSpPr>
      <xdr:spPr>
        <a:xfrm>
          <a:off x="7172325" y="29622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154</xdr:row>
      <xdr:rowOff>0</xdr:rowOff>
    </xdr:from>
    <xdr:ext cx="514350" cy="352425"/>
    <xdr:sp macro="" textlink="">
      <xdr:nvSpPr>
        <xdr:cNvPr id="1218" name="Isosceles Triangle 1217">
          <a:extLst>
            <a:ext uri="{FF2B5EF4-FFF2-40B4-BE49-F238E27FC236}"/>
          </a:extLst>
        </xdr:cNvPr>
        <xdr:cNvSpPr/>
      </xdr:nvSpPr>
      <xdr:spPr>
        <a:xfrm>
          <a:off x="6296025" y="29622750"/>
          <a:ext cx="523143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162</xdr:row>
      <xdr:rowOff>0</xdr:rowOff>
    </xdr:from>
    <xdr:ext cx="514350" cy="361950"/>
    <xdr:sp macro="" textlink="">
      <xdr:nvSpPr>
        <xdr:cNvPr id="1219" name="Isosceles Triangle 1218">
          <a:extLst>
            <a:ext uri="{FF2B5EF4-FFF2-40B4-BE49-F238E27FC236}"/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162</xdr:row>
      <xdr:rowOff>0</xdr:rowOff>
    </xdr:from>
    <xdr:ext cx="533400" cy="361950"/>
    <xdr:sp macro="" textlink="">
      <xdr:nvSpPr>
        <xdr:cNvPr id="1220" name="Isosceles Triangle 1219">
          <a:extLst>
            <a:ext uri="{FF2B5EF4-FFF2-40B4-BE49-F238E27FC236}"/>
          </a:extLst>
        </xdr:cNvPr>
        <xdr:cNvSpPr/>
      </xdr:nvSpPr>
      <xdr:spPr>
        <a:xfrm>
          <a:off x="1556322" y="31150497"/>
          <a:ext cx="524986" cy="379818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162</xdr:row>
      <xdr:rowOff>0</xdr:rowOff>
    </xdr:from>
    <xdr:ext cx="514350" cy="361950"/>
    <xdr:sp macro="" textlink="">
      <xdr:nvSpPr>
        <xdr:cNvPr id="1221" name="Isosceles Triangle 1220">
          <a:extLst>
            <a:ext uri="{FF2B5EF4-FFF2-40B4-BE49-F238E27FC236}"/>
          </a:extLst>
        </xdr:cNvPr>
        <xdr:cNvSpPr/>
      </xdr:nvSpPr>
      <xdr:spPr>
        <a:xfrm>
          <a:off x="2543175" y="3114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162</xdr:row>
      <xdr:rowOff>0</xdr:rowOff>
    </xdr:from>
    <xdr:ext cx="514350" cy="361950"/>
    <xdr:sp macro="" textlink="">
      <xdr:nvSpPr>
        <xdr:cNvPr id="1222" name="Isosceles Triangle 1221">
          <a:extLst>
            <a:ext uri="{FF2B5EF4-FFF2-40B4-BE49-F238E27FC236}"/>
          </a:extLst>
        </xdr:cNvPr>
        <xdr:cNvSpPr/>
      </xdr:nvSpPr>
      <xdr:spPr>
        <a:xfrm>
          <a:off x="3609975" y="3114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162</xdr:row>
      <xdr:rowOff>0</xdr:rowOff>
    </xdr:from>
    <xdr:ext cx="514350" cy="361950"/>
    <xdr:sp macro="" textlink="">
      <xdr:nvSpPr>
        <xdr:cNvPr id="1223" name="Isosceles Triangle 1222">
          <a:extLst>
            <a:ext uri="{FF2B5EF4-FFF2-40B4-BE49-F238E27FC236}"/>
          </a:extLst>
        </xdr:cNvPr>
        <xdr:cNvSpPr/>
      </xdr:nvSpPr>
      <xdr:spPr>
        <a:xfrm>
          <a:off x="4514850" y="3114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162</xdr:row>
      <xdr:rowOff>0</xdr:rowOff>
    </xdr:from>
    <xdr:ext cx="514350" cy="361950"/>
    <xdr:sp macro="" textlink="">
      <xdr:nvSpPr>
        <xdr:cNvPr id="1224" name="Isosceles Triangle 1223">
          <a:extLst>
            <a:ext uri="{FF2B5EF4-FFF2-40B4-BE49-F238E27FC236}"/>
          </a:extLst>
        </xdr:cNvPr>
        <xdr:cNvSpPr/>
      </xdr:nvSpPr>
      <xdr:spPr>
        <a:xfrm>
          <a:off x="6296025" y="3114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162</xdr:row>
      <xdr:rowOff>0</xdr:rowOff>
    </xdr:from>
    <xdr:ext cx="514350" cy="361950"/>
    <xdr:sp macro="" textlink="">
      <xdr:nvSpPr>
        <xdr:cNvPr id="1225" name="Isosceles Triangle 1224">
          <a:extLst>
            <a:ext uri="{FF2B5EF4-FFF2-40B4-BE49-F238E27FC236}"/>
          </a:extLst>
        </xdr:cNvPr>
        <xdr:cNvSpPr/>
      </xdr:nvSpPr>
      <xdr:spPr>
        <a:xfrm>
          <a:off x="7172325" y="3114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162</xdr:row>
      <xdr:rowOff>0</xdr:rowOff>
    </xdr:from>
    <xdr:ext cx="514350" cy="361950"/>
    <xdr:sp macro="" textlink="">
      <xdr:nvSpPr>
        <xdr:cNvPr id="1226" name="Isosceles Triangle 1225">
          <a:extLst>
            <a:ext uri="{FF2B5EF4-FFF2-40B4-BE49-F238E27FC236}"/>
          </a:extLst>
        </xdr:cNvPr>
        <xdr:cNvSpPr/>
      </xdr:nvSpPr>
      <xdr:spPr>
        <a:xfrm>
          <a:off x="8220075" y="31146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162</xdr:row>
      <xdr:rowOff>0</xdr:rowOff>
    </xdr:from>
    <xdr:ext cx="495300" cy="361950"/>
    <xdr:sp macro="" textlink="">
      <xdr:nvSpPr>
        <xdr:cNvPr id="1227" name="Isosceles Triangle 1226">
          <a:extLst>
            <a:ext uri="{FF2B5EF4-FFF2-40B4-BE49-F238E27FC236}"/>
          </a:extLst>
        </xdr:cNvPr>
        <xdr:cNvSpPr/>
      </xdr:nvSpPr>
      <xdr:spPr>
        <a:xfrm>
          <a:off x="9210675" y="31146750"/>
          <a:ext cx="504093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162</xdr:row>
      <xdr:rowOff>0</xdr:rowOff>
    </xdr:from>
    <xdr:ext cx="514350" cy="361950"/>
    <xdr:sp macro="" textlink="">
      <xdr:nvSpPr>
        <xdr:cNvPr id="1228" name="Isosceles Triangle 1227">
          <a:extLst>
            <a:ext uri="{FF2B5EF4-FFF2-40B4-BE49-F238E27FC236}"/>
          </a:extLst>
        </xdr:cNvPr>
        <xdr:cNvSpPr/>
      </xdr:nvSpPr>
      <xdr:spPr>
        <a:xfrm>
          <a:off x="11210925" y="31146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162</xdr:row>
      <xdr:rowOff>0</xdr:rowOff>
    </xdr:from>
    <xdr:ext cx="514350" cy="361950"/>
    <xdr:sp macro="" textlink="">
      <xdr:nvSpPr>
        <xdr:cNvPr id="1229" name="Isosceles Triangle 1228">
          <a:extLst>
            <a:ext uri="{FF2B5EF4-FFF2-40B4-BE49-F238E27FC236}"/>
          </a:extLst>
        </xdr:cNvPr>
        <xdr:cNvSpPr/>
      </xdr:nvSpPr>
      <xdr:spPr>
        <a:xfrm>
          <a:off x="12115800" y="31146750"/>
          <a:ext cx="50409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162</xdr:row>
      <xdr:rowOff>0</xdr:rowOff>
    </xdr:from>
    <xdr:ext cx="514350" cy="361950"/>
    <xdr:sp macro="" textlink="">
      <xdr:nvSpPr>
        <xdr:cNvPr id="1230" name="Isosceles Triangle 1229">
          <a:extLst>
            <a:ext uri="{FF2B5EF4-FFF2-40B4-BE49-F238E27FC236}"/>
          </a:extLst>
        </xdr:cNvPr>
        <xdr:cNvSpPr/>
      </xdr:nvSpPr>
      <xdr:spPr>
        <a:xfrm>
          <a:off x="13115925" y="31146750"/>
          <a:ext cx="5898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</xdr:col>
      <xdr:colOff>123825</xdr:colOff>
      <xdr:row>163</xdr:row>
      <xdr:rowOff>161925</xdr:rowOff>
    </xdr:from>
    <xdr:ext cx="142875" cy="381000"/>
    <xdr:sp macro="" textlink="">
      <xdr:nvSpPr>
        <xdr:cNvPr id="1231" name="Arrow: Up 1309">
          <a:extLst>
            <a:ext uri="{FF2B5EF4-FFF2-40B4-BE49-F238E27FC236}"/>
          </a:extLst>
        </xdr:cNvPr>
        <xdr:cNvSpPr/>
      </xdr:nvSpPr>
      <xdr:spPr>
        <a:xfrm>
          <a:off x="1273968" y="3150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</xdr:col>
      <xdr:colOff>0</xdr:colOff>
      <xdr:row>162</xdr:row>
      <xdr:rowOff>0</xdr:rowOff>
    </xdr:from>
    <xdr:ext cx="514350" cy="352425"/>
    <xdr:sp macro="" textlink="">
      <xdr:nvSpPr>
        <xdr:cNvPr id="1232" name="Isosceles Triangle 1231">
          <a:extLst>
            <a:ext uri="{FF2B5EF4-FFF2-40B4-BE49-F238E27FC236}"/>
          </a:extLst>
        </xdr:cNvPr>
        <xdr:cNvSpPr/>
      </xdr:nvSpPr>
      <xdr:spPr>
        <a:xfrm>
          <a:off x="609600" y="31146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162</xdr:row>
      <xdr:rowOff>0</xdr:rowOff>
    </xdr:from>
    <xdr:ext cx="514350" cy="352425"/>
    <xdr:sp macro="" textlink="">
      <xdr:nvSpPr>
        <xdr:cNvPr id="1233" name="Isosceles Triangle 1232">
          <a:extLst>
            <a:ext uri="{FF2B5EF4-FFF2-40B4-BE49-F238E27FC236}"/>
          </a:extLst>
        </xdr:cNvPr>
        <xdr:cNvSpPr/>
      </xdr:nvSpPr>
      <xdr:spPr>
        <a:xfrm>
          <a:off x="2543175" y="31146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162</xdr:row>
      <xdr:rowOff>0</xdr:rowOff>
    </xdr:from>
    <xdr:ext cx="533400" cy="352425"/>
    <xdr:sp macro="" textlink="">
      <xdr:nvSpPr>
        <xdr:cNvPr id="1234" name="Isosceles Triangle 1233">
          <a:extLst>
            <a:ext uri="{FF2B5EF4-FFF2-40B4-BE49-F238E27FC236}"/>
          </a:extLst>
        </xdr:cNvPr>
        <xdr:cNvSpPr/>
      </xdr:nvSpPr>
      <xdr:spPr>
        <a:xfrm>
          <a:off x="1552575" y="31146750"/>
          <a:ext cx="523143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162</xdr:row>
      <xdr:rowOff>0</xdr:rowOff>
    </xdr:from>
    <xdr:ext cx="514350" cy="352425"/>
    <xdr:sp macro="" textlink="">
      <xdr:nvSpPr>
        <xdr:cNvPr id="1235" name="Isosceles Triangle 1234">
          <a:extLst>
            <a:ext uri="{FF2B5EF4-FFF2-40B4-BE49-F238E27FC236}"/>
          </a:extLst>
        </xdr:cNvPr>
        <xdr:cNvSpPr/>
      </xdr:nvSpPr>
      <xdr:spPr>
        <a:xfrm>
          <a:off x="3609975" y="31146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162</xdr:row>
      <xdr:rowOff>0</xdr:rowOff>
    </xdr:from>
    <xdr:ext cx="495300" cy="352425"/>
    <xdr:sp macro="" textlink="">
      <xdr:nvSpPr>
        <xdr:cNvPr id="1236" name="Isosceles Triangle 1235">
          <a:extLst>
            <a:ext uri="{FF2B5EF4-FFF2-40B4-BE49-F238E27FC236}"/>
          </a:extLst>
        </xdr:cNvPr>
        <xdr:cNvSpPr/>
      </xdr:nvSpPr>
      <xdr:spPr>
        <a:xfrm>
          <a:off x="9210675" y="31146750"/>
          <a:ext cx="50409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162</xdr:row>
      <xdr:rowOff>0</xdr:rowOff>
    </xdr:from>
    <xdr:ext cx="514350" cy="352425"/>
    <xdr:sp macro="" textlink="">
      <xdr:nvSpPr>
        <xdr:cNvPr id="1237" name="Isosceles Triangle 1236">
          <a:extLst>
            <a:ext uri="{FF2B5EF4-FFF2-40B4-BE49-F238E27FC236}"/>
          </a:extLst>
        </xdr:cNvPr>
        <xdr:cNvSpPr/>
      </xdr:nvSpPr>
      <xdr:spPr>
        <a:xfrm>
          <a:off x="8220075" y="31146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162</xdr:row>
      <xdr:rowOff>0</xdr:rowOff>
    </xdr:from>
    <xdr:ext cx="514350" cy="352425"/>
    <xdr:sp macro="" textlink="">
      <xdr:nvSpPr>
        <xdr:cNvPr id="1238" name="Isosceles Triangle 1237">
          <a:extLst>
            <a:ext uri="{FF2B5EF4-FFF2-40B4-BE49-F238E27FC236}"/>
          </a:extLst>
        </xdr:cNvPr>
        <xdr:cNvSpPr/>
      </xdr:nvSpPr>
      <xdr:spPr>
        <a:xfrm>
          <a:off x="4514850" y="31146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162</xdr:row>
      <xdr:rowOff>0</xdr:rowOff>
    </xdr:from>
    <xdr:ext cx="514350" cy="352425"/>
    <xdr:sp macro="" textlink="">
      <xdr:nvSpPr>
        <xdr:cNvPr id="1239" name="Isosceles Triangle 1238">
          <a:extLst>
            <a:ext uri="{FF2B5EF4-FFF2-40B4-BE49-F238E27FC236}"/>
          </a:extLst>
        </xdr:cNvPr>
        <xdr:cNvSpPr/>
      </xdr:nvSpPr>
      <xdr:spPr>
        <a:xfrm>
          <a:off x="7172325" y="31146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162</xdr:row>
      <xdr:rowOff>0</xdr:rowOff>
    </xdr:from>
    <xdr:ext cx="514350" cy="352425"/>
    <xdr:sp macro="" textlink="">
      <xdr:nvSpPr>
        <xdr:cNvPr id="1240" name="Isosceles Triangle 1239">
          <a:extLst>
            <a:ext uri="{FF2B5EF4-FFF2-40B4-BE49-F238E27FC236}"/>
          </a:extLst>
        </xdr:cNvPr>
        <xdr:cNvSpPr/>
      </xdr:nvSpPr>
      <xdr:spPr>
        <a:xfrm>
          <a:off x="6296025" y="31146750"/>
          <a:ext cx="523143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170</xdr:row>
      <xdr:rowOff>0</xdr:rowOff>
    </xdr:from>
    <xdr:ext cx="514350" cy="361950"/>
    <xdr:sp macro="" textlink="">
      <xdr:nvSpPr>
        <xdr:cNvPr id="1241" name="Isosceles Triangle 1240">
          <a:extLst>
            <a:ext uri="{FF2B5EF4-FFF2-40B4-BE49-F238E27FC236}"/>
          </a:extLst>
        </xdr:cNvPr>
        <xdr:cNvSpPr/>
      </xdr:nvSpPr>
      <xdr:spPr>
        <a:xfrm>
          <a:off x="2543175" y="3267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170</xdr:row>
      <xdr:rowOff>0</xdr:rowOff>
    </xdr:from>
    <xdr:ext cx="514350" cy="361950"/>
    <xdr:sp macro="" textlink="">
      <xdr:nvSpPr>
        <xdr:cNvPr id="1242" name="Isosceles Triangle 1241">
          <a:extLst>
            <a:ext uri="{FF2B5EF4-FFF2-40B4-BE49-F238E27FC236}"/>
          </a:extLst>
        </xdr:cNvPr>
        <xdr:cNvSpPr/>
      </xdr:nvSpPr>
      <xdr:spPr>
        <a:xfrm>
          <a:off x="3609975" y="3267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170</xdr:row>
      <xdr:rowOff>0</xdr:rowOff>
    </xdr:from>
    <xdr:ext cx="514350" cy="361950"/>
    <xdr:sp macro="" textlink="">
      <xdr:nvSpPr>
        <xdr:cNvPr id="1243" name="Isosceles Triangle 1242">
          <a:extLst>
            <a:ext uri="{FF2B5EF4-FFF2-40B4-BE49-F238E27FC236}"/>
          </a:extLst>
        </xdr:cNvPr>
        <xdr:cNvSpPr/>
      </xdr:nvSpPr>
      <xdr:spPr>
        <a:xfrm>
          <a:off x="4514850" y="3267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170</xdr:row>
      <xdr:rowOff>0</xdr:rowOff>
    </xdr:from>
    <xdr:ext cx="514350" cy="361950"/>
    <xdr:sp macro="" textlink="">
      <xdr:nvSpPr>
        <xdr:cNvPr id="1244" name="Isosceles Triangle 1243">
          <a:extLst>
            <a:ext uri="{FF2B5EF4-FFF2-40B4-BE49-F238E27FC236}"/>
          </a:extLst>
        </xdr:cNvPr>
        <xdr:cNvSpPr/>
      </xdr:nvSpPr>
      <xdr:spPr>
        <a:xfrm>
          <a:off x="5381625" y="3267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170</xdr:row>
      <xdr:rowOff>0</xdr:rowOff>
    </xdr:from>
    <xdr:ext cx="514350" cy="361950"/>
    <xdr:sp macro="" textlink="">
      <xdr:nvSpPr>
        <xdr:cNvPr id="1245" name="Isosceles Triangle 1244">
          <a:extLst>
            <a:ext uri="{FF2B5EF4-FFF2-40B4-BE49-F238E27FC236}"/>
          </a:extLst>
        </xdr:cNvPr>
        <xdr:cNvSpPr/>
      </xdr:nvSpPr>
      <xdr:spPr>
        <a:xfrm>
          <a:off x="6296025" y="3267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170</xdr:row>
      <xdr:rowOff>0</xdr:rowOff>
    </xdr:from>
    <xdr:ext cx="514350" cy="361950"/>
    <xdr:sp macro="" textlink="">
      <xdr:nvSpPr>
        <xdr:cNvPr id="1246" name="Isosceles Triangle 1245">
          <a:extLst>
            <a:ext uri="{FF2B5EF4-FFF2-40B4-BE49-F238E27FC236}"/>
          </a:extLst>
        </xdr:cNvPr>
        <xdr:cNvSpPr/>
      </xdr:nvSpPr>
      <xdr:spPr>
        <a:xfrm>
          <a:off x="7172325" y="3267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170</xdr:row>
      <xdr:rowOff>0</xdr:rowOff>
    </xdr:from>
    <xdr:ext cx="514350" cy="361950"/>
    <xdr:sp macro="" textlink="">
      <xdr:nvSpPr>
        <xdr:cNvPr id="1247" name="Isosceles Triangle 1246">
          <a:extLst>
            <a:ext uri="{FF2B5EF4-FFF2-40B4-BE49-F238E27FC236}"/>
          </a:extLst>
        </xdr:cNvPr>
        <xdr:cNvSpPr/>
      </xdr:nvSpPr>
      <xdr:spPr>
        <a:xfrm>
          <a:off x="8220075" y="32670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170</xdr:row>
      <xdr:rowOff>0</xdr:rowOff>
    </xdr:from>
    <xdr:ext cx="495300" cy="361950"/>
    <xdr:sp macro="" textlink="">
      <xdr:nvSpPr>
        <xdr:cNvPr id="1248" name="Isosceles Triangle 1247">
          <a:extLst>
            <a:ext uri="{FF2B5EF4-FFF2-40B4-BE49-F238E27FC236}"/>
          </a:extLst>
        </xdr:cNvPr>
        <xdr:cNvSpPr/>
      </xdr:nvSpPr>
      <xdr:spPr>
        <a:xfrm>
          <a:off x="9210675" y="32670750"/>
          <a:ext cx="504093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170</xdr:row>
      <xdr:rowOff>0</xdr:rowOff>
    </xdr:from>
    <xdr:ext cx="514350" cy="361950"/>
    <xdr:sp macro="" textlink="">
      <xdr:nvSpPr>
        <xdr:cNvPr id="1249" name="Isosceles Triangle 1248">
          <a:extLst>
            <a:ext uri="{FF2B5EF4-FFF2-40B4-BE49-F238E27FC236}"/>
          </a:extLst>
        </xdr:cNvPr>
        <xdr:cNvSpPr/>
      </xdr:nvSpPr>
      <xdr:spPr>
        <a:xfrm>
          <a:off x="10125075" y="32670750"/>
          <a:ext cx="513618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170</xdr:row>
      <xdr:rowOff>0</xdr:rowOff>
    </xdr:from>
    <xdr:ext cx="514350" cy="361950"/>
    <xdr:sp macro="" textlink="">
      <xdr:nvSpPr>
        <xdr:cNvPr id="1250" name="Isosceles Triangle 1249">
          <a:extLst>
            <a:ext uri="{FF2B5EF4-FFF2-40B4-BE49-F238E27FC236}"/>
          </a:extLst>
        </xdr:cNvPr>
        <xdr:cNvSpPr/>
      </xdr:nvSpPr>
      <xdr:spPr>
        <a:xfrm>
          <a:off x="11210925" y="32670750"/>
          <a:ext cx="523142" cy="373673"/>
        </a:xfrm>
        <a:prstGeom prst="triangle">
          <a:avLst>
            <a:gd fmla="val 50000" name="adj"/>
          </a:avLst>
        </a:prstGeom>
        <a:solidFill>
          <a:srgbClr val="FFFF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170</xdr:row>
      <xdr:rowOff>0</xdr:rowOff>
    </xdr:from>
    <xdr:ext cx="514350" cy="361950"/>
    <xdr:sp macro="" textlink="">
      <xdr:nvSpPr>
        <xdr:cNvPr id="1251" name="Isosceles Triangle 1250">
          <a:extLst>
            <a:ext uri="{FF2B5EF4-FFF2-40B4-BE49-F238E27FC236}"/>
          </a:extLst>
        </xdr:cNvPr>
        <xdr:cNvSpPr/>
      </xdr:nvSpPr>
      <xdr:spPr>
        <a:xfrm>
          <a:off x="12115800" y="32670750"/>
          <a:ext cx="50409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170</xdr:row>
      <xdr:rowOff>0</xdr:rowOff>
    </xdr:from>
    <xdr:ext cx="514350" cy="361950"/>
    <xdr:sp macro="" textlink="">
      <xdr:nvSpPr>
        <xdr:cNvPr id="1252" name="Isosceles Triangle 1251">
          <a:extLst>
            <a:ext uri="{FF2B5EF4-FFF2-40B4-BE49-F238E27FC236}"/>
          </a:extLst>
        </xdr:cNvPr>
        <xdr:cNvSpPr/>
      </xdr:nvSpPr>
      <xdr:spPr>
        <a:xfrm>
          <a:off x="13115925" y="32670750"/>
          <a:ext cx="589818" cy="373673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170</xdr:row>
      <xdr:rowOff>0</xdr:rowOff>
    </xdr:from>
    <xdr:ext cx="514350" cy="352425"/>
    <xdr:sp macro="" textlink="">
      <xdr:nvSpPr>
        <xdr:cNvPr id="1253" name="Isosceles Triangle 1252">
          <a:extLst>
            <a:ext uri="{FF2B5EF4-FFF2-40B4-BE49-F238E27FC236}"/>
          </a:extLst>
        </xdr:cNvPr>
        <xdr:cNvSpPr/>
      </xdr:nvSpPr>
      <xdr:spPr>
        <a:xfrm>
          <a:off x="3609975" y="32670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170</xdr:row>
      <xdr:rowOff>0</xdr:rowOff>
    </xdr:from>
    <xdr:ext cx="514350" cy="352425"/>
    <xdr:sp macro="" textlink="">
      <xdr:nvSpPr>
        <xdr:cNvPr id="1254" name="Isosceles Triangle 1253">
          <a:extLst>
            <a:ext uri="{FF2B5EF4-FFF2-40B4-BE49-F238E27FC236}"/>
          </a:extLst>
        </xdr:cNvPr>
        <xdr:cNvSpPr/>
      </xdr:nvSpPr>
      <xdr:spPr>
        <a:xfrm>
          <a:off x="5381625" y="32670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170</xdr:row>
      <xdr:rowOff>0</xdr:rowOff>
    </xdr:from>
    <xdr:ext cx="495300" cy="352425"/>
    <xdr:sp macro="" textlink="">
      <xdr:nvSpPr>
        <xdr:cNvPr id="1255" name="Isosceles Triangle 1254">
          <a:extLst>
            <a:ext uri="{FF2B5EF4-FFF2-40B4-BE49-F238E27FC236}"/>
          </a:extLst>
        </xdr:cNvPr>
        <xdr:cNvSpPr/>
      </xdr:nvSpPr>
      <xdr:spPr>
        <a:xfrm>
          <a:off x="9210675" y="32670750"/>
          <a:ext cx="50409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170</xdr:row>
      <xdr:rowOff>0</xdr:rowOff>
    </xdr:from>
    <xdr:ext cx="514350" cy="352425"/>
    <xdr:sp macro="" textlink="">
      <xdr:nvSpPr>
        <xdr:cNvPr id="1256" name="Isosceles Triangle 1255">
          <a:extLst>
            <a:ext uri="{FF2B5EF4-FFF2-40B4-BE49-F238E27FC236}"/>
          </a:extLst>
        </xdr:cNvPr>
        <xdr:cNvSpPr/>
      </xdr:nvSpPr>
      <xdr:spPr>
        <a:xfrm>
          <a:off x="8220075" y="32670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170</xdr:row>
      <xdr:rowOff>0</xdr:rowOff>
    </xdr:from>
    <xdr:ext cx="514350" cy="352425"/>
    <xdr:sp macro="" textlink="">
      <xdr:nvSpPr>
        <xdr:cNvPr id="1257" name="Isosceles Triangle 1256">
          <a:extLst>
            <a:ext uri="{FF2B5EF4-FFF2-40B4-BE49-F238E27FC236}"/>
          </a:extLst>
        </xdr:cNvPr>
        <xdr:cNvSpPr/>
      </xdr:nvSpPr>
      <xdr:spPr>
        <a:xfrm>
          <a:off x="4514850" y="32670750"/>
          <a:ext cx="523142" cy="367975"/>
        </a:xfrm>
        <a:prstGeom prst="triangle">
          <a:avLst>
            <a:gd fmla="val 50000" name="adj"/>
          </a:avLst>
        </a:prstGeom>
        <a:solidFill>
          <a:schemeClr val="bg1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170</xdr:row>
      <xdr:rowOff>0</xdr:rowOff>
    </xdr:from>
    <xdr:ext cx="514350" cy="352425"/>
    <xdr:sp macro="" textlink="">
      <xdr:nvSpPr>
        <xdr:cNvPr id="1258" name="Isosceles Triangle 1257">
          <a:extLst>
            <a:ext uri="{FF2B5EF4-FFF2-40B4-BE49-F238E27FC236}"/>
          </a:extLst>
        </xdr:cNvPr>
        <xdr:cNvSpPr/>
      </xdr:nvSpPr>
      <xdr:spPr>
        <a:xfrm>
          <a:off x="7172325" y="32670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170</xdr:row>
      <xdr:rowOff>0</xdr:rowOff>
    </xdr:from>
    <xdr:ext cx="514350" cy="352425"/>
    <xdr:sp macro="" textlink="">
      <xdr:nvSpPr>
        <xdr:cNvPr id="1259" name="Isosceles Triangle 1258">
          <a:extLst>
            <a:ext uri="{FF2B5EF4-FFF2-40B4-BE49-F238E27FC236}"/>
          </a:extLst>
        </xdr:cNvPr>
        <xdr:cNvSpPr/>
      </xdr:nvSpPr>
      <xdr:spPr>
        <a:xfrm>
          <a:off x="6296025" y="32670750"/>
          <a:ext cx="523143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178</xdr:row>
      <xdr:rowOff>0</xdr:rowOff>
    </xdr:from>
    <xdr:ext cx="514350" cy="361950"/>
    <xdr:sp macro="" textlink="">
      <xdr:nvSpPr>
        <xdr:cNvPr id="1260" name="Isosceles Triangle 1259">
          <a:extLst>
            <a:ext uri="{FF2B5EF4-FFF2-40B4-BE49-F238E27FC236}"/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178</xdr:row>
      <xdr:rowOff>0</xdr:rowOff>
    </xdr:from>
    <xdr:ext cx="533400" cy="361950"/>
    <xdr:sp macro="" textlink="">
      <xdr:nvSpPr>
        <xdr:cNvPr id="1261" name="Isosceles Triangle 1260">
          <a:extLst>
            <a:ext uri="{FF2B5EF4-FFF2-40B4-BE49-F238E27FC236}"/>
          </a:extLst>
        </xdr:cNvPr>
        <xdr:cNvSpPr/>
      </xdr:nvSpPr>
      <xdr:spPr>
        <a:xfrm>
          <a:off x="1552575" y="34194750"/>
          <a:ext cx="526859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178</xdr:row>
      <xdr:rowOff>0</xdr:rowOff>
    </xdr:from>
    <xdr:ext cx="514350" cy="361950"/>
    <xdr:sp macro="" textlink="">
      <xdr:nvSpPr>
        <xdr:cNvPr id="1262" name="Isosceles Triangle 1261">
          <a:extLst>
            <a:ext uri="{FF2B5EF4-FFF2-40B4-BE49-F238E27FC236}"/>
          </a:extLst>
        </xdr:cNvPr>
        <xdr:cNvSpPr/>
      </xdr:nvSpPr>
      <xdr:spPr>
        <a:xfrm>
          <a:off x="2543175" y="3419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178</xdr:row>
      <xdr:rowOff>0</xdr:rowOff>
    </xdr:from>
    <xdr:ext cx="514350" cy="361950"/>
    <xdr:sp macro="" textlink="">
      <xdr:nvSpPr>
        <xdr:cNvPr id="1263" name="Isosceles Triangle 1262">
          <a:extLst>
            <a:ext uri="{FF2B5EF4-FFF2-40B4-BE49-F238E27FC236}"/>
          </a:extLst>
        </xdr:cNvPr>
        <xdr:cNvSpPr/>
      </xdr:nvSpPr>
      <xdr:spPr>
        <a:xfrm>
          <a:off x="3609975" y="3419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178</xdr:row>
      <xdr:rowOff>0</xdr:rowOff>
    </xdr:from>
    <xdr:ext cx="514350" cy="361950"/>
    <xdr:sp macro="" textlink="">
      <xdr:nvSpPr>
        <xdr:cNvPr id="1264" name="Isosceles Triangle 1263">
          <a:extLst>
            <a:ext uri="{FF2B5EF4-FFF2-40B4-BE49-F238E27FC236}"/>
          </a:extLst>
        </xdr:cNvPr>
        <xdr:cNvSpPr/>
      </xdr:nvSpPr>
      <xdr:spPr>
        <a:xfrm>
          <a:off x="4514850" y="3419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178</xdr:row>
      <xdr:rowOff>0</xdr:rowOff>
    </xdr:from>
    <xdr:ext cx="514350" cy="361950"/>
    <xdr:sp macro="" textlink="">
      <xdr:nvSpPr>
        <xdr:cNvPr id="1265" name="Isosceles Triangle 1264">
          <a:extLst>
            <a:ext uri="{FF2B5EF4-FFF2-40B4-BE49-F238E27FC236}"/>
          </a:extLst>
        </xdr:cNvPr>
        <xdr:cNvSpPr/>
      </xdr:nvSpPr>
      <xdr:spPr>
        <a:xfrm>
          <a:off x="5381625" y="3419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178</xdr:row>
      <xdr:rowOff>0</xdr:rowOff>
    </xdr:from>
    <xdr:ext cx="514350" cy="361950"/>
    <xdr:sp macro="" textlink="">
      <xdr:nvSpPr>
        <xdr:cNvPr id="1266" name="Isosceles Triangle 1265">
          <a:extLst>
            <a:ext uri="{FF2B5EF4-FFF2-40B4-BE49-F238E27FC236}"/>
          </a:extLst>
        </xdr:cNvPr>
        <xdr:cNvSpPr/>
      </xdr:nvSpPr>
      <xdr:spPr>
        <a:xfrm>
          <a:off x="6296025" y="3419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178</xdr:row>
      <xdr:rowOff>0</xdr:rowOff>
    </xdr:from>
    <xdr:ext cx="514350" cy="361950"/>
    <xdr:sp macro="" textlink="">
      <xdr:nvSpPr>
        <xdr:cNvPr id="1267" name="Isosceles Triangle 1266">
          <a:extLst>
            <a:ext uri="{FF2B5EF4-FFF2-40B4-BE49-F238E27FC236}"/>
          </a:extLst>
        </xdr:cNvPr>
        <xdr:cNvSpPr/>
      </xdr:nvSpPr>
      <xdr:spPr>
        <a:xfrm>
          <a:off x="7172325" y="3419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178</xdr:row>
      <xdr:rowOff>0</xdr:rowOff>
    </xdr:from>
    <xdr:ext cx="514350" cy="361950"/>
    <xdr:sp macro="" textlink="">
      <xdr:nvSpPr>
        <xdr:cNvPr id="1268" name="Isosceles Triangle 1267">
          <a:extLst>
            <a:ext uri="{FF2B5EF4-FFF2-40B4-BE49-F238E27FC236}"/>
          </a:extLst>
        </xdr:cNvPr>
        <xdr:cNvSpPr/>
      </xdr:nvSpPr>
      <xdr:spPr>
        <a:xfrm>
          <a:off x="8220075" y="34194750"/>
          <a:ext cx="523142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178</xdr:row>
      <xdr:rowOff>0</xdr:rowOff>
    </xdr:from>
    <xdr:ext cx="495300" cy="361950"/>
    <xdr:sp macro="" textlink="">
      <xdr:nvSpPr>
        <xdr:cNvPr id="1269" name="Isosceles Triangle 1268">
          <a:extLst>
            <a:ext uri="{FF2B5EF4-FFF2-40B4-BE49-F238E27FC236}"/>
          </a:extLst>
        </xdr:cNvPr>
        <xdr:cNvSpPr/>
      </xdr:nvSpPr>
      <xdr:spPr>
        <a:xfrm>
          <a:off x="9210675" y="34194750"/>
          <a:ext cx="504093" cy="373673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178</xdr:row>
      <xdr:rowOff>0</xdr:rowOff>
    </xdr:from>
    <xdr:ext cx="514350" cy="361950"/>
    <xdr:sp macro="" textlink="">
      <xdr:nvSpPr>
        <xdr:cNvPr id="1270" name="Isosceles Triangle 1269">
          <a:extLst>
            <a:ext uri="{FF2B5EF4-FFF2-40B4-BE49-F238E27FC236}"/>
          </a:extLst>
        </xdr:cNvPr>
        <xdr:cNvSpPr/>
      </xdr:nvSpPr>
      <xdr:spPr>
        <a:xfrm>
          <a:off x="10125075" y="34194750"/>
          <a:ext cx="513618" cy="373673"/>
        </a:xfrm>
        <a:prstGeom prst="triangle">
          <a:avLst>
            <a:gd fmla="val 50000" name="adj"/>
          </a:avLst>
        </a:prstGeom>
        <a:solidFill>
          <a:schemeClr val="lt1"/>
        </a:solidFill>
        <a:ln cap="flat" cmpd="sng" w="12700" algn="ctr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178</xdr:row>
      <xdr:rowOff>0</xdr:rowOff>
    </xdr:from>
    <xdr:ext cx="514350" cy="361950"/>
    <xdr:sp macro="" textlink="">
      <xdr:nvSpPr>
        <xdr:cNvPr id="1271" name="Isosceles Triangle 1270">
          <a:extLst>
            <a:ext uri="{FF2B5EF4-FFF2-40B4-BE49-F238E27FC236}"/>
          </a:extLst>
        </xdr:cNvPr>
        <xdr:cNvSpPr/>
      </xdr:nvSpPr>
      <xdr:spPr>
        <a:xfrm>
          <a:off x="11210925" y="34194750"/>
          <a:ext cx="523142" cy="373673"/>
        </a:xfrm>
        <a:prstGeom prst="triangle">
          <a:avLst>
            <a:gd fmla="val 50000" name="adj"/>
          </a:avLst>
        </a:prstGeom>
        <a:solidFill>
          <a:schemeClr val="lt1"/>
        </a:solidFill>
        <a:ln cap="flat" cmpd="sng" w="12700" algn="ctr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178</xdr:row>
      <xdr:rowOff>0</xdr:rowOff>
    </xdr:from>
    <xdr:ext cx="514350" cy="361950"/>
    <xdr:sp macro="" textlink="">
      <xdr:nvSpPr>
        <xdr:cNvPr id="1272" name="Isosceles Triangle 1271">
          <a:extLst>
            <a:ext uri="{FF2B5EF4-FFF2-40B4-BE49-F238E27FC236}"/>
          </a:extLst>
        </xdr:cNvPr>
        <xdr:cNvSpPr/>
      </xdr:nvSpPr>
      <xdr:spPr>
        <a:xfrm>
          <a:off x="12115800" y="34194750"/>
          <a:ext cx="504092" cy="373673"/>
        </a:xfrm>
        <a:prstGeom prst="triangle">
          <a:avLst>
            <a:gd fmla="val 50000" name="adj"/>
          </a:avLst>
        </a:prstGeom>
        <a:solidFill>
          <a:schemeClr val="lt1"/>
        </a:solidFill>
        <a:ln cap="flat" cmpd="sng" w="12700" algn="ctr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178</xdr:row>
      <xdr:rowOff>0</xdr:rowOff>
    </xdr:from>
    <xdr:ext cx="514350" cy="361950"/>
    <xdr:sp macro="" textlink="">
      <xdr:nvSpPr>
        <xdr:cNvPr id="1273" name="Isosceles Triangle 1272">
          <a:extLst>
            <a:ext uri="{FF2B5EF4-FFF2-40B4-BE49-F238E27FC236}"/>
          </a:extLst>
        </xdr:cNvPr>
        <xdr:cNvSpPr/>
      </xdr:nvSpPr>
      <xdr:spPr>
        <a:xfrm>
          <a:off x="13115925" y="34194750"/>
          <a:ext cx="589818" cy="373673"/>
        </a:xfrm>
        <a:prstGeom prst="triangle">
          <a:avLst>
            <a:gd fmla="val 50000" name="adj"/>
          </a:avLst>
        </a:prstGeom>
        <a:solidFill>
          <a:schemeClr val="lt1"/>
        </a:solidFill>
        <a:ln cap="flat" cmpd="sng" w="12700" algn="ctr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178</xdr:row>
      <xdr:rowOff>0</xdr:rowOff>
    </xdr:from>
    <xdr:ext cx="514350" cy="352425"/>
    <xdr:sp macro="" textlink="">
      <xdr:nvSpPr>
        <xdr:cNvPr id="1274" name="Isosceles Triangle 1273">
          <a:extLst>
            <a:ext uri="{FF2B5EF4-FFF2-40B4-BE49-F238E27FC236}"/>
          </a:extLst>
        </xdr:cNvPr>
        <xdr:cNvSpPr/>
      </xdr:nvSpPr>
      <xdr:spPr>
        <a:xfrm>
          <a:off x="609600" y="34194750"/>
          <a:ext cx="523142" cy="3679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178</xdr:row>
      <xdr:rowOff>0</xdr:rowOff>
    </xdr:from>
    <xdr:ext cx="514350" cy="352425"/>
    <xdr:sp macro="" textlink="">
      <xdr:nvSpPr>
        <xdr:cNvPr id="1275" name="Isosceles Triangle 1274">
          <a:extLst>
            <a:ext uri="{FF2B5EF4-FFF2-40B4-BE49-F238E27FC236}"/>
          </a:extLst>
        </xdr:cNvPr>
        <xdr:cNvSpPr/>
      </xdr:nvSpPr>
      <xdr:spPr>
        <a:xfrm>
          <a:off x="2543175" y="34194750"/>
          <a:ext cx="523142" cy="367975"/>
        </a:xfrm>
        <a:prstGeom prst="triangle">
          <a:avLst>
            <a:gd fmla="val 50000" name="adj"/>
          </a:avLst>
        </a:prstGeom>
        <a:solidFill>
          <a:schemeClr val="lt1"/>
        </a:solidFill>
        <a:ln cap="flat" cmpd="sng" w="12700" algn="ctr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178</xdr:row>
      <xdr:rowOff>0</xdr:rowOff>
    </xdr:from>
    <xdr:ext cx="533400" cy="352425"/>
    <xdr:sp macro="" textlink="">
      <xdr:nvSpPr>
        <xdr:cNvPr id="1276" name="Isosceles Triangle 1275">
          <a:extLst>
            <a:ext uri="{FF2B5EF4-FFF2-40B4-BE49-F238E27FC236}"/>
          </a:extLst>
        </xdr:cNvPr>
        <xdr:cNvSpPr/>
      </xdr:nvSpPr>
      <xdr:spPr>
        <a:xfrm>
          <a:off x="1552575" y="34194750"/>
          <a:ext cx="523143" cy="367975"/>
        </a:xfrm>
        <a:prstGeom prst="triangle">
          <a:avLst>
            <a:gd fmla="val 50000" name="adj"/>
          </a:avLst>
        </a:prstGeom>
        <a:noFill/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178</xdr:row>
      <xdr:rowOff>0</xdr:rowOff>
    </xdr:from>
    <xdr:ext cx="514350" cy="352425"/>
    <xdr:sp macro="" textlink="">
      <xdr:nvSpPr>
        <xdr:cNvPr id="1277" name="Isosceles Triangle 1276">
          <a:extLst>
            <a:ext uri="{FF2B5EF4-FFF2-40B4-BE49-F238E27FC236}"/>
          </a:extLst>
        </xdr:cNvPr>
        <xdr:cNvSpPr/>
      </xdr:nvSpPr>
      <xdr:spPr>
        <a:xfrm>
          <a:off x="3609975" y="34194750"/>
          <a:ext cx="523142" cy="367975"/>
        </a:xfrm>
        <a:prstGeom prst="triangle">
          <a:avLst>
            <a:gd fmla="val 50000" name="adj"/>
          </a:avLst>
        </a:prstGeom>
        <a:solidFill>
          <a:schemeClr val="lt1"/>
        </a:solidFill>
        <a:ln cap="flat" cmpd="sng" w="12700" algn="ctr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178</xdr:row>
      <xdr:rowOff>0</xdr:rowOff>
    </xdr:from>
    <xdr:ext cx="514350" cy="352425"/>
    <xdr:sp macro="" textlink="">
      <xdr:nvSpPr>
        <xdr:cNvPr id="1278" name="Isosceles Triangle 1277">
          <a:extLst>
            <a:ext uri="{FF2B5EF4-FFF2-40B4-BE49-F238E27FC236}"/>
          </a:extLst>
        </xdr:cNvPr>
        <xdr:cNvSpPr/>
      </xdr:nvSpPr>
      <xdr:spPr>
        <a:xfrm>
          <a:off x="5381625" y="34194750"/>
          <a:ext cx="523142" cy="367975"/>
        </a:xfrm>
        <a:prstGeom prst="triangle">
          <a:avLst>
            <a:gd fmla="val 50000" name="adj"/>
          </a:avLst>
        </a:prstGeom>
        <a:solidFill>
          <a:schemeClr val="lt1"/>
        </a:solidFill>
        <a:ln cap="flat" cmpd="sng" w="12700" algn="ctr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178</xdr:row>
      <xdr:rowOff>0</xdr:rowOff>
    </xdr:from>
    <xdr:ext cx="495300" cy="352425"/>
    <xdr:sp macro="" textlink="">
      <xdr:nvSpPr>
        <xdr:cNvPr id="1279" name="Isosceles Triangle 1278">
          <a:extLst>
            <a:ext uri="{FF2B5EF4-FFF2-40B4-BE49-F238E27FC236}"/>
          </a:extLst>
        </xdr:cNvPr>
        <xdr:cNvSpPr/>
      </xdr:nvSpPr>
      <xdr:spPr>
        <a:xfrm>
          <a:off x="9210675" y="34194750"/>
          <a:ext cx="504092" cy="367975"/>
        </a:xfrm>
        <a:prstGeom prst="triangle">
          <a:avLst>
            <a:gd fmla="val 50000" name="adj"/>
          </a:avLst>
        </a:prstGeom>
        <a:solidFill>
          <a:schemeClr val="lt1"/>
        </a:solidFill>
        <a:ln cap="flat" cmpd="sng" w="12700" algn="ctr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178</xdr:row>
      <xdr:rowOff>0</xdr:rowOff>
    </xdr:from>
    <xdr:ext cx="514350" cy="352425"/>
    <xdr:sp macro="" textlink="">
      <xdr:nvSpPr>
        <xdr:cNvPr id="1280" name="Isosceles Triangle 1279">
          <a:extLst>
            <a:ext uri="{FF2B5EF4-FFF2-40B4-BE49-F238E27FC236}"/>
          </a:extLst>
        </xdr:cNvPr>
        <xdr:cNvSpPr/>
      </xdr:nvSpPr>
      <xdr:spPr>
        <a:xfrm>
          <a:off x="8220075" y="34194750"/>
          <a:ext cx="523142" cy="367975"/>
        </a:xfrm>
        <a:prstGeom prst="triangle">
          <a:avLst>
            <a:gd fmla="val 50000" name="adj"/>
          </a:avLst>
        </a:prstGeom>
        <a:solidFill>
          <a:schemeClr val="lt1"/>
        </a:solidFill>
        <a:ln cap="flat" cmpd="sng" w="12700" algn="ctr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178</xdr:row>
      <xdr:rowOff>0</xdr:rowOff>
    </xdr:from>
    <xdr:ext cx="514350" cy="352425"/>
    <xdr:sp macro="" textlink="">
      <xdr:nvSpPr>
        <xdr:cNvPr id="1281" name="Isosceles Triangle 1280">
          <a:extLst>
            <a:ext uri="{FF2B5EF4-FFF2-40B4-BE49-F238E27FC236}"/>
          </a:extLst>
        </xdr:cNvPr>
        <xdr:cNvSpPr/>
      </xdr:nvSpPr>
      <xdr:spPr>
        <a:xfrm>
          <a:off x="4514850" y="34194750"/>
          <a:ext cx="523142" cy="367975"/>
        </a:xfrm>
        <a:prstGeom prst="triangle">
          <a:avLst>
            <a:gd fmla="val 50000" name="adj"/>
          </a:avLst>
        </a:prstGeom>
        <a:solidFill>
          <a:schemeClr val="lt1"/>
        </a:solidFill>
        <a:ln cap="flat" cmpd="sng" w="12700" algn="ctr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178</xdr:row>
      <xdr:rowOff>0</xdr:rowOff>
    </xdr:from>
    <xdr:ext cx="514350" cy="352425"/>
    <xdr:sp macro="" textlink="">
      <xdr:nvSpPr>
        <xdr:cNvPr id="1282" name="Isosceles Triangle 1281">
          <a:extLst>
            <a:ext uri="{FF2B5EF4-FFF2-40B4-BE49-F238E27FC236}"/>
          </a:extLst>
        </xdr:cNvPr>
        <xdr:cNvSpPr/>
      </xdr:nvSpPr>
      <xdr:spPr>
        <a:xfrm>
          <a:off x="7172325" y="34194750"/>
          <a:ext cx="523142" cy="367975"/>
        </a:xfrm>
        <a:prstGeom prst="triangle">
          <a:avLst>
            <a:gd fmla="val 50000" name="adj"/>
          </a:avLst>
        </a:prstGeom>
        <a:solidFill>
          <a:schemeClr val="lt1"/>
        </a:solidFill>
        <a:ln cap="flat" cmpd="sng" w="12700" algn="ctr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178</xdr:row>
      <xdr:rowOff>0</xdr:rowOff>
    </xdr:from>
    <xdr:ext cx="514350" cy="352425"/>
    <xdr:sp macro="" textlink="">
      <xdr:nvSpPr>
        <xdr:cNvPr id="1283" name="Isosceles Triangle 1282">
          <a:extLst>
            <a:ext uri="{FF2B5EF4-FFF2-40B4-BE49-F238E27FC236}"/>
          </a:extLst>
        </xdr:cNvPr>
        <xdr:cNvSpPr/>
      </xdr:nvSpPr>
      <xdr:spPr>
        <a:xfrm>
          <a:off x="6296025" y="34194750"/>
          <a:ext cx="523143" cy="367975"/>
        </a:xfrm>
        <a:prstGeom prst="triangle">
          <a:avLst>
            <a:gd fmla="val 50000" name="adj"/>
          </a:avLst>
        </a:prstGeom>
        <a:solidFill>
          <a:schemeClr val="lt1"/>
        </a:solidFill>
        <a:ln cap="flat" cmpd="sng" w="12700" algn="ctr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0</xdr:col>
      <xdr:colOff>123825</xdr:colOff>
      <xdr:row>11</xdr:row>
      <xdr:rowOff>142875</xdr:rowOff>
    </xdr:from>
    <xdr:ext cx="142875" cy="390525"/>
    <xdr:sp macro="" textlink="">
      <xdr:nvSpPr>
        <xdr:cNvPr id="1284" name="Arrow: Up 256">
          <a:extLst>
            <a:ext uri="{FF2B5EF4-FFF2-40B4-BE49-F238E27FC236}"/>
          </a:extLst>
        </xdr:cNvPr>
        <xdr:cNvSpPr/>
      </xdr:nvSpPr>
      <xdr:spPr>
        <a:xfrm>
          <a:off x="129886" y="25327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219075</xdr:colOff>
      <xdr:row>11</xdr:row>
      <xdr:rowOff>142875</xdr:rowOff>
    </xdr:from>
    <xdr:ext cx="142875" cy="390525"/>
    <xdr:sp macro="" textlink="">
      <xdr:nvSpPr>
        <xdr:cNvPr id="1285" name="Arrow: Up 256">
          <a:extLst>
            <a:ext uri="{FF2B5EF4-FFF2-40B4-BE49-F238E27FC236}"/>
          </a:extLst>
        </xdr:cNvPr>
        <xdr:cNvSpPr/>
      </xdr:nvSpPr>
      <xdr:spPr>
        <a:xfrm>
          <a:off x="2303470" y="25322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95250</xdr:colOff>
      <xdr:row>11</xdr:row>
      <xdr:rowOff>142875</xdr:rowOff>
    </xdr:from>
    <xdr:ext cx="142875" cy="390525"/>
    <xdr:sp macro="" textlink="">
      <xdr:nvSpPr>
        <xdr:cNvPr id="1286" name="Arrow: Up 256">
          <a:extLst>
            <a:ext uri="{FF2B5EF4-FFF2-40B4-BE49-F238E27FC236}"/>
          </a:extLst>
        </xdr:cNvPr>
        <xdr:cNvSpPr/>
      </xdr:nvSpPr>
      <xdr:spPr>
        <a:xfrm>
          <a:off x="5151726" y="25249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85725</xdr:colOff>
      <xdr:row>11</xdr:row>
      <xdr:rowOff>171450</xdr:rowOff>
    </xdr:from>
    <xdr:ext cx="142875" cy="381000"/>
    <xdr:sp macro="" textlink="">
      <xdr:nvSpPr>
        <xdr:cNvPr id="1287" name="Arrow: Up 256">
          <a:extLst>
            <a:ext uri="{FF2B5EF4-FFF2-40B4-BE49-F238E27FC236}"/>
          </a:extLst>
        </xdr:cNvPr>
        <xdr:cNvSpPr/>
      </xdr:nvSpPr>
      <xdr:spPr>
        <a:xfrm>
          <a:off x="7792316" y="25544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247650</xdr:colOff>
      <xdr:row>11</xdr:row>
      <xdr:rowOff>180975</xdr:rowOff>
    </xdr:from>
    <xdr:ext cx="142875" cy="381000"/>
    <xdr:sp macro="" textlink="">
      <xdr:nvSpPr>
        <xdr:cNvPr id="1288" name="Arrow: Up 232">
          <a:extLst>
            <a:ext uri="{FF2B5EF4-FFF2-40B4-BE49-F238E27FC236}"/>
          </a:extLst>
        </xdr:cNvPr>
        <xdr:cNvSpPr/>
      </xdr:nvSpPr>
      <xdr:spPr>
        <a:xfrm>
          <a:off x="7954673" y="2565256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428625</xdr:colOff>
      <xdr:row>11</xdr:row>
      <xdr:rowOff>190500</xdr:rowOff>
    </xdr:from>
    <xdr:ext cx="142875" cy="381000"/>
    <xdr:sp macro="" textlink="">
      <xdr:nvSpPr>
        <xdr:cNvPr id="1289" name="Arrow: Up-Down 285">
          <a:extLst>
            <a:ext uri="{FF2B5EF4-FFF2-40B4-BE49-F238E27FC236}"/>
          </a:extLst>
        </xdr:cNvPr>
        <xdr:cNvSpPr/>
      </xdr:nvSpPr>
      <xdr:spPr>
        <a:xfrm>
          <a:off x="8138679" y="2576079"/>
          <a:ext cx="85726" cy="40652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66675</xdr:colOff>
      <xdr:row>11</xdr:row>
      <xdr:rowOff>180975</xdr:rowOff>
    </xdr:from>
    <xdr:ext cx="142875" cy="381000"/>
    <xdr:sp macro="" textlink="">
      <xdr:nvSpPr>
        <xdr:cNvPr id="1290" name="Arrow: Up 232">
          <a:extLst>
            <a:ext uri="{FF2B5EF4-FFF2-40B4-BE49-F238E27FC236}"/>
          </a:extLst>
        </xdr:cNvPr>
        <xdr:cNvSpPr/>
      </xdr:nvSpPr>
      <xdr:spPr>
        <a:xfrm>
          <a:off x="8829242" y="2565256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47625</xdr:colOff>
      <xdr:row>11</xdr:row>
      <xdr:rowOff>161925</xdr:rowOff>
    </xdr:from>
    <xdr:ext cx="142875" cy="390525"/>
    <xdr:sp macro="" textlink="">
      <xdr:nvSpPr>
        <xdr:cNvPr id="1291" name="Arrow: Up 256">
          <a:extLst>
            <a:ext uri="{FF2B5EF4-FFF2-40B4-BE49-F238E27FC236}"/>
          </a:extLst>
        </xdr:cNvPr>
        <xdr:cNvSpPr/>
      </xdr:nvSpPr>
      <xdr:spPr>
        <a:xfrm>
          <a:off x="9769619" y="25436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238125</xdr:colOff>
      <xdr:row>11</xdr:row>
      <xdr:rowOff>171450</xdr:rowOff>
    </xdr:from>
    <xdr:ext cx="142875" cy="381000"/>
    <xdr:sp macro="" textlink="">
      <xdr:nvSpPr>
        <xdr:cNvPr id="1292" name="Arrow: Up 232">
          <a:extLst>
            <a:ext uri="{FF2B5EF4-FFF2-40B4-BE49-F238E27FC236}"/>
          </a:extLst>
        </xdr:cNvPr>
        <xdr:cNvSpPr/>
      </xdr:nvSpPr>
      <xdr:spPr>
        <a:xfrm>
          <a:off x="9953625" y="2554433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133350</xdr:colOff>
      <xdr:row>11</xdr:row>
      <xdr:rowOff>161925</xdr:rowOff>
    </xdr:from>
    <xdr:ext cx="142875" cy="390525"/>
    <xdr:sp macro="" textlink="">
      <xdr:nvSpPr>
        <xdr:cNvPr id="1293" name="Arrow: Up 256">
          <a:extLst>
            <a:ext uri="{FF2B5EF4-FFF2-40B4-BE49-F238E27FC236}"/>
          </a:extLst>
        </xdr:cNvPr>
        <xdr:cNvSpPr/>
      </xdr:nvSpPr>
      <xdr:spPr>
        <a:xfrm>
          <a:off x="10780134" y="25436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47625</xdr:colOff>
      <xdr:row>11</xdr:row>
      <xdr:rowOff>171450</xdr:rowOff>
    </xdr:from>
    <xdr:ext cx="142875" cy="381000"/>
    <xdr:sp macro="" textlink="">
      <xdr:nvSpPr>
        <xdr:cNvPr id="1294" name="Arrow: Up 233">
          <a:extLst>
            <a:ext uri="{FF2B5EF4-FFF2-40B4-BE49-F238E27FC236}"/>
          </a:extLst>
        </xdr:cNvPr>
        <xdr:cNvSpPr/>
      </xdr:nvSpPr>
      <xdr:spPr>
        <a:xfrm>
          <a:off x="11788919" y="2554433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0</xdr:col>
      <xdr:colOff>114300</xdr:colOff>
      <xdr:row>19</xdr:row>
      <xdr:rowOff>152400</xdr:rowOff>
    </xdr:from>
    <xdr:ext cx="142875" cy="390525"/>
    <xdr:sp macro="" textlink="">
      <xdr:nvSpPr>
        <xdr:cNvPr id="1295" name="Arrow: Up 256">
          <a:extLst>
            <a:ext uri="{FF2B5EF4-FFF2-40B4-BE49-F238E27FC236}"/>
          </a:extLst>
        </xdr:cNvPr>
        <xdr:cNvSpPr/>
      </xdr:nvSpPr>
      <xdr:spPr>
        <a:xfrm>
          <a:off x="118197" y="40576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57150</xdr:colOff>
      <xdr:row>19</xdr:row>
      <xdr:rowOff>161925</xdr:rowOff>
    </xdr:from>
    <xdr:ext cx="142875" cy="390525"/>
    <xdr:sp macro="" textlink="">
      <xdr:nvSpPr>
        <xdr:cNvPr id="1296" name="Arrow: Up 256">
          <a:extLst>
            <a:ext uri="{FF2B5EF4-FFF2-40B4-BE49-F238E27FC236}"/>
          </a:extLst>
        </xdr:cNvPr>
        <xdr:cNvSpPr/>
      </xdr:nvSpPr>
      <xdr:spPr>
        <a:xfrm>
          <a:off x="1207943" y="4067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114300</xdr:colOff>
      <xdr:row>19</xdr:row>
      <xdr:rowOff>161925</xdr:rowOff>
    </xdr:from>
    <xdr:ext cx="142875" cy="390525"/>
    <xdr:sp macro="" textlink="">
      <xdr:nvSpPr>
        <xdr:cNvPr id="1297" name="Arrow: Up 256">
          <a:extLst>
            <a:ext uri="{FF2B5EF4-FFF2-40B4-BE49-F238E27FC236}"/>
          </a:extLst>
        </xdr:cNvPr>
        <xdr:cNvSpPr/>
      </xdr:nvSpPr>
      <xdr:spPr>
        <a:xfrm>
          <a:off x="3198451" y="40684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19050</xdr:colOff>
      <xdr:row>19</xdr:row>
      <xdr:rowOff>142875</xdr:rowOff>
    </xdr:from>
    <xdr:ext cx="142875" cy="390525"/>
    <xdr:sp macro="" textlink="">
      <xdr:nvSpPr>
        <xdr:cNvPr id="1298" name="Arrow: Up 256">
          <a:extLst>
            <a:ext uri="{FF2B5EF4-FFF2-40B4-BE49-F238E27FC236}"/>
          </a:extLst>
        </xdr:cNvPr>
        <xdr:cNvSpPr/>
      </xdr:nvSpPr>
      <xdr:spPr>
        <a:xfrm>
          <a:off x="4165023" y="4056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180975</xdr:colOff>
      <xdr:row>19</xdr:row>
      <xdr:rowOff>133350</xdr:rowOff>
    </xdr:from>
    <xdr:ext cx="142875" cy="390525"/>
    <xdr:sp macro="" textlink="">
      <xdr:nvSpPr>
        <xdr:cNvPr id="1299" name="Arrow: Up 228">
          <a:extLst>
            <a:ext uri="{FF2B5EF4-FFF2-40B4-BE49-F238E27FC236}"/>
          </a:extLst>
        </xdr:cNvPr>
        <xdr:cNvSpPr/>
      </xdr:nvSpPr>
      <xdr:spPr>
        <a:xfrm>
          <a:off x="4327381" y="4045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66675</xdr:colOff>
      <xdr:row>19</xdr:row>
      <xdr:rowOff>161925</xdr:rowOff>
    </xdr:from>
    <xdr:ext cx="142875" cy="390525"/>
    <xdr:sp macro="" textlink="">
      <xdr:nvSpPr>
        <xdr:cNvPr id="1300" name="Arrow: Up 256">
          <a:extLst>
            <a:ext uri="{FF2B5EF4-FFF2-40B4-BE49-F238E27FC236}"/>
          </a:extLst>
        </xdr:cNvPr>
        <xdr:cNvSpPr/>
      </xdr:nvSpPr>
      <xdr:spPr>
        <a:xfrm>
          <a:off x="5124017" y="4067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0</xdr:colOff>
      <xdr:row>20</xdr:row>
      <xdr:rowOff>0</xdr:rowOff>
    </xdr:from>
    <xdr:ext cx="142875" cy="390525"/>
    <xdr:sp macro="" textlink="">
      <xdr:nvSpPr>
        <xdr:cNvPr id="1301" name="Arrow: Up 241">
          <a:extLst>
            <a:ext uri="{FF2B5EF4-FFF2-40B4-BE49-F238E27FC236}"/>
          </a:extLst>
        </xdr:cNvPr>
        <xdr:cNvSpPr/>
      </xdr:nvSpPr>
      <xdr:spPr>
        <a:xfrm>
          <a:off x="5915025" y="409575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171450</xdr:colOff>
      <xdr:row>19</xdr:row>
      <xdr:rowOff>171450</xdr:rowOff>
    </xdr:from>
    <xdr:ext cx="142875" cy="381000"/>
    <xdr:sp macro="" textlink="">
      <xdr:nvSpPr>
        <xdr:cNvPr id="1302" name="Arrow: Up-Down 285">
          <a:extLst>
            <a:ext uri="{FF2B5EF4-FFF2-40B4-BE49-F238E27FC236}"/>
          </a:extLst>
        </xdr:cNvPr>
        <xdr:cNvSpPr/>
      </xdr:nvSpPr>
      <xdr:spPr>
        <a:xfrm>
          <a:off x="6088207" y="4078432"/>
          <a:ext cx="142876" cy="406525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76200</xdr:colOff>
      <xdr:row>19</xdr:row>
      <xdr:rowOff>133350</xdr:rowOff>
    </xdr:from>
    <xdr:ext cx="142875" cy="390525"/>
    <xdr:sp macro="" textlink="">
      <xdr:nvSpPr>
        <xdr:cNvPr id="1303" name="Arrow: Up 256">
          <a:extLst>
            <a:ext uri="{FF2B5EF4-FFF2-40B4-BE49-F238E27FC236}"/>
          </a:extLst>
        </xdr:cNvPr>
        <xdr:cNvSpPr/>
      </xdr:nvSpPr>
      <xdr:spPr>
        <a:xfrm>
          <a:off x="8830541" y="40468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123825</xdr:colOff>
      <xdr:row>19</xdr:row>
      <xdr:rowOff>161925</xdr:rowOff>
    </xdr:from>
    <xdr:ext cx="142875" cy="390525"/>
    <xdr:sp macro="" textlink="">
      <xdr:nvSpPr>
        <xdr:cNvPr id="1304" name="Arrow: Up 237">
          <a:extLst>
            <a:ext uri="{FF2B5EF4-FFF2-40B4-BE49-F238E27FC236}"/>
          </a:extLst>
        </xdr:cNvPr>
        <xdr:cNvSpPr/>
      </xdr:nvSpPr>
      <xdr:spPr>
        <a:xfrm>
          <a:off x="10769311" y="4067607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66675</xdr:colOff>
      <xdr:row>19</xdr:row>
      <xdr:rowOff>171450</xdr:rowOff>
    </xdr:from>
    <xdr:ext cx="142875" cy="381000"/>
    <xdr:sp macro="" textlink="">
      <xdr:nvSpPr>
        <xdr:cNvPr id="1305" name="Arrow: Up 237">
          <a:extLst>
            <a:ext uri="{FF2B5EF4-FFF2-40B4-BE49-F238E27FC236}"/>
          </a:extLst>
        </xdr:cNvPr>
        <xdr:cNvSpPr/>
      </xdr:nvSpPr>
      <xdr:spPr>
        <a:xfrm>
          <a:off x="11810568" y="4078431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104775</xdr:colOff>
      <xdr:row>19</xdr:row>
      <xdr:rowOff>171450</xdr:rowOff>
    </xdr:from>
    <xdr:ext cx="142875" cy="381000"/>
    <xdr:sp macro="" textlink="">
      <xdr:nvSpPr>
        <xdr:cNvPr id="1306" name="Arrow: Up 256">
          <a:extLst>
            <a:ext uri="{FF2B5EF4-FFF2-40B4-BE49-F238E27FC236}"/>
          </a:extLst>
        </xdr:cNvPr>
        <xdr:cNvSpPr/>
      </xdr:nvSpPr>
      <xdr:spPr>
        <a:xfrm>
          <a:off x="12728863" y="40784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95250</xdr:colOff>
      <xdr:row>27</xdr:row>
      <xdr:rowOff>161925</xdr:rowOff>
    </xdr:from>
    <xdr:ext cx="142875" cy="400050"/>
    <xdr:sp macro="" textlink="">
      <xdr:nvSpPr>
        <xdr:cNvPr id="1307" name="Arrow: Up 239">
          <a:extLst>
            <a:ext uri="{FF2B5EF4-FFF2-40B4-BE49-F238E27FC236}"/>
          </a:extLst>
        </xdr:cNvPr>
        <xdr:cNvSpPr/>
      </xdr:nvSpPr>
      <xdr:spPr>
        <a:xfrm>
          <a:off x="2173865" y="5591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0</xdr:colOff>
      <xdr:row>28</xdr:row>
      <xdr:rowOff>0</xdr:rowOff>
    </xdr:from>
    <xdr:ext cx="161925" cy="400050"/>
    <xdr:sp macro="" textlink="">
      <xdr:nvSpPr>
        <xdr:cNvPr id="1308" name="Arrow: Up 256">
          <a:extLst>
            <a:ext uri="{FF2B5EF4-FFF2-40B4-BE49-F238E27FC236}"/>
          </a:extLst>
        </xdr:cNvPr>
        <xdr:cNvSpPr/>
      </xdr:nvSpPr>
      <xdr:spPr>
        <a:xfrm>
          <a:off x="3076575" y="5619750"/>
          <a:ext cx="162622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161925</xdr:colOff>
      <xdr:row>28</xdr:row>
      <xdr:rowOff>0</xdr:rowOff>
    </xdr:from>
    <xdr:ext cx="142875" cy="400050"/>
    <xdr:sp macro="" textlink="">
      <xdr:nvSpPr>
        <xdr:cNvPr id="1309" name="Arrow: Up-Down 285">
          <a:extLst>
            <a:ext uri="{FF2B5EF4-FFF2-40B4-BE49-F238E27FC236}"/>
          </a:extLst>
        </xdr:cNvPr>
        <xdr:cNvSpPr/>
      </xdr:nvSpPr>
      <xdr:spPr>
        <a:xfrm>
          <a:off x="3238933" y="5619750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304800</xdr:colOff>
      <xdr:row>28</xdr:row>
      <xdr:rowOff>0</xdr:rowOff>
    </xdr:from>
    <xdr:ext cx="142875" cy="400050"/>
    <xdr:sp macro="" textlink="">
      <xdr:nvSpPr>
        <xdr:cNvPr id="1310" name="Arrow: Up-Down 285">
          <a:extLst>
            <a:ext uri="{FF2B5EF4-FFF2-40B4-BE49-F238E27FC236}"/>
          </a:extLst>
        </xdr:cNvPr>
        <xdr:cNvSpPr/>
      </xdr:nvSpPr>
      <xdr:spPr>
        <a:xfrm>
          <a:off x="3390467" y="5619750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66675</xdr:colOff>
      <xdr:row>27</xdr:row>
      <xdr:rowOff>161925</xdr:rowOff>
    </xdr:from>
    <xdr:ext cx="142875" cy="400050"/>
    <xdr:sp macro="" textlink="">
      <xdr:nvSpPr>
        <xdr:cNvPr id="1311" name="Arrow: Up 240">
          <a:extLst>
            <a:ext uri="{FF2B5EF4-FFF2-40B4-BE49-F238E27FC236}"/>
          </a:extLst>
        </xdr:cNvPr>
        <xdr:cNvSpPr/>
      </xdr:nvSpPr>
      <xdr:spPr>
        <a:xfrm>
          <a:off x="5124017" y="5591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9525</xdr:colOff>
      <xdr:row>27</xdr:row>
      <xdr:rowOff>152400</xdr:rowOff>
    </xdr:from>
    <xdr:ext cx="142875" cy="400050"/>
    <xdr:sp macro="" textlink="">
      <xdr:nvSpPr>
        <xdr:cNvPr id="1312" name="Arrow: Up 240">
          <a:extLst>
            <a:ext uri="{FF2B5EF4-FFF2-40B4-BE49-F238E27FC236}"/>
          </a:extLst>
        </xdr:cNvPr>
        <xdr:cNvSpPr/>
      </xdr:nvSpPr>
      <xdr:spPr>
        <a:xfrm>
          <a:off x="5931693" y="559031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104775</xdr:colOff>
      <xdr:row>27</xdr:row>
      <xdr:rowOff>142875</xdr:rowOff>
    </xdr:from>
    <xdr:ext cx="142875" cy="400050"/>
    <xdr:sp macro="" textlink="">
      <xdr:nvSpPr>
        <xdr:cNvPr id="1313" name="Arrow: Up 256">
          <a:extLst>
            <a:ext uri="{FF2B5EF4-FFF2-40B4-BE49-F238E27FC236}"/>
          </a:extLst>
        </xdr:cNvPr>
        <xdr:cNvSpPr/>
      </xdr:nvSpPr>
      <xdr:spPr>
        <a:xfrm>
          <a:off x="8861714" y="558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47625</xdr:colOff>
      <xdr:row>27</xdr:row>
      <xdr:rowOff>161925</xdr:rowOff>
    </xdr:from>
    <xdr:ext cx="142875" cy="400050"/>
    <xdr:sp macro="" textlink="">
      <xdr:nvSpPr>
        <xdr:cNvPr id="1314" name="Arrow: Up 241">
          <a:extLst>
            <a:ext uri="{FF2B5EF4-FFF2-40B4-BE49-F238E27FC236}"/>
          </a:extLst>
        </xdr:cNvPr>
        <xdr:cNvSpPr/>
      </xdr:nvSpPr>
      <xdr:spPr>
        <a:xfrm>
          <a:off x="11788919" y="5591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66675</xdr:colOff>
      <xdr:row>27</xdr:row>
      <xdr:rowOff>142875</xdr:rowOff>
    </xdr:from>
    <xdr:ext cx="142875" cy="400050"/>
    <xdr:sp macro="" textlink="">
      <xdr:nvSpPr>
        <xdr:cNvPr id="1315" name="Arrow: Up 256">
          <a:extLst>
            <a:ext uri="{FF2B5EF4-FFF2-40B4-BE49-F238E27FC236}"/>
          </a:extLst>
        </xdr:cNvPr>
        <xdr:cNvSpPr/>
      </xdr:nvSpPr>
      <xdr:spPr>
        <a:xfrm>
          <a:off x="12696392" y="55807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0</xdr:col>
      <xdr:colOff>85725</xdr:colOff>
      <xdr:row>35</xdr:row>
      <xdr:rowOff>123825</xdr:rowOff>
    </xdr:from>
    <xdr:ext cx="142875" cy="390525"/>
    <xdr:sp macro="" textlink="">
      <xdr:nvSpPr>
        <xdr:cNvPr id="1316" name="Arrow: Up 241">
          <a:extLst>
            <a:ext uri="{FF2B5EF4-FFF2-40B4-BE49-F238E27FC236}"/>
          </a:extLst>
        </xdr:cNvPr>
        <xdr:cNvSpPr/>
      </xdr:nvSpPr>
      <xdr:spPr>
        <a:xfrm>
          <a:off x="86591" y="7083136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123825</xdr:colOff>
      <xdr:row>35</xdr:row>
      <xdr:rowOff>133350</xdr:rowOff>
    </xdr:from>
    <xdr:ext cx="142875" cy="390525"/>
    <xdr:sp macro="" textlink="">
      <xdr:nvSpPr>
        <xdr:cNvPr id="1317" name="Arrow: Up 241">
          <a:extLst>
            <a:ext uri="{FF2B5EF4-FFF2-40B4-BE49-F238E27FC236}"/>
          </a:extLst>
        </xdr:cNvPr>
        <xdr:cNvSpPr/>
      </xdr:nvSpPr>
      <xdr:spPr>
        <a:xfrm>
          <a:off x="1272887" y="7093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95250</xdr:colOff>
      <xdr:row>35</xdr:row>
      <xdr:rowOff>142875</xdr:rowOff>
    </xdr:from>
    <xdr:ext cx="142875" cy="390525"/>
    <xdr:sp macro="" textlink="">
      <xdr:nvSpPr>
        <xdr:cNvPr id="1318" name="Arrow: Up 256">
          <a:extLst>
            <a:ext uri="{FF2B5EF4-FFF2-40B4-BE49-F238E27FC236}"/>
          </a:extLst>
        </xdr:cNvPr>
        <xdr:cNvSpPr/>
      </xdr:nvSpPr>
      <xdr:spPr>
        <a:xfrm>
          <a:off x="2173864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9525</xdr:colOff>
      <xdr:row>35</xdr:row>
      <xdr:rowOff>142875</xdr:rowOff>
    </xdr:from>
    <xdr:ext cx="142875" cy="390525"/>
    <xdr:sp macro="" textlink="">
      <xdr:nvSpPr>
        <xdr:cNvPr id="1319" name="Arrow: Up 256">
          <a:extLst>
            <a:ext uri="{FF2B5EF4-FFF2-40B4-BE49-F238E27FC236}"/>
          </a:extLst>
        </xdr:cNvPr>
        <xdr:cNvSpPr/>
      </xdr:nvSpPr>
      <xdr:spPr>
        <a:xfrm>
          <a:off x="415419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171450</xdr:colOff>
      <xdr:row>35</xdr:row>
      <xdr:rowOff>171450</xdr:rowOff>
    </xdr:from>
    <xdr:ext cx="142875" cy="381000"/>
    <xdr:sp macro="" textlink="">
      <xdr:nvSpPr>
        <xdr:cNvPr id="1320" name="Arrow: Up 256">
          <a:extLst>
            <a:ext uri="{FF2B5EF4-FFF2-40B4-BE49-F238E27FC236}"/>
          </a:extLst>
        </xdr:cNvPr>
        <xdr:cNvSpPr/>
      </xdr:nvSpPr>
      <xdr:spPr>
        <a:xfrm>
          <a:off x="4316556" y="7126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114300</xdr:colOff>
      <xdr:row>35</xdr:row>
      <xdr:rowOff>142875</xdr:rowOff>
    </xdr:from>
    <xdr:ext cx="142875" cy="390525"/>
    <xdr:sp macro="" textlink="">
      <xdr:nvSpPr>
        <xdr:cNvPr id="1321" name="Arrow: Up 243">
          <a:extLst>
            <a:ext uri="{FF2B5EF4-FFF2-40B4-BE49-F238E27FC236}"/>
          </a:extLst>
        </xdr:cNvPr>
        <xdr:cNvSpPr/>
      </xdr:nvSpPr>
      <xdr:spPr>
        <a:xfrm>
          <a:off x="6034088" y="7104784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0</xdr:colOff>
      <xdr:row>36</xdr:row>
      <xdr:rowOff>0</xdr:rowOff>
    </xdr:from>
    <xdr:ext cx="142875" cy="390525"/>
    <xdr:sp macro="" textlink="">
      <xdr:nvSpPr>
        <xdr:cNvPr id="1322" name="Arrow: Up 256">
          <a:extLst>
            <a:ext uri="{FF2B5EF4-FFF2-40B4-BE49-F238E27FC236}"/>
          </a:extLst>
        </xdr:cNvPr>
        <xdr:cNvSpPr/>
      </xdr:nvSpPr>
      <xdr:spPr>
        <a:xfrm>
          <a:off x="7705725" y="7143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142875</xdr:colOff>
      <xdr:row>35</xdr:row>
      <xdr:rowOff>180975</xdr:rowOff>
    </xdr:from>
    <xdr:ext cx="142875" cy="381000"/>
    <xdr:sp macro="" textlink="">
      <xdr:nvSpPr>
        <xdr:cNvPr id="1323" name="Arrow: Up 243">
          <a:extLst>
            <a:ext uri="{FF2B5EF4-FFF2-40B4-BE49-F238E27FC236}"/>
          </a:extLst>
        </xdr:cNvPr>
        <xdr:cNvSpPr/>
      </xdr:nvSpPr>
      <xdr:spPr>
        <a:xfrm>
          <a:off x="7857259" y="7137256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304800</xdr:colOff>
      <xdr:row>36</xdr:row>
      <xdr:rowOff>9525</xdr:rowOff>
    </xdr:from>
    <xdr:ext cx="142875" cy="390525"/>
    <xdr:sp macro="" textlink="">
      <xdr:nvSpPr>
        <xdr:cNvPr id="1324" name="Arrow: Up-Down 285">
          <a:extLst>
            <a:ext uri="{FF2B5EF4-FFF2-40B4-BE49-F238E27FC236}"/>
          </a:extLst>
        </xdr:cNvPr>
        <xdr:cNvSpPr/>
      </xdr:nvSpPr>
      <xdr:spPr>
        <a:xfrm>
          <a:off x="8019617" y="7154574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9525</xdr:colOff>
      <xdr:row>35</xdr:row>
      <xdr:rowOff>142875</xdr:rowOff>
    </xdr:from>
    <xdr:ext cx="142875" cy="390525"/>
    <xdr:sp macro="" textlink="">
      <xdr:nvSpPr>
        <xdr:cNvPr id="1325" name="Arrow: Up 256">
          <a:extLst>
            <a:ext uri="{FF2B5EF4-FFF2-40B4-BE49-F238E27FC236}"/>
          </a:extLst>
        </xdr:cNvPr>
        <xdr:cNvSpPr/>
      </xdr:nvSpPr>
      <xdr:spPr>
        <a:xfrm>
          <a:off x="9728705" y="71013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123825</xdr:colOff>
      <xdr:row>35</xdr:row>
      <xdr:rowOff>142875</xdr:rowOff>
    </xdr:from>
    <xdr:ext cx="142875" cy="390525"/>
    <xdr:sp macro="" textlink="">
      <xdr:nvSpPr>
        <xdr:cNvPr id="1326" name="Arrow: Up 244">
          <a:extLst>
            <a:ext uri="{FF2B5EF4-FFF2-40B4-BE49-F238E27FC236}"/>
          </a:extLst>
        </xdr:cNvPr>
        <xdr:cNvSpPr/>
      </xdr:nvSpPr>
      <xdr:spPr>
        <a:xfrm>
          <a:off x="10769312" y="7104784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47625</xdr:colOff>
      <xdr:row>35</xdr:row>
      <xdr:rowOff>142875</xdr:rowOff>
    </xdr:from>
    <xdr:ext cx="142875" cy="390525"/>
    <xdr:sp macro="" textlink="">
      <xdr:nvSpPr>
        <xdr:cNvPr id="1327" name="Arrow: Up 256">
          <a:extLst>
            <a:ext uri="{FF2B5EF4-FFF2-40B4-BE49-F238E27FC236}"/>
          </a:extLst>
        </xdr:cNvPr>
        <xdr:cNvSpPr/>
      </xdr:nvSpPr>
      <xdr:spPr>
        <a:xfrm>
          <a:off x="1178891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114300</xdr:colOff>
      <xdr:row>35</xdr:row>
      <xdr:rowOff>142875</xdr:rowOff>
    </xdr:from>
    <xdr:ext cx="142875" cy="390525"/>
    <xdr:sp macro="" textlink="">
      <xdr:nvSpPr>
        <xdr:cNvPr id="1328" name="Arrow: Up 256">
          <a:extLst>
            <a:ext uri="{FF2B5EF4-FFF2-40B4-BE49-F238E27FC236}"/>
          </a:extLst>
        </xdr:cNvPr>
        <xdr:cNvSpPr/>
      </xdr:nvSpPr>
      <xdr:spPr>
        <a:xfrm>
          <a:off x="12739688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114300</xdr:colOff>
      <xdr:row>43</xdr:row>
      <xdr:rowOff>161925</xdr:rowOff>
    </xdr:from>
    <xdr:ext cx="142875" cy="390525"/>
    <xdr:sp macro="" textlink="">
      <xdr:nvSpPr>
        <xdr:cNvPr id="1329" name="Arrow: Up 243">
          <a:extLst>
            <a:ext uri="{FF2B5EF4-FFF2-40B4-BE49-F238E27FC236}"/>
          </a:extLst>
        </xdr:cNvPr>
        <xdr:cNvSpPr/>
      </xdr:nvSpPr>
      <xdr:spPr>
        <a:xfrm>
          <a:off x="1262062" y="8639607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85725</xdr:colOff>
      <xdr:row>43</xdr:row>
      <xdr:rowOff>142875</xdr:rowOff>
    </xdr:from>
    <xdr:ext cx="142875" cy="390525"/>
    <xdr:sp macro="" textlink="">
      <xdr:nvSpPr>
        <xdr:cNvPr id="1330" name="Arrow: Up 243">
          <a:extLst>
            <a:ext uri="{FF2B5EF4-FFF2-40B4-BE49-F238E27FC236}"/>
          </a:extLst>
        </xdr:cNvPr>
        <xdr:cNvSpPr/>
      </xdr:nvSpPr>
      <xdr:spPr>
        <a:xfrm>
          <a:off x="5134841" y="8628784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28575</xdr:colOff>
      <xdr:row>51</xdr:row>
      <xdr:rowOff>142875</xdr:rowOff>
    </xdr:from>
    <xdr:ext cx="142875" cy="400050"/>
    <xdr:sp macro="" textlink="">
      <xdr:nvSpPr>
        <xdr:cNvPr id="1331" name="Arrow: Up 252">
          <a:extLst>
            <a:ext uri="{FF2B5EF4-FFF2-40B4-BE49-F238E27FC236}"/>
          </a:extLst>
        </xdr:cNvPr>
        <xdr:cNvSpPr/>
      </xdr:nvSpPr>
      <xdr:spPr>
        <a:xfrm>
          <a:off x="5080722" y="10152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180975</xdr:colOff>
      <xdr:row>51</xdr:row>
      <xdr:rowOff>142875</xdr:rowOff>
    </xdr:from>
    <xdr:ext cx="142875" cy="400050"/>
    <xdr:sp macro="" textlink="">
      <xdr:nvSpPr>
        <xdr:cNvPr id="1332" name="Arrow: Up 252">
          <a:extLst>
            <a:ext uri="{FF2B5EF4-FFF2-40B4-BE49-F238E27FC236}"/>
          </a:extLst>
        </xdr:cNvPr>
        <xdr:cNvSpPr/>
      </xdr:nvSpPr>
      <xdr:spPr>
        <a:xfrm>
          <a:off x="5232255" y="10152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47625</xdr:colOff>
      <xdr:row>51</xdr:row>
      <xdr:rowOff>171450</xdr:rowOff>
    </xdr:from>
    <xdr:ext cx="142875" cy="390525"/>
    <xdr:sp macro="" textlink="">
      <xdr:nvSpPr>
        <xdr:cNvPr id="1333" name="Arrow: Up-Down 285">
          <a:extLst>
            <a:ext uri="{FF2B5EF4-FFF2-40B4-BE49-F238E27FC236}"/>
          </a:extLst>
        </xdr:cNvPr>
        <xdr:cNvSpPr/>
      </xdr:nvSpPr>
      <xdr:spPr>
        <a:xfrm>
          <a:off x="7759844" y="10174432"/>
          <a:ext cx="142876" cy="40652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238125</xdr:colOff>
      <xdr:row>51</xdr:row>
      <xdr:rowOff>180975</xdr:rowOff>
    </xdr:from>
    <xdr:ext cx="142875" cy="390525"/>
    <xdr:sp macro="" textlink="">
      <xdr:nvSpPr>
        <xdr:cNvPr id="1334" name="Arrow: Up-Down 285">
          <a:extLst>
            <a:ext uri="{FF2B5EF4-FFF2-40B4-BE49-F238E27FC236}"/>
          </a:extLst>
        </xdr:cNvPr>
        <xdr:cNvSpPr/>
      </xdr:nvSpPr>
      <xdr:spPr>
        <a:xfrm>
          <a:off x="7943850" y="10185256"/>
          <a:ext cx="142876" cy="40652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28575</xdr:colOff>
      <xdr:row>51</xdr:row>
      <xdr:rowOff>171450</xdr:rowOff>
    </xdr:from>
    <xdr:ext cx="142875" cy="390525"/>
    <xdr:sp macro="" textlink="">
      <xdr:nvSpPr>
        <xdr:cNvPr id="1335" name="Arrow: Up 251">
          <a:extLst>
            <a:ext uri="{FF2B5EF4-FFF2-40B4-BE49-F238E27FC236}"/>
          </a:extLst>
        </xdr:cNvPr>
        <xdr:cNvSpPr/>
      </xdr:nvSpPr>
      <xdr:spPr>
        <a:xfrm>
          <a:off x="10671897" y="10174432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209550</xdr:colOff>
      <xdr:row>51</xdr:row>
      <xdr:rowOff>171450</xdr:rowOff>
    </xdr:from>
    <xdr:ext cx="142875" cy="390525"/>
    <xdr:sp macro="" textlink="">
      <xdr:nvSpPr>
        <xdr:cNvPr id="1336" name="Arrow: Up 247">
          <a:extLst>
            <a:ext uri="{FF2B5EF4-FFF2-40B4-BE49-F238E27FC236}"/>
          </a:extLst>
        </xdr:cNvPr>
        <xdr:cNvSpPr/>
      </xdr:nvSpPr>
      <xdr:spPr>
        <a:xfrm>
          <a:off x="10855903" y="10174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19050</xdr:colOff>
      <xdr:row>51</xdr:row>
      <xdr:rowOff>142875</xdr:rowOff>
    </xdr:from>
    <xdr:ext cx="142875" cy="400050"/>
    <xdr:sp macro="" textlink="">
      <xdr:nvSpPr>
        <xdr:cNvPr id="1337" name="Arrow: Up 247">
          <a:extLst>
            <a:ext uri="{FF2B5EF4-FFF2-40B4-BE49-F238E27FC236}"/>
          </a:extLst>
        </xdr:cNvPr>
        <xdr:cNvSpPr/>
      </xdr:nvSpPr>
      <xdr:spPr>
        <a:xfrm>
          <a:off x="11756448" y="10152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200025</xdr:colOff>
      <xdr:row>51</xdr:row>
      <xdr:rowOff>142875</xdr:rowOff>
    </xdr:from>
    <xdr:ext cx="142875" cy="400050"/>
    <xdr:sp macro="" textlink="">
      <xdr:nvSpPr>
        <xdr:cNvPr id="1338" name="Arrow: Up 251">
          <a:extLst>
            <a:ext uri="{FF2B5EF4-FFF2-40B4-BE49-F238E27FC236}"/>
          </a:extLst>
        </xdr:cNvPr>
        <xdr:cNvSpPr/>
      </xdr:nvSpPr>
      <xdr:spPr>
        <a:xfrm>
          <a:off x="11940453" y="10152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66675</xdr:colOff>
      <xdr:row>59</xdr:row>
      <xdr:rowOff>161925</xdr:rowOff>
    </xdr:from>
    <xdr:ext cx="142875" cy="390525"/>
    <xdr:sp macro="" textlink="">
      <xdr:nvSpPr>
        <xdr:cNvPr id="1339" name="Arrow: Up 251">
          <a:extLst>
            <a:ext uri="{FF2B5EF4-FFF2-40B4-BE49-F238E27FC236}"/>
          </a:extLst>
        </xdr:cNvPr>
        <xdr:cNvSpPr/>
      </xdr:nvSpPr>
      <xdr:spPr>
        <a:xfrm>
          <a:off x="1218767" y="11687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66675</xdr:colOff>
      <xdr:row>59</xdr:row>
      <xdr:rowOff>161925</xdr:rowOff>
    </xdr:from>
    <xdr:ext cx="142875" cy="390525"/>
    <xdr:sp macro="" textlink="">
      <xdr:nvSpPr>
        <xdr:cNvPr id="1340" name="Arrow: Up 251">
          <a:extLst>
            <a:ext uri="{FF2B5EF4-FFF2-40B4-BE49-F238E27FC236}"/>
          </a:extLst>
        </xdr:cNvPr>
        <xdr:cNvSpPr/>
      </xdr:nvSpPr>
      <xdr:spPr>
        <a:xfrm>
          <a:off x="6905192" y="11687607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133350</xdr:colOff>
      <xdr:row>59</xdr:row>
      <xdr:rowOff>161925</xdr:rowOff>
    </xdr:from>
    <xdr:ext cx="142875" cy="390525"/>
    <xdr:sp macro="" textlink="">
      <xdr:nvSpPr>
        <xdr:cNvPr id="1341" name="Arrow: Up 251">
          <a:extLst>
            <a:ext uri="{FF2B5EF4-FFF2-40B4-BE49-F238E27FC236}"/>
          </a:extLst>
        </xdr:cNvPr>
        <xdr:cNvSpPr/>
      </xdr:nvSpPr>
      <xdr:spPr>
        <a:xfrm>
          <a:off x="7846435" y="11687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95250</xdr:colOff>
      <xdr:row>59</xdr:row>
      <xdr:rowOff>171450</xdr:rowOff>
    </xdr:from>
    <xdr:ext cx="142875" cy="381000"/>
    <xdr:sp macro="" textlink="">
      <xdr:nvSpPr>
        <xdr:cNvPr id="1342" name="Arrow: Up 255">
          <a:extLst>
            <a:ext uri="{FF2B5EF4-FFF2-40B4-BE49-F238E27FC236}"/>
          </a:extLst>
        </xdr:cNvPr>
        <xdr:cNvSpPr/>
      </xdr:nvSpPr>
      <xdr:spPr>
        <a:xfrm>
          <a:off x="9812915" y="11698431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266700</xdr:colOff>
      <xdr:row>59</xdr:row>
      <xdr:rowOff>142875</xdr:rowOff>
    </xdr:from>
    <xdr:ext cx="142875" cy="390525"/>
    <xdr:sp macro="" textlink="">
      <xdr:nvSpPr>
        <xdr:cNvPr id="1343" name="Arrow: Up 247">
          <a:extLst>
            <a:ext uri="{FF2B5EF4-FFF2-40B4-BE49-F238E27FC236}"/>
          </a:extLst>
        </xdr:cNvPr>
        <xdr:cNvSpPr/>
      </xdr:nvSpPr>
      <xdr:spPr>
        <a:xfrm>
          <a:off x="10910021" y="11676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104775</xdr:colOff>
      <xdr:row>59</xdr:row>
      <xdr:rowOff>171450</xdr:rowOff>
    </xdr:from>
    <xdr:ext cx="142875" cy="381000"/>
    <xdr:sp macro="" textlink="">
      <xdr:nvSpPr>
        <xdr:cNvPr id="1344" name="Arrow: Up-Down 285">
          <a:extLst>
            <a:ext uri="{FF2B5EF4-FFF2-40B4-BE49-F238E27FC236}"/>
          </a:extLst>
        </xdr:cNvPr>
        <xdr:cNvSpPr/>
      </xdr:nvSpPr>
      <xdr:spPr>
        <a:xfrm>
          <a:off x="11843038" y="11698431"/>
          <a:ext cx="142876" cy="406525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219075</xdr:colOff>
      <xdr:row>60</xdr:row>
      <xdr:rowOff>0</xdr:rowOff>
    </xdr:from>
    <xdr:ext cx="142875" cy="390525"/>
    <xdr:sp macro="" textlink="">
      <xdr:nvSpPr>
        <xdr:cNvPr id="1345" name="Arrow: Up-Down 285">
          <a:extLst>
            <a:ext uri="{FF2B5EF4-FFF2-40B4-BE49-F238E27FC236}"/>
          </a:extLst>
        </xdr:cNvPr>
        <xdr:cNvSpPr/>
      </xdr:nvSpPr>
      <xdr:spPr>
        <a:xfrm>
          <a:off x="12847926" y="11715750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38100</xdr:colOff>
      <xdr:row>59</xdr:row>
      <xdr:rowOff>171450</xdr:rowOff>
    </xdr:from>
    <xdr:ext cx="142875" cy="381000"/>
    <xdr:sp macro="" textlink="">
      <xdr:nvSpPr>
        <xdr:cNvPr id="1346" name="Arrow: Up 257">
          <a:extLst>
            <a:ext uri="{FF2B5EF4-FFF2-40B4-BE49-F238E27FC236}"/>
          </a:extLst>
        </xdr:cNvPr>
        <xdr:cNvSpPr/>
      </xdr:nvSpPr>
      <xdr:spPr>
        <a:xfrm>
          <a:off x="12663921" y="11698431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42</xdr:col>
      <xdr:colOff>19050</xdr:colOff>
      <xdr:row>59</xdr:row>
      <xdr:rowOff>152400</xdr:rowOff>
    </xdr:from>
    <xdr:ext cx="161925" cy="381000"/>
    <xdr:sp macro="" textlink="">
      <xdr:nvSpPr>
        <xdr:cNvPr id="1347" name="Arrow: Up-Down 285">
          <a:extLst>
            <a:ext uri="{FF2B5EF4-FFF2-40B4-BE49-F238E27FC236}"/>
          </a:extLst>
        </xdr:cNvPr>
        <xdr:cNvSpPr/>
      </xdr:nvSpPr>
      <xdr:spPr>
        <a:xfrm>
          <a:off x="13729707" y="11686599"/>
          <a:ext cx="166182" cy="401879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104775</xdr:colOff>
      <xdr:row>67</xdr:row>
      <xdr:rowOff>171450</xdr:rowOff>
    </xdr:from>
    <xdr:ext cx="142875" cy="381000"/>
    <xdr:sp macro="" textlink="">
      <xdr:nvSpPr>
        <xdr:cNvPr id="1348" name="Arrow: Up-Down 285">
          <a:extLst>
            <a:ext uri="{FF2B5EF4-FFF2-40B4-BE49-F238E27FC236}"/>
          </a:extLst>
        </xdr:cNvPr>
        <xdr:cNvSpPr/>
      </xdr:nvSpPr>
      <xdr:spPr>
        <a:xfrm>
          <a:off x="1251238" y="13222432"/>
          <a:ext cx="142876" cy="40652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266700</xdr:colOff>
      <xdr:row>67</xdr:row>
      <xdr:rowOff>161925</xdr:rowOff>
    </xdr:from>
    <xdr:ext cx="142875" cy="390525"/>
    <xdr:sp macro="" textlink="">
      <xdr:nvSpPr>
        <xdr:cNvPr id="1349" name="Arrow: Up-Down 285">
          <a:extLst>
            <a:ext uri="{FF2B5EF4-FFF2-40B4-BE49-F238E27FC236}"/>
          </a:extLst>
        </xdr:cNvPr>
        <xdr:cNvSpPr/>
      </xdr:nvSpPr>
      <xdr:spPr>
        <a:xfrm>
          <a:off x="3347172" y="13211608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19050</xdr:colOff>
      <xdr:row>67</xdr:row>
      <xdr:rowOff>161925</xdr:rowOff>
    </xdr:from>
    <xdr:ext cx="142875" cy="390525"/>
    <xdr:sp macro="" textlink="">
      <xdr:nvSpPr>
        <xdr:cNvPr id="1350" name="Arrow: Up 268">
          <a:extLst>
            <a:ext uri="{FF2B5EF4-FFF2-40B4-BE49-F238E27FC236}"/>
          </a:extLst>
        </xdr:cNvPr>
        <xdr:cNvSpPr/>
      </xdr:nvSpPr>
      <xdr:spPr>
        <a:xfrm>
          <a:off x="9737148" y="13211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238125</xdr:colOff>
      <xdr:row>67</xdr:row>
      <xdr:rowOff>142875</xdr:rowOff>
    </xdr:from>
    <xdr:ext cx="142875" cy="390525"/>
    <xdr:sp macro="" textlink="">
      <xdr:nvSpPr>
        <xdr:cNvPr id="1351" name="Arrow: Up 269">
          <a:extLst>
            <a:ext uri="{FF2B5EF4-FFF2-40B4-BE49-F238E27FC236}"/>
          </a:extLst>
        </xdr:cNvPr>
        <xdr:cNvSpPr/>
      </xdr:nvSpPr>
      <xdr:spPr>
        <a:xfrm>
          <a:off x="10877550" y="13200785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57150</xdr:colOff>
      <xdr:row>67</xdr:row>
      <xdr:rowOff>142875</xdr:rowOff>
    </xdr:from>
    <xdr:ext cx="142875" cy="390525"/>
    <xdr:sp macro="" textlink="">
      <xdr:nvSpPr>
        <xdr:cNvPr id="1352" name="Arrow: Up 268">
          <a:extLst>
            <a:ext uri="{FF2B5EF4-FFF2-40B4-BE49-F238E27FC236}"/>
          </a:extLst>
        </xdr:cNvPr>
        <xdr:cNvSpPr/>
      </xdr:nvSpPr>
      <xdr:spPr>
        <a:xfrm>
          <a:off x="10704368" y="13200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200025</xdr:colOff>
      <xdr:row>75</xdr:row>
      <xdr:rowOff>142875</xdr:rowOff>
    </xdr:from>
    <xdr:ext cx="142875" cy="400050"/>
    <xdr:sp macro="" textlink="">
      <xdr:nvSpPr>
        <xdr:cNvPr id="1353" name="Arrow: Up 271">
          <a:extLst>
            <a:ext uri="{FF2B5EF4-FFF2-40B4-BE49-F238E27FC236}"/>
          </a:extLst>
        </xdr:cNvPr>
        <xdr:cNvSpPr/>
      </xdr:nvSpPr>
      <xdr:spPr>
        <a:xfrm>
          <a:off x="1348654" y="14724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28575</xdr:colOff>
      <xdr:row>75</xdr:row>
      <xdr:rowOff>133350</xdr:rowOff>
    </xdr:from>
    <xdr:ext cx="142875" cy="400050"/>
    <xdr:sp macro="" textlink="">
      <xdr:nvSpPr>
        <xdr:cNvPr id="1354" name="Arrow: Up 265">
          <a:extLst>
            <a:ext uri="{FF2B5EF4-FFF2-40B4-BE49-F238E27FC236}"/>
          </a:extLst>
        </xdr:cNvPr>
        <xdr:cNvSpPr/>
      </xdr:nvSpPr>
      <xdr:spPr>
        <a:xfrm>
          <a:off x="1175472" y="147139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0</xdr:colOff>
      <xdr:row>75</xdr:row>
      <xdr:rowOff>161925</xdr:rowOff>
    </xdr:from>
    <xdr:ext cx="142875" cy="400050"/>
    <xdr:sp macro="" textlink="">
      <xdr:nvSpPr>
        <xdr:cNvPr id="1355" name="Arrow: Up 265">
          <a:extLst>
            <a:ext uri="{FF2B5EF4-FFF2-40B4-BE49-F238E27FC236}"/>
          </a:extLst>
        </xdr:cNvPr>
        <xdr:cNvSpPr/>
      </xdr:nvSpPr>
      <xdr:spPr>
        <a:xfrm>
          <a:off x="2076450" y="14735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38100</xdr:colOff>
      <xdr:row>75</xdr:row>
      <xdr:rowOff>142875</xdr:rowOff>
    </xdr:from>
    <xdr:ext cx="142875" cy="400050"/>
    <xdr:sp macro="" textlink="">
      <xdr:nvSpPr>
        <xdr:cNvPr id="1356" name="Arrow: Up 265">
          <a:extLst>
            <a:ext uri="{FF2B5EF4-FFF2-40B4-BE49-F238E27FC236}"/>
          </a:extLst>
        </xdr:cNvPr>
        <xdr:cNvSpPr/>
      </xdr:nvSpPr>
      <xdr:spPr>
        <a:xfrm>
          <a:off x="3119870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95250</xdr:colOff>
      <xdr:row>75</xdr:row>
      <xdr:rowOff>161925</xdr:rowOff>
    </xdr:from>
    <xdr:ext cx="142875" cy="400050"/>
    <xdr:sp macro="" textlink="">
      <xdr:nvSpPr>
        <xdr:cNvPr id="1357" name="Arrow: Up 265">
          <a:extLst>
            <a:ext uri="{FF2B5EF4-FFF2-40B4-BE49-F238E27FC236}"/>
          </a:extLst>
        </xdr:cNvPr>
        <xdr:cNvSpPr/>
      </xdr:nvSpPr>
      <xdr:spPr>
        <a:xfrm>
          <a:off x="4240790" y="1473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9525</xdr:colOff>
      <xdr:row>75</xdr:row>
      <xdr:rowOff>142875</xdr:rowOff>
    </xdr:from>
    <xdr:ext cx="142875" cy="400050"/>
    <xdr:sp macro="" textlink="">
      <xdr:nvSpPr>
        <xdr:cNvPr id="1358" name="Arrow: Up 265">
          <a:extLst>
            <a:ext uri="{FF2B5EF4-FFF2-40B4-BE49-F238E27FC236}"/>
          </a:extLst>
        </xdr:cNvPr>
        <xdr:cNvSpPr/>
      </xdr:nvSpPr>
      <xdr:spPr>
        <a:xfrm>
          <a:off x="5059074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161925</xdr:colOff>
      <xdr:row>75</xdr:row>
      <xdr:rowOff>161925</xdr:rowOff>
    </xdr:from>
    <xdr:ext cx="142875" cy="400050"/>
    <xdr:sp macro="" textlink="">
      <xdr:nvSpPr>
        <xdr:cNvPr id="1359" name="Arrow: Up 262">
          <a:extLst>
            <a:ext uri="{FF2B5EF4-FFF2-40B4-BE49-F238E27FC236}"/>
          </a:extLst>
        </xdr:cNvPr>
        <xdr:cNvSpPr/>
      </xdr:nvSpPr>
      <xdr:spPr>
        <a:xfrm>
          <a:off x="5210608" y="14735609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19050</xdr:colOff>
      <xdr:row>75</xdr:row>
      <xdr:rowOff>180975</xdr:rowOff>
    </xdr:from>
    <xdr:ext cx="142875" cy="390525"/>
    <xdr:sp macro="" textlink="">
      <xdr:nvSpPr>
        <xdr:cNvPr id="1360" name="Arrow: Up 265">
          <a:extLst>
            <a:ext uri="{FF2B5EF4-FFF2-40B4-BE49-F238E27FC236}"/>
          </a:extLst>
        </xdr:cNvPr>
        <xdr:cNvSpPr/>
      </xdr:nvSpPr>
      <xdr:spPr>
        <a:xfrm>
          <a:off x="5936673" y="14757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47625</xdr:colOff>
      <xdr:row>75</xdr:row>
      <xdr:rowOff>142875</xdr:rowOff>
    </xdr:from>
    <xdr:ext cx="133350" cy="400050"/>
    <xdr:sp macro="" textlink="">
      <xdr:nvSpPr>
        <xdr:cNvPr id="1361" name="Arrow: Up 275">
          <a:extLst>
            <a:ext uri="{FF2B5EF4-FFF2-40B4-BE49-F238E27FC236}"/>
          </a:extLst>
        </xdr:cNvPr>
        <xdr:cNvSpPr/>
      </xdr:nvSpPr>
      <xdr:spPr>
        <a:xfrm>
          <a:off x="7759845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238125</xdr:colOff>
      <xdr:row>75</xdr:row>
      <xdr:rowOff>161925</xdr:rowOff>
    </xdr:from>
    <xdr:ext cx="142875" cy="400050"/>
    <xdr:sp macro="" textlink="">
      <xdr:nvSpPr>
        <xdr:cNvPr id="1362" name="Arrow: Up 262">
          <a:extLst>
            <a:ext uri="{FF2B5EF4-FFF2-40B4-BE49-F238E27FC236}"/>
          </a:extLst>
        </xdr:cNvPr>
        <xdr:cNvSpPr/>
      </xdr:nvSpPr>
      <xdr:spPr>
        <a:xfrm>
          <a:off x="7943850" y="14735607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209550</xdr:colOff>
      <xdr:row>75</xdr:row>
      <xdr:rowOff>142875</xdr:rowOff>
    </xdr:from>
    <xdr:ext cx="142875" cy="400050"/>
    <xdr:sp macro="" textlink="">
      <xdr:nvSpPr>
        <xdr:cNvPr id="1363" name="Arrow: Up 262">
          <a:extLst>
            <a:ext uri="{FF2B5EF4-FFF2-40B4-BE49-F238E27FC236}"/>
          </a:extLst>
        </xdr:cNvPr>
        <xdr:cNvSpPr/>
      </xdr:nvSpPr>
      <xdr:spPr>
        <a:xfrm>
          <a:off x="8969952" y="14724785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38100</xdr:colOff>
      <xdr:row>75</xdr:row>
      <xdr:rowOff>142875</xdr:rowOff>
    </xdr:from>
    <xdr:ext cx="133350" cy="400050"/>
    <xdr:sp macro="" textlink="">
      <xdr:nvSpPr>
        <xdr:cNvPr id="1364" name="Arrow: Up 275">
          <a:extLst>
            <a:ext uri="{FF2B5EF4-FFF2-40B4-BE49-F238E27FC236}"/>
          </a:extLst>
        </xdr:cNvPr>
        <xdr:cNvSpPr/>
      </xdr:nvSpPr>
      <xdr:spPr>
        <a:xfrm>
          <a:off x="8796771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9525</xdr:colOff>
      <xdr:row>75</xdr:row>
      <xdr:rowOff>161925</xdr:rowOff>
    </xdr:from>
    <xdr:ext cx="133350" cy="400050"/>
    <xdr:sp macro="" textlink="">
      <xdr:nvSpPr>
        <xdr:cNvPr id="1365" name="Arrow: Up 275">
          <a:extLst>
            <a:ext uri="{FF2B5EF4-FFF2-40B4-BE49-F238E27FC236}"/>
          </a:extLst>
        </xdr:cNvPr>
        <xdr:cNvSpPr/>
      </xdr:nvSpPr>
      <xdr:spPr>
        <a:xfrm>
          <a:off x="972632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161925</xdr:colOff>
      <xdr:row>75</xdr:row>
      <xdr:rowOff>161925</xdr:rowOff>
    </xdr:from>
    <xdr:ext cx="133350" cy="400050"/>
    <xdr:sp macro="" textlink="">
      <xdr:nvSpPr>
        <xdr:cNvPr id="1366" name="Arrow: Up 275">
          <a:extLst>
            <a:ext uri="{FF2B5EF4-FFF2-40B4-BE49-F238E27FC236}"/>
          </a:extLst>
        </xdr:cNvPr>
        <xdr:cNvSpPr/>
      </xdr:nvSpPr>
      <xdr:spPr>
        <a:xfrm>
          <a:off x="1080178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114300</xdr:colOff>
      <xdr:row>75</xdr:row>
      <xdr:rowOff>142875</xdr:rowOff>
    </xdr:from>
    <xdr:ext cx="133350" cy="400050"/>
    <xdr:sp macro="" textlink="">
      <xdr:nvSpPr>
        <xdr:cNvPr id="1367" name="Arrow: Up 275">
          <a:extLst>
            <a:ext uri="{FF2B5EF4-FFF2-40B4-BE49-F238E27FC236}"/>
          </a:extLst>
        </xdr:cNvPr>
        <xdr:cNvSpPr/>
      </xdr:nvSpPr>
      <xdr:spPr>
        <a:xfrm>
          <a:off x="11853862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0</xdr:col>
      <xdr:colOff>0</xdr:colOff>
      <xdr:row>84</xdr:row>
      <xdr:rowOff>0</xdr:rowOff>
    </xdr:from>
    <xdr:ext cx="133350" cy="390525"/>
    <xdr:sp macro="" textlink="">
      <xdr:nvSpPr>
        <xdr:cNvPr id="1368" name="Arrow: Up 275">
          <a:extLst>
            <a:ext uri="{FF2B5EF4-FFF2-40B4-BE49-F238E27FC236}"/>
          </a:extLst>
        </xdr:cNvPr>
        <xdr:cNvSpPr/>
      </xdr:nvSpPr>
      <xdr:spPr>
        <a:xfrm>
          <a:off x="0" y="16287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0</xdr:col>
      <xdr:colOff>161925</xdr:colOff>
      <xdr:row>84</xdr:row>
      <xdr:rowOff>0</xdr:rowOff>
    </xdr:from>
    <xdr:ext cx="142875" cy="390525"/>
    <xdr:sp macro="" textlink="">
      <xdr:nvSpPr>
        <xdr:cNvPr id="1369" name="Arrow: Up 279">
          <a:extLst>
            <a:ext uri="{FF2B5EF4-FFF2-40B4-BE49-F238E27FC236}"/>
          </a:extLst>
        </xdr:cNvPr>
        <xdr:cNvSpPr/>
      </xdr:nvSpPr>
      <xdr:spPr>
        <a:xfrm>
          <a:off x="162358" y="16287750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47625</xdr:colOff>
      <xdr:row>83</xdr:row>
      <xdr:rowOff>161925</xdr:rowOff>
    </xdr:from>
    <xdr:ext cx="133350" cy="381000"/>
    <xdr:sp macro="" textlink="">
      <xdr:nvSpPr>
        <xdr:cNvPr id="1370" name="Arrow: Up 275">
          <a:extLst>
            <a:ext uri="{FF2B5EF4-FFF2-40B4-BE49-F238E27FC236}"/>
          </a:extLst>
        </xdr:cNvPr>
        <xdr:cNvSpPr/>
      </xdr:nvSpPr>
      <xdr:spPr>
        <a:xfrm>
          <a:off x="1194304" y="162648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85725</xdr:colOff>
      <xdr:row>83</xdr:row>
      <xdr:rowOff>161925</xdr:rowOff>
    </xdr:from>
    <xdr:ext cx="142875" cy="390525"/>
    <xdr:sp macro="" textlink="">
      <xdr:nvSpPr>
        <xdr:cNvPr id="1371" name="Arrow: Up 279">
          <a:extLst>
            <a:ext uri="{FF2B5EF4-FFF2-40B4-BE49-F238E27FC236}"/>
          </a:extLst>
        </xdr:cNvPr>
        <xdr:cNvSpPr/>
      </xdr:nvSpPr>
      <xdr:spPr>
        <a:xfrm>
          <a:off x="2163040" y="16259608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95250</xdr:colOff>
      <xdr:row>83</xdr:row>
      <xdr:rowOff>142875</xdr:rowOff>
    </xdr:from>
    <xdr:ext cx="133350" cy="390525"/>
    <xdr:sp macro="" textlink="">
      <xdr:nvSpPr>
        <xdr:cNvPr id="1372" name="Arrow: Up 275">
          <a:extLst>
            <a:ext uri="{FF2B5EF4-FFF2-40B4-BE49-F238E27FC236}"/>
          </a:extLst>
        </xdr:cNvPr>
        <xdr:cNvSpPr/>
      </xdr:nvSpPr>
      <xdr:spPr>
        <a:xfrm>
          <a:off x="4240790" y="16248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114300</xdr:colOff>
      <xdr:row>84</xdr:row>
      <xdr:rowOff>0</xdr:rowOff>
    </xdr:from>
    <xdr:ext cx="142875" cy="390525"/>
    <xdr:sp macro="" textlink="">
      <xdr:nvSpPr>
        <xdr:cNvPr id="1373" name="Arrow: Up 281">
          <a:extLst>
            <a:ext uri="{FF2B5EF4-FFF2-40B4-BE49-F238E27FC236}"/>
          </a:extLst>
        </xdr:cNvPr>
        <xdr:cNvSpPr/>
      </xdr:nvSpPr>
      <xdr:spPr>
        <a:xfrm>
          <a:off x="6034088" y="16287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95250</xdr:colOff>
      <xdr:row>83</xdr:row>
      <xdr:rowOff>133350</xdr:rowOff>
    </xdr:from>
    <xdr:ext cx="142875" cy="390525"/>
    <xdr:sp macro="" textlink="">
      <xdr:nvSpPr>
        <xdr:cNvPr id="1374" name="Arrow: Up 284">
          <a:extLst>
            <a:ext uri="{FF2B5EF4-FFF2-40B4-BE49-F238E27FC236}"/>
          </a:extLst>
        </xdr:cNvPr>
        <xdr:cNvSpPr/>
      </xdr:nvSpPr>
      <xdr:spPr>
        <a:xfrm>
          <a:off x="8850890" y="16237961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133350</xdr:colOff>
      <xdr:row>83</xdr:row>
      <xdr:rowOff>133350</xdr:rowOff>
    </xdr:from>
    <xdr:ext cx="142875" cy="390525"/>
    <xdr:sp macro="" textlink="">
      <xdr:nvSpPr>
        <xdr:cNvPr id="1375" name="Arrow: Up 281">
          <a:extLst>
            <a:ext uri="{FF2B5EF4-FFF2-40B4-BE49-F238E27FC236}"/>
          </a:extLst>
        </xdr:cNvPr>
        <xdr:cNvSpPr/>
      </xdr:nvSpPr>
      <xdr:spPr>
        <a:xfrm>
          <a:off x="9856210" y="16237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95250</xdr:colOff>
      <xdr:row>83</xdr:row>
      <xdr:rowOff>161925</xdr:rowOff>
    </xdr:from>
    <xdr:ext cx="142875" cy="390525"/>
    <xdr:sp macro="" textlink="">
      <xdr:nvSpPr>
        <xdr:cNvPr id="1376" name="Arrow: Up 286">
          <a:extLst>
            <a:ext uri="{FF2B5EF4-FFF2-40B4-BE49-F238E27FC236}"/>
          </a:extLst>
        </xdr:cNvPr>
        <xdr:cNvSpPr/>
      </xdr:nvSpPr>
      <xdr:spPr>
        <a:xfrm>
          <a:off x="11832215" y="16259607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42</xdr:col>
      <xdr:colOff>66675</xdr:colOff>
      <xdr:row>83</xdr:row>
      <xdr:rowOff>133350</xdr:rowOff>
    </xdr:from>
    <xdr:ext cx="142875" cy="390525"/>
    <xdr:sp macro="" textlink="">
      <xdr:nvSpPr>
        <xdr:cNvPr id="1377" name="Arrow: Up 281">
          <a:extLst>
            <a:ext uri="{FF2B5EF4-FFF2-40B4-BE49-F238E27FC236}"/>
          </a:extLst>
        </xdr:cNvPr>
        <xdr:cNvSpPr/>
      </xdr:nvSpPr>
      <xdr:spPr>
        <a:xfrm>
          <a:off x="13776172" y="16237960"/>
          <a:ext cx="145780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95250</xdr:colOff>
      <xdr:row>91</xdr:row>
      <xdr:rowOff>171450</xdr:rowOff>
    </xdr:from>
    <xdr:ext cx="133350" cy="381000"/>
    <xdr:sp macro="" textlink="">
      <xdr:nvSpPr>
        <xdr:cNvPr id="1378" name="Arrow: Up 275">
          <a:extLst>
            <a:ext uri="{FF2B5EF4-FFF2-40B4-BE49-F238E27FC236}"/>
          </a:extLst>
        </xdr:cNvPr>
        <xdr:cNvSpPr/>
      </xdr:nvSpPr>
      <xdr:spPr>
        <a:xfrm>
          <a:off x="2173865" y="177944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161925</xdr:colOff>
      <xdr:row>91</xdr:row>
      <xdr:rowOff>171450</xdr:rowOff>
    </xdr:from>
    <xdr:ext cx="142875" cy="381000"/>
    <xdr:sp macro="" textlink="">
      <xdr:nvSpPr>
        <xdr:cNvPr id="1379" name="Arrow: Up 289">
          <a:extLst>
            <a:ext uri="{FF2B5EF4-FFF2-40B4-BE49-F238E27FC236}"/>
          </a:extLst>
        </xdr:cNvPr>
        <xdr:cNvSpPr/>
      </xdr:nvSpPr>
      <xdr:spPr>
        <a:xfrm>
          <a:off x="3238933" y="17794432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0</xdr:colOff>
      <xdr:row>92</xdr:row>
      <xdr:rowOff>0</xdr:rowOff>
    </xdr:from>
    <xdr:ext cx="133350" cy="390525"/>
    <xdr:sp macro="" textlink="">
      <xdr:nvSpPr>
        <xdr:cNvPr id="1380" name="Arrow: Up 275">
          <a:extLst>
            <a:ext uri="{FF2B5EF4-FFF2-40B4-BE49-F238E27FC236}"/>
          </a:extLst>
        </xdr:cNvPr>
        <xdr:cNvSpPr/>
      </xdr:nvSpPr>
      <xdr:spPr>
        <a:xfrm>
          <a:off x="4143375" y="17811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142875</xdr:colOff>
      <xdr:row>91</xdr:row>
      <xdr:rowOff>180975</xdr:rowOff>
    </xdr:from>
    <xdr:ext cx="142875" cy="381000"/>
    <xdr:sp macro="" textlink="">
      <xdr:nvSpPr>
        <xdr:cNvPr id="1381" name="Arrow: Up 289">
          <a:extLst>
            <a:ext uri="{FF2B5EF4-FFF2-40B4-BE49-F238E27FC236}"/>
          </a:extLst>
        </xdr:cNvPr>
        <xdr:cNvSpPr/>
      </xdr:nvSpPr>
      <xdr:spPr>
        <a:xfrm>
          <a:off x="4294909" y="17805256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42</xdr:col>
      <xdr:colOff>28575</xdr:colOff>
      <xdr:row>91</xdr:row>
      <xdr:rowOff>133350</xdr:rowOff>
    </xdr:from>
    <xdr:ext cx="142875" cy="390525"/>
    <xdr:sp macro="" textlink="">
      <xdr:nvSpPr>
        <xdr:cNvPr id="1382" name="Arrow: Up 292">
          <a:extLst>
            <a:ext uri="{FF2B5EF4-FFF2-40B4-BE49-F238E27FC236}"/>
          </a:extLst>
        </xdr:cNvPr>
        <xdr:cNvSpPr/>
      </xdr:nvSpPr>
      <xdr:spPr>
        <a:xfrm>
          <a:off x="13738947" y="1776064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42</xdr:col>
      <xdr:colOff>200025</xdr:colOff>
      <xdr:row>91</xdr:row>
      <xdr:rowOff>142875</xdr:rowOff>
    </xdr:from>
    <xdr:ext cx="152400" cy="381000"/>
    <xdr:sp macro="" textlink="">
      <xdr:nvSpPr>
        <xdr:cNvPr id="1383" name="Arrow: Up 295">
          <a:extLst>
            <a:ext uri="{FF2B5EF4-FFF2-40B4-BE49-F238E27FC236}"/>
          </a:extLst>
        </xdr:cNvPr>
        <xdr:cNvSpPr/>
      </xdr:nvSpPr>
      <xdr:spPr>
        <a:xfrm>
          <a:off x="13912129" y="17770409"/>
          <a:ext cx="154438" cy="402262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209550</xdr:colOff>
      <xdr:row>99</xdr:row>
      <xdr:rowOff>142875</xdr:rowOff>
    </xdr:from>
    <xdr:ext cx="142875" cy="390525"/>
    <xdr:sp macro="" textlink="">
      <xdr:nvSpPr>
        <xdr:cNvPr id="1384" name="Arrow: Up 296">
          <a:extLst>
            <a:ext uri="{FF2B5EF4-FFF2-40B4-BE49-F238E27FC236}"/>
          </a:extLst>
        </xdr:cNvPr>
        <xdr:cNvSpPr/>
      </xdr:nvSpPr>
      <xdr:spPr>
        <a:xfrm>
          <a:off x="1359477" y="19296785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133350</xdr:colOff>
      <xdr:row>99</xdr:row>
      <xdr:rowOff>161925</xdr:rowOff>
    </xdr:from>
    <xdr:ext cx="142875" cy="390525"/>
    <xdr:sp macro="" textlink="">
      <xdr:nvSpPr>
        <xdr:cNvPr id="1385" name="Arrow: Up 291">
          <a:extLst>
            <a:ext uri="{FF2B5EF4-FFF2-40B4-BE49-F238E27FC236}"/>
          </a:extLst>
        </xdr:cNvPr>
        <xdr:cNvSpPr/>
      </xdr:nvSpPr>
      <xdr:spPr>
        <a:xfrm>
          <a:off x="6055735" y="19307609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85725</xdr:colOff>
      <xdr:row>99</xdr:row>
      <xdr:rowOff>161925</xdr:rowOff>
    </xdr:from>
    <xdr:ext cx="142875" cy="390525"/>
    <xdr:sp macro="" textlink="">
      <xdr:nvSpPr>
        <xdr:cNvPr id="1386" name="Arrow: Up 310">
          <a:extLst>
            <a:ext uri="{FF2B5EF4-FFF2-40B4-BE49-F238E27FC236}"/>
          </a:extLst>
        </xdr:cNvPr>
        <xdr:cNvSpPr/>
      </xdr:nvSpPr>
      <xdr:spPr>
        <a:xfrm>
          <a:off x="11821391" y="19307609"/>
          <a:ext cx="142875" cy="411237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209550</xdr:colOff>
      <xdr:row>108</xdr:row>
      <xdr:rowOff>0</xdr:rowOff>
    </xdr:from>
    <xdr:ext cx="142875" cy="390525"/>
    <xdr:sp macro="" textlink="">
      <xdr:nvSpPr>
        <xdr:cNvPr id="1387" name="Arrow: Up 296">
          <a:extLst>
            <a:ext uri="{FF2B5EF4-FFF2-40B4-BE49-F238E27FC236}"/>
          </a:extLst>
        </xdr:cNvPr>
        <xdr:cNvSpPr/>
      </xdr:nvSpPr>
      <xdr:spPr>
        <a:xfrm>
          <a:off x="1359477" y="20859751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123825</xdr:colOff>
      <xdr:row>107</xdr:row>
      <xdr:rowOff>133350</xdr:rowOff>
    </xdr:from>
    <xdr:ext cx="142875" cy="390525"/>
    <xdr:sp macro="" textlink="">
      <xdr:nvSpPr>
        <xdr:cNvPr id="1388" name="Arrow: Up 296">
          <a:extLst>
            <a:ext uri="{FF2B5EF4-FFF2-40B4-BE49-F238E27FC236}"/>
          </a:extLst>
        </xdr:cNvPr>
        <xdr:cNvSpPr/>
      </xdr:nvSpPr>
      <xdr:spPr>
        <a:xfrm>
          <a:off x="2206336" y="20809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133350</xdr:colOff>
      <xdr:row>107</xdr:row>
      <xdr:rowOff>161925</xdr:rowOff>
    </xdr:from>
    <xdr:ext cx="142875" cy="390525"/>
    <xdr:sp macro="" textlink="">
      <xdr:nvSpPr>
        <xdr:cNvPr id="1389" name="Arrow: Up 296">
          <a:extLst>
            <a:ext uri="{FF2B5EF4-FFF2-40B4-BE49-F238E27FC236}"/>
          </a:extLst>
        </xdr:cNvPr>
        <xdr:cNvSpPr/>
      </xdr:nvSpPr>
      <xdr:spPr>
        <a:xfrm>
          <a:off x="3217285" y="20831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95250</xdr:colOff>
      <xdr:row>107</xdr:row>
      <xdr:rowOff>161925</xdr:rowOff>
    </xdr:from>
    <xdr:ext cx="142875" cy="390525"/>
    <xdr:sp macro="" textlink="">
      <xdr:nvSpPr>
        <xdr:cNvPr id="1390" name="Arrow: Up 313">
          <a:extLst>
            <a:ext uri="{FF2B5EF4-FFF2-40B4-BE49-F238E27FC236}"/>
          </a:extLst>
        </xdr:cNvPr>
        <xdr:cNvSpPr/>
      </xdr:nvSpPr>
      <xdr:spPr>
        <a:xfrm>
          <a:off x="4240790" y="20831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28575</xdr:colOff>
      <xdr:row>107</xdr:row>
      <xdr:rowOff>142875</xdr:rowOff>
    </xdr:from>
    <xdr:ext cx="142875" cy="390525"/>
    <xdr:sp macro="" textlink="">
      <xdr:nvSpPr>
        <xdr:cNvPr id="1391" name="Arrow: Up 313">
          <a:extLst>
            <a:ext uri="{FF2B5EF4-FFF2-40B4-BE49-F238E27FC236}"/>
          </a:extLst>
        </xdr:cNvPr>
        <xdr:cNvSpPr/>
      </xdr:nvSpPr>
      <xdr:spPr>
        <a:xfrm>
          <a:off x="6861897" y="2082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190500</xdr:colOff>
      <xdr:row>107</xdr:row>
      <xdr:rowOff>171450</xdr:rowOff>
    </xdr:from>
    <xdr:ext cx="142875" cy="381000"/>
    <xdr:sp macro="" textlink="">
      <xdr:nvSpPr>
        <xdr:cNvPr id="1392" name="Arrow: Up-Down 285">
          <a:extLst>
            <a:ext uri="{FF2B5EF4-FFF2-40B4-BE49-F238E27FC236}"/>
          </a:extLst>
        </xdr:cNvPr>
        <xdr:cNvSpPr/>
      </xdr:nvSpPr>
      <xdr:spPr>
        <a:xfrm>
          <a:off x="7024255" y="20842431"/>
          <a:ext cx="142876" cy="406525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171450</xdr:colOff>
      <xdr:row>107</xdr:row>
      <xdr:rowOff>142875</xdr:rowOff>
    </xdr:from>
    <xdr:ext cx="142875" cy="390525"/>
    <xdr:sp macro="" textlink="">
      <xdr:nvSpPr>
        <xdr:cNvPr id="1393" name="Arrow: Up 296">
          <a:extLst>
            <a:ext uri="{FF2B5EF4-FFF2-40B4-BE49-F238E27FC236}"/>
          </a:extLst>
        </xdr:cNvPr>
        <xdr:cNvSpPr/>
      </xdr:nvSpPr>
      <xdr:spPr>
        <a:xfrm>
          <a:off x="7878906" y="20820783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114300</xdr:colOff>
      <xdr:row>107</xdr:row>
      <xdr:rowOff>161925</xdr:rowOff>
    </xdr:from>
    <xdr:ext cx="142875" cy="390525"/>
    <xdr:sp macro="" textlink="">
      <xdr:nvSpPr>
        <xdr:cNvPr id="1394" name="Arrow: Up 296">
          <a:extLst>
            <a:ext uri="{FF2B5EF4-FFF2-40B4-BE49-F238E27FC236}"/>
          </a:extLst>
        </xdr:cNvPr>
        <xdr:cNvSpPr/>
      </xdr:nvSpPr>
      <xdr:spPr>
        <a:xfrm>
          <a:off x="10758488" y="20831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180975</xdr:colOff>
      <xdr:row>107</xdr:row>
      <xdr:rowOff>171450</xdr:rowOff>
    </xdr:from>
    <xdr:ext cx="142875" cy="381000"/>
    <xdr:sp macro="" textlink="">
      <xdr:nvSpPr>
        <xdr:cNvPr id="1395" name="Arrow: Up 296">
          <a:extLst>
            <a:ext uri="{FF2B5EF4-FFF2-40B4-BE49-F238E27FC236}"/>
          </a:extLst>
        </xdr:cNvPr>
        <xdr:cNvSpPr/>
      </xdr:nvSpPr>
      <xdr:spPr>
        <a:xfrm>
          <a:off x="11918806" y="20842431"/>
          <a:ext cx="142875" cy="406909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19050</xdr:colOff>
      <xdr:row>107</xdr:row>
      <xdr:rowOff>180975</xdr:rowOff>
    </xdr:from>
    <xdr:ext cx="142875" cy="381000"/>
    <xdr:sp macro="" textlink="">
      <xdr:nvSpPr>
        <xdr:cNvPr id="1396" name="Arrow: Up 313">
          <a:extLst>
            <a:ext uri="{FF2B5EF4-FFF2-40B4-BE49-F238E27FC236}"/>
          </a:extLst>
        </xdr:cNvPr>
        <xdr:cNvSpPr/>
      </xdr:nvSpPr>
      <xdr:spPr>
        <a:xfrm>
          <a:off x="11756448" y="20853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114300</xdr:colOff>
      <xdr:row>107</xdr:row>
      <xdr:rowOff>142875</xdr:rowOff>
    </xdr:from>
    <xdr:ext cx="142875" cy="390525"/>
    <xdr:sp macro="" textlink="">
      <xdr:nvSpPr>
        <xdr:cNvPr id="1397" name="Arrow: Up 296">
          <a:extLst>
            <a:ext uri="{FF2B5EF4-FFF2-40B4-BE49-F238E27FC236}"/>
          </a:extLst>
        </xdr:cNvPr>
        <xdr:cNvSpPr/>
      </xdr:nvSpPr>
      <xdr:spPr>
        <a:xfrm>
          <a:off x="12739688" y="20820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42</xdr:col>
      <xdr:colOff>104775</xdr:colOff>
      <xdr:row>107</xdr:row>
      <xdr:rowOff>161925</xdr:rowOff>
    </xdr:from>
    <xdr:ext cx="180975" cy="390525"/>
    <xdr:sp macro="" textlink="">
      <xdr:nvSpPr>
        <xdr:cNvPr id="1398" name="Arrow: Up 296">
          <a:extLst>
            <a:ext uri="{FF2B5EF4-FFF2-40B4-BE49-F238E27FC236}"/>
          </a:extLst>
        </xdr:cNvPr>
        <xdr:cNvSpPr/>
      </xdr:nvSpPr>
      <xdr:spPr>
        <a:xfrm>
          <a:off x="13815507" y="20831608"/>
          <a:ext cx="181365" cy="415884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104775</xdr:colOff>
      <xdr:row>115</xdr:row>
      <xdr:rowOff>161925</xdr:rowOff>
    </xdr:from>
    <xdr:ext cx="142875" cy="390525"/>
    <xdr:sp macro="" textlink="">
      <xdr:nvSpPr>
        <xdr:cNvPr id="1399" name="Arrow: Up 296">
          <a:extLst>
            <a:ext uri="{FF2B5EF4-FFF2-40B4-BE49-F238E27FC236}"/>
          </a:extLst>
        </xdr:cNvPr>
        <xdr:cNvSpPr/>
      </xdr:nvSpPr>
      <xdr:spPr>
        <a:xfrm>
          <a:off x="1251239" y="22355607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104775</xdr:colOff>
      <xdr:row>115</xdr:row>
      <xdr:rowOff>161925</xdr:rowOff>
    </xdr:from>
    <xdr:ext cx="142875" cy="390525"/>
    <xdr:sp macro="" textlink="">
      <xdr:nvSpPr>
        <xdr:cNvPr id="1400" name="Arrow: Up 296">
          <a:extLst>
            <a:ext uri="{FF2B5EF4-FFF2-40B4-BE49-F238E27FC236}"/>
          </a:extLst>
        </xdr:cNvPr>
        <xdr:cNvSpPr/>
      </xdr:nvSpPr>
      <xdr:spPr>
        <a:xfrm>
          <a:off x="2184688" y="22355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66675</xdr:colOff>
      <xdr:row>115</xdr:row>
      <xdr:rowOff>142875</xdr:rowOff>
    </xdr:from>
    <xdr:ext cx="142875" cy="390525"/>
    <xdr:sp macro="" textlink="">
      <xdr:nvSpPr>
        <xdr:cNvPr id="1401" name="Arrow: Up 296">
          <a:extLst>
            <a:ext uri="{FF2B5EF4-FFF2-40B4-BE49-F238E27FC236}"/>
          </a:extLst>
        </xdr:cNvPr>
        <xdr:cNvSpPr/>
      </xdr:nvSpPr>
      <xdr:spPr>
        <a:xfrm>
          <a:off x="3152342" y="22344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257175</xdr:colOff>
      <xdr:row>115</xdr:row>
      <xdr:rowOff>161925</xdr:rowOff>
    </xdr:from>
    <xdr:ext cx="142875" cy="390525"/>
    <xdr:sp macro="" textlink="">
      <xdr:nvSpPr>
        <xdr:cNvPr id="1402" name="Arrow: Up-Down 285">
          <a:extLst>
            <a:ext uri="{FF2B5EF4-FFF2-40B4-BE49-F238E27FC236}"/>
          </a:extLst>
        </xdr:cNvPr>
        <xdr:cNvSpPr/>
      </xdr:nvSpPr>
      <xdr:spPr>
        <a:xfrm>
          <a:off x="3336348" y="22355608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85725</xdr:colOff>
      <xdr:row>115</xdr:row>
      <xdr:rowOff>142875</xdr:rowOff>
    </xdr:from>
    <xdr:ext cx="142875" cy="390525"/>
    <xdr:sp macro="" textlink="">
      <xdr:nvSpPr>
        <xdr:cNvPr id="1403" name="Arrow: Up 296">
          <a:extLst>
            <a:ext uri="{FF2B5EF4-FFF2-40B4-BE49-F238E27FC236}"/>
          </a:extLst>
        </xdr:cNvPr>
        <xdr:cNvSpPr/>
      </xdr:nvSpPr>
      <xdr:spPr>
        <a:xfrm>
          <a:off x="4229966" y="22344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85725</xdr:colOff>
      <xdr:row>115</xdr:row>
      <xdr:rowOff>161925</xdr:rowOff>
    </xdr:from>
    <xdr:ext cx="142875" cy="390525"/>
    <xdr:sp macro="" textlink="">
      <xdr:nvSpPr>
        <xdr:cNvPr id="1404" name="Arrow: Up 296">
          <a:extLst>
            <a:ext uri="{FF2B5EF4-FFF2-40B4-BE49-F238E27FC236}"/>
          </a:extLst>
        </xdr:cNvPr>
        <xdr:cNvSpPr/>
      </xdr:nvSpPr>
      <xdr:spPr>
        <a:xfrm>
          <a:off x="5134841" y="22355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66675</xdr:colOff>
      <xdr:row>115</xdr:row>
      <xdr:rowOff>171450</xdr:rowOff>
    </xdr:from>
    <xdr:ext cx="142875" cy="381000"/>
    <xdr:sp macro="" textlink="">
      <xdr:nvSpPr>
        <xdr:cNvPr id="1405" name="Arrow: Up 296">
          <a:extLst>
            <a:ext uri="{FF2B5EF4-FFF2-40B4-BE49-F238E27FC236}"/>
          </a:extLst>
        </xdr:cNvPr>
        <xdr:cNvSpPr/>
      </xdr:nvSpPr>
      <xdr:spPr>
        <a:xfrm>
          <a:off x="6905192" y="22366432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104775</xdr:colOff>
      <xdr:row>115</xdr:row>
      <xdr:rowOff>142875</xdr:rowOff>
    </xdr:from>
    <xdr:ext cx="142875" cy="390525"/>
    <xdr:sp macro="" textlink="">
      <xdr:nvSpPr>
        <xdr:cNvPr id="1406" name="Arrow: Up 296">
          <a:extLst>
            <a:ext uri="{FF2B5EF4-FFF2-40B4-BE49-F238E27FC236}"/>
          </a:extLst>
        </xdr:cNvPr>
        <xdr:cNvSpPr/>
      </xdr:nvSpPr>
      <xdr:spPr>
        <a:xfrm>
          <a:off x="9823739" y="22344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114300</xdr:colOff>
      <xdr:row>115</xdr:row>
      <xdr:rowOff>161925</xdr:rowOff>
    </xdr:from>
    <xdr:ext cx="142875" cy="390525"/>
    <xdr:sp macro="" textlink="">
      <xdr:nvSpPr>
        <xdr:cNvPr id="1407" name="Arrow: Up 296">
          <a:extLst>
            <a:ext uri="{FF2B5EF4-FFF2-40B4-BE49-F238E27FC236}"/>
          </a:extLst>
        </xdr:cNvPr>
        <xdr:cNvSpPr/>
      </xdr:nvSpPr>
      <xdr:spPr>
        <a:xfrm>
          <a:off x="10758488" y="22355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104775</xdr:colOff>
      <xdr:row>115</xdr:row>
      <xdr:rowOff>171450</xdr:rowOff>
    </xdr:from>
    <xdr:ext cx="142875" cy="381000"/>
    <xdr:sp macro="" textlink="">
      <xdr:nvSpPr>
        <xdr:cNvPr id="1408" name="Arrow: Up 296">
          <a:extLst>
            <a:ext uri="{FF2B5EF4-FFF2-40B4-BE49-F238E27FC236}"/>
          </a:extLst>
        </xdr:cNvPr>
        <xdr:cNvSpPr/>
      </xdr:nvSpPr>
      <xdr:spPr>
        <a:xfrm>
          <a:off x="12728863" y="22366432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171450</xdr:colOff>
      <xdr:row>123</xdr:row>
      <xdr:rowOff>133350</xdr:rowOff>
    </xdr:from>
    <xdr:ext cx="142875" cy="390525"/>
    <xdr:sp macro="" textlink="">
      <xdr:nvSpPr>
        <xdr:cNvPr id="1409" name="Arrow: Up 296">
          <a:extLst>
            <a:ext uri="{FF2B5EF4-FFF2-40B4-BE49-F238E27FC236}"/>
          </a:extLst>
        </xdr:cNvPr>
        <xdr:cNvSpPr/>
      </xdr:nvSpPr>
      <xdr:spPr>
        <a:xfrm>
          <a:off x="3249756" y="23857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95250</xdr:colOff>
      <xdr:row>123</xdr:row>
      <xdr:rowOff>142875</xdr:rowOff>
    </xdr:from>
    <xdr:ext cx="142875" cy="390525"/>
    <xdr:sp macro="" textlink="">
      <xdr:nvSpPr>
        <xdr:cNvPr id="1410" name="Arrow: Up 296">
          <a:extLst>
            <a:ext uri="{FF2B5EF4-FFF2-40B4-BE49-F238E27FC236}"/>
          </a:extLst>
        </xdr:cNvPr>
        <xdr:cNvSpPr/>
      </xdr:nvSpPr>
      <xdr:spPr>
        <a:xfrm>
          <a:off x="5145665" y="23868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133350</xdr:colOff>
      <xdr:row>123</xdr:row>
      <xdr:rowOff>133350</xdr:rowOff>
    </xdr:from>
    <xdr:ext cx="142875" cy="390525"/>
    <xdr:sp macro="" textlink="">
      <xdr:nvSpPr>
        <xdr:cNvPr id="1411" name="Arrow: Up 296">
          <a:extLst>
            <a:ext uri="{FF2B5EF4-FFF2-40B4-BE49-F238E27FC236}"/>
          </a:extLst>
        </xdr:cNvPr>
        <xdr:cNvSpPr/>
      </xdr:nvSpPr>
      <xdr:spPr>
        <a:xfrm>
          <a:off x="10780135" y="23857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133350</xdr:colOff>
      <xdr:row>123</xdr:row>
      <xdr:rowOff>142875</xdr:rowOff>
    </xdr:from>
    <xdr:ext cx="142875" cy="390525"/>
    <xdr:sp macro="" textlink="">
      <xdr:nvSpPr>
        <xdr:cNvPr id="1412" name="Arrow: Up 296">
          <a:extLst>
            <a:ext uri="{FF2B5EF4-FFF2-40B4-BE49-F238E27FC236}"/>
          </a:extLst>
        </xdr:cNvPr>
        <xdr:cNvSpPr/>
      </xdr:nvSpPr>
      <xdr:spPr>
        <a:xfrm>
          <a:off x="12761335" y="23868783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114300</xdr:colOff>
      <xdr:row>131</xdr:row>
      <xdr:rowOff>161925</xdr:rowOff>
    </xdr:from>
    <xdr:ext cx="142875" cy="390525"/>
    <xdr:sp macro="" textlink="">
      <xdr:nvSpPr>
        <xdr:cNvPr id="1413" name="Arrow: Up 296">
          <a:extLst>
            <a:ext uri="{FF2B5EF4-FFF2-40B4-BE49-F238E27FC236}"/>
          </a:extLst>
        </xdr:cNvPr>
        <xdr:cNvSpPr/>
      </xdr:nvSpPr>
      <xdr:spPr>
        <a:xfrm>
          <a:off x="1262062" y="25403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133350</xdr:colOff>
      <xdr:row>131</xdr:row>
      <xdr:rowOff>180975</xdr:rowOff>
    </xdr:from>
    <xdr:ext cx="142875" cy="381000"/>
    <xdr:sp macro="" textlink="">
      <xdr:nvSpPr>
        <xdr:cNvPr id="1414" name="Arrow: Up 296">
          <a:extLst>
            <a:ext uri="{FF2B5EF4-FFF2-40B4-BE49-F238E27FC236}"/>
          </a:extLst>
        </xdr:cNvPr>
        <xdr:cNvSpPr/>
      </xdr:nvSpPr>
      <xdr:spPr>
        <a:xfrm>
          <a:off x="3217285" y="25425255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95250</xdr:colOff>
      <xdr:row>131</xdr:row>
      <xdr:rowOff>133350</xdr:rowOff>
    </xdr:from>
    <xdr:ext cx="142875" cy="390525"/>
    <xdr:sp macro="" textlink="">
      <xdr:nvSpPr>
        <xdr:cNvPr id="1415" name="Arrow: Up 296">
          <a:extLst>
            <a:ext uri="{FF2B5EF4-FFF2-40B4-BE49-F238E27FC236}"/>
          </a:extLst>
        </xdr:cNvPr>
        <xdr:cNvSpPr/>
      </xdr:nvSpPr>
      <xdr:spPr>
        <a:xfrm>
          <a:off x="5145665" y="25381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142875</xdr:colOff>
      <xdr:row>131</xdr:row>
      <xdr:rowOff>133350</xdr:rowOff>
    </xdr:from>
    <xdr:ext cx="142875" cy="390525"/>
    <xdr:sp macro="" textlink="">
      <xdr:nvSpPr>
        <xdr:cNvPr id="1416" name="Arrow: Up 296">
          <a:extLst>
            <a:ext uri="{FF2B5EF4-FFF2-40B4-BE49-F238E27FC236}"/>
          </a:extLst>
        </xdr:cNvPr>
        <xdr:cNvSpPr/>
      </xdr:nvSpPr>
      <xdr:spPr>
        <a:xfrm>
          <a:off x="6980960" y="25381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0</xdr:colOff>
      <xdr:row>131</xdr:row>
      <xdr:rowOff>133350</xdr:rowOff>
    </xdr:from>
    <xdr:ext cx="142875" cy="390525"/>
    <xdr:sp macro="" textlink="">
      <xdr:nvSpPr>
        <xdr:cNvPr id="1417" name="Arrow: Up 805">
          <a:extLst>
            <a:ext uri="{FF2B5EF4-FFF2-40B4-BE49-F238E27FC236}"/>
          </a:extLst>
        </xdr:cNvPr>
        <xdr:cNvSpPr/>
      </xdr:nvSpPr>
      <xdr:spPr>
        <a:xfrm>
          <a:off x="6829425" y="25381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28575</xdr:colOff>
      <xdr:row>131</xdr:row>
      <xdr:rowOff>161925</xdr:rowOff>
    </xdr:from>
    <xdr:ext cx="142875" cy="390525"/>
    <xdr:sp macro="" textlink="">
      <xdr:nvSpPr>
        <xdr:cNvPr id="1418" name="Arrow: Up 805">
          <a:extLst>
            <a:ext uri="{FF2B5EF4-FFF2-40B4-BE49-F238E27FC236}"/>
          </a:extLst>
        </xdr:cNvPr>
        <xdr:cNvSpPr/>
      </xdr:nvSpPr>
      <xdr:spPr>
        <a:xfrm>
          <a:off x="8785946" y="25403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238125</xdr:colOff>
      <xdr:row>131</xdr:row>
      <xdr:rowOff>142875</xdr:rowOff>
    </xdr:from>
    <xdr:ext cx="142875" cy="390525"/>
    <xdr:sp macro="" textlink="">
      <xdr:nvSpPr>
        <xdr:cNvPr id="1419" name="Arrow: Up 296">
          <a:extLst>
            <a:ext uri="{FF2B5EF4-FFF2-40B4-BE49-F238E27FC236}"/>
          </a:extLst>
        </xdr:cNvPr>
        <xdr:cNvSpPr/>
      </xdr:nvSpPr>
      <xdr:spPr>
        <a:xfrm>
          <a:off x="8991600" y="25392783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123825</xdr:colOff>
      <xdr:row>131</xdr:row>
      <xdr:rowOff>161925</xdr:rowOff>
    </xdr:from>
    <xdr:ext cx="142875" cy="390525"/>
    <xdr:sp macro="" textlink="">
      <xdr:nvSpPr>
        <xdr:cNvPr id="1420" name="Arrow: Up 296">
          <a:extLst>
            <a:ext uri="{FF2B5EF4-FFF2-40B4-BE49-F238E27FC236}"/>
          </a:extLst>
        </xdr:cNvPr>
        <xdr:cNvSpPr/>
      </xdr:nvSpPr>
      <xdr:spPr>
        <a:xfrm>
          <a:off x="9845386" y="25403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42</xdr:col>
      <xdr:colOff>133350</xdr:colOff>
      <xdr:row>131</xdr:row>
      <xdr:rowOff>180975</xdr:rowOff>
    </xdr:from>
    <xdr:ext cx="180975" cy="381000"/>
    <xdr:sp macro="" textlink="">
      <xdr:nvSpPr>
        <xdr:cNvPr id="1421" name="Arrow: Up 805">
          <a:extLst>
            <a:ext uri="{FF2B5EF4-FFF2-40B4-BE49-F238E27FC236}"/>
          </a:extLst>
        </xdr:cNvPr>
        <xdr:cNvSpPr/>
      </xdr:nvSpPr>
      <xdr:spPr>
        <a:xfrm>
          <a:off x="13847186" y="25426047"/>
          <a:ext cx="184533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9525</xdr:colOff>
      <xdr:row>139</xdr:row>
      <xdr:rowOff>161925</xdr:rowOff>
    </xdr:from>
    <xdr:ext cx="142875" cy="390525"/>
    <xdr:sp macro="" textlink="">
      <xdr:nvSpPr>
        <xdr:cNvPr id="1422" name="Arrow: Up 805">
          <a:extLst>
            <a:ext uri="{FF2B5EF4-FFF2-40B4-BE49-F238E27FC236}"/>
          </a:extLst>
        </xdr:cNvPr>
        <xdr:cNvSpPr/>
      </xdr:nvSpPr>
      <xdr:spPr>
        <a:xfrm>
          <a:off x="2087274" y="269276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190500</xdr:colOff>
      <xdr:row>139</xdr:row>
      <xdr:rowOff>161925</xdr:rowOff>
    </xdr:from>
    <xdr:ext cx="142875" cy="390525"/>
    <xdr:sp macro="" textlink="">
      <xdr:nvSpPr>
        <xdr:cNvPr id="1423" name="Arrow: Up 296">
          <a:extLst>
            <a:ext uri="{FF2B5EF4-FFF2-40B4-BE49-F238E27FC236}"/>
          </a:extLst>
        </xdr:cNvPr>
        <xdr:cNvSpPr/>
      </xdr:nvSpPr>
      <xdr:spPr>
        <a:xfrm>
          <a:off x="2271279" y="26927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28575</xdr:colOff>
      <xdr:row>139</xdr:row>
      <xdr:rowOff>123825</xdr:rowOff>
    </xdr:from>
    <xdr:ext cx="142875" cy="390525"/>
    <xdr:sp macro="" textlink="">
      <xdr:nvSpPr>
        <xdr:cNvPr id="1424" name="Arrow: Up 805">
          <a:extLst>
            <a:ext uri="{FF2B5EF4-FFF2-40B4-BE49-F238E27FC236}"/>
          </a:extLst>
        </xdr:cNvPr>
        <xdr:cNvSpPr/>
      </xdr:nvSpPr>
      <xdr:spPr>
        <a:xfrm>
          <a:off x="6861897" y="268951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200025</xdr:colOff>
      <xdr:row>139</xdr:row>
      <xdr:rowOff>114300</xdr:rowOff>
    </xdr:from>
    <xdr:ext cx="152400" cy="390525"/>
    <xdr:sp macro="" textlink="">
      <xdr:nvSpPr>
        <xdr:cNvPr id="1425" name="Arrow: Up 296">
          <a:extLst>
            <a:ext uri="{FF2B5EF4-FFF2-40B4-BE49-F238E27FC236}"/>
          </a:extLst>
        </xdr:cNvPr>
        <xdr:cNvSpPr/>
      </xdr:nvSpPr>
      <xdr:spPr>
        <a:xfrm>
          <a:off x="7035078" y="26884313"/>
          <a:ext cx="139411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123825</xdr:colOff>
      <xdr:row>139</xdr:row>
      <xdr:rowOff>142875</xdr:rowOff>
    </xdr:from>
    <xdr:ext cx="142875" cy="390525"/>
    <xdr:sp macro="" textlink="">
      <xdr:nvSpPr>
        <xdr:cNvPr id="1426" name="Arrow: Up 296">
          <a:extLst>
            <a:ext uri="{FF2B5EF4-FFF2-40B4-BE49-F238E27FC236}"/>
          </a:extLst>
        </xdr:cNvPr>
        <xdr:cNvSpPr/>
      </xdr:nvSpPr>
      <xdr:spPr>
        <a:xfrm>
          <a:off x="10769312" y="26916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95250</xdr:colOff>
      <xdr:row>139</xdr:row>
      <xdr:rowOff>133350</xdr:rowOff>
    </xdr:from>
    <xdr:ext cx="142875" cy="390525"/>
    <xdr:sp macro="" textlink="">
      <xdr:nvSpPr>
        <xdr:cNvPr id="1427" name="Arrow: Up 296">
          <a:extLst>
            <a:ext uri="{FF2B5EF4-FFF2-40B4-BE49-F238E27FC236}"/>
          </a:extLst>
        </xdr:cNvPr>
        <xdr:cNvSpPr/>
      </xdr:nvSpPr>
      <xdr:spPr>
        <a:xfrm>
          <a:off x="11832215" y="26905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171450</xdr:colOff>
      <xdr:row>139</xdr:row>
      <xdr:rowOff>161925</xdr:rowOff>
    </xdr:from>
    <xdr:ext cx="142875" cy="390525"/>
    <xdr:sp macro="" textlink="">
      <xdr:nvSpPr>
        <xdr:cNvPr id="1428" name="Arrow: Up 296">
          <a:extLst>
            <a:ext uri="{FF2B5EF4-FFF2-40B4-BE49-F238E27FC236}"/>
          </a:extLst>
        </xdr:cNvPr>
        <xdr:cNvSpPr/>
      </xdr:nvSpPr>
      <xdr:spPr>
        <a:xfrm>
          <a:off x="12793807" y="26927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42</xdr:col>
      <xdr:colOff>76200</xdr:colOff>
      <xdr:row>139</xdr:row>
      <xdr:rowOff>180975</xdr:rowOff>
    </xdr:from>
    <xdr:ext cx="142875" cy="381000"/>
    <xdr:sp macro="" textlink="">
      <xdr:nvSpPr>
        <xdr:cNvPr id="1429" name="Arrow: Up 913">
          <a:extLst>
            <a:ext uri="{FF2B5EF4-FFF2-40B4-BE49-F238E27FC236}"/>
          </a:extLst>
        </xdr:cNvPr>
        <xdr:cNvSpPr/>
      </xdr:nvSpPr>
      <xdr:spPr>
        <a:xfrm>
          <a:off x="13789900" y="2695004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85725</xdr:colOff>
      <xdr:row>147</xdr:row>
      <xdr:rowOff>142875</xdr:rowOff>
    </xdr:from>
    <xdr:ext cx="142875" cy="390525"/>
    <xdr:sp macro="" textlink="">
      <xdr:nvSpPr>
        <xdr:cNvPr id="1430" name="Arrow: Up 296">
          <a:extLst>
            <a:ext uri="{FF2B5EF4-FFF2-40B4-BE49-F238E27FC236}"/>
          </a:extLst>
        </xdr:cNvPr>
        <xdr:cNvSpPr/>
      </xdr:nvSpPr>
      <xdr:spPr>
        <a:xfrm>
          <a:off x="2163041" y="28440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47625</xdr:colOff>
      <xdr:row>147</xdr:row>
      <xdr:rowOff>161925</xdr:rowOff>
    </xdr:from>
    <xdr:ext cx="142875" cy="390525"/>
    <xdr:sp macro="" textlink="">
      <xdr:nvSpPr>
        <xdr:cNvPr id="1431" name="Arrow: Up 296">
          <a:extLst>
            <a:ext uri="{FF2B5EF4-FFF2-40B4-BE49-F238E27FC236}"/>
          </a:extLst>
        </xdr:cNvPr>
        <xdr:cNvSpPr/>
      </xdr:nvSpPr>
      <xdr:spPr>
        <a:xfrm>
          <a:off x="5969144" y="28451607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171450</xdr:colOff>
      <xdr:row>147</xdr:row>
      <xdr:rowOff>133350</xdr:rowOff>
    </xdr:from>
    <xdr:ext cx="142875" cy="390525"/>
    <xdr:sp macro="" textlink="">
      <xdr:nvSpPr>
        <xdr:cNvPr id="1432" name="Arrow: Up 296">
          <a:extLst>
            <a:ext uri="{FF2B5EF4-FFF2-40B4-BE49-F238E27FC236}"/>
          </a:extLst>
        </xdr:cNvPr>
        <xdr:cNvSpPr/>
      </xdr:nvSpPr>
      <xdr:spPr>
        <a:xfrm>
          <a:off x="8926657" y="28429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28575</xdr:colOff>
      <xdr:row>147</xdr:row>
      <xdr:rowOff>133350</xdr:rowOff>
    </xdr:from>
    <xdr:ext cx="142875" cy="390525"/>
    <xdr:sp macro="" textlink="">
      <xdr:nvSpPr>
        <xdr:cNvPr id="1433" name="Arrow: Up 296">
          <a:extLst>
            <a:ext uri="{FF2B5EF4-FFF2-40B4-BE49-F238E27FC236}"/>
          </a:extLst>
        </xdr:cNvPr>
        <xdr:cNvSpPr/>
      </xdr:nvSpPr>
      <xdr:spPr>
        <a:xfrm>
          <a:off x="9747972" y="28429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200025</xdr:colOff>
      <xdr:row>147</xdr:row>
      <xdr:rowOff>142875</xdr:rowOff>
    </xdr:from>
    <xdr:ext cx="142875" cy="390525"/>
    <xdr:sp macro="" textlink="">
      <xdr:nvSpPr>
        <xdr:cNvPr id="1434" name="Arrow: Up-Down 285">
          <a:extLst>
            <a:ext uri="{FF2B5EF4-FFF2-40B4-BE49-F238E27FC236}"/>
          </a:extLst>
        </xdr:cNvPr>
        <xdr:cNvSpPr/>
      </xdr:nvSpPr>
      <xdr:spPr>
        <a:xfrm>
          <a:off x="9921154" y="28440784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104775</xdr:colOff>
      <xdr:row>147</xdr:row>
      <xdr:rowOff>171450</xdr:rowOff>
    </xdr:from>
    <xdr:ext cx="142875" cy="381000"/>
    <xdr:sp macro="" textlink="">
      <xdr:nvSpPr>
        <xdr:cNvPr id="1435" name="Arrow: Up 913">
          <a:extLst>
            <a:ext uri="{FF2B5EF4-FFF2-40B4-BE49-F238E27FC236}"/>
          </a:extLst>
        </xdr:cNvPr>
        <xdr:cNvSpPr/>
      </xdr:nvSpPr>
      <xdr:spPr>
        <a:xfrm>
          <a:off x="11843039" y="284624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219075</xdr:colOff>
      <xdr:row>155</xdr:row>
      <xdr:rowOff>133350</xdr:rowOff>
    </xdr:from>
    <xdr:ext cx="142875" cy="390525"/>
    <xdr:sp macro="" textlink="">
      <xdr:nvSpPr>
        <xdr:cNvPr id="1436" name="Arrow: Up 296">
          <a:extLst>
            <a:ext uri="{FF2B5EF4-FFF2-40B4-BE49-F238E27FC236}"/>
          </a:extLst>
        </xdr:cNvPr>
        <xdr:cNvSpPr/>
      </xdr:nvSpPr>
      <xdr:spPr>
        <a:xfrm>
          <a:off x="1370301" y="29953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9</xdr:col>
      <xdr:colOff>133350</xdr:colOff>
      <xdr:row>155</xdr:row>
      <xdr:rowOff>161925</xdr:rowOff>
    </xdr:from>
    <xdr:ext cx="142875" cy="390525"/>
    <xdr:sp macro="" textlink="">
      <xdr:nvSpPr>
        <xdr:cNvPr id="1437" name="Arrow: Up-Down 285">
          <a:extLst>
            <a:ext uri="{FF2B5EF4-FFF2-40B4-BE49-F238E27FC236}"/>
          </a:extLst>
        </xdr:cNvPr>
        <xdr:cNvSpPr/>
      </xdr:nvSpPr>
      <xdr:spPr>
        <a:xfrm>
          <a:off x="3217285" y="29975609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104775</xdr:colOff>
      <xdr:row>155</xdr:row>
      <xdr:rowOff>161925</xdr:rowOff>
    </xdr:from>
    <xdr:ext cx="142875" cy="390525"/>
    <xdr:sp macro="" textlink="">
      <xdr:nvSpPr>
        <xdr:cNvPr id="1438" name="Arrow: Up 913">
          <a:extLst>
            <a:ext uri="{FF2B5EF4-FFF2-40B4-BE49-F238E27FC236}"/>
          </a:extLst>
        </xdr:cNvPr>
        <xdr:cNvSpPr/>
      </xdr:nvSpPr>
      <xdr:spPr>
        <a:xfrm>
          <a:off x="4251613" y="2997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133350</xdr:colOff>
      <xdr:row>155</xdr:row>
      <xdr:rowOff>161925</xdr:rowOff>
    </xdr:from>
    <xdr:ext cx="142875" cy="390525"/>
    <xdr:sp macro="" textlink="">
      <xdr:nvSpPr>
        <xdr:cNvPr id="1439" name="Arrow: Up-Down 285">
          <a:extLst>
            <a:ext uri="{FF2B5EF4-FFF2-40B4-BE49-F238E27FC236}"/>
          </a:extLst>
        </xdr:cNvPr>
        <xdr:cNvSpPr/>
      </xdr:nvSpPr>
      <xdr:spPr>
        <a:xfrm>
          <a:off x="6055735" y="29975608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142875</xdr:colOff>
      <xdr:row>156</xdr:row>
      <xdr:rowOff>0</xdr:rowOff>
    </xdr:from>
    <xdr:ext cx="142875" cy="390525"/>
    <xdr:sp macro="" textlink="">
      <xdr:nvSpPr>
        <xdr:cNvPr id="1440" name="Arrow: Up-Down 285">
          <a:extLst>
            <a:ext uri="{FF2B5EF4-FFF2-40B4-BE49-F238E27FC236}"/>
          </a:extLst>
        </xdr:cNvPr>
        <xdr:cNvSpPr/>
      </xdr:nvSpPr>
      <xdr:spPr>
        <a:xfrm>
          <a:off x="6980959" y="30003750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0</xdr:colOff>
      <xdr:row>155</xdr:row>
      <xdr:rowOff>180975</xdr:rowOff>
    </xdr:from>
    <xdr:ext cx="142875" cy="381000"/>
    <xdr:sp macro="" textlink="">
      <xdr:nvSpPr>
        <xdr:cNvPr id="1441" name="Arrow: Up 296">
          <a:extLst>
            <a:ext uri="{FF2B5EF4-FFF2-40B4-BE49-F238E27FC236}"/>
          </a:extLst>
        </xdr:cNvPr>
        <xdr:cNvSpPr/>
      </xdr:nvSpPr>
      <xdr:spPr>
        <a:xfrm>
          <a:off x="6829425" y="29997256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238125</xdr:colOff>
      <xdr:row>155</xdr:row>
      <xdr:rowOff>133350</xdr:rowOff>
    </xdr:from>
    <xdr:ext cx="142875" cy="390525"/>
    <xdr:sp macro="" textlink="">
      <xdr:nvSpPr>
        <xdr:cNvPr id="1442" name="Arrow: Up-Down 285">
          <a:extLst>
            <a:ext uri="{FF2B5EF4-FFF2-40B4-BE49-F238E27FC236}"/>
          </a:extLst>
        </xdr:cNvPr>
        <xdr:cNvSpPr/>
      </xdr:nvSpPr>
      <xdr:spPr>
        <a:xfrm>
          <a:off x="7943850" y="29953961"/>
          <a:ext cx="142876" cy="41085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95250</xdr:colOff>
      <xdr:row>155</xdr:row>
      <xdr:rowOff>133350</xdr:rowOff>
    </xdr:from>
    <xdr:ext cx="142875" cy="390525"/>
    <xdr:sp macro="" textlink="">
      <xdr:nvSpPr>
        <xdr:cNvPr id="1443" name="Arrow: Up 296">
          <a:extLst>
            <a:ext uri="{FF2B5EF4-FFF2-40B4-BE49-F238E27FC236}"/>
          </a:extLst>
        </xdr:cNvPr>
        <xdr:cNvSpPr/>
      </xdr:nvSpPr>
      <xdr:spPr>
        <a:xfrm>
          <a:off x="7803140" y="29953961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123825</xdr:colOff>
      <xdr:row>155</xdr:row>
      <xdr:rowOff>142875</xdr:rowOff>
    </xdr:from>
    <xdr:ext cx="142875" cy="390525"/>
    <xdr:sp macro="" textlink="">
      <xdr:nvSpPr>
        <xdr:cNvPr id="1444" name="Arrow: Up 913">
          <a:extLst>
            <a:ext uri="{FF2B5EF4-FFF2-40B4-BE49-F238E27FC236}"/>
          </a:extLst>
        </xdr:cNvPr>
        <xdr:cNvSpPr/>
      </xdr:nvSpPr>
      <xdr:spPr>
        <a:xfrm>
          <a:off x="8883362" y="2996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114300</xdr:colOff>
      <xdr:row>155</xdr:row>
      <xdr:rowOff>171450</xdr:rowOff>
    </xdr:from>
    <xdr:ext cx="142875" cy="381000"/>
    <xdr:sp macro="" textlink="">
      <xdr:nvSpPr>
        <xdr:cNvPr id="1445" name="Arrow: Up 296">
          <a:extLst>
            <a:ext uri="{FF2B5EF4-FFF2-40B4-BE49-F238E27FC236}"/>
          </a:extLst>
        </xdr:cNvPr>
        <xdr:cNvSpPr/>
      </xdr:nvSpPr>
      <xdr:spPr>
        <a:xfrm>
          <a:off x="9834563" y="29986431"/>
          <a:ext cx="142875" cy="40690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238125</xdr:colOff>
      <xdr:row>155</xdr:row>
      <xdr:rowOff>180975</xdr:rowOff>
    </xdr:from>
    <xdr:ext cx="142875" cy="381000"/>
    <xdr:sp macro="" textlink="">
      <xdr:nvSpPr>
        <xdr:cNvPr id="1446" name="Arrow: Up-Down 285">
          <a:extLst>
            <a:ext uri="{FF2B5EF4-FFF2-40B4-BE49-F238E27FC236}"/>
          </a:extLst>
        </xdr:cNvPr>
        <xdr:cNvSpPr/>
      </xdr:nvSpPr>
      <xdr:spPr>
        <a:xfrm>
          <a:off x="10877550" y="29997256"/>
          <a:ext cx="142876" cy="406524"/>
        </a:xfrm>
        <a:prstGeom prst="upDownArrow">
          <a:avLst/>
        </a:prstGeom>
        <a:solidFill>
          <a:srgbClr val="FFFF66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47625</xdr:colOff>
      <xdr:row>155</xdr:row>
      <xdr:rowOff>142875</xdr:rowOff>
    </xdr:from>
    <xdr:ext cx="142875" cy="390525"/>
    <xdr:sp macro="" textlink="">
      <xdr:nvSpPr>
        <xdr:cNvPr id="1447" name="Arrow: Up 296">
          <a:extLst>
            <a:ext uri="{FF2B5EF4-FFF2-40B4-BE49-F238E27FC236}"/>
          </a:extLst>
        </xdr:cNvPr>
        <xdr:cNvSpPr/>
      </xdr:nvSpPr>
      <xdr:spPr>
        <a:xfrm>
          <a:off x="10693545" y="29964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42</xdr:col>
      <xdr:colOff>104775</xdr:colOff>
      <xdr:row>155</xdr:row>
      <xdr:rowOff>171450</xdr:rowOff>
    </xdr:from>
    <xdr:ext cx="190500" cy="390525"/>
    <xdr:sp macro="" textlink="">
      <xdr:nvSpPr>
        <xdr:cNvPr id="1448" name="Arrow: Up 296">
          <a:extLst>
            <a:ext uri="{FF2B5EF4-FFF2-40B4-BE49-F238E27FC236}"/>
          </a:extLst>
        </xdr:cNvPr>
        <xdr:cNvSpPr/>
      </xdr:nvSpPr>
      <xdr:spPr>
        <a:xfrm>
          <a:off x="13815507" y="29988016"/>
          <a:ext cx="192981" cy="415884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12</xdr:col>
      <xdr:colOff>133350</xdr:colOff>
      <xdr:row>163</xdr:row>
      <xdr:rowOff>133350</xdr:rowOff>
    </xdr:from>
    <xdr:ext cx="142875" cy="390525"/>
    <xdr:sp macro="" textlink="">
      <xdr:nvSpPr>
        <xdr:cNvPr id="1449" name="Arrow: Up 296">
          <a:extLst>
            <a:ext uri="{FF2B5EF4-FFF2-40B4-BE49-F238E27FC236}"/>
          </a:extLst>
        </xdr:cNvPr>
        <xdr:cNvSpPr/>
      </xdr:nvSpPr>
      <xdr:spPr>
        <a:xfrm>
          <a:off x="4284085" y="31477961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38100</xdr:colOff>
      <xdr:row>163</xdr:row>
      <xdr:rowOff>142875</xdr:rowOff>
    </xdr:from>
    <xdr:ext cx="142875" cy="390525"/>
    <xdr:sp macro="" textlink="">
      <xdr:nvSpPr>
        <xdr:cNvPr id="1450" name="Arrow: Up 913">
          <a:extLst>
            <a:ext uri="{FF2B5EF4-FFF2-40B4-BE49-F238E27FC236}"/>
          </a:extLst>
        </xdr:cNvPr>
        <xdr:cNvSpPr/>
      </xdr:nvSpPr>
      <xdr:spPr>
        <a:xfrm>
          <a:off x="7749021" y="31488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247650</xdr:colOff>
      <xdr:row>163</xdr:row>
      <xdr:rowOff>142875</xdr:rowOff>
    </xdr:from>
    <xdr:ext cx="142875" cy="390525"/>
    <xdr:sp macro="" textlink="">
      <xdr:nvSpPr>
        <xdr:cNvPr id="1451" name="Arrow: Up 296">
          <a:extLst>
            <a:ext uri="{FF2B5EF4-FFF2-40B4-BE49-F238E27FC236}"/>
          </a:extLst>
        </xdr:cNvPr>
        <xdr:cNvSpPr/>
      </xdr:nvSpPr>
      <xdr:spPr>
        <a:xfrm>
          <a:off x="7954673" y="31488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28575</xdr:colOff>
      <xdr:row>163</xdr:row>
      <xdr:rowOff>142875</xdr:rowOff>
    </xdr:from>
    <xdr:ext cx="142875" cy="390525"/>
    <xdr:sp macro="" textlink="">
      <xdr:nvSpPr>
        <xdr:cNvPr id="1452" name="Arrow: Up 913">
          <a:extLst>
            <a:ext uri="{FF2B5EF4-FFF2-40B4-BE49-F238E27FC236}"/>
          </a:extLst>
        </xdr:cNvPr>
        <xdr:cNvSpPr/>
      </xdr:nvSpPr>
      <xdr:spPr>
        <a:xfrm>
          <a:off x="12653097" y="31488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238125</xdr:colOff>
      <xdr:row>163</xdr:row>
      <xdr:rowOff>142875</xdr:rowOff>
    </xdr:from>
    <xdr:ext cx="142875" cy="390525"/>
    <xdr:sp macro="" textlink="">
      <xdr:nvSpPr>
        <xdr:cNvPr id="1453" name="Arrow: Up 296">
          <a:extLst>
            <a:ext uri="{FF2B5EF4-FFF2-40B4-BE49-F238E27FC236}"/>
          </a:extLst>
        </xdr:cNvPr>
        <xdr:cNvSpPr/>
      </xdr:nvSpPr>
      <xdr:spPr>
        <a:xfrm>
          <a:off x="12858750" y="31488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</xdr:col>
      <xdr:colOff>133350</xdr:colOff>
      <xdr:row>171</xdr:row>
      <xdr:rowOff>133350</xdr:rowOff>
    </xdr:from>
    <xdr:ext cx="142875" cy="390525"/>
    <xdr:sp macro="" textlink="">
      <xdr:nvSpPr>
        <xdr:cNvPr id="1454" name="Arrow: Up 296">
          <a:extLst>
            <a:ext uri="{FF2B5EF4-FFF2-40B4-BE49-F238E27FC236}"/>
          </a:extLst>
        </xdr:cNvPr>
        <xdr:cNvSpPr/>
      </xdr:nvSpPr>
      <xdr:spPr>
        <a:xfrm>
          <a:off x="1283710" y="33001959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19050</xdr:colOff>
      <xdr:row>171</xdr:row>
      <xdr:rowOff>161925</xdr:rowOff>
    </xdr:from>
    <xdr:ext cx="142875" cy="390525"/>
    <xdr:sp macro="" textlink="">
      <xdr:nvSpPr>
        <xdr:cNvPr id="1455" name="Arrow: Up 1075">
          <a:extLst>
            <a:ext uri="{FF2B5EF4-FFF2-40B4-BE49-F238E27FC236}"/>
          </a:extLst>
        </xdr:cNvPr>
        <xdr:cNvSpPr/>
      </xdr:nvSpPr>
      <xdr:spPr>
        <a:xfrm>
          <a:off x="5069897" y="33023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171450</xdr:colOff>
      <xdr:row>171</xdr:row>
      <xdr:rowOff>171450</xdr:rowOff>
    </xdr:from>
    <xdr:ext cx="142875" cy="381000"/>
    <xdr:sp macro="" textlink="">
      <xdr:nvSpPr>
        <xdr:cNvPr id="1456" name="Arrow: Up 296">
          <a:extLst>
            <a:ext uri="{FF2B5EF4-FFF2-40B4-BE49-F238E27FC236}"/>
          </a:extLst>
        </xdr:cNvPr>
        <xdr:cNvSpPr/>
      </xdr:nvSpPr>
      <xdr:spPr>
        <a:xfrm>
          <a:off x="5221432" y="33034432"/>
          <a:ext cx="142875" cy="406909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104775</xdr:colOff>
      <xdr:row>171</xdr:row>
      <xdr:rowOff>142875</xdr:rowOff>
    </xdr:from>
    <xdr:ext cx="142875" cy="390525"/>
    <xdr:sp macro="" textlink="">
      <xdr:nvSpPr>
        <xdr:cNvPr id="1457" name="Arrow: Up 296">
          <a:extLst>
            <a:ext uri="{FF2B5EF4-FFF2-40B4-BE49-F238E27FC236}"/>
          </a:extLst>
        </xdr:cNvPr>
        <xdr:cNvSpPr/>
      </xdr:nvSpPr>
      <xdr:spPr>
        <a:xfrm>
          <a:off x="6937664" y="33012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95250</xdr:colOff>
      <xdr:row>171</xdr:row>
      <xdr:rowOff>142875</xdr:rowOff>
    </xdr:from>
    <xdr:ext cx="142875" cy="390525"/>
    <xdr:sp macro="" textlink="">
      <xdr:nvSpPr>
        <xdr:cNvPr id="1458" name="Arrow: Up 296">
          <a:extLst>
            <a:ext uri="{FF2B5EF4-FFF2-40B4-BE49-F238E27FC236}"/>
          </a:extLst>
        </xdr:cNvPr>
        <xdr:cNvSpPr/>
      </xdr:nvSpPr>
      <xdr:spPr>
        <a:xfrm>
          <a:off x="7803140" y="33012784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133350</xdr:colOff>
      <xdr:row>171</xdr:row>
      <xdr:rowOff>161925</xdr:rowOff>
    </xdr:from>
    <xdr:ext cx="123825" cy="390525"/>
    <xdr:sp macro="" textlink="">
      <xdr:nvSpPr>
        <xdr:cNvPr id="1459" name="Arrow: Up 296">
          <a:extLst>
            <a:ext uri="{FF2B5EF4-FFF2-40B4-BE49-F238E27FC236}"/>
          </a:extLst>
        </xdr:cNvPr>
        <xdr:cNvSpPr/>
      </xdr:nvSpPr>
      <xdr:spPr>
        <a:xfrm>
          <a:off x="8894187" y="33023607"/>
          <a:ext cx="129886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30</xdr:col>
      <xdr:colOff>123825</xdr:colOff>
      <xdr:row>171</xdr:row>
      <xdr:rowOff>133350</xdr:rowOff>
    </xdr:from>
    <xdr:ext cx="142875" cy="390525"/>
    <xdr:sp macro="" textlink="">
      <xdr:nvSpPr>
        <xdr:cNvPr id="1460" name="Arrow: Up 296">
          <a:extLst>
            <a:ext uri="{FF2B5EF4-FFF2-40B4-BE49-F238E27FC236}"/>
          </a:extLst>
        </xdr:cNvPr>
        <xdr:cNvSpPr/>
      </xdr:nvSpPr>
      <xdr:spPr>
        <a:xfrm>
          <a:off x="9845387" y="33001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114300</xdr:colOff>
      <xdr:row>171</xdr:row>
      <xdr:rowOff>133350</xdr:rowOff>
    </xdr:from>
    <xdr:ext cx="142875" cy="390525"/>
    <xdr:sp macro="" textlink="">
      <xdr:nvSpPr>
        <xdr:cNvPr id="1461" name="Arrow: Up 296">
          <a:extLst>
            <a:ext uri="{FF2B5EF4-FFF2-40B4-BE49-F238E27FC236}"/>
          </a:extLst>
        </xdr:cNvPr>
        <xdr:cNvSpPr/>
      </xdr:nvSpPr>
      <xdr:spPr>
        <a:xfrm>
          <a:off x="10758488" y="33001960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36</xdr:col>
      <xdr:colOff>85725</xdr:colOff>
      <xdr:row>171</xdr:row>
      <xdr:rowOff>161925</xdr:rowOff>
    </xdr:from>
    <xdr:ext cx="142875" cy="390525"/>
    <xdr:sp macro="" textlink="">
      <xdr:nvSpPr>
        <xdr:cNvPr id="1462" name="Arrow: Up 296">
          <a:extLst>
            <a:ext uri="{FF2B5EF4-FFF2-40B4-BE49-F238E27FC236}"/>
          </a:extLst>
        </xdr:cNvPr>
        <xdr:cNvSpPr/>
      </xdr:nvSpPr>
      <xdr:spPr>
        <a:xfrm>
          <a:off x="11821390" y="33023607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123825</xdr:colOff>
      <xdr:row>171</xdr:row>
      <xdr:rowOff>161925</xdr:rowOff>
    </xdr:from>
    <xdr:ext cx="142875" cy="390525"/>
    <xdr:sp macro="" textlink="">
      <xdr:nvSpPr>
        <xdr:cNvPr id="1463" name="Arrow: Up 296">
          <a:extLst>
            <a:ext uri="{FF2B5EF4-FFF2-40B4-BE49-F238E27FC236}"/>
          </a:extLst>
        </xdr:cNvPr>
        <xdr:cNvSpPr/>
      </xdr:nvSpPr>
      <xdr:spPr>
        <a:xfrm>
          <a:off x="12750511" y="33023608"/>
          <a:ext cx="142875" cy="411238"/>
        </a:xfrm>
        <a:prstGeom prst="upArrow">
          <a:avLst/>
        </a:prstGeom>
        <a:solidFill>
          <a:srgbClr val="99FF99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42</xdr:col>
      <xdr:colOff>85725</xdr:colOff>
      <xdr:row>171</xdr:row>
      <xdr:rowOff>171450</xdr:rowOff>
    </xdr:from>
    <xdr:ext cx="142875" cy="390525"/>
    <xdr:sp macro="" textlink="">
      <xdr:nvSpPr>
        <xdr:cNvPr id="1464" name="Arrow: Up 913">
          <a:extLst>
            <a:ext uri="{FF2B5EF4-FFF2-40B4-BE49-F238E27FC236}"/>
          </a:extLst>
        </xdr:cNvPr>
        <xdr:cNvSpPr/>
      </xdr:nvSpPr>
      <xdr:spPr>
        <a:xfrm>
          <a:off x="13792275" y="33036015"/>
          <a:ext cx="142875" cy="41588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123825</xdr:colOff>
      <xdr:row>83</xdr:row>
      <xdr:rowOff>161925</xdr:rowOff>
    </xdr:from>
    <xdr:ext cx="142875" cy="390525"/>
    <xdr:sp macro="" textlink="">
      <xdr:nvSpPr>
        <xdr:cNvPr id="1465" name="Arrow: Up 281">
          <a:extLst>
            <a:ext uri="{FF2B5EF4-FFF2-40B4-BE49-F238E27FC236}"/>
          </a:extLst>
        </xdr:cNvPr>
        <xdr:cNvSpPr/>
      </xdr:nvSpPr>
      <xdr:spPr>
        <a:xfrm>
          <a:off x="7835612" y="16259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21</xdr:col>
      <xdr:colOff>19050</xdr:colOff>
      <xdr:row>28</xdr:row>
      <xdr:rowOff>47625</xdr:rowOff>
    </xdr:from>
    <xdr:ext cx="295275" cy="361950"/>
    <xdr:sp macro="" textlink="">
      <xdr:nvSpPr>
        <xdr:cNvPr id="1466" name="Lightning Bolt 1465">
          <a:extLst>
            <a:ext uri="{FF2B5EF4-FFF2-40B4-BE49-F238E27FC236}"/>
          </a:extLst>
        </xdr:cNvPr>
        <xdr:cNvSpPr/>
      </xdr:nvSpPr>
      <xdr:spPr>
        <a:xfrm rot="2857557">
          <a:off x="6818763" y="5705374"/>
          <a:ext cx="369936" cy="296429"/>
        </a:xfrm>
        <a:prstGeom prst="lightningBolt">
          <a:avLst/>
        </a:prstGeom>
        <a:solidFill>
          <a:srgbClr val="FF0000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219075</xdr:colOff>
      <xdr:row>68</xdr:row>
      <xdr:rowOff>38100</xdr:rowOff>
    </xdr:from>
    <xdr:ext cx="323850" cy="323850"/>
    <xdr:sp macro="" textlink="">
      <xdr:nvSpPr>
        <xdr:cNvPr id="1467" name="Lightning Bolt 1466">
          <a:extLst>
            <a:ext uri="{FF2B5EF4-FFF2-40B4-BE49-F238E27FC236}"/>
          </a:extLst>
        </xdr:cNvPr>
        <xdr:cNvSpPr/>
      </xdr:nvSpPr>
      <xdr:spPr>
        <a:xfrm rot="2857557">
          <a:off x="7926285" y="13286934"/>
          <a:ext cx="333479" cy="322050"/>
        </a:xfrm>
        <a:prstGeom prst="lightningBolt">
          <a:avLst/>
        </a:prstGeom>
        <a:solidFill>
          <a:srgbClr val="FF99FF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142875</xdr:colOff>
      <xdr:row>76</xdr:row>
      <xdr:rowOff>19050</xdr:rowOff>
    </xdr:from>
    <xdr:ext cx="276225" cy="361950"/>
    <xdr:sp macro="" textlink="">
      <xdr:nvSpPr>
        <xdr:cNvPr id="1468" name="Lightning Bolt 1467">
          <a:extLst>
            <a:ext uri="{FF2B5EF4-FFF2-40B4-BE49-F238E27FC236}"/>
          </a:extLst>
        </xdr:cNvPr>
        <xdr:cNvSpPr/>
      </xdr:nvSpPr>
      <xdr:spPr>
        <a:xfrm rot="2857557">
          <a:off x="6013754" y="14835451"/>
          <a:ext cx="367028" cy="275291"/>
        </a:xfrm>
        <a:prstGeom prst="lightningBolt">
          <a:avLst/>
        </a:prstGeom>
        <a:solidFill>
          <a:srgbClr val="FF99FF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19050</xdr:colOff>
      <xdr:row>91</xdr:row>
      <xdr:rowOff>133350</xdr:rowOff>
    </xdr:from>
    <xdr:ext cx="381000" cy="466725"/>
    <xdr:sp macro="" textlink="">
      <xdr:nvSpPr>
        <xdr:cNvPr id="1469" name="Lightning Bolt 1468">
          <a:extLst>
            <a:ext uri="{FF2B5EF4-FFF2-40B4-BE49-F238E27FC236}"/>
          </a:extLst>
        </xdr:cNvPr>
        <xdr:cNvSpPr/>
      </xdr:nvSpPr>
      <xdr:spPr>
        <a:xfrm rot="2857557">
          <a:off x="8730672" y="17811051"/>
          <a:ext cx="486530" cy="387293"/>
        </a:xfrm>
        <a:prstGeom prst="lightningBolt">
          <a:avLst/>
        </a:prstGeom>
        <a:solidFill>
          <a:srgbClr val="FF99FF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27</xdr:col>
      <xdr:colOff>66675</xdr:colOff>
      <xdr:row>139</xdr:row>
      <xdr:rowOff>38100</xdr:rowOff>
    </xdr:from>
    <xdr:ext cx="266700" cy="428625"/>
    <xdr:sp macro="" textlink="">
      <xdr:nvSpPr>
        <xdr:cNvPr id="1470" name="Lightning Bolt 1469">
          <a:extLst>
            <a:ext uri="{FF2B5EF4-FFF2-40B4-BE49-F238E27FC236}"/>
          </a:extLst>
        </xdr:cNvPr>
        <xdr:cNvSpPr/>
      </xdr:nvSpPr>
      <xdr:spPr>
        <a:xfrm rot="2857557">
          <a:off x="8735463" y="26900988"/>
          <a:ext cx="455088" cy="273126"/>
        </a:xfrm>
        <a:prstGeom prst="lightningBolt">
          <a:avLst/>
        </a:prstGeom>
        <a:solidFill>
          <a:srgbClr val="FF99FF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133350</xdr:colOff>
      <xdr:row>148</xdr:row>
      <xdr:rowOff>9525</xdr:rowOff>
    </xdr:from>
    <xdr:ext cx="276225" cy="352425"/>
    <xdr:sp macro="" textlink="">
      <xdr:nvSpPr>
        <xdr:cNvPr id="1471" name="Lightning Bolt 1470">
          <a:extLst>
            <a:ext uri="{FF2B5EF4-FFF2-40B4-BE49-F238E27FC236}"/>
          </a:extLst>
        </xdr:cNvPr>
        <xdr:cNvSpPr/>
      </xdr:nvSpPr>
      <xdr:spPr>
        <a:xfrm rot="2857557">
          <a:off x="6007704" y="28538608"/>
          <a:ext cx="371357" cy="275291"/>
        </a:xfrm>
        <a:prstGeom prst="lightningBolt">
          <a:avLst/>
        </a:prstGeom>
        <a:solidFill>
          <a:srgbClr val="FF99FF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15</xdr:col>
      <xdr:colOff>0</xdr:colOff>
      <xdr:row>200</xdr:row>
      <xdr:rowOff>104775</xdr:rowOff>
    </xdr:from>
    <xdr:ext cx="266700" cy="171450"/>
    <xdr:sp macro="" textlink="">
      <xdr:nvSpPr>
        <xdr:cNvPr id="1541" name="Lightning Bolt 1540">
          <a:extLst>
            <a:ext uri="{FF2B5EF4-FFF2-40B4-BE49-F238E27FC236}"/>
          </a:extLst>
        </xdr:cNvPr>
        <xdr:cNvSpPr/>
      </xdr:nvSpPr>
      <xdr:spPr>
        <a:xfrm rot="2857557">
          <a:off x="5104557" y="38511233"/>
          <a:ext cx="176380" cy="273126"/>
        </a:xfrm>
        <a:prstGeom prst="lightningBolt">
          <a:avLst/>
        </a:prstGeom>
        <a:solidFill>
          <a:srgbClr val="00B0F0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24</xdr:col>
      <xdr:colOff>314325</xdr:colOff>
      <xdr:row>84</xdr:row>
      <xdr:rowOff>19050</xdr:rowOff>
    </xdr:from>
    <xdr:ext cx="266700" cy="371475"/>
    <xdr:sp macro="" textlink="">
      <xdr:nvSpPr>
        <xdr:cNvPr id="1542" name="Lightning Bolt 1541">
          <a:extLst>
            <a:ext uri="{FF2B5EF4-FFF2-40B4-BE49-F238E27FC236}"/>
          </a:extLst>
        </xdr:cNvPr>
        <xdr:cNvSpPr/>
      </xdr:nvSpPr>
      <xdr:spPr>
        <a:xfrm rot="2857557">
          <a:off x="7925798" y="16414544"/>
          <a:ext cx="399714" cy="196926"/>
        </a:xfrm>
        <a:prstGeom prst="lightningBolt">
          <a:avLst/>
        </a:prstGeom>
        <a:solidFill>
          <a:srgbClr val="00B0F0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219075</xdr:colOff>
      <xdr:row>115</xdr:row>
      <xdr:rowOff>180975</xdr:rowOff>
    </xdr:from>
    <xdr:ext cx="276225" cy="371475"/>
    <xdr:sp macro="" textlink="">
      <xdr:nvSpPr>
        <xdr:cNvPr id="1543" name="Lightning Bolt 1542">
          <a:extLst>
            <a:ext uri="{FF2B5EF4-FFF2-40B4-BE49-F238E27FC236}"/>
          </a:extLst>
        </xdr:cNvPr>
        <xdr:cNvSpPr/>
      </xdr:nvSpPr>
      <xdr:spPr>
        <a:xfrm rot="2857557">
          <a:off x="2243272" y="22437733"/>
          <a:ext cx="395384" cy="274425"/>
        </a:xfrm>
        <a:prstGeom prst="lightningBolt">
          <a:avLst/>
        </a:prstGeom>
        <a:solidFill>
          <a:srgbClr val="00B0F0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33</xdr:col>
      <xdr:colOff>342900</xdr:colOff>
      <xdr:row>155</xdr:row>
      <xdr:rowOff>180975</xdr:rowOff>
    </xdr:from>
    <xdr:ext cx="276225" cy="371475"/>
    <xdr:sp macro="" textlink="">
      <xdr:nvSpPr>
        <xdr:cNvPr id="1544" name="Lightning Bolt 1543">
          <a:extLst>
            <a:ext uri="{FF2B5EF4-FFF2-40B4-BE49-F238E27FC236}"/>
          </a:extLst>
        </xdr:cNvPr>
        <xdr:cNvSpPr/>
      </xdr:nvSpPr>
      <xdr:spPr>
        <a:xfrm rot="2857557">
          <a:off x="10923577" y="30059467"/>
          <a:ext cx="395384" cy="270961"/>
        </a:xfrm>
        <a:prstGeom prst="lightningBolt">
          <a:avLst/>
        </a:prstGeom>
        <a:solidFill>
          <a:srgbClr val="00B0F0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18</xdr:col>
      <xdr:colOff>219075</xdr:colOff>
      <xdr:row>76</xdr:row>
      <xdr:rowOff>38100</xdr:rowOff>
    </xdr:from>
    <xdr:ext cx="190500" cy="333375"/>
    <xdr:sp macro="" textlink="">
      <xdr:nvSpPr>
        <xdr:cNvPr id="1600" name="Lightning Bolt 1599">
          <a:extLst>
            <a:ext uri="{FF2B5EF4-FFF2-40B4-BE49-F238E27FC236}"/>
          </a:extLst>
        </xdr:cNvPr>
        <xdr:cNvSpPr/>
      </xdr:nvSpPr>
      <xdr:spPr>
        <a:xfrm rot="2857557">
          <a:off x="6068910" y="14877609"/>
          <a:ext cx="333479" cy="188700"/>
        </a:xfrm>
        <a:prstGeom prst="lightningBolt">
          <a:avLst/>
        </a:prstGeom>
        <a:solidFill>
          <a:srgbClr val="FF99FF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22</xdr:col>
      <xdr:colOff>0</xdr:colOff>
      <xdr:row>18</xdr:row>
      <xdr:rowOff>0</xdr:rowOff>
    </xdr:from>
    <xdr:ext cx="514350" cy="361950"/>
    <xdr:sp macro="" textlink="">
      <xdr:nvSpPr>
        <xdr:cNvPr id="1602" name="Isosceles Triangle 1601">
          <a:extLst>
            <a:ext uri="{FF2B5EF4-FFF2-40B4-BE49-F238E27FC236}"/>
          </a:extLst>
        </xdr:cNvPr>
        <xdr:cNvSpPr/>
      </xdr:nvSpPr>
      <xdr:spPr>
        <a:xfrm>
          <a:off x="7172325" y="3714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34</xdr:row>
      <xdr:rowOff>0</xdr:rowOff>
    </xdr:from>
    <xdr:ext cx="514350" cy="361950"/>
    <xdr:sp macro="" textlink="">
      <xdr:nvSpPr>
        <xdr:cNvPr id="1603" name="Isosceles Triangle 1602">
          <a:extLst>
            <a:ext uri="{FF2B5EF4-FFF2-40B4-BE49-F238E27FC236}"/>
          </a:extLst>
        </xdr:cNvPr>
        <xdr:cNvSpPr/>
      </xdr:nvSpPr>
      <xdr:spPr>
        <a:xfrm>
          <a:off x="3609975" y="6762750"/>
          <a:ext cx="523142" cy="373674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42</xdr:row>
      <xdr:rowOff>0</xdr:rowOff>
    </xdr:from>
    <xdr:ext cx="533400" cy="361950"/>
    <xdr:sp macro="" textlink="">
      <xdr:nvSpPr>
        <xdr:cNvPr id="1616" name="Isosceles Triangle 1615">
          <a:extLst>
            <a:ext uri="{FF2B5EF4-FFF2-40B4-BE49-F238E27FC236}"/>
          </a:extLst>
        </xdr:cNvPr>
        <xdr:cNvSpPr/>
      </xdr:nvSpPr>
      <xdr:spPr>
        <a:xfrm>
          <a:off x="4514850" y="8286750"/>
          <a:ext cx="533400" cy="381000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50</xdr:row>
      <xdr:rowOff>0</xdr:rowOff>
    </xdr:from>
    <xdr:ext cx="514350" cy="361950"/>
    <xdr:sp macro="" textlink="">
      <xdr:nvSpPr>
        <xdr:cNvPr id="1617" name="Isosceles Triangle 1616">
          <a:extLst>
            <a:ext uri="{FF2B5EF4-FFF2-40B4-BE49-F238E27FC236}"/>
          </a:extLst>
        </xdr:cNvPr>
        <xdr:cNvSpPr/>
      </xdr:nvSpPr>
      <xdr:spPr>
        <a:xfrm>
          <a:off x="3609975" y="9810750"/>
          <a:ext cx="523142" cy="373674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18</xdr:row>
      <xdr:rowOff>0</xdr:rowOff>
    </xdr:from>
    <xdr:ext cx="514350" cy="361950"/>
    <xdr:sp macro="" textlink="">
      <xdr:nvSpPr>
        <xdr:cNvPr id="1618" name="Isosceles Triangle 1617">
          <a:extLst>
            <a:ext uri="{FF2B5EF4-FFF2-40B4-BE49-F238E27FC236}"/>
          </a:extLst>
        </xdr:cNvPr>
        <xdr:cNvSpPr/>
      </xdr:nvSpPr>
      <xdr:spPr>
        <a:xfrm>
          <a:off x="8220075" y="3714750"/>
          <a:ext cx="523141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58</xdr:row>
      <xdr:rowOff>0</xdr:rowOff>
    </xdr:from>
    <xdr:ext cx="514350" cy="361950"/>
    <xdr:sp macro="" textlink="">
      <xdr:nvSpPr>
        <xdr:cNvPr id="1620" name="Isosceles Triangle 1619">
          <a:extLst>
            <a:ext uri="{FF2B5EF4-FFF2-40B4-BE49-F238E27FC236}"/>
          </a:extLst>
        </xdr:cNvPr>
        <xdr:cNvSpPr/>
      </xdr:nvSpPr>
      <xdr:spPr>
        <a:xfrm>
          <a:off x="6296025" y="11334750"/>
          <a:ext cx="523142" cy="3736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9525</xdr:colOff>
      <xdr:row>26</xdr:row>
      <xdr:rowOff>0</xdr:rowOff>
    </xdr:from>
    <xdr:ext cx="514350" cy="361950"/>
    <xdr:sp macro="" textlink="">
      <xdr:nvSpPr>
        <xdr:cNvPr id="1621" name="Isosceles Triangle 1620">
          <a:extLst>
            <a:ext uri="{FF2B5EF4-FFF2-40B4-BE49-F238E27FC236}"/>
          </a:extLst>
        </xdr:cNvPr>
        <xdr:cNvSpPr/>
      </xdr:nvSpPr>
      <xdr:spPr>
        <a:xfrm>
          <a:off x="8231281" y="5238750"/>
          <a:ext cx="523141" cy="3736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39</xdr:col>
      <xdr:colOff>142875</xdr:colOff>
      <xdr:row>76</xdr:row>
      <xdr:rowOff>19050</xdr:rowOff>
    </xdr:from>
    <xdr:ext cx="390525" cy="361950"/>
    <xdr:sp macro="" textlink="">
      <xdr:nvSpPr>
        <xdr:cNvPr id="1622" name="Lightning Bolt 1621">
          <a:extLst>
            <a:ext uri="{FF2B5EF4-FFF2-40B4-BE49-F238E27FC236}"/>
          </a:extLst>
        </xdr:cNvPr>
        <xdr:cNvSpPr/>
      </xdr:nvSpPr>
      <xdr:spPr>
        <a:xfrm rot="2857557">
          <a:off x="12776504" y="14778301"/>
          <a:ext cx="367028" cy="389591"/>
        </a:xfrm>
        <a:prstGeom prst="lightningBolt">
          <a:avLst/>
        </a:prstGeom>
        <a:solidFill>
          <a:srgbClr val="FF99FF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219075</xdr:colOff>
      <xdr:row>76</xdr:row>
      <xdr:rowOff>38100</xdr:rowOff>
    </xdr:from>
    <xdr:ext cx="304800" cy="333375"/>
    <xdr:sp macro="" textlink="">
      <xdr:nvSpPr>
        <xdr:cNvPr id="1623" name="Lightning Bolt 1622">
          <a:extLst>
            <a:ext uri="{FF2B5EF4-FFF2-40B4-BE49-F238E27FC236}"/>
          </a:extLst>
        </xdr:cNvPr>
        <xdr:cNvSpPr/>
      </xdr:nvSpPr>
      <xdr:spPr>
        <a:xfrm rot="2857557">
          <a:off x="12831660" y="14820459"/>
          <a:ext cx="333479" cy="303000"/>
        </a:xfrm>
        <a:prstGeom prst="lightningBolt">
          <a:avLst/>
        </a:prstGeom>
        <a:solidFill>
          <a:srgbClr val="FF99FF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142875</xdr:colOff>
      <xdr:row>76</xdr:row>
      <xdr:rowOff>19050</xdr:rowOff>
    </xdr:from>
    <xdr:ext cx="390525" cy="361950"/>
    <xdr:sp macro="" textlink="">
      <xdr:nvSpPr>
        <xdr:cNvPr id="1624" name="Lightning Bolt 1623">
          <a:extLst>
            <a:ext uri="{FF2B5EF4-FFF2-40B4-BE49-F238E27FC236}"/>
          </a:extLst>
        </xdr:cNvPr>
        <xdr:cNvSpPr/>
      </xdr:nvSpPr>
      <xdr:spPr>
        <a:xfrm rot="2857557">
          <a:off x="12776504" y="14778301"/>
          <a:ext cx="367028" cy="389591"/>
        </a:xfrm>
        <a:prstGeom prst="lightningBolt">
          <a:avLst/>
        </a:prstGeom>
        <a:solidFill>
          <a:srgbClr val="FF99FF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39</xdr:col>
      <xdr:colOff>219075</xdr:colOff>
      <xdr:row>76</xdr:row>
      <xdr:rowOff>38100</xdr:rowOff>
    </xdr:from>
    <xdr:ext cx="304800" cy="333375"/>
    <xdr:sp macro="" textlink="">
      <xdr:nvSpPr>
        <xdr:cNvPr id="1625" name="Lightning Bolt 1624">
          <a:extLst>
            <a:ext uri="{FF2B5EF4-FFF2-40B4-BE49-F238E27FC236}"/>
          </a:extLst>
        </xdr:cNvPr>
        <xdr:cNvSpPr/>
      </xdr:nvSpPr>
      <xdr:spPr>
        <a:xfrm rot="2857557">
          <a:off x="12831660" y="14820459"/>
          <a:ext cx="333479" cy="303000"/>
        </a:xfrm>
        <a:prstGeom prst="lightningBolt">
          <a:avLst/>
        </a:prstGeom>
        <a:solidFill>
          <a:srgbClr val="FF99FF"/>
        </a:solidFill>
        <a:ln cap="flat" cmpd="sng" w="1270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25</xdr:col>
      <xdr:colOff>0</xdr:colOff>
      <xdr:row>34</xdr:row>
      <xdr:rowOff>0</xdr:rowOff>
    </xdr:from>
    <xdr:ext cx="542925" cy="361950"/>
    <xdr:sp macro="" textlink="">
      <xdr:nvSpPr>
        <xdr:cNvPr id="1626" name="Isosceles Triangle 1625">
          <a:extLst>
            <a:ext uri="{FF2B5EF4-FFF2-40B4-BE49-F238E27FC236}"/>
          </a:extLst>
        </xdr:cNvPr>
        <xdr:cNvSpPr/>
      </xdr:nvSpPr>
      <xdr:spPr>
        <a:xfrm>
          <a:off x="8220075" y="6762750"/>
          <a:ext cx="544606" cy="373672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50</xdr:row>
      <xdr:rowOff>0</xdr:rowOff>
    </xdr:from>
    <xdr:ext cx="514350" cy="361950"/>
    <xdr:sp macro="" textlink="">
      <xdr:nvSpPr>
        <xdr:cNvPr id="1627" name="Isosceles Triangle 1626">
          <a:extLst>
            <a:ext uri="{FF2B5EF4-FFF2-40B4-BE49-F238E27FC236}"/>
          </a:extLst>
        </xdr:cNvPr>
        <xdr:cNvSpPr/>
      </xdr:nvSpPr>
      <xdr:spPr>
        <a:xfrm>
          <a:off x="4514850" y="9810750"/>
          <a:ext cx="523143" cy="373674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18</xdr:row>
      <xdr:rowOff>0</xdr:rowOff>
    </xdr:from>
    <xdr:ext cx="495300" cy="361950"/>
    <xdr:sp macro="" textlink="">
      <xdr:nvSpPr>
        <xdr:cNvPr id="1628" name="Isosceles Triangle 1627">
          <a:extLst>
            <a:ext uri="{FF2B5EF4-FFF2-40B4-BE49-F238E27FC236}"/>
          </a:extLst>
        </xdr:cNvPr>
        <xdr:cNvSpPr/>
      </xdr:nvSpPr>
      <xdr:spPr>
        <a:xfrm>
          <a:off x="13115925" y="3714750"/>
          <a:ext cx="590550" cy="3736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34</xdr:row>
      <xdr:rowOff>0</xdr:rowOff>
    </xdr:from>
    <xdr:ext cx="542925" cy="361950"/>
    <xdr:sp macro="" textlink="">
      <xdr:nvSpPr>
        <xdr:cNvPr id="1629" name="Isosceles Triangle 1628">
          <a:extLst>
            <a:ext uri="{FF2B5EF4-FFF2-40B4-BE49-F238E27FC236}"/>
          </a:extLst>
        </xdr:cNvPr>
        <xdr:cNvSpPr/>
      </xdr:nvSpPr>
      <xdr:spPr>
        <a:xfrm>
          <a:off x="5381625" y="6762750"/>
          <a:ext cx="544606" cy="373672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50</xdr:row>
      <xdr:rowOff>0</xdr:rowOff>
    </xdr:from>
    <xdr:ext cx="495300" cy="361950"/>
    <xdr:sp macro="" textlink="">
      <xdr:nvSpPr>
        <xdr:cNvPr id="1630" name="Isosceles Triangle 1629">
          <a:extLst>
            <a:ext uri="{FF2B5EF4-FFF2-40B4-BE49-F238E27FC236}"/>
          </a:extLst>
        </xdr:cNvPr>
        <xdr:cNvSpPr/>
      </xdr:nvSpPr>
      <xdr:spPr>
        <a:xfrm>
          <a:off x="13115926" y="9810750"/>
          <a:ext cx="590550" cy="37153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27</xdr:col>
      <xdr:colOff>428625</xdr:colOff>
      <xdr:row>34</xdr:row>
      <xdr:rowOff>9525</xdr:rowOff>
    </xdr:from>
    <xdr:ext cx="533400" cy="361950"/>
    <xdr:sp macro="" textlink="">
      <xdr:nvSpPr>
        <xdr:cNvPr id="1631" name="Isosceles Triangle 1630">
          <a:extLst>
            <a:ext uri="{FF2B5EF4-FFF2-40B4-BE49-F238E27FC236}"/>
          </a:extLst>
        </xdr:cNvPr>
        <xdr:cNvSpPr/>
      </xdr:nvSpPr>
      <xdr:spPr>
        <a:xfrm>
          <a:off x="9190504" y="6773956"/>
          <a:ext cx="547407" cy="373672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50</xdr:row>
      <xdr:rowOff>0</xdr:rowOff>
    </xdr:from>
    <xdr:ext cx="514350" cy="361950"/>
    <xdr:sp macro="" textlink="">
      <xdr:nvSpPr>
        <xdr:cNvPr id="1632" name="Isosceles Triangle 1631">
          <a:extLst>
            <a:ext uri="{FF2B5EF4-FFF2-40B4-BE49-F238E27FC236}"/>
          </a:extLst>
        </xdr:cNvPr>
        <xdr:cNvSpPr/>
      </xdr:nvSpPr>
      <xdr:spPr>
        <a:xfrm>
          <a:off x="6296025" y="9810750"/>
          <a:ext cx="523143" cy="373674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26</xdr:row>
      <xdr:rowOff>0</xdr:rowOff>
    </xdr:from>
    <xdr:ext cx="514350" cy="361950"/>
    <xdr:sp macro="" textlink="">
      <xdr:nvSpPr>
        <xdr:cNvPr id="1633" name="Isosceles Triangle 1632">
          <a:extLst>
            <a:ext uri="{FF2B5EF4-FFF2-40B4-BE49-F238E27FC236}"/>
          </a:extLst>
        </xdr:cNvPr>
        <xdr:cNvSpPr/>
      </xdr:nvSpPr>
      <xdr:spPr>
        <a:xfrm>
          <a:off x="3609975" y="5238750"/>
          <a:ext cx="523140" cy="3736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26</xdr:row>
      <xdr:rowOff>0</xdr:rowOff>
    </xdr:from>
    <xdr:ext cx="514350" cy="361950"/>
    <xdr:sp macro="" textlink="">
      <xdr:nvSpPr>
        <xdr:cNvPr id="1636" name="Isosceles Triangle 1635">
          <a:extLst>
            <a:ext uri="{FF2B5EF4-FFF2-40B4-BE49-F238E27FC236}"/>
          </a:extLst>
        </xdr:cNvPr>
        <xdr:cNvSpPr/>
      </xdr:nvSpPr>
      <xdr:spPr>
        <a:xfrm>
          <a:off x="9210675" y="5238750"/>
          <a:ext cx="525942" cy="3736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66</xdr:row>
      <xdr:rowOff>0</xdr:rowOff>
    </xdr:from>
    <xdr:ext cx="542925" cy="361950"/>
    <xdr:sp macro="" textlink="">
      <xdr:nvSpPr>
        <xdr:cNvPr id="1637" name="Isosceles Triangle 1636">
          <a:extLst>
            <a:ext uri="{FF2B5EF4-FFF2-40B4-BE49-F238E27FC236}"/>
          </a:extLst>
        </xdr:cNvPr>
        <xdr:cNvSpPr/>
      </xdr:nvSpPr>
      <xdr:spPr>
        <a:xfrm>
          <a:off x="1552575" y="12858750"/>
          <a:ext cx="535081" cy="3736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542925" cy="361950"/>
    <xdr:sp macro="" textlink="">
      <xdr:nvSpPr>
        <xdr:cNvPr id="1638" name="Isosceles Triangle 1637">
          <a:extLst>
            <a:ext uri="{FF2B5EF4-FFF2-40B4-BE49-F238E27FC236}"/>
          </a:extLst>
        </xdr:cNvPr>
        <xdr:cNvSpPr/>
      </xdr:nvSpPr>
      <xdr:spPr>
        <a:xfrm>
          <a:off x="2543175" y="9810750"/>
          <a:ext cx="544606" cy="373674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6</xdr:col>
      <xdr:colOff>447675</xdr:colOff>
      <xdr:row>66</xdr:row>
      <xdr:rowOff>0</xdr:rowOff>
    </xdr:from>
    <xdr:ext cx="561975" cy="361950"/>
    <xdr:sp macro="" textlink="">
      <xdr:nvSpPr>
        <xdr:cNvPr id="1640" name="Isosceles Triangle 1639">
          <a:extLst>
            <a:ext uri="{FF2B5EF4-FFF2-40B4-BE49-F238E27FC236}"/>
          </a:extLst>
        </xdr:cNvPr>
        <xdr:cNvSpPr/>
      </xdr:nvSpPr>
      <xdr:spPr>
        <a:xfrm>
          <a:off x="2529468" y="12858750"/>
          <a:ext cx="558313" cy="3736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6</xdr:col>
      <xdr:colOff>457200</xdr:colOff>
      <xdr:row>34</xdr:row>
      <xdr:rowOff>0</xdr:rowOff>
    </xdr:from>
    <xdr:ext cx="552450" cy="361950"/>
    <xdr:sp macro="" textlink="">
      <xdr:nvSpPr>
        <xdr:cNvPr id="1642" name="Isosceles Triangle 1641">
          <a:extLst>
            <a:ext uri="{FF2B5EF4-FFF2-40B4-BE49-F238E27FC236}"/>
          </a:extLst>
        </xdr:cNvPr>
        <xdr:cNvSpPr/>
      </xdr:nvSpPr>
      <xdr:spPr>
        <a:xfrm>
          <a:off x="2541083" y="6762750"/>
          <a:ext cx="547107" cy="373674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34</xdr:row>
      <xdr:rowOff>0</xdr:rowOff>
    </xdr:from>
    <xdr:ext cx="533400" cy="352425"/>
    <xdr:sp macro="" textlink="">
      <xdr:nvSpPr>
        <xdr:cNvPr id="1644" name="Isosceles Triangle 1643">
          <a:extLst>
            <a:ext uri="{FF2B5EF4-FFF2-40B4-BE49-F238E27FC236}"/>
          </a:extLst>
        </xdr:cNvPr>
        <xdr:cNvSpPr/>
      </xdr:nvSpPr>
      <xdr:spPr>
        <a:xfrm>
          <a:off x="10125075" y="6762750"/>
          <a:ext cx="541135" cy="369026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18</xdr:row>
      <xdr:rowOff>0</xdr:rowOff>
    </xdr:from>
    <xdr:ext cx="514350" cy="361950"/>
    <xdr:sp macro="" textlink="">
      <xdr:nvSpPr>
        <xdr:cNvPr id="1645" name="Isosceles Triangle 1644">
          <a:extLst>
            <a:ext uri="{FF2B5EF4-FFF2-40B4-BE49-F238E27FC236}"/>
          </a:extLst>
        </xdr:cNvPr>
        <xdr:cNvSpPr/>
      </xdr:nvSpPr>
      <xdr:spPr>
        <a:xfrm>
          <a:off x="11210925" y="3714750"/>
          <a:ext cx="524768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26</xdr:row>
      <xdr:rowOff>0</xdr:rowOff>
    </xdr:from>
    <xdr:ext cx="533400" cy="361950"/>
    <xdr:sp macro="" textlink="">
      <xdr:nvSpPr>
        <xdr:cNvPr id="1652" name="Isosceles Triangle 1651">
          <a:extLst>
            <a:ext uri="{FF2B5EF4-FFF2-40B4-BE49-F238E27FC236}"/>
          </a:extLst>
        </xdr:cNvPr>
        <xdr:cNvSpPr/>
      </xdr:nvSpPr>
      <xdr:spPr>
        <a:xfrm>
          <a:off x="609600" y="5238750"/>
          <a:ext cx="538141" cy="375169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18</xdr:row>
      <xdr:rowOff>0</xdr:rowOff>
    </xdr:from>
    <xdr:ext cx="514350" cy="361950"/>
    <xdr:sp macro="" textlink="">
      <xdr:nvSpPr>
        <xdr:cNvPr id="1665" name="Isosceles Triangle 1664">
          <a:extLst>
            <a:ext uri="{FF2B5EF4-FFF2-40B4-BE49-F238E27FC236}"/>
          </a:extLst>
        </xdr:cNvPr>
        <xdr:cNvSpPr/>
      </xdr:nvSpPr>
      <xdr:spPr>
        <a:xfrm>
          <a:off x="5381625" y="3714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9525</xdr:colOff>
      <xdr:row>26</xdr:row>
      <xdr:rowOff>9525</xdr:rowOff>
    </xdr:from>
    <xdr:ext cx="514350" cy="361950"/>
    <xdr:sp macro="" textlink="">
      <xdr:nvSpPr>
        <xdr:cNvPr id="1669" name="Isosceles Triangle 1668">
          <a:extLst>
            <a:ext uri="{FF2B5EF4-FFF2-40B4-BE49-F238E27FC236}"/>
          </a:extLst>
        </xdr:cNvPr>
        <xdr:cNvSpPr/>
      </xdr:nvSpPr>
      <xdr:spPr>
        <a:xfrm>
          <a:off x="4529818" y="5248276"/>
          <a:ext cx="523140" cy="3736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28575</xdr:colOff>
      <xdr:row>26</xdr:row>
      <xdr:rowOff>0</xdr:rowOff>
    </xdr:from>
    <xdr:ext cx="523875" cy="361950"/>
    <xdr:sp macro="" textlink="">
      <xdr:nvSpPr>
        <xdr:cNvPr id="1674" name="Isosceles Triangle 1673">
          <a:extLst>
            <a:ext uri="{FF2B5EF4-FFF2-40B4-BE49-F238E27FC236}"/>
          </a:extLst>
        </xdr:cNvPr>
        <xdr:cNvSpPr/>
      </xdr:nvSpPr>
      <xdr:spPr>
        <a:xfrm>
          <a:off x="10529454" y="5091545"/>
          <a:ext cx="552415" cy="36790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34</xdr:col>
      <xdr:colOff>0</xdr:colOff>
      <xdr:row>42</xdr:row>
      <xdr:rowOff>0</xdr:rowOff>
    </xdr:from>
    <xdr:ext cx="504825" cy="361950"/>
    <xdr:sp macro="" textlink="">
      <xdr:nvSpPr>
        <xdr:cNvPr id="1679" name="Isosceles Triangle 1678">
          <a:extLst>
            <a:ext uri="{FF2B5EF4-FFF2-40B4-BE49-F238E27FC236}"/>
          </a:extLst>
        </xdr:cNvPr>
        <xdr:cNvSpPr/>
      </xdr:nvSpPr>
      <xdr:spPr>
        <a:xfrm>
          <a:off x="11210925" y="8286750"/>
          <a:ext cx="513616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42</xdr:row>
      <xdr:rowOff>0</xdr:rowOff>
    </xdr:from>
    <xdr:ext cx="533400" cy="361950"/>
    <xdr:sp macro="" textlink="">
      <xdr:nvSpPr>
        <xdr:cNvPr id="1680" name="Isosceles Triangle 1679">
          <a:extLst>
            <a:ext uri="{FF2B5EF4-FFF2-40B4-BE49-F238E27FC236}"/>
          </a:extLst>
        </xdr:cNvPr>
        <xdr:cNvSpPr/>
      </xdr:nvSpPr>
      <xdr:spPr>
        <a:xfrm>
          <a:off x="3609975" y="8286750"/>
          <a:ext cx="533400" cy="381000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2</xdr:row>
      <xdr:rowOff>0</xdr:rowOff>
    </xdr:from>
    <xdr:ext cx="495300" cy="361950"/>
    <xdr:sp macro="" textlink="">
      <xdr:nvSpPr>
        <xdr:cNvPr id="1681" name="Isosceles Triangle 1680">
          <a:extLst>
            <a:ext uri="{FF2B5EF4-FFF2-40B4-BE49-F238E27FC236}"/>
          </a:extLst>
        </xdr:cNvPr>
        <xdr:cNvSpPr/>
      </xdr:nvSpPr>
      <xdr:spPr>
        <a:xfrm>
          <a:off x="13115925" y="666750"/>
          <a:ext cx="590550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30</xdr:col>
      <xdr:colOff>409575</xdr:colOff>
      <xdr:row>18</xdr:row>
      <xdr:rowOff>0</xdr:rowOff>
    </xdr:from>
    <xdr:ext cx="533400" cy="361950"/>
    <xdr:sp macro="" textlink="">
      <xdr:nvSpPr>
        <xdr:cNvPr id="1684" name="Isosceles Triangle 1683">
          <a:extLst>
            <a:ext uri="{FF2B5EF4-FFF2-40B4-BE49-F238E27FC236}"/>
          </a:extLst>
        </xdr:cNvPr>
        <xdr:cNvSpPr/>
      </xdr:nvSpPr>
      <xdr:spPr>
        <a:xfrm>
          <a:off x="10126806" y="3714750"/>
          <a:ext cx="5234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34</xdr:row>
      <xdr:rowOff>0</xdr:rowOff>
    </xdr:from>
    <xdr:ext cx="533400" cy="361950"/>
    <xdr:sp macro="" textlink="">
      <xdr:nvSpPr>
        <xdr:cNvPr id="1685" name="Isosceles Triangle 1684">
          <a:extLst>
            <a:ext uri="{FF2B5EF4-FFF2-40B4-BE49-F238E27FC236}"/>
          </a:extLst>
        </xdr:cNvPr>
        <xdr:cNvSpPr/>
      </xdr:nvSpPr>
      <xdr:spPr>
        <a:xfrm>
          <a:off x="1552575" y="6762750"/>
          <a:ext cx="525459" cy="373674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10</xdr:row>
      <xdr:rowOff>0</xdr:rowOff>
    </xdr:from>
    <xdr:ext cx="533400" cy="361950"/>
    <xdr:sp macro="" textlink="">
      <xdr:nvSpPr>
        <xdr:cNvPr id="1686" name="Isosceles Triangle 1685">
          <a:extLst>
            <a:ext uri="{FF2B5EF4-FFF2-40B4-BE49-F238E27FC236}"/>
          </a:extLst>
        </xdr:cNvPr>
        <xdr:cNvSpPr/>
      </xdr:nvSpPr>
      <xdr:spPr>
        <a:xfrm>
          <a:off x="1552575" y="2190750"/>
          <a:ext cx="523875" cy="373674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18</xdr:row>
      <xdr:rowOff>0</xdr:rowOff>
    </xdr:from>
    <xdr:ext cx="514350" cy="361950"/>
    <xdr:sp macro="" textlink="">
      <xdr:nvSpPr>
        <xdr:cNvPr id="1689" name="Isosceles Triangle 1688">
          <a:extLst>
            <a:ext uri="{FF2B5EF4-FFF2-40B4-BE49-F238E27FC236}"/>
          </a:extLst>
        </xdr:cNvPr>
        <xdr:cNvSpPr/>
      </xdr:nvSpPr>
      <xdr:spPr>
        <a:xfrm>
          <a:off x="2543175" y="3714750"/>
          <a:ext cx="52314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10</xdr:row>
      <xdr:rowOff>0</xdr:rowOff>
    </xdr:from>
    <xdr:ext cx="542925" cy="361950"/>
    <xdr:sp macro="" textlink="">
      <xdr:nvSpPr>
        <xdr:cNvPr id="1690" name="Isosceles Triangle 1689">
          <a:extLst>
            <a:ext uri="{FF2B5EF4-FFF2-40B4-BE49-F238E27FC236}"/>
          </a:extLst>
        </xdr:cNvPr>
        <xdr:cNvSpPr/>
      </xdr:nvSpPr>
      <xdr:spPr>
        <a:xfrm>
          <a:off x="3609975" y="2190750"/>
          <a:ext cx="545016" cy="373674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41</xdr:row>
      <xdr:rowOff>190500</xdr:rowOff>
    </xdr:from>
    <xdr:ext cx="533400" cy="361950"/>
    <xdr:sp macro="" textlink="">
      <xdr:nvSpPr>
        <xdr:cNvPr id="1691" name="Isosceles Triangle 1690">
          <a:extLst>
            <a:ext uri="{FF2B5EF4-FFF2-40B4-BE49-F238E27FC236}"/>
          </a:extLst>
        </xdr:cNvPr>
        <xdr:cNvSpPr/>
      </xdr:nvSpPr>
      <xdr:spPr>
        <a:xfrm>
          <a:off x="2543175" y="8290637"/>
          <a:ext cx="533400" cy="380999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25</xdr:col>
      <xdr:colOff>0</xdr:colOff>
      <xdr:row>42</xdr:row>
      <xdr:rowOff>0</xdr:rowOff>
    </xdr:from>
    <xdr:ext cx="542925" cy="361950"/>
    <xdr:sp macro="" textlink="">
      <xdr:nvSpPr>
        <xdr:cNvPr id="1692" name="Isosceles Triangle 1691">
          <a:extLst>
            <a:ext uri="{FF2B5EF4-FFF2-40B4-BE49-F238E27FC236}"/>
          </a:extLst>
        </xdr:cNvPr>
        <xdr:cNvSpPr/>
      </xdr:nvSpPr>
      <xdr:spPr>
        <a:xfrm>
          <a:off x="8220075" y="8286750"/>
          <a:ext cx="544222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58</xdr:row>
      <xdr:rowOff>0</xdr:rowOff>
    </xdr:from>
    <xdr:ext cx="514350" cy="361950"/>
    <xdr:sp macro="" textlink="">
      <xdr:nvSpPr>
        <xdr:cNvPr id="1696" name="Isosceles Triangle 1695">
          <a:extLst>
            <a:ext uri="{FF2B5EF4-FFF2-40B4-BE49-F238E27FC236}"/>
          </a:extLst>
        </xdr:cNvPr>
        <xdr:cNvSpPr/>
      </xdr:nvSpPr>
      <xdr:spPr>
        <a:xfrm>
          <a:off x="4514850" y="11334750"/>
          <a:ext cx="523141" cy="3736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10</xdr:row>
      <xdr:rowOff>0</xdr:rowOff>
    </xdr:from>
    <xdr:ext cx="542925" cy="361950"/>
    <xdr:sp macro="" textlink="">
      <xdr:nvSpPr>
        <xdr:cNvPr id="1697" name="Isosceles Triangle 1696">
          <a:extLst>
            <a:ext uri="{FF2B5EF4-FFF2-40B4-BE49-F238E27FC236}"/>
          </a:extLst>
        </xdr:cNvPr>
        <xdr:cNvSpPr/>
      </xdr:nvSpPr>
      <xdr:spPr>
        <a:xfrm>
          <a:off x="5381625" y="2190750"/>
          <a:ext cx="545015" cy="373674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22</xdr:col>
      <xdr:colOff>0</xdr:colOff>
      <xdr:row>42</xdr:row>
      <xdr:rowOff>0</xdr:rowOff>
    </xdr:from>
    <xdr:ext cx="542925" cy="361950"/>
    <xdr:sp macro="" textlink="">
      <xdr:nvSpPr>
        <xdr:cNvPr id="1698" name="Isosceles Triangle 1697">
          <a:extLst>
            <a:ext uri="{FF2B5EF4-FFF2-40B4-BE49-F238E27FC236}"/>
          </a:extLst>
        </xdr:cNvPr>
        <xdr:cNvSpPr/>
      </xdr:nvSpPr>
      <xdr:spPr>
        <a:xfrm>
          <a:off x="7172325" y="8286750"/>
          <a:ext cx="544223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41</xdr:row>
      <xdr:rowOff>190500</xdr:rowOff>
    </xdr:from>
    <xdr:ext cx="533400" cy="361950"/>
    <xdr:sp macro="" textlink="">
      <xdr:nvSpPr>
        <xdr:cNvPr id="1700" name="Isosceles Triangle 1699">
          <a:extLst>
            <a:ext uri="{FF2B5EF4-FFF2-40B4-BE49-F238E27FC236}"/>
          </a:extLst>
        </xdr:cNvPr>
        <xdr:cNvSpPr/>
      </xdr:nvSpPr>
      <xdr:spPr>
        <a:xfrm>
          <a:off x="609600" y="8290637"/>
          <a:ext cx="533400" cy="380999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542925" cy="361950"/>
    <xdr:sp macro="" textlink="">
      <xdr:nvSpPr>
        <xdr:cNvPr id="1701" name="Isosceles Triangle 1700">
          <a:extLst>
            <a:ext uri="{FF2B5EF4-FFF2-40B4-BE49-F238E27FC236}"/>
          </a:extLst>
        </xdr:cNvPr>
        <xdr:cNvSpPr/>
      </xdr:nvSpPr>
      <xdr:spPr>
        <a:xfrm>
          <a:off x="1552575" y="3714750"/>
          <a:ext cx="535491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40</xdr:col>
      <xdr:colOff>0</xdr:colOff>
      <xdr:row>10</xdr:row>
      <xdr:rowOff>0</xdr:rowOff>
    </xdr:from>
    <xdr:ext cx="495300" cy="361950"/>
    <xdr:sp macro="" textlink="">
      <xdr:nvSpPr>
        <xdr:cNvPr id="1702" name="Isosceles Triangle 1701">
          <a:extLst>
            <a:ext uri="{FF2B5EF4-FFF2-40B4-BE49-F238E27FC236}"/>
          </a:extLst>
        </xdr:cNvPr>
        <xdr:cNvSpPr/>
      </xdr:nvSpPr>
      <xdr:spPr>
        <a:xfrm>
          <a:off x="13115925" y="2190750"/>
          <a:ext cx="590550" cy="373674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31</xdr:col>
      <xdr:colOff>0</xdr:colOff>
      <xdr:row>162</xdr:row>
      <xdr:rowOff>0</xdr:rowOff>
    </xdr:from>
    <xdr:ext cx="523875" cy="361950"/>
    <xdr:sp macro="" textlink="">
      <xdr:nvSpPr>
        <xdr:cNvPr id="1703" name="Isosceles Triangle 1702">
          <a:extLst>
            <a:ext uri="{FF2B5EF4-FFF2-40B4-BE49-F238E27FC236}"/>
          </a:extLst>
        </xdr:cNvPr>
        <xdr:cNvSpPr/>
      </xdr:nvSpPr>
      <xdr:spPr>
        <a:xfrm>
          <a:off x="10125075" y="31146750"/>
          <a:ext cx="525966" cy="3736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19</xdr:col>
      <xdr:colOff>0</xdr:colOff>
      <xdr:row>42</xdr:row>
      <xdr:rowOff>0</xdr:rowOff>
    </xdr:from>
    <xdr:ext cx="533400" cy="361950"/>
    <xdr:sp macro="" textlink="">
      <xdr:nvSpPr>
        <xdr:cNvPr id="1705" name="Isosceles Triangle 1704">
          <a:extLst>
            <a:ext uri="{FF2B5EF4-FFF2-40B4-BE49-F238E27FC236}"/>
          </a:extLst>
        </xdr:cNvPr>
        <xdr:cNvSpPr/>
      </xdr:nvSpPr>
      <xdr:spPr>
        <a:xfrm>
          <a:off x="6296025" y="8286750"/>
          <a:ext cx="533400" cy="381000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10</xdr:row>
      <xdr:rowOff>0</xdr:rowOff>
    </xdr:from>
    <xdr:ext cx="514350" cy="361950"/>
    <xdr:sp macro="" textlink="">
      <xdr:nvSpPr>
        <xdr:cNvPr id="1707" name="Isosceles Triangle 1706">
          <a:extLst>
            <a:ext uri="{FF2B5EF4-FFF2-40B4-BE49-F238E27FC236}"/>
          </a:extLst>
        </xdr:cNvPr>
        <xdr:cNvSpPr/>
      </xdr:nvSpPr>
      <xdr:spPr>
        <a:xfrm>
          <a:off x="12763500" y="2104571"/>
          <a:ext cx="537759" cy="36460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18</xdr:row>
      <xdr:rowOff>0</xdr:rowOff>
    </xdr:from>
    <xdr:ext cx="514350" cy="361950"/>
    <xdr:sp macro="" textlink="">
      <xdr:nvSpPr>
        <xdr:cNvPr id="1708" name="Isosceles Triangle 1707">
          <a:extLst>
            <a:ext uri="{FF2B5EF4-FFF2-40B4-BE49-F238E27FC236}"/>
          </a:extLst>
        </xdr:cNvPr>
        <xdr:cNvSpPr/>
      </xdr:nvSpPr>
      <xdr:spPr>
        <a:xfrm>
          <a:off x="3609975" y="3714750"/>
          <a:ext cx="523143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7</xdr:col>
      <xdr:colOff>0</xdr:colOff>
      <xdr:row>82</xdr:row>
      <xdr:rowOff>0</xdr:rowOff>
    </xdr:from>
    <xdr:ext cx="533400" cy="361950"/>
    <xdr:sp macro="" textlink="">
      <xdr:nvSpPr>
        <xdr:cNvPr id="1709" name="Isosceles Triangle 1708">
          <a:extLst>
            <a:ext uri="{FF2B5EF4-FFF2-40B4-BE49-F238E27FC236}"/>
          </a:extLst>
        </xdr:cNvPr>
        <xdr:cNvSpPr/>
      </xdr:nvSpPr>
      <xdr:spPr>
        <a:xfrm>
          <a:off x="2543175" y="15906750"/>
          <a:ext cx="533400" cy="373674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4</xdr:col>
      <xdr:colOff>0</xdr:colOff>
      <xdr:row>170</xdr:row>
      <xdr:rowOff>0</xdr:rowOff>
    </xdr:from>
    <xdr:ext cx="533400" cy="361950"/>
    <xdr:sp macro="" textlink="">
      <xdr:nvSpPr>
        <xdr:cNvPr id="1712" name="Isosceles Triangle 1711">
          <a:extLst>
            <a:ext uri="{FF2B5EF4-FFF2-40B4-BE49-F238E27FC236}"/>
          </a:extLst>
        </xdr:cNvPr>
        <xdr:cNvSpPr/>
      </xdr:nvSpPr>
      <xdr:spPr>
        <a:xfrm>
          <a:off x="1552575" y="32670750"/>
          <a:ext cx="523875" cy="373674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42</xdr:row>
      <xdr:rowOff>0</xdr:rowOff>
    </xdr:from>
    <xdr:ext cx="504825" cy="361950"/>
    <xdr:sp macro="" textlink="">
      <xdr:nvSpPr>
        <xdr:cNvPr id="1713" name="Isosceles Triangle 1712">
          <a:extLst>
            <a:ext uri="{FF2B5EF4-FFF2-40B4-BE49-F238E27FC236}"/>
          </a:extLst>
        </xdr:cNvPr>
        <xdr:cNvSpPr/>
      </xdr:nvSpPr>
      <xdr:spPr>
        <a:xfrm>
          <a:off x="9210675" y="8286750"/>
          <a:ext cx="516441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18</xdr:row>
      <xdr:rowOff>0</xdr:rowOff>
    </xdr:from>
    <xdr:ext cx="514350" cy="361950"/>
    <xdr:sp macro="" textlink="">
      <xdr:nvSpPr>
        <xdr:cNvPr id="1714" name="Isosceles Triangle 1713">
          <a:extLst>
            <a:ext uri="{FF2B5EF4-FFF2-40B4-BE49-F238E27FC236}"/>
          </a:extLst>
        </xdr:cNvPr>
        <xdr:cNvSpPr/>
      </xdr:nvSpPr>
      <xdr:spPr>
        <a:xfrm>
          <a:off x="12115800" y="3714750"/>
          <a:ext cx="517334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13</xdr:col>
      <xdr:colOff>0</xdr:colOff>
      <xdr:row>18</xdr:row>
      <xdr:rowOff>0</xdr:rowOff>
    </xdr:from>
    <xdr:ext cx="533400" cy="361950"/>
    <xdr:sp macro="" textlink="">
      <xdr:nvSpPr>
        <xdr:cNvPr id="1715" name="Isosceles Triangle 1714">
          <a:extLst>
            <a:ext uri="{FF2B5EF4-FFF2-40B4-BE49-F238E27FC236}"/>
          </a:extLst>
        </xdr:cNvPr>
        <xdr:cNvSpPr/>
      </xdr:nvSpPr>
      <xdr:spPr>
        <a:xfrm>
          <a:off x="4514850" y="3714750"/>
          <a:ext cx="533400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533400" cy="361950"/>
    <xdr:sp macro="" textlink="">
      <xdr:nvSpPr>
        <xdr:cNvPr id="1716" name="Isosceles Triangle 1715">
          <a:extLst>
            <a:ext uri="{FF2B5EF4-FFF2-40B4-BE49-F238E27FC236}"/>
          </a:extLst>
        </xdr:cNvPr>
        <xdr:cNvSpPr/>
      </xdr:nvSpPr>
      <xdr:spPr>
        <a:xfrm>
          <a:off x="3609975" y="15906750"/>
          <a:ext cx="533400" cy="373674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10</xdr:row>
      <xdr:rowOff>0</xdr:rowOff>
    </xdr:from>
    <xdr:ext cx="495300" cy="361950"/>
    <xdr:sp macro="" textlink="">
      <xdr:nvSpPr>
        <xdr:cNvPr id="1718" name="Isosceles Triangle 1717">
          <a:extLst>
            <a:ext uri="{FF2B5EF4-FFF2-40B4-BE49-F238E27FC236}"/>
          </a:extLst>
        </xdr:cNvPr>
        <xdr:cNvSpPr/>
      </xdr:nvSpPr>
      <xdr:spPr>
        <a:xfrm>
          <a:off x="9210676" y="2190750"/>
          <a:ext cx="504825" cy="373674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28</xdr:col>
      <xdr:colOff>0</xdr:colOff>
      <xdr:row>50</xdr:row>
      <xdr:rowOff>0</xdr:rowOff>
    </xdr:from>
    <xdr:ext cx="495300" cy="361950"/>
    <xdr:sp macro="" textlink="">
      <xdr:nvSpPr>
        <xdr:cNvPr id="1719" name="Isosceles Triangle 1718">
          <a:extLst>
            <a:ext uri="{FF2B5EF4-FFF2-40B4-BE49-F238E27FC236}"/>
          </a:extLst>
        </xdr:cNvPr>
        <xdr:cNvSpPr/>
      </xdr:nvSpPr>
      <xdr:spPr>
        <a:xfrm>
          <a:off x="9210676" y="9810750"/>
          <a:ext cx="504825" cy="373674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82</xdr:row>
      <xdr:rowOff>0</xdr:rowOff>
    </xdr:from>
    <xdr:ext cx="533400" cy="361950"/>
    <xdr:sp macro="" textlink="">
      <xdr:nvSpPr>
        <xdr:cNvPr id="1720" name="Isosceles Triangle 1719">
          <a:extLst>
            <a:ext uri="{FF2B5EF4-FFF2-40B4-BE49-F238E27FC236}"/>
          </a:extLst>
        </xdr:cNvPr>
        <xdr:cNvSpPr/>
      </xdr:nvSpPr>
      <xdr:spPr>
        <a:xfrm>
          <a:off x="5381625" y="15906750"/>
          <a:ext cx="533399" cy="373674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162</xdr:row>
      <xdr:rowOff>0</xdr:rowOff>
    </xdr:from>
    <xdr:ext cx="514350" cy="361950"/>
    <xdr:sp macro="" textlink="">
      <xdr:nvSpPr>
        <xdr:cNvPr id="1722" name="Isosceles Triangle 1721">
          <a:extLst>
            <a:ext uri="{FF2B5EF4-FFF2-40B4-BE49-F238E27FC236}"/>
          </a:extLst>
        </xdr:cNvPr>
        <xdr:cNvSpPr/>
      </xdr:nvSpPr>
      <xdr:spPr>
        <a:xfrm>
          <a:off x="5381625" y="31146750"/>
          <a:ext cx="522248" cy="3736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</xdr:col>
      <xdr:colOff>0</xdr:colOff>
      <xdr:row>18</xdr:row>
      <xdr:rowOff>0</xdr:rowOff>
    </xdr:from>
    <xdr:ext cx="542925" cy="361950"/>
    <xdr:sp macro="" textlink="">
      <xdr:nvSpPr>
        <xdr:cNvPr id="1723" name="Isosceles Triangle 1722">
          <a:extLst>
            <a:ext uri="{FF2B5EF4-FFF2-40B4-BE49-F238E27FC236}"/>
          </a:extLst>
        </xdr:cNvPr>
        <xdr:cNvSpPr/>
      </xdr:nvSpPr>
      <xdr:spPr>
        <a:xfrm>
          <a:off x="609600" y="3714750"/>
          <a:ext cx="545016" cy="373673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26</xdr:row>
      <xdr:rowOff>0</xdr:rowOff>
    </xdr:from>
    <xdr:ext cx="514350" cy="361950"/>
    <xdr:sp macro="" textlink="">
      <xdr:nvSpPr>
        <xdr:cNvPr id="1725" name="Isosceles Triangle 1724">
          <a:extLst>
            <a:ext uri="{FF2B5EF4-FFF2-40B4-BE49-F238E27FC236}"/>
          </a:extLst>
        </xdr:cNvPr>
        <xdr:cNvSpPr/>
      </xdr:nvSpPr>
      <xdr:spPr>
        <a:xfrm>
          <a:off x="5381625" y="5238750"/>
          <a:ext cx="523140" cy="37367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16</xdr:col>
      <xdr:colOff>0</xdr:colOff>
      <xdr:row>50</xdr:row>
      <xdr:rowOff>0</xdr:rowOff>
    </xdr:from>
    <xdr:ext cx="514350" cy="361950"/>
    <xdr:sp macro="" textlink="">
      <xdr:nvSpPr>
        <xdr:cNvPr id="1726" name="Isosceles Triangle 1725">
          <a:extLst>
            <a:ext uri="{FF2B5EF4-FFF2-40B4-BE49-F238E27FC236}"/>
          </a:extLst>
        </xdr:cNvPr>
        <xdr:cNvSpPr/>
      </xdr:nvSpPr>
      <xdr:spPr>
        <a:xfrm>
          <a:off x="5381625" y="9810750"/>
          <a:ext cx="523143" cy="373674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37</xdr:col>
      <xdr:colOff>0</xdr:colOff>
      <xdr:row>33</xdr:row>
      <xdr:rowOff>180975</xdr:rowOff>
    </xdr:from>
    <xdr:ext cx="514350" cy="352425"/>
    <xdr:sp macro="" textlink="">
      <xdr:nvSpPr>
        <xdr:cNvPr id="1760" name="Isosceles Triangle 1759">
          <a:extLst>
            <a:ext uri="{FF2B5EF4-FFF2-40B4-BE49-F238E27FC236}"/>
          </a:extLst>
        </xdr:cNvPr>
        <xdr:cNvSpPr/>
      </xdr:nvSpPr>
      <xdr:spPr>
        <a:xfrm>
          <a:off x="12115800" y="6756918"/>
          <a:ext cx="518282" cy="369785"/>
        </a:xfrm>
        <a:prstGeom prst="triangle">
          <a:avLst>
            <a:gd fmla="val 50000" name="adj"/>
          </a:avLst>
        </a:prstGeom>
        <a:solidFill>
          <a:srgbClr val="FF0000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 rtlCol="0"/>
        <a:lstStyle/>
        <a:p>
          <a:endParaRPr lang="en-IN"/>
        </a:p>
      </xdr:txBody>
    </xdr:sp>
    <xdr:clientData fLocksWithSheet="0"/>
  </xdr:oneCellAnchor>
  <xdr:oneCellAnchor>
    <xdr:from>
      <xdr:col>5</xdr:col>
      <xdr:colOff>200025</xdr:colOff>
      <xdr:row>196</xdr:row>
      <xdr:rowOff>47625</xdr:rowOff>
    </xdr:from>
    <xdr:ext cx="228600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152400</xdr:colOff>
      <xdr:row>194</xdr:row>
      <xdr:rowOff>104775</xdr:rowOff>
    </xdr:from>
    <xdr:ext cx="247650" cy="5619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133350</xdr:colOff>
      <xdr:row>190</xdr:row>
      <xdr:rowOff>76200</xdr:rowOff>
    </xdr:from>
    <xdr:ext cx="200025" cy="6191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118</xdr:row>
      <xdr:rowOff>0</xdr:rowOff>
    </xdr:from>
    <xdr:ext cx="228600" cy="2667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390525</xdr:colOff>
      <xdr:row>51</xdr:row>
      <xdr:rowOff>171450</xdr:rowOff>
    </xdr:from>
    <xdr:ext cx="133350" cy="4191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161925</xdr:colOff>
      <xdr:row>83</xdr:row>
      <xdr:rowOff>142875</xdr:rowOff>
    </xdr:from>
    <xdr:ext cx="133350" cy="41910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438150</xdr:colOff>
      <xdr:row>155</xdr:row>
      <xdr:rowOff>171450</xdr:rowOff>
    </xdr:from>
    <xdr:ext cx="133350" cy="41910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75</xdr:row>
      <xdr:rowOff>38100</xdr:rowOff>
    </xdr:from>
    <xdr:ext cx="247650" cy="56197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228600" cy="2667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228600" cy="26670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13</xdr:row>
      <xdr:rowOff>171450</xdr:rowOff>
    </xdr:from>
    <xdr:ext cx="228600" cy="2667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219075</xdr:colOff>
      <xdr:row>13</xdr:row>
      <xdr:rowOff>171450</xdr:rowOff>
    </xdr:from>
    <xdr:ext cx="228600" cy="26670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200025</xdr:colOff>
      <xdr:row>13</xdr:row>
      <xdr:rowOff>171450</xdr:rowOff>
    </xdr:from>
    <xdr:ext cx="228600" cy="26670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22</xdr:row>
      <xdr:rowOff>9525</xdr:rowOff>
    </xdr:from>
    <xdr:ext cx="228600" cy="26670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257175</xdr:colOff>
      <xdr:row>21</xdr:row>
      <xdr:rowOff>180975</xdr:rowOff>
    </xdr:from>
    <xdr:ext cx="228600" cy="26670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238125</xdr:colOff>
      <xdr:row>21</xdr:row>
      <xdr:rowOff>180975</xdr:rowOff>
    </xdr:from>
    <xdr:ext cx="228600" cy="266700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180975</xdr:rowOff>
    </xdr:from>
    <xdr:ext cx="228600" cy="266700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247650</xdr:colOff>
      <xdr:row>22</xdr:row>
      <xdr:rowOff>0</xdr:rowOff>
    </xdr:from>
    <xdr:ext cx="228600" cy="26670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21</xdr:row>
      <xdr:rowOff>180975</xdr:rowOff>
    </xdr:from>
    <xdr:ext cx="228600" cy="266700"/>
    <xdr:pic>
      <xdr:nvPicPr>
        <xdr:cNvPr id="0" name="image1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21</xdr:row>
      <xdr:rowOff>180975</xdr:rowOff>
    </xdr:from>
    <xdr:ext cx="228600" cy="266700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257175</xdr:colOff>
      <xdr:row>21</xdr:row>
      <xdr:rowOff>161925</xdr:rowOff>
    </xdr:from>
    <xdr:ext cx="228600" cy="26670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21</xdr:row>
      <xdr:rowOff>180975</xdr:rowOff>
    </xdr:from>
    <xdr:ext cx="228600" cy="266700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30</xdr:row>
      <xdr:rowOff>0</xdr:rowOff>
    </xdr:from>
    <xdr:ext cx="228600" cy="266700"/>
    <xdr:pic>
      <xdr:nvPicPr>
        <xdr:cNvPr id="0" name="image2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30</xdr:row>
      <xdr:rowOff>0</xdr:rowOff>
    </xdr:from>
    <xdr:ext cx="228600" cy="266700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30</xdr:row>
      <xdr:rowOff>0</xdr:rowOff>
    </xdr:from>
    <xdr:ext cx="228600" cy="266700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38</xdr:row>
      <xdr:rowOff>0</xdr:rowOff>
    </xdr:from>
    <xdr:ext cx="228600" cy="266700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38</xdr:row>
      <xdr:rowOff>0</xdr:rowOff>
    </xdr:from>
    <xdr:ext cx="228600" cy="266700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</xdr:row>
      <xdr:rowOff>9525</xdr:rowOff>
    </xdr:from>
    <xdr:ext cx="228600" cy="266700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46</xdr:row>
      <xdr:rowOff>0</xdr:rowOff>
    </xdr:from>
    <xdr:ext cx="228600" cy="266700"/>
    <xdr:pic>
      <xdr:nvPicPr>
        <xdr:cNvPr id="0" name="image2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46</xdr:row>
      <xdr:rowOff>0</xdr:rowOff>
    </xdr:from>
    <xdr:ext cx="228600" cy="266700"/>
    <xdr:pic>
      <xdr:nvPicPr>
        <xdr:cNvPr id="0" name="image3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46</xdr:row>
      <xdr:rowOff>0</xdr:rowOff>
    </xdr:from>
    <xdr:ext cx="228600" cy="266700"/>
    <xdr:pic>
      <xdr:nvPicPr>
        <xdr:cNvPr id="0" name="image3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46</xdr:row>
      <xdr:rowOff>0</xdr:rowOff>
    </xdr:from>
    <xdr:ext cx="228600" cy="26670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46</xdr:row>
      <xdr:rowOff>0</xdr:rowOff>
    </xdr:from>
    <xdr:ext cx="228600" cy="266700"/>
    <xdr:pic>
      <xdr:nvPicPr>
        <xdr:cNvPr id="0" name="image3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46</xdr:row>
      <xdr:rowOff>0</xdr:rowOff>
    </xdr:from>
    <xdr:ext cx="228600" cy="266700"/>
    <xdr:pic>
      <xdr:nvPicPr>
        <xdr:cNvPr id="0" name="image3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46</xdr:row>
      <xdr:rowOff>0</xdr:rowOff>
    </xdr:from>
    <xdr:ext cx="228600" cy="266700"/>
    <xdr:pic>
      <xdr:nvPicPr>
        <xdr:cNvPr id="0" name="image3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46</xdr:row>
      <xdr:rowOff>0</xdr:rowOff>
    </xdr:from>
    <xdr:ext cx="228600" cy="266700"/>
    <xdr:pic>
      <xdr:nvPicPr>
        <xdr:cNvPr id="0" name="image3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46</xdr:row>
      <xdr:rowOff>0</xdr:rowOff>
    </xdr:from>
    <xdr:ext cx="228600" cy="266700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228600" cy="266700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</xdr:row>
      <xdr:rowOff>0</xdr:rowOff>
    </xdr:from>
    <xdr:ext cx="228600" cy="266700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54</xdr:row>
      <xdr:rowOff>0</xdr:rowOff>
    </xdr:from>
    <xdr:ext cx="228600" cy="266700"/>
    <xdr:pic>
      <xdr:nvPicPr>
        <xdr:cNvPr id="0" name="image4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54</xdr:row>
      <xdr:rowOff>0</xdr:rowOff>
    </xdr:from>
    <xdr:ext cx="228600" cy="266700"/>
    <xdr:pic>
      <xdr:nvPicPr>
        <xdr:cNvPr id="0" name="image4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54</xdr:row>
      <xdr:rowOff>0</xdr:rowOff>
    </xdr:from>
    <xdr:ext cx="228600" cy="266700"/>
    <xdr:pic>
      <xdr:nvPicPr>
        <xdr:cNvPr id="0" name="image4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54</xdr:row>
      <xdr:rowOff>0</xdr:rowOff>
    </xdr:from>
    <xdr:ext cx="228600" cy="266700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54</xdr:row>
      <xdr:rowOff>0</xdr:rowOff>
    </xdr:from>
    <xdr:ext cx="228600" cy="266700"/>
    <xdr:pic>
      <xdr:nvPicPr>
        <xdr:cNvPr id="0" name="image4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62</xdr:row>
      <xdr:rowOff>0</xdr:rowOff>
    </xdr:from>
    <xdr:ext cx="228600" cy="266700"/>
    <xdr:pic>
      <xdr:nvPicPr>
        <xdr:cNvPr id="0" name="image4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62</xdr:row>
      <xdr:rowOff>0</xdr:rowOff>
    </xdr:from>
    <xdr:ext cx="228600" cy="266700"/>
    <xdr:pic>
      <xdr:nvPicPr>
        <xdr:cNvPr id="0" name="image4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62</xdr:row>
      <xdr:rowOff>0</xdr:rowOff>
    </xdr:from>
    <xdr:ext cx="228600" cy="266700"/>
    <xdr:pic>
      <xdr:nvPicPr>
        <xdr:cNvPr id="0" name="image4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228600" cy="266700"/>
    <xdr:pic>
      <xdr:nvPicPr>
        <xdr:cNvPr id="0" name="image4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70</xdr:row>
      <xdr:rowOff>0</xdr:rowOff>
    </xdr:from>
    <xdr:ext cx="228600" cy="266700"/>
    <xdr:pic>
      <xdr:nvPicPr>
        <xdr:cNvPr id="0" name="image4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70</xdr:row>
      <xdr:rowOff>0</xdr:rowOff>
    </xdr:from>
    <xdr:ext cx="228600" cy="266700"/>
    <xdr:pic>
      <xdr:nvPicPr>
        <xdr:cNvPr id="0" name="image5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70</xdr:row>
      <xdr:rowOff>0</xdr:rowOff>
    </xdr:from>
    <xdr:ext cx="228600" cy="266700"/>
    <xdr:pic>
      <xdr:nvPicPr>
        <xdr:cNvPr id="0" name="image5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70</xdr:row>
      <xdr:rowOff>0</xdr:rowOff>
    </xdr:from>
    <xdr:ext cx="228600" cy="266700"/>
    <xdr:pic>
      <xdr:nvPicPr>
        <xdr:cNvPr id="0" name="image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70</xdr:row>
      <xdr:rowOff>0</xdr:rowOff>
    </xdr:from>
    <xdr:ext cx="228600" cy="266700"/>
    <xdr:pic>
      <xdr:nvPicPr>
        <xdr:cNvPr id="0" name="image5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78</xdr:row>
      <xdr:rowOff>0</xdr:rowOff>
    </xdr:from>
    <xdr:ext cx="228600" cy="266700"/>
    <xdr:pic>
      <xdr:nvPicPr>
        <xdr:cNvPr id="0" name="image5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86</xdr:row>
      <xdr:rowOff>0</xdr:rowOff>
    </xdr:from>
    <xdr:ext cx="228600" cy="266700"/>
    <xdr:pic>
      <xdr:nvPicPr>
        <xdr:cNvPr id="0" name="image5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86</xdr:row>
      <xdr:rowOff>0</xdr:rowOff>
    </xdr:from>
    <xdr:ext cx="228600" cy="266700"/>
    <xdr:pic>
      <xdr:nvPicPr>
        <xdr:cNvPr id="0" name="image5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86</xdr:row>
      <xdr:rowOff>0</xdr:rowOff>
    </xdr:from>
    <xdr:ext cx="228600" cy="266700"/>
    <xdr:pic>
      <xdr:nvPicPr>
        <xdr:cNvPr id="0" name="image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94</xdr:row>
      <xdr:rowOff>0</xdr:rowOff>
    </xdr:from>
    <xdr:ext cx="228600" cy="266700"/>
    <xdr:pic>
      <xdr:nvPicPr>
        <xdr:cNvPr id="0" name="image5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94</xdr:row>
      <xdr:rowOff>0</xdr:rowOff>
    </xdr:from>
    <xdr:ext cx="228600" cy="266700"/>
    <xdr:pic>
      <xdr:nvPicPr>
        <xdr:cNvPr id="0" name="image5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94</xdr:row>
      <xdr:rowOff>0</xdr:rowOff>
    </xdr:from>
    <xdr:ext cx="228600" cy="266700"/>
    <xdr:pic>
      <xdr:nvPicPr>
        <xdr:cNvPr id="0" name="image6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94</xdr:row>
      <xdr:rowOff>0</xdr:rowOff>
    </xdr:from>
    <xdr:ext cx="228600" cy="266700"/>
    <xdr:pic>
      <xdr:nvPicPr>
        <xdr:cNvPr id="0" name="image6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94</xdr:row>
      <xdr:rowOff>0</xdr:rowOff>
    </xdr:from>
    <xdr:ext cx="228600" cy="266700"/>
    <xdr:pic>
      <xdr:nvPicPr>
        <xdr:cNvPr id="0" name="image6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94</xdr:row>
      <xdr:rowOff>0</xdr:rowOff>
    </xdr:from>
    <xdr:ext cx="228600" cy="266700"/>
    <xdr:pic>
      <xdr:nvPicPr>
        <xdr:cNvPr id="0" name="image6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94</xdr:row>
      <xdr:rowOff>0</xdr:rowOff>
    </xdr:from>
    <xdr:ext cx="228600" cy="266700"/>
    <xdr:pic>
      <xdr:nvPicPr>
        <xdr:cNvPr id="0" name="image6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94</xdr:row>
      <xdr:rowOff>0</xdr:rowOff>
    </xdr:from>
    <xdr:ext cx="228600" cy="266700"/>
    <xdr:pic>
      <xdr:nvPicPr>
        <xdr:cNvPr id="0" name="image6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102</xdr:row>
      <xdr:rowOff>0</xdr:rowOff>
    </xdr:from>
    <xdr:ext cx="228600" cy="266700"/>
    <xdr:pic>
      <xdr:nvPicPr>
        <xdr:cNvPr id="0" name="image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102</xdr:row>
      <xdr:rowOff>0</xdr:rowOff>
    </xdr:from>
    <xdr:ext cx="228600" cy="266700"/>
    <xdr:pic>
      <xdr:nvPicPr>
        <xdr:cNvPr id="0" name="image6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102</xdr:row>
      <xdr:rowOff>0</xdr:rowOff>
    </xdr:from>
    <xdr:ext cx="228600" cy="266700"/>
    <xdr:pic>
      <xdr:nvPicPr>
        <xdr:cNvPr id="0" name="image6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102</xdr:row>
      <xdr:rowOff>0</xdr:rowOff>
    </xdr:from>
    <xdr:ext cx="228600" cy="266700"/>
    <xdr:pic>
      <xdr:nvPicPr>
        <xdr:cNvPr id="0" name="image6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102</xdr:row>
      <xdr:rowOff>0</xdr:rowOff>
    </xdr:from>
    <xdr:ext cx="228600" cy="266700"/>
    <xdr:pic>
      <xdr:nvPicPr>
        <xdr:cNvPr id="0" name="image7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102</xdr:row>
      <xdr:rowOff>0</xdr:rowOff>
    </xdr:from>
    <xdr:ext cx="228600" cy="266700"/>
    <xdr:pic>
      <xdr:nvPicPr>
        <xdr:cNvPr id="0" name="image7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28600" cy="266700"/>
    <xdr:pic>
      <xdr:nvPicPr>
        <xdr:cNvPr id="0" name="image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228600" cy="266700"/>
    <xdr:pic>
      <xdr:nvPicPr>
        <xdr:cNvPr id="0" name="image7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30</xdr:row>
      <xdr:rowOff>0</xdr:rowOff>
    </xdr:from>
    <xdr:ext cx="228600" cy="266700"/>
    <xdr:pic>
      <xdr:nvPicPr>
        <xdr:cNvPr id="0" name="image7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</xdr:row>
      <xdr:rowOff>0</xdr:rowOff>
    </xdr:from>
    <xdr:ext cx="228600" cy="266700"/>
    <xdr:pic>
      <xdr:nvPicPr>
        <xdr:cNvPr id="0" name="image7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54</xdr:row>
      <xdr:rowOff>0</xdr:rowOff>
    </xdr:from>
    <xdr:ext cx="228600" cy="266700"/>
    <xdr:pic>
      <xdr:nvPicPr>
        <xdr:cNvPr id="0" name="image7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28600" cy="266700"/>
    <xdr:pic>
      <xdr:nvPicPr>
        <xdr:cNvPr id="0" name="image7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70</xdr:row>
      <xdr:rowOff>0</xdr:rowOff>
    </xdr:from>
    <xdr:ext cx="228600" cy="266700"/>
    <xdr:pic>
      <xdr:nvPicPr>
        <xdr:cNvPr id="0" name="image7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70</xdr:row>
      <xdr:rowOff>0</xdr:rowOff>
    </xdr:from>
    <xdr:ext cx="228600" cy="266700"/>
    <xdr:pic>
      <xdr:nvPicPr>
        <xdr:cNvPr id="0" name="image7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70</xdr:row>
      <xdr:rowOff>0</xdr:rowOff>
    </xdr:from>
    <xdr:ext cx="228600" cy="266700"/>
    <xdr:pic>
      <xdr:nvPicPr>
        <xdr:cNvPr id="0" name="image8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70</xdr:row>
      <xdr:rowOff>0</xdr:rowOff>
    </xdr:from>
    <xdr:ext cx="228600" cy="266700"/>
    <xdr:pic>
      <xdr:nvPicPr>
        <xdr:cNvPr id="0" name="image8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78</xdr:row>
      <xdr:rowOff>0</xdr:rowOff>
    </xdr:from>
    <xdr:ext cx="228600" cy="266700"/>
    <xdr:pic>
      <xdr:nvPicPr>
        <xdr:cNvPr id="0" name="image8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78</xdr:row>
      <xdr:rowOff>0</xdr:rowOff>
    </xdr:from>
    <xdr:ext cx="228600" cy="266700"/>
    <xdr:pic>
      <xdr:nvPicPr>
        <xdr:cNvPr id="0" name="image8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78</xdr:row>
      <xdr:rowOff>0</xdr:rowOff>
    </xdr:from>
    <xdr:ext cx="228600" cy="266700"/>
    <xdr:pic>
      <xdr:nvPicPr>
        <xdr:cNvPr id="0" name="image8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78</xdr:row>
      <xdr:rowOff>0</xdr:rowOff>
    </xdr:from>
    <xdr:ext cx="228600" cy="266700"/>
    <xdr:pic>
      <xdr:nvPicPr>
        <xdr:cNvPr id="0" name="image8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86</xdr:row>
      <xdr:rowOff>0</xdr:rowOff>
    </xdr:from>
    <xdr:ext cx="228600" cy="266700"/>
    <xdr:pic>
      <xdr:nvPicPr>
        <xdr:cNvPr id="0" name="image8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86</xdr:row>
      <xdr:rowOff>0</xdr:rowOff>
    </xdr:from>
    <xdr:ext cx="228600" cy="266700"/>
    <xdr:pic>
      <xdr:nvPicPr>
        <xdr:cNvPr id="0" name="image8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86</xdr:row>
      <xdr:rowOff>0</xdr:rowOff>
    </xdr:from>
    <xdr:ext cx="228600" cy="266700"/>
    <xdr:pic>
      <xdr:nvPicPr>
        <xdr:cNvPr id="0" name="image8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86</xdr:row>
      <xdr:rowOff>0</xdr:rowOff>
    </xdr:from>
    <xdr:ext cx="228600" cy="266700"/>
    <xdr:pic>
      <xdr:nvPicPr>
        <xdr:cNvPr id="0" name="image8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86</xdr:row>
      <xdr:rowOff>0</xdr:rowOff>
    </xdr:from>
    <xdr:ext cx="228600" cy="266700"/>
    <xdr:pic>
      <xdr:nvPicPr>
        <xdr:cNvPr id="0" name="image9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28600" cy="266700"/>
    <xdr:pic>
      <xdr:nvPicPr>
        <xdr:cNvPr id="0" name="image9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102</xdr:row>
      <xdr:rowOff>0</xdr:rowOff>
    </xdr:from>
    <xdr:ext cx="228600" cy="266700"/>
    <xdr:pic>
      <xdr:nvPicPr>
        <xdr:cNvPr id="0" name="image9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102</xdr:row>
      <xdr:rowOff>0</xdr:rowOff>
    </xdr:from>
    <xdr:ext cx="228600" cy="266700"/>
    <xdr:pic>
      <xdr:nvPicPr>
        <xdr:cNvPr id="0" name="image9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102</xdr:row>
      <xdr:rowOff>0</xdr:rowOff>
    </xdr:from>
    <xdr:ext cx="228600" cy="266700"/>
    <xdr:pic>
      <xdr:nvPicPr>
        <xdr:cNvPr id="0" name="image9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102</xdr:row>
      <xdr:rowOff>0</xdr:rowOff>
    </xdr:from>
    <xdr:ext cx="228600" cy="266700"/>
    <xdr:pic>
      <xdr:nvPicPr>
        <xdr:cNvPr id="0" name="image9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110</xdr:row>
      <xdr:rowOff>0</xdr:rowOff>
    </xdr:from>
    <xdr:ext cx="228600" cy="266700"/>
    <xdr:pic>
      <xdr:nvPicPr>
        <xdr:cNvPr id="0" name="image9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110</xdr:row>
      <xdr:rowOff>0</xdr:rowOff>
    </xdr:from>
    <xdr:ext cx="228600" cy="266700"/>
    <xdr:pic>
      <xdr:nvPicPr>
        <xdr:cNvPr id="0" name="image9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110</xdr:row>
      <xdr:rowOff>0</xdr:rowOff>
    </xdr:from>
    <xdr:ext cx="228600" cy="266700"/>
    <xdr:pic>
      <xdr:nvPicPr>
        <xdr:cNvPr id="0" name="image9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110</xdr:row>
      <xdr:rowOff>0</xdr:rowOff>
    </xdr:from>
    <xdr:ext cx="228600" cy="266700"/>
    <xdr:pic>
      <xdr:nvPicPr>
        <xdr:cNvPr id="0" name="image9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110</xdr:row>
      <xdr:rowOff>0</xdr:rowOff>
    </xdr:from>
    <xdr:ext cx="228600" cy="266700"/>
    <xdr:pic>
      <xdr:nvPicPr>
        <xdr:cNvPr id="0" name="image10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110</xdr:row>
      <xdr:rowOff>0</xdr:rowOff>
    </xdr:from>
    <xdr:ext cx="228600" cy="266700"/>
    <xdr:pic>
      <xdr:nvPicPr>
        <xdr:cNvPr id="0" name="image10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110</xdr:row>
      <xdr:rowOff>0</xdr:rowOff>
    </xdr:from>
    <xdr:ext cx="228600" cy="266700"/>
    <xdr:pic>
      <xdr:nvPicPr>
        <xdr:cNvPr id="0" name="image10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118</xdr:row>
      <xdr:rowOff>0</xdr:rowOff>
    </xdr:from>
    <xdr:ext cx="228600" cy="266700"/>
    <xdr:pic>
      <xdr:nvPicPr>
        <xdr:cNvPr id="0" name="image10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118</xdr:row>
      <xdr:rowOff>0</xdr:rowOff>
    </xdr:from>
    <xdr:ext cx="228600" cy="266700"/>
    <xdr:pic>
      <xdr:nvPicPr>
        <xdr:cNvPr id="0" name="image10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28600" cy="266700"/>
    <xdr:pic>
      <xdr:nvPicPr>
        <xdr:cNvPr id="0" name="image10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126</xdr:row>
      <xdr:rowOff>0</xdr:rowOff>
    </xdr:from>
    <xdr:ext cx="228600" cy="266700"/>
    <xdr:pic>
      <xdr:nvPicPr>
        <xdr:cNvPr id="0" name="image10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134</xdr:row>
      <xdr:rowOff>0</xdr:rowOff>
    </xdr:from>
    <xdr:ext cx="228600" cy="266700"/>
    <xdr:pic>
      <xdr:nvPicPr>
        <xdr:cNvPr id="0" name="image10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134</xdr:row>
      <xdr:rowOff>0</xdr:rowOff>
    </xdr:from>
    <xdr:ext cx="228600" cy="266700"/>
    <xdr:pic>
      <xdr:nvPicPr>
        <xdr:cNvPr id="0" name="image10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134</xdr:row>
      <xdr:rowOff>0</xdr:rowOff>
    </xdr:from>
    <xdr:ext cx="228600" cy="266700"/>
    <xdr:pic>
      <xdr:nvPicPr>
        <xdr:cNvPr id="0" name="image10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134</xdr:row>
      <xdr:rowOff>0</xdr:rowOff>
    </xdr:from>
    <xdr:ext cx="228600" cy="266700"/>
    <xdr:pic>
      <xdr:nvPicPr>
        <xdr:cNvPr id="0" name="image1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134</xdr:row>
      <xdr:rowOff>0</xdr:rowOff>
    </xdr:from>
    <xdr:ext cx="228600" cy="266700"/>
    <xdr:pic>
      <xdr:nvPicPr>
        <xdr:cNvPr id="0" name="image1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142</xdr:row>
      <xdr:rowOff>0</xdr:rowOff>
    </xdr:from>
    <xdr:ext cx="228600" cy="266700"/>
    <xdr:pic>
      <xdr:nvPicPr>
        <xdr:cNvPr id="0" name="image1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142</xdr:row>
      <xdr:rowOff>0</xdr:rowOff>
    </xdr:from>
    <xdr:ext cx="228600" cy="266700"/>
    <xdr:pic>
      <xdr:nvPicPr>
        <xdr:cNvPr id="0" name="image1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142</xdr:row>
      <xdr:rowOff>0</xdr:rowOff>
    </xdr:from>
    <xdr:ext cx="228600" cy="266700"/>
    <xdr:pic>
      <xdr:nvPicPr>
        <xdr:cNvPr id="0" name="image1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142</xdr:row>
      <xdr:rowOff>0</xdr:rowOff>
    </xdr:from>
    <xdr:ext cx="228600" cy="266700"/>
    <xdr:pic>
      <xdr:nvPicPr>
        <xdr:cNvPr id="0" name="image1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142</xdr:row>
      <xdr:rowOff>0</xdr:rowOff>
    </xdr:from>
    <xdr:ext cx="228600" cy="266700"/>
    <xdr:pic>
      <xdr:nvPicPr>
        <xdr:cNvPr id="0" name="image1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142</xdr:row>
      <xdr:rowOff>0</xdr:rowOff>
    </xdr:from>
    <xdr:ext cx="228600" cy="266700"/>
    <xdr:pic>
      <xdr:nvPicPr>
        <xdr:cNvPr id="0" name="image1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142</xdr:row>
      <xdr:rowOff>0</xdr:rowOff>
    </xdr:from>
    <xdr:ext cx="228600" cy="266700"/>
    <xdr:pic>
      <xdr:nvPicPr>
        <xdr:cNvPr id="0" name="image1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158</xdr:row>
      <xdr:rowOff>0</xdr:rowOff>
    </xdr:from>
    <xdr:ext cx="228600" cy="266700"/>
    <xdr:pic>
      <xdr:nvPicPr>
        <xdr:cNvPr id="0" name="image11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166</xdr:row>
      <xdr:rowOff>0</xdr:rowOff>
    </xdr:from>
    <xdr:ext cx="228600" cy="266700"/>
    <xdr:pic>
      <xdr:nvPicPr>
        <xdr:cNvPr id="0" name="image1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166</xdr:row>
      <xdr:rowOff>0</xdr:rowOff>
    </xdr:from>
    <xdr:ext cx="228600" cy="266700"/>
    <xdr:pic>
      <xdr:nvPicPr>
        <xdr:cNvPr id="0" name="image1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174</xdr:row>
      <xdr:rowOff>0</xdr:rowOff>
    </xdr:from>
    <xdr:ext cx="228600" cy="266700"/>
    <xdr:pic>
      <xdr:nvPicPr>
        <xdr:cNvPr id="0" name="image1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174</xdr:row>
      <xdr:rowOff>0</xdr:rowOff>
    </xdr:from>
    <xdr:ext cx="228600" cy="266700"/>
    <xdr:pic>
      <xdr:nvPicPr>
        <xdr:cNvPr id="0" name="image12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174</xdr:row>
      <xdr:rowOff>0</xdr:rowOff>
    </xdr:from>
    <xdr:ext cx="228600" cy="266700"/>
    <xdr:pic>
      <xdr:nvPicPr>
        <xdr:cNvPr id="0" name="image1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142875</xdr:colOff>
      <xdr:row>37</xdr:row>
      <xdr:rowOff>180975</xdr:rowOff>
    </xdr:from>
    <xdr:ext cx="228600" cy="266700"/>
    <xdr:pic>
      <xdr:nvPicPr>
        <xdr:cNvPr id="0" name="image1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200025</xdr:colOff>
      <xdr:row>196</xdr:row>
      <xdr:rowOff>47625</xdr:rowOff>
    </xdr:from>
    <xdr:ext cx="228600" cy="266700"/>
    <xdr:pic>
      <xdr:nvPicPr>
        <xdr:cNvPr id="0" name="image1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152400</xdr:colOff>
      <xdr:row>194</xdr:row>
      <xdr:rowOff>104775</xdr:rowOff>
    </xdr:from>
    <xdr:ext cx="247650" cy="561975"/>
    <xdr:pic>
      <xdr:nvPicPr>
        <xdr:cNvPr id="0" name="image1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133350</xdr:colOff>
      <xdr:row>190</xdr:row>
      <xdr:rowOff>76200</xdr:rowOff>
    </xdr:from>
    <xdr:ext cx="200025" cy="619125"/>
    <xdr:pic>
      <xdr:nvPicPr>
        <xdr:cNvPr id="0" name="image12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118</xdr:row>
      <xdr:rowOff>0</xdr:rowOff>
    </xdr:from>
    <xdr:ext cx="228600" cy="266700"/>
    <xdr:pic>
      <xdr:nvPicPr>
        <xdr:cNvPr id="0" name="image12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390525</xdr:colOff>
      <xdr:row>51</xdr:row>
      <xdr:rowOff>171450</xdr:rowOff>
    </xdr:from>
    <xdr:ext cx="133350" cy="419100"/>
    <xdr:pic>
      <xdr:nvPicPr>
        <xdr:cNvPr id="0" name="image13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161925</xdr:colOff>
      <xdr:row>83</xdr:row>
      <xdr:rowOff>142875</xdr:rowOff>
    </xdr:from>
    <xdr:ext cx="133350" cy="419100"/>
    <xdr:pic>
      <xdr:nvPicPr>
        <xdr:cNvPr id="0" name="image1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438150</xdr:colOff>
      <xdr:row>155</xdr:row>
      <xdr:rowOff>171450</xdr:rowOff>
    </xdr:from>
    <xdr:ext cx="133350" cy="419100"/>
    <xdr:pic>
      <xdr:nvPicPr>
        <xdr:cNvPr id="0" name="image13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75</xdr:row>
      <xdr:rowOff>38100</xdr:rowOff>
    </xdr:from>
    <xdr:ext cx="247650" cy="561975"/>
    <xdr:pic>
      <xdr:nvPicPr>
        <xdr:cNvPr id="0" name="image13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228600" cy="266700"/>
    <xdr:pic>
      <xdr:nvPicPr>
        <xdr:cNvPr id="0" name="image13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228600" cy="266700"/>
    <xdr:pic>
      <xdr:nvPicPr>
        <xdr:cNvPr id="0" name="image13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13</xdr:row>
      <xdr:rowOff>171450</xdr:rowOff>
    </xdr:from>
    <xdr:ext cx="228600" cy="266700"/>
    <xdr:pic>
      <xdr:nvPicPr>
        <xdr:cNvPr id="0" name="image13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219075</xdr:colOff>
      <xdr:row>13</xdr:row>
      <xdr:rowOff>171450</xdr:rowOff>
    </xdr:from>
    <xdr:ext cx="228600" cy="266700"/>
    <xdr:pic>
      <xdr:nvPicPr>
        <xdr:cNvPr id="0" name="image1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200025</xdr:colOff>
      <xdr:row>13</xdr:row>
      <xdr:rowOff>171450</xdr:rowOff>
    </xdr:from>
    <xdr:ext cx="228600" cy="266700"/>
    <xdr:pic>
      <xdr:nvPicPr>
        <xdr:cNvPr id="0" name="image1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22</xdr:row>
      <xdr:rowOff>9525</xdr:rowOff>
    </xdr:from>
    <xdr:ext cx="228600" cy="266700"/>
    <xdr:pic>
      <xdr:nvPicPr>
        <xdr:cNvPr id="0" name="image1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257175</xdr:colOff>
      <xdr:row>21</xdr:row>
      <xdr:rowOff>180975</xdr:rowOff>
    </xdr:from>
    <xdr:ext cx="228600" cy="266700"/>
    <xdr:pic>
      <xdr:nvPicPr>
        <xdr:cNvPr id="0" name="image14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238125</xdr:colOff>
      <xdr:row>21</xdr:row>
      <xdr:rowOff>180975</xdr:rowOff>
    </xdr:from>
    <xdr:ext cx="228600" cy="266700"/>
    <xdr:pic>
      <xdr:nvPicPr>
        <xdr:cNvPr id="0" name="image14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180975</xdr:rowOff>
    </xdr:from>
    <xdr:ext cx="228600" cy="266700"/>
    <xdr:pic>
      <xdr:nvPicPr>
        <xdr:cNvPr id="0" name="image14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247650</xdr:colOff>
      <xdr:row>22</xdr:row>
      <xdr:rowOff>9525</xdr:rowOff>
    </xdr:from>
    <xdr:ext cx="228600" cy="266700"/>
    <xdr:pic>
      <xdr:nvPicPr>
        <xdr:cNvPr id="0" name="image1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21</xdr:row>
      <xdr:rowOff>180975</xdr:rowOff>
    </xdr:from>
    <xdr:ext cx="228600" cy="266700"/>
    <xdr:pic>
      <xdr:nvPicPr>
        <xdr:cNvPr id="0" name="image14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21</xdr:row>
      <xdr:rowOff>180975</xdr:rowOff>
    </xdr:from>
    <xdr:ext cx="228600" cy="266700"/>
    <xdr:pic>
      <xdr:nvPicPr>
        <xdr:cNvPr id="0" name="image14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257175</xdr:colOff>
      <xdr:row>21</xdr:row>
      <xdr:rowOff>161925</xdr:rowOff>
    </xdr:from>
    <xdr:ext cx="228600" cy="266700"/>
    <xdr:pic>
      <xdr:nvPicPr>
        <xdr:cNvPr id="0" name="image14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21</xdr:row>
      <xdr:rowOff>180975</xdr:rowOff>
    </xdr:from>
    <xdr:ext cx="228600" cy="266700"/>
    <xdr:pic>
      <xdr:nvPicPr>
        <xdr:cNvPr id="0" name="image14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30</xdr:row>
      <xdr:rowOff>0</xdr:rowOff>
    </xdr:from>
    <xdr:ext cx="228600" cy="266700"/>
    <xdr:pic>
      <xdr:nvPicPr>
        <xdr:cNvPr id="0" name="image14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30</xdr:row>
      <xdr:rowOff>0</xdr:rowOff>
    </xdr:from>
    <xdr:ext cx="228600" cy="266700"/>
    <xdr:pic>
      <xdr:nvPicPr>
        <xdr:cNvPr id="0" name="image14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30</xdr:row>
      <xdr:rowOff>0</xdr:rowOff>
    </xdr:from>
    <xdr:ext cx="228600" cy="266700"/>
    <xdr:pic>
      <xdr:nvPicPr>
        <xdr:cNvPr id="0" name="image15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38</xdr:row>
      <xdr:rowOff>0</xdr:rowOff>
    </xdr:from>
    <xdr:ext cx="228600" cy="266700"/>
    <xdr:pic>
      <xdr:nvPicPr>
        <xdr:cNvPr id="0" name="image15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38</xdr:row>
      <xdr:rowOff>0</xdr:rowOff>
    </xdr:from>
    <xdr:ext cx="228600" cy="266700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</xdr:row>
      <xdr:rowOff>9525</xdr:rowOff>
    </xdr:from>
    <xdr:ext cx="228600" cy="266700"/>
    <xdr:pic>
      <xdr:nvPicPr>
        <xdr:cNvPr id="0" name="image15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46</xdr:row>
      <xdr:rowOff>0</xdr:rowOff>
    </xdr:from>
    <xdr:ext cx="228600" cy="266700"/>
    <xdr:pic>
      <xdr:nvPicPr>
        <xdr:cNvPr id="0" name="image15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46</xdr:row>
      <xdr:rowOff>0</xdr:rowOff>
    </xdr:from>
    <xdr:ext cx="228600" cy="266700"/>
    <xdr:pic>
      <xdr:nvPicPr>
        <xdr:cNvPr id="0" name="image15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46</xdr:row>
      <xdr:rowOff>0</xdr:rowOff>
    </xdr:from>
    <xdr:ext cx="228600" cy="266700"/>
    <xdr:pic>
      <xdr:nvPicPr>
        <xdr:cNvPr id="0" name="image15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46</xdr:row>
      <xdr:rowOff>0</xdr:rowOff>
    </xdr:from>
    <xdr:ext cx="228600" cy="266700"/>
    <xdr:pic>
      <xdr:nvPicPr>
        <xdr:cNvPr id="0" name="image1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46</xdr:row>
      <xdr:rowOff>0</xdr:rowOff>
    </xdr:from>
    <xdr:ext cx="228600" cy="266700"/>
    <xdr:pic>
      <xdr:nvPicPr>
        <xdr:cNvPr id="0" name="image15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46</xdr:row>
      <xdr:rowOff>0</xdr:rowOff>
    </xdr:from>
    <xdr:ext cx="228600" cy="266700"/>
    <xdr:pic>
      <xdr:nvPicPr>
        <xdr:cNvPr id="0" name="image15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46</xdr:row>
      <xdr:rowOff>0</xdr:rowOff>
    </xdr:from>
    <xdr:ext cx="228600" cy="266700"/>
    <xdr:pic>
      <xdr:nvPicPr>
        <xdr:cNvPr id="0" name="image16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46</xdr:row>
      <xdr:rowOff>0</xdr:rowOff>
    </xdr:from>
    <xdr:ext cx="228600" cy="266700"/>
    <xdr:pic>
      <xdr:nvPicPr>
        <xdr:cNvPr id="0" name="image16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46</xdr:row>
      <xdr:rowOff>0</xdr:rowOff>
    </xdr:from>
    <xdr:ext cx="228600" cy="266700"/>
    <xdr:pic>
      <xdr:nvPicPr>
        <xdr:cNvPr id="0" name="image16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228600" cy="266700"/>
    <xdr:pic>
      <xdr:nvPicPr>
        <xdr:cNvPr id="0" name="image16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</xdr:row>
      <xdr:rowOff>0</xdr:rowOff>
    </xdr:from>
    <xdr:ext cx="228600" cy="266700"/>
    <xdr:pic>
      <xdr:nvPicPr>
        <xdr:cNvPr id="0" name="image16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54</xdr:row>
      <xdr:rowOff>0</xdr:rowOff>
    </xdr:from>
    <xdr:ext cx="228600" cy="266700"/>
    <xdr:pic>
      <xdr:nvPicPr>
        <xdr:cNvPr id="0" name="image16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54</xdr:row>
      <xdr:rowOff>0</xdr:rowOff>
    </xdr:from>
    <xdr:ext cx="228600" cy="266700"/>
    <xdr:pic>
      <xdr:nvPicPr>
        <xdr:cNvPr id="0" name="image1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54</xdr:row>
      <xdr:rowOff>0</xdr:rowOff>
    </xdr:from>
    <xdr:ext cx="228600" cy="266700"/>
    <xdr:pic>
      <xdr:nvPicPr>
        <xdr:cNvPr id="0" name="image16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54</xdr:row>
      <xdr:rowOff>0</xdr:rowOff>
    </xdr:from>
    <xdr:ext cx="228600" cy="266700"/>
    <xdr:pic>
      <xdr:nvPicPr>
        <xdr:cNvPr id="0" name="image16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54</xdr:row>
      <xdr:rowOff>0</xdr:rowOff>
    </xdr:from>
    <xdr:ext cx="228600" cy="266700"/>
    <xdr:pic>
      <xdr:nvPicPr>
        <xdr:cNvPr id="0" name="image16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62</xdr:row>
      <xdr:rowOff>0</xdr:rowOff>
    </xdr:from>
    <xdr:ext cx="228600" cy="266700"/>
    <xdr:pic>
      <xdr:nvPicPr>
        <xdr:cNvPr id="0" name="image17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62</xdr:row>
      <xdr:rowOff>0</xdr:rowOff>
    </xdr:from>
    <xdr:ext cx="228600" cy="266700"/>
    <xdr:pic>
      <xdr:nvPicPr>
        <xdr:cNvPr id="0" name="image17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62</xdr:row>
      <xdr:rowOff>0</xdr:rowOff>
    </xdr:from>
    <xdr:ext cx="228600" cy="266700"/>
    <xdr:pic>
      <xdr:nvPicPr>
        <xdr:cNvPr id="0" name="image1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9525</xdr:colOff>
      <xdr:row>62</xdr:row>
      <xdr:rowOff>0</xdr:rowOff>
    </xdr:from>
    <xdr:ext cx="228600" cy="266700"/>
    <xdr:pic>
      <xdr:nvPicPr>
        <xdr:cNvPr id="0" name="image17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228600" cy="266700"/>
    <xdr:pic>
      <xdr:nvPicPr>
        <xdr:cNvPr id="0" name="image17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70</xdr:row>
      <xdr:rowOff>0</xdr:rowOff>
    </xdr:from>
    <xdr:ext cx="228600" cy="266700"/>
    <xdr:pic>
      <xdr:nvPicPr>
        <xdr:cNvPr id="0" name="image17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70</xdr:row>
      <xdr:rowOff>0</xdr:rowOff>
    </xdr:from>
    <xdr:ext cx="228600" cy="266700"/>
    <xdr:pic>
      <xdr:nvPicPr>
        <xdr:cNvPr id="0" name="image17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70</xdr:row>
      <xdr:rowOff>0</xdr:rowOff>
    </xdr:from>
    <xdr:ext cx="228600" cy="266700"/>
    <xdr:pic>
      <xdr:nvPicPr>
        <xdr:cNvPr id="0" name="image17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70</xdr:row>
      <xdr:rowOff>0</xdr:rowOff>
    </xdr:from>
    <xdr:ext cx="228600" cy="266700"/>
    <xdr:pic>
      <xdr:nvPicPr>
        <xdr:cNvPr id="0" name="image17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70</xdr:row>
      <xdr:rowOff>0</xdr:rowOff>
    </xdr:from>
    <xdr:ext cx="228600" cy="266700"/>
    <xdr:pic>
      <xdr:nvPicPr>
        <xdr:cNvPr id="0" name="image17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78</xdr:row>
      <xdr:rowOff>0</xdr:rowOff>
    </xdr:from>
    <xdr:ext cx="228600" cy="266700"/>
    <xdr:pic>
      <xdr:nvPicPr>
        <xdr:cNvPr id="0" name="image18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86</xdr:row>
      <xdr:rowOff>0</xdr:rowOff>
    </xdr:from>
    <xdr:ext cx="228600" cy="266700"/>
    <xdr:pic>
      <xdr:nvPicPr>
        <xdr:cNvPr id="0" name="image18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86</xdr:row>
      <xdr:rowOff>0</xdr:rowOff>
    </xdr:from>
    <xdr:ext cx="228600" cy="266700"/>
    <xdr:pic>
      <xdr:nvPicPr>
        <xdr:cNvPr id="0" name="image18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86</xdr:row>
      <xdr:rowOff>0</xdr:rowOff>
    </xdr:from>
    <xdr:ext cx="228600" cy="266700"/>
    <xdr:pic>
      <xdr:nvPicPr>
        <xdr:cNvPr id="0" name="image18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94</xdr:row>
      <xdr:rowOff>0</xdr:rowOff>
    </xdr:from>
    <xdr:ext cx="228600" cy="266700"/>
    <xdr:pic>
      <xdr:nvPicPr>
        <xdr:cNvPr id="0" name="image18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94</xdr:row>
      <xdr:rowOff>0</xdr:rowOff>
    </xdr:from>
    <xdr:ext cx="228600" cy="266700"/>
    <xdr:pic>
      <xdr:nvPicPr>
        <xdr:cNvPr id="0" name="image18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94</xdr:row>
      <xdr:rowOff>0</xdr:rowOff>
    </xdr:from>
    <xdr:ext cx="228600" cy="266700"/>
    <xdr:pic>
      <xdr:nvPicPr>
        <xdr:cNvPr id="0" name="image18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94</xdr:row>
      <xdr:rowOff>0</xdr:rowOff>
    </xdr:from>
    <xdr:ext cx="228600" cy="266700"/>
    <xdr:pic>
      <xdr:nvPicPr>
        <xdr:cNvPr id="0" name="image18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94</xdr:row>
      <xdr:rowOff>0</xdr:rowOff>
    </xdr:from>
    <xdr:ext cx="228600" cy="266700"/>
    <xdr:pic>
      <xdr:nvPicPr>
        <xdr:cNvPr id="0" name="image18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94</xdr:row>
      <xdr:rowOff>0</xdr:rowOff>
    </xdr:from>
    <xdr:ext cx="228600" cy="266700"/>
    <xdr:pic>
      <xdr:nvPicPr>
        <xdr:cNvPr id="0" name="image18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94</xdr:row>
      <xdr:rowOff>0</xdr:rowOff>
    </xdr:from>
    <xdr:ext cx="228600" cy="266700"/>
    <xdr:pic>
      <xdr:nvPicPr>
        <xdr:cNvPr id="0" name="image19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94</xdr:row>
      <xdr:rowOff>0</xdr:rowOff>
    </xdr:from>
    <xdr:ext cx="228600" cy="266700"/>
    <xdr:pic>
      <xdr:nvPicPr>
        <xdr:cNvPr id="0" name="image19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9525</xdr:colOff>
      <xdr:row>93</xdr:row>
      <xdr:rowOff>171450</xdr:rowOff>
    </xdr:from>
    <xdr:ext cx="228600" cy="266700"/>
    <xdr:pic>
      <xdr:nvPicPr>
        <xdr:cNvPr id="0" name="image19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102</xdr:row>
      <xdr:rowOff>0</xdr:rowOff>
    </xdr:from>
    <xdr:ext cx="228600" cy="266700"/>
    <xdr:pic>
      <xdr:nvPicPr>
        <xdr:cNvPr id="0" name="image19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102</xdr:row>
      <xdr:rowOff>0</xdr:rowOff>
    </xdr:from>
    <xdr:ext cx="228600" cy="266700"/>
    <xdr:pic>
      <xdr:nvPicPr>
        <xdr:cNvPr id="0" name="image19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102</xdr:row>
      <xdr:rowOff>0</xdr:rowOff>
    </xdr:from>
    <xdr:ext cx="228600" cy="266700"/>
    <xdr:pic>
      <xdr:nvPicPr>
        <xdr:cNvPr id="0" name="image19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102</xdr:row>
      <xdr:rowOff>0</xdr:rowOff>
    </xdr:from>
    <xdr:ext cx="228600" cy="266700"/>
    <xdr:pic>
      <xdr:nvPicPr>
        <xdr:cNvPr id="0" name="image19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102</xdr:row>
      <xdr:rowOff>0</xdr:rowOff>
    </xdr:from>
    <xdr:ext cx="228600" cy="266700"/>
    <xdr:pic>
      <xdr:nvPicPr>
        <xdr:cNvPr id="0" name="image19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102</xdr:row>
      <xdr:rowOff>0</xdr:rowOff>
    </xdr:from>
    <xdr:ext cx="228600" cy="266700"/>
    <xdr:pic>
      <xdr:nvPicPr>
        <xdr:cNvPr id="0" name="image19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247650</xdr:colOff>
      <xdr:row>5</xdr:row>
      <xdr:rowOff>180975</xdr:rowOff>
    </xdr:from>
    <xdr:ext cx="228600" cy="266700"/>
    <xdr:pic>
      <xdr:nvPicPr>
        <xdr:cNvPr id="0" name="image19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28600" cy="266700"/>
    <xdr:pic>
      <xdr:nvPicPr>
        <xdr:cNvPr id="0" name="image20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228600" cy="266700"/>
    <xdr:pic>
      <xdr:nvPicPr>
        <xdr:cNvPr id="0" name="image20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30</xdr:row>
      <xdr:rowOff>0</xdr:rowOff>
    </xdr:from>
    <xdr:ext cx="228600" cy="266700"/>
    <xdr:pic>
      <xdr:nvPicPr>
        <xdr:cNvPr id="0" name="image20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</xdr:row>
      <xdr:rowOff>0</xdr:rowOff>
    </xdr:from>
    <xdr:ext cx="228600" cy="266700"/>
    <xdr:pic>
      <xdr:nvPicPr>
        <xdr:cNvPr id="0" name="image20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54</xdr:row>
      <xdr:rowOff>0</xdr:rowOff>
    </xdr:from>
    <xdr:ext cx="228600" cy="266700"/>
    <xdr:pic>
      <xdr:nvPicPr>
        <xdr:cNvPr id="0" name="image20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28600" cy="266700"/>
    <xdr:pic>
      <xdr:nvPicPr>
        <xdr:cNvPr id="0" name="image20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70</xdr:row>
      <xdr:rowOff>0</xdr:rowOff>
    </xdr:from>
    <xdr:ext cx="228600" cy="266700"/>
    <xdr:pic>
      <xdr:nvPicPr>
        <xdr:cNvPr id="0" name="image20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70</xdr:row>
      <xdr:rowOff>0</xdr:rowOff>
    </xdr:from>
    <xdr:ext cx="228600" cy="266700"/>
    <xdr:pic>
      <xdr:nvPicPr>
        <xdr:cNvPr id="0" name="image20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70</xdr:row>
      <xdr:rowOff>0</xdr:rowOff>
    </xdr:from>
    <xdr:ext cx="228600" cy="266700"/>
    <xdr:pic>
      <xdr:nvPicPr>
        <xdr:cNvPr id="0" name="image20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70</xdr:row>
      <xdr:rowOff>0</xdr:rowOff>
    </xdr:from>
    <xdr:ext cx="228600" cy="266700"/>
    <xdr:pic>
      <xdr:nvPicPr>
        <xdr:cNvPr id="0" name="image20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78</xdr:row>
      <xdr:rowOff>0</xdr:rowOff>
    </xdr:from>
    <xdr:ext cx="228600" cy="266700"/>
    <xdr:pic>
      <xdr:nvPicPr>
        <xdr:cNvPr id="0" name="image2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78</xdr:row>
      <xdr:rowOff>0</xdr:rowOff>
    </xdr:from>
    <xdr:ext cx="228600" cy="266700"/>
    <xdr:pic>
      <xdr:nvPicPr>
        <xdr:cNvPr id="0" name="image2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78</xdr:row>
      <xdr:rowOff>0</xdr:rowOff>
    </xdr:from>
    <xdr:ext cx="228600" cy="266700"/>
    <xdr:pic>
      <xdr:nvPicPr>
        <xdr:cNvPr id="0" name="image2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78</xdr:row>
      <xdr:rowOff>0</xdr:rowOff>
    </xdr:from>
    <xdr:ext cx="228600" cy="266700"/>
    <xdr:pic>
      <xdr:nvPicPr>
        <xdr:cNvPr id="0" name="image2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86</xdr:row>
      <xdr:rowOff>0</xdr:rowOff>
    </xdr:from>
    <xdr:ext cx="228600" cy="266700"/>
    <xdr:pic>
      <xdr:nvPicPr>
        <xdr:cNvPr id="0" name="image2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86</xdr:row>
      <xdr:rowOff>0</xdr:rowOff>
    </xdr:from>
    <xdr:ext cx="228600" cy="266700"/>
    <xdr:pic>
      <xdr:nvPicPr>
        <xdr:cNvPr id="0" name="image2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86</xdr:row>
      <xdr:rowOff>0</xdr:rowOff>
    </xdr:from>
    <xdr:ext cx="228600" cy="266700"/>
    <xdr:pic>
      <xdr:nvPicPr>
        <xdr:cNvPr id="0" name="image2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86</xdr:row>
      <xdr:rowOff>0</xdr:rowOff>
    </xdr:from>
    <xdr:ext cx="228600" cy="266700"/>
    <xdr:pic>
      <xdr:nvPicPr>
        <xdr:cNvPr id="0" name="image2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86</xdr:row>
      <xdr:rowOff>0</xdr:rowOff>
    </xdr:from>
    <xdr:ext cx="228600" cy="266700"/>
    <xdr:pic>
      <xdr:nvPicPr>
        <xdr:cNvPr id="0" name="image2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28600" cy="266700"/>
    <xdr:pic>
      <xdr:nvPicPr>
        <xdr:cNvPr id="0" name="image21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102</xdr:row>
      <xdr:rowOff>0</xdr:rowOff>
    </xdr:from>
    <xdr:ext cx="228600" cy="266700"/>
    <xdr:pic>
      <xdr:nvPicPr>
        <xdr:cNvPr id="0" name="image2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102</xdr:row>
      <xdr:rowOff>0</xdr:rowOff>
    </xdr:from>
    <xdr:ext cx="228600" cy="266700"/>
    <xdr:pic>
      <xdr:nvPicPr>
        <xdr:cNvPr id="0" name="image2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102</xdr:row>
      <xdr:rowOff>0</xdr:rowOff>
    </xdr:from>
    <xdr:ext cx="228600" cy="266700"/>
    <xdr:pic>
      <xdr:nvPicPr>
        <xdr:cNvPr id="0" name="image2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102</xdr:row>
      <xdr:rowOff>0</xdr:rowOff>
    </xdr:from>
    <xdr:ext cx="228600" cy="266700"/>
    <xdr:pic>
      <xdr:nvPicPr>
        <xdr:cNvPr id="0" name="image22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110</xdr:row>
      <xdr:rowOff>0</xdr:rowOff>
    </xdr:from>
    <xdr:ext cx="228600" cy="266700"/>
    <xdr:pic>
      <xdr:nvPicPr>
        <xdr:cNvPr id="0" name="image2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110</xdr:row>
      <xdr:rowOff>0</xdr:rowOff>
    </xdr:from>
    <xdr:ext cx="228600" cy="266700"/>
    <xdr:pic>
      <xdr:nvPicPr>
        <xdr:cNvPr id="0" name="image2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110</xdr:row>
      <xdr:rowOff>0</xdr:rowOff>
    </xdr:from>
    <xdr:ext cx="228600" cy="266700"/>
    <xdr:pic>
      <xdr:nvPicPr>
        <xdr:cNvPr id="0" name="image2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110</xdr:row>
      <xdr:rowOff>0</xdr:rowOff>
    </xdr:from>
    <xdr:ext cx="228600" cy="266700"/>
    <xdr:pic>
      <xdr:nvPicPr>
        <xdr:cNvPr id="0" name="image2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110</xdr:row>
      <xdr:rowOff>0</xdr:rowOff>
    </xdr:from>
    <xdr:ext cx="228600" cy="266700"/>
    <xdr:pic>
      <xdr:nvPicPr>
        <xdr:cNvPr id="0" name="image2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110</xdr:row>
      <xdr:rowOff>0</xdr:rowOff>
    </xdr:from>
    <xdr:ext cx="228600" cy="266700"/>
    <xdr:pic>
      <xdr:nvPicPr>
        <xdr:cNvPr id="0" name="image22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110</xdr:row>
      <xdr:rowOff>0</xdr:rowOff>
    </xdr:from>
    <xdr:ext cx="228600" cy="266700"/>
    <xdr:pic>
      <xdr:nvPicPr>
        <xdr:cNvPr id="0" name="image23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118</xdr:row>
      <xdr:rowOff>0</xdr:rowOff>
    </xdr:from>
    <xdr:ext cx="228600" cy="266700"/>
    <xdr:pic>
      <xdr:nvPicPr>
        <xdr:cNvPr id="0" name="image23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118</xdr:row>
      <xdr:rowOff>0</xdr:rowOff>
    </xdr:from>
    <xdr:ext cx="228600" cy="266700"/>
    <xdr:pic>
      <xdr:nvPicPr>
        <xdr:cNvPr id="0" name="image2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28600" cy="266700"/>
    <xdr:pic>
      <xdr:nvPicPr>
        <xdr:cNvPr id="0" name="image23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126</xdr:row>
      <xdr:rowOff>0</xdr:rowOff>
    </xdr:from>
    <xdr:ext cx="228600" cy="266700"/>
    <xdr:pic>
      <xdr:nvPicPr>
        <xdr:cNvPr id="0" name="image23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125</xdr:row>
      <xdr:rowOff>171450</xdr:rowOff>
    </xdr:from>
    <xdr:ext cx="228600" cy="266700"/>
    <xdr:pic>
      <xdr:nvPicPr>
        <xdr:cNvPr id="0" name="image23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134</xdr:row>
      <xdr:rowOff>0</xdr:rowOff>
    </xdr:from>
    <xdr:ext cx="228600" cy="266700"/>
    <xdr:pic>
      <xdr:nvPicPr>
        <xdr:cNvPr id="0" name="image23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134</xdr:row>
      <xdr:rowOff>0</xdr:rowOff>
    </xdr:from>
    <xdr:ext cx="228600" cy="266700"/>
    <xdr:pic>
      <xdr:nvPicPr>
        <xdr:cNvPr id="0" name="image2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134</xdr:row>
      <xdr:rowOff>0</xdr:rowOff>
    </xdr:from>
    <xdr:ext cx="228600" cy="266700"/>
    <xdr:pic>
      <xdr:nvPicPr>
        <xdr:cNvPr id="0" name="image2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134</xdr:row>
      <xdr:rowOff>0</xdr:rowOff>
    </xdr:from>
    <xdr:ext cx="228600" cy="266700"/>
    <xdr:pic>
      <xdr:nvPicPr>
        <xdr:cNvPr id="0" name="image2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134</xdr:row>
      <xdr:rowOff>0</xdr:rowOff>
    </xdr:from>
    <xdr:ext cx="228600" cy="266700"/>
    <xdr:pic>
      <xdr:nvPicPr>
        <xdr:cNvPr id="0" name="image24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142</xdr:row>
      <xdr:rowOff>0</xdr:rowOff>
    </xdr:from>
    <xdr:ext cx="228600" cy="266700"/>
    <xdr:pic>
      <xdr:nvPicPr>
        <xdr:cNvPr id="0" name="image24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142</xdr:row>
      <xdr:rowOff>0</xdr:rowOff>
    </xdr:from>
    <xdr:ext cx="228600" cy="266700"/>
    <xdr:pic>
      <xdr:nvPicPr>
        <xdr:cNvPr id="0" name="image24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142</xdr:row>
      <xdr:rowOff>0</xdr:rowOff>
    </xdr:from>
    <xdr:ext cx="228600" cy="266700"/>
    <xdr:pic>
      <xdr:nvPicPr>
        <xdr:cNvPr id="0" name="image2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142</xdr:row>
      <xdr:rowOff>0</xdr:rowOff>
    </xdr:from>
    <xdr:ext cx="228600" cy="266700"/>
    <xdr:pic>
      <xdr:nvPicPr>
        <xdr:cNvPr id="0" name="image24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142</xdr:row>
      <xdr:rowOff>0</xdr:rowOff>
    </xdr:from>
    <xdr:ext cx="228600" cy="266700"/>
    <xdr:pic>
      <xdr:nvPicPr>
        <xdr:cNvPr id="0" name="image24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142</xdr:row>
      <xdr:rowOff>0</xdr:rowOff>
    </xdr:from>
    <xdr:ext cx="228600" cy="266700"/>
    <xdr:pic>
      <xdr:nvPicPr>
        <xdr:cNvPr id="0" name="image24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142</xdr:row>
      <xdr:rowOff>0</xdr:rowOff>
    </xdr:from>
    <xdr:ext cx="228600" cy="266700"/>
    <xdr:pic>
      <xdr:nvPicPr>
        <xdr:cNvPr id="0" name="image24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158</xdr:row>
      <xdr:rowOff>0</xdr:rowOff>
    </xdr:from>
    <xdr:ext cx="228600" cy="266700"/>
    <xdr:pic>
      <xdr:nvPicPr>
        <xdr:cNvPr id="0" name="image24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166</xdr:row>
      <xdr:rowOff>0</xdr:rowOff>
    </xdr:from>
    <xdr:ext cx="228600" cy="266700"/>
    <xdr:pic>
      <xdr:nvPicPr>
        <xdr:cNvPr id="0" name="image24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166</xdr:row>
      <xdr:rowOff>0</xdr:rowOff>
    </xdr:from>
    <xdr:ext cx="228600" cy="266700"/>
    <xdr:pic>
      <xdr:nvPicPr>
        <xdr:cNvPr id="0" name="image25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174</xdr:row>
      <xdr:rowOff>0</xdr:rowOff>
    </xdr:from>
    <xdr:ext cx="228600" cy="266700"/>
    <xdr:pic>
      <xdr:nvPicPr>
        <xdr:cNvPr id="0" name="image25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174</xdr:row>
      <xdr:rowOff>0</xdr:rowOff>
    </xdr:from>
    <xdr:ext cx="228600" cy="266700"/>
    <xdr:pic>
      <xdr:nvPicPr>
        <xdr:cNvPr id="0" name="image2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174</xdr:row>
      <xdr:rowOff>0</xdr:rowOff>
    </xdr:from>
    <xdr:ext cx="228600" cy="266700"/>
    <xdr:pic>
      <xdr:nvPicPr>
        <xdr:cNvPr id="0" name="image25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142875</xdr:colOff>
      <xdr:row>37</xdr:row>
      <xdr:rowOff>180975</xdr:rowOff>
    </xdr:from>
    <xdr:ext cx="228600" cy="266700"/>
    <xdr:pic>
      <xdr:nvPicPr>
        <xdr:cNvPr id="0" name="image25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118</xdr:row>
      <xdr:rowOff>0</xdr:rowOff>
    </xdr:from>
    <xdr:ext cx="228600" cy="266700"/>
    <xdr:pic>
      <xdr:nvPicPr>
        <xdr:cNvPr id="0" name="image25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174</xdr:row>
      <xdr:rowOff>0</xdr:rowOff>
    </xdr:from>
    <xdr:ext cx="228600" cy="266700"/>
    <xdr:pic>
      <xdr:nvPicPr>
        <xdr:cNvPr id="0" name="image25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166</xdr:row>
      <xdr:rowOff>0</xdr:rowOff>
    </xdr:from>
    <xdr:ext cx="228600" cy="266700"/>
    <xdr:pic>
      <xdr:nvPicPr>
        <xdr:cNvPr id="0" name="image2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166</xdr:row>
      <xdr:rowOff>0</xdr:rowOff>
    </xdr:from>
    <xdr:ext cx="228600" cy="266700"/>
    <xdr:pic>
      <xdr:nvPicPr>
        <xdr:cNvPr id="0" name="image25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166</xdr:row>
      <xdr:rowOff>0</xdr:rowOff>
    </xdr:from>
    <xdr:ext cx="228600" cy="266700"/>
    <xdr:pic>
      <xdr:nvPicPr>
        <xdr:cNvPr id="0" name="image25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9525</xdr:colOff>
      <xdr:row>157</xdr:row>
      <xdr:rowOff>171450</xdr:rowOff>
    </xdr:from>
    <xdr:ext cx="228600" cy="266700"/>
    <xdr:pic>
      <xdr:nvPicPr>
        <xdr:cNvPr id="0" name="image26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142</xdr:row>
      <xdr:rowOff>0</xdr:rowOff>
    </xdr:from>
    <xdr:ext cx="228600" cy="266700"/>
    <xdr:pic>
      <xdr:nvPicPr>
        <xdr:cNvPr id="0" name="image26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142</xdr:row>
      <xdr:rowOff>0</xdr:rowOff>
    </xdr:from>
    <xdr:ext cx="228600" cy="266700"/>
    <xdr:pic>
      <xdr:nvPicPr>
        <xdr:cNvPr id="0" name="image26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19050</xdr:colOff>
      <xdr:row>134</xdr:row>
      <xdr:rowOff>9525</xdr:rowOff>
    </xdr:from>
    <xdr:ext cx="228600" cy="266700"/>
    <xdr:pic>
      <xdr:nvPicPr>
        <xdr:cNvPr id="0" name="image26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126</xdr:row>
      <xdr:rowOff>0</xdr:rowOff>
    </xdr:from>
    <xdr:ext cx="228600" cy="266700"/>
    <xdr:pic>
      <xdr:nvPicPr>
        <xdr:cNvPr id="0" name="image26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78</xdr:row>
      <xdr:rowOff>0</xdr:rowOff>
    </xdr:from>
    <xdr:ext cx="228600" cy="266700"/>
    <xdr:pic>
      <xdr:nvPicPr>
        <xdr:cNvPr id="0" name="image26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118</xdr:row>
      <xdr:rowOff>0</xdr:rowOff>
    </xdr:from>
    <xdr:ext cx="228600" cy="2667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86</xdr:row>
      <xdr:rowOff>0</xdr:rowOff>
    </xdr:from>
    <xdr:ext cx="228600" cy="266700"/>
    <xdr:pic>
      <xdr:nvPicPr>
        <xdr:cNvPr id="0" name="image26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228600" cy="266700"/>
    <xdr:pic>
      <xdr:nvPicPr>
        <xdr:cNvPr id="0" name="image26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30</xdr:row>
      <xdr:rowOff>0</xdr:rowOff>
    </xdr:from>
    <xdr:ext cx="228600" cy="266700"/>
    <xdr:pic>
      <xdr:nvPicPr>
        <xdr:cNvPr id="0" name="image26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14</xdr:row>
      <xdr:rowOff>0</xdr:rowOff>
    </xdr:from>
    <xdr:ext cx="228600" cy="266700"/>
    <xdr:pic>
      <xdr:nvPicPr>
        <xdr:cNvPr id="0" name="image27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22</xdr:row>
      <xdr:rowOff>0</xdr:rowOff>
    </xdr:from>
    <xdr:ext cx="228600" cy="266700"/>
    <xdr:pic>
      <xdr:nvPicPr>
        <xdr:cNvPr id="0" name="image27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86</xdr:row>
      <xdr:rowOff>0</xdr:rowOff>
    </xdr:from>
    <xdr:ext cx="228600" cy="266700"/>
    <xdr:pic>
      <xdr:nvPicPr>
        <xdr:cNvPr id="0" name="image2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</xdr:row>
      <xdr:rowOff>0</xdr:rowOff>
    </xdr:from>
    <xdr:ext cx="228600" cy="266700"/>
    <xdr:pic>
      <xdr:nvPicPr>
        <xdr:cNvPr id="0" name="image27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22</xdr:row>
      <xdr:rowOff>0</xdr:rowOff>
    </xdr:from>
    <xdr:ext cx="228600" cy="266700"/>
    <xdr:pic>
      <xdr:nvPicPr>
        <xdr:cNvPr id="0" name="image27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171450</xdr:colOff>
      <xdr:row>30</xdr:row>
      <xdr:rowOff>0</xdr:rowOff>
    </xdr:from>
    <xdr:ext cx="228600" cy="266700"/>
    <xdr:pic>
      <xdr:nvPicPr>
        <xdr:cNvPr id="0" name="image27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126</xdr:row>
      <xdr:rowOff>0</xdr:rowOff>
    </xdr:from>
    <xdr:ext cx="228600" cy="266700"/>
    <xdr:pic>
      <xdr:nvPicPr>
        <xdr:cNvPr id="0" name="image27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126</xdr:row>
      <xdr:rowOff>0</xdr:rowOff>
    </xdr:from>
    <xdr:ext cx="228600" cy="266700"/>
    <xdr:pic>
      <xdr:nvPicPr>
        <xdr:cNvPr id="0" name="image27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54</xdr:row>
      <xdr:rowOff>0</xdr:rowOff>
    </xdr:from>
    <xdr:ext cx="228600" cy="266700"/>
    <xdr:pic>
      <xdr:nvPicPr>
        <xdr:cNvPr id="0" name="image27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62</xdr:row>
      <xdr:rowOff>0</xdr:rowOff>
    </xdr:from>
    <xdr:ext cx="228600" cy="266700"/>
    <xdr:pic>
      <xdr:nvPicPr>
        <xdr:cNvPr id="0" name="image27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62</xdr:row>
      <xdr:rowOff>0</xdr:rowOff>
    </xdr:from>
    <xdr:ext cx="228600" cy="266700"/>
    <xdr:pic>
      <xdr:nvPicPr>
        <xdr:cNvPr id="0" name="image28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166</xdr:row>
      <xdr:rowOff>0</xdr:rowOff>
    </xdr:from>
    <xdr:ext cx="228600" cy="266700"/>
    <xdr:pic>
      <xdr:nvPicPr>
        <xdr:cNvPr id="0" name="image28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</xdr:row>
      <xdr:rowOff>0</xdr:rowOff>
    </xdr:from>
    <xdr:ext cx="228600" cy="266700"/>
    <xdr:pic>
      <xdr:nvPicPr>
        <xdr:cNvPr id="0" name="image28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30</xdr:row>
      <xdr:rowOff>0</xdr:rowOff>
    </xdr:from>
    <xdr:ext cx="228600" cy="266700"/>
    <xdr:pic>
      <xdr:nvPicPr>
        <xdr:cNvPr id="0" name="image28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22</xdr:row>
      <xdr:rowOff>0</xdr:rowOff>
    </xdr:from>
    <xdr:ext cx="228600" cy="266700"/>
    <xdr:pic>
      <xdr:nvPicPr>
        <xdr:cNvPr id="0" name="image28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118</xdr:row>
      <xdr:rowOff>0</xdr:rowOff>
    </xdr:from>
    <xdr:ext cx="228600" cy="266700"/>
    <xdr:pic>
      <xdr:nvPicPr>
        <xdr:cNvPr id="0" name="image28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174</xdr:row>
      <xdr:rowOff>0</xdr:rowOff>
    </xdr:from>
    <xdr:ext cx="228600" cy="266700"/>
    <xdr:pic>
      <xdr:nvPicPr>
        <xdr:cNvPr id="0" name="image28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126</xdr:row>
      <xdr:rowOff>0</xdr:rowOff>
    </xdr:from>
    <xdr:ext cx="228600" cy="266700"/>
    <xdr:pic>
      <xdr:nvPicPr>
        <xdr:cNvPr id="0" name="image28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54</xdr:row>
      <xdr:rowOff>0</xdr:rowOff>
    </xdr:from>
    <xdr:ext cx="228600" cy="266700"/>
    <xdr:pic>
      <xdr:nvPicPr>
        <xdr:cNvPr id="0" name="image28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</xdr:row>
      <xdr:rowOff>0</xdr:rowOff>
    </xdr:from>
    <xdr:ext cx="228600" cy="266700"/>
    <xdr:pic>
      <xdr:nvPicPr>
        <xdr:cNvPr id="0" name="image28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46</xdr:row>
      <xdr:rowOff>0</xdr:rowOff>
    </xdr:from>
    <xdr:ext cx="228600" cy="266700"/>
    <xdr:pic>
      <xdr:nvPicPr>
        <xdr:cNvPr id="0" name="image29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126</xdr:row>
      <xdr:rowOff>0</xdr:rowOff>
    </xdr:from>
    <xdr:ext cx="228600" cy="266700"/>
    <xdr:pic>
      <xdr:nvPicPr>
        <xdr:cNvPr id="0" name="image29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46</xdr:row>
      <xdr:rowOff>0</xdr:rowOff>
    </xdr:from>
    <xdr:ext cx="228600" cy="266700"/>
    <xdr:pic>
      <xdr:nvPicPr>
        <xdr:cNvPr id="0" name="image29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166</xdr:row>
      <xdr:rowOff>0</xdr:rowOff>
    </xdr:from>
    <xdr:ext cx="228600" cy="266700"/>
    <xdr:pic>
      <xdr:nvPicPr>
        <xdr:cNvPr id="0" name="image29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166</xdr:row>
      <xdr:rowOff>0</xdr:rowOff>
    </xdr:from>
    <xdr:ext cx="228600" cy="266700"/>
    <xdr:pic>
      <xdr:nvPicPr>
        <xdr:cNvPr id="0" name="image29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126</xdr:row>
      <xdr:rowOff>0</xdr:rowOff>
    </xdr:from>
    <xdr:ext cx="228600" cy="266700"/>
    <xdr:pic>
      <xdr:nvPicPr>
        <xdr:cNvPr id="0" name="image29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126</xdr:row>
      <xdr:rowOff>0</xdr:rowOff>
    </xdr:from>
    <xdr:ext cx="228600" cy="266700"/>
    <xdr:pic>
      <xdr:nvPicPr>
        <xdr:cNvPr id="0" name="image29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166</xdr:row>
      <xdr:rowOff>0</xdr:rowOff>
    </xdr:from>
    <xdr:ext cx="228600" cy="266700"/>
    <xdr:pic>
      <xdr:nvPicPr>
        <xdr:cNvPr id="0" name="image29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54</xdr:row>
      <xdr:rowOff>0</xdr:rowOff>
    </xdr:from>
    <xdr:ext cx="228600" cy="266700"/>
    <xdr:pic>
      <xdr:nvPicPr>
        <xdr:cNvPr id="0" name="image29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174</xdr:row>
      <xdr:rowOff>0</xdr:rowOff>
    </xdr:from>
    <xdr:ext cx="228600" cy="266700"/>
    <xdr:pic>
      <xdr:nvPicPr>
        <xdr:cNvPr id="0" name="image29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118</xdr:row>
      <xdr:rowOff>0</xdr:rowOff>
    </xdr:from>
    <xdr:ext cx="228600" cy="266700"/>
    <xdr:pic>
      <xdr:nvPicPr>
        <xdr:cNvPr id="0" name="image30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166</xdr:row>
      <xdr:rowOff>0</xdr:rowOff>
    </xdr:from>
    <xdr:ext cx="228600" cy="266700"/>
    <xdr:pic>
      <xdr:nvPicPr>
        <xdr:cNvPr id="0" name="image30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174</xdr:row>
      <xdr:rowOff>0</xdr:rowOff>
    </xdr:from>
    <xdr:ext cx="228600" cy="266700"/>
    <xdr:pic>
      <xdr:nvPicPr>
        <xdr:cNvPr id="0" name="image30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14</xdr:row>
      <xdr:rowOff>0</xdr:rowOff>
    </xdr:from>
    <xdr:ext cx="228600" cy="266700"/>
    <xdr:pic>
      <xdr:nvPicPr>
        <xdr:cNvPr id="0" name="image30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62</xdr:row>
      <xdr:rowOff>0</xdr:rowOff>
    </xdr:from>
    <xdr:ext cx="228600" cy="266700"/>
    <xdr:pic>
      <xdr:nvPicPr>
        <xdr:cNvPr id="0" name="image30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166</xdr:row>
      <xdr:rowOff>0</xdr:rowOff>
    </xdr:from>
    <xdr:ext cx="228600" cy="266700"/>
    <xdr:pic>
      <xdr:nvPicPr>
        <xdr:cNvPr id="0" name="image30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150</xdr:row>
      <xdr:rowOff>0</xdr:rowOff>
    </xdr:from>
    <xdr:ext cx="228600" cy="266700"/>
    <xdr:pic>
      <xdr:nvPicPr>
        <xdr:cNvPr id="0" name="image30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174</xdr:row>
      <xdr:rowOff>0</xdr:rowOff>
    </xdr:from>
    <xdr:ext cx="228600" cy="266700"/>
    <xdr:pic>
      <xdr:nvPicPr>
        <xdr:cNvPr id="0" name="image30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110</xdr:row>
      <xdr:rowOff>0</xdr:rowOff>
    </xdr:from>
    <xdr:ext cx="228600" cy="266700"/>
    <xdr:pic>
      <xdr:nvPicPr>
        <xdr:cNvPr id="0" name="image30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150</xdr:row>
      <xdr:rowOff>0</xdr:rowOff>
    </xdr:from>
    <xdr:ext cx="228600" cy="266700"/>
    <xdr:pic>
      <xdr:nvPicPr>
        <xdr:cNvPr id="0" name="image30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150</xdr:row>
      <xdr:rowOff>0</xdr:rowOff>
    </xdr:from>
    <xdr:ext cx="228600" cy="266700"/>
    <xdr:pic>
      <xdr:nvPicPr>
        <xdr:cNvPr id="0" name="image3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150</xdr:row>
      <xdr:rowOff>0</xdr:rowOff>
    </xdr:from>
    <xdr:ext cx="228600" cy="266700"/>
    <xdr:pic>
      <xdr:nvPicPr>
        <xdr:cNvPr id="0" name="image3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70</xdr:row>
      <xdr:rowOff>0</xdr:rowOff>
    </xdr:from>
    <xdr:ext cx="228600" cy="266700"/>
    <xdr:pic>
      <xdr:nvPicPr>
        <xdr:cNvPr id="0" name="image3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70</xdr:row>
      <xdr:rowOff>0</xdr:rowOff>
    </xdr:from>
    <xdr:ext cx="228600" cy="266700"/>
    <xdr:pic>
      <xdr:nvPicPr>
        <xdr:cNvPr id="0" name="image3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78</xdr:row>
      <xdr:rowOff>0</xdr:rowOff>
    </xdr:from>
    <xdr:ext cx="228600" cy="266700"/>
    <xdr:pic>
      <xdr:nvPicPr>
        <xdr:cNvPr id="0" name="image3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134</xdr:row>
      <xdr:rowOff>0</xdr:rowOff>
    </xdr:from>
    <xdr:ext cx="228600" cy="266700"/>
    <xdr:pic>
      <xdr:nvPicPr>
        <xdr:cNvPr id="0" name="image3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94</xdr:row>
      <xdr:rowOff>0</xdr:rowOff>
    </xdr:from>
    <xdr:ext cx="228600" cy="266700"/>
    <xdr:pic>
      <xdr:nvPicPr>
        <xdr:cNvPr id="0" name="image3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14</xdr:row>
      <xdr:rowOff>0</xdr:rowOff>
    </xdr:from>
    <xdr:ext cx="228600" cy="266700"/>
    <xdr:pic>
      <xdr:nvPicPr>
        <xdr:cNvPr id="0" name="image3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53</xdr:row>
      <xdr:rowOff>171450</xdr:rowOff>
    </xdr:from>
    <xdr:ext cx="228600" cy="266700"/>
    <xdr:pic>
      <xdr:nvPicPr>
        <xdr:cNvPr id="0" name="image3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150</xdr:row>
      <xdr:rowOff>0</xdr:rowOff>
    </xdr:from>
    <xdr:ext cx="228600" cy="266700"/>
    <xdr:pic>
      <xdr:nvPicPr>
        <xdr:cNvPr id="0" name="image31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19050</xdr:colOff>
      <xdr:row>102</xdr:row>
      <xdr:rowOff>0</xdr:rowOff>
    </xdr:from>
    <xdr:ext cx="228600" cy="266700"/>
    <xdr:pic>
      <xdr:nvPicPr>
        <xdr:cNvPr id="0" name="image3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133</xdr:row>
      <xdr:rowOff>171450</xdr:rowOff>
    </xdr:from>
    <xdr:ext cx="228600" cy="266700"/>
    <xdr:pic>
      <xdr:nvPicPr>
        <xdr:cNvPr id="0" name="image3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247650</xdr:colOff>
      <xdr:row>78</xdr:row>
      <xdr:rowOff>0</xdr:rowOff>
    </xdr:from>
    <xdr:ext cx="228600" cy="266700"/>
    <xdr:pic>
      <xdr:nvPicPr>
        <xdr:cNvPr id="0" name="image3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57150</xdr:colOff>
      <xdr:row>30</xdr:row>
      <xdr:rowOff>47625</xdr:rowOff>
    </xdr:from>
    <xdr:ext cx="228600" cy="266700"/>
    <xdr:pic>
      <xdr:nvPicPr>
        <xdr:cNvPr id="0" name="image32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</xdr:row>
      <xdr:rowOff>171450</xdr:rowOff>
    </xdr:from>
    <xdr:ext cx="228600" cy="266700"/>
    <xdr:pic>
      <xdr:nvPicPr>
        <xdr:cNvPr id="0" name="image3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38</xdr:row>
      <xdr:rowOff>0</xdr:rowOff>
    </xdr:from>
    <xdr:ext cx="228600" cy="266700"/>
    <xdr:pic>
      <xdr:nvPicPr>
        <xdr:cNvPr id="0" name="image3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85</xdr:row>
      <xdr:rowOff>171450</xdr:rowOff>
    </xdr:from>
    <xdr:ext cx="228600" cy="266700"/>
    <xdr:pic>
      <xdr:nvPicPr>
        <xdr:cNvPr id="0" name="image3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228600</xdr:colOff>
      <xdr:row>78</xdr:row>
      <xdr:rowOff>0</xdr:rowOff>
    </xdr:from>
    <xdr:ext cx="228600" cy="266700"/>
    <xdr:pic>
      <xdr:nvPicPr>
        <xdr:cNvPr id="0" name="image3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142</xdr:row>
      <xdr:rowOff>0</xdr:rowOff>
    </xdr:from>
    <xdr:ext cx="228600" cy="266700"/>
    <xdr:pic>
      <xdr:nvPicPr>
        <xdr:cNvPr id="0" name="image3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142</xdr:row>
      <xdr:rowOff>0</xdr:rowOff>
    </xdr:from>
    <xdr:ext cx="228600" cy="266700"/>
    <xdr:pic>
      <xdr:nvPicPr>
        <xdr:cNvPr id="0" name="image32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134</xdr:row>
      <xdr:rowOff>0</xdr:rowOff>
    </xdr:from>
    <xdr:ext cx="228600" cy="266700"/>
    <xdr:pic>
      <xdr:nvPicPr>
        <xdr:cNvPr id="0" name="image33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134</xdr:row>
      <xdr:rowOff>0</xdr:rowOff>
    </xdr:from>
    <xdr:ext cx="228600" cy="266700"/>
    <xdr:pic>
      <xdr:nvPicPr>
        <xdr:cNvPr id="0" name="image33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134</xdr:row>
      <xdr:rowOff>0</xdr:rowOff>
    </xdr:from>
    <xdr:ext cx="228600" cy="266700"/>
    <xdr:pic>
      <xdr:nvPicPr>
        <xdr:cNvPr id="0" name="image3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134</xdr:row>
      <xdr:rowOff>0</xdr:rowOff>
    </xdr:from>
    <xdr:ext cx="228600" cy="266700"/>
    <xdr:pic>
      <xdr:nvPicPr>
        <xdr:cNvPr id="0" name="image33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94</xdr:row>
      <xdr:rowOff>0</xdr:rowOff>
    </xdr:from>
    <xdr:ext cx="228600" cy="266700"/>
    <xdr:pic>
      <xdr:nvPicPr>
        <xdr:cNvPr id="0" name="image33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94</xdr:row>
      <xdr:rowOff>0</xdr:rowOff>
    </xdr:from>
    <xdr:ext cx="228600" cy="266700"/>
    <xdr:pic>
      <xdr:nvPicPr>
        <xdr:cNvPr id="0" name="image33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78</xdr:row>
      <xdr:rowOff>0</xdr:rowOff>
    </xdr:from>
    <xdr:ext cx="228600" cy="266700"/>
    <xdr:pic>
      <xdr:nvPicPr>
        <xdr:cNvPr id="0" name="image33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78</xdr:row>
      <xdr:rowOff>0</xdr:rowOff>
    </xdr:from>
    <xdr:ext cx="228600" cy="266700"/>
    <xdr:pic>
      <xdr:nvPicPr>
        <xdr:cNvPr id="0" name="image3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78</xdr:row>
      <xdr:rowOff>0</xdr:rowOff>
    </xdr:from>
    <xdr:ext cx="228600" cy="266700"/>
    <xdr:pic>
      <xdr:nvPicPr>
        <xdr:cNvPr id="0" name="image3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78</xdr:row>
      <xdr:rowOff>0</xdr:rowOff>
    </xdr:from>
    <xdr:ext cx="228600" cy="266700"/>
    <xdr:pic>
      <xdr:nvPicPr>
        <xdr:cNvPr id="0" name="image3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150</xdr:row>
      <xdr:rowOff>0</xdr:rowOff>
    </xdr:from>
    <xdr:ext cx="228600" cy="266700"/>
    <xdr:pic>
      <xdr:nvPicPr>
        <xdr:cNvPr id="0" name="image34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150</xdr:row>
      <xdr:rowOff>0</xdr:rowOff>
    </xdr:from>
    <xdr:ext cx="228600" cy="266700"/>
    <xdr:pic>
      <xdr:nvPicPr>
        <xdr:cNvPr id="0" name="image34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102</xdr:row>
      <xdr:rowOff>0</xdr:rowOff>
    </xdr:from>
    <xdr:ext cx="228600" cy="266700"/>
    <xdr:pic>
      <xdr:nvPicPr>
        <xdr:cNvPr id="0" name="image34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102</xdr:row>
      <xdr:rowOff>0</xdr:rowOff>
    </xdr:from>
    <xdr:ext cx="228600" cy="266700"/>
    <xdr:pic>
      <xdr:nvPicPr>
        <xdr:cNvPr id="0" name="image3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110</xdr:row>
      <xdr:rowOff>0</xdr:rowOff>
    </xdr:from>
    <xdr:ext cx="228600" cy="266700"/>
    <xdr:pic>
      <xdr:nvPicPr>
        <xdr:cNvPr id="0" name="image34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110</xdr:row>
      <xdr:rowOff>0</xdr:rowOff>
    </xdr:from>
    <xdr:ext cx="228600" cy="266700"/>
    <xdr:pic>
      <xdr:nvPicPr>
        <xdr:cNvPr id="0" name="image34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14</xdr:row>
      <xdr:rowOff>0</xdr:rowOff>
    </xdr:from>
    <xdr:ext cx="228600" cy="266700"/>
    <xdr:pic>
      <xdr:nvPicPr>
        <xdr:cNvPr id="0" name="image34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14</xdr:row>
      <xdr:rowOff>0</xdr:rowOff>
    </xdr:from>
    <xdr:ext cx="228600" cy="266700"/>
    <xdr:pic>
      <xdr:nvPicPr>
        <xdr:cNvPr id="0" name="image34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14</xdr:row>
      <xdr:rowOff>0</xdr:rowOff>
    </xdr:from>
    <xdr:ext cx="228600" cy="266700"/>
    <xdr:pic>
      <xdr:nvPicPr>
        <xdr:cNvPr id="0" name="image34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14</xdr:row>
      <xdr:rowOff>0</xdr:rowOff>
    </xdr:from>
    <xdr:ext cx="228600" cy="266700"/>
    <xdr:pic>
      <xdr:nvPicPr>
        <xdr:cNvPr id="0" name="image34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78</xdr:row>
      <xdr:rowOff>0</xdr:rowOff>
    </xdr:from>
    <xdr:ext cx="228600" cy="266700"/>
    <xdr:pic>
      <xdr:nvPicPr>
        <xdr:cNvPr id="0" name="image35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78</xdr:row>
      <xdr:rowOff>0</xdr:rowOff>
    </xdr:from>
    <xdr:ext cx="228600" cy="266700"/>
    <xdr:pic>
      <xdr:nvPicPr>
        <xdr:cNvPr id="0" name="image35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134</xdr:row>
      <xdr:rowOff>0</xdr:rowOff>
    </xdr:from>
    <xdr:ext cx="228600" cy="266700"/>
    <xdr:pic>
      <xdr:nvPicPr>
        <xdr:cNvPr id="0" name="image3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134</xdr:row>
      <xdr:rowOff>0</xdr:rowOff>
    </xdr:from>
    <xdr:ext cx="228600" cy="266700"/>
    <xdr:pic>
      <xdr:nvPicPr>
        <xdr:cNvPr id="0" name="image35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38</xdr:row>
      <xdr:rowOff>0</xdr:rowOff>
    </xdr:from>
    <xdr:ext cx="228600" cy="266700"/>
    <xdr:pic>
      <xdr:nvPicPr>
        <xdr:cNvPr id="0" name="image35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38</xdr:row>
      <xdr:rowOff>0</xdr:rowOff>
    </xdr:from>
    <xdr:ext cx="228600" cy="266700"/>
    <xdr:pic>
      <xdr:nvPicPr>
        <xdr:cNvPr id="0" name="image35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38</xdr:row>
      <xdr:rowOff>0</xdr:rowOff>
    </xdr:from>
    <xdr:ext cx="228600" cy="266700"/>
    <xdr:pic>
      <xdr:nvPicPr>
        <xdr:cNvPr id="0" name="image35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38</xdr:row>
      <xdr:rowOff>0</xdr:rowOff>
    </xdr:from>
    <xdr:ext cx="228600" cy="266700"/>
    <xdr:pic>
      <xdr:nvPicPr>
        <xdr:cNvPr id="0" name="image3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38</xdr:row>
      <xdr:rowOff>0</xdr:rowOff>
    </xdr:from>
    <xdr:ext cx="228600" cy="266700"/>
    <xdr:pic>
      <xdr:nvPicPr>
        <xdr:cNvPr id="0" name="image35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38</xdr:row>
      <xdr:rowOff>0</xdr:rowOff>
    </xdr:from>
    <xdr:ext cx="228600" cy="266700"/>
    <xdr:pic>
      <xdr:nvPicPr>
        <xdr:cNvPr id="0" name="image35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38</xdr:row>
      <xdr:rowOff>0</xdr:rowOff>
    </xdr:from>
    <xdr:ext cx="228600" cy="266700"/>
    <xdr:pic>
      <xdr:nvPicPr>
        <xdr:cNvPr id="0" name="image36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38</xdr:row>
      <xdr:rowOff>0</xdr:rowOff>
    </xdr:from>
    <xdr:ext cx="228600" cy="266700"/>
    <xdr:pic>
      <xdr:nvPicPr>
        <xdr:cNvPr id="0" name="image36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38</xdr:row>
      <xdr:rowOff>0</xdr:rowOff>
    </xdr:from>
    <xdr:ext cx="228600" cy="266700"/>
    <xdr:pic>
      <xdr:nvPicPr>
        <xdr:cNvPr id="0" name="image36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86</xdr:row>
      <xdr:rowOff>0</xdr:rowOff>
    </xdr:from>
    <xdr:ext cx="228600" cy="266700"/>
    <xdr:pic>
      <xdr:nvPicPr>
        <xdr:cNvPr id="0" name="image36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86</xdr:row>
      <xdr:rowOff>0</xdr:rowOff>
    </xdr:from>
    <xdr:ext cx="228600" cy="266700"/>
    <xdr:pic>
      <xdr:nvPicPr>
        <xdr:cNvPr id="0" name="image36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</xdr:row>
      <xdr:rowOff>0</xdr:rowOff>
    </xdr:from>
    <xdr:ext cx="228600" cy="266700"/>
    <xdr:pic>
      <xdr:nvPicPr>
        <xdr:cNvPr id="0" name="image36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</xdr:row>
      <xdr:rowOff>0</xdr:rowOff>
    </xdr:from>
    <xdr:ext cx="228600" cy="266700"/>
    <xdr:pic>
      <xdr:nvPicPr>
        <xdr:cNvPr id="0" name="image3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38</xdr:row>
      <xdr:rowOff>0</xdr:rowOff>
    </xdr:from>
    <xdr:ext cx="228600" cy="266700"/>
    <xdr:pic>
      <xdr:nvPicPr>
        <xdr:cNvPr id="0" name="image36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38</xdr:row>
      <xdr:rowOff>0</xdr:rowOff>
    </xdr:from>
    <xdr:ext cx="228600" cy="266700"/>
    <xdr:pic>
      <xdr:nvPicPr>
        <xdr:cNvPr id="0" name="image36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22</xdr:row>
      <xdr:rowOff>0</xdr:rowOff>
    </xdr:from>
    <xdr:ext cx="228600" cy="266700"/>
    <xdr:pic>
      <xdr:nvPicPr>
        <xdr:cNvPr id="0" name="image36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30</xdr:row>
      <xdr:rowOff>0</xdr:rowOff>
    </xdr:from>
    <xdr:ext cx="228600" cy="266700"/>
    <xdr:pic>
      <xdr:nvPicPr>
        <xdr:cNvPr id="0" name="image37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30</xdr:row>
      <xdr:rowOff>0</xdr:rowOff>
    </xdr:from>
    <xdr:ext cx="228600" cy="266700"/>
    <xdr:pic>
      <xdr:nvPicPr>
        <xdr:cNvPr id="0" name="image37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30</xdr:row>
      <xdr:rowOff>0</xdr:rowOff>
    </xdr:from>
    <xdr:ext cx="228600" cy="266700"/>
    <xdr:pic>
      <xdr:nvPicPr>
        <xdr:cNvPr id="0" name="image3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30</xdr:row>
      <xdr:rowOff>0</xdr:rowOff>
    </xdr:from>
    <xdr:ext cx="228600" cy="266700"/>
    <xdr:pic>
      <xdr:nvPicPr>
        <xdr:cNvPr id="0" name="image37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30</xdr:row>
      <xdr:rowOff>0</xdr:rowOff>
    </xdr:from>
    <xdr:ext cx="228600" cy="266700"/>
    <xdr:pic>
      <xdr:nvPicPr>
        <xdr:cNvPr id="0" name="image37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30</xdr:row>
      <xdr:rowOff>0</xdr:rowOff>
    </xdr:from>
    <xdr:ext cx="228600" cy="266700"/>
    <xdr:pic>
      <xdr:nvPicPr>
        <xdr:cNvPr id="0" name="image37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70</xdr:row>
      <xdr:rowOff>0</xdr:rowOff>
    </xdr:from>
    <xdr:ext cx="228600" cy="266700"/>
    <xdr:pic>
      <xdr:nvPicPr>
        <xdr:cNvPr id="0" name="image37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70</xdr:row>
      <xdr:rowOff>0</xdr:rowOff>
    </xdr:from>
    <xdr:ext cx="228600" cy="266700"/>
    <xdr:pic>
      <xdr:nvPicPr>
        <xdr:cNvPr id="0" name="image37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70</xdr:row>
      <xdr:rowOff>0</xdr:rowOff>
    </xdr:from>
    <xdr:ext cx="228600" cy="266700"/>
    <xdr:pic>
      <xdr:nvPicPr>
        <xdr:cNvPr id="0" name="image37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70</xdr:row>
      <xdr:rowOff>0</xdr:rowOff>
    </xdr:from>
    <xdr:ext cx="228600" cy="266700"/>
    <xdr:pic>
      <xdr:nvPicPr>
        <xdr:cNvPr id="0" name="image37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28600" cy="266700"/>
    <xdr:pic>
      <xdr:nvPicPr>
        <xdr:cNvPr id="0" name="image38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28600" cy="266700"/>
    <xdr:pic>
      <xdr:nvPicPr>
        <xdr:cNvPr id="0" name="image38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78</xdr:row>
      <xdr:rowOff>0</xdr:rowOff>
    </xdr:from>
    <xdr:ext cx="228600" cy="266700"/>
    <xdr:pic>
      <xdr:nvPicPr>
        <xdr:cNvPr id="0" name="image38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78</xdr:row>
      <xdr:rowOff>0</xdr:rowOff>
    </xdr:from>
    <xdr:ext cx="228600" cy="266700"/>
    <xdr:pic>
      <xdr:nvPicPr>
        <xdr:cNvPr id="0" name="image38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6</xdr:row>
      <xdr:rowOff>0</xdr:rowOff>
    </xdr:from>
    <xdr:ext cx="228600" cy="266700"/>
    <xdr:pic>
      <xdr:nvPicPr>
        <xdr:cNvPr id="0" name="image38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228600" cy="266700"/>
    <xdr:pic>
      <xdr:nvPicPr>
        <xdr:cNvPr id="0" name="image38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6</xdr:row>
      <xdr:rowOff>0</xdr:rowOff>
    </xdr:from>
    <xdr:ext cx="228600" cy="266700"/>
    <xdr:pic>
      <xdr:nvPicPr>
        <xdr:cNvPr id="0" name="image38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28600" cy="266700"/>
    <xdr:pic>
      <xdr:nvPicPr>
        <xdr:cNvPr id="0" name="image38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102</xdr:row>
      <xdr:rowOff>0</xdr:rowOff>
    </xdr:from>
    <xdr:ext cx="228600" cy="266700"/>
    <xdr:pic>
      <xdr:nvPicPr>
        <xdr:cNvPr id="0" name="image38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6</xdr:row>
      <xdr:rowOff>0</xdr:rowOff>
    </xdr:from>
    <xdr:ext cx="228600" cy="266700"/>
    <xdr:pic>
      <xdr:nvPicPr>
        <xdr:cNvPr id="0" name="image38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238125</xdr:colOff>
      <xdr:row>6</xdr:row>
      <xdr:rowOff>0</xdr:rowOff>
    </xdr:from>
    <xdr:ext cx="228600" cy="266700"/>
    <xdr:pic>
      <xdr:nvPicPr>
        <xdr:cNvPr id="0" name="image39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118</xdr:row>
      <xdr:rowOff>0</xdr:rowOff>
    </xdr:from>
    <xdr:ext cx="228600" cy="266700"/>
    <xdr:pic>
      <xdr:nvPicPr>
        <xdr:cNvPr id="0" name="image39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142</xdr:row>
      <xdr:rowOff>0</xdr:rowOff>
    </xdr:from>
    <xdr:ext cx="228600" cy="266700"/>
    <xdr:pic>
      <xdr:nvPicPr>
        <xdr:cNvPr id="0" name="image39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</xdr:row>
      <xdr:rowOff>0</xdr:rowOff>
    </xdr:from>
    <xdr:ext cx="228600" cy="266700"/>
    <xdr:pic>
      <xdr:nvPicPr>
        <xdr:cNvPr id="0" name="image39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28575" cy="161925"/>
    <xdr:sp macro="" textlink="">
      <xdr:nvSpPr>
        <xdr:cNvPr id="2" name="Rectangle 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anchor="t" bIns="0" lIns="0" rIns="0" upright="1" wrap="none" tIns="0">
          <a:spAutoFit/>
        </a:bodyPr>
        <a:lstStyle/>
        <a:p>
          <a:pPr lvl="0" rtl="0" algn="l">
            <a:defRPr sz="1000"/>
          </a:pPr>
          <a:r>
            <a:rPr b="0" i="0" lang="en-US" sz="110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28575" cy="161925"/>
    <xdr:sp macro="" textlink="">
      <xdr:nvSpPr>
        <xdr:cNvPr id="3" name="Rectangle 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anchor="t" bIns="0" lIns="0" rIns="0" upright="1" wrap="none" tIns="0">
          <a:spAutoFit/>
        </a:bodyPr>
        <a:lstStyle/>
        <a:p>
          <a:pPr lvl="0" rtl="0" algn="l">
            <a:defRPr sz="1000"/>
          </a:pPr>
          <a:r>
            <a:rPr b="0" i="0" lang="en-US" sz="110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28575" cy="161925"/>
    <xdr:sp macro="" textlink="">
      <xdr:nvSpPr>
        <xdr:cNvPr id="4" name="Rectangle 1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anchor="t" bIns="0" lIns="0" rIns="0" upright="1" wrap="none" tIns="0">
          <a:spAutoFit/>
        </a:bodyPr>
        <a:lstStyle/>
        <a:p>
          <a:pPr lvl="0" rtl="0" algn="l">
            <a:defRPr sz="1000"/>
          </a:pPr>
          <a:r>
            <a:rPr b="0" i="0" lang="en-US" sz="110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28575" cy="161925"/>
    <xdr:sp macro="" textlink="">
      <xdr:nvSpPr>
        <xdr:cNvPr id="5" name="Rectangle 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anchor="t" bIns="0" lIns="0" rIns="0" upright="1" wrap="none" tIns="0">
          <a:spAutoFit/>
        </a:bodyPr>
        <a:lstStyle/>
        <a:p>
          <a:pPr lvl="0" rtl="0" algn="l">
            <a:defRPr sz="1000"/>
          </a:pPr>
          <a:r>
            <a:rPr b="0" i="0" lang="en-US" sz="110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28575" cy="161925"/>
    <xdr:sp macro="" textlink="">
      <xdr:nvSpPr>
        <xdr:cNvPr id="6" name="Rectangle 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anchor="t" bIns="0" lIns="0" rIns="0" upright="1" wrap="none" tIns="0">
          <a:spAutoFit/>
        </a:bodyPr>
        <a:lstStyle/>
        <a:p>
          <a:pPr lvl="0" rtl="0" algn="l">
            <a:defRPr sz="1000"/>
          </a:pPr>
          <a:r>
            <a:rPr b="0" i="0" lang="en-US" sz="110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28575" cy="161925"/>
    <xdr:sp macro="" textlink="">
      <xdr:nvSpPr>
        <xdr:cNvPr id="7" name="Rectangle 1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anchor="t" bIns="0" lIns="0" rIns="0" upright="1" wrap="none" tIns="0">
          <a:spAutoFit/>
        </a:bodyPr>
        <a:lstStyle/>
        <a:p>
          <a:pPr lvl="0" rtl="0" algn="l">
            <a:defRPr sz="1000"/>
          </a:pPr>
          <a:r>
            <a:rPr b="0" i="0" lang="en-US" sz="110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28575" cy="161925"/>
    <xdr:sp macro="" textlink="">
      <xdr:nvSpPr>
        <xdr:cNvPr id="8" name="Rectangle 7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anchor="t" bIns="0" lIns="0" rIns="0" upright="1" wrap="none" tIns="0">
          <a:spAutoFit/>
        </a:bodyPr>
        <a:lstStyle/>
        <a:p>
          <a:pPr lvl="0" rtl="0" algn="l">
            <a:defRPr sz="1000"/>
          </a:pPr>
          <a:r>
            <a:rPr b="0" i="0" lang="en-US" sz="110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28575" cy="161925"/>
    <xdr:sp macro="" textlink="">
      <xdr:nvSpPr>
        <xdr:cNvPr id="9" name="Rectangle 1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anchor="t" bIns="0" lIns="0" rIns="0" upright="1" wrap="none" tIns="0">
          <a:spAutoFit/>
        </a:bodyPr>
        <a:lstStyle/>
        <a:p>
          <a:pPr lvl="0" rtl="0" algn="l">
            <a:defRPr sz="1000"/>
          </a:pPr>
          <a:r>
            <a:rPr b="0" i="0" lang="en-US" sz="110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28575" cy="161925"/>
    <xdr:sp macro="" textlink="">
      <xdr:nvSpPr>
        <xdr:cNvPr id="10" name="Rectangle 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anchor="t" bIns="0" lIns="0" rIns="0" upright="1" wrap="none" tIns="0">
          <a:spAutoFit/>
        </a:bodyPr>
        <a:lstStyle/>
        <a:p>
          <a:pPr lvl="0" rtl="0" algn="l">
            <a:defRPr sz="1000"/>
          </a:pPr>
          <a:r>
            <a:rPr b="0" i="0" lang="en-US" sz="110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28575" cy="161925"/>
    <xdr:sp macro="" textlink="">
      <xdr:nvSpPr>
        <xdr:cNvPr id="11" name="Rectangle 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anchor="t" bIns="0" lIns="0" rIns="0" upright="1" wrap="none" tIns="0">
          <a:spAutoFit/>
        </a:bodyPr>
        <a:lstStyle/>
        <a:p>
          <a:pPr lvl="0" rtl="0" algn="l">
            <a:defRPr sz="1000"/>
          </a:pPr>
          <a:r>
            <a:rPr b="0" i="0" lang="en-US" sz="110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28575" cy="161925"/>
    <xdr:sp macro="" textlink="">
      <xdr:nvSpPr>
        <xdr:cNvPr id="12" name="Rectangle 1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anchor="t" bIns="0" lIns="0" rIns="0" upright="1" wrap="none" tIns="0">
          <a:spAutoFit/>
        </a:bodyPr>
        <a:lstStyle/>
        <a:p>
          <a:pPr lvl="0" rtl="0" algn="l">
            <a:defRPr sz="1000"/>
          </a:pPr>
          <a:r>
            <a:rPr b="0" i="0" lang="en-US" sz="110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28575" cy="161925"/>
    <xdr:sp macro="" textlink="">
      <xdr:nvSpPr>
        <xdr:cNvPr id="13" name="Rectangle 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anchor="t" bIns="0" lIns="0" rIns="0" upright="1" wrap="none" tIns="0">
          <a:spAutoFit/>
        </a:bodyPr>
        <a:lstStyle/>
        <a:p>
          <a:pPr lvl="0" rtl="0" algn="l">
            <a:defRPr sz="1000"/>
          </a:pPr>
          <a:r>
            <a:rPr b="0" i="0" lang="en-US" sz="110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28575" cy="161925"/>
    <xdr:sp macro="" textlink="">
      <xdr:nvSpPr>
        <xdr:cNvPr id="14" name="Rectangle 13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anchor="t" bIns="0" lIns="0" rIns="0" upright="1" wrap="none" tIns="0">
          <a:spAutoFit/>
        </a:bodyPr>
        <a:lstStyle/>
        <a:p>
          <a:pPr lvl="0" rtl="0" algn="l">
            <a:defRPr sz="1000"/>
          </a:pPr>
          <a:r>
            <a:rPr b="0" i="0" lang="en-US" sz="110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28575" cy="161925"/>
    <xdr:sp macro="" textlink="">
      <xdr:nvSpPr>
        <xdr:cNvPr id="15" name="Rectangle 1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anchor="t" bIns="0" lIns="0" rIns="0" upright="1" wrap="none" tIns="0">
          <a:spAutoFit/>
        </a:bodyPr>
        <a:lstStyle/>
        <a:p>
          <a:pPr lvl="0" rtl="0" algn="l">
            <a:defRPr sz="1000"/>
          </a:pPr>
          <a:r>
            <a:rPr b="0" i="0" lang="en-US" sz="110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28575" cy="161925"/>
    <xdr:sp macro="" textlink="">
      <xdr:nvSpPr>
        <xdr:cNvPr id="16" name="Rectangle 1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anchor="t" bIns="0" lIns="0" rIns="0" upright="1" wrap="none" tIns="0">
          <a:spAutoFit/>
        </a:bodyPr>
        <a:lstStyle/>
        <a:p>
          <a:pPr lvl="0" rtl="0" algn="l">
            <a:defRPr sz="1000"/>
          </a:pPr>
          <a:r>
            <a:rPr b="0" i="0" lang="en-US" sz="110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28575" cy="161925"/>
    <xdr:sp macro="" textlink="">
      <xdr:nvSpPr>
        <xdr:cNvPr id="17" name="Rectangle 1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anchor="t" bIns="0" lIns="0" rIns="0" upright="1" wrap="none" tIns="0">
          <a:spAutoFit/>
        </a:bodyPr>
        <a:lstStyle/>
        <a:p>
          <a:pPr lvl="0" rtl="0" algn="l">
            <a:defRPr sz="1000"/>
          </a:pPr>
          <a:r>
            <a:rPr b="0" i="0" lang="en-US" sz="110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 fLocksWithSheet="0"/>
  </xdr:oneCellAnchor>
  <xdr:oneCellAnchor>
    <xdr:from>
      <xdr:col>0</xdr:col>
      <xdr:colOff>361950</xdr:colOff>
      <xdr:row>0</xdr:row>
      <xdr:rowOff>190500</xdr:rowOff>
    </xdr:from>
    <xdr:ext cx="876300" cy="457200"/>
    <xdr:pic>
      <xdr:nvPicPr>
        <xdr:cNvPr id="0" name="image39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304800</xdr:colOff>
      <xdr:row>0</xdr:row>
      <xdr:rowOff>9525</xdr:rowOff>
    </xdr:from>
    <xdr:ext cx="3105150" cy="885825"/>
    <xdr:pic>
      <xdr:nvPicPr>
        <xdr:cNvPr id="0" name="image39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SIPAT-I\Sipat-Seoni%20Ckt%231%20&amp;%202\L&amp;T,%20Package-A1,circuit-1\Interim%20deviation\L&amp;T%20Interim%20deviation%20Supp,%20Erec%20statement-all%20annexures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sharmap07\AppData\Local\Microsoft\Windows\INetCache\Content.Outlook\BTLGUXGA\Visual%20chart%20TA%20509%20(18.09.2025)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Dass32\Downloads\PKG%20F%20Progress%20DPR-TB408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STL"/>
      <sheetName val="ASST TOTAL"/>
      <sheetName val="Annex-1"/>
      <sheetName val="Annex-3A"/>
      <sheetName val="Annex-3b,1"/>
      <sheetName val="Annex-3b,2"/>
      <sheetName val="Annex-3c"/>
      <sheetName val="Annex-7,Contingent"/>
      <sheetName val="Annex-4,TLM"/>
      <sheetName val="Type test"/>
      <sheetName val="Annex-6,Supply"/>
      <sheetName val="Annex-6,F&amp;I"/>
      <sheetName val="Annex-6,Erecn."/>
      <sheetName val="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VC-765kV MKTL"/>
      <sheetName val="SUMMARY"/>
      <sheetName val="FOUNDATION"/>
      <sheetName val="EARTHING"/>
      <sheetName val="ERECTION"/>
      <sheetName val="XING"/>
      <sheetName val="SUPPLY"/>
      <sheetName val="Sheet1"/>
      <sheetName val="SURVEY SUMMARY"/>
      <sheetName val="SURVEY STATUS "/>
      <sheetName val="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gress Summary"/>
      <sheetName val="Project Details"/>
      <sheetName val="X-ing Status"/>
      <sheetName val="L2 Schedule vs Actual"/>
      <sheetName val="Hindrance Register (Row)"/>
      <sheetName val="Page Chart"/>
      <sheetName val="Survey"/>
      <sheetName val="Foundation"/>
      <sheetName val="Earthing"/>
      <sheetName val="Erection Productivity"/>
      <sheetName val="Crane Erection Productivity"/>
      <sheetName val="Erection Compiled"/>
      <sheetName val="Tackwelding"/>
      <sheetName val="Stringing"/>
      <sheetName val="Stringing associated works"/>
      <sheetName val="Stringing Productivity"/>
      <sheetName val="OPGW"/>
      <sheetName val="Accessories details"/>
      <sheetName val="Visual chart"/>
      <sheetName val="Visual chart Edit"/>
      <sheetName val="Benching 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L265" sheet="FOUNDATION"/>
  </cacheSource>
  <cacheFields>
    <cacheField name="SL NO.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</sharedItems>
    </cacheField>
    <cacheField name="LOC No. " numFmtId="0">
      <sharedItems>
        <s v="8/1"/>
        <s v="8/3"/>
        <s v="8/4"/>
        <s v="8/6"/>
        <s v="16/4"/>
        <s v="8/5"/>
        <s v="8/7"/>
        <s v="8/8"/>
        <s v="8/2"/>
        <s v="16/1"/>
        <s v="15/7"/>
        <s v="7/3"/>
        <s v="9/3"/>
        <s v="15/8"/>
        <s v="13/1"/>
        <s v="15/2"/>
        <s v="15/9"/>
        <s v="9/2"/>
        <s v="13/2"/>
        <s v="7/4"/>
        <s v="15/4"/>
        <s v="16/2"/>
        <s v="13/4"/>
        <s v="16/8"/>
        <s v="7/2"/>
        <s v="13/3"/>
        <s v="10/2"/>
        <s v="15/1"/>
        <s v="15/5"/>
        <s v="13/5"/>
        <s v="10/1"/>
        <s v="16/3"/>
        <s v="15/3"/>
        <s v="14/1"/>
        <s v="16/7"/>
        <s v="12/2"/>
        <s v="14/3"/>
        <s v="12/5"/>
        <s v="14/4"/>
        <s v="16/6"/>
        <s v="12/1"/>
        <s v="12/6"/>
        <s v="14/2"/>
        <s v="16/9"/>
        <s v="16/5"/>
        <s v="12/3"/>
        <s v="12/4"/>
        <s v="16/11"/>
        <s v="16/10"/>
        <s v="24/3"/>
        <s v="24/1"/>
        <s v="39/4"/>
        <s v="39/7"/>
        <s v="24/6"/>
        <s v="24/2"/>
        <s v="39/2"/>
        <s v="39/3"/>
        <s v="39/5"/>
        <s v="24/9"/>
        <s v="24/7"/>
        <s v="21/1"/>
        <s v="24/8"/>
        <s v="39/1"/>
        <s v="24/10"/>
        <s v="40/1"/>
        <s v="24/11"/>
        <s v="24/5"/>
        <s v="21/2"/>
        <s v="41/1"/>
        <s v="24/4"/>
        <s v="44/2"/>
        <s v="40/2"/>
        <s v="26/1"/>
        <s v="8/9"/>
        <s v="26/2"/>
        <s v="44/3"/>
        <s v="41/2"/>
        <s v="40/3"/>
        <s v="21/3"/>
        <s v="9/1"/>
        <s v="26/3"/>
        <s v="26/4"/>
        <s v="27/2"/>
        <s v="27/5"/>
        <s v="8/10"/>
        <s v="41/5"/>
        <s v="39/8"/>
        <s v="36/8"/>
        <s v="27/4"/>
        <s v="21/4"/>
        <s v="36/7"/>
        <s v="41/8"/>
        <s v="5/2"/>
        <s v="29/1"/>
        <s v="22/1"/>
        <s v="7/1"/>
        <s v="36/2"/>
        <s v="36/6"/>
        <s v="34/2"/>
        <s v="29/2"/>
        <s v="36/3"/>
        <s v="5/1"/>
        <s v="27/3"/>
        <s v="23/1"/>
        <s v="30/1"/>
        <s v="34/1"/>
        <s v="36/4"/>
        <s v="36/5"/>
        <s v="5/5"/>
        <s v="6/3"/>
        <s v="20/1"/>
        <s v="34/3"/>
        <s v="32/3"/>
        <s v="36/1"/>
        <s v="5/3"/>
        <s v="32/4"/>
        <s v="38/4"/>
        <s v="20/2"/>
        <s v="5/4"/>
        <s v="38/3"/>
        <s v="32/5"/>
        <s v="6/1"/>
        <s v="38/1"/>
        <s v="38/7"/>
        <s v="47/8"/>
        <s v="49/1"/>
        <s v="32/7"/>
        <s v="32/6"/>
        <s v="51/2"/>
        <s v="47/11"/>
        <s v="5/7"/>
        <s v="38/6"/>
        <s v="49/3"/>
        <s v="51/1"/>
        <s v="32/2"/>
        <s v="5/6"/>
        <s v="49/2"/>
        <s v="47/4"/>
        <s v="51/3"/>
        <s v="13/0"/>
        <s v="38/8"/>
        <s v="48/2"/>
        <s v="67/2"/>
        <s v="48/6"/>
        <s v="49/4"/>
        <s v="38/2"/>
        <s v="47/6"/>
        <s v="48/8"/>
        <s v="49/5"/>
        <s v="67/1"/>
        <s v="41/4"/>
        <s v="48/9"/>
        <s v="47/7"/>
        <s v="66/8"/>
        <s v="49/6"/>
        <s v="49/0"/>
        <s v="66/5"/>
        <s v="65/1"/>
        <s v="41/0"/>
        <s v="65/2"/>
        <s v="66/7"/>
        <s v="65/3"/>
        <s v="65/9"/>
        <s v="65/7"/>
        <s v="63/1"/>
        <s v="63/2"/>
        <s v="65/11"/>
        <s v="7/0"/>
        <s v="21/0"/>
        <s v="46/0"/>
        <s v="45/1"/>
        <s v="15/0"/>
        <s v="46A/0"/>
        <s v="45/3"/>
        <s v="33/0"/>
        <s v="10/0"/>
        <s v="34/0"/>
        <s v="45/4"/>
        <s v="46/2"/>
        <s v="46A/1"/>
        <s v="12/7"/>
        <s v="10/3"/>
        <s v="14/5"/>
        <s v="8/0"/>
        <s v="9/0"/>
        <s v="45A/0"/>
        <s v="46A/2"/>
        <s v="66/0"/>
        <s v="46A/3"/>
        <s v="47/1"/>
        <s v="47/2"/>
        <s v="66/2"/>
        <s v="47/3"/>
        <s v="16/0"/>
        <s v="18/1"/>
        <s v="65/8"/>
        <s v="66/6"/>
        <s v="61/1"/>
        <s v="64/0"/>
        <s v="64/1"/>
        <s v="17/0"/>
        <s v="63/3"/>
        <s v="18/0"/>
        <s v="65/5"/>
        <s v="66/3"/>
        <s v="66/4"/>
        <s v="65/0"/>
        <s v="45/0"/>
        <s v="67/0"/>
        <s v="40/0"/>
        <s v="6/0"/>
        <s v="23/0"/>
        <s v="55/2"/>
        <s v="6/2"/>
        <s v="55/1"/>
        <s v="14/0"/>
        <s v="52/1"/>
        <s v="53/0"/>
        <s v="68/0"/>
        <s v="32/1"/>
        <s v="48/4"/>
        <s v="11/0"/>
        <s v="56/2"/>
        <s v="39/0"/>
        <s v="53B/1"/>
        <s v="52/0"/>
        <s v="29/0"/>
        <s v="25/0"/>
        <s v="38/0"/>
        <s v="27/0"/>
        <s v="30/2"/>
        <s v="36/0"/>
        <s v="48/3"/>
        <s v="30/0"/>
        <s v="48/1"/>
        <s v="48/5"/>
        <s v="26/0"/>
        <s v="27/1"/>
        <s v="37/0"/>
        <s v="31/0"/>
        <s v="32/0"/>
        <s v="53A/0"/>
        <s v="39/6"/>
        <s v="41/7"/>
        <s v="53B/0"/>
        <s v="48/0"/>
        <s v="41/3"/>
        <s v="65/4"/>
        <s v="39/10"/>
        <s v="39/11"/>
        <s v="28/0"/>
        <s v="54/0"/>
        <s v="35/0"/>
        <s v="47/10"/>
        <s v="5/0"/>
        <s v="50/0"/>
        <s v="39/9"/>
        <s v="45/2"/>
        <s v="4/6"/>
        <s v="47/9"/>
        <s v="4/3"/>
        <s v="4/4"/>
        <s v="3/1"/>
      </sharedItems>
    </cacheField>
    <cacheField name="District wise section" numFmtId="0">
      <sharedItems>
        <s v="Gantry - AP39/0"/>
        <s v="AP39/1 - 47/10"/>
        <s v="AP 47/11 - AP68"/>
      </sharedItems>
    </cacheField>
    <cacheField name="TOWER-TYPE" numFmtId="0">
      <sharedItems>
        <s v="DA+0"/>
        <s v="DA+3"/>
        <s v="DA+6"/>
        <s v="DA-1.5"/>
        <s v="DA-3"/>
        <s v="DA(-)3"/>
        <s v="DA+9"/>
        <s v="DA+1.5"/>
        <s v="DA(-)1.5"/>
        <s v="DA(-)1.5 "/>
        <s v="DA+1.5 "/>
        <s v="DA+0 "/>
        <s v="DA+3 "/>
        <s v="DB2+0"/>
        <s v="DA+6 "/>
        <s v="DB1+0"/>
        <s v="DD45+0"/>
        <s v="DC2+0 "/>
        <s v="DC1+0 "/>
        <s v="DC1+3"/>
        <s v="DB2+3"/>
        <s v="DB2+6"/>
        <s v="DD45+3"/>
        <s v="DC1+0"/>
        <s v="DB1+9"/>
        <s v="DD60+25"/>
        <s v="DB1+6"/>
        <s v="DC2+0"/>
        <s v="DD45+18"/>
        <s v="DC2+18"/>
        <s v="DD45+9"/>
        <s v="DB2+9"/>
        <s v="DC2+12"/>
        <s v="DD45+12"/>
        <s v="DD60+0"/>
        <s v="DB1(-)1.5"/>
        <s v="DB2(-)1.5"/>
        <s v="DD45+6"/>
      </sharedItems>
    </cacheField>
    <cacheField name="CLASSIFICATION " numFmtId="0">
      <sharedItems containsBlank="1">
        <s v="DFR"/>
        <s v="WC"/>
        <s v="WFR"/>
        <s v="DFR "/>
        <s v="WFR "/>
        <s v="WET"/>
        <m/>
      </sharedItems>
    </cacheField>
    <cacheField name="STATUS " numFmtId="0">
      <sharedItems>
        <s v="COMPLETED"/>
        <s v="COMPLETED  "/>
        <s v="No Progress (Water pipe line)"/>
        <s v="Pit-A,B Steel binding &amp; Pit-A,B,C,D prop set"/>
      </sharedItems>
    </cacheField>
    <cacheField name="Man. P" numFmtId="0">
      <sharedItems containsString="0" containsBlank="1">
        <m/>
      </sharedItems>
    </cacheField>
    <cacheField name="STARTING DATE">
      <sharedItems containsDate="1" containsBlank="1" containsMixedTypes="1">
        <m/>
        <s v="23/04/2025"/>
        <s v="28/04/2025"/>
        <s v="1/5/2025"/>
        <s v="2/5/2025"/>
        <s v="27/4/2025"/>
        <s v="30/04/2025"/>
        <d v="2025-05-15T00:00:00Z"/>
        <d v="2025-05-14T00:00:00Z"/>
        <s v="14.05.2025"/>
        <s v="15/05/2025"/>
        <s v="16/05/2025"/>
        <s v="14/05/2025"/>
        <s v="19.05.2025"/>
        <s v="15.05.2025"/>
        <s v="17.05.2025"/>
        <s v="20.05.2025"/>
        <s v="28.05.2024"/>
        <s v="26.05.2025"/>
        <s v="19/05/2025"/>
        <s v="01.06.2025"/>
        <s v="02.06.2025"/>
        <s v="04.06.2025"/>
        <s v="07.06.2025"/>
        <s v="03.06.2025"/>
        <d v="2025-10-06T00:00:00Z"/>
        <s v="08.06.2025"/>
        <s v="09.06.2025"/>
        <s v="19.06.2025"/>
        <s v="16/06/2025"/>
        <s v="30.06.2025"/>
        <s v="01.07.2025"/>
        <s v="16.07.2025"/>
        <s v="02.08.2025"/>
        <s v="26.07.2025"/>
        <s v="06.08.2025"/>
        <s v="11.08.2025"/>
        <s v="12.08.2025"/>
        <s v="20.08.2025"/>
        <s v="20.08.2025 "/>
        <s v="25.08.2025"/>
        <s v="22.09.2025"/>
        <s v="19.09.2025"/>
        <s v="27.09.2025"/>
        <s v="01.10.2025"/>
        <s v="09.10.2025"/>
        <s v="15.10.2025"/>
        <s v="29.09.2205"/>
        <s v="07.10.2025"/>
        <s v="11.10.2025"/>
        <s v="17.10.2025"/>
        <s v="19.10.2025"/>
        <s v="28.10.2025"/>
        <s v="31.10.2025"/>
        <s v="03.11.2025"/>
        <s v="24.11.2025"/>
        <s v="24.07.2025"/>
        <s v="06.09.2025"/>
        <s v="30.10.2025"/>
        <s v="07.11.2025"/>
        <s v="08.11.2025"/>
        <s v="13.11.2025"/>
        <s v="12.11.2025"/>
        <s v="14.11.2025"/>
        <s v="15.11.2025"/>
        <s v="10.11.2025"/>
        <s v="17.11.2025"/>
        <s v="04.12.2025"/>
        <s v="25.11.2025"/>
        <s v="19.11.2025"/>
        <s v="27.11.2025"/>
        <s v="29.11.2025"/>
        <s v="01.12.2025"/>
        <s v="05.12.2025"/>
        <s v="06.12.2025"/>
        <s v="10.12.2025"/>
        <s v="15.12.2025"/>
        <s v="16.12.2025"/>
        <s v="17.12.2025"/>
        <s v="23.12.2025"/>
        <s v="09.01.2026"/>
        <s v="27.12.2025"/>
        <s v="13.01.2026"/>
        <s v="14.01.2026"/>
        <s v="24.01.2026"/>
        <s v="28.01.2026"/>
        <s v="06.02.2026"/>
        <s v="11.02.2026"/>
        <s v="12.02.2026"/>
        <s v="22.02.2026"/>
        <s v="28.02.2026"/>
        <s v="26.02.2026"/>
        <s v="11.03.2026"/>
        <s v="17.03.2026"/>
        <s v="15.03.2026"/>
        <s v="19.03.2026"/>
        <s v="22.03.2026"/>
        <s v="26.03.2026"/>
        <s v="27.03.2026"/>
        <s v="31.03.2026"/>
        <s v="01.04.2026"/>
        <d v="2026-04-14T00:00:00Z"/>
        <d v="2026-04-10T00:00:00Z"/>
        <d v="2026-05-05T00:00:00Z"/>
        <d v="2026-04-16T00:00:00Z"/>
        <d v="2026-04-27T00:00:00Z"/>
      </sharedItems>
    </cacheField>
    <cacheField name="ENDING DATE ">
      <sharedItems containsDate="1" containsBlank="1" containsMixedTypes="1">
        <d v="2025-01-01T00:00:00Z"/>
        <d v="2025-02-01T00:00:00Z"/>
        <d v="2025-03-01T00:00:00Z"/>
        <d v="2025-04-01T00:00:00Z"/>
        <s v="02/05/2025"/>
        <d v="2025-03-05T00:00:00Z"/>
        <d v="2025-04-05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5T00:00:00Z"/>
        <d v="2025-05-16T00:00:00Z"/>
        <d v="2025-05-17T00:00:00Z"/>
        <d v="2025-05-19T00:00:00Z"/>
        <s v="19.05.2025"/>
        <s v="21/5/2025"/>
        <s v="21/05/2025"/>
        <s v="22.05.2025"/>
        <s v="23/5/2025"/>
        <s v="23.05.2025"/>
        <s v="24.05.2025"/>
        <s v="25.05.2025"/>
        <d v="2025-05-26T00:00:00Z"/>
        <s v="27.05.2025"/>
        <s v="26.05.2025"/>
        <s v="30.05.2025"/>
        <d v="2025-05-29T00:00:00Z"/>
        <s v="31.05.2025"/>
        <s v="01.06.2025"/>
        <s v="02.06.2025"/>
        <s v="04.06.2025"/>
        <s v="05.06.2025"/>
        <d v="2025-06-06T00:00:00Z"/>
        <d v="2025-07-06T00:00:00Z"/>
        <d v="2025-08-06T00:00:00Z"/>
        <d v="2025-06-10T00:00:00Z"/>
        <d v="2025-11-06T00:00:00Z"/>
        <s v="14/06/2025"/>
        <s v="16/06/2025"/>
        <s v="17.06.2025"/>
        <s v="18/6/2025"/>
        <s v="21/06/2025"/>
        <d v="2025-06-23T00:00:00Z"/>
        <s v="27/06/2025"/>
        <s v="30/06/2025"/>
        <d v="2025-07-07T00:00:00Z"/>
        <s v="14/07/2025"/>
        <s v="11.07.2025"/>
        <s v="16.07.2025"/>
        <s v="22.07.2025"/>
        <s v="19.08.2025"/>
        <s v="12.08.2025"/>
        <s v="19.08.2025  "/>
        <s v="18.08.2025 "/>
        <s v="14.09.2025"/>
        <s v="16.09.2025"/>
        <s v="22.09.2025"/>
        <s v="13.10.2025"/>
        <s v="30.09.2025"/>
        <s v="11.10.2025"/>
        <s v="29.09.2025"/>
        <s v="01.10.2025"/>
        <s v="06.10.2025"/>
        <s v="15.10.2025"/>
        <s v="23/10/2025 "/>
        <s v="07.11.2025"/>
        <s v="06.11.2025"/>
        <s v="03.11.2025"/>
        <s v="26.10.2025"/>
        <s v="08.11.2025"/>
        <s v="05.11.2025"/>
        <s v="13.11.2025"/>
        <s v="25.10.2025"/>
        <s v="20.11.2025"/>
        <m/>
        <s v="29.10.2025"/>
        <s v="30.10.2025"/>
        <s v="15.11.2025"/>
        <s v="19.11.2025"/>
        <s v="18.11.2025"/>
        <s v="23.11.2025"/>
        <s v="02.12.2025"/>
        <s v="21.11.2025"/>
        <s v="04.12.2025"/>
        <s v="07.12.2025"/>
        <s v="29.11.2025"/>
        <s v="24.11.2025"/>
        <s v="16.12.2025"/>
        <s v="01.12.2025"/>
        <s v="03.12.2025"/>
        <s v="13.12.2025"/>
        <s v="27.12.2025"/>
        <s v="09.12.2025"/>
        <s v="19.12.2025"/>
        <s v="20.12.2025"/>
        <s v="21.12.2025"/>
        <s v="09.01.2026"/>
        <s v="22.12.2025"/>
        <s v="07.01.2025"/>
        <s v="26.12.2025"/>
        <s v="30.12.2025"/>
        <s v="21.01.2026"/>
        <s v="4.01.2026"/>
        <s v="29.01.2026"/>
        <s v="24.01.2026"/>
        <s v="01.02.2026"/>
        <s v="06.02.2026"/>
        <s v="12.02.2026"/>
        <s v="25.02.2026"/>
        <s v="23.02.2026"/>
        <s v="28.02.2026"/>
        <s v="14.03.2026"/>
        <s v="21.03.2026"/>
        <s v="26.03.2026"/>
        <s v="30.03.2026"/>
        <s v="05.04.2026"/>
        <d v="2026-04-10T00:00:00Z"/>
        <s v="31.03.2026"/>
        <d v="2026-04-08T00:00:00Z"/>
        <s v="04.04.2026"/>
        <d v="2026-04-18T00:00:00Z"/>
        <d v="2026-04-09T00:00:00Z"/>
        <d v="2026-04-14T00:00:00Z"/>
        <d v="2026-05-05T00:00:00Z"/>
        <d v="2026-04-25T00:00:00Z"/>
        <d v="2026-05-04T00:00:00Z"/>
        <d v="2026-04-16T00:00:00Z"/>
        <d v="2026-05-14T00:00:00Z"/>
        <d v="2026-04-20T00:00:00Z"/>
        <d v="2026-04-29T00:00:00Z"/>
      </sharedItems>
    </cacheField>
    <cacheField name="Work started month" numFmtId="0">
      <sharedItems containsBlank="1">
        <m/>
        <s v="Nov'25"/>
        <s v="Dec'25"/>
        <s v="Jan'26"/>
        <s v="Feb'26"/>
        <s v="Mar'26"/>
        <s v="Apr'26"/>
        <s v="May'26"/>
      </sharedItems>
    </cacheField>
    <cacheField name="Completed month" numFmtId="0">
      <sharedItems containsBlank="1">
        <m/>
        <s v="Nov'25"/>
        <s v="Dec'25"/>
        <s v="Jan'26"/>
        <s v="Feb'26"/>
        <s v="Mar'26"/>
        <s v="Apr'26"/>
        <s v="May'26"/>
      </sharedItems>
    </cacheField>
    <cacheField name="Sub-Contractor" numFmtId="0">
      <sharedItems>
        <s v="JSC Enterprises"/>
        <s v="Afflux Construction"/>
        <s v="Surya Group"/>
        <s v="Urmila Bibi"/>
        <s v="Shree Shyam Granite"/>
        <s v="Yatharth Construction"/>
        <s v="GM Construction"/>
        <s v="Jeenmata Infratech"/>
        <s v="URMILA-BIBI"/>
        <s v="GM Construction  "/>
        <s v="SURYA-GROUP "/>
        <s v="SREE SHAYAM GRANTE "/>
        <s v="AFFLUX CONSTRUCTION "/>
        <s v="YATHARTH-CONSTRUCTION"/>
        <s v="Shri Sai Brick Udyog"/>
        <s v="GM Infratech "/>
        <s v="GM CONSTRUCTION "/>
        <s v="SHAKHINA BIBI"/>
        <s v="SHREE KHATUSHAYAM CONST. "/>
        <s v="Shri Balaji Contractor"/>
        <s v="Durga construction"/>
        <s v="MAUSAUDDIN SK "/>
        <s v="DS Construction"/>
        <s v="Jay bhawani construction"/>
        <s v="Hemraj yadav cont."/>
        <s v="Shree Mahakal const."/>
        <s v="Jai bhawani construction"/>
        <s v="Shree ram construction"/>
        <s v="MAUSAUDDIN SK -II"/>
        <s v="Jai shree ram construction"/>
        <s v="MAUSAUDDIN SK-I"/>
        <s v="Hemraj yadav"/>
        <s v="Khatu Shyam construction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J191" sheet="ERECTION"/>
  </cacheSource>
  <cacheFields>
    <cacheField name="SL NO.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4.0"/>
        <n v="185.0"/>
        <n v="186.0"/>
        <n v="187.0"/>
        <n v="188.0"/>
        <n v="189.0"/>
        <n v="190.0"/>
      </sharedItems>
    </cacheField>
    <cacheField name="LOC No. " numFmtId="0">
      <sharedItems>
        <s v="16/4"/>
        <s v="13/2"/>
        <s v="8/5"/>
        <s v="12/6"/>
        <s v="12/1"/>
        <s v="15/2"/>
        <s v="20/1"/>
        <s v="16/1"/>
        <s v="8/6"/>
        <s v="13/4"/>
        <s v="15/5"/>
        <s v="16/8"/>
        <s v="8/7"/>
        <s v="22/1"/>
        <s v="12/2"/>
        <s v="14/1"/>
        <s v="16/9"/>
        <s v="9/1"/>
        <s v="20/2"/>
        <s v="14/2"/>
        <s v="16/7"/>
        <s v="10/1"/>
        <s v="13/1"/>
        <s v="16/11"/>
        <s v="24/6"/>
        <s v="14/3"/>
        <s v="24/7"/>
        <s v="8/10"/>
        <s v="8/9"/>
        <s v="8/8"/>
        <s v="9/2"/>
        <s v="8/4"/>
        <s v="10/2"/>
        <s v="15/4"/>
        <s v="16/2"/>
        <s v="21/4"/>
        <s v="12/3"/>
        <s v="13/0"/>
        <s v="5/1"/>
        <s v="5/3"/>
        <s v="15/9"/>
        <s v="15/3"/>
        <s v="8/1"/>
        <s v="5/5"/>
        <s v="15/1"/>
        <s v="15/8"/>
        <s v="5/7"/>
        <s v="8/0"/>
        <s v="15/7"/>
        <s v="65/7"/>
        <s v="7/3"/>
        <s v="18/1"/>
        <s v="32/3"/>
        <s v="7/2"/>
        <s v="8/2"/>
        <s v="66/0"/>
        <s v="16/0"/>
        <s v="9/0"/>
        <s v="8/3"/>
        <s v="32/4"/>
        <s v="9/3"/>
        <s v="6/3"/>
        <s v="16/10"/>
        <s v="65/2"/>
        <s v="32/6"/>
        <s v="7/4"/>
        <s v="10/3"/>
        <s v="32/5"/>
        <s v="14/0"/>
        <s v="68/0"/>
        <s v="12/4"/>
        <s v="16/6"/>
        <s v="12/5"/>
        <s v="48/4"/>
        <s v="18/0"/>
        <s v="38/1"/>
        <s v="24/8"/>
        <s v="10/0"/>
        <s v="16/5"/>
        <s v="32/1"/>
        <s v="46/0"/>
        <s v="64/0"/>
        <s v="47/11"/>
        <s v="16/3"/>
        <s v="38/2"/>
        <s v="24/9"/>
        <s v="7/0"/>
        <s v="48/2"/>
        <s v="36/3"/>
        <s v="24/10"/>
        <s v="26/2"/>
        <s v="15/0"/>
        <s v="38/0"/>
        <s v="11/0"/>
        <s v="32/7"/>
        <s v="45/0"/>
        <s v="7/1"/>
        <s v="47/8"/>
        <s v="24/11"/>
        <s v="65/9"/>
        <s v="5/6"/>
        <s v="49/0"/>
        <s v="26/1"/>
        <s v="27/0"/>
        <s v="55/1"/>
        <s v="33/0"/>
        <s v="36/0"/>
        <s v="65/11"/>
        <s v="40/0"/>
        <s v="5/4"/>
        <s v="49/1"/>
        <s v="6/1"/>
        <s v="65/8"/>
        <s v="52/0"/>
        <s v="39/0"/>
        <s v="39/4"/>
        <s v="27/1"/>
        <s v="49/6"/>
        <s v="34/0"/>
        <s v="63/1"/>
        <s v="39/3"/>
        <s v="39/1"/>
        <s v="51/2"/>
        <s v="53/0"/>
        <s v="27/3"/>
        <s v="40/3"/>
        <s v="51/1"/>
        <s v="39/2"/>
        <s v="12/7"/>
        <s v="66/5"/>
        <s v="37/0"/>
        <s v="45A/0"/>
        <s v="17/0"/>
        <s v="30/2"/>
        <s v="40/1"/>
        <s v="27/4"/>
        <s v="66/6"/>
        <s v="48/8"/>
        <s v="29/2"/>
        <s v="30/1"/>
        <s v="13/3"/>
        <s v="45/3"/>
        <s v="66/4"/>
        <s v="53B/1"/>
        <s v="38/3"/>
        <s v="48/5"/>
        <s v="27/5"/>
        <s v="14/5"/>
        <s v="32/2"/>
        <s v="29/1"/>
        <s v="45/1"/>
        <s v="67/0"/>
        <s v="30/0"/>
        <s v="36/4"/>
        <s v="14/4"/>
        <s v="52/1"/>
        <s v="38/8"/>
        <s v="27/2"/>
        <s v="40/2"/>
        <s v="36/6"/>
        <s v="45/4"/>
        <s v="34/3"/>
        <s v="26/4"/>
        <s v="36/5"/>
        <s v="25/0"/>
        <s v="55/2"/>
        <s v="6/0"/>
        <s v="46/2"/>
        <s v="66/8"/>
        <s v="36/7"/>
        <s v="6/2"/>
        <s v="34/1"/>
        <s v="47/1"/>
        <s v="26/3"/>
        <s v="36/2"/>
        <s v="41/0"/>
        <s v="5/2"/>
        <s v="46A/1"/>
        <s v="65/5"/>
        <s v="36/1"/>
        <s v="63/3"/>
        <s v="5/0"/>
        <s v="29/0"/>
        <s v="32/0"/>
        <s v="36/8"/>
        <s v="38/4"/>
        <s v="46A/0"/>
        <s v="66/2"/>
        <s v="31/0"/>
      </sharedItems>
    </cacheField>
    <cacheField name="Tower Type" numFmtId="0">
      <sharedItems>
        <s v="DA+0"/>
        <s v="DA+3"/>
        <s v="DA(-)3"/>
        <s v="DA+6"/>
        <s v="DA(-)1.5"/>
        <s v="DB2+0"/>
        <s v="DB1+0"/>
        <s v="DA+1.5"/>
        <s v="DC1+0"/>
        <s v="DB2+6"/>
        <s v="DD45+0"/>
        <s v="DB1+9"/>
        <s v="DA+9"/>
        <s v="DC2+0"/>
        <s v="DD45+9"/>
        <s v="DD60+25"/>
        <s v="DB2+9"/>
        <s v="DC1+3"/>
        <s v="DB2+3"/>
        <s v="DD45+12"/>
        <s v="DC2+18"/>
        <s v="DD45+18"/>
        <s v="DD60+9"/>
        <s v="DD60+0"/>
      </sharedItems>
    </cacheField>
    <cacheField name="District wise section" numFmtId="0">
      <sharedItems>
        <s v="Gantry - AP39/0"/>
        <s v="AP 47/11 - AP68"/>
        <s v="AP39/1 - 47/10"/>
      </sharedItems>
    </cacheField>
    <cacheField name="STATUS " numFmtId="0">
      <sharedItems>
        <s v="COMPLETED "/>
        <s v="COMPLETED  "/>
        <s v="Peak u/p"/>
      </sharedItems>
    </cacheField>
    <cacheField name="STARTING DATE">
      <sharedItems containsDate="1" containsMixedTypes="1">
        <s v="22/08/2025"/>
        <s v="25/08/2025"/>
        <s v="02.09.2025"/>
        <s v="07.09.2025"/>
        <s v="13.09.2025"/>
        <s v="11.09.2025"/>
        <s v="14.09.2025"/>
        <s v="15.09.2025"/>
        <s v="25.09.2025"/>
        <s v="16.09.2025"/>
        <s v="19.09.2025"/>
        <s v="20.09.2025"/>
        <s v="23.09.2025"/>
        <s v="24.09.2025"/>
        <s v="01.10.2025"/>
        <s v="27.09.2025"/>
        <s v="05.10.2025"/>
        <s v="07.10.2025"/>
        <s v="12.10.2025"/>
        <s v="17.10.2025"/>
        <s v="24.10.2025"/>
        <s v="26.10.2025"/>
        <s v="03.11.2025"/>
        <s v="08.11.2025"/>
        <s v="13.11.2025"/>
        <s v="27.11.2025"/>
        <s v="11.11.2025"/>
        <s v="16.11.2025"/>
        <s v="20.11.2025"/>
        <s v="26.11.2025"/>
        <s v="28.11.2025"/>
        <s v="01.12.2025"/>
        <s v="07.12.2025"/>
        <s v="04.12.2025"/>
        <s v="06.12.2025"/>
        <s v="05.12.2025"/>
        <s v="11.12.2025"/>
        <s v="12.12.2025"/>
        <s v="14.12.2025"/>
        <s v="16.12.2025"/>
        <s v="17.12.2025"/>
        <s v="18.12.2025"/>
        <s v="19.12.2025"/>
        <s v="21.12.2025"/>
        <s v="22.12.2025"/>
        <s v="23.12.2025"/>
        <s v="24.12.2025"/>
        <s v="30.12.2025"/>
        <s v="02.01.2026"/>
        <s v="31.12.2025"/>
        <s v="04.01.2026"/>
        <s v="05.01.2026"/>
        <s v="08.01.2026"/>
        <s v="11.01.2026"/>
        <s v="12.01.2026"/>
        <s v="15.01.2026"/>
        <s v="16.01.2026"/>
        <s v="19.01.2026"/>
        <s v="25.01.2026"/>
        <s v="20.01.2026"/>
        <s v="21.01.2026"/>
        <s v="27.01.2026"/>
        <s v="28.01.2026"/>
        <s v="31.01.2026"/>
        <s v="01.02.2026"/>
        <s v="02.02.2026"/>
        <s v="03.02.2026"/>
        <s v="07.02.2026"/>
        <s v="21.02.2026"/>
        <s v="08.02.2026"/>
        <s v="10.02.2026"/>
        <s v="13.02.2026"/>
        <s v="14.02.2026"/>
        <s v="15.02.2026"/>
        <s v="17.02.2026"/>
        <s v="19.02.2026"/>
        <s v="18.02.2026"/>
        <s v="23.02.2026"/>
        <s v="28.02.2026"/>
        <s v="27.02.2026"/>
        <s v="01.03.2026"/>
        <s v="03.03.2026"/>
        <s v="19.03.2026"/>
        <s v="12.03.2026"/>
        <s v="10.03.2026"/>
        <s v="11.03.2026"/>
        <s v="15.03.2026"/>
        <s v="17.03.2026"/>
        <s v="18.03.2026"/>
        <s v="20.03.2026"/>
        <s v="22.03.2026"/>
        <s v="23.03.2026"/>
        <s v="24.03.2026"/>
        <s v="25.03.2026"/>
        <s v="26.03.2026"/>
        <s v="30.03.2026"/>
        <s v="31.03.2026"/>
        <s v="01.04.2026"/>
        <s v="02.04.2026"/>
        <s v="03.04.2026"/>
        <s v="06.04.2026"/>
        <d v="2026-04-08T00:00:00Z"/>
        <d v="2026-04-09T00:00:00Z"/>
        <d v="2026-04-11T00:00:00Z"/>
        <d v="2026-04-12T00:00:00Z"/>
        <d v="2026-04-10T00:00:00Z"/>
        <d v="2026-04-13T00:00:00Z"/>
        <d v="2026-04-16T00:00:00Z"/>
        <d v="2026-04-14T00:00:00Z"/>
        <d v="2026-04-17T00:00:00Z"/>
        <d v="2026-04-18T00:00:00Z"/>
        <d v="2026-04-19T00:00:00Z"/>
        <d v="2026-04-21T00:00:00Z"/>
        <d v="2026-04-22T00:00:00Z"/>
        <d v="2026-04-23T00:00:00Z"/>
        <d v="2026-04-26T00:00:00Z"/>
        <d v="2026-04-30T00:00:00Z"/>
        <d v="2026-04-29T00:00:00Z"/>
      </sharedItems>
    </cacheField>
    <cacheField name="ENDING DATE ">
      <sharedItems containsDate="1" containsMixedTypes="1">
        <d v="2025-09-03T00:00:00Z"/>
        <s v="15.09.2025"/>
        <s v="08.09.2025"/>
        <s v="18.09.2025"/>
        <s v="23.09.2025"/>
        <s v="12.09.2025"/>
        <s v="14.09.2025"/>
        <s v="27.09.2025"/>
        <s v="19.09.2025"/>
        <s v="20.09.2025"/>
        <s v="04.10.2025"/>
        <s v="24.09.2025"/>
        <s v="25.09.2025"/>
        <s v="26.09.2025"/>
        <s v="29.09.2025"/>
        <s v="30.09.2025"/>
        <s v="06.10.2025"/>
        <s v="02.10.2025"/>
        <s v="13.10.2025"/>
        <s v="01.10.2025"/>
        <s v="16.10.2025"/>
        <s v="11.10.2025"/>
        <s v="22.10.2025"/>
        <d v="2025-10-25T00:00:00Z"/>
        <s v="02.11.2025"/>
        <s v="07.11.2025"/>
        <s v="11.11.2025"/>
        <s v="25.11.2025"/>
        <s v="24.11.2025"/>
        <s v="09.12.2025"/>
        <s v="16.11.2025"/>
        <s v="27.11.2025"/>
        <s v="30.11.2025"/>
        <s v="04.12.2025"/>
        <s v="05.12.2025"/>
        <s v="03.12.2025"/>
        <s v="15.12.2025"/>
        <s v="12.12.2025"/>
        <s v="11.12.2025"/>
        <s v="16.12.2025"/>
        <s v="19.12.2025"/>
        <s v="17.12.2025"/>
        <s v="06.01.2026"/>
        <s v="23.12.2025"/>
        <s v="21.12.2025"/>
        <s v="22.12.2025"/>
        <s v="28.12.2025"/>
        <s v="31.12.2025"/>
        <s v="29.12.2025"/>
        <s v="30.12.2025"/>
        <s v="04.01.2026"/>
        <s v="03.01.2026"/>
        <s v="12.01.2026"/>
        <s v="09.01.2026"/>
        <s v="10.01.2026"/>
        <s v="14.01.2026"/>
        <s v="19.01.2026"/>
        <s v="25.01.2026"/>
        <s v="15.01.2026"/>
        <s v="20.01.2026"/>
        <s v="24.01.2026"/>
        <s v="06.02.2026"/>
        <s v="27.01.2026"/>
        <s v="28.01.2026"/>
        <s v="09.02.2026"/>
        <s v="30.01.2026"/>
        <s v="03.02.2026"/>
        <s v="01.02.2026"/>
        <s v="05.02.2026"/>
        <s v="08.02.2026"/>
        <s v="13.02.2026"/>
        <s v="14.02.2026"/>
        <s v="16.02.2026"/>
        <s v="16.03.2026"/>
        <s v="17.02.2026"/>
        <s v="12.02.2026"/>
        <s v="22.02.2026"/>
        <s v="25.02.2026"/>
        <s v="27.02.2026"/>
        <s v="28.02.2026"/>
        <s v="26.02.2026"/>
        <s v="09.03.2026"/>
        <s v="12.03.2026"/>
        <s v="15.03.2026"/>
        <s v="10.03.2026"/>
        <s v="02.04.2026"/>
        <s v="17.03.2026"/>
        <s v="30.03.2026"/>
        <s v="23.03.2026"/>
        <s v="21.03.2026"/>
        <s v="20.03.2026"/>
        <s v="31.03.2026"/>
        <s v="29.03.2026"/>
        <s v="28.03.2026"/>
        <d v="2026-04-09T00:00:00Z"/>
        <s v="01.04.2026"/>
        <s v="04.04.2026"/>
        <s v="05.04.2026"/>
        <d v="2026-04-07T00:00:00Z"/>
        <s v="06.04.2026"/>
        <d v="2026-04-10T00:00:00Z"/>
        <d v="2026-04-13T00:00:00Z"/>
        <d v="2026-04-15T00:00:00Z"/>
        <d v="2026-04-16T00:00:00Z"/>
        <d v="2026-04-11T00:00:00Z"/>
        <d v="2026-04-14T00:00:00Z"/>
        <d v="2026-04-29T00:00:00Z"/>
        <d v="2026-04-21T00:00:00Z"/>
        <d v="2026-04-18T00:00:00Z"/>
        <d v="2026-04-23T00:00:00Z"/>
        <d v="2026-04-22T00:00:00Z"/>
        <d v="2026-04-28T00:00:00Z"/>
        <d v="2026-04-26T00:00:00Z"/>
        <d v="2026-04-30T00:00:00Z"/>
        <d v="2026-04-25T00:00:00Z"/>
        <n v="19.0"/>
        <d v="2026-04-02T00:00:00Z"/>
        <d v="2026-05-14T00:00:00Z"/>
        <d v="2026-05-12T00:00:00Z"/>
        <d v="2026-05-02T00:00:00Z"/>
        <d v="2026-05-11T00:00:00Z"/>
        <d v="2026-05-08T00:00:00Z"/>
        <d v="2026-05-06T00:00:00Z"/>
      </sharedItems>
    </cacheField>
    <cacheField name="Work starting month" numFmtId="0">
      <sharedItems containsBlank="1">
        <m/>
        <s v="Mar'26"/>
        <s v="Apr'26"/>
      </sharedItems>
    </cacheField>
    <cacheField name="Work completion Month" numFmtId="0">
      <sharedItems containsBlank="1">
        <m/>
        <s v="Dec'25"/>
        <s v="Jan'26"/>
        <s v="Feb'26"/>
        <s v="Mar'26"/>
        <s v="Apr'26"/>
        <s v="May'26"/>
      </sharedItems>
    </cacheField>
    <cacheField name="Sub-Contractor" numFmtId="0">
      <sharedItems>
        <s v="DEVI CONST.-I"/>
        <s v="DEONATH MAHATO "/>
        <s v="JAWALA SINGH "/>
        <s v="MODINA INDIA  "/>
        <s v="OM CONSTRUCTION"/>
        <s v="HEMLAL MAHATO-I (Anita Devi)"/>
        <s v="DEVI CONST.-II"/>
        <s v="HEMLAL MAHATO-II (Anita Devi)"/>
        <s v="DEVI CONST."/>
        <s v="Arawali infra-1"/>
        <s v="Arawali infra-2"/>
        <s v="Kaushlya Devi"/>
        <s v="Anita Devi"/>
        <s v="Senaul Haque"/>
        <s v="Amit construction"/>
        <s v="DEVI CONST.-2"/>
        <s v="SONI KUMARI"/>
        <s v="ARAVALI INFRA-2"/>
        <s v="JAWALA SINGH"/>
        <s v="ARAVALI INFRA-1"/>
        <s v="JAWALA SINGH-2"/>
        <s v="Splicenet construction"/>
        <s v="ARAVALI INFRA-3"/>
        <s v="Splicenet construction-II"/>
        <s v="Splicenet construction-III"/>
        <s v="Devi construction"/>
        <s v="Jwala Singh"/>
        <s v="Splicenet  Cons 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FDN pivot" cacheId="0" dataCaption="" showHeaders="0">
  <location ref="A5:F6" firstHeaderRow="0" firstDataRow="0" firstDataCol="2"/>
  <pivotFields>
    <pivotField name="SL NO.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LOC No. " dataFiel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District wise section" outline="0" multipleItemSelectionAllowed="1" showAll="0">
      <items>
        <item x="0"/>
        <item x="1"/>
        <item x="2"/>
        <item t="default"/>
      </items>
    </pivotField>
    <pivotField name="TOWER-TYP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LASSIFICATION 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ATUS " axis="axisCol" outline="0" multipleItemSelectionAllowed="1" showAll="0" sortType="ascending">
      <items>
        <item x="0"/>
        <item x="1"/>
        <item x="2"/>
        <item x="3"/>
        <item t="default"/>
      </items>
    </pivotField>
    <pivotField name="Man. P" outline="0" multipleItemSelectionAllowed="1" showAll="0">
      <items>
        <item x="0"/>
        <item t="default"/>
      </items>
    </pivotField>
    <pivotField name="STARTING DAT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ENDING DATE 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name="Work started month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pleted month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ub-Contractor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</pivotFields>
  <colFields>
    <field x="5"/>
  </colFields>
  <dataFields>
    <dataField name="COUNTA of LOC No. " fld="1" subtotal="count" baseField="0"/>
  </dataFields>
</pivotTableDefinition>
</file>

<file path=xl/pivotTables/pivotTable2.xml><?xml version="1.0" encoding="utf-8"?>
<pivotTableDefinition xmlns="http://schemas.openxmlformats.org/spreadsheetml/2006/main" name="Erc pivot" cacheId="1" dataCaption="">
  <location ref="A3:C6" firstHeaderRow="1" firstDataRow="2" firstDataCol="1"/>
  <pivotFields>
    <pivotField name="SL NO.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LOC No. " dataFiel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Tower Typ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istrict wise section" axis="axisRow" outline="0" multipleItemSelectionAllowed="1" showAll="0" sortType="ascending">
      <items>
        <item x="1"/>
        <item h="1" x="2"/>
        <item h="1" x="0"/>
        <item t="default"/>
      </items>
    </pivotField>
    <pivotField name="STATUS " axis="axisCol" outline="0" multipleItemSelectionAllowed="1" showAll="0" sortType="ascending">
      <items>
        <item x="0"/>
        <item x="1"/>
        <item x="2"/>
        <item t="default"/>
      </items>
    </pivotField>
    <pivotField name="STARTING DAT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ENDING DATE 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Work starting month" outline="0" multipleItemSelectionAllowed="1" showAll="0">
      <items>
        <item x="0"/>
        <item x="1"/>
        <item x="2"/>
        <item t="default"/>
      </items>
    </pivotField>
    <pivotField name="Work completion Month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ub-Contractor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>
    <field x="3"/>
  </rowFields>
  <colFields>
    <field x="4"/>
  </colFields>
  <dataFields>
    <dataField name="COUNTA of LOC No. 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29"/>
    <col customWidth="1" min="2" max="3" width="4.0"/>
    <col customWidth="1" min="4" max="4" width="6.29"/>
    <col customWidth="1" min="5" max="5" width="4.29"/>
    <col customWidth="1" min="6" max="6" width="3.71"/>
    <col customWidth="1" min="7" max="7" width="7.0"/>
    <col customWidth="1" min="8" max="9" width="4.0"/>
    <col customWidth="1" min="10" max="10" width="6.71"/>
    <col customWidth="1" min="11" max="12" width="4.0"/>
    <col customWidth="1" min="13" max="13" width="5.57"/>
    <col customWidth="1" min="14" max="15" width="4.0"/>
    <col customWidth="1" min="16" max="16" width="5.0"/>
    <col customWidth="1" min="17" max="18" width="4.0"/>
    <col customWidth="1" min="19" max="19" width="5.71"/>
    <col customWidth="1" min="20" max="21" width="4.0"/>
    <col customWidth="1" min="22" max="22" width="5.29"/>
    <col customWidth="1" min="23" max="24" width="4.0"/>
    <col customWidth="1" min="25" max="25" width="7.71"/>
    <col customWidth="1" min="26" max="27" width="4.0"/>
    <col customWidth="1" min="28" max="28" width="6.71"/>
    <col customWidth="1" min="29" max="30" width="3.71"/>
    <col customWidth="1" min="31" max="31" width="6.29"/>
    <col customWidth="1" min="32" max="32" width="4.0"/>
    <col customWidth="1" min="33" max="33" width="3.71"/>
    <col customWidth="1" min="34" max="34" width="8.57"/>
    <col customWidth="1" min="35" max="35" width="4.0"/>
    <col customWidth="1" min="36" max="36" width="3.71"/>
    <col customWidth="1" min="37" max="37" width="5.71"/>
    <col customWidth="1" min="38" max="38" width="4.0"/>
    <col customWidth="1" min="39" max="39" width="3.57"/>
    <col customWidth="1" min="40" max="40" width="7.43"/>
    <col customWidth="1" min="41" max="41" width="4.0"/>
    <col customWidth="1" min="42" max="42" width="3.43"/>
    <col customWidth="1" min="43" max="43" width="7.71"/>
    <col customWidth="1" min="44" max="44" width="3.43"/>
    <col customWidth="1" min="45" max="45" width="3.71"/>
    <col customWidth="1" min="46" max="46" width="4.29"/>
    <col customWidth="1" min="47" max="47" width="2.57"/>
    <col customWidth="1" min="48" max="48" width="6.29"/>
    <col customWidth="1" min="49" max="49" width="6.0"/>
    <col customWidth="1" min="50" max="51" width="5.71"/>
    <col customWidth="1" min="52" max="52" width="7.29"/>
    <col customWidth="1" min="53" max="62" width="8.71"/>
  </cols>
  <sheetData>
    <row r="1" ht="21.75" customHeight="1">
      <c r="A1" s="1" t="str">
        <f>[2]TS!A1</f>
        <v>#ERROR!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3"/>
      <c r="AV1" s="4"/>
    </row>
    <row r="2" ht="14.25" customHeight="1">
      <c r="A2" s="5"/>
      <c r="B2" s="6"/>
      <c r="C2" s="6"/>
      <c r="D2" s="7"/>
      <c r="E2" s="6"/>
      <c r="F2" s="6"/>
      <c r="G2" s="8"/>
      <c r="H2" s="8"/>
      <c r="I2" s="8"/>
      <c r="J2" s="8"/>
      <c r="K2" s="6"/>
      <c r="L2" s="6"/>
      <c r="M2" s="7"/>
      <c r="N2" s="6"/>
      <c r="O2" s="6"/>
      <c r="P2" s="7"/>
      <c r="Q2" s="6"/>
      <c r="R2" s="6"/>
      <c r="S2" s="7"/>
      <c r="T2" s="9" t="s">
        <v>0</v>
      </c>
      <c r="U2" s="10"/>
      <c r="V2" s="10"/>
      <c r="W2" s="10"/>
      <c r="X2" s="10"/>
      <c r="Y2" s="10"/>
      <c r="Z2" s="10"/>
      <c r="AA2" s="10"/>
      <c r="AB2" s="10"/>
      <c r="AC2" s="10"/>
      <c r="AD2" s="11"/>
      <c r="AE2" s="7"/>
      <c r="AF2" s="6"/>
      <c r="AG2" s="6"/>
      <c r="AH2" s="7"/>
      <c r="AI2" s="6"/>
      <c r="AJ2" s="6"/>
      <c r="AK2" s="12" t="s">
        <v>1</v>
      </c>
      <c r="AL2" s="13"/>
      <c r="AM2" s="13"/>
      <c r="AN2" s="14">
        <v>46160.0</v>
      </c>
      <c r="AO2" s="13"/>
      <c r="AP2" s="13"/>
      <c r="AQ2" s="14"/>
      <c r="AR2" s="14"/>
      <c r="AS2" s="7"/>
      <c r="AT2" s="15"/>
      <c r="AV2" s="16" t="s">
        <v>2</v>
      </c>
      <c r="AW2" s="17" t="s">
        <v>3</v>
      </c>
      <c r="AX2" s="18" t="s">
        <v>4</v>
      </c>
      <c r="AY2" s="19" t="s">
        <v>5</v>
      </c>
      <c r="AZ2" s="20" t="s">
        <v>6</v>
      </c>
      <c r="BA2" s="21" t="s">
        <v>7</v>
      </c>
    </row>
    <row r="3" ht="14.25" customHeight="1">
      <c r="A3" s="22"/>
      <c r="C3" s="23"/>
      <c r="D3" s="23"/>
      <c r="F3" s="23"/>
      <c r="J3" s="23"/>
      <c r="M3" s="23"/>
      <c r="P3" s="23"/>
      <c r="S3" s="23"/>
      <c r="V3" s="23"/>
      <c r="Y3" s="23"/>
      <c r="AB3" s="23"/>
      <c r="AE3" s="23"/>
      <c r="AH3" s="23"/>
      <c r="AK3" s="23"/>
      <c r="AN3" s="23"/>
      <c r="AS3" s="23"/>
      <c r="AT3" s="24"/>
      <c r="AV3" s="25" t="str">
        <f t="shared" ref="AV3:BA3" si="1">SUM(AV6:AV182)</f>
        <v>264</v>
      </c>
      <c r="AW3" s="25" t="str">
        <f t="shared" si="1"/>
        <v>232</v>
      </c>
      <c r="AX3" s="25" t="str">
        <f t="shared" si="1"/>
        <v>198</v>
      </c>
      <c r="AY3" s="25" t="str">
        <f t="shared" si="1"/>
        <v>0</v>
      </c>
      <c r="AZ3" s="25" t="str">
        <f t="shared" si="1"/>
        <v>0</v>
      </c>
      <c r="BA3" s="26" t="str">
        <f t="shared" si="1"/>
        <v>118387.007</v>
      </c>
    </row>
    <row r="4" ht="14.25" customHeight="1">
      <c r="A4" s="22"/>
      <c r="B4" s="27"/>
      <c r="C4" s="28"/>
      <c r="D4" s="23"/>
      <c r="E4" s="27"/>
      <c r="F4" s="28"/>
      <c r="G4" s="23"/>
      <c r="H4" s="29"/>
      <c r="I4" s="28"/>
      <c r="J4" s="23"/>
      <c r="K4" s="27"/>
      <c r="L4" s="28"/>
      <c r="M4" s="23"/>
      <c r="N4" s="27"/>
      <c r="O4" s="28"/>
      <c r="P4" s="23"/>
      <c r="Q4" s="29"/>
      <c r="R4" s="28"/>
      <c r="S4" s="23"/>
      <c r="T4" s="29"/>
      <c r="U4" s="28"/>
      <c r="V4" s="23"/>
      <c r="W4" s="30"/>
      <c r="Y4" s="23"/>
      <c r="Z4" s="30"/>
      <c r="AB4" s="23"/>
      <c r="AC4" s="29"/>
      <c r="AD4" s="28"/>
      <c r="AE4" s="23"/>
      <c r="AF4" s="29"/>
      <c r="AG4" s="28"/>
      <c r="AH4" s="23"/>
      <c r="AI4" s="29"/>
      <c r="AJ4" s="28"/>
      <c r="AK4" s="23"/>
      <c r="AL4" s="29"/>
      <c r="AM4" s="28"/>
      <c r="AN4" s="23"/>
      <c r="AO4" s="29"/>
      <c r="AP4" s="28"/>
      <c r="AQ4" s="30"/>
      <c r="AR4" s="30"/>
      <c r="AS4" s="23"/>
      <c r="AT4" s="24"/>
      <c r="AV4" s="30"/>
    </row>
    <row r="5" ht="14.25" customHeight="1">
      <c r="A5" s="22"/>
      <c r="B5" s="25"/>
      <c r="C5" s="31"/>
      <c r="D5" s="32"/>
      <c r="E5" s="33"/>
      <c r="F5" s="34"/>
      <c r="G5" s="32"/>
      <c r="H5" s="35"/>
      <c r="I5" s="36"/>
      <c r="J5" s="37"/>
      <c r="K5" s="35"/>
      <c r="L5" s="36"/>
      <c r="M5" s="32"/>
      <c r="N5" s="33"/>
      <c r="O5" s="34"/>
      <c r="P5" s="38"/>
      <c r="Q5" s="35"/>
      <c r="R5" s="36"/>
      <c r="S5" s="38"/>
      <c r="T5" s="39" t="s">
        <v>8</v>
      </c>
      <c r="U5" s="40"/>
      <c r="V5" s="38"/>
      <c r="W5" s="39" t="s">
        <v>8</v>
      </c>
      <c r="X5" s="40"/>
      <c r="Y5" s="38"/>
      <c r="Z5" s="41"/>
      <c r="AA5" s="41"/>
      <c r="AB5" s="38"/>
      <c r="AC5" s="35"/>
      <c r="AD5" s="42"/>
      <c r="AE5" s="38"/>
      <c r="AF5" s="35"/>
      <c r="AG5" s="36"/>
      <c r="AH5" s="38"/>
      <c r="AI5" s="35"/>
      <c r="AJ5" s="36"/>
      <c r="AK5" s="38"/>
      <c r="AL5" s="35"/>
      <c r="AM5" s="36"/>
      <c r="AN5" s="38"/>
      <c r="AO5" s="35"/>
      <c r="AP5" s="36"/>
      <c r="AQ5" s="43"/>
      <c r="AR5" s="44"/>
      <c r="AS5" s="43"/>
      <c r="AT5" s="45"/>
    </row>
    <row r="6" ht="14.25" customHeight="1">
      <c r="A6" s="22"/>
      <c r="B6" s="46"/>
      <c r="C6" s="46"/>
      <c r="D6" s="47"/>
      <c r="E6" s="33"/>
      <c r="F6" s="33"/>
      <c r="G6" s="47"/>
      <c r="H6" s="35"/>
      <c r="I6" s="35"/>
      <c r="J6" s="48"/>
      <c r="K6" s="35"/>
      <c r="L6" s="35"/>
      <c r="M6" s="47"/>
      <c r="N6" s="33"/>
      <c r="O6" s="33"/>
      <c r="P6" s="47"/>
      <c r="Q6" s="35"/>
      <c r="R6" s="35"/>
      <c r="S6" s="47"/>
      <c r="T6" s="49"/>
      <c r="U6" s="50"/>
      <c r="V6" s="47"/>
      <c r="W6" s="49"/>
      <c r="X6" s="50"/>
      <c r="Y6" s="47"/>
      <c r="Z6" s="35"/>
      <c r="AA6" s="35"/>
      <c r="AB6" s="47"/>
      <c r="AC6" s="35"/>
      <c r="AD6" s="35"/>
      <c r="AE6" s="23"/>
      <c r="AF6" s="35"/>
      <c r="AG6" s="35"/>
      <c r="AH6" s="47"/>
      <c r="AI6" s="35"/>
      <c r="AJ6" s="35"/>
      <c r="AK6" s="47"/>
      <c r="AL6" s="35"/>
      <c r="AM6" s="35"/>
      <c r="AN6" s="47"/>
      <c r="AO6" s="35"/>
      <c r="AP6" s="36"/>
      <c r="AQ6" s="44"/>
      <c r="AR6" s="44"/>
      <c r="AS6" s="44"/>
      <c r="AT6" s="51"/>
      <c r="AV6" s="52">
        <v>9.0</v>
      </c>
      <c r="AW6" s="52">
        <v>7.0</v>
      </c>
      <c r="AX6" s="52">
        <v>2.0</v>
      </c>
      <c r="AY6" s="52">
        <v>0.0</v>
      </c>
      <c r="AZ6" s="52">
        <v>0.0</v>
      </c>
      <c r="BA6" s="53" t="str">
        <f>+A7+D7+G7+J7+M7+P7+S7+V7+Y7+AB7+AE7+AH7+AK7+AN7+AQ7</f>
        <v>5498.422</v>
      </c>
    </row>
    <row r="7" ht="14.25" customHeight="1">
      <c r="A7" s="54">
        <v>107.961</v>
      </c>
      <c r="B7" s="55" t="s">
        <v>9</v>
      </c>
      <c r="D7" s="56">
        <v>148.478</v>
      </c>
      <c r="E7" s="55" t="s">
        <v>9</v>
      </c>
      <c r="G7" s="56">
        <v>408.832</v>
      </c>
      <c r="H7" s="57" t="s">
        <v>10</v>
      </c>
      <c r="J7" s="47">
        <v>380.0</v>
      </c>
      <c r="K7" s="57" t="s">
        <v>11</v>
      </c>
      <c r="M7" s="47">
        <v>422.0</v>
      </c>
      <c r="N7" s="58" t="s">
        <v>12</v>
      </c>
      <c r="P7" s="56">
        <v>408.352</v>
      </c>
      <c r="Q7" s="59" t="s">
        <v>13</v>
      </c>
      <c r="S7" s="56">
        <v>419.453</v>
      </c>
      <c r="T7" s="59" t="s">
        <v>14</v>
      </c>
      <c r="V7" s="47">
        <v>381.0</v>
      </c>
      <c r="W7" s="59" t="s">
        <v>14</v>
      </c>
      <c r="Y7" s="47">
        <v>417.0</v>
      </c>
      <c r="Z7" s="60" t="s">
        <v>15</v>
      </c>
      <c r="AB7" s="23">
        <v>417.0</v>
      </c>
      <c r="AC7" s="60" t="s">
        <v>12</v>
      </c>
      <c r="AE7" s="47">
        <v>417.0</v>
      </c>
      <c r="AF7" s="55" t="s">
        <v>15</v>
      </c>
      <c r="AH7" s="56">
        <v>388.003</v>
      </c>
      <c r="AI7" s="60" t="s">
        <v>12</v>
      </c>
      <c r="AK7" s="56">
        <v>452.343</v>
      </c>
      <c r="AL7" s="60" t="s">
        <v>16</v>
      </c>
      <c r="AN7" s="61">
        <v>401.0</v>
      </c>
      <c r="AO7" s="62" t="s">
        <v>15</v>
      </c>
      <c r="AQ7" s="47">
        <v>330.0</v>
      </c>
      <c r="AS7" s="23"/>
      <c r="AT7" s="24"/>
      <c r="AX7" s="30"/>
    </row>
    <row r="8" ht="14.25" customHeight="1">
      <c r="A8" s="22"/>
      <c r="B8" s="55" t="s">
        <v>17</v>
      </c>
      <c r="D8" s="62"/>
      <c r="E8" s="55" t="s">
        <v>18</v>
      </c>
      <c r="G8" s="62"/>
      <c r="H8" s="57" t="s">
        <v>19</v>
      </c>
      <c r="J8" s="62"/>
      <c r="K8" s="57" t="s">
        <v>20</v>
      </c>
      <c r="M8" s="62"/>
      <c r="N8" s="59" t="s">
        <v>21</v>
      </c>
      <c r="P8" s="62"/>
      <c r="Q8" s="59" t="s">
        <v>22</v>
      </c>
      <c r="S8" s="62"/>
      <c r="T8" s="59" t="s">
        <v>23</v>
      </c>
      <c r="V8" s="62"/>
      <c r="W8" s="59" t="s">
        <v>24</v>
      </c>
      <c r="Y8" s="62"/>
      <c r="Z8" s="59" t="s">
        <v>25</v>
      </c>
      <c r="AB8" s="47"/>
      <c r="AC8" s="59" t="s">
        <v>26</v>
      </c>
      <c r="AE8" s="62"/>
      <c r="AF8" s="59" t="s">
        <v>27</v>
      </c>
      <c r="AH8" s="62"/>
      <c r="AI8" s="59" t="s">
        <v>28</v>
      </c>
      <c r="AK8" s="62"/>
      <c r="AL8" s="60" t="s">
        <v>29</v>
      </c>
      <c r="AN8" s="55"/>
      <c r="AO8" s="60" t="s">
        <v>30</v>
      </c>
      <c r="AQ8" s="23"/>
      <c r="AS8" s="23"/>
      <c r="AT8" s="24"/>
    </row>
    <row r="9" ht="14.25" customHeight="1">
      <c r="A9" s="22"/>
      <c r="B9" s="63" t="s">
        <v>31</v>
      </c>
      <c r="C9" s="63"/>
      <c r="D9" s="63"/>
      <c r="E9" s="63" t="s">
        <v>31</v>
      </c>
      <c r="F9" s="63"/>
      <c r="G9" s="64"/>
      <c r="H9" s="63" t="s">
        <v>31</v>
      </c>
      <c r="I9" s="63"/>
      <c r="J9" s="64"/>
      <c r="K9" s="63" t="s">
        <v>31</v>
      </c>
      <c r="L9" s="63"/>
      <c r="M9" s="64"/>
      <c r="N9" s="63" t="s">
        <v>31</v>
      </c>
      <c r="O9" s="63"/>
      <c r="P9" s="64"/>
      <c r="Q9" s="63" t="s">
        <v>31</v>
      </c>
      <c r="R9" s="65"/>
      <c r="S9" s="64"/>
      <c r="T9" s="63" t="s">
        <v>31</v>
      </c>
      <c r="U9" s="65"/>
      <c r="V9" s="64"/>
      <c r="W9" s="63" t="s">
        <v>31</v>
      </c>
      <c r="X9" s="63"/>
      <c r="Y9" s="64"/>
      <c r="Z9" s="63" t="s">
        <v>31</v>
      </c>
      <c r="AA9" s="63"/>
      <c r="AB9" s="64"/>
      <c r="AC9" s="63" t="s">
        <v>31</v>
      </c>
      <c r="AD9" s="63"/>
      <c r="AE9" s="66"/>
      <c r="AF9" s="63" t="s">
        <v>31</v>
      </c>
      <c r="AG9" s="63"/>
      <c r="AH9" s="64"/>
      <c r="AI9" s="63" t="s">
        <v>31</v>
      </c>
      <c r="AJ9" s="63"/>
      <c r="AK9" s="64"/>
      <c r="AL9" s="64" t="s">
        <v>31</v>
      </c>
      <c r="AM9" s="63"/>
      <c r="AN9" s="64"/>
      <c r="AO9" s="64" t="s">
        <v>31</v>
      </c>
      <c r="AP9" s="63"/>
      <c r="AQ9" s="63"/>
      <c r="AR9" s="63"/>
      <c r="AS9" s="67"/>
      <c r="AT9" s="24"/>
    </row>
    <row r="10" ht="14.25" customHeight="1">
      <c r="A10" s="22"/>
      <c r="D10" s="23"/>
      <c r="G10" s="23"/>
      <c r="J10" s="23"/>
      <c r="K10" s="23"/>
      <c r="L10" s="23"/>
      <c r="M10" s="23"/>
      <c r="P10" s="23"/>
      <c r="S10" s="68"/>
      <c r="Y10" s="69"/>
      <c r="AE10" s="23"/>
      <c r="AH10" s="23"/>
      <c r="AK10" s="23"/>
      <c r="AN10" s="23"/>
      <c r="AS10" s="23"/>
      <c r="AT10" s="24"/>
      <c r="AX10" t="s">
        <v>32</v>
      </c>
    </row>
    <row r="11" ht="14.25" customHeight="1">
      <c r="A11" s="22"/>
      <c r="D11" s="23"/>
      <c r="G11" s="23"/>
      <c r="J11" s="23"/>
      <c r="M11" s="23"/>
      <c r="P11" s="23"/>
      <c r="Q11" s="23"/>
      <c r="S11" s="23"/>
      <c r="V11" s="23"/>
      <c r="Y11" s="23"/>
      <c r="AB11" s="23"/>
      <c r="AE11" s="23"/>
      <c r="AH11" s="23"/>
      <c r="AK11" s="23"/>
      <c r="AN11" s="23"/>
      <c r="AS11" s="23"/>
      <c r="AT11" s="24"/>
    </row>
    <row r="12" ht="14.25" customHeight="1">
      <c r="A12" s="22"/>
      <c r="B12" s="30"/>
      <c r="D12" s="23"/>
      <c r="E12" s="29"/>
      <c r="F12" s="28"/>
      <c r="G12" s="23"/>
      <c r="H12" s="29"/>
      <c r="I12" s="28"/>
      <c r="J12" s="23"/>
      <c r="K12" s="27"/>
      <c r="L12" s="28"/>
      <c r="M12" s="23"/>
      <c r="N12" s="29"/>
      <c r="O12" s="28"/>
      <c r="P12" s="23"/>
      <c r="Q12" s="29"/>
      <c r="R12" s="28"/>
      <c r="S12" s="23"/>
      <c r="T12" s="29"/>
      <c r="U12" s="28"/>
      <c r="V12" s="23"/>
      <c r="W12" s="29"/>
      <c r="X12" s="28"/>
      <c r="Y12" s="23"/>
      <c r="Z12" s="29"/>
      <c r="AA12" s="28"/>
      <c r="AB12" s="23"/>
      <c r="AC12" s="27"/>
      <c r="AD12" s="28"/>
      <c r="AE12" s="23"/>
      <c r="AF12" s="29"/>
      <c r="AG12" s="28"/>
      <c r="AH12" s="23"/>
      <c r="AI12" s="27"/>
      <c r="AJ12" s="28"/>
      <c r="AK12" s="23"/>
      <c r="AL12" s="27"/>
      <c r="AM12" s="28"/>
      <c r="AN12" s="23"/>
      <c r="AO12" s="29"/>
      <c r="AP12" s="28"/>
      <c r="AQ12" s="30"/>
      <c r="AR12" s="30"/>
      <c r="AS12" s="23"/>
      <c r="AT12" s="24"/>
    </row>
    <row r="13" ht="14.25" customHeight="1">
      <c r="A13" s="22"/>
      <c r="B13" s="35"/>
      <c r="C13" s="36"/>
      <c r="D13" s="38"/>
      <c r="E13" s="35"/>
      <c r="F13" s="36"/>
      <c r="G13" s="38"/>
      <c r="H13" s="35"/>
      <c r="I13" s="36"/>
      <c r="J13" s="38"/>
      <c r="K13" s="35"/>
      <c r="L13" s="36"/>
      <c r="M13" s="38"/>
      <c r="N13" s="35"/>
      <c r="O13" s="36"/>
      <c r="P13" s="38"/>
      <c r="Q13" s="35"/>
      <c r="R13" s="36"/>
      <c r="S13" s="38"/>
      <c r="T13" s="35"/>
      <c r="U13" s="36"/>
      <c r="V13" s="38"/>
      <c r="W13" s="35"/>
      <c r="X13" s="36"/>
      <c r="Y13" s="38"/>
      <c r="Z13" s="35"/>
      <c r="AA13" s="36"/>
      <c r="AB13" s="38"/>
      <c r="AC13" s="35"/>
      <c r="AD13" s="36"/>
      <c r="AE13" s="38"/>
      <c r="AF13" s="35"/>
      <c r="AG13" s="36"/>
      <c r="AH13" s="38"/>
      <c r="AI13" s="35"/>
      <c r="AJ13" s="36"/>
      <c r="AK13" s="70"/>
      <c r="AL13" s="35"/>
      <c r="AM13" s="36"/>
      <c r="AN13" s="38"/>
      <c r="AO13" s="35"/>
      <c r="AP13" s="36"/>
      <c r="AQ13" s="43"/>
      <c r="AR13" s="43"/>
      <c r="AS13" s="38"/>
      <c r="AT13" s="71"/>
    </row>
    <row r="14" ht="14.25" customHeight="1">
      <c r="A14" s="22"/>
      <c r="B14" s="35"/>
      <c r="C14" s="35"/>
      <c r="D14" s="47"/>
      <c r="E14" s="35"/>
      <c r="F14" s="35"/>
      <c r="G14" s="47"/>
      <c r="H14" s="35"/>
      <c r="I14" s="35"/>
      <c r="J14" s="62"/>
      <c r="K14" s="35"/>
      <c r="L14" s="35"/>
      <c r="M14" s="47"/>
      <c r="N14" s="35"/>
      <c r="O14" s="35"/>
      <c r="P14" s="47"/>
      <c r="Q14" s="35"/>
      <c r="R14" s="35"/>
      <c r="S14" s="47"/>
      <c r="T14" s="35"/>
      <c r="U14" s="35"/>
      <c r="V14" s="47"/>
      <c r="W14" s="35"/>
      <c r="X14" s="35"/>
      <c r="Y14" s="47"/>
      <c r="Z14" s="35"/>
      <c r="AA14" s="35"/>
      <c r="AB14" s="72"/>
      <c r="AC14" s="35"/>
      <c r="AD14" s="35"/>
      <c r="AE14" s="73"/>
      <c r="AF14" s="35"/>
      <c r="AG14" s="35"/>
      <c r="AH14" s="47"/>
      <c r="AI14" s="35"/>
      <c r="AJ14" s="35"/>
      <c r="AK14" s="47"/>
      <c r="AL14" s="35"/>
      <c r="AM14" s="35"/>
      <c r="AN14" s="47"/>
      <c r="AO14" s="35"/>
      <c r="AP14" s="35"/>
      <c r="AQ14" s="44"/>
      <c r="AR14" s="44"/>
      <c r="AS14" s="62"/>
      <c r="AT14" s="74"/>
      <c r="AV14" s="52">
        <v>14.0</v>
      </c>
      <c r="AW14" s="52">
        <v>11.0</v>
      </c>
      <c r="AX14" s="52">
        <v>14.0</v>
      </c>
      <c r="AY14" s="52">
        <v>0.0</v>
      </c>
      <c r="AZ14" s="52">
        <v>0.0</v>
      </c>
      <c r="BA14" s="53" t="str">
        <f>+A15+D15+G15+J15+M15+P15+S15+V15+Y15+AB15+AE15+AH15+AK15+AN15+AQ15</f>
        <v>5348.000</v>
      </c>
    </row>
    <row r="15" ht="14.25" customHeight="1">
      <c r="A15" s="22"/>
      <c r="B15" s="55" t="s">
        <v>33</v>
      </c>
      <c r="D15" s="47">
        <v>413.0</v>
      </c>
      <c r="E15" s="75" t="s">
        <v>34</v>
      </c>
      <c r="F15" s="76"/>
      <c r="G15" s="77">
        <v>422.0</v>
      </c>
      <c r="H15" s="78" t="s">
        <v>35</v>
      </c>
      <c r="I15" s="76"/>
      <c r="J15" s="62">
        <v>396.0</v>
      </c>
      <c r="K15" s="79" t="s">
        <v>33</v>
      </c>
      <c r="L15" s="76"/>
      <c r="M15" s="47">
        <v>385.0</v>
      </c>
      <c r="N15" s="79" t="s">
        <v>33</v>
      </c>
      <c r="O15" s="76"/>
      <c r="P15" s="47">
        <v>338.0</v>
      </c>
      <c r="Q15" s="80" t="s">
        <v>15</v>
      </c>
      <c r="R15" s="76"/>
      <c r="S15" s="47">
        <v>324.0</v>
      </c>
      <c r="T15" s="81" t="s">
        <v>36</v>
      </c>
      <c r="U15" s="76"/>
      <c r="V15" s="47">
        <v>380.0</v>
      </c>
      <c r="W15" s="60" t="s">
        <v>11</v>
      </c>
      <c r="Y15" s="47">
        <v>374.0</v>
      </c>
      <c r="Z15" s="81" t="s">
        <v>35</v>
      </c>
      <c r="AA15" s="76"/>
      <c r="AB15" s="82">
        <v>415.0</v>
      </c>
      <c r="AC15" s="75" t="s">
        <v>35</v>
      </c>
      <c r="AD15" s="76"/>
      <c r="AE15" s="82">
        <v>386.0</v>
      </c>
      <c r="AF15" s="79" t="s">
        <v>36</v>
      </c>
      <c r="AG15" s="76"/>
      <c r="AH15" s="47">
        <v>352.0</v>
      </c>
      <c r="AI15" s="79" t="s">
        <v>33</v>
      </c>
      <c r="AJ15" s="76"/>
      <c r="AK15" s="47">
        <v>392.0</v>
      </c>
      <c r="AL15" s="79" t="s">
        <v>33</v>
      </c>
      <c r="AM15" s="76"/>
      <c r="AN15" s="47">
        <v>381.0</v>
      </c>
      <c r="AO15" s="79" t="s">
        <v>33</v>
      </c>
      <c r="AP15" s="76"/>
      <c r="AQ15" s="55">
        <v>390.0</v>
      </c>
      <c r="AR15" s="55"/>
      <c r="AS15" s="62"/>
      <c r="AT15" s="74"/>
    </row>
    <row r="16" ht="14.25" customHeight="1">
      <c r="A16" s="22"/>
      <c r="B16" s="60" t="s">
        <v>37</v>
      </c>
      <c r="D16" s="62"/>
      <c r="E16" s="60" t="s">
        <v>38</v>
      </c>
      <c r="G16" s="62"/>
      <c r="H16" s="60" t="s">
        <v>39</v>
      </c>
      <c r="J16" s="62"/>
      <c r="K16" s="60" t="s">
        <v>40</v>
      </c>
      <c r="M16" s="62"/>
      <c r="N16" s="60" t="s">
        <v>41</v>
      </c>
      <c r="P16" s="62"/>
      <c r="Q16" s="60" t="s">
        <v>42</v>
      </c>
      <c r="S16" s="62"/>
      <c r="T16" s="59" t="s">
        <v>43</v>
      </c>
      <c r="V16" s="62"/>
      <c r="W16" s="59" t="s">
        <v>44</v>
      </c>
      <c r="Y16" s="62"/>
      <c r="Z16" s="59" t="s">
        <v>45</v>
      </c>
      <c r="AB16" s="82"/>
      <c r="AC16" s="59" t="s">
        <v>46</v>
      </c>
      <c r="AE16" s="82"/>
      <c r="AF16" s="59" t="s">
        <v>47</v>
      </c>
      <c r="AH16" s="62"/>
      <c r="AI16" s="59" t="s">
        <v>48</v>
      </c>
      <c r="AK16" s="62"/>
      <c r="AL16" s="59" t="s">
        <v>49</v>
      </c>
      <c r="AN16" s="62"/>
      <c r="AO16" s="59" t="s">
        <v>50</v>
      </c>
      <c r="AQ16" s="83"/>
      <c r="AR16" s="83"/>
      <c r="AS16" s="23"/>
      <c r="AT16" s="24"/>
    </row>
    <row r="17" ht="14.25" customHeight="1">
      <c r="A17" s="22"/>
      <c r="B17" s="64" t="s">
        <v>31</v>
      </c>
      <c r="C17" s="63"/>
      <c r="D17" s="64"/>
      <c r="E17" s="64" t="s">
        <v>31</v>
      </c>
      <c r="F17" s="65"/>
      <c r="G17" s="64"/>
      <c r="H17" s="63"/>
      <c r="I17" s="64" t="s">
        <v>31</v>
      </c>
      <c r="J17" s="64"/>
      <c r="K17" s="63"/>
      <c r="L17" s="64" t="s">
        <v>31</v>
      </c>
      <c r="M17" s="64"/>
      <c r="N17" s="63"/>
      <c r="O17" s="64" t="s">
        <v>31</v>
      </c>
      <c r="P17" s="64"/>
      <c r="Q17" s="63"/>
      <c r="R17" s="64" t="s">
        <v>31</v>
      </c>
      <c r="S17" s="64"/>
      <c r="T17" s="63"/>
      <c r="U17" s="64" t="s">
        <v>31</v>
      </c>
      <c r="V17" s="64"/>
      <c r="W17" s="63"/>
      <c r="X17" s="64" t="s">
        <v>31</v>
      </c>
      <c r="Y17" s="64"/>
      <c r="Z17" s="64" t="s">
        <v>31</v>
      </c>
      <c r="AA17" s="63"/>
      <c r="AB17" s="64"/>
      <c r="AC17" s="64" t="s">
        <v>31</v>
      </c>
      <c r="AD17" s="63"/>
      <c r="AE17" s="64"/>
      <c r="AF17" s="63"/>
      <c r="AG17" s="64" t="s">
        <v>31</v>
      </c>
      <c r="AH17" s="64"/>
      <c r="AI17" s="64" t="s">
        <v>31</v>
      </c>
      <c r="AJ17" s="63"/>
      <c r="AK17" s="64"/>
      <c r="AL17" s="63"/>
      <c r="AM17" s="64" t="s">
        <v>31</v>
      </c>
      <c r="AN17" s="64"/>
      <c r="AO17" s="64" t="s">
        <v>31</v>
      </c>
      <c r="AP17" s="64"/>
      <c r="AQ17" s="63"/>
      <c r="AR17" s="63"/>
      <c r="AS17" s="23"/>
      <c r="AT17" s="24"/>
      <c r="AV17" s="84"/>
      <c r="AW17" s="85"/>
    </row>
    <row r="18" ht="14.25" customHeight="1">
      <c r="A18" s="22"/>
      <c r="D18" s="69"/>
      <c r="J18" s="23"/>
      <c r="M18" s="23"/>
      <c r="P18" s="23"/>
      <c r="S18" s="23"/>
      <c r="V18" s="23"/>
      <c r="Y18" s="23"/>
      <c r="AB18" s="23"/>
      <c r="AE18" s="23"/>
      <c r="AH18" s="23"/>
      <c r="AK18" s="23"/>
      <c r="AN18" s="23"/>
      <c r="AS18" s="23"/>
      <c r="AT18" s="24"/>
    </row>
    <row r="19" ht="14.25" customHeight="1">
      <c r="A19" s="22"/>
      <c r="D19" s="23"/>
      <c r="G19" s="23"/>
      <c r="J19" s="23"/>
      <c r="M19" s="23"/>
      <c r="P19" s="23"/>
      <c r="S19" s="23"/>
      <c r="V19" s="23"/>
      <c r="Y19" s="23"/>
      <c r="AB19" s="23"/>
      <c r="AE19" s="23"/>
      <c r="AH19" s="23"/>
      <c r="AK19" s="23"/>
      <c r="AN19" s="23"/>
      <c r="AS19" s="23"/>
      <c r="AT19" s="24"/>
    </row>
    <row r="20" ht="14.25" customHeight="1">
      <c r="A20" s="22"/>
      <c r="B20" s="86"/>
      <c r="D20" s="23"/>
      <c r="E20" s="27"/>
      <c r="F20" s="28"/>
      <c r="G20" s="23"/>
      <c r="H20" s="29"/>
      <c r="I20" s="28"/>
      <c r="J20" s="23"/>
      <c r="K20" s="27"/>
      <c r="L20" s="28"/>
      <c r="M20" s="23"/>
      <c r="N20" s="27"/>
      <c r="O20" s="28"/>
      <c r="P20" s="23"/>
      <c r="Q20" s="29"/>
      <c r="R20" s="28"/>
      <c r="S20" s="23"/>
      <c r="T20" s="29"/>
      <c r="U20" s="28"/>
      <c r="V20" s="23"/>
      <c r="W20" s="29"/>
      <c r="X20" s="28"/>
      <c r="Y20" s="23"/>
      <c r="Z20" s="29"/>
      <c r="AA20" s="28"/>
      <c r="AB20" s="23"/>
      <c r="AC20" s="29"/>
      <c r="AD20" s="28"/>
      <c r="AE20" s="23"/>
      <c r="AF20" s="29"/>
      <c r="AG20" s="28"/>
      <c r="AH20" s="23"/>
      <c r="AI20" s="29"/>
      <c r="AJ20" s="28"/>
      <c r="AK20" s="23"/>
      <c r="AL20" s="29"/>
      <c r="AM20" s="28"/>
      <c r="AN20" s="23"/>
      <c r="AO20" s="29"/>
      <c r="AP20" s="28"/>
      <c r="AQ20" s="30"/>
      <c r="AR20" s="30"/>
      <c r="AS20" s="23"/>
      <c r="AT20" s="24"/>
    </row>
    <row r="21" ht="14.25" customHeight="1">
      <c r="A21" s="22"/>
      <c r="B21" s="35"/>
      <c r="C21" s="36"/>
      <c r="D21" s="38"/>
      <c r="E21" s="35"/>
      <c r="F21" s="36"/>
      <c r="G21" s="38"/>
      <c r="H21" s="35"/>
      <c r="I21" s="36"/>
      <c r="J21" s="38"/>
      <c r="K21" s="35"/>
      <c r="L21" s="36"/>
      <c r="M21" s="38"/>
      <c r="N21" s="35"/>
      <c r="O21" s="36"/>
      <c r="P21" s="38"/>
      <c r="Q21" s="35"/>
      <c r="R21" s="36"/>
      <c r="S21" s="38"/>
      <c r="T21" s="35"/>
      <c r="U21" s="36"/>
      <c r="V21" s="38"/>
      <c r="W21" s="35"/>
      <c r="X21" s="36"/>
      <c r="Y21" s="38"/>
      <c r="Z21" s="35"/>
      <c r="AA21" s="36"/>
      <c r="AB21" s="38"/>
      <c r="AC21" s="35"/>
      <c r="AD21" s="36"/>
      <c r="AE21" s="38"/>
      <c r="AF21" s="35"/>
      <c r="AG21" s="36"/>
      <c r="AH21" s="38"/>
      <c r="AI21" s="35"/>
      <c r="AJ21" s="36"/>
      <c r="AK21" s="38"/>
      <c r="AL21" s="41"/>
      <c r="AM21" s="41"/>
      <c r="AN21" s="38"/>
      <c r="AO21" s="35"/>
      <c r="AP21" s="36"/>
      <c r="AQ21" s="43"/>
      <c r="AR21" s="43"/>
      <c r="AS21" s="38"/>
      <c r="AT21" s="71"/>
    </row>
    <row r="22" ht="14.25" customHeight="1">
      <c r="A22" s="22"/>
      <c r="B22" s="35"/>
      <c r="C22" s="35"/>
      <c r="D22" s="62"/>
      <c r="E22" s="35"/>
      <c r="F22" s="35"/>
      <c r="G22" s="62"/>
      <c r="H22" s="35"/>
      <c r="I22" s="35"/>
      <c r="J22" s="47"/>
      <c r="K22" s="35"/>
      <c r="L22" s="35"/>
      <c r="M22" s="47"/>
      <c r="N22" s="35"/>
      <c r="O22" s="35"/>
      <c r="P22" s="47"/>
      <c r="Q22" s="35"/>
      <c r="R22" s="35"/>
      <c r="S22" s="47"/>
      <c r="T22" s="35"/>
      <c r="U22" s="35"/>
      <c r="V22" s="47"/>
      <c r="W22" s="35"/>
      <c r="X22" s="35"/>
      <c r="Y22" s="62"/>
      <c r="Z22" s="35"/>
      <c r="AA22" s="35"/>
      <c r="AB22" s="47"/>
      <c r="AC22" s="35"/>
      <c r="AD22" s="35"/>
      <c r="AE22" s="47"/>
      <c r="AF22" s="35"/>
      <c r="AG22" s="35"/>
      <c r="AH22" s="47"/>
      <c r="AI22" s="35"/>
      <c r="AJ22" s="35"/>
      <c r="AK22" s="47"/>
      <c r="AL22" s="41"/>
      <c r="AM22" s="41"/>
      <c r="AN22" s="47"/>
      <c r="AO22" s="35"/>
      <c r="AP22" s="35"/>
      <c r="AQ22" s="44"/>
      <c r="AR22" s="44"/>
      <c r="AS22" s="47"/>
      <c r="AT22" s="87"/>
      <c r="AV22" s="52">
        <v>14.0</v>
      </c>
      <c r="AW22" s="52">
        <v>14.0</v>
      </c>
      <c r="AX22" s="52">
        <v>14.0</v>
      </c>
      <c r="AY22" s="52">
        <v>0.0</v>
      </c>
      <c r="AZ22" s="52">
        <v>0.0</v>
      </c>
      <c r="BA22" s="53" t="str">
        <f>+A23+D23+G23+J23+M23+P23+S23+V23+Y23+AB23+AE23+AH23+AK23+AN23+AQ23</f>
        <v>5480.000</v>
      </c>
    </row>
    <row r="23" ht="14.25" customHeight="1">
      <c r="A23" s="22"/>
      <c r="B23" s="59" t="s">
        <v>33</v>
      </c>
      <c r="D23" s="62">
        <v>391.0</v>
      </c>
      <c r="E23" s="79" t="s">
        <v>16</v>
      </c>
      <c r="F23" s="76"/>
      <c r="G23" s="62">
        <v>331.0</v>
      </c>
      <c r="H23" s="78" t="s">
        <v>33</v>
      </c>
      <c r="I23" s="76"/>
      <c r="J23" s="47">
        <v>404.0</v>
      </c>
      <c r="K23" s="79" t="s">
        <v>34</v>
      </c>
      <c r="L23" s="76"/>
      <c r="M23" s="47">
        <v>410.0</v>
      </c>
      <c r="N23" s="79" t="s">
        <v>34</v>
      </c>
      <c r="O23" s="76"/>
      <c r="P23" s="47">
        <v>398.0</v>
      </c>
      <c r="Q23" s="80" t="s">
        <v>34</v>
      </c>
      <c r="R23" s="76"/>
      <c r="S23" s="47">
        <v>432.0</v>
      </c>
      <c r="T23" s="78" t="s">
        <v>33</v>
      </c>
      <c r="U23" s="76"/>
      <c r="V23" s="47">
        <v>356.0</v>
      </c>
      <c r="W23" s="78" t="s">
        <v>33</v>
      </c>
      <c r="X23" s="76"/>
      <c r="Y23" s="47">
        <v>408.0</v>
      </c>
      <c r="Z23" s="78" t="s">
        <v>33</v>
      </c>
      <c r="AA23" s="76"/>
      <c r="AB23" s="47">
        <v>415.0</v>
      </c>
      <c r="AC23" s="80" t="s">
        <v>34</v>
      </c>
      <c r="AD23" s="76"/>
      <c r="AE23" s="47">
        <v>371.0</v>
      </c>
      <c r="AF23" s="88" t="s">
        <v>15</v>
      </c>
      <c r="AG23" s="76"/>
      <c r="AH23" s="62">
        <v>364.0</v>
      </c>
      <c r="AI23" s="78" t="s">
        <v>33</v>
      </c>
      <c r="AJ23" s="76"/>
      <c r="AK23" s="62">
        <v>415.0</v>
      </c>
      <c r="AL23" s="88" t="s">
        <v>51</v>
      </c>
      <c r="AM23" s="76"/>
      <c r="AN23" s="62">
        <v>389.0</v>
      </c>
      <c r="AO23" s="80" t="s">
        <v>34</v>
      </c>
      <c r="AP23" s="76"/>
      <c r="AQ23" s="89">
        <v>396.0</v>
      </c>
      <c r="AR23" s="89"/>
      <c r="AS23" s="23"/>
      <c r="AT23" s="24"/>
      <c r="AW23" s="30"/>
      <c r="AX23" s="30"/>
      <c r="AY23" s="30"/>
      <c r="AZ23" s="30"/>
    </row>
    <row r="24" ht="14.25" customHeight="1">
      <c r="A24" s="22"/>
      <c r="B24" s="59" t="s">
        <v>52</v>
      </c>
      <c r="D24" s="62"/>
      <c r="E24" s="60" t="s">
        <v>53</v>
      </c>
      <c r="G24" s="62"/>
      <c r="H24" s="60" t="s">
        <v>54</v>
      </c>
      <c r="J24" s="62"/>
      <c r="K24" s="60" t="s">
        <v>55</v>
      </c>
      <c r="M24" s="62"/>
      <c r="N24" s="60" t="s">
        <v>56</v>
      </c>
      <c r="P24" s="62"/>
      <c r="Q24" s="60" t="s">
        <v>57</v>
      </c>
      <c r="S24" s="62"/>
      <c r="T24" s="60" t="s">
        <v>58</v>
      </c>
      <c r="V24" s="62"/>
      <c r="W24" s="60" t="s">
        <v>59</v>
      </c>
      <c r="Y24" s="62"/>
      <c r="Z24" s="60" t="s">
        <v>60</v>
      </c>
      <c r="AB24" s="62"/>
      <c r="AC24" s="60" t="s">
        <v>61</v>
      </c>
      <c r="AE24" s="90"/>
      <c r="AF24" s="60" t="s">
        <v>62</v>
      </c>
      <c r="AH24" s="90"/>
      <c r="AI24" s="60" t="s">
        <v>63</v>
      </c>
      <c r="AK24" s="90"/>
      <c r="AL24" s="91" t="s">
        <v>64</v>
      </c>
      <c r="AN24" s="90"/>
      <c r="AO24" s="91" t="s">
        <v>65</v>
      </c>
      <c r="AQ24" s="62"/>
      <c r="AR24" s="62"/>
      <c r="AS24" s="23"/>
      <c r="AT24" s="24"/>
      <c r="AW24" s="30"/>
      <c r="AX24" s="30"/>
      <c r="AY24" s="30"/>
      <c r="AZ24" s="30"/>
    </row>
    <row r="25" ht="14.25" customHeight="1">
      <c r="A25" s="22"/>
      <c r="B25" s="64" t="s">
        <v>31</v>
      </c>
      <c r="C25" s="63"/>
      <c r="D25" s="64"/>
      <c r="E25" s="63"/>
      <c r="F25" s="64" t="s">
        <v>31</v>
      </c>
      <c r="G25" s="64"/>
      <c r="H25" s="64" t="s">
        <v>31</v>
      </c>
      <c r="I25" s="65"/>
      <c r="J25" s="64"/>
      <c r="K25" s="64" t="s">
        <v>31</v>
      </c>
      <c r="L25" s="65"/>
      <c r="M25" s="64"/>
      <c r="N25" s="64" t="s">
        <v>31</v>
      </c>
      <c r="O25" s="63"/>
      <c r="P25" s="64"/>
      <c r="Q25" s="63"/>
      <c r="R25" s="64" t="s">
        <v>31</v>
      </c>
      <c r="S25" s="64"/>
      <c r="T25" s="64" t="s">
        <v>31</v>
      </c>
      <c r="U25" s="63"/>
      <c r="V25" s="64"/>
      <c r="W25" s="64" t="s">
        <v>31</v>
      </c>
      <c r="X25" s="63"/>
      <c r="Y25" s="64"/>
      <c r="Z25" s="64" t="s">
        <v>31</v>
      </c>
      <c r="AA25" s="63"/>
      <c r="AB25" s="64"/>
      <c r="AC25" s="63"/>
      <c r="AD25" s="64" t="s">
        <v>31</v>
      </c>
      <c r="AE25" s="64"/>
      <c r="AF25" s="63"/>
      <c r="AG25" s="64" t="s">
        <v>31</v>
      </c>
      <c r="AH25" s="64"/>
      <c r="AI25" s="63"/>
      <c r="AJ25" s="64" t="s">
        <v>31</v>
      </c>
      <c r="AK25" s="64"/>
      <c r="AL25" s="63"/>
      <c r="AM25" s="64" t="s">
        <v>31</v>
      </c>
      <c r="AN25" s="64"/>
      <c r="AO25" s="64" t="s">
        <v>31</v>
      </c>
      <c r="AP25" s="64"/>
      <c r="AQ25" s="64"/>
      <c r="AR25" s="64"/>
      <c r="AS25" s="23"/>
      <c r="AT25" s="24"/>
      <c r="AW25" s="30"/>
      <c r="AX25" s="30"/>
      <c r="AY25" s="30"/>
      <c r="AZ25" s="30"/>
    </row>
    <row r="26" ht="14.25" customHeight="1">
      <c r="A26" s="22"/>
      <c r="D26" s="23"/>
      <c r="G26" s="92"/>
      <c r="M26" s="23"/>
      <c r="P26" s="23"/>
      <c r="S26" s="23"/>
      <c r="T26" s="93" t="s">
        <v>66</v>
      </c>
      <c r="U26" s="94"/>
      <c r="V26" s="94"/>
      <c r="W26" s="94"/>
      <c r="X26" s="95"/>
      <c r="Y26" s="23"/>
      <c r="AB26" s="23"/>
      <c r="AE26" s="23"/>
      <c r="AH26" s="23"/>
      <c r="AK26" s="23"/>
      <c r="AN26" s="23"/>
      <c r="AS26" s="23"/>
      <c r="AT26" s="24"/>
      <c r="AW26" s="30"/>
      <c r="AX26" s="30"/>
      <c r="AY26" s="30"/>
      <c r="AZ26" s="30"/>
    </row>
    <row r="27" ht="14.25" customHeight="1">
      <c r="A27" s="22"/>
      <c r="D27" s="23"/>
      <c r="G27" s="23"/>
      <c r="J27" s="23"/>
      <c r="M27" s="23"/>
      <c r="P27" s="23"/>
      <c r="S27" s="23"/>
      <c r="V27" s="23" t="s">
        <v>67</v>
      </c>
      <c r="Y27" s="23"/>
      <c r="AB27" s="23"/>
      <c r="AE27" s="23"/>
      <c r="AH27" s="23"/>
      <c r="AK27" s="23"/>
      <c r="AN27" s="23"/>
      <c r="AS27" s="23"/>
      <c r="AT27" s="24"/>
      <c r="AW27" s="30"/>
      <c r="AX27" s="30"/>
      <c r="AY27" s="30"/>
      <c r="AZ27" s="30"/>
    </row>
    <row r="28" ht="14.25" customHeight="1">
      <c r="A28" s="22"/>
      <c r="B28" s="86"/>
      <c r="D28" s="23"/>
      <c r="E28" s="27"/>
      <c r="F28" s="28"/>
      <c r="G28" s="23"/>
      <c r="H28" s="27"/>
      <c r="I28" s="28"/>
      <c r="J28" s="23"/>
      <c r="K28" s="27"/>
      <c r="L28" s="28"/>
      <c r="M28" s="23"/>
      <c r="N28" s="27"/>
      <c r="O28" s="28"/>
      <c r="P28" s="23"/>
      <c r="Q28" s="27"/>
      <c r="R28" s="28"/>
      <c r="S28" s="23"/>
      <c r="T28" s="27"/>
      <c r="U28" s="28"/>
      <c r="V28" s="23"/>
      <c r="W28" s="27"/>
      <c r="X28" s="28"/>
      <c r="Y28" s="23"/>
      <c r="Z28" s="27"/>
      <c r="AA28" s="28"/>
      <c r="AB28" s="23"/>
      <c r="AC28" s="27"/>
      <c r="AD28" s="28"/>
      <c r="AE28" s="23"/>
      <c r="AF28" s="27"/>
      <c r="AG28" s="28"/>
      <c r="AH28" s="23"/>
      <c r="AI28" s="27"/>
      <c r="AJ28" s="28"/>
      <c r="AK28" s="23"/>
      <c r="AL28" s="27"/>
      <c r="AM28" s="28"/>
      <c r="AN28" s="23"/>
      <c r="AO28" s="27"/>
      <c r="AP28" s="28"/>
      <c r="AQ28" s="30"/>
      <c r="AR28" s="30"/>
      <c r="AS28" s="23"/>
      <c r="AT28" s="24"/>
    </row>
    <row r="29" ht="15.0" customHeight="1">
      <c r="A29" s="22"/>
      <c r="B29" s="35"/>
      <c r="C29" s="36"/>
      <c r="D29" s="38"/>
      <c r="E29" s="35"/>
      <c r="F29" s="36"/>
      <c r="G29" s="38"/>
      <c r="H29" s="35"/>
      <c r="I29" s="36"/>
      <c r="J29" s="38"/>
      <c r="K29" s="35"/>
      <c r="L29" s="36"/>
      <c r="M29" s="38"/>
      <c r="N29" s="35"/>
      <c r="O29" s="36"/>
      <c r="P29" s="38"/>
      <c r="Q29" s="35"/>
      <c r="R29" s="36"/>
      <c r="S29" s="38"/>
      <c r="T29" s="35"/>
      <c r="U29" s="36"/>
      <c r="V29" s="38"/>
      <c r="W29" s="39" t="s">
        <v>68</v>
      </c>
      <c r="X29" s="40"/>
      <c r="Y29" s="38"/>
      <c r="Z29" s="35"/>
      <c r="AA29" s="36"/>
      <c r="AB29" s="38"/>
      <c r="AC29" s="35"/>
      <c r="AD29" s="36"/>
      <c r="AE29" s="38"/>
      <c r="AF29" s="35"/>
      <c r="AG29" s="36"/>
      <c r="AH29" s="38"/>
      <c r="AI29" s="35"/>
      <c r="AJ29" s="36"/>
      <c r="AK29" s="38"/>
      <c r="AL29" s="35"/>
      <c r="AM29" s="36"/>
      <c r="AN29" s="38"/>
      <c r="AO29" s="35"/>
      <c r="AP29" s="36"/>
      <c r="AQ29" s="43"/>
      <c r="AR29" s="43"/>
      <c r="AS29" s="38"/>
      <c r="AT29" s="71"/>
    </row>
    <row r="30" ht="14.25" customHeight="1">
      <c r="A30" s="22"/>
      <c r="B30" s="35"/>
      <c r="C30" s="35"/>
      <c r="D30" s="47"/>
      <c r="E30" s="35"/>
      <c r="F30" s="35"/>
      <c r="G30" s="47"/>
      <c r="H30" s="35"/>
      <c r="I30" s="35"/>
      <c r="J30" s="47"/>
      <c r="K30" s="35"/>
      <c r="L30" s="35"/>
      <c r="M30" s="47"/>
      <c r="N30" s="35"/>
      <c r="O30" s="35"/>
      <c r="P30" s="47"/>
      <c r="Q30" s="35"/>
      <c r="R30" s="35"/>
      <c r="S30" s="47"/>
      <c r="T30" s="35"/>
      <c r="U30" s="35"/>
      <c r="V30" s="47"/>
      <c r="W30" s="49"/>
      <c r="X30" s="50"/>
      <c r="Y30" s="62"/>
      <c r="Z30" s="35"/>
      <c r="AA30" s="35"/>
      <c r="AB30" s="47"/>
      <c r="AC30" s="35"/>
      <c r="AD30" s="35"/>
      <c r="AE30" s="47"/>
      <c r="AF30" s="35"/>
      <c r="AG30" s="35"/>
      <c r="AH30" s="62"/>
      <c r="AI30" s="35"/>
      <c r="AJ30" s="35"/>
      <c r="AK30" s="47"/>
      <c r="AL30" s="35"/>
      <c r="AM30" s="35"/>
      <c r="AN30" s="62"/>
      <c r="AO30" s="35"/>
      <c r="AP30" s="35"/>
      <c r="AQ30" s="44"/>
      <c r="AR30" s="44"/>
      <c r="AS30" s="47"/>
      <c r="AT30" s="87"/>
      <c r="AV30" s="52">
        <v>13.0</v>
      </c>
      <c r="AW30" s="52">
        <v>13.0</v>
      </c>
      <c r="AX30" s="52">
        <v>13.0</v>
      </c>
      <c r="AY30" s="52">
        <v>0.0</v>
      </c>
      <c r="AZ30" s="52">
        <v>0.0</v>
      </c>
      <c r="BA30" s="53" t="str">
        <f>+A31+D31+G31+J31+M31+P31+S31+V31+Y31+AB31+AE31+AH31+AK31+AN31+AQ31</f>
        <v>5326.000</v>
      </c>
    </row>
    <row r="31" ht="14.25" customHeight="1">
      <c r="A31" s="22"/>
      <c r="B31" s="78" t="s">
        <v>33</v>
      </c>
      <c r="C31" s="76"/>
      <c r="D31" s="47">
        <v>439.0</v>
      </c>
      <c r="E31" s="78" t="s">
        <v>12</v>
      </c>
      <c r="F31" s="76"/>
      <c r="G31" s="47">
        <v>381.0</v>
      </c>
      <c r="H31" s="79" t="s">
        <v>16</v>
      </c>
      <c r="I31" s="76"/>
      <c r="J31" s="47">
        <v>386.0</v>
      </c>
      <c r="K31" s="79" t="s">
        <v>33</v>
      </c>
      <c r="L31" s="76"/>
      <c r="M31" s="47">
        <v>356.0</v>
      </c>
      <c r="N31" s="79" t="s">
        <v>15</v>
      </c>
      <c r="O31" s="76"/>
      <c r="P31" s="47">
        <v>365.0</v>
      </c>
      <c r="Q31" s="79" t="s">
        <v>34</v>
      </c>
      <c r="R31" s="76"/>
      <c r="S31" s="47">
        <v>475.0</v>
      </c>
      <c r="T31" s="79" t="s">
        <v>69</v>
      </c>
      <c r="U31" s="76"/>
      <c r="V31" s="47">
        <v>196.0</v>
      </c>
      <c r="W31" s="79" t="s">
        <v>69</v>
      </c>
      <c r="X31" s="76"/>
      <c r="Y31" s="62">
        <v>477.0</v>
      </c>
      <c r="Z31" s="79" t="s">
        <v>34</v>
      </c>
      <c r="AA31" s="76"/>
      <c r="AB31" s="47">
        <v>363.0</v>
      </c>
      <c r="AC31" s="79" t="s">
        <v>15</v>
      </c>
      <c r="AD31" s="76"/>
      <c r="AE31" s="47">
        <v>328.0</v>
      </c>
      <c r="AF31" s="79" t="s">
        <v>15</v>
      </c>
      <c r="AG31" s="76"/>
      <c r="AH31" s="62">
        <v>376.0</v>
      </c>
      <c r="AI31" s="79" t="s">
        <v>33</v>
      </c>
      <c r="AJ31" s="76"/>
      <c r="AK31" s="47">
        <v>393.0</v>
      </c>
      <c r="AL31" s="79" t="s">
        <v>35</v>
      </c>
      <c r="AM31" s="76"/>
      <c r="AN31" s="62">
        <v>397.0</v>
      </c>
      <c r="AO31" s="79" t="s">
        <v>33</v>
      </c>
      <c r="AP31" s="76"/>
      <c r="AQ31" s="55">
        <v>394.0</v>
      </c>
      <c r="AR31" s="55"/>
      <c r="AS31" s="47"/>
      <c r="AT31" s="87"/>
    </row>
    <row r="32" ht="14.25" customHeight="1">
      <c r="A32" s="22"/>
      <c r="B32" s="91" t="s">
        <v>70</v>
      </c>
      <c r="D32" s="62"/>
      <c r="E32" s="91" t="s">
        <v>71</v>
      </c>
      <c r="G32" s="62"/>
      <c r="H32" s="91" t="s">
        <v>72</v>
      </c>
      <c r="J32" s="62"/>
      <c r="K32" s="91" t="s">
        <v>73</v>
      </c>
      <c r="M32" s="62"/>
      <c r="N32" s="91" t="s">
        <v>74</v>
      </c>
      <c r="P32" s="62"/>
      <c r="Q32" s="91" t="s">
        <v>75</v>
      </c>
      <c r="S32" s="62"/>
      <c r="T32" s="60" t="s">
        <v>76</v>
      </c>
      <c r="V32" s="62"/>
      <c r="W32" s="60" t="s">
        <v>77</v>
      </c>
      <c r="Y32" s="62"/>
      <c r="Z32" s="60" t="s">
        <v>78</v>
      </c>
      <c r="AB32" s="62"/>
      <c r="AC32" s="60" t="s">
        <v>79</v>
      </c>
      <c r="AE32" s="62"/>
      <c r="AF32" s="60" t="s">
        <v>80</v>
      </c>
      <c r="AH32" s="62"/>
      <c r="AI32" s="60" t="s">
        <v>81</v>
      </c>
      <c r="AK32" s="62"/>
      <c r="AL32" s="60" t="s">
        <v>82</v>
      </c>
      <c r="AN32" s="62"/>
      <c r="AO32" s="60" t="s">
        <v>83</v>
      </c>
      <c r="AQ32" s="55"/>
      <c r="AR32" s="55"/>
      <c r="AS32" s="23"/>
      <c r="AT32" s="24"/>
    </row>
    <row r="33" ht="14.25" customHeight="1">
      <c r="A33" s="22"/>
      <c r="B33" s="64" t="s">
        <v>31</v>
      </c>
      <c r="C33" s="63"/>
      <c r="D33" s="64"/>
      <c r="E33" s="63"/>
      <c r="F33" s="64" t="s">
        <v>31</v>
      </c>
      <c r="G33" s="64"/>
      <c r="H33" s="63"/>
      <c r="I33" s="64" t="s">
        <v>31</v>
      </c>
      <c r="J33" s="64"/>
      <c r="K33" s="63"/>
      <c r="L33" s="64" t="s">
        <v>31</v>
      </c>
      <c r="M33" s="64"/>
      <c r="N33" s="63"/>
      <c r="O33" s="64" t="s">
        <v>31</v>
      </c>
      <c r="P33" s="64"/>
      <c r="Q33" s="63"/>
      <c r="R33" s="64" t="s">
        <v>31</v>
      </c>
      <c r="S33" s="64"/>
      <c r="T33" s="63"/>
      <c r="U33" s="64" t="s">
        <v>31</v>
      </c>
      <c r="V33" s="64"/>
      <c r="W33" s="63"/>
      <c r="X33" s="64" t="s">
        <v>31</v>
      </c>
      <c r="Y33" s="64"/>
      <c r="Z33" s="63"/>
      <c r="AA33" s="64" t="s">
        <v>31</v>
      </c>
      <c r="AB33" s="64"/>
      <c r="AC33" s="63"/>
      <c r="AD33" s="64" t="s">
        <v>31</v>
      </c>
      <c r="AE33" s="64"/>
      <c r="AF33" s="63"/>
      <c r="AG33" s="64" t="s">
        <v>31</v>
      </c>
      <c r="AH33" s="64"/>
      <c r="AI33" s="63"/>
      <c r="AJ33" s="64" t="s">
        <v>31</v>
      </c>
      <c r="AK33" s="64"/>
      <c r="AL33" s="63"/>
      <c r="AM33" s="64" t="s">
        <v>31</v>
      </c>
      <c r="AN33" s="64"/>
      <c r="AO33" s="64" t="s">
        <v>31</v>
      </c>
      <c r="AP33" s="64"/>
      <c r="AQ33" s="64"/>
      <c r="AR33" s="64"/>
      <c r="AS33" s="23"/>
      <c r="AT33" s="24"/>
    </row>
    <row r="34" ht="14.25" customHeight="1">
      <c r="A34" s="22"/>
      <c r="B34" s="30"/>
      <c r="G34" s="23"/>
      <c r="J34" s="23"/>
      <c r="K34" s="55"/>
      <c r="M34" s="23"/>
      <c r="P34" s="23"/>
      <c r="S34" s="23"/>
      <c r="V34" s="23"/>
      <c r="Y34" s="23"/>
      <c r="AB34" s="23"/>
      <c r="AF34" s="23"/>
      <c r="AH34" s="23"/>
      <c r="AI34" s="23"/>
      <c r="AK34" s="23"/>
      <c r="AN34" s="23"/>
      <c r="AS34" s="23"/>
      <c r="AT34" s="24"/>
    </row>
    <row r="35" ht="14.25" customHeight="1">
      <c r="A35" s="22"/>
      <c r="D35" s="23"/>
      <c r="G35" s="23"/>
      <c r="J35" s="23"/>
      <c r="M35" s="23"/>
      <c r="P35" s="23"/>
      <c r="S35" s="23"/>
      <c r="V35" s="23"/>
      <c r="Y35" s="23"/>
      <c r="AB35" s="23"/>
      <c r="AE35" s="23"/>
      <c r="AH35" s="23"/>
      <c r="AK35" s="23"/>
      <c r="AN35" s="23"/>
      <c r="AS35" s="23"/>
      <c r="AT35" s="24"/>
    </row>
    <row r="36" ht="14.25" customHeight="1">
      <c r="A36" s="22"/>
      <c r="B36" s="30"/>
      <c r="D36" s="23"/>
      <c r="E36" s="27"/>
      <c r="F36" s="28"/>
      <c r="G36" s="23"/>
      <c r="H36" s="27"/>
      <c r="I36" s="28"/>
      <c r="J36" s="23"/>
      <c r="K36" s="27"/>
      <c r="L36" s="28"/>
      <c r="M36" s="23"/>
      <c r="N36" s="27"/>
      <c r="O36" s="28"/>
      <c r="P36" s="23"/>
      <c r="Q36" s="27"/>
      <c r="R36" s="28"/>
      <c r="S36" s="23"/>
      <c r="T36" s="27"/>
      <c r="U36" s="28"/>
      <c r="V36" s="23"/>
      <c r="W36" s="27"/>
      <c r="X36" s="28"/>
      <c r="Y36" s="23"/>
      <c r="Z36" s="27"/>
      <c r="AA36" s="28"/>
      <c r="AB36" s="23"/>
      <c r="AC36" s="27"/>
      <c r="AD36" s="28"/>
      <c r="AE36" s="23"/>
      <c r="AF36" s="27"/>
      <c r="AG36" s="28"/>
      <c r="AH36" s="23"/>
      <c r="AI36" s="27"/>
      <c r="AJ36" s="28"/>
      <c r="AK36" s="23"/>
      <c r="AL36" s="27"/>
      <c r="AM36" s="28"/>
      <c r="AN36" s="23"/>
      <c r="AO36" s="27"/>
      <c r="AP36" s="28"/>
      <c r="AQ36" s="30"/>
      <c r="AR36" s="30"/>
      <c r="AS36" s="23"/>
      <c r="AT36" s="24"/>
    </row>
    <row r="37" ht="14.25" customHeight="1">
      <c r="A37" s="22"/>
      <c r="B37" s="35"/>
      <c r="C37" s="42"/>
      <c r="D37" s="38"/>
      <c r="E37" s="35"/>
      <c r="F37" s="42"/>
      <c r="G37" s="38"/>
      <c r="H37" s="35"/>
      <c r="I37" s="42"/>
      <c r="J37" s="70"/>
      <c r="K37" s="35"/>
      <c r="L37" s="42"/>
      <c r="M37" s="38"/>
      <c r="N37" s="35"/>
      <c r="O37" s="42"/>
      <c r="P37" s="38"/>
      <c r="Q37" s="35"/>
      <c r="R37" s="42"/>
      <c r="S37" s="38"/>
      <c r="T37" s="35"/>
      <c r="U37" s="36"/>
      <c r="V37" s="38"/>
      <c r="W37" s="35"/>
      <c r="X37" s="36"/>
      <c r="Y37" s="38"/>
      <c r="Z37" s="35"/>
      <c r="AA37" s="36"/>
      <c r="AB37" s="38"/>
      <c r="AC37" s="35"/>
      <c r="AD37" s="36"/>
      <c r="AE37" s="38"/>
      <c r="AF37" s="35"/>
      <c r="AG37" s="36"/>
      <c r="AH37" s="38"/>
      <c r="AI37" s="35"/>
      <c r="AJ37" s="36"/>
      <c r="AK37" s="38"/>
      <c r="AL37" s="35"/>
      <c r="AM37" s="36"/>
      <c r="AN37" s="38"/>
      <c r="AO37" s="35"/>
      <c r="AP37" s="36"/>
      <c r="AQ37" s="43"/>
      <c r="AR37" s="43"/>
      <c r="AS37" s="38"/>
      <c r="AT37" s="71"/>
    </row>
    <row r="38" ht="14.25" customHeight="1">
      <c r="A38" s="22"/>
      <c r="B38" s="35"/>
      <c r="C38" s="35"/>
      <c r="D38" s="62"/>
      <c r="E38" s="35"/>
      <c r="F38" s="35"/>
      <c r="G38" s="47"/>
      <c r="H38" s="35"/>
      <c r="I38" s="35"/>
      <c r="J38" s="62"/>
      <c r="K38" s="35"/>
      <c r="L38" s="35"/>
      <c r="M38" s="47"/>
      <c r="N38" s="35"/>
      <c r="O38" s="35"/>
      <c r="P38" s="62"/>
      <c r="Q38" s="35"/>
      <c r="R38" s="35"/>
      <c r="S38" s="47"/>
      <c r="T38" s="35"/>
      <c r="U38" s="35"/>
      <c r="V38" s="62"/>
      <c r="W38" s="35"/>
      <c r="X38" s="35"/>
      <c r="Y38" s="62"/>
      <c r="Z38" s="35"/>
      <c r="AA38" s="35"/>
      <c r="AB38" s="62"/>
      <c r="AC38" s="35"/>
      <c r="AD38" s="35"/>
      <c r="AE38" s="62"/>
      <c r="AF38" s="35"/>
      <c r="AG38" s="35"/>
      <c r="AH38" s="62"/>
      <c r="AI38" s="35"/>
      <c r="AJ38" s="35"/>
      <c r="AK38" s="62"/>
      <c r="AL38" s="35"/>
      <c r="AM38" s="35"/>
      <c r="AN38" s="23"/>
      <c r="AO38" s="35"/>
      <c r="AP38" s="35"/>
      <c r="AQ38" s="44"/>
      <c r="AR38" s="44"/>
      <c r="AS38" s="62"/>
      <c r="AT38" s="74"/>
      <c r="AV38" s="52">
        <v>14.0</v>
      </c>
      <c r="AW38" s="52">
        <v>12.0</v>
      </c>
      <c r="AX38" s="52">
        <v>13.0</v>
      </c>
      <c r="AY38" s="52">
        <v>0.0</v>
      </c>
      <c r="AZ38" s="52">
        <v>0.0</v>
      </c>
      <c r="BA38" s="53" t="str">
        <f>+A39+D39+G39+J39+M39+P39+S39+V39+Y39+AB39+AE39+AH39+AK39+AN39+AQ39</f>
        <v>5154.000</v>
      </c>
    </row>
    <row r="39" ht="14.25" customHeight="1">
      <c r="A39" s="22"/>
      <c r="B39" s="60" t="s">
        <v>33</v>
      </c>
      <c r="D39" s="62">
        <v>373.0</v>
      </c>
      <c r="E39" s="79" t="s">
        <v>51</v>
      </c>
      <c r="F39" s="76"/>
      <c r="G39" s="62">
        <v>357.0</v>
      </c>
      <c r="H39" s="79" t="s">
        <v>11</v>
      </c>
      <c r="I39" s="76"/>
      <c r="J39" s="62">
        <v>374.0</v>
      </c>
      <c r="K39" s="79" t="s">
        <v>33</v>
      </c>
      <c r="L39" s="76"/>
      <c r="M39" s="62">
        <v>380.0</v>
      </c>
      <c r="N39" s="79" t="s">
        <v>33</v>
      </c>
      <c r="O39" s="76"/>
      <c r="P39" s="62">
        <v>344.0</v>
      </c>
      <c r="Q39" s="79" t="s">
        <v>15</v>
      </c>
      <c r="R39" s="76"/>
      <c r="S39" s="62">
        <v>330.0</v>
      </c>
      <c r="T39" s="79" t="s">
        <v>33</v>
      </c>
      <c r="U39" s="76"/>
      <c r="V39" s="62">
        <v>367.0</v>
      </c>
      <c r="W39" s="79" t="s">
        <v>13</v>
      </c>
      <c r="X39" s="76"/>
      <c r="Y39" s="62">
        <v>385.0</v>
      </c>
      <c r="Z39" s="79" t="s">
        <v>33</v>
      </c>
      <c r="AA39" s="76"/>
      <c r="AB39" s="62">
        <v>355.0</v>
      </c>
      <c r="AC39" s="79" t="s">
        <v>33</v>
      </c>
      <c r="AD39" s="76"/>
      <c r="AE39" s="62">
        <v>357.0</v>
      </c>
      <c r="AF39" s="79" t="s">
        <v>15</v>
      </c>
      <c r="AG39" s="76"/>
      <c r="AH39" s="62">
        <v>393.0</v>
      </c>
      <c r="AI39" s="79" t="s">
        <v>34</v>
      </c>
      <c r="AJ39" s="76"/>
      <c r="AK39" s="62">
        <v>383.0</v>
      </c>
      <c r="AL39" s="79" t="s">
        <v>33</v>
      </c>
      <c r="AM39" s="76"/>
      <c r="AN39" s="62">
        <v>388.0</v>
      </c>
      <c r="AO39" s="79" t="s">
        <v>51</v>
      </c>
      <c r="AP39" s="76"/>
      <c r="AQ39" s="55">
        <v>368.0</v>
      </c>
      <c r="AR39" s="55"/>
      <c r="AS39" s="23"/>
      <c r="AT39" s="24"/>
    </row>
    <row r="40" ht="14.25" customHeight="1">
      <c r="A40" s="22"/>
      <c r="B40" s="60" t="s">
        <v>84</v>
      </c>
      <c r="D40" s="62"/>
      <c r="E40" s="60" t="s">
        <v>85</v>
      </c>
      <c r="G40" s="62"/>
      <c r="H40" s="60" t="s">
        <v>86</v>
      </c>
      <c r="J40" s="62"/>
      <c r="K40" s="60" t="s">
        <v>87</v>
      </c>
      <c r="M40" s="62"/>
      <c r="N40" s="60" t="s">
        <v>88</v>
      </c>
      <c r="P40" s="62"/>
      <c r="Q40" s="60" t="s">
        <v>89</v>
      </c>
      <c r="S40" s="62"/>
      <c r="T40" s="60" t="s">
        <v>90</v>
      </c>
      <c r="V40" s="62"/>
      <c r="W40" s="60" t="s">
        <v>91</v>
      </c>
      <c r="Y40" s="62"/>
      <c r="Z40" s="60" t="s">
        <v>92</v>
      </c>
      <c r="AB40" s="62"/>
      <c r="AC40" s="60" t="s">
        <v>93</v>
      </c>
      <c r="AE40" s="62"/>
      <c r="AF40" s="60" t="s">
        <v>94</v>
      </c>
      <c r="AH40" s="62"/>
      <c r="AI40" s="60" t="s">
        <v>95</v>
      </c>
      <c r="AK40" s="62"/>
      <c r="AL40" s="60" t="s">
        <v>96</v>
      </c>
      <c r="AN40" s="62"/>
      <c r="AO40" s="60" t="s">
        <v>97</v>
      </c>
      <c r="AQ40" s="55"/>
      <c r="AR40" s="55"/>
      <c r="AS40" s="23"/>
      <c r="AT40" s="24"/>
    </row>
    <row r="41" ht="14.25" customHeight="1">
      <c r="A41" s="22"/>
      <c r="B41" s="63"/>
      <c r="C41" s="64" t="s">
        <v>31</v>
      </c>
      <c r="D41" s="64"/>
      <c r="E41" s="63"/>
      <c r="F41" s="64" t="s">
        <v>31</v>
      </c>
      <c r="G41" s="64"/>
      <c r="H41" s="63"/>
      <c r="I41" s="64" t="s">
        <v>31</v>
      </c>
      <c r="J41" s="64"/>
      <c r="K41" s="63"/>
      <c r="L41" s="64" t="s">
        <v>31</v>
      </c>
      <c r="M41" s="64"/>
      <c r="N41" s="64" t="s">
        <v>31</v>
      </c>
      <c r="O41" s="63"/>
      <c r="P41" s="64"/>
      <c r="Q41" s="96"/>
      <c r="R41" s="64" t="s">
        <v>31</v>
      </c>
      <c r="S41" s="97"/>
      <c r="T41" s="96"/>
      <c r="U41" s="64" t="s">
        <v>31</v>
      </c>
      <c r="V41" s="97"/>
      <c r="W41" s="96"/>
      <c r="X41" s="64" t="s">
        <v>31</v>
      </c>
      <c r="Y41" s="97"/>
      <c r="Z41" s="96"/>
      <c r="AA41" s="64" t="s">
        <v>31</v>
      </c>
      <c r="AB41" s="97"/>
      <c r="AC41" s="96"/>
      <c r="AD41" s="64" t="s">
        <v>31</v>
      </c>
      <c r="AE41" s="97"/>
      <c r="AF41" s="96"/>
      <c r="AG41" s="64" t="s">
        <v>31</v>
      </c>
      <c r="AH41" s="97"/>
      <c r="AI41" s="96"/>
      <c r="AJ41" s="64" t="s">
        <v>31</v>
      </c>
      <c r="AK41" s="97"/>
      <c r="AL41" s="64" t="s">
        <v>31</v>
      </c>
      <c r="AM41" s="96"/>
      <c r="AN41" s="97"/>
      <c r="AO41" s="64" t="s">
        <v>31</v>
      </c>
      <c r="AP41" s="96"/>
      <c r="AQ41" s="96"/>
      <c r="AR41" s="96"/>
      <c r="AS41" s="23"/>
      <c r="AT41" s="24"/>
    </row>
    <row r="42" ht="14.25" customHeight="1">
      <c r="A42" s="22"/>
      <c r="D42" s="23"/>
      <c r="G42" s="23"/>
      <c r="J42" s="23"/>
      <c r="M42" s="23"/>
      <c r="P42" s="23"/>
      <c r="S42" s="23"/>
      <c r="V42" s="23"/>
      <c r="W42" s="82"/>
      <c r="Y42" s="23"/>
      <c r="Z42" s="82"/>
      <c r="AB42" s="23"/>
      <c r="AC42" s="82"/>
      <c r="AE42" s="23"/>
      <c r="AH42" s="23"/>
      <c r="AK42" s="23"/>
      <c r="AL42" s="82"/>
      <c r="AN42" s="23"/>
      <c r="AS42" s="23"/>
      <c r="AT42" s="24"/>
    </row>
    <row r="43" ht="14.25" customHeight="1">
      <c r="A43" s="22"/>
      <c r="D43" s="23"/>
      <c r="G43" s="23"/>
      <c r="J43" s="23"/>
      <c r="M43" s="23"/>
      <c r="P43" s="23"/>
      <c r="S43" s="23"/>
      <c r="V43" s="23"/>
      <c r="Y43" s="23"/>
      <c r="AB43" s="23"/>
      <c r="AE43" s="23"/>
      <c r="AH43" s="23"/>
      <c r="AN43" s="23"/>
      <c r="AS43" s="23"/>
      <c r="AT43" s="24"/>
    </row>
    <row r="44" ht="14.25" customHeight="1">
      <c r="A44" s="22"/>
      <c r="B44" s="30"/>
      <c r="D44" s="23"/>
      <c r="E44" s="27"/>
      <c r="F44" s="28"/>
      <c r="G44" s="23"/>
      <c r="H44" s="27"/>
      <c r="I44" s="28"/>
      <c r="J44" s="23"/>
      <c r="K44" s="27"/>
      <c r="L44" s="28"/>
      <c r="M44" s="23"/>
      <c r="N44" s="27"/>
      <c r="O44" s="28"/>
      <c r="P44" s="23"/>
      <c r="Q44" s="27"/>
      <c r="R44" s="28"/>
      <c r="S44" s="23"/>
      <c r="T44" s="27"/>
      <c r="U44" s="28"/>
      <c r="V44" s="23"/>
      <c r="W44" s="27"/>
      <c r="X44" s="28"/>
      <c r="Y44" s="23"/>
      <c r="Z44" s="27"/>
      <c r="AA44" s="28"/>
      <c r="AB44" s="23"/>
      <c r="AC44" s="27"/>
      <c r="AD44" s="28"/>
      <c r="AE44" s="23"/>
      <c r="AF44" s="27"/>
      <c r="AG44" s="28"/>
      <c r="AH44" s="23"/>
      <c r="AI44" s="27"/>
      <c r="AJ44" s="28"/>
      <c r="AK44" s="23"/>
      <c r="AL44" s="27"/>
      <c r="AM44" s="28"/>
      <c r="AN44" s="23"/>
      <c r="AO44" s="27"/>
      <c r="AP44" s="28"/>
      <c r="AQ44" s="30"/>
      <c r="AR44" s="30"/>
      <c r="AS44" s="23"/>
      <c r="AT44" s="24"/>
    </row>
    <row r="45" ht="14.25" customHeight="1">
      <c r="A45" s="22"/>
      <c r="B45" s="35"/>
      <c r="C45" s="42"/>
      <c r="D45" s="38"/>
      <c r="E45" s="35"/>
      <c r="F45" s="42"/>
      <c r="G45" s="38"/>
      <c r="H45" s="35"/>
      <c r="I45" s="42"/>
      <c r="J45" s="38"/>
      <c r="K45" s="35"/>
      <c r="L45" s="42"/>
      <c r="M45" s="38"/>
      <c r="N45" s="35"/>
      <c r="O45" s="42"/>
      <c r="P45" s="38"/>
      <c r="Q45" s="39" t="s">
        <v>8</v>
      </c>
      <c r="R45" s="40"/>
      <c r="S45" s="38"/>
      <c r="T45" s="35"/>
      <c r="U45" s="42"/>
      <c r="V45" s="38"/>
      <c r="W45" s="35"/>
      <c r="X45" s="42"/>
      <c r="Y45" s="38"/>
      <c r="Z45" s="35"/>
      <c r="AA45" s="36"/>
      <c r="AB45" s="38"/>
      <c r="AC45" s="41"/>
      <c r="AD45" s="41"/>
      <c r="AE45" s="38"/>
      <c r="AF45" s="35"/>
      <c r="AG45" s="35"/>
      <c r="AH45" s="38"/>
      <c r="AI45" s="36"/>
      <c r="AJ45" s="36"/>
      <c r="AK45" s="38"/>
      <c r="AL45" s="36"/>
      <c r="AM45" s="36"/>
      <c r="AN45" s="38"/>
      <c r="AO45" s="36"/>
      <c r="AP45" s="36"/>
      <c r="AQ45" s="43"/>
      <c r="AR45" s="43"/>
      <c r="AS45" s="38"/>
      <c r="AT45" s="71"/>
    </row>
    <row r="46" ht="14.25" customHeight="1">
      <c r="A46" s="22"/>
      <c r="B46" s="35"/>
      <c r="C46" s="35"/>
      <c r="D46" s="47"/>
      <c r="E46" s="35"/>
      <c r="F46" s="35"/>
      <c r="G46" s="47"/>
      <c r="H46" s="35"/>
      <c r="I46" s="35"/>
      <c r="J46" s="38"/>
      <c r="K46" s="35"/>
      <c r="L46" s="42"/>
      <c r="M46" s="47"/>
      <c r="N46" s="35"/>
      <c r="O46" s="35"/>
      <c r="P46" s="47"/>
      <c r="Q46" s="49"/>
      <c r="R46" s="50"/>
      <c r="S46" s="47"/>
      <c r="T46" s="35"/>
      <c r="U46" s="35"/>
      <c r="V46" s="47"/>
      <c r="W46" s="35"/>
      <c r="X46" s="35"/>
      <c r="Y46" s="47"/>
      <c r="Z46" s="35"/>
      <c r="AA46" s="35"/>
      <c r="AB46" s="47"/>
      <c r="AC46" s="41"/>
      <c r="AD46" s="41"/>
      <c r="AE46" s="47"/>
      <c r="AF46" s="35"/>
      <c r="AG46" s="35"/>
      <c r="AH46" s="47"/>
      <c r="AI46" s="35"/>
      <c r="AJ46" s="35"/>
      <c r="AK46" s="47"/>
      <c r="AL46" s="36"/>
      <c r="AM46" s="36"/>
      <c r="AN46" s="47"/>
      <c r="AO46" s="36"/>
      <c r="AP46" s="36"/>
      <c r="AQ46" s="43"/>
      <c r="AR46" s="43"/>
      <c r="AS46" s="47"/>
      <c r="AT46" s="87"/>
      <c r="AV46" s="52">
        <v>13.0</v>
      </c>
      <c r="AW46" s="52">
        <v>13.0</v>
      </c>
      <c r="AX46" s="52">
        <v>13.0</v>
      </c>
      <c r="AY46" s="52"/>
      <c r="AZ46" s="52"/>
      <c r="BA46" s="53" t="str">
        <f>+A47+D47+G47+J47+M47+P47+S47+V47+Y47+AB47+AE47+AH47+AK47+AN47+AQ47</f>
        <v>5549.000</v>
      </c>
    </row>
    <row r="47" ht="14.25" customHeight="1">
      <c r="A47" s="22"/>
      <c r="B47" s="79" t="s">
        <v>33</v>
      </c>
      <c r="C47" s="76"/>
      <c r="D47" s="62">
        <v>412.0</v>
      </c>
      <c r="E47" s="79" t="s">
        <v>34</v>
      </c>
      <c r="F47" s="76"/>
      <c r="G47" s="62">
        <v>416.0</v>
      </c>
      <c r="H47" s="79" t="s">
        <v>33</v>
      </c>
      <c r="I47" s="76"/>
      <c r="J47" s="47">
        <v>407.0</v>
      </c>
      <c r="K47" s="79" t="s">
        <v>12</v>
      </c>
      <c r="L47" s="76"/>
      <c r="M47" s="98">
        <v>425.0</v>
      </c>
      <c r="N47" s="79" t="s">
        <v>15</v>
      </c>
      <c r="O47" s="76"/>
      <c r="P47" s="62">
        <v>386.0</v>
      </c>
      <c r="Q47" s="79" t="s">
        <v>33</v>
      </c>
      <c r="R47" s="76"/>
      <c r="S47" s="62">
        <v>359.0</v>
      </c>
      <c r="T47" s="79" t="s">
        <v>33</v>
      </c>
      <c r="U47" s="76"/>
      <c r="V47" s="62">
        <v>368.0</v>
      </c>
      <c r="W47" s="79" t="s">
        <v>33</v>
      </c>
      <c r="X47" s="76"/>
      <c r="Y47" s="62">
        <v>390.0</v>
      </c>
      <c r="Z47" s="79" t="s">
        <v>34</v>
      </c>
      <c r="AA47" s="76"/>
      <c r="AB47" s="62">
        <v>410.0</v>
      </c>
      <c r="AC47" s="79" t="s">
        <v>16</v>
      </c>
      <c r="AD47" s="76"/>
      <c r="AE47" s="62">
        <v>380.0</v>
      </c>
      <c r="AF47" s="79" t="s">
        <v>33</v>
      </c>
      <c r="AG47" s="76"/>
      <c r="AH47" s="62">
        <v>367.0</v>
      </c>
      <c r="AI47" s="79" t="s">
        <v>33</v>
      </c>
      <c r="AJ47" s="76"/>
      <c r="AK47" s="62">
        <v>433.0</v>
      </c>
      <c r="AL47" s="79" t="s">
        <v>14</v>
      </c>
      <c r="AM47" s="76"/>
      <c r="AN47" s="62">
        <v>400.0</v>
      </c>
      <c r="AO47" s="79" t="s">
        <v>33</v>
      </c>
      <c r="AP47" s="76"/>
      <c r="AQ47" s="55">
        <v>396.0</v>
      </c>
      <c r="AR47" s="55"/>
      <c r="AS47" s="23"/>
      <c r="AT47" s="24"/>
    </row>
    <row r="48" ht="14.25" customHeight="1">
      <c r="A48" s="22"/>
      <c r="B48" s="60" t="s">
        <v>98</v>
      </c>
      <c r="D48" s="62"/>
      <c r="E48" s="60" t="s">
        <v>99</v>
      </c>
      <c r="G48" s="62"/>
      <c r="H48" s="60" t="s">
        <v>100</v>
      </c>
      <c r="J48" s="62"/>
      <c r="K48" s="60" t="s">
        <v>101</v>
      </c>
      <c r="M48" s="62"/>
      <c r="N48" s="60" t="s">
        <v>102</v>
      </c>
      <c r="P48" s="62"/>
      <c r="Q48" s="60" t="s">
        <v>103</v>
      </c>
      <c r="S48" s="62"/>
      <c r="T48" s="60" t="s">
        <v>104</v>
      </c>
      <c r="V48" s="62"/>
      <c r="W48" s="60" t="s">
        <v>105</v>
      </c>
      <c r="Y48" s="62"/>
      <c r="Z48" s="60" t="s">
        <v>106</v>
      </c>
      <c r="AB48" s="62"/>
      <c r="AC48" s="60" t="s">
        <v>107</v>
      </c>
      <c r="AE48" s="62"/>
      <c r="AF48" s="60" t="s">
        <v>108</v>
      </c>
      <c r="AH48" s="62"/>
      <c r="AI48" s="60" t="s">
        <v>109</v>
      </c>
      <c r="AK48" s="62"/>
      <c r="AL48" s="60" t="s">
        <v>110</v>
      </c>
      <c r="AN48" s="62"/>
      <c r="AO48" s="60" t="s">
        <v>111</v>
      </c>
      <c r="AQ48" s="55"/>
      <c r="AR48" s="55"/>
      <c r="AS48" s="23"/>
      <c r="AT48" s="24"/>
    </row>
    <row r="49" ht="14.25" customHeight="1">
      <c r="A49" s="22"/>
      <c r="B49" s="64" t="s">
        <v>31</v>
      </c>
      <c r="C49" s="96"/>
      <c r="D49" s="97"/>
      <c r="E49" s="96"/>
      <c r="F49" s="64" t="s">
        <v>31</v>
      </c>
      <c r="G49" s="97"/>
      <c r="H49" s="96"/>
      <c r="I49" s="64" t="s">
        <v>31</v>
      </c>
      <c r="J49" s="97"/>
      <c r="K49" s="96"/>
      <c r="L49" s="64" t="s">
        <v>31</v>
      </c>
      <c r="M49" s="97"/>
      <c r="N49" s="96"/>
      <c r="O49" s="64" t="s">
        <v>31</v>
      </c>
      <c r="P49" s="97"/>
      <c r="Q49" s="96"/>
      <c r="R49" s="64" t="s">
        <v>31</v>
      </c>
      <c r="S49" s="97"/>
      <c r="T49" s="96"/>
      <c r="U49" s="64" t="s">
        <v>31</v>
      </c>
      <c r="V49" s="97"/>
      <c r="W49" s="96"/>
      <c r="X49" s="64" t="s">
        <v>31</v>
      </c>
      <c r="Y49" s="97"/>
      <c r="Z49" s="96"/>
      <c r="AA49" s="64" t="s">
        <v>31</v>
      </c>
      <c r="AB49" s="97"/>
      <c r="AC49" s="64" t="s">
        <v>31</v>
      </c>
      <c r="AD49" s="96"/>
      <c r="AE49" s="97"/>
      <c r="AF49" s="64" t="s">
        <v>31</v>
      </c>
      <c r="AG49" s="96"/>
      <c r="AH49" s="97"/>
      <c r="AI49" s="64" t="s">
        <v>31</v>
      </c>
      <c r="AJ49" s="96"/>
      <c r="AK49" s="97"/>
      <c r="AL49" s="64" t="s">
        <v>31</v>
      </c>
      <c r="AM49" s="96"/>
      <c r="AN49" s="97"/>
      <c r="AO49" s="96"/>
      <c r="AP49" s="64" t="s">
        <v>31</v>
      </c>
      <c r="AQ49" s="64"/>
      <c r="AR49" s="64"/>
      <c r="AS49" s="23"/>
      <c r="AT49" s="24"/>
    </row>
    <row r="50" ht="14.25" customHeight="1">
      <c r="A50" s="22"/>
      <c r="D50" s="23"/>
      <c r="G50" s="23"/>
      <c r="J50" s="23"/>
      <c r="M50" s="23"/>
      <c r="P50" s="23"/>
      <c r="S50" s="23"/>
      <c r="W50" s="93" t="s">
        <v>112</v>
      </c>
      <c r="X50" s="94"/>
      <c r="Y50" s="94"/>
      <c r="Z50" s="94"/>
      <c r="AA50" s="94"/>
      <c r="AB50" s="94"/>
      <c r="AC50" s="94"/>
      <c r="AD50" s="95"/>
      <c r="AE50" s="23"/>
      <c r="AH50" s="23"/>
      <c r="AK50" s="23"/>
      <c r="AN50" s="23"/>
      <c r="AS50" s="23"/>
      <c r="AT50" s="24"/>
    </row>
    <row r="51" ht="14.25" customHeight="1">
      <c r="A51" s="22"/>
      <c r="D51" s="23"/>
      <c r="G51" s="23"/>
      <c r="J51" s="23"/>
      <c r="M51" s="23"/>
      <c r="P51" s="23"/>
      <c r="S51" s="23"/>
      <c r="V51" s="23"/>
      <c r="Y51" s="23"/>
      <c r="AB51" s="23"/>
      <c r="AE51" s="23"/>
      <c r="AH51" s="23"/>
      <c r="AK51" s="23"/>
      <c r="AN51" s="23"/>
      <c r="AS51" s="23"/>
      <c r="AT51" s="24"/>
    </row>
    <row r="52" ht="14.25" customHeight="1">
      <c r="A52" s="22"/>
      <c r="B52" s="30"/>
      <c r="D52" s="23"/>
      <c r="E52" s="27"/>
      <c r="F52" s="28"/>
      <c r="G52" s="23"/>
      <c r="H52" s="27"/>
      <c r="I52" s="28"/>
      <c r="J52" s="23"/>
      <c r="K52" s="27"/>
      <c r="L52" s="28"/>
      <c r="M52" s="23"/>
      <c r="N52" s="27"/>
      <c r="O52" s="28"/>
      <c r="P52" s="23"/>
      <c r="Q52" s="27"/>
      <c r="R52" s="28"/>
      <c r="S52" s="23"/>
      <c r="T52" s="27"/>
      <c r="U52" s="28"/>
      <c r="V52" s="23"/>
      <c r="W52" s="27"/>
      <c r="X52" s="28"/>
      <c r="Y52" s="23"/>
      <c r="Z52" s="27"/>
      <c r="AA52" s="28"/>
      <c r="AB52" s="23"/>
      <c r="AC52" s="27"/>
      <c r="AD52" s="28"/>
      <c r="AE52" s="23"/>
      <c r="AF52" s="27"/>
      <c r="AG52" s="28"/>
      <c r="AH52" s="23"/>
      <c r="AI52" s="27"/>
      <c r="AJ52" s="28"/>
      <c r="AK52" s="23"/>
      <c r="AL52" s="27"/>
      <c r="AM52" s="28"/>
      <c r="AN52" s="23"/>
      <c r="AO52" s="27"/>
      <c r="AP52" s="28"/>
      <c r="AQ52" s="30"/>
      <c r="AR52" s="30"/>
      <c r="AS52" s="23"/>
      <c r="AT52" s="24"/>
    </row>
    <row r="53" ht="15.0" customHeight="1">
      <c r="A53" s="22"/>
      <c r="B53" s="36"/>
      <c r="C53" s="36"/>
      <c r="D53" s="38"/>
      <c r="E53" s="35"/>
      <c r="F53" s="36"/>
      <c r="G53" s="38"/>
      <c r="H53" s="35"/>
      <c r="I53" s="36"/>
      <c r="J53" s="38"/>
      <c r="K53" s="35"/>
      <c r="L53" s="36"/>
      <c r="M53" s="38"/>
      <c r="N53" s="35"/>
      <c r="O53" s="36"/>
      <c r="P53" s="38"/>
      <c r="Q53" s="35"/>
      <c r="R53" s="36"/>
      <c r="S53" s="38"/>
      <c r="T53" s="35"/>
      <c r="U53" s="36"/>
      <c r="V53" s="38"/>
      <c r="W53" s="35"/>
      <c r="X53" s="36"/>
      <c r="Y53" s="38"/>
      <c r="Z53" s="35"/>
      <c r="AA53" s="36"/>
      <c r="AB53" s="38"/>
      <c r="AC53" s="35"/>
      <c r="AD53" s="42"/>
      <c r="AE53" s="38"/>
      <c r="AF53" s="39" t="s">
        <v>8</v>
      </c>
      <c r="AG53" s="40"/>
      <c r="AH53" s="38"/>
      <c r="AI53" s="99" t="s">
        <v>8</v>
      </c>
      <c r="AJ53" s="40"/>
      <c r="AK53" s="38"/>
      <c r="AL53" s="35"/>
      <c r="AM53" s="35"/>
      <c r="AN53" s="38"/>
      <c r="AO53" s="35"/>
      <c r="AP53" s="35"/>
      <c r="AQ53" s="44"/>
      <c r="AR53" s="44"/>
      <c r="AS53" s="38"/>
      <c r="AT53" s="71"/>
    </row>
    <row r="54" ht="14.25" customHeight="1">
      <c r="A54" s="22"/>
      <c r="B54" s="35"/>
      <c r="C54" s="35"/>
      <c r="D54" s="47"/>
      <c r="E54" s="35"/>
      <c r="F54" s="35"/>
      <c r="G54" s="47"/>
      <c r="H54" s="35"/>
      <c r="I54" s="35"/>
      <c r="J54" s="47"/>
      <c r="K54" s="35"/>
      <c r="L54" s="35"/>
      <c r="M54" s="47"/>
      <c r="N54" s="35"/>
      <c r="O54" s="35"/>
      <c r="P54" s="47"/>
      <c r="Q54" s="35"/>
      <c r="R54" s="35"/>
      <c r="S54" s="47"/>
      <c r="T54" s="35"/>
      <c r="U54" s="35"/>
      <c r="V54" s="47"/>
      <c r="W54" s="35"/>
      <c r="X54" s="35"/>
      <c r="Y54" s="47"/>
      <c r="Z54" s="35"/>
      <c r="AA54" s="35"/>
      <c r="AB54" s="47"/>
      <c r="AC54" s="35"/>
      <c r="AD54" s="35"/>
      <c r="AE54" s="47"/>
      <c r="AF54" s="49"/>
      <c r="AG54" s="50"/>
      <c r="AH54" s="47"/>
      <c r="AI54" s="49"/>
      <c r="AJ54" s="50"/>
      <c r="AK54" s="62"/>
      <c r="AL54" s="35"/>
      <c r="AM54" s="35"/>
      <c r="AN54" s="47"/>
      <c r="AO54" s="35"/>
      <c r="AP54" s="35"/>
      <c r="AQ54" s="44"/>
      <c r="AR54" s="44"/>
      <c r="AS54" s="47"/>
      <c r="AT54" s="87"/>
      <c r="AV54" s="52">
        <v>12.0</v>
      </c>
      <c r="AW54" s="52">
        <v>12.0</v>
      </c>
      <c r="AX54" s="52">
        <v>12.0</v>
      </c>
      <c r="AY54" s="52"/>
      <c r="AZ54" s="52"/>
      <c r="BA54" s="53" t="str">
        <f>+A55+D55+G55+J55+M55+P55+S55+V55+Y55+AB55+AE55+AH55+AK55+AN55+AQ55</f>
        <v>5373.000</v>
      </c>
    </row>
    <row r="55" ht="14.25" customHeight="1">
      <c r="A55" s="22"/>
      <c r="B55" s="79" t="s">
        <v>12</v>
      </c>
      <c r="C55" s="76"/>
      <c r="D55" s="47">
        <v>420.0</v>
      </c>
      <c r="E55" s="79" t="s">
        <v>15</v>
      </c>
      <c r="F55" s="76"/>
      <c r="G55" s="47">
        <v>354.0</v>
      </c>
      <c r="H55" s="79" t="s">
        <v>33</v>
      </c>
      <c r="I55" s="76"/>
      <c r="J55" s="47">
        <v>348.0</v>
      </c>
      <c r="K55" s="79" t="s">
        <v>15</v>
      </c>
      <c r="L55" s="76"/>
      <c r="M55" s="47">
        <v>319.0</v>
      </c>
      <c r="N55" s="79" t="s">
        <v>33</v>
      </c>
      <c r="O55" s="76"/>
      <c r="P55" s="47">
        <v>379.0</v>
      </c>
      <c r="Q55" s="79" t="s">
        <v>12</v>
      </c>
      <c r="R55" s="76"/>
      <c r="S55" s="47">
        <v>428.0</v>
      </c>
      <c r="T55" s="79" t="s">
        <v>33</v>
      </c>
      <c r="U55" s="76"/>
      <c r="V55" s="47">
        <v>397.0</v>
      </c>
      <c r="W55" s="75" t="s">
        <v>113</v>
      </c>
      <c r="X55" s="76"/>
      <c r="Y55" s="47">
        <v>247.0</v>
      </c>
      <c r="Z55" s="79" t="s">
        <v>114</v>
      </c>
      <c r="AA55" s="76"/>
      <c r="AB55" s="47">
        <v>423.0</v>
      </c>
      <c r="AC55" s="75" t="s">
        <v>12</v>
      </c>
      <c r="AD55" s="76"/>
      <c r="AE55" s="47">
        <v>395.0</v>
      </c>
      <c r="AF55" s="79" t="s">
        <v>115</v>
      </c>
      <c r="AG55" s="76"/>
      <c r="AH55" s="47">
        <v>499.0</v>
      </c>
      <c r="AI55" s="81" t="s">
        <v>116</v>
      </c>
      <c r="AJ55" s="76"/>
      <c r="AK55" s="62">
        <v>377.0</v>
      </c>
      <c r="AL55" s="81" t="s">
        <v>15</v>
      </c>
      <c r="AM55" s="76"/>
      <c r="AN55" s="47">
        <v>443.0</v>
      </c>
      <c r="AO55" s="81" t="s">
        <v>15</v>
      </c>
      <c r="AP55" s="76"/>
      <c r="AQ55" s="55">
        <v>344.0</v>
      </c>
      <c r="AR55" s="55"/>
      <c r="AS55" s="47"/>
      <c r="AT55" s="87"/>
    </row>
    <row r="56" ht="14.25" customHeight="1">
      <c r="A56" s="22"/>
      <c r="B56" s="60" t="s">
        <v>117</v>
      </c>
      <c r="D56" s="62"/>
      <c r="E56" s="60" t="s">
        <v>118</v>
      </c>
      <c r="G56" s="62"/>
      <c r="H56" s="60" t="s">
        <v>119</v>
      </c>
      <c r="J56" s="62"/>
      <c r="K56" s="60" t="s">
        <v>120</v>
      </c>
      <c r="M56" s="62"/>
      <c r="N56" s="60" t="s">
        <v>121</v>
      </c>
      <c r="P56" s="62"/>
      <c r="Q56" s="60" t="s">
        <v>122</v>
      </c>
      <c r="S56" s="62"/>
      <c r="T56" s="60" t="s">
        <v>123</v>
      </c>
      <c r="V56" s="62"/>
      <c r="W56" s="60" t="s">
        <v>124</v>
      </c>
      <c r="Y56" s="62"/>
      <c r="Z56" s="60" t="s">
        <v>125</v>
      </c>
      <c r="AB56" s="62"/>
      <c r="AC56" s="60" t="s">
        <v>126</v>
      </c>
      <c r="AE56" s="62"/>
      <c r="AF56" s="60" t="s">
        <v>127</v>
      </c>
      <c r="AH56" s="62"/>
      <c r="AI56" s="59" t="s">
        <v>128</v>
      </c>
      <c r="AK56" s="62"/>
      <c r="AL56" s="59" t="s">
        <v>129</v>
      </c>
      <c r="AN56" s="62"/>
      <c r="AO56" s="59" t="s">
        <v>130</v>
      </c>
      <c r="AQ56" s="55"/>
      <c r="AR56" s="55"/>
      <c r="AS56" s="23"/>
      <c r="AT56" s="24"/>
    </row>
    <row r="57" ht="14.25" customHeight="1">
      <c r="A57" s="22"/>
      <c r="B57" s="96"/>
      <c r="C57" s="64" t="s">
        <v>31</v>
      </c>
      <c r="D57" s="97"/>
      <c r="E57" s="96"/>
      <c r="F57" s="64" t="s">
        <v>31</v>
      </c>
      <c r="G57" s="97"/>
      <c r="H57" s="96"/>
      <c r="I57" s="64" t="s">
        <v>31</v>
      </c>
      <c r="J57" s="97"/>
      <c r="K57" s="96"/>
      <c r="L57" s="64" t="s">
        <v>31</v>
      </c>
      <c r="M57" s="97"/>
      <c r="N57" s="64" t="s">
        <v>31</v>
      </c>
      <c r="O57" s="96"/>
      <c r="P57" s="97"/>
      <c r="Q57" s="63"/>
      <c r="R57" s="64" t="s">
        <v>31</v>
      </c>
      <c r="S57" s="64"/>
      <c r="T57" s="63"/>
      <c r="U57" s="64" t="s">
        <v>31</v>
      </c>
      <c r="V57" s="64"/>
      <c r="W57" s="63"/>
      <c r="X57" s="64" t="s">
        <v>31</v>
      </c>
      <c r="Y57" s="64"/>
      <c r="Z57" s="63"/>
      <c r="AA57" s="64" t="s">
        <v>31</v>
      </c>
      <c r="AB57" s="64"/>
      <c r="AC57" s="64" t="s">
        <v>31</v>
      </c>
      <c r="AD57" s="63"/>
      <c r="AE57" s="64"/>
      <c r="AF57" s="63"/>
      <c r="AG57" s="64" t="s">
        <v>31</v>
      </c>
      <c r="AH57" s="64"/>
      <c r="AI57" s="63"/>
      <c r="AJ57" s="64" t="s">
        <v>31</v>
      </c>
      <c r="AK57" s="64"/>
      <c r="AL57" s="64" t="s">
        <v>31</v>
      </c>
      <c r="AM57" s="63"/>
      <c r="AN57" s="64"/>
      <c r="AO57" s="64" t="s">
        <v>31</v>
      </c>
      <c r="AP57" s="63"/>
      <c r="AQ57" s="63"/>
      <c r="AR57" s="63"/>
      <c r="AS57" s="23"/>
      <c r="AT57" s="24"/>
    </row>
    <row r="58" ht="14.25" customHeight="1">
      <c r="A58" s="22"/>
      <c r="D58" s="23"/>
      <c r="G58" s="23"/>
      <c r="J58" s="23"/>
      <c r="M58" s="23"/>
      <c r="P58" s="23"/>
      <c r="S58" s="23"/>
      <c r="V58" s="23"/>
      <c r="Y58" s="23"/>
      <c r="AB58" s="23"/>
      <c r="AE58" s="23"/>
      <c r="AH58" s="23"/>
      <c r="AK58" s="23"/>
      <c r="AN58" s="23"/>
      <c r="AS58" s="23"/>
      <c r="AT58" s="24"/>
    </row>
    <row r="59" ht="14.25" customHeight="1">
      <c r="A59" s="22"/>
      <c r="D59" s="23"/>
      <c r="G59" s="23"/>
      <c r="J59" s="23"/>
      <c r="M59" s="23"/>
      <c r="P59" s="23"/>
      <c r="S59" s="23"/>
      <c r="V59" s="23"/>
      <c r="Y59" s="23"/>
      <c r="AB59" s="23"/>
      <c r="AE59" s="23"/>
      <c r="AH59" s="23"/>
      <c r="AK59" s="23"/>
      <c r="AN59" s="23"/>
      <c r="AS59" s="23"/>
      <c r="AT59" s="24"/>
    </row>
    <row r="60" ht="14.25" customHeight="1">
      <c r="A60" s="22"/>
      <c r="B60" s="30"/>
      <c r="D60" s="23"/>
      <c r="E60" s="27"/>
      <c r="F60" s="28"/>
      <c r="G60" s="23"/>
      <c r="H60" s="27"/>
      <c r="I60" s="28"/>
      <c r="J60" s="23"/>
      <c r="K60" s="27"/>
      <c r="L60" s="28"/>
      <c r="M60" s="23"/>
      <c r="N60" s="27"/>
      <c r="O60" s="28"/>
      <c r="P60" s="23"/>
      <c r="Q60" s="27"/>
      <c r="R60" s="28"/>
      <c r="S60" s="23"/>
      <c r="T60" s="27"/>
      <c r="U60" s="28"/>
      <c r="V60" s="23"/>
      <c r="W60" s="27"/>
      <c r="X60" s="28"/>
      <c r="Y60" s="23"/>
      <c r="Z60" s="27"/>
      <c r="AA60" s="28"/>
      <c r="AB60" s="23"/>
      <c r="AC60" s="27"/>
      <c r="AD60" s="28"/>
      <c r="AE60" s="23"/>
      <c r="AF60" s="27"/>
      <c r="AG60" s="28"/>
      <c r="AH60" s="23"/>
      <c r="AI60" s="27"/>
      <c r="AJ60" s="28"/>
      <c r="AK60" s="23"/>
      <c r="AL60" s="27"/>
      <c r="AM60" s="28"/>
      <c r="AN60" s="23"/>
      <c r="AO60" s="27"/>
      <c r="AP60" s="28"/>
      <c r="AQ60" s="30"/>
      <c r="AR60" s="30"/>
      <c r="AS60" s="23"/>
      <c r="AT60" s="24"/>
    </row>
    <row r="61" ht="14.25" customHeight="1">
      <c r="A61" s="22"/>
      <c r="B61" s="42"/>
      <c r="C61" s="42"/>
      <c r="D61" s="38"/>
      <c r="E61" s="35"/>
      <c r="F61" s="36"/>
      <c r="G61" s="38"/>
      <c r="H61" s="35"/>
      <c r="I61" s="36"/>
      <c r="J61" s="38"/>
      <c r="K61" s="35"/>
      <c r="L61" s="36"/>
      <c r="M61" s="38"/>
      <c r="N61" s="35"/>
      <c r="O61" s="36"/>
      <c r="P61" s="38"/>
      <c r="Q61" s="39" t="s">
        <v>8</v>
      </c>
      <c r="R61" s="40"/>
      <c r="S61" s="38"/>
      <c r="T61" s="35"/>
      <c r="U61" s="42"/>
      <c r="V61" s="38"/>
      <c r="W61" s="41"/>
      <c r="X61" s="41"/>
      <c r="Y61" s="38"/>
      <c r="Z61" s="35"/>
      <c r="AA61" s="36"/>
      <c r="AB61" s="38"/>
      <c r="AC61" s="39" t="s">
        <v>8</v>
      </c>
      <c r="AD61" s="40"/>
      <c r="AE61" s="38"/>
      <c r="AF61" s="35"/>
      <c r="AG61" s="36"/>
      <c r="AH61" s="38"/>
      <c r="AI61" s="35"/>
      <c r="AJ61" s="36"/>
      <c r="AK61" s="38"/>
      <c r="AL61" s="35"/>
      <c r="AM61" s="42"/>
      <c r="AN61" s="38"/>
      <c r="AO61" s="35"/>
      <c r="AP61" s="42"/>
      <c r="AS61" s="38"/>
      <c r="AT61" s="71"/>
    </row>
    <row r="62" ht="14.25" customHeight="1">
      <c r="A62" s="22"/>
      <c r="B62" s="35"/>
      <c r="C62" s="35"/>
      <c r="D62" s="47"/>
      <c r="E62" s="35"/>
      <c r="F62" s="35"/>
      <c r="G62" s="47"/>
      <c r="H62" s="35"/>
      <c r="I62" s="35"/>
      <c r="J62" s="47"/>
      <c r="K62" s="35"/>
      <c r="L62" s="35"/>
      <c r="M62" s="47"/>
      <c r="N62" s="35"/>
      <c r="O62" s="35"/>
      <c r="P62" s="47"/>
      <c r="Q62" s="49"/>
      <c r="R62" s="50"/>
      <c r="S62" s="47"/>
      <c r="T62" s="35"/>
      <c r="U62" s="35"/>
      <c r="V62" s="47"/>
      <c r="W62" s="41"/>
      <c r="X62" s="41"/>
      <c r="Y62" s="62"/>
      <c r="Z62" s="35"/>
      <c r="AA62" s="35"/>
      <c r="AB62" s="62"/>
      <c r="AC62" s="49"/>
      <c r="AD62" s="50"/>
      <c r="AE62" s="47"/>
      <c r="AF62" s="35"/>
      <c r="AG62" s="35"/>
      <c r="AH62" s="47"/>
      <c r="AI62" s="35"/>
      <c r="AJ62" s="35"/>
      <c r="AK62" s="47"/>
      <c r="AL62" s="35"/>
      <c r="AM62" s="35"/>
      <c r="AN62" s="23"/>
      <c r="AO62" s="35"/>
      <c r="AP62" s="35"/>
      <c r="AQ62" s="44"/>
      <c r="AR62" s="44"/>
      <c r="AS62" s="23"/>
      <c r="AT62" s="24"/>
      <c r="AV62" s="52">
        <v>12.0</v>
      </c>
      <c r="AW62" s="52">
        <v>8.0</v>
      </c>
      <c r="AX62" s="52">
        <v>5.0</v>
      </c>
      <c r="AY62" s="52">
        <v>0.0</v>
      </c>
      <c r="AZ62" s="52">
        <v>0.0</v>
      </c>
      <c r="BA62" s="53" t="str">
        <f>+A63+D63+G63+J63+M63+P63+S63+V63+Y63+AB63+AE63+AH63+AK63+AN63+AQ63</f>
        <v>5451.000</v>
      </c>
    </row>
    <row r="63" ht="14.25" customHeight="1">
      <c r="A63" s="22"/>
      <c r="B63" s="59" t="s">
        <v>36</v>
      </c>
      <c r="D63" s="47">
        <v>390.0</v>
      </c>
      <c r="E63" s="59" t="s">
        <v>15</v>
      </c>
      <c r="G63" s="47">
        <v>352.0</v>
      </c>
      <c r="H63" s="79" t="s">
        <v>33</v>
      </c>
      <c r="I63" s="76"/>
      <c r="J63" s="47">
        <v>426.0</v>
      </c>
      <c r="K63" s="79" t="s">
        <v>33</v>
      </c>
      <c r="L63" s="76"/>
      <c r="M63" s="47">
        <v>394.0</v>
      </c>
      <c r="N63" s="79" t="s">
        <v>34</v>
      </c>
      <c r="O63" s="76"/>
      <c r="P63" s="47">
        <v>408.0</v>
      </c>
      <c r="Q63" s="75" t="s">
        <v>114</v>
      </c>
      <c r="R63" s="76"/>
      <c r="S63" s="47">
        <v>373.0</v>
      </c>
      <c r="T63" s="79" t="s">
        <v>12</v>
      </c>
      <c r="U63" s="76"/>
      <c r="V63" s="47">
        <v>408.0</v>
      </c>
      <c r="W63" s="81" t="s">
        <v>10</v>
      </c>
      <c r="X63" s="76"/>
      <c r="Y63" s="62">
        <v>379.0</v>
      </c>
      <c r="Z63" s="79" t="s">
        <v>34</v>
      </c>
      <c r="AA63" s="76"/>
      <c r="AB63" s="62">
        <v>406.0</v>
      </c>
      <c r="AC63" s="79" t="s">
        <v>131</v>
      </c>
      <c r="AD63" s="76"/>
      <c r="AE63" s="47">
        <v>385.0</v>
      </c>
      <c r="AF63" s="79" t="s">
        <v>33</v>
      </c>
      <c r="AG63" s="76"/>
      <c r="AH63" s="47">
        <v>400.0</v>
      </c>
      <c r="AI63" s="79" t="s">
        <v>33</v>
      </c>
      <c r="AJ63" s="76"/>
      <c r="AK63" s="47">
        <v>439.0</v>
      </c>
      <c r="AL63" s="79" t="s">
        <v>12</v>
      </c>
      <c r="AM63" s="76"/>
      <c r="AN63" s="23">
        <v>400.0</v>
      </c>
      <c r="AO63" s="81" t="s">
        <v>15</v>
      </c>
      <c r="AP63" s="76"/>
      <c r="AQ63" s="55">
        <v>291.0</v>
      </c>
      <c r="AR63" s="55"/>
      <c r="AS63" s="23"/>
      <c r="AT63" s="24"/>
    </row>
    <row r="64" ht="14.25" customHeight="1">
      <c r="A64" s="22"/>
      <c r="B64" s="59" t="s">
        <v>132</v>
      </c>
      <c r="D64" s="62"/>
      <c r="E64" s="59" t="s">
        <v>133</v>
      </c>
      <c r="G64" s="62"/>
      <c r="H64" s="59" t="s">
        <v>134</v>
      </c>
      <c r="J64" s="62"/>
      <c r="K64" s="59" t="s">
        <v>135</v>
      </c>
      <c r="M64" s="62"/>
      <c r="N64" s="59" t="s">
        <v>136</v>
      </c>
      <c r="P64" s="62"/>
      <c r="Q64" s="60" t="s">
        <v>137</v>
      </c>
      <c r="S64" s="62"/>
      <c r="T64" s="60" t="s">
        <v>138</v>
      </c>
      <c r="V64" s="62"/>
      <c r="W64" s="59" t="s">
        <v>139</v>
      </c>
      <c r="Y64" s="62"/>
      <c r="Z64" s="59" t="s">
        <v>140</v>
      </c>
      <c r="AB64" s="62"/>
      <c r="AC64" s="60" t="s">
        <v>141</v>
      </c>
      <c r="AE64" s="47"/>
      <c r="AF64" s="60" t="s">
        <v>142</v>
      </c>
      <c r="AH64" s="47"/>
      <c r="AI64" s="60" t="s">
        <v>143</v>
      </c>
      <c r="AK64" s="23"/>
      <c r="AL64" s="60" t="s">
        <v>144</v>
      </c>
      <c r="AN64" s="62"/>
      <c r="AO64" s="60" t="s">
        <v>145</v>
      </c>
      <c r="AQ64" s="55"/>
      <c r="AR64" s="55"/>
      <c r="AS64" s="82"/>
      <c r="AT64" s="100"/>
    </row>
    <row r="65" ht="14.25" customHeight="1">
      <c r="A65" s="22"/>
      <c r="B65" s="64" t="s">
        <v>31</v>
      </c>
      <c r="C65" s="63"/>
      <c r="D65" s="64"/>
      <c r="E65" s="64" t="s">
        <v>31</v>
      </c>
      <c r="F65" s="65"/>
      <c r="G65" s="64"/>
      <c r="H65" s="64" t="s">
        <v>31</v>
      </c>
      <c r="I65" s="65"/>
      <c r="J65" s="64"/>
      <c r="K65" s="63"/>
      <c r="L65" s="64" t="s">
        <v>31</v>
      </c>
      <c r="M65" s="64"/>
      <c r="N65" s="63"/>
      <c r="O65" s="64" t="s">
        <v>31</v>
      </c>
      <c r="P65" s="64"/>
      <c r="Q65" s="63"/>
      <c r="R65" s="64" t="s">
        <v>31</v>
      </c>
      <c r="S65" s="64"/>
      <c r="T65" s="63"/>
      <c r="U65" s="64" t="s">
        <v>31</v>
      </c>
      <c r="V65" s="64"/>
      <c r="W65" s="64" t="s">
        <v>31</v>
      </c>
      <c r="X65" s="63"/>
      <c r="Y65" s="64"/>
      <c r="Z65" s="64" t="s">
        <v>31</v>
      </c>
      <c r="AA65" s="63"/>
      <c r="AB65" s="64"/>
      <c r="AC65" s="64" t="s">
        <v>31</v>
      </c>
      <c r="AD65" s="63"/>
      <c r="AE65" s="64"/>
      <c r="AF65" s="63"/>
      <c r="AG65" s="64" t="s">
        <v>31</v>
      </c>
      <c r="AH65" s="64"/>
      <c r="AI65" s="64" t="s">
        <v>31</v>
      </c>
      <c r="AJ65" s="63"/>
      <c r="AK65" s="64"/>
      <c r="AL65" s="64" t="s">
        <v>31</v>
      </c>
      <c r="AM65" s="63"/>
      <c r="AN65" s="64"/>
      <c r="AO65" s="63"/>
      <c r="AP65" s="64" t="s">
        <v>31</v>
      </c>
      <c r="AQ65" s="64"/>
      <c r="AR65" s="64"/>
      <c r="AS65" s="82"/>
      <c r="AT65" s="100"/>
    </row>
    <row r="66" ht="14.25" customHeight="1">
      <c r="A66" s="22"/>
      <c r="D66" s="23"/>
      <c r="G66" s="23"/>
      <c r="J66" s="23"/>
      <c r="M66" s="23"/>
      <c r="P66" s="23"/>
      <c r="S66" s="23"/>
      <c r="V66" s="23"/>
      <c r="W66" s="93" t="s">
        <v>66</v>
      </c>
      <c r="X66" s="94"/>
      <c r="Y66" s="94"/>
      <c r="Z66" s="94"/>
      <c r="AA66" s="95"/>
      <c r="AB66" s="23"/>
      <c r="AE66" s="23"/>
      <c r="AH66" s="23"/>
      <c r="AK66" s="23"/>
      <c r="AN66" s="23"/>
      <c r="AO66" s="30"/>
      <c r="AT66" s="101"/>
    </row>
    <row r="67" ht="14.25" customHeight="1">
      <c r="A67" s="22"/>
      <c r="D67" s="23"/>
      <c r="G67" s="23"/>
      <c r="J67" s="23"/>
      <c r="M67" s="23"/>
      <c r="P67" s="23"/>
      <c r="S67" s="23"/>
      <c r="V67" s="23"/>
      <c r="Y67" s="23" t="s">
        <v>146</v>
      </c>
      <c r="AB67" s="23"/>
      <c r="AE67" s="23"/>
      <c r="AH67" s="23"/>
      <c r="AK67" s="23"/>
      <c r="AN67" s="23"/>
      <c r="AS67" s="23"/>
      <c r="AT67" s="24"/>
    </row>
    <row r="68" ht="14.25" customHeight="1">
      <c r="A68" s="22"/>
      <c r="B68" s="30"/>
      <c r="D68" s="23"/>
      <c r="E68" s="27"/>
      <c r="F68" s="28"/>
      <c r="G68" s="23"/>
      <c r="H68" s="27"/>
      <c r="I68" s="28"/>
      <c r="J68" s="23"/>
      <c r="K68" s="27"/>
      <c r="L68" s="28"/>
      <c r="M68" s="23"/>
      <c r="N68" s="27"/>
      <c r="O68" s="28"/>
      <c r="P68" s="23"/>
      <c r="Q68" s="27"/>
      <c r="R68" s="28"/>
      <c r="S68" s="23"/>
      <c r="T68" s="27"/>
      <c r="U68" s="28"/>
      <c r="V68" s="23"/>
      <c r="W68" s="27"/>
      <c r="X68" s="28"/>
      <c r="Y68" s="23"/>
      <c r="Z68" s="27"/>
      <c r="AA68" s="28"/>
      <c r="AB68" s="23"/>
      <c r="AC68" s="27"/>
      <c r="AD68" s="28"/>
      <c r="AE68" s="23"/>
      <c r="AF68" s="27"/>
      <c r="AG68" s="28"/>
      <c r="AH68" s="23"/>
      <c r="AI68" s="27"/>
      <c r="AJ68" s="28"/>
      <c r="AK68" s="23"/>
      <c r="AL68" s="27"/>
      <c r="AM68" s="28"/>
      <c r="AN68" s="23"/>
      <c r="AO68" s="27"/>
      <c r="AP68" s="28"/>
      <c r="AQ68" s="30"/>
      <c r="AR68" s="30"/>
      <c r="AS68" s="23"/>
      <c r="AT68" s="24"/>
    </row>
    <row r="69" ht="14.25" customHeight="1">
      <c r="A69" s="22"/>
      <c r="B69" s="35"/>
      <c r="C69" s="42"/>
      <c r="D69" s="38"/>
      <c r="E69" s="35"/>
      <c r="F69" s="42"/>
      <c r="G69" s="38"/>
      <c r="H69" s="35"/>
      <c r="I69" s="42"/>
      <c r="J69" s="70"/>
      <c r="K69" s="42"/>
      <c r="L69" s="42"/>
      <c r="M69" s="38"/>
      <c r="N69" s="42"/>
      <c r="O69" s="42"/>
      <c r="P69" s="70"/>
      <c r="Q69" s="42"/>
      <c r="R69" s="42"/>
      <c r="S69" s="38"/>
      <c r="T69" s="42"/>
      <c r="U69" s="42"/>
      <c r="V69" s="38"/>
      <c r="W69" s="42"/>
      <c r="X69" s="42"/>
      <c r="Y69" s="38"/>
      <c r="Z69" s="41"/>
      <c r="AA69" s="41"/>
      <c r="AB69" s="38"/>
      <c r="AC69" s="42"/>
      <c r="AD69" s="42"/>
      <c r="AE69" s="38"/>
      <c r="AF69" s="35"/>
      <c r="AG69" s="42"/>
      <c r="AH69" s="38"/>
      <c r="AI69" s="35"/>
      <c r="AJ69" s="42"/>
      <c r="AK69" s="38"/>
      <c r="AL69" s="35"/>
      <c r="AM69" s="42"/>
      <c r="AN69" s="38"/>
      <c r="AO69" s="35"/>
      <c r="AP69" s="36"/>
      <c r="AQ69" s="43"/>
      <c r="AR69" s="43"/>
      <c r="AS69" s="38"/>
      <c r="AT69" s="71"/>
    </row>
    <row r="70" ht="14.25" customHeight="1">
      <c r="A70" s="22"/>
      <c r="B70" s="42"/>
      <c r="C70" s="42"/>
      <c r="D70" s="47"/>
      <c r="E70" s="42"/>
      <c r="F70" s="42"/>
      <c r="G70" s="47"/>
      <c r="H70" s="42"/>
      <c r="I70" s="42"/>
      <c r="J70" s="62"/>
      <c r="K70" s="42"/>
      <c r="L70" s="42"/>
      <c r="M70" s="62"/>
      <c r="N70" s="42"/>
      <c r="O70" s="42"/>
      <c r="P70" s="47"/>
      <c r="Q70" s="42"/>
      <c r="R70" s="42"/>
      <c r="S70" s="47"/>
      <c r="T70" s="35"/>
      <c r="U70" s="35"/>
      <c r="V70" s="47"/>
      <c r="W70" s="35"/>
      <c r="X70" s="35"/>
      <c r="Y70" s="62"/>
      <c r="Z70" s="41"/>
      <c r="AA70" s="41"/>
      <c r="AB70" s="62"/>
      <c r="AC70" s="35"/>
      <c r="AD70" s="42"/>
      <c r="AE70" s="47"/>
      <c r="AF70" s="35"/>
      <c r="AG70" s="35"/>
      <c r="AH70" s="62"/>
      <c r="AI70" s="35"/>
      <c r="AJ70" s="35"/>
      <c r="AK70" s="47"/>
      <c r="AL70" s="35"/>
      <c r="AM70" s="35"/>
      <c r="AN70" s="47"/>
      <c r="AO70" s="35"/>
      <c r="AP70" s="35"/>
      <c r="AQ70" s="44"/>
      <c r="AR70" s="44"/>
      <c r="AS70" s="47"/>
      <c r="AT70" s="87"/>
      <c r="AV70" s="52">
        <v>14.0</v>
      </c>
      <c r="AW70" s="52">
        <v>14.0</v>
      </c>
      <c r="AX70" s="52">
        <v>12.0</v>
      </c>
      <c r="AY70" s="52">
        <v>0.0</v>
      </c>
      <c r="AZ70" s="52">
        <v>0.0</v>
      </c>
      <c r="BA70" s="53" t="str">
        <f>+A71+D71+G71+J71+M71+P71+S71+V71+Y71+AB71+AE71+AH71+AK71+AN71+AQ71</f>
        <v>5597.000</v>
      </c>
    </row>
    <row r="71" ht="14.25" customHeight="1">
      <c r="A71" s="22"/>
      <c r="B71" s="81" t="s">
        <v>15</v>
      </c>
      <c r="C71" s="76"/>
      <c r="D71" s="47">
        <v>390.0</v>
      </c>
      <c r="E71" s="79" t="s">
        <v>34</v>
      </c>
      <c r="F71" s="76"/>
      <c r="G71" s="47">
        <v>403.0</v>
      </c>
      <c r="H71" s="79" t="s">
        <v>33</v>
      </c>
      <c r="I71" s="76"/>
      <c r="J71" s="62">
        <v>422.0</v>
      </c>
      <c r="K71" s="79" t="s">
        <v>12</v>
      </c>
      <c r="L71" s="76"/>
      <c r="M71" s="62">
        <v>389.0</v>
      </c>
      <c r="N71" s="79" t="s">
        <v>11</v>
      </c>
      <c r="O71" s="76"/>
      <c r="P71" s="47">
        <v>436.0</v>
      </c>
      <c r="Q71" s="75" t="s">
        <v>35</v>
      </c>
      <c r="R71" s="76"/>
      <c r="S71" s="47">
        <v>380.0</v>
      </c>
      <c r="T71" s="79" t="s">
        <v>33</v>
      </c>
      <c r="U71" s="76"/>
      <c r="V71" s="47">
        <v>445.0</v>
      </c>
      <c r="W71" s="79" t="s">
        <v>147</v>
      </c>
      <c r="X71" s="76"/>
      <c r="Y71" s="62">
        <v>220.0</v>
      </c>
      <c r="Z71" s="79" t="s">
        <v>148</v>
      </c>
      <c r="AA71" s="76"/>
      <c r="AB71" s="62">
        <v>435.0</v>
      </c>
      <c r="AC71" s="75" t="s">
        <v>35</v>
      </c>
      <c r="AD71" s="76"/>
      <c r="AE71" s="47">
        <v>405.0</v>
      </c>
      <c r="AF71" s="79" t="s">
        <v>12</v>
      </c>
      <c r="AG71" s="76"/>
      <c r="AH71" s="62">
        <v>434.0</v>
      </c>
      <c r="AI71" s="79" t="s">
        <v>12</v>
      </c>
      <c r="AJ71" s="76"/>
      <c r="AK71" s="47">
        <v>380.0</v>
      </c>
      <c r="AL71" s="79" t="s">
        <v>15</v>
      </c>
      <c r="AM71" s="76"/>
      <c r="AN71" s="47">
        <v>379.0</v>
      </c>
      <c r="AO71" s="79" t="s">
        <v>149</v>
      </c>
      <c r="AP71" s="76"/>
      <c r="AQ71" s="55">
        <v>479.0</v>
      </c>
      <c r="AR71" s="55"/>
      <c r="AS71" s="47"/>
      <c r="AT71" s="87"/>
    </row>
    <row r="72" ht="14.25" customHeight="1">
      <c r="A72" s="22"/>
      <c r="B72" s="60" t="s">
        <v>150</v>
      </c>
      <c r="D72" s="23"/>
      <c r="E72" s="60" t="s">
        <v>151</v>
      </c>
      <c r="G72" s="62"/>
      <c r="H72" s="60" t="s">
        <v>152</v>
      </c>
      <c r="J72" s="62"/>
      <c r="K72" s="60" t="s">
        <v>153</v>
      </c>
      <c r="M72" s="62"/>
      <c r="N72" s="60" t="s">
        <v>154</v>
      </c>
      <c r="P72" s="62"/>
      <c r="Q72" s="60" t="s">
        <v>155</v>
      </c>
      <c r="S72" s="62"/>
      <c r="T72" s="60" t="s">
        <v>156</v>
      </c>
      <c r="V72" s="62"/>
      <c r="W72" s="60" t="s">
        <v>157</v>
      </c>
      <c r="Y72" s="62"/>
      <c r="Z72" s="60" t="s">
        <v>158</v>
      </c>
      <c r="AB72" s="62"/>
      <c r="AC72" s="60" t="s">
        <v>159</v>
      </c>
      <c r="AE72" s="62"/>
      <c r="AF72" s="60" t="s">
        <v>160</v>
      </c>
      <c r="AH72" s="62"/>
      <c r="AI72" s="60" t="s">
        <v>161</v>
      </c>
      <c r="AK72" s="62"/>
      <c r="AL72" s="60" t="s">
        <v>162</v>
      </c>
      <c r="AN72" s="62"/>
      <c r="AO72" s="60" t="s">
        <v>163</v>
      </c>
      <c r="AQ72" s="55"/>
      <c r="AR72" s="55"/>
      <c r="AS72" s="23"/>
      <c r="AT72" s="24"/>
    </row>
    <row r="73" ht="14.25" customHeight="1">
      <c r="A73" s="22"/>
      <c r="B73" s="64" t="s">
        <v>31</v>
      </c>
      <c r="C73" s="63"/>
      <c r="D73" s="64"/>
      <c r="E73" s="63"/>
      <c r="F73" s="64" t="s">
        <v>31</v>
      </c>
      <c r="G73" s="64"/>
      <c r="H73" s="63"/>
      <c r="I73" s="64" t="s">
        <v>31</v>
      </c>
      <c r="J73" s="64"/>
      <c r="K73" s="63"/>
      <c r="L73" s="64" t="s">
        <v>31</v>
      </c>
      <c r="M73" s="64"/>
      <c r="N73" s="63"/>
      <c r="O73" s="64" t="s">
        <v>31</v>
      </c>
      <c r="P73" s="64"/>
      <c r="Q73" s="63"/>
      <c r="R73" s="64" t="s">
        <v>31</v>
      </c>
      <c r="S73" s="64"/>
      <c r="T73" s="63"/>
      <c r="U73" s="64" t="s">
        <v>31</v>
      </c>
      <c r="V73" s="64"/>
      <c r="W73" s="63"/>
      <c r="X73" s="64" t="s">
        <v>31</v>
      </c>
      <c r="Y73" s="64"/>
      <c r="Z73" s="63"/>
      <c r="AA73" s="64" t="s">
        <v>31</v>
      </c>
      <c r="AB73" s="64"/>
      <c r="AC73" s="63"/>
      <c r="AD73" s="64" t="s">
        <v>31</v>
      </c>
      <c r="AE73" s="64"/>
      <c r="AF73" s="63"/>
      <c r="AG73" s="64" t="s">
        <v>31</v>
      </c>
      <c r="AH73" s="64"/>
      <c r="AI73" s="63"/>
      <c r="AJ73" s="64" t="s">
        <v>31</v>
      </c>
      <c r="AK73" s="64"/>
      <c r="AL73" s="63"/>
      <c r="AM73" s="64" t="s">
        <v>31</v>
      </c>
      <c r="AN73" s="64"/>
      <c r="AO73" s="64" t="s">
        <v>31</v>
      </c>
      <c r="AP73" s="63"/>
      <c r="AQ73" s="63"/>
      <c r="AR73" s="63"/>
      <c r="AS73" s="23"/>
      <c r="AT73" s="24"/>
    </row>
    <row r="74" ht="14.25" customHeight="1">
      <c r="A74" s="102" t="s">
        <v>164</v>
      </c>
      <c r="B74" s="94"/>
      <c r="C74" s="95"/>
      <c r="D74" s="23"/>
      <c r="G74" s="23"/>
      <c r="J74" s="23"/>
      <c r="M74" s="23"/>
      <c r="P74" s="23"/>
      <c r="Q74" s="93"/>
      <c r="R74" s="94"/>
      <c r="S74" s="95"/>
      <c r="V74" s="23"/>
      <c r="Y74" s="23"/>
      <c r="AB74" s="23"/>
      <c r="AE74" s="23"/>
      <c r="AH74" s="23"/>
      <c r="AI74" s="93" t="s">
        <v>165</v>
      </c>
      <c r="AJ74" s="94"/>
      <c r="AK74" s="94"/>
      <c r="AL74" s="94"/>
      <c r="AM74" s="94"/>
      <c r="AN74" s="94"/>
      <c r="AO74" s="94"/>
      <c r="AP74" s="95"/>
      <c r="AQ74" s="30"/>
      <c r="AR74" s="30"/>
      <c r="AS74" s="23"/>
      <c r="AT74" s="24"/>
    </row>
    <row r="75" ht="14.25" customHeight="1">
      <c r="A75" s="22"/>
      <c r="D75" s="23"/>
      <c r="G75" s="23"/>
      <c r="H75" s="23"/>
      <c r="J75" s="23"/>
      <c r="M75" s="23"/>
      <c r="P75" s="23"/>
      <c r="S75" s="23" t="s">
        <v>166</v>
      </c>
      <c r="V75" s="23"/>
      <c r="Y75" s="23"/>
      <c r="AB75" s="23"/>
      <c r="AE75" s="23"/>
      <c r="AH75" s="23"/>
      <c r="AK75" s="23"/>
      <c r="AN75" s="23"/>
      <c r="AS75" s="23"/>
      <c r="AT75" s="24"/>
    </row>
    <row r="76" ht="14.25" customHeight="1">
      <c r="A76" s="22"/>
      <c r="B76" s="30"/>
      <c r="D76" s="23"/>
      <c r="E76" s="27"/>
      <c r="F76" s="28"/>
      <c r="G76" s="23"/>
      <c r="H76" s="27"/>
      <c r="I76" s="28"/>
      <c r="J76" s="23"/>
      <c r="K76" s="103"/>
      <c r="L76" s="28"/>
      <c r="M76" s="23"/>
      <c r="N76" s="103"/>
      <c r="O76" s="28"/>
      <c r="P76" s="23"/>
      <c r="Q76" s="103"/>
      <c r="R76" s="28"/>
      <c r="S76" s="23"/>
      <c r="T76" s="103"/>
      <c r="U76" s="28"/>
      <c r="V76" s="23"/>
      <c r="W76" s="27"/>
      <c r="X76" s="28"/>
      <c r="Y76" s="23"/>
      <c r="Z76" s="27"/>
      <c r="AA76" s="28"/>
      <c r="AB76" s="23"/>
      <c r="AC76" s="27"/>
      <c r="AD76" s="28"/>
      <c r="AE76" s="23"/>
      <c r="AF76" s="27"/>
      <c r="AG76" s="28"/>
      <c r="AH76" s="23"/>
      <c r="AI76" s="27"/>
      <c r="AJ76" s="28"/>
      <c r="AK76" s="23"/>
      <c r="AL76" s="27"/>
      <c r="AM76" s="28"/>
      <c r="AN76" s="23"/>
      <c r="AO76" s="27"/>
      <c r="AP76" s="28"/>
      <c r="AQ76" s="30"/>
      <c r="AR76" s="30"/>
      <c r="AS76" s="23"/>
      <c r="AT76" s="24"/>
    </row>
    <row r="77" ht="15.0" customHeight="1">
      <c r="A77" s="22"/>
      <c r="B77" s="35"/>
      <c r="C77" s="36"/>
      <c r="D77" s="38"/>
      <c r="E77" s="42"/>
      <c r="F77" s="42"/>
      <c r="G77" s="38"/>
      <c r="H77" s="42"/>
      <c r="I77" s="42"/>
      <c r="J77" s="38"/>
      <c r="K77" s="35"/>
      <c r="L77" s="36"/>
      <c r="M77" s="38"/>
      <c r="N77" s="42"/>
      <c r="O77" s="42"/>
      <c r="P77" s="38"/>
      <c r="Q77" s="35"/>
      <c r="R77" s="36"/>
      <c r="S77" s="38"/>
      <c r="T77" s="42"/>
      <c r="U77" s="42"/>
      <c r="V77" s="38"/>
      <c r="W77" s="35"/>
      <c r="X77" s="35"/>
      <c r="Y77" s="38"/>
      <c r="Z77" s="35"/>
      <c r="AA77" s="35"/>
      <c r="AB77" s="38"/>
      <c r="AC77" s="104"/>
      <c r="AD77" s="104"/>
      <c r="AE77" s="38"/>
      <c r="AF77" s="35"/>
      <c r="AG77" s="36"/>
      <c r="AH77" s="38"/>
      <c r="AI77" s="35"/>
      <c r="AJ77" s="36"/>
      <c r="AK77" s="38"/>
      <c r="AL77" s="35"/>
      <c r="AM77" s="36"/>
      <c r="AN77" s="38"/>
      <c r="AO77" s="41"/>
      <c r="AP77" s="41"/>
      <c r="AQ77" s="105"/>
      <c r="AR77" s="105"/>
      <c r="AS77" s="38"/>
      <c r="AT77" s="71"/>
    </row>
    <row r="78" ht="14.25" customHeight="1">
      <c r="A78" s="22"/>
      <c r="B78" s="35"/>
      <c r="C78" s="35"/>
      <c r="D78" s="47"/>
      <c r="E78" s="42"/>
      <c r="F78" s="35"/>
      <c r="G78" s="47"/>
      <c r="H78" s="42"/>
      <c r="I78" s="35"/>
      <c r="J78" s="62"/>
      <c r="K78" s="35"/>
      <c r="L78" s="35"/>
      <c r="M78" s="62"/>
      <c r="N78" s="42"/>
      <c r="O78" s="35"/>
      <c r="P78" s="47"/>
      <c r="Q78" s="35"/>
      <c r="R78" s="35"/>
      <c r="S78" s="62"/>
      <c r="T78" s="42"/>
      <c r="U78" s="35"/>
      <c r="V78" s="47"/>
      <c r="W78" s="35"/>
      <c r="X78" s="35"/>
      <c r="Y78" s="47"/>
      <c r="Z78" s="35"/>
      <c r="AA78" s="35"/>
      <c r="AB78" s="47"/>
      <c r="AC78" s="104"/>
      <c r="AD78" s="104"/>
      <c r="AE78" s="47"/>
      <c r="AF78" s="35"/>
      <c r="AG78" s="35"/>
      <c r="AH78" s="47"/>
      <c r="AI78" s="35"/>
      <c r="AJ78" s="35"/>
      <c r="AK78" s="47"/>
      <c r="AL78" s="35"/>
      <c r="AM78" s="35"/>
      <c r="AN78" s="62"/>
      <c r="AO78" s="41"/>
      <c r="AP78" s="41"/>
      <c r="AQ78" s="105"/>
      <c r="AR78" s="105"/>
      <c r="AS78" s="47"/>
      <c r="AT78" s="87"/>
      <c r="AV78" s="52">
        <v>14.0</v>
      </c>
      <c r="AW78" s="52">
        <v>14.0</v>
      </c>
      <c r="AX78" s="52">
        <v>13.0</v>
      </c>
      <c r="AY78" s="52">
        <v>0.0</v>
      </c>
      <c r="AZ78" s="52">
        <v>0.0</v>
      </c>
      <c r="BA78" s="53" t="str">
        <f>+A79+D79+G79+J79+M79+P79+S79+V79+Y79+AB79+AE79+AH79+AK79+AN79+AQ79</f>
        <v>5226.000</v>
      </c>
    </row>
    <row r="79" ht="14.25" customHeight="1">
      <c r="A79" s="22"/>
      <c r="B79" s="60" t="s">
        <v>167</v>
      </c>
      <c r="D79" s="47">
        <v>464.0</v>
      </c>
      <c r="E79" s="79" t="s">
        <v>33</v>
      </c>
      <c r="F79" s="76"/>
      <c r="G79" s="47">
        <v>376.0</v>
      </c>
      <c r="H79" s="75" t="s">
        <v>35</v>
      </c>
      <c r="I79" s="76"/>
      <c r="J79" s="62">
        <v>380.0</v>
      </c>
      <c r="K79" s="79" t="s">
        <v>15</v>
      </c>
      <c r="L79" s="76"/>
      <c r="M79" s="62">
        <v>352.0</v>
      </c>
      <c r="N79" s="79" t="s">
        <v>11</v>
      </c>
      <c r="O79" s="76"/>
      <c r="P79" s="47">
        <v>361.0</v>
      </c>
      <c r="Q79" s="79" t="s">
        <v>168</v>
      </c>
      <c r="R79" s="76"/>
      <c r="S79" s="62">
        <v>252.0</v>
      </c>
      <c r="T79" s="79" t="s">
        <v>169</v>
      </c>
      <c r="U79" s="76"/>
      <c r="V79" s="47">
        <v>394.0</v>
      </c>
      <c r="W79" s="75" t="s">
        <v>35</v>
      </c>
      <c r="X79" s="76"/>
      <c r="Y79" s="47">
        <v>389.0</v>
      </c>
      <c r="Z79" s="79" t="s">
        <v>35</v>
      </c>
      <c r="AA79" s="76"/>
      <c r="AB79" s="47">
        <v>399.0</v>
      </c>
      <c r="AC79" s="79" t="s">
        <v>13</v>
      </c>
      <c r="AD79" s="76"/>
      <c r="AE79" s="47">
        <v>392.0</v>
      </c>
      <c r="AF79" s="79" t="s">
        <v>35</v>
      </c>
      <c r="AG79" s="76"/>
      <c r="AH79" s="47">
        <v>363.0</v>
      </c>
      <c r="AI79" s="79" t="s">
        <v>33</v>
      </c>
      <c r="AJ79" s="76"/>
      <c r="AK79" s="47">
        <v>379.0</v>
      </c>
      <c r="AL79" s="79" t="s">
        <v>9</v>
      </c>
      <c r="AM79" s="76"/>
      <c r="AN79" s="62">
        <v>226.0</v>
      </c>
      <c r="AO79" s="75" t="s">
        <v>170</v>
      </c>
      <c r="AP79" s="76"/>
      <c r="AQ79" s="55">
        <v>499.0</v>
      </c>
      <c r="AR79" s="55"/>
      <c r="AS79" s="47"/>
      <c r="AT79" s="87"/>
    </row>
    <row r="80" ht="14.25" customHeight="1">
      <c r="A80" s="22"/>
      <c r="B80" s="60" t="s">
        <v>171</v>
      </c>
      <c r="D80" s="62"/>
      <c r="E80" s="60" t="s">
        <v>172</v>
      </c>
      <c r="G80" s="47"/>
      <c r="H80" s="60" t="s">
        <v>173</v>
      </c>
      <c r="J80" s="62"/>
      <c r="K80" s="60" t="s">
        <v>174</v>
      </c>
      <c r="M80" s="62"/>
      <c r="N80" s="60" t="s">
        <v>175</v>
      </c>
      <c r="P80" s="106"/>
      <c r="Q80" s="60" t="s">
        <v>176</v>
      </c>
      <c r="S80" s="62"/>
      <c r="T80" s="60" t="s">
        <v>177</v>
      </c>
      <c r="V80" s="62"/>
      <c r="W80" s="60" t="s">
        <v>178</v>
      </c>
      <c r="Y80" s="62"/>
      <c r="Z80" s="60" t="s">
        <v>179</v>
      </c>
      <c r="AB80" s="62"/>
      <c r="AC80" s="60" t="s">
        <v>180</v>
      </c>
      <c r="AE80" s="47"/>
      <c r="AF80" s="60" t="s">
        <v>181</v>
      </c>
      <c r="AH80" s="62"/>
      <c r="AI80" s="60" t="s">
        <v>182</v>
      </c>
      <c r="AK80" s="62"/>
      <c r="AL80" s="60" t="s">
        <v>183</v>
      </c>
      <c r="AN80" s="62"/>
      <c r="AO80" s="60" t="s">
        <v>184</v>
      </c>
      <c r="AQ80" s="55"/>
      <c r="AR80" s="55"/>
      <c r="AS80" s="23"/>
      <c r="AT80" s="24"/>
    </row>
    <row r="81" ht="14.25" customHeight="1">
      <c r="A81" s="22"/>
      <c r="B81" s="64" t="s">
        <v>31</v>
      </c>
      <c r="C81" s="63"/>
      <c r="D81" s="64"/>
      <c r="E81" s="63"/>
      <c r="F81" s="65" t="s">
        <v>31</v>
      </c>
      <c r="G81" s="64"/>
      <c r="H81" s="63"/>
      <c r="I81" s="64" t="s">
        <v>31</v>
      </c>
      <c r="J81" s="64"/>
      <c r="K81" s="63"/>
      <c r="L81" s="64" t="s">
        <v>31</v>
      </c>
      <c r="M81" s="64"/>
      <c r="N81" s="63"/>
      <c r="O81" s="64" t="s">
        <v>31</v>
      </c>
      <c r="P81" s="64"/>
      <c r="Q81" s="63"/>
      <c r="R81" s="64" t="s">
        <v>31</v>
      </c>
      <c r="S81" s="64"/>
      <c r="T81" s="63"/>
      <c r="U81" s="64" t="s">
        <v>31</v>
      </c>
      <c r="V81" s="64"/>
      <c r="W81" s="63"/>
      <c r="X81" s="64" t="s">
        <v>31</v>
      </c>
      <c r="Y81" s="64"/>
      <c r="Z81" s="64" t="s">
        <v>31</v>
      </c>
      <c r="AA81" s="63"/>
      <c r="AB81" s="64"/>
      <c r="AC81" s="63"/>
      <c r="AD81" s="64" t="s">
        <v>31</v>
      </c>
      <c r="AE81" s="64"/>
      <c r="AF81" s="63"/>
      <c r="AG81" s="64" t="s">
        <v>31</v>
      </c>
      <c r="AH81" s="64"/>
      <c r="AI81" s="63"/>
      <c r="AJ81" s="64" t="s">
        <v>31</v>
      </c>
      <c r="AK81" s="64"/>
      <c r="AL81" s="63"/>
      <c r="AM81" s="64" t="s">
        <v>31</v>
      </c>
      <c r="AN81" s="64"/>
      <c r="AO81" s="63"/>
      <c r="AP81" s="64" t="s">
        <v>31</v>
      </c>
      <c r="AQ81" s="64"/>
      <c r="AR81" s="64"/>
      <c r="AS81" s="23"/>
      <c r="AT81" s="24"/>
    </row>
    <row r="82" ht="14.25" customHeight="1">
      <c r="A82" s="107" t="s">
        <v>165</v>
      </c>
      <c r="B82" s="94"/>
      <c r="C82" s="94"/>
      <c r="D82" s="95"/>
      <c r="G82" s="23"/>
      <c r="J82" s="23"/>
      <c r="M82" s="23"/>
      <c r="P82" s="23"/>
      <c r="S82" s="23"/>
      <c r="V82" s="23"/>
      <c r="W82" s="30"/>
      <c r="AB82" s="23"/>
      <c r="AE82" s="23"/>
      <c r="AH82" s="23"/>
      <c r="AK82" s="23"/>
      <c r="AL82" s="93" t="s">
        <v>112</v>
      </c>
      <c r="AM82" s="94"/>
      <c r="AN82" s="94"/>
      <c r="AO82" s="94"/>
      <c r="AP82" s="95"/>
      <c r="AQ82" s="30"/>
      <c r="AR82" s="30"/>
      <c r="AS82" s="23"/>
      <c r="AT82" s="24"/>
    </row>
    <row r="83" ht="14.25" customHeight="1">
      <c r="A83" s="22"/>
      <c r="D83" s="23"/>
      <c r="G83" s="23"/>
      <c r="J83" s="23"/>
      <c r="P83" s="23"/>
      <c r="S83" s="23"/>
      <c r="V83" s="23"/>
      <c r="Y83" t="s">
        <v>185</v>
      </c>
      <c r="AB83" s="23"/>
      <c r="AE83" s="23"/>
      <c r="AH83" s="23"/>
      <c r="AK83" s="23"/>
      <c r="AN83" s="23"/>
      <c r="AS83" s="23"/>
      <c r="AT83" s="24"/>
    </row>
    <row r="84" ht="14.25" customHeight="1">
      <c r="A84" s="22"/>
      <c r="B84" s="30"/>
      <c r="D84" s="23"/>
      <c r="E84" s="27"/>
      <c r="F84" s="28"/>
      <c r="G84" s="23"/>
      <c r="H84" s="27"/>
      <c r="I84" s="28"/>
      <c r="J84" s="23"/>
      <c r="K84" s="27"/>
      <c r="L84" s="28"/>
      <c r="M84" s="23"/>
      <c r="N84" s="27"/>
      <c r="O84" s="28"/>
      <c r="P84" s="23"/>
      <c r="Q84" s="108"/>
      <c r="R84" s="28"/>
      <c r="S84" s="23"/>
      <c r="T84" s="27"/>
      <c r="U84" s="28"/>
      <c r="V84" s="23"/>
      <c r="W84" s="27"/>
      <c r="X84" s="28"/>
      <c r="Y84" s="23"/>
      <c r="Z84" s="27"/>
      <c r="AA84" s="28"/>
      <c r="AB84" s="23"/>
      <c r="AC84" s="27"/>
      <c r="AD84" s="28"/>
      <c r="AE84" s="23"/>
      <c r="AF84" s="27"/>
      <c r="AG84" s="28"/>
      <c r="AH84" s="23"/>
      <c r="AI84" s="27"/>
      <c r="AJ84" s="28"/>
      <c r="AK84" s="23"/>
      <c r="AL84" s="27"/>
      <c r="AM84" s="28"/>
      <c r="AN84" s="23"/>
      <c r="AO84" s="27"/>
      <c r="AP84" s="28"/>
      <c r="AQ84" s="30"/>
      <c r="AR84" s="30"/>
      <c r="AS84" s="23"/>
      <c r="AT84" s="24"/>
    </row>
    <row r="85" ht="14.25" customHeight="1">
      <c r="A85" s="22"/>
      <c r="B85" s="42"/>
      <c r="C85" s="42"/>
      <c r="D85" s="38"/>
      <c r="E85" s="42"/>
      <c r="F85" s="42"/>
      <c r="G85" s="38"/>
      <c r="H85" s="42"/>
      <c r="I85" s="42"/>
      <c r="J85" s="38"/>
      <c r="K85" s="35"/>
      <c r="L85" s="42"/>
      <c r="M85" s="38"/>
      <c r="N85" s="35"/>
      <c r="O85" s="42"/>
      <c r="P85" s="38"/>
      <c r="Q85" s="35"/>
      <c r="R85" s="42"/>
      <c r="S85" s="38"/>
      <c r="T85" s="35"/>
      <c r="U85" s="42"/>
      <c r="V85" s="70"/>
      <c r="W85" s="35"/>
      <c r="X85" s="42"/>
      <c r="Y85" s="38"/>
      <c r="Z85" s="35"/>
      <c r="AA85" s="42"/>
      <c r="AB85" s="38"/>
      <c r="AC85" s="35"/>
      <c r="AD85" s="36"/>
      <c r="AE85" s="38"/>
      <c r="AF85" s="35"/>
      <c r="AG85" s="36"/>
      <c r="AH85" s="38"/>
      <c r="AI85" s="35"/>
      <c r="AJ85" s="36"/>
      <c r="AK85" s="38"/>
      <c r="AL85" s="41"/>
      <c r="AM85" s="41"/>
      <c r="AN85" s="38"/>
      <c r="AO85" s="35"/>
      <c r="AP85" s="36"/>
      <c r="AQ85" s="43"/>
      <c r="AR85" s="43"/>
      <c r="AS85" s="38"/>
      <c r="AT85" s="71"/>
    </row>
    <row r="86" ht="14.25" customHeight="1">
      <c r="A86" s="22"/>
      <c r="B86" s="35"/>
      <c r="C86" s="42"/>
      <c r="D86" s="47"/>
      <c r="E86" s="35"/>
      <c r="F86" s="42"/>
      <c r="G86" s="47"/>
      <c r="H86" s="35"/>
      <c r="I86" s="42"/>
      <c r="J86" s="47"/>
      <c r="K86" s="35"/>
      <c r="L86" s="35"/>
      <c r="M86" s="47"/>
      <c r="N86" s="35"/>
      <c r="O86" s="35"/>
      <c r="P86" s="47"/>
      <c r="Q86" s="35"/>
      <c r="R86" s="35"/>
      <c r="S86" s="47"/>
      <c r="T86" s="35"/>
      <c r="U86" s="35"/>
      <c r="V86" s="47"/>
      <c r="W86" s="35"/>
      <c r="X86" s="35"/>
      <c r="Y86" s="47"/>
      <c r="Z86" s="35"/>
      <c r="AA86" s="35"/>
      <c r="AB86" s="47"/>
      <c r="AC86" s="35"/>
      <c r="AD86" s="36"/>
      <c r="AE86" s="47"/>
      <c r="AF86" s="35"/>
      <c r="AG86" s="35"/>
      <c r="AH86" s="47"/>
      <c r="AI86" s="35"/>
      <c r="AJ86" s="35"/>
      <c r="AK86" s="47"/>
      <c r="AL86" s="41"/>
      <c r="AM86" s="41"/>
      <c r="AN86" s="47"/>
      <c r="AO86" s="35"/>
      <c r="AP86" s="35"/>
      <c r="AQ86" s="44"/>
      <c r="AR86" s="44"/>
      <c r="AS86" s="47"/>
      <c r="AT86" s="87"/>
      <c r="AV86" s="52">
        <v>14.0</v>
      </c>
      <c r="AW86" s="52">
        <v>13.0</v>
      </c>
      <c r="AX86" s="52">
        <v>13.0</v>
      </c>
      <c r="AY86" s="52">
        <v>0.0</v>
      </c>
      <c r="AZ86" s="52"/>
      <c r="BA86" s="53" t="str">
        <f>+A87+D87+G87+J87+M87+P87+S87+V87+Y87+AB87+AE87+AH87+AK87+AN87+AQ87</f>
        <v>5119.000</v>
      </c>
    </row>
    <row r="87" ht="14.25" customHeight="1">
      <c r="A87" s="22"/>
      <c r="B87" s="60" t="s">
        <v>167</v>
      </c>
      <c r="D87" s="47">
        <v>446.0</v>
      </c>
      <c r="E87" s="79" t="s">
        <v>35</v>
      </c>
      <c r="F87" s="76"/>
      <c r="G87" s="47">
        <v>394.0</v>
      </c>
      <c r="H87" s="79" t="s">
        <v>35</v>
      </c>
      <c r="I87" s="76"/>
      <c r="J87" s="47">
        <v>391.0</v>
      </c>
      <c r="K87" s="79" t="s">
        <v>33</v>
      </c>
      <c r="L87" s="76"/>
      <c r="M87" s="47">
        <v>409.0</v>
      </c>
      <c r="N87" s="79" t="s">
        <v>35</v>
      </c>
      <c r="O87" s="76"/>
      <c r="P87" s="47">
        <v>379.0</v>
      </c>
      <c r="Q87" s="79" t="s">
        <v>33</v>
      </c>
      <c r="R87" s="76"/>
      <c r="S87" s="47">
        <v>364.0</v>
      </c>
      <c r="T87" s="79" t="s">
        <v>11</v>
      </c>
      <c r="U87" s="76"/>
      <c r="V87" s="47">
        <v>447.0</v>
      </c>
      <c r="W87" s="79" t="s">
        <v>115</v>
      </c>
      <c r="X87" s="76"/>
      <c r="Y87" s="47">
        <v>257.0</v>
      </c>
      <c r="Z87" s="75" t="s">
        <v>186</v>
      </c>
      <c r="AA87" s="76"/>
      <c r="AB87" s="47">
        <v>232.0</v>
      </c>
      <c r="AC87" s="79" t="s">
        <v>34</v>
      </c>
      <c r="AD87" s="76"/>
      <c r="AE87" s="47">
        <v>365.0</v>
      </c>
      <c r="AF87" s="79" t="s">
        <v>15</v>
      </c>
      <c r="AG87" s="76"/>
      <c r="AH87" s="47">
        <v>379.0</v>
      </c>
      <c r="AI87" s="79" t="s">
        <v>12</v>
      </c>
      <c r="AJ87" s="76"/>
      <c r="AK87" s="47">
        <v>440.0</v>
      </c>
      <c r="AL87" s="79" t="s">
        <v>113</v>
      </c>
      <c r="AM87" s="76"/>
      <c r="AN87" s="47">
        <v>221.0</v>
      </c>
      <c r="AO87" s="79" t="s">
        <v>36</v>
      </c>
      <c r="AP87" s="76"/>
      <c r="AQ87" s="55">
        <v>395.0</v>
      </c>
      <c r="AR87" s="55"/>
      <c r="AS87" s="47"/>
      <c r="AT87" s="87"/>
    </row>
    <row r="88" ht="14.25" customHeight="1">
      <c r="A88" s="22"/>
      <c r="B88" s="60" t="s">
        <v>187</v>
      </c>
      <c r="D88" s="62"/>
      <c r="E88" s="60" t="s">
        <v>188</v>
      </c>
      <c r="G88" s="62"/>
      <c r="H88" s="60" t="s">
        <v>189</v>
      </c>
      <c r="J88" s="62"/>
      <c r="K88" s="60" t="s">
        <v>190</v>
      </c>
      <c r="M88" s="47"/>
      <c r="N88" s="60" t="s">
        <v>191</v>
      </c>
      <c r="P88" s="62"/>
      <c r="Q88" s="60" t="s">
        <v>192</v>
      </c>
      <c r="S88" s="62"/>
      <c r="T88" s="60" t="s">
        <v>193</v>
      </c>
      <c r="V88" s="62"/>
      <c r="W88" s="60" t="s">
        <v>194</v>
      </c>
      <c r="Y88" s="62"/>
      <c r="Z88" s="60" t="s">
        <v>195</v>
      </c>
      <c r="AB88" s="62"/>
      <c r="AC88" s="60" t="s">
        <v>196</v>
      </c>
      <c r="AE88" s="62"/>
      <c r="AF88" s="60" t="s">
        <v>197</v>
      </c>
      <c r="AH88" s="62"/>
      <c r="AI88" s="60" t="s">
        <v>198</v>
      </c>
      <c r="AK88" s="62"/>
      <c r="AL88" s="60" t="s">
        <v>199</v>
      </c>
      <c r="AN88" s="62"/>
      <c r="AO88" s="60" t="s">
        <v>200</v>
      </c>
      <c r="AQ88" s="55"/>
      <c r="AR88" s="55"/>
      <c r="AS88" s="23"/>
      <c r="AT88" s="24"/>
    </row>
    <row r="89" ht="14.25" customHeight="1">
      <c r="A89" s="22"/>
      <c r="B89" s="64" t="s">
        <v>31</v>
      </c>
      <c r="C89" s="63"/>
      <c r="D89" s="64"/>
      <c r="E89" s="64" t="s">
        <v>31</v>
      </c>
      <c r="F89" s="65"/>
      <c r="G89" s="64"/>
      <c r="H89" s="63"/>
      <c r="I89" s="64" t="s">
        <v>31</v>
      </c>
      <c r="J89" s="64"/>
      <c r="K89" s="63"/>
      <c r="L89" s="64" t="s">
        <v>31</v>
      </c>
      <c r="M89" s="64"/>
      <c r="N89" s="63"/>
      <c r="O89" s="64" t="s">
        <v>31</v>
      </c>
      <c r="P89" s="64"/>
      <c r="Q89" s="63"/>
      <c r="R89" s="64" t="s">
        <v>31</v>
      </c>
      <c r="S89" s="64"/>
      <c r="T89" s="63"/>
      <c r="U89" s="64" t="s">
        <v>31</v>
      </c>
      <c r="V89" s="64"/>
      <c r="W89" s="63"/>
      <c r="X89" s="64" t="s">
        <v>31</v>
      </c>
      <c r="Y89" s="64"/>
      <c r="Z89" s="63"/>
      <c r="AA89" s="64" t="s">
        <v>31</v>
      </c>
      <c r="AB89" s="64"/>
      <c r="AC89" s="63"/>
      <c r="AD89" s="64" t="s">
        <v>31</v>
      </c>
      <c r="AE89" s="64"/>
      <c r="AF89" s="63"/>
      <c r="AG89" s="64" t="s">
        <v>31</v>
      </c>
      <c r="AH89" s="64"/>
      <c r="AI89" s="63"/>
      <c r="AJ89" s="64" t="s">
        <v>31</v>
      </c>
      <c r="AK89" s="64"/>
      <c r="AL89" s="63"/>
      <c r="AM89" s="64" t="s">
        <v>31</v>
      </c>
      <c r="AN89" s="64"/>
      <c r="AO89" s="63"/>
      <c r="AP89" s="64" t="s">
        <v>31</v>
      </c>
      <c r="AQ89" s="64"/>
      <c r="AR89" s="64"/>
      <c r="AS89" s="23"/>
      <c r="AT89" s="24"/>
    </row>
    <row r="90" ht="14.25" customHeight="1">
      <c r="A90" s="22"/>
      <c r="D90" s="23"/>
      <c r="G90" s="23"/>
      <c r="J90" s="23"/>
      <c r="M90" s="23"/>
      <c r="P90" s="23"/>
      <c r="S90" s="23"/>
      <c r="V90" s="23"/>
      <c r="Y90" s="23"/>
      <c r="Z90" s="93"/>
      <c r="AA90" s="94"/>
      <c r="AB90" s="94"/>
      <c r="AC90" s="94"/>
      <c r="AD90" s="95"/>
      <c r="AE90" s="23"/>
      <c r="AH90" s="23"/>
      <c r="AK90" s="23"/>
      <c r="AN90" s="23"/>
      <c r="AS90" s="23"/>
      <c r="AT90" s="24"/>
    </row>
    <row r="91" ht="14.25" customHeight="1">
      <c r="A91" s="22"/>
      <c r="D91" s="23"/>
      <c r="G91" s="23"/>
      <c r="J91" s="23"/>
      <c r="M91" s="23"/>
      <c r="P91" s="23"/>
      <c r="S91" s="23"/>
      <c r="V91" s="23"/>
      <c r="Y91" s="23"/>
      <c r="AB91" s="23" t="s">
        <v>201</v>
      </c>
      <c r="AE91" s="23"/>
      <c r="AH91" s="23"/>
      <c r="AK91" s="23"/>
      <c r="AN91" s="23"/>
      <c r="AS91" s="23"/>
      <c r="AT91" s="24"/>
    </row>
    <row r="92" ht="14.25" customHeight="1">
      <c r="A92" s="22"/>
      <c r="B92" s="27"/>
      <c r="C92" s="28"/>
      <c r="D92" s="23"/>
      <c r="E92" s="27"/>
      <c r="F92" s="28"/>
      <c r="G92" s="23"/>
      <c r="H92" s="27"/>
      <c r="I92" s="28"/>
      <c r="J92" s="23"/>
      <c r="K92" s="27"/>
      <c r="L92" s="28"/>
      <c r="M92" s="23"/>
      <c r="N92" s="27"/>
      <c r="O92" s="28"/>
      <c r="P92" s="23"/>
      <c r="Q92" s="27"/>
      <c r="R92" s="28"/>
      <c r="S92" s="23"/>
      <c r="T92" s="27"/>
      <c r="U92" s="28"/>
      <c r="V92" s="23"/>
      <c r="W92" s="27"/>
      <c r="X92" s="28"/>
      <c r="Y92" s="23"/>
      <c r="Z92" s="27"/>
      <c r="AA92" s="28"/>
      <c r="AB92" s="23"/>
      <c r="AC92" s="27"/>
      <c r="AD92" s="28"/>
      <c r="AE92" s="23"/>
      <c r="AF92" s="27"/>
      <c r="AG92" s="28"/>
      <c r="AH92" s="23"/>
      <c r="AI92" s="27"/>
      <c r="AJ92" s="28"/>
      <c r="AK92" s="23"/>
      <c r="AL92" s="27"/>
      <c r="AM92" s="28"/>
      <c r="AN92" s="38"/>
      <c r="AO92" s="27"/>
      <c r="AP92" s="28"/>
      <c r="AQ92" s="30"/>
      <c r="AR92" s="30"/>
      <c r="AS92" s="23"/>
      <c r="AT92" s="24"/>
    </row>
    <row r="93" ht="14.25" customHeight="1">
      <c r="A93" s="22"/>
      <c r="B93" s="36"/>
      <c r="C93" s="36"/>
      <c r="D93" s="38"/>
      <c r="E93" s="35"/>
      <c r="F93" s="36"/>
      <c r="G93" s="38"/>
      <c r="H93" s="35"/>
      <c r="I93" s="36"/>
      <c r="J93" s="38"/>
      <c r="K93" s="35"/>
      <c r="L93" s="36"/>
      <c r="M93" s="38"/>
      <c r="N93" s="35"/>
      <c r="O93" s="36"/>
      <c r="P93" s="38"/>
      <c r="Q93" s="35"/>
      <c r="R93" s="36"/>
      <c r="S93" s="38"/>
      <c r="T93" s="35"/>
      <c r="U93" s="36"/>
      <c r="V93" s="38"/>
      <c r="W93" s="35"/>
      <c r="X93" s="36"/>
      <c r="Y93" s="38"/>
      <c r="Z93" s="35"/>
      <c r="AA93" s="36"/>
      <c r="AB93" s="38"/>
      <c r="AC93" s="35"/>
      <c r="AD93" s="36"/>
      <c r="AE93" s="38"/>
      <c r="AF93" s="35"/>
      <c r="AG93" s="36"/>
      <c r="AH93" s="38"/>
      <c r="AI93" s="35"/>
      <c r="AJ93" s="36"/>
      <c r="AK93" s="38"/>
      <c r="AL93" s="35"/>
      <c r="AM93" s="36"/>
      <c r="AN93" s="23"/>
      <c r="AO93" s="35"/>
      <c r="AP93" s="36"/>
      <c r="AQ93" s="43"/>
      <c r="AR93" s="43"/>
      <c r="AS93" s="38"/>
      <c r="AT93" s="71"/>
    </row>
    <row r="94" ht="14.25" customHeight="1">
      <c r="A94" s="22"/>
      <c r="B94" s="109"/>
      <c r="C94" s="109"/>
      <c r="D94" s="47"/>
      <c r="E94" s="109"/>
      <c r="F94" s="109"/>
      <c r="G94" s="62"/>
      <c r="H94" s="109"/>
      <c r="I94" s="109"/>
      <c r="J94" s="47"/>
      <c r="K94" s="109"/>
      <c r="L94" s="109"/>
      <c r="M94" s="47"/>
      <c r="N94" s="109"/>
      <c r="O94" s="109"/>
      <c r="P94" s="47"/>
      <c r="Q94" s="109"/>
      <c r="R94" s="109"/>
      <c r="S94" s="62"/>
      <c r="T94" s="109"/>
      <c r="U94" s="109"/>
      <c r="V94" s="47"/>
      <c r="W94" s="109"/>
      <c r="X94" s="109"/>
      <c r="Y94" s="47"/>
      <c r="Z94" s="109"/>
      <c r="AA94" s="109"/>
      <c r="AB94" s="47"/>
      <c r="AC94" s="109"/>
      <c r="AD94" s="109"/>
      <c r="AE94" s="47"/>
      <c r="AF94" s="109"/>
      <c r="AG94" s="36"/>
      <c r="AH94" s="47"/>
      <c r="AI94" s="109"/>
      <c r="AJ94" s="36"/>
      <c r="AK94" s="47"/>
      <c r="AL94" s="109"/>
      <c r="AM94" s="36"/>
      <c r="AN94" s="47"/>
      <c r="AO94" s="109"/>
      <c r="AP94" s="36"/>
      <c r="AQ94" s="43"/>
      <c r="AR94" s="43"/>
      <c r="AS94" s="47"/>
      <c r="AT94" s="87"/>
      <c r="AV94" s="52">
        <v>14.0</v>
      </c>
      <c r="AW94" s="52">
        <v>12.0</v>
      </c>
      <c r="AX94" s="52">
        <v>14.0</v>
      </c>
      <c r="AY94" s="52">
        <v>0.0</v>
      </c>
      <c r="AZ94" s="52"/>
      <c r="BA94" s="53" t="str">
        <f>+A95+D95+G95+J95+M95+P95+S95+V95+Y95+AB95+AE95+AH95+AK95+AN95+AQ95</f>
        <v>5433.000</v>
      </c>
    </row>
    <row r="95" ht="14.25" customHeight="1">
      <c r="A95" s="22"/>
      <c r="B95" s="79" t="s">
        <v>33</v>
      </c>
      <c r="C95" s="76"/>
      <c r="D95" s="47">
        <v>356.0</v>
      </c>
      <c r="E95" s="79" t="s">
        <v>33</v>
      </c>
      <c r="F95" s="76"/>
      <c r="G95" s="62">
        <v>404.0</v>
      </c>
      <c r="H95" s="79" t="s">
        <v>33</v>
      </c>
      <c r="I95" s="76"/>
      <c r="J95" s="47">
        <v>380.0</v>
      </c>
      <c r="K95" s="79" t="s">
        <v>34</v>
      </c>
      <c r="L95" s="76"/>
      <c r="M95" s="47">
        <v>460.0</v>
      </c>
      <c r="N95" s="79" t="s">
        <v>12</v>
      </c>
      <c r="O95" s="76"/>
      <c r="P95" s="47">
        <v>380.0</v>
      </c>
      <c r="Q95" s="79" t="s">
        <v>11</v>
      </c>
      <c r="R95" s="76"/>
      <c r="S95" s="62">
        <v>413.0</v>
      </c>
      <c r="T95" s="79" t="s">
        <v>34</v>
      </c>
      <c r="U95" s="76"/>
      <c r="V95" s="47">
        <v>413.0</v>
      </c>
      <c r="W95" s="79" t="s">
        <v>33</v>
      </c>
      <c r="X95" s="76"/>
      <c r="Y95" s="47">
        <v>427.0</v>
      </c>
      <c r="Z95" s="75" t="s">
        <v>202</v>
      </c>
      <c r="AA95" s="76"/>
      <c r="AB95" s="47">
        <v>220.0</v>
      </c>
      <c r="AC95" s="79" t="s">
        <v>115</v>
      </c>
      <c r="AD95" s="76"/>
      <c r="AE95" s="47">
        <v>430.0</v>
      </c>
      <c r="AF95" s="79" t="s">
        <v>15</v>
      </c>
      <c r="AG95" s="76"/>
      <c r="AH95" s="47">
        <v>344.0</v>
      </c>
      <c r="AI95" s="79" t="s">
        <v>33</v>
      </c>
      <c r="AJ95" s="76"/>
      <c r="AK95" s="47">
        <v>373.0</v>
      </c>
      <c r="AL95" s="79" t="s">
        <v>15</v>
      </c>
      <c r="AM95" s="76"/>
      <c r="AN95" s="47">
        <v>389.0</v>
      </c>
      <c r="AO95" s="79" t="s">
        <v>34</v>
      </c>
      <c r="AP95" s="76"/>
      <c r="AQ95" s="55">
        <v>444.0</v>
      </c>
      <c r="AR95" s="55"/>
      <c r="AS95" s="47"/>
      <c r="AT95" s="87"/>
    </row>
    <row r="96" ht="14.25" customHeight="1">
      <c r="A96" s="22"/>
      <c r="B96" s="60" t="s">
        <v>203</v>
      </c>
      <c r="D96" s="62"/>
      <c r="E96" s="60" t="s">
        <v>204</v>
      </c>
      <c r="G96" s="62"/>
      <c r="H96" s="60" t="s">
        <v>205</v>
      </c>
      <c r="J96" s="62"/>
      <c r="K96" s="60" t="s">
        <v>206</v>
      </c>
      <c r="M96" s="62"/>
      <c r="N96" s="60" t="s">
        <v>207</v>
      </c>
      <c r="P96" s="62"/>
      <c r="Q96" s="60" t="s">
        <v>208</v>
      </c>
      <c r="S96" s="62"/>
      <c r="T96" s="60" t="s">
        <v>209</v>
      </c>
      <c r="V96" s="62"/>
      <c r="W96" s="60" t="s">
        <v>210</v>
      </c>
      <c r="Y96" s="62"/>
      <c r="Z96" s="60" t="s">
        <v>211</v>
      </c>
      <c r="AB96" s="62"/>
      <c r="AC96" s="60" t="s">
        <v>212</v>
      </c>
      <c r="AE96" s="62"/>
      <c r="AF96" s="60" t="s">
        <v>213</v>
      </c>
      <c r="AH96" s="62"/>
      <c r="AI96" s="60" t="s">
        <v>214</v>
      </c>
      <c r="AK96" s="62"/>
      <c r="AL96" s="60" t="s">
        <v>215</v>
      </c>
      <c r="AN96" s="62"/>
      <c r="AO96" s="60" t="s">
        <v>216</v>
      </c>
      <c r="AQ96" s="55"/>
      <c r="AR96" s="55"/>
      <c r="AS96" s="62"/>
      <c r="AT96" s="74"/>
    </row>
    <row r="97" ht="14.25" customHeight="1">
      <c r="A97" s="22"/>
      <c r="B97" s="64" t="s">
        <v>31</v>
      </c>
      <c r="C97" s="63"/>
      <c r="D97" s="64"/>
      <c r="E97" s="63"/>
      <c r="F97" s="64" t="s">
        <v>31</v>
      </c>
      <c r="G97" s="64"/>
      <c r="H97" s="63"/>
      <c r="I97" s="64" t="s">
        <v>31</v>
      </c>
      <c r="J97" s="64"/>
      <c r="K97" s="63"/>
      <c r="L97" s="64" t="s">
        <v>31</v>
      </c>
      <c r="M97" s="64"/>
      <c r="N97" s="63"/>
      <c r="O97" s="64" t="s">
        <v>31</v>
      </c>
      <c r="P97" s="64"/>
      <c r="Q97" s="63"/>
      <c r="R97" s="64" t="s">
        <v>31</v>
      </c>
      <c r="S97" s="64"/>
      <c r="T97" s="63"/>
      <c r="U97" s="64" t="s">
        <v>31</v>
      </c>
      <c r="V97" s="64"/>
      <c r="W97" s="63"/>
      <c r="X97" s="64" t="s">
        <v>31</v>
      </c>
      <c r="Y97" s="64"/>
      <c r="Z97" s="63"/>
      <c r="AA97" s="64" t="s">
        <v>31</v>
      </c>
      <c r="AB97" s="64"/>
      <c r="AC97" s="63"/>
      <c r="AD97" s="64" t="s">
        <v>31</v>
      </c>
      <c r="AE97" s="64"/>
      <c r="AF97" s="63"/>
      <c r="AG97" s="64" t="s">
        <v>31</v>
      </c>
      <c r="AH97" s="64"/>
      <c r="AI97" s="63"/>
      <c r="AJ97" s="64" t="s">
        <v>31</v>
      </c>
      <c r="AK97" s="64"/>
      <c r="AL97" s="63"/>
      <c r="AM97" s="64" t="s">
        <v>31</v>
      </c>
      <c r="AN97" s="64"/>
      <c r="AO97" s="63"/>
      <c r="AP97" s="64" t="s">
        <v>31</v>
      </c>
      <c r="AQ97" s="64"/>
      <c r="AR97" s="64"/>
      <c r="AS97" s="62"/>
      <c r="AT97" s="74"/>
    </row>
    <row r="98" ht="14.25" customHeight="1">
      <c r="A98" s="22"/>
      <c r="B98" s="82"/>
      <c r="C98" s="82"/>
      <c r="D98" s="62"/>
      <c r="E98" s="82"/>
      <c r="F98" s="82"/>
      <c r="G98" s="62"/>
      <c r="H98" s="82"/>
      <c r="I98" s="82"/>
      <c r="J98" s="62"/>
      <c r="K98" s="82"/>
      <c r="L98" s="82"/>
      <c r="M98" s="62"/>
      <c r="N98" s="82"/>
      <c r="O98" s="82"/>
      <c r="P98" s="62"/>
      <c r="Q98" s="82"/>
      <c r="R98" s="82"/>
      <c r="S98" s="62"/>
      <c r="T98" s="82"/>
      <c r="U98" s="82"/>
      <c r="V98" s="62"/>
      <c r="W98" s="82"/>
      <c r="X98" s="82"/>
      <c r="Y98" s="62"/>
      <c r="Z98" s="82"/>
      <c r="AA98" s="82"/>
      <c r="AB98" s="62"/>
      <c r="AC98" s="82"/>
      <c r="AD98" s="82"/>
      <c r="AE98" s="62"/>
      <c r="AF98" s="55"/>
      <c r="AI98" s="82"/>
      <c r="AJ98" s="82"/>
      <c r="AK98" s="62"/>
      <c r="AL98" s="82"/>
      <c r="AM98" s="82"/>
      <c r="AN98" s="62"/>
      <c r="AO98" s="82"/>
      <c r="AP98" s="82"/>
      <c r="AQ98" s="82"/>
      <c r="AR98" s="82"/>
      <c r="AS98" s="62"/>
      <c r="AT98" s="74"/>
    </row>
    <row r="99" ht="14.25" customHeight="1">
      <c r="A99" s="22"/>
      <c r="B99" s="82"/>
      <c r="C99" s="82"/>
      <c r="D99" s="62"/>
      <c r="E99" s="82"/>
      <c r="F99" s="82"/>
      <c r="G99" s="62"/>
      <c r="H99" s="82"/>
      <c r="I99" s="82"/>
      <c r="J99" s="62"/>
      <c r="K99" s="82"/>
      <c r="L99" s="82"/>
      <c r="M99" s="62"/>
      <c r="N99" s="82"/>
      <c r="O99" s="82"/>
      <c r="P99" s="62"/>
      <c r="Q99" s="82"/>
      <c r="R99" s="82"/>
      <c r="S99" s="62"/>
      <c r="T99" s="82"/>
      <c r="U99" s="82"/>
      <c r="V99" s="62"/>
      <c r="W99" s="82"/>
      <c r="X99" s="82"/>
      <c r="Y99" s="62"/>
      <c r="Z99" s="82"/>
      <c r="AA99" s="82"/>
      <c r="AB99" s="62"/>
      <c r="AC99" s="82"/>
      <c r="AD99" s="82"/>
      <c r="AE99" s="62"/>
      <c r="AF99" s="82"/>
      <c r="AG99" s="82"/>
      <c r="AH99" s="62"/>
      <c r="AI99" s="82"/>
      <c r="AJ99" s="82"/>
      <c r="AK99" s="62"/>
      <c r="AL99" s="82"/>
      <c r="AM99" s="82"/>
      <c r="AN99" s="62"/>
      <c r="AO99" s="82"/>
      <c r="AP99" s="82"/>
      <c r="AQ99" s="82"/>
      <c r="AR99" s="82"/>
      <c r="AS99" s="62"/>
      <c r="AT99" s="74"/>
    </row>
    <row r="100" ht="14.25" customHeight="1">
      <c r="A100" s="22"/>
      <c r="B100" s="110"/>
      <c r="C100" s="28"/>
      <c r="D100" s="62"/>
      <c r="E100" s="110"/>
      <c r="F100" s="28"/>
      <c r="G100" s="62"/>
      <c r="H100" s="110"/>
      <c r="I100" s="28"/>
      <c r="J100" s="62"/>
      <c r="K100" s="110"/>
      <c r="L100" s="28"/>
      <c r="M100" s="62"/>
      <c r="N100" s="110"/>
      <c r="O100" s="28"/>
      <c r="P100" s="62"/>
      <c r="Q100" s="110"/>
      <c r="R100" s="28"/>
      <c r="S100" s="62"/>
      <c r="T100" s="110"/>
      <c r="U100" s="28"/>
      <c r="V100" s="62"/>
      <c r="W100" s="110"/>
      <c r="X100" s="28"/>
      <c r="Y100" s="62"/>
      <c r="Z100" s="110"/>
      <c r="AA100" s="28"/>
      <c r="AB100" s="62"/>
      <c r="AC100" s="110"/>
      <c r="AD100" s="28"/>
      <c r="AE100" s="62"/>
      <c r="AF100" s="110"/>
      <c r="AG100" s="28"/>
      <c r="AH100" s="62"/>
      <c r="AI100" s="110"/>
      <c r="AJ100" s="28"/>
      <c r="AK100" s="62"/>
      <c r="AL100" s="110"/>
      <c r="AM100" s="28"/>
      <c r="AN100" s="62"/>
      <c r="AO100" s="110"/>
      <c r="AP100" s="28"/>
      <c r="AQ100" s="55"/>
      <c r="AR100" s="55"/>
      <c r="AS100" s="62"/>
      <c r="AT100" s="74"/>
    </row>
    <row r="101" ht="14.25" customHeight="1">
      <c r="A101" s="22"/>
      <c r="B101" s="111" t="s">
        <v>8</v>
      </c>
      <c r="C101" s="40"/>
      <c r="D101" s="47"/>
      <c r="E101" s="35"/>
      <c r="F101" s="36"/>
      <c r="G101" s="47"/>
      <c r="H101" s="35"/>
      <c r="I101" s="36"/>
      <c r="J101" s="47"/>
      <c r="K101" s="35"/>
      <c r="L101" s="36"/>
      <c r="M101" s="47"/>
      <c r="N101" s="35"/>
      <c r="O101" s="36"/>
      <c r="P101" s="47"/>
      <c r="Q101" s="35"/>
      <c r="R101" s="36"/>
      <c r="S101" s="47"/>
      <c r="T101" s="109"/>
      <c r="U101" s="112"/>
      <c r="V101" s="47"/>
      <c r="W101" s="109"/>
      <c r="X101" s="112"/>
      <c r="Y101" s="47"/>
      <c r="Z101" s="109"/>
      <c r="AA101" s="112"/>
      <c r="AB101" s="47"/>
      <c r="AC101" s="109"/>
      <c r="AD101" s="112"/>
      <c r="AE101" s="47"/>
      <c r="AF101" s="113" t="s">
        <v>217</v>
      </c>
      <c r="AG101" s="40"/>
      <c r="AH101" s="47"/>
      <c r="AI101" s="109"/>
      <c r="AJ101" s="114"/>
      <c r="AK101" s="47"/>
      <c r="AL101" s="35"/>
      <c r="AM101" s="36"/>
      <c r="AN101" s="47"/>
      <c r="AO101" s="41"/>
      <c r="AP101" s="41"/>
      <c r="AQ101" s="105"/>
      <c r="AR101" s="105"/>
      <c r="AS101" s="47"/>
      <c r="AT101" s="87"/>
    </row>
    <row r="102" ht="14.25" customHeight="1">
      <c r="A102" s="22"/>
      <c r="B102" s="49"/>
      <c r="C102" s="50"/>
      <c r="D102" s="47"/>
      <c r="E102" s="109"/>
      <c r="F102" s="109"/>
      <c r="G102" s="47"/>
      <c r="H102" s="109"/>
      <c r="I102" s="109"/>
      <c r="J102" s="47"/>
      <c r="K102" s="109"/>
      <c r="L102" s="109"/>
      <c r="M102" s="62"/>
      <c r="N102" s="109"/>
      <c r="O102" s="109"/>
      <c r="P102" s="62"/>
      <c r="Q102" s="109"/>
      <c r="R102" s="109"/>
      <c r="S102" s="62"/>
      <c r="T102" s="109"/>
      <c r="U102" s="109"/>
      <c r="V102" s="62"/>
      <c r="W102" s="109"/>
      <c r="X102" s="109"/>
      <c r="Y102" s="62"/>
      <c r="Z102" s="109"/>
      <c r="AA102" s="109"/>
      <c r="AB102" s="47"/>
      <c r="AC102" s="109"/>
      <c r="AD102" s="109"/>
      <c r="AE102" s="62"/>
      <c r="AF102" s="49"/>
      <c r="AG102" s="50"/>
      <c r="AH102" s="47"/>
      <c r="AI102" s="109"/>
      <c r="AJ102" s="109"/>
      <c r="AK102" s="47"/>
      <c r="AL102" s="109"/>
      <c r="AM102" s="109"/>
      <c r="AN102" s="47"/>
      <c r="AO102" s="35"/>
      <c r="AP102" s="35"/>
      <c r="AQ102" s="105"/>
      <c r="AR102" s="105"/>
      <c r="AS102" s="47"/>
      <c r="AT102" s="87"/>
      <c r="AV102" s="52">
        <v>13.0</v>
      </c>
      <c r="AW102" s="52">
        <v>13.0</v>
      </c>
      <c r="AX102" s="52">
        <v>9.0</v>
      </c>
      <c r="AY102" s="52">
        <v>0.0</v>
      </c>
      <c r="AZ102" s="52"/>
      <c r="BA102" s="53" t="str">
        <f>+A103+D103+G103+J103+M103+P103+S103+V103+Y103+AB103+AE103+AH103+AK103+AN103+AQ103</f>
        <v>5408.000</v>
      </c>
    </row>
    <row r="103" ht="14.25" customHeight="1">
      <c r="A103" s="22"/>
      <c r="B103" s="79" t="s">
        <v>12</v>
      </c>
      <c r="C103" s="76"/>
      <c r="D103" s="47">
        <v>308.0</v>
      </c>
      <c r="E103" s="79" t="s">
        <v>15</v>
      </c>
      <c r="F103" s="76"/>
      <c r="G103" s="47">
        <v>345.0</v>
      </c>
      <c r="H103" s="79" t="s">
        <v>33</v>
      </c>
      <c r="I103" s="76"/>
      <c r="J103" s="47">
        <v>425.0</v>
      </c>
      <c r="K103" s="79" t="s">
        <v>12</v>
      </c>
      <c r="L103" s="76"/>
      <c r="M103" s="47">
        <v>412.0</v>
      </c>
      <c r="N103" s="115" t="s">
        <v>13</v>
      </c>
      <c r="O103" s="76"/>
      <c r="P103" s="47">
        <v>399.0</v>
      </c>
      <c r="Q103" s="79" t="s">
        <v>34</v>
      </c>
      <c r="R103" s="76"/>
      <c r="S103" s="47">
        <v>420.0</v>
      </c>
      <c r="T103" s="79" t="s">
        <v>33</v>
      </c>
      <c r="U103" s="76"/>
      <c r="V103" s="47">
        <v>367.0</v>
      </c>
      <c r="W103" s="79" t="s">
        <v>33</v>
      </c>
      <c r="X103" s="76"/>
      <c r="Y103" s="62">
        <v>354.0</v>
      </c>
      <c r="Z103" s="79" t="s">
        <v>33</v>
      </c>
      <c r="AA103" s="76"/>
      <c r="AB103" s="62">
        <v>399.0</v>
      </c>
      <c r="AC103" s="79" t="s">
        <v>33</v>
      </c>
      <c r="AD103" s="76"/>
      <c r="AE103" s="47">
        <v>375.0</v>
      </c>
      <c r="AF103" s="79" t="s">
        <v>36</v>
      </c>
      <c r="AG103" s="76"/>
      <c r="AH103" s="62">
        <v>380.0</v>
      </c>
      <c r="AI103" s="79" t="s">
        <v>33</v>
      </c>
      <c r="AJ103" s="76"/>
      <c r="AK103" s="62">
        <v>405.0</v>
      </c>
      <c r="AL103" s="79" t="s">
        <v>34</v>
      </c>
      <c r="AM103" s="76"/>
      <c r="AN103" s="62">
        <v>420.0</v>
      </c>
      <c r="AO103" s="79" t="s">
        <v>34</v>
      </c>
      <c r="AP103" s="76"/>
      <c r="AQ103" s="55">
        <v>399.0</v>
      </c>
      <c r="AR103" s="55"/>
      <c r="AS103" s="62"/>
      <c r="AT103" s="74"/>
    </row>
    <row r="104" ht="14.25" customHeight="1">
      <c r="A104" s="22"/>
      <c r="B104" s="60" t="s">
        <v>218</v>
      </c>
      <c r="D104" s="62"/>
      <c r="E104" s="60" t="s">
        <v>219</v>
      </c>
      <c r="G104" s="62"/>
      <c r="H104" s="60" t="s">
        <v>220</v>
      </c>
      <c r="J104" s="62"/>
      <c r="K104" s="60" t="s">
        <v>221</v>
      </c>
      <c r="M104" s="62"/>
      <c r="N104" s="59" t="s">
        <v>222</v>
      </c>
      <c r="P104" s="62"/>
      <c r="Q104" s="59" t="s">
        <v>223</v>
      </c>
      <c r="S104" s="62"/>
      <c r="T104" s="59" t="s">
        <v>224</v>
      </c>
      <c r="V104" s="62"/>
      <c r="W104" s="59" t="s">
        <v>225</v>
      </c>
      <c r="Y104" s="62"/>
      <c r="Z104" s="59" t="s">
        <v>226</v>
      </c>
      <c r="AB104" s="62"/>
      <c r="AC104" s="59" t="s">
        <v>227</v>
      </c>
      <c r="AE104" s="62"/>
      <c r="AF104" s="59" t="s">
        <v>228</v>
      </c>
      <c r="AH104" s="62"/>
      <c r="AI104" s="59" t="s">
        <v>229</v>
      </c>
      <c r="AK104" s="62"/>
      <c r="AL104" s="59" t="s">
        <v>230</v>
      </c>
      <c r="AN104" s="62"/>
      <c r="AO104" s="59" t="s">
        <v>231</v>
      </c>
      <c r="AQ104" s="83"/>
      <c r="AR104" s="83"/>
      <c r="AS104" s="62"/>
      <c r="AT104" s="74"/>
    </row>
    <row r="105" ht="14.25" customHeight="1">
      <c r="A105" s="22"/>
      <c r="B105" s="64" t="s">
        <v>31</v>
      </c>
      <c r="C105" s="63"/>
      <c r="D105" s="64"/>
      <c r="E105" s="64" t="s">
        <v>31</v>
      </c>
      <c r="F105" s="96"/>
      <c r="G105" s="97"/>
      <c r="H105" s="64" t="s">
        <v>31</v>
      </c>
      <c r="I105" s="96"/>
      <c r="J105" s="97"/>
      <c r="K105" s="64" t="s">
        <v>31</v>
      </c>
      <c r="L105" s="116"/>
      <c r="M105" s="97"/>
      <c r="N105" s="64" t="s">
        <v>31</v>
      </c>
      <c r="O105" s="116"/>
      <c r="P105" s="117"/>
      <c r="Q105" s="118"/>
      <c r="R105" s="118" t="s">
        <v>232</v>
      </c>
      <c r="S105" s="117"/>
      <c r="T105" s="118"/>
      <c r="U105" s="118" t="s">
        <v>232</v>
      </c>
      <c r="V105" s="117"/>
      <c r="W105" s="118"/>
      <c r="X105" s="118" t="s">
        <v>232</v>
      </c>
      <c r="Y105" s="117"/>
      <c r="Z105" s="118"/>
      <c r="AA105" s="118" t="s">
        <v>232</v>
      </c>
      <c r="AB105" s="117"/>
      <c r="AC105" s="118"/>
      <c r="AD105" s="118" t="s">
        <v>232</v>
      </c>
      <c r="AE105" s="117"/>
      <c r="AF105" s="118"/>
      <c r="AG105" s="118" t="s">
        <v>232</v>
      </c>
      <c r="AH105" s="117"/>
      <c r="AI105" s="118"/>
      <c r="AJ105" s="118" t="s">
        <v>232</v>
      </c>
      <c r="AK105" s="117"/>
      <c r="AL105" s="118"/>
      <c r="AM105" s="118" t="s">
        <v>232</v>
      </c>
      <c r="AN105" s="117"/>
      <c r="AO105" s="118"/>
      <c r="AP105" s="118" t="s">
        <v>232</v>
      </c>
      <c r="AQ105" s="118"/>
      <c r="AR105" s="118"/>
      <c r="AS105" s="62"/>
      <c r="AT105" s="74"/>
    </row>
    <row r="106" ht="14.25" customHeight="1">
      <c r="A106" s="22"/>
      <c r="B106" s="82"/>
      <c r="C106" s="82"/>
      <c r="D106" s="62"/>
      <c r="E106" s="82"/>
      <c r="F106" s="82"/>
      <c r="G106" s="62"/>
      <c r="H106" s="82"/>
      <c r="I106" s="82"/>
      <c r="J106" s="62"/>
      <c r="K106" s="82"/>
      <c r="L106" s="82"/>
      <c r="M106" s="62"/>
      <c r="N106" s="82"/>
      <c r="O106" s="82"/>
      <c r="P106" s="62"/>
      <c r="Q106" s="82"/>
      <c r="R106" s="82"/>
      <c r="S106" s="62"/>
      <c r="T106" s="82"/>
      <c r="U106" s="82"/>
      <c r="V106" s="62"/>
      <c r="W106" s="82"/>
      <c r="X106" s="82"/>
      <c r="Y106" s="62"/>
      <c r="Z106" s="82"/>
      <c r="AA106" s="82"/>
      <c r="AB106" s="62"/>
      <c r="AC106" s="82"/>
      <c r="AD106" s="82"/>
      <c r="AE106" s="62"/>
      <c r="AF106" s="82"/>
      <c r="AG106" s="82"/>
      <c r="AH106" s="23"/>
      <c r="AI106" s="82"/>
      <c r="AK106" s="23"/>
      <c r="AN106" s="23"/>
      <c r="AS106" s="23"/>
      <c r="AT106" s="24"/>
    </row>
    <row r="107" ht="14.25" customHeight="1">
      <c r="A107" s="22"/>
      <c r="B107" s="82"/>
      <c r="C107" s="82"/>
      <c r="D107" s="62"/>
      <c r="E107" s="82"/>
      <c r="F107" s="82"/>
      <c r="G107" s="62"/>
      <c r="H107" s="82"/>
      <c r="I107" s="82"/>
      <c r="J107" s="62"/>
      <c r="K107" s="82"/>
      <c r="L107" s="82"/>
      <c r="M107" s="62"/>
      <c r="N107" s="82"/>
      <c r="O107" s="82"/>
      <c r="P107" s="62"/>
      <c r="Q107" s="82"/>
      <c r="R107" s="82"/>
      <c r="S107" s="62"/>
      <c r="T107" s="82"/>
      <c r="U107" s="82"/>
      <c r="V107" s="62"/>
      <c r="W107" s="82"/>
      <c r="X107" s="82"/>
      <c r="Y107" s="62"/>
      <c r="Z107" s="82"/>
      <c r="AA107" s="82"/>
      <c r="AB107" s="23"/>
      <c r="AC107" s="82"/>
      <c r="AD107" s="82"/>
      <c r="AE107" s="62"/>
      <c r="AF107" s="82"/>
      <c r="AG107" s="82"/>
      <c r="AH107" s="23"/>
      <c r="AK107" s="23"/>
      <c r="AN107" s="23"/>
      <c r="AS107" s="23"/>
      <c r="AT107" s="24"/>
    </row>
    <row r="108" ht="14.25" customHeight="1">
      <c r="A108" s="22"/>
      <c r="B108" s="55"/>
      <c r="D108" s="62"/>
      <c r="E108" s="110"/>
      <c r="F108" s="28"/>
      <c r="G108" s="62"/>
      <c r="H108" s="110"/>
      <c r="I108" s="28"/>
      <c r="J108" s="62"/>
      <c r="K108" s="110"/>
      <c r="L108" s="28"/>
      <c r="M108" s="62"/>
      <c r="N108" s="110"/>
      <c r="O108" s="28"/>
      <c r="P108" s="62"/>
      <c r="Q108" s="110"/>
      <c r="R108" s="28"/>
      <c r="S108" s="62"/>
      <c r="T108" s="110"/>
      <c r="U108" s="28"/>
      <c r="V108" s="62"/>
      <c r="W108" s="110"/>
      <c r="X108" s="28"/>
      <c r="Y108" s="62"/>
      <c r="Z108" s="55"/>
      <c r="AB108" s="62"/>
      <c r="AC108" s="55"/>
      <c r="AE108" s="62"/>
      <c r="AI108" s="30"/>
      <c r="AK108" s="23"/>
      <c r="AL108" s="30"/>
      <c r="AN108" s="23"/>
      <c r="AO108" s="30"/>
      <c r="AQ108" s="30"/>
      <c r="AR108" s="30"/>
      <c r="AS108" s="23"/>
      <c r="AT108" s="24"/>
    </row>
    <row r="109" ht="14.25" customHeight="1">
      <c r="A109" s="22"/>
      <c r="B109" s="41"/>
      <c r="C109" s="41"/>
      <c r="D109" s="47"/>
      <c r="E109" s="41"/>
      <c r="F109" s="41"/>
      <c r="G109" s="47"/>
      <c r="H109" s="35"/>
      <c r="I109" s="36"/>
      <c r="J109" s="47"/>
      <c r="K109" s="35"/>
      <c r="L109" s="36"/>
      <c r="M109" s="47"/>
      <c r="N109" s="35"/>
      <c r="O109" s="36"/>
      <c r="P109" s="47"/>
      <c r="Q109" s="35"/>
      <c r="R109" s="36"/>
      <c r="S109" s="47"/>
      <c r="T109" s="35"/>
      <c r="U109" s="36"/>
      <c r="V109" s="47"/>
      <c r="W109" s="35"/>
      <c r="X109" s="36"/>
      <c r="Y109" s="47"/>
      <c r="Z109" s="35"/>
      <c r="AA109" s="36"/>
      <c r="AB109" s="82"/>
      <c r="AC109" s="41"/>
      <c r="AD109" s="41"/>
      <c r="AE109" s="47"/>
      <c r="AF109" s="35"/>
      <c r="AG109" s="36"/>
      <c r="AH109" s="38"/>
      <c r="AI109" s="35"/>
      <c r="AJ109" s="36"/>
      <c r="AK109" s="38"/>
      <c r="AL109" s="119" t="s">
        <v>233</v>
      </c>
      <c r="AM109" s="40"/>
      <c r="AN109" s="38"/>
      <c r="AO109" s="41"/>
      <c r="AP109" s="41"/>
      <c r="AQ109" s="105"/>
      <c r="AR109" s="105"/>
      <c r="AS109" s="38"/>
      <c r="AT109" s="71"/>
    </row>
    <row r="110" ht="14.25" customHeight="1">
      <c r="A110" s="22"/>
      <c r="B110" s="41"/>
      <c r="C110" s="41"/>
      <c r="D110" s="47"/>
      <c r="E110" s="41"/>
      <c r="F110" s="41"/>
      <c r="G110" s="47"/>
      <c r="H110" s="109"/>
      <c r="I110" s="109"/>
      <c r="J110" s="47"/>
      <c r="K110" s="109"/>
      <c r="L110" s="109"/>
      <c r="M110" s="47"/>
      <c r="N110" s="109"/>
      <c r="O110" s="109"/>
      <c r="P110" s="47"/>
      <c r="Q110" s="109"/>
      <c r="R110" s="109"/>
      <c r="S110" s="47"/>
      <c r="T110" s="109"/>
      <c r="U110" s="109"/>
      <c r="V110" s="47"/>
      <c r="W110" s="109"/>
      <c r="X110" s="109"/>
      <c r="Y110" s="62"/>
      <c r="Z110" s="109"/>
      <c r="AA110" s="109"/>
      <c r="AB110" s="98"/>
      <c r="AC110" s="41"/>
      <c r="AD110" s="41"/>
      <c r="AE110" s="62"/>
      <c r="AF110" s="109"/>
      <c r="AG110" s="109"/>
      <c r="AH110" s="38"/>
      <c r="AI110" s="109"/>
      <c r="AJ110" s="109"/>
      <c r="AK110" s="23"/>
      <c r="AL110" s="49"/>
      <c r="AM110" s="50"/>
      <c r="AN110" s="23"/>
      <c r="AO110" s="41"/>
      <c r="AP110" s="41"/>
      <c r="AQ110" s="105"/>
      <c r="AR110" s="105"/>
      <c r="AS110" s="38"/>
      <c r="AT110" s="71"/>
      <c r="AV110" s="52">
        <v>13.0</v>
      </c>
      <c r="AW110" s="52">
        <v>9.0</v>
      </c>
      <c r="AX110" s="52">
        <v>4.0</v>
      </c>
      <c r="AY110" s="52">
        <v>0.0</v>
      </c>
      <c r="AZ110" s="52"/>
      <c r="BA110" s="53" t="str">
        <f>+A111+D111+G111+J111+M111+P111+S111+V111+Y111+AB111+AE111+AH111+AK111+AN111+AQ111</f>
        <v>5539.000</v>
      </c>
    </row>
    <row r="111" ht="14.25" customHeight="1">
      <c r="A111" s="22"/>
      <c r="B111" s="79" t="s">
        <v>33</v>
      </c>
      <c r="C111" s="76"/>
      <c r="D111" s="47">
        <v>380.0</v>
      </c>
      <c r="E111" s="79" t="s">
        <v>34</v>
      </c>
      <c r="F111" s="76"/>
      <c r="G111" s="47">
        <v>415.0</v>
      </c>
      <c r="H111" s="79" t="s">
        <v>13</v>
      </c>
      <c r="I111" s="76"/>
      <c r="J111" s="47">
        <v>400.0</v>
      </c>
      <c r="K111" s="79" t="s">
        <v>34</v>
      </c>
      <c r="L111" s="76"/>
      <c r="M111" s="47">
        <v>392.0</v>
      </c>
      <c r="N111" s="79" t="s">
        <v>33</v>
      </c>
      <c r="O111" s="76"/>
      <c r="P111" s="47">
        <v>387.0</v>
      </c>
      <c r="Q111" s="79" t="s">
        <v>33</v>
      </c>
      <c r="R111" s="76"/>
      <c r="S111" s="47">
        <v>346.0</v>
      </c>
      <c r="T111" s="81" t="s">
        <v>114</v>
      </c>
      <c r="U111" s="76"/>
      <c r="V111" s="47">
        <v>400.0</v>
      </c>
      <c r="W111" s="81" t="s">
        <v>12</v>
      </c>
      <c r="X111" s="76"/>
      <c r="Y111" s="62">
        <v>418.0</v>
      </c>
      <c r="Z111" s="60" t="s">
        <v>11</v>
      </c>
      <c r="AB111" s="98">
        <v>351.0</v>
      </c>
      <c r="AC111" s="60" t="s">
        <v>35</v>
      </c>
      <c r="AE111" s="62">
        <v>429.0</v>
      </c>
      <c r="AF111" s="60" t="s">
        <v>34</v>
      </c>
      <c r="AH111" s="47">
        <v>411.0</v>
      </c>
      <c r="AI111" s="79" t="s">
        <v>33</v>
      </c>
      <c r="AJ111" s="76"/>
      <c r="AK111" s="62">
        <v>381.0</v>
      </c>
      <c r="AL111" s="79" t="s">
        <v>12</v>
      </c>
      <c r="AM111" s="76"/>
      <c r="AN111" s="62">
        <v>459.0</v>
      </c>
      <c r="AO111" s="79" t="s">
        <v>12</v>
      </c>
      <c r="AP111" s="76"/>
      <c r="AQ111" s="55">
        <v>370.0</v>
      </c>
      <c r="AR111" s="55"/>
      <c r="AS111" s="47"/>
      <c r="AT111" s="87"/>
    </row>
    <row r="112" ht="14.25" customHeight="1">
      <c r="A112" s="22"/>
      <c r="B112" s="59" t="s">
        <v>234</v>
      </c>
      <c r="D112" s="62"/>
      <c r="E112" s="59" t="s">
        <v>235</v>
      </c>
      <c r="G112" s="62"/>
      <c r="H112" s="59" t="s">
        <v>236</v>
      </c>
      <c r="J112" s="62"/>
      <c r="K112" s="59" t="s">
        <v>237</v>
      </c>
      <c r="M112" s="62"/>
      <c r="N112" s="59" t="s">
        <v>238</v>
      </c>
      <c r="P112" s="62"/>
      <c r="Q112" s="59" t="s">
        <v>239</v>
      </c>
      <c r="S112" s="62"/>
      <c r="T112" s="59" t="s">
        <v>240</v>
      </c>
      <c r="V112" s="62"/>
      <c r="W112" s="59" t="s">
        <v>241</v>
      </c>
      <c r="Y112" s="62"/>
      <c r="Z112" s="59" t="s">
        <v>242</v>
      </c>
      <c r="AB112" s="62"/>
      <c r="AC112" s="59" t="s">
        <v>243</v>
      </c>
      <c r="AE112" s="62"/>
      <c r="AF112" s="59" t="s">
        <v>244</v>
      </c>
      <c r="AH112" s="23"/>
      <c r="AI112" s="59" t="s">
        <v>245</v>
      </c>
      <c r="AK112" s="23"/>
      <c r="AL112" s="59" t="s">
        <v>246</v>
      </c>
      <c r="AN112" s="23"/>
      <c r="AO112" s="59" t="s">
        <v>247</v>
      </c>
      <c r="AQ112" s="83"/>
      <c r="AR112" s="83"/>
      <c r="AS112" s="23"/>
      <c r="AT112" s="24"/>
    </row>
    <row r="113" ht="14.25" customHeight="1">
      <c r="A113" s="22"/>
      <c r="B113" s="118" t="s">
        <v>232</v>
      </c>
      <c r="C113" s="118"/>
      <c r="D113" s="117"/>
      <c r="E113" s="118" t="s">
        <v>232</v>
      </c>
      <c r="F113" s="118"/>
      <c r="G113" s="117"/>
      <c r="H113" s="118" t="s">
        <v>232</v>
      </c>
      <c r="I113" s="118"/>
      <c r="J113" s="117"/>
      <c r="K113" s="118" t="s">
        <v>232</v>
      </c>
      <c r="L113" s="118"/>
      <c r="M113" s="117"/>
      <c r="N113" s="118" t="s">
        <v>232</v>
      </c>
      <c r="O113" s="118"/>
      <c r="P113" s="117"/>
      <c r="Q113" s="118" t="s">
        <v>232</v>
      </c>
      <c r="R113" s="118"/>
      <c r="S113" s="117"/>
      <c r="T113" s="118" t="s">
        <v>232</v>
      </c>
      <c r="U113" s="118"/>
      <c r="V113" s="117"/>
      <c r="W113" s="118" t="s">
        <v>232</v>
      </c>
      <c r="X113" s="118"/>
      <c r="Y113" s="117"/>
      <c r="Z113" s="118" t="s">
        <v>232</v>
      </c>
      <c r="AA113" s="118"/>
      <c r="AB113" s="117"/>
      <c r="AC113" s="118" t="s">
        <v>232</v>
      </c>
      <c r="AD113" s="118"/>
      <c r="AE113" s="117"/>
      <c r="AF113" s="118"/>
      <c r="AG113" s="118" t="s">
        <v>232</v>
      </c>
      <c r="AH113" s="120"/>
      <c r="AI113" s="118"/>
      <c r="AJ113" s="118" t="s">
        <v>232</v>
      </c>
      <c r="AK113" s="120"/>
      <c r="AL113" s="118"/>
      <c r="AM113" s="118" t="s">
        <v>232</v>
      </c>
      <c r="AN113" s="120"/>
      <c r="AO113" s="118"/>
      <c r="AP113" s="118" t="s">
        <v>232</v>
      </c>
      <c r="AQ113" s="118"/>
      <c r="AR113" s="118"/>
      <c r="AS113" s="23"/>
      <c r="AT113" s="24"/>
    </row>
    <row r="114" ht="14.25" customHeight="1">
      <c r="A114" s="22"/>
      <c r="B114" s="82"/>
      <c r="C114" s="82"/>
      <c r="D114" s="62"/>
      <c r="E114" s="121" t="s">
        <v>248</v>
      </c>
      <c r="F114" s="94"/>
      <c r="G114" s="94"/>
      <c r="H114" s="94"/>
      <c r="I114" s="94"/>
      <c r="J114" s="94"/>
      <c r="K114" s="94"/>
      <c r="L114" s="94"/>
      <c r="M114" s="94"/>
      <c r="N114" s="94"/>
      <c r="O114" s="95"/>
      <c r="P114" s="62"/>
      <c r="Q114" s="82"/>
      <c r="R114" s="82"/>
      <c r="S114" s="62"/>
      <c r="T114" s="82"/>
      <c r="U114" s="82"/>
      <c r="V114" s="62"/>
      <c r="W114" s="82"/>
      <c r="X114" s="82"/>
      <c r="Y114" s="62"/>
      <c r="Z114" s="82"/>
      <c r="AA114" s="82"/>
      <c r="AB114" s="62"/>
      <c r="AC114" s="82"/>
      <c r="AD114" s="82"/>
      <c r="AE114" s="62"/>
      <c r="AF114" s="55"/>
      <c r="AI114" s="55"/>
      <c r="AN114" s="23"/>
      <c r="AS114" s="23"/>
      <c r="AT114" s="24"/>
    </row>
    <row r="115" ht="14.25" customHeight="1">
      <c r="A115" s="22"/>
      <c r="B115" s="82"/>
      <c r="C115" s="82"/>
      <c r="D115" s="62"/>
      <c r="E115" s="82"/>
      <c r="F115" s="82"/>
      <c r="G115" s="62"/>
      <c r="H115" s="82"/>
      <c r="I115" s="82"/>
      <c r="J115" s="62"/>
      <c r="K115" s="82"/>
      <c r="L115" s="82"/>
      <c r="M115" s="62"/>
      <c r="N115" s="82"/>
      <c r="O115" s="82"/>
      <c r="P115" s="62"/>
      <c r="Q115" s="82"/>
      <c r="R115" s="82"/>
      <c r="S115" s="62"/>
      <c r="T115" s="82"/>
      <c r="U115" s="82"/>
      <c r="V115" s="62"/>
      <c r="W115" s="82"/>
      <c r="X115" s="82"/>
      <c r="Y115" s="62"/>
      <c r="Z115" s="82"/>
      <c r="AA115" s="82"/>
      <c r="AB115" s="23"/>
      <c r="AC115" s="82"/>
      <c r="AD115" s="82"/>
      <c r="AE115" s="62"/>
      <c r="AF115" s="82"/>
      <c r="AG115" s="82"/>
      <c r="AH115" s="23"/>
      <c r="AK115" s="23"/>
      <c r="AN115" s="23"/>
      <c r="AS115" s="23"/>
      <c r="AT115" s="24"/>
    </row>
    <row r="116" ht="14.25" customHeight="1">
      <c r="A116" s="22"/>
      <c r="B116" s="55"/>
      <c r="D116" s="62"/>
      <c r="E116" s="110"/>
      <c r="F116" s="28"/>
      <c r="G116" s="62"/>
      <c r="H116" s="110"/>
      <c r="I116" s="28"/>
      <c r="J116" s="62"/>
      <c r="K116" s="110"/>
      <c r="L116" s="28"/>
      <c r="M116" s="62"/>
      <c r="N116" s="110"/>
      <c r="O116" s="28"/>
      <c r="P116" s="62"/>
      <c r="Q116" s="110"/>
      <c r="R116" s="28"/>
      <c r="S116" s="62"/>
      <c r="T116" s="110"/>
      <c r="U116" s="28"/>
      <c r="V116" s="62"/>
      <c r="W116" s="110"/>
      <c r="X116" s="28"/>
      <c r="Y116" s="62"/>
      <c r="Z116" s="55"/>
      <c r="AB116" s="62"/>
      <c r="AC116" s="55"/>
      <c r="AE116" s="62"/>
      <c r="AI116" s="30"/>
      <c r="AK116" s="23"/>
      <c r="AL116" s="30"/>
      <c r="AN116" s="23"/>
      <c r="AO116" s="30"/>
      <c r="AQ116" s="30"/>
      <c r="AR116" s="30"/>
      <c r="AS116" s="23"/>
      <c r="AT116" s="24"/>
    </row>
    <row r="117" ht="14.25" customHeight="1">
      <c r="A117" s="22"/>
      <c r="B117" s="35"/>
      <c r="C117" s="36"/>
      <c r="D117" s="47"/>
      <c r="E117" s="119" t="s">
        <v>233</v>
      </c>
      <c r="F117" s="40"/>
      <c r="G117" s="47"/>
      <c r="H117" s="122"/>
      <c r="I117" s="123"/>
      <c r="J117" s="47"/>
      <c r="K117" s="122"/>
      <c r="L117" s="123"/>
      <c r="M117" s="47"/>
      <c r="N117" s="122"/>
      <c r="O117" s="123"/>
      <c r="P117" s="47"/>
      <c r="Q117" s="35"/>
      <c r="R117" s="36"/>
      <c r="S117" s="47"/>
      <c r="T117" s="35"/>
      <c r="U117" s="36"/>
      <c r="V117" s="47"/>
      <c r="W117" s="35"/>
      <c r="X117" s="36"/>
      <c r="Y117" s="47"/>
      <c r="Z117" s="35"/>
      <c r="AA117" s="36"/>
      <c r="AB117" s="82"/>
      <c r="AC117" s="35"/>
      <c r="AD117" s="36"/>
      <c r="AE117" s="47"/>
      <c r="AF117" s="35"/>
      <c r="AG117" s="36"/>
      <c r="AH117" s="38"/>
      <c r="AI117" s="35"/>
      <c r="AJ117" s="36"/>
      <c r="AK117" s="38"/>
      <c r="AL117" s="35"/>
      <c r="AM117" s="36"/>
      <c r="AN117" s="38"/>
      <c r="AO117" s="111" t="s">
        <v>8</v>
      </c>
      <c r="AP117" s="40"/>
      <c r="AQ117" s="124"/>
      <c r="AR117" s="124"/>
      <c r="AS117" s="38"/>
      <c r="AT117" s="71"/>
    </row>
    <row r="118" ht="14.25" customHeight="1">
      <c r="A118" s="22"/>
      <c r="B118" s="109"/>
      <c r="C118" s="109"/>
      <c r="D118" s="47"/>
      <c r="E118" s="49"/>
      <c r="F118" s="50"/>
      <c r="G118" s="47"/>
      <c r="H118" s="125"/>
      <c r="I118" s="125"/>
      <c r="J118" s="47"/>
      <c r="K118" s="125"/>
      <c r="L118" s="125"/>
      <c r="M118" s="47"/>
      <c r="N118" s="125"/>
      <c r="O118" s="125"/>
      <c r="P118" s="47"/>
      <c r="Q118" s="109"/>
      <c r="R118" s="109"/>
      <c r="S118" s="47"/>
      <c r="T118" s="109"/>
      <c r="U118" s="109"/>
      <c r="V118" s="47"/>
      <c r="W118" s="109"/>
      <c r="X118" s="109"/>
      <c r="Y118" s="62"/>
      <c r="Z118" s="109"/>
      <c r="AA118" s="109"/>
      <c r="AB118" s="98"/>
      <c r="AC118" s="109"/>
      <c r="AD118" s="109"/>
      <c r="AE118" s="62"/>
      <c r="AF118" s="109"/>
      <c r="AG118" s="109"/>
      <c r="AH118" s="38"/>
      <c r="AI118" s="109"/>
      <c r="AJ118" s="109"/>
      <c r="AK118" s="23"/>
      <c r="AL118" s="109"/>
      <c r="AM118" s="109"/>
      <c r="AN118" s="23"/>
      <c r="AO118" s="49"/>
      <c r="AP118" s="50"/>
      <c r="AQ118" s="124"/>
      <c r="AR118" s="124"/>
      <c r="AS118" s="38"/>
      <c r="AT118" s="71"/>
      <c r="AV118" s="52">
        <v>9.0</v>
      </c>
      <c r="AW118" s="52">
        <v>8.0</v>
      </c>
      <c r="AX118" s="52">
        <v>5.0</v>
      </c>
      <c r="AY118" s="52">
        <v>0.0</v>
      </c>
      <c r="AZ118" s="52"/>
      <c r="BA118" s="53" t="str">
        <f>+A119+D119+G119+J119+M119+P119+S119+V119+Y119+AB119+AE119+AH119+AK119+AN119+AQ119</f>
        <v>5550.310</v>
      </c>
    </row>
    <row r="119" ht="14.25" customHeight="1">
      <c r="A119" s="22"/>
      <c r="B119" s="79" t="s">
        <v>34</v>
      </c>
      <c r="C119" s="76"/>
      <c r="D119" s="47">
        <v>425.0</v>
      </c>
      <c r="E119" s="79" t="s">
        <v>186</v>
      </c>
      <c r="F119" s="76"/>
      <c r="G119" s="47">
        <v>256.0</v>
      </c>
      <c r="H119" s="79" t="s">
        <v>249</v>
      </c>
      <c r="I119" s="76"/>
      <c r="J119" s="47">
        <v>443.0</v>
      </c>
      <c r="K119" s="79" t="s">
        <v>250</v>
      </c>
      <c r="L119" s="76"/>
      <c r="M119" s="47">
        <v>451.0</v>
      </c>
      <c r="N119" s="79" t="s">
        <v>251</v>
      </c>
      <c r="O119" s="76"/>
      <c r="P119" s="47">
        <v>420.0</v>
      </c>
      <c r="Q119" s="79" t="s">
        <v>34</v>
      </c>
      <c r="R119" s="76"/>
      <c r="S119" s="47">
        <v>418.0</v>
      </c>
      <c r="T119" s="79" t="s">
        <v>33</v>
      </c>
      <c r="U119" s="76"/>
      <c r="V119" s="47">
        <v>349.0</v>
      </c>
      <c r="W119" s="81" t="s">
        <v>13</v>
      </c>
      <c r="X119" s="76"/>
      <c r="Y119" s="62">
        <v>407.0</v>
      </c>
      <c r="Z119" s="60" t="s">
        <v>252</v>
      </c>
      <c r="AB119" s="98">
        <v>323.0</v>
      </c>
      <c r="AC119" s="60" t="s">
        <v>33</v>
      </c>
      <c r="AE119" s="62">
        <v>419.0</v>
      </c>
      <c r="AF119" s="60" t="s">
        <v>33</v>
      </c>
      <c r="AH119" s="38">
        <v>402.0</v>
      </c>
      <c r="AI119" s="126" t="s">
        <v>35</v>
      </c>
      <c r="AK119" s="23">
        <v>402.31</v>
      </c>
      <c r="AL119" s="30" t="s">
        <v>36</v>
      </c>
      <c r="AN119" s="23">
        <v>416.0</v>
      </c>
      <c r="AO119" s="30" t="s">
        <v>35</v>
      </c>
      <c r="AQ119" s="30">
        <v>419.0</v>
      </c>
      <c r="AR119" s="30"/>
      <c r="AS119" s="38"/>
      <c r="AT119" s="71"/>
    </row>
    <row r="120" ht="14.25" customHeight="1">
      <c r="A120" s="22"/>
      <c r="B120" s="59" t="s">
        <v>253</v>
      </c>
      <c r="D120" s="62"/>
      <c r="E120" s="59" t="s">
        <v>254</v>
      </c>
      <c r="G120" s="62"/>
      <c r="H120" s="59" t="s">
        <v>255</v>
      </c>
      <c r="J120" s="62"/>
      <c r="K120" s="59" t="s">
        <v>256</v>
      </c>
      <c r="M120" s="62"/>
      <c r="N120" s="59" t="s">
        <v>257</v>
      </c>
      <c r="P120" s="62"/>
      <c r="Q120" s="59" t="s">
        <v>258</v>
      </c>
      <c r="S120" s="62"/>
      <c r="T120" s="59" t="s">
        <v>259</v>
      </c>
      <c r="V120" s="62"/>
      <c r="W120" s="59" t="s">
        <v>260</v>
      </c>
      <c r="Y120" s="62"/>
      <c r="Z120" s="59" t="s">
        <v>261</v>
      </c>
      <c r="AB120" s="62"/>
      <c r="AC120" s="59" t="s">
        <v>262</v>
      </c>
      <c r="AE120" s="62"/>
      <c r="AF120" s="59" t="s">
        <v>263</v>
      </c>
      <c r="AH120" s="23"/>
      <c r="AI120" s="59" t="s">
        <v>264</v>
      </c>
      <c r="AK120" s="23"/>
      <c r="AL120" s="59" t="s">
        <v>265</v>
      </c>
      <c r="AN120" s="23"/>
      <c r="AO120" s="59" t="s">
        <v>266</v>
      </c>
      <c r="AQ120" s="83"/>
      <c r="AR120" s="83"/>
      <c r="AS120" s="23"/>
      <c r="AT120" s="24"/>
    </row>
    <row r="121" ht="14.25" customHeight="1">
      <c r="A121" s="22"/>
      <c r="B121" s="118" t="s">
        <v>232</v>
      </c>
      <c r="C121" s="118"/>
      <c r="D121" s="117"/>
      <c r="E121" s="118" t="s">
        <v>232</v>
      </c>
      <c r="F121" s="118"/>
      <c r="G121" s="117"/>
      <c r="H121" s="118" t="s">
        <v>232</v>
      </c>
      <c r="I121" s="118"/>
      <c r="J121" s="117"/>
      <c r="K121" s="118" t="s">
        <v>232</v>
      </c>
      <c r="L121" s="118"/>
      <c r="M121" s="117"/>
      <c r="N121" s="118" t="s">
        <v>232</v>
      </c>
      <c r="O121" s="118"/>
      <c r="P121" s="117"/>
      <c r="Q121" s="118" t="s">
        <v>232</v>
      </c>
      <c r="R121" s="118"/>
      <c r="S121" s="117"/>
      <c r="T121" s="118" t="s">
        <v>232</v>
      </c>
      <c r="U121" s="118"/>
      <c r="V121" s="117"/>
      <c r="W121" s="118" t="s">
        <v>232</v>
      </c>
      <c r="X121" s="118"/>
      <c r="Y121" s="117"/>
      <c r="Z121" s="118" t="s">
        <v>232</v>
      </c>
      <c r="AA121" s="118"/>
      <c r="AB121" s="117"/>
      <c r="AC121" s="118" t="s">
        <v>232</v>
      </c>
      <c r="AD121" s="118"/>
      <c r="AE121" s="117"/>
      <c r="AF121" s="118" t="s">
        <v>232</v>
      </c>
      <c r="AG121" s="118"/>
      <c r="AH121" s="120"/>
      <c r="AI121" s="118"/>
      <c r="AJ121" s="118" t="s">
        <v>232</v>
      </c>
      <c r="AK121" s="120"/>
      <c r="AL121" s="118"/>
      <c r="AM121" s="118" t="s">
        <v>232</v>
      </c>
      <c r="AN121" s="120"/>
      <c r="AO121" s="118"/>
      <c r="AP121" s="118" t="s">
        <v>232</v>
      </c>
      <c r="AQ121" s="118"/>
      <c r="AR121" s="118"/>
      <c r="AS121" s="23"/>
      <c r="AT121" s="24"/>
    </row>
    <row r="122" ht="14.25" customHeight="1">
      <c r="A122" s="22"/>
      <c r="B122" s="55"/>
      <c r="C122" s="55"/>
      <c r="D122" s="47"/>
      <c r="E122" s="127"/>
      <c r="F122" s="55"/>
      <c r="G122" s="127"/>
      <c r="K122" s="128"/>
      <c r="L122" s="129"/>
      <c r="M122" s="47"/>
      <c r="N122" s="128"/>
      <c r="S122" s="128"/>
      <c r="W122" s="127"/>
      <c r="X122" s="82"/>
      <c r="Y122" s="62"/>
      <c r="Z122" s="127"/>
      <c r="AA122" s="82"/>
      <c r="AB122" s="82"/>
      <c r="AC122" s="127"/>
      <c r="AD122" s="82"/>
      <c r="AE122" s="62"/>
      <c r="AF122" s="127"/>
      <c r="AG122" s="82"/>
      <c r="AH122" s="23"/>
      <c r="AI122" s="127"/>
      <c r="AJ122" s="82"/>
      <c r="AK122" s="23"/>
      <c r="AL122" s="127"/>
      <c r="AM122" s="82"/>
      <c r="AN122" s="23"/>
      <c r="AO122" s="127"/>
      <c r="AP122" s="82"/>
      <c r="AQ122" s="82"/>
      <c r="AR122" s="82"/>
      <c r="AS122" s="23"/>
      <c r="AT122" s="24"/>
      <c r="AV122" s="23"/>
      <c r="AW122" s="23"/>
      <c r="AX122" s="23"/>
      <c r="AY122" s="23"/>
      <c r="AZ122" s="23"/>
    </row>
    <row r="123" ht="14.25" customHeight="1">
      <c r="A123" s="22"/>
      <c r="B123" s="82"/>
      <c r="C123" s="82"/>
      <c r="D123" s="62"/>
      <c r="E123" s="82"/>
      <c r="F123" s="82"/>
      <c r="G123" s="62"/>
      <c r="H123" s="82"/>
      <c r="I123" s="82"/>
      <c r="J123" s="62"/>
      <c r="K123" s="82"/>
      <c r="L123" s="82"/>
      <c r="M123" s="62"/>
      <c r="N123" s="82"/>
      <c r="O123" s="82"/>
      <c r="P123" s="62"/>
      <c r="Q123" s="82"/>
      <c r="R123" s="82"/>
      <c r="S123" s="62"/>
      <c r="T123" s="82"/>
      <c r="U123" s="82"/>
      <c r="V123" s="62"/>
      <c r="W123" s="82"/>
      <c r="X123" s="82"/>
      <c r="Y123" s="62"/>
      <c r="Z123" s="82"/>
      <c r="AA123" s="82"/>
      <c r="AB123" s="23"/>
      <c r="AC123" s="82"/>
      <c r="AD123" s="82"/>
      <c r="AE123" s="62"/>
      <c r="AF123" s="82"/>
      <c r="AG123" s="82"/>
      <c r="AH123" s="23"/>
      <c r="AK123" s="23"/>
      <c r="AN123" s="23"/>
      <c r="AS123" s="23"/>
      <c r="AT123" s="24"/>
    </row>
    <row r="124" ht="14.25" customHeight="1">
      <c r="A124" s="22"/>
      <c r="B124" s="55"/>
      <c r="D124" s="62"/>
      <c r="E124" s="110"/>
      <c r="F124" s="28"/>
      <c r="G124" s="62"/>
      <c r="H124" s="110"/>
      <c r="I124" s="28"/>
      <c r="J124" s="62"/>
      <c r="K124" s="110"/>
      <c r="L124" s="28"/>
      <c r="M124" s="62"/>
      <c r="N124" s="110"/>
      <c r="O124" s="28"/>
      <c r="P124" s="62"/>
      <c r="Q124" s="110"/>
      <c r="R124" s="28"/>
      <c r="S124" s="62"/>
      <c r="T124" s="110"/>
      <c r="U124" s="28"/>
      <c r="V124" s="62"/>
      <c r="W124" s="110"/>
      <c r="X124" s="28"/>
      <c r="Y124" s="62"/>
      <c r="Z124" s="55"/>
      <c r="AB124" s="62"/>
      <c r="AC124" s="55"/>
      <c r="AE124" s="62"/>
      <c r="AI124" s="30"/>
      <c r="AK124" s="23"/>
      <c r="AL124" s="30"/>
      <c r="AN124" s="23"/>
      <c r="AO124" s="30"/>
      <c r="AQ124" s="30"/>
      <c r="AR124" s="30"/>
      <c r="AS124" s="23"/>
      <c r="AT124" s="24"/>
    </row>
    <row r="125" ht="14.25" customHeight="1">
      <c r="A125" s="22"/>
      <c r="B125" s="35"/>
      <c r="C125" s="36"/>
      <c r="D125" s="47"/>
      <c r="E125" s="111" t="s">
        <v>8</v>
      </c>
      <c r="F125" s="40"/>
      <c r="G125" s="47"/>
      <c r="H125" s="35"/>
      <c r="I125" s="36"/>
      <c r="J125" s="47"/>
      <c r="K125" s="35"/>
      <c r="L125" s="36"/>
      <c r="M125" s="47"/>
      <c r="N125" s="35"/>
      <c r="O125" s="36"/>
      <c r="P125" s="47"/>
      <c r="Q125" s="35"/>
      <c r="R125" s="36"/>
      <c r="S125" s="47"/>
      <c r="T125" s="35"/>
      <c r="U125" s="36"/>
      <c r="V125" s="47"/>
      <c r="W125" s="130" t="s">
        <v>233</v>
      </c>
      <c r="X125" s="40"/>
      <c r="Y125" s="47"/>
      <c r="Z125" s="35"/>
      <c r="AA125" s="36"/>
      <c r="AB125" s="82"/>
      <c r="AC125" s="35"/>
      <c r="AD125" s="36"/>
      <c r="AE125" s="47"/>
      <c r="AF125" s="35"/>
      <c r="AG125" s="36"/>
      <c r="AH125" s="38"/>
      <c r="AI125" s="35"/>
      <c r="AJ125" s="36"/>
      <c r="AK125" s="38"/>
      <c r="AL125" s="130" t="s">
        <v>233</v>
      </c>
      <c r="AM125" s="40"/>
      <c r="AN125" s="38"/>
      <c r="AO125" s="35"/>
      <c r="AP125" s="36"/>
      <c r="AQ125" s="43"/>
      <c r="AR125" s="43"/>
      <c r="AS125" s="38"/>
      <c r="AT125" s="71"/>
    </row>
    <row r="126" ht="14.25" customHeight="1">
      <c r="A126" s="22"/>
      <c r="B126" s="109"/>
      <c r="C126" s="109"/>
      <c r="D126" s="47"/>
      <c r="E126" s="49"/>
      <c r="F126" s="50"/>
      <c r="G126" s="47"/>
      <c r="H126" s="109"/>
      <c r="I126" s="109"/>
      <c r="J126" s="47"/>
      <c r="K126" s="109"/>
      <c r="L126" s="109"/>
      <c r="M126" s="47"/>
      <c r="N126" s="109"/>
      <c r="O126" s="109"/>
      <c r="P126" s="47"/>
      <c r="Q126" s="109"/>
      <c r="R126" s="109"/>
      <c r="S126" s="47"/>
      <c r="T126" s="109"/>
      <c r="U126" s="109"/>
      <c r="V126" s="47"/>
      <c r="W126" s="49"/>
      <c r="X126" s="50"/>
      <c r="Y126" s="62"/>
      <c r="Z126" s="109"/>
      <c r="AA126" s="109"/>
      <c r="AB126" s="98"/>
      <c r="AC126" s="109"/>
      <c r="AD126" s="109"/>
      <c r="AE126" s="62"/>
      <c r="AF126" s="109"/>
      <c r="AG126" s="109"/>
      <c r="AH126" s="38"/>
      <c r="AI126" s="109"/>
      <c r="AJ126" s="109"/>
      <c r="AK126" s="23"/>
      <c r="AL126" s="49"/>
      <c r="AM126" s="50"/>
      <c r="AN126" s="23"/>
      <c r="AO126" s="109"/>
      <c r="AP126" s="109"/>
      <c r="AQ126" s="127"/>
      <c r="AR126" s="127"/>
      <c r="AS126" s="38"/>
      <c r="AT126" s="71"/>
      <c r="AV126" s="52">
        <v>11.0</v>
      </c>
      <c r="AW126" s="52">
        <v>10.0</v>
      </c>
      <c r="AX126" s="52">
        <v>6.0</v>
      </c>
      <c r="AY126" s="52">
        <v>0.0</v>
      </c>
      <c r="AZ126" s="52"/>
      <c r="BA126" s="53" t="str">
        <f>+A127+D127+G127+J127+M127+P127+S127+V127+Y127+AB127+AE127+AH127+AK127+AN127+AQ127</f>
        <v>5528.790</v>
      </c>
    </row>
    <row r="127" ht="14.25" customHeight="1">
      <c r="A127" s="22"/>
      <c r="B127" s="60" t="s">
        <v>114</v>
      </c>
      <c r="D127" s="47">
        <v>377.0</v>
      </c>
      <c r="E127" s="79" t="s">
        <v>35</v>
      </c>
      <c r="F127" s="76"/>
      <c r="G127" s="47">
        <v>440.0</v>
      </c>
      <c r="H127" s="75" t="s">
        <v>34</v>
      </c>
      <c r="I127" s="76"/>
      <c r="J127" s="47">
        <v>400.28</v>
      </c>
      <c r="K127" s="79" t="s">
        <v>13</v>
      </c>
      <c r="L127" s="76"/>
      <c r="M127" s="47">
        <v>386.0</v>
      </c>
      <c r="N127" s="79" t="s">
        <v>34</v>
      </c>
      <c r="O127" s="76"/>
      <c r="P127" s="47">
        <v>420.0</v>
      </c>
      <c r="Q127" s="79" t="s">
        <v>15</v>
      </c>
      <c r="R127" s="76"/>
      <c r="S127" s="47">
        <v>337.0</v>
      </c>
      <c r="T127" s="79" t="s">
        <v>15</v>
      </c>
      <c r="U127" s="76"/>
      <c r="V127" s="47">
        <v>336.51</v>
      </c>
      <c r="W127" s="79" t="s">
        <v>186</v>
      </c>
      <c r="X127" s="76"/>
      <c r="Y127" s="62">
        <v>412.0</v>
      </c>
      <c r="Z127" s="60" t="s">
        <v>33</v>
      </c>
      <c r="AB127" s="98">
        <v>408.0</v>
      </c>
      <c r="AC127" s="60" t="s">
        <v>12</v>
      </c>
      <c r="AE127" s="62">
        <v>413.0</v>
      </c>
      <c r="AF127" s="60" t="s">
        <v>33</v>
      </c>
      <c r="AH127" s="38">
        <v>410.0</v>
      </c>
      <c r="AI127" s="126" t="s">
        <v>34</v>
      </c>
      <c r="AK127" s="23">
        <v>406.0</v>
      </c>
      <c r="AL127" s="126" t="s">
        <v>34</v>
      </c>
      <c r="AN127" s="23">
        <v>411.0</v>
      </c>
      <c r="AO127" s="126" t="s">
        <v>34</v>
      </c>
      <c r="AQ127" s="30">
        <v>372.0</v>
      </c>
      <c r="AR127" s="30"/>
      <c r="AS127" s="38"/>
      <c r="AT127" s="71"/>
    </row>
    <row r="128" ht="14.25" customHeight="1">
      <c r="A128" s="22"/>
      <c r="B128" s="60" t="s">
        <v>267</v>
      </c>
      <c r="D128" s="62"/>
      <c r="E128" s="60" t="s">
        <v>268</v>
      </c>
      <c r="G128" s="62"/>
      <c r="H128" s="60" t="s">
        <v>269</v>
      </c>
      <c r="J128" s="62"/>
      <c r="K128" s="60" t="s">
        <v>270</v>
      </c>
      <c r="M128" s="62"/>
      <c r="N128" s="60" t="s">
        <v>271</v>
      </c>
      <c r="P128" s="62"/>
      <c r="Q128" s="60" t="s">
        <v>272</v>
      </c>
      <c r="S128" s="62"/>
      <c r="T128" s="60" t="s">
        <v>273</v>
      </c>
      <c r="V128" s="62"/>
      <c r="W128" s="83" t="s">
        <v>274</v>
      </c>
      <c r="Y128" s="62"/>
      <c r="Z128" s="59" t="s">
        <v>275</v>
      </c>
      <c r="AB128" s="62"/>
      <c r="AC128" s="59" t="s">
        <v>276</v>
      </c>
      <c r="AE128" s="62"/>
      <c r="AF128" s="59" t="s">
        <v>277</v>
      </c>
      <c r="AH128" s="23"/>
      <c r="AI128" s="59" t="s">
        <v>278</v>
      </c>
      <c r="AK128" s="23"/>
      <c r="AL128" s="59" t="s">
        <v>279</v>
      </c>
      <c r="AN128" s="23"/>
      <c r="AO128" s="59" t="s">
        <v>280</v>
      </c>
      <c r="AQ128" s="55"/>
      <c r="AR128" s="55"/>
      <c r="AS128" s="23"/>
      <c r="AT128" s="24"/>
    </row>
    <row r="129" ht="14.25" customHeight="1">
      <c r="A129" s="22"/>
      <c r="B129" s="118" t="s">
        <v>232</v>
      </c>
      <c r="C129" s="118"/>
      <c r="D129" s="117"/>
      <c r="E129" s="118"/>
      <c r="F129" s="118" t="s">
        <v>232</v>
      </c>
      <c r="G129" s="117"/>
      <c r="H129" s="118"/>
      <c r="I129" s="118" t="s">
        <v>232</v>
      </c>
      <c r="J129" s="117"/>
      <c r="K129" s="118"/>
      <c r="L129" s="118" t="s">
        <v>232</v>
      </c>
      <c r="M129" s="117"/>
      <c r="N129" s="118"/>
      <c r="O129" s="118" t="s">
        <v>232</v>
      </c>
      <c r="P129" s="117"/>
      <c r="Q129" s="118"/>
      <c r="R129" s="118" t="s">
        <v>232</v>
      </c>
      <c r="S129" s="117"/>
      <c r="T129" s="118"/>
      <c r="U129" s="118" t="s">
        <v>232</v>
      </c>
      <c r="V129" s="117"/>
      <c r="W129" s="118"/>
      <c r="X129" s="118" t="s">
        <v>232</v>
      </c>
      <c r="Y129" s="117"/>
      <c r="Z129" s="118"/>
      <c r="AA129" s="118" t="s">
        <v>232</v>
      </c>
      <c r="AB129" s="117"/>
      <c r="AC129" s="118"/>
      <c r="AD129" s="118" t="s">
        <v>232</v>
      </c>
      <c r="AE129" s="117"/>
      <c r="AF129" s="118"/>
      <c r="AG129" s="118" t="s">
        <v>232</v>
      </c>
      <c r="AH129" s="120"/>
      <c r="AI129" s="118"/>
      <c r="AJ129" s="118" t="s">
        <v>232</v>
      </c>
      <c r="AK129" s="120"/>
      <c r="AL129" s="118" t="s">
        <v>232</v>
      </c>
      <c r="AM129" s="131"/>
      <c r="AN129" s="120"/>
      <c r="AO129" s="118" t="s">
        <v>232</v>
      </c>
      <c r="AP129" s="131"/>
      <c r="AQ129" s="131"/>
      <c r="AR129" s="131"/>
      <c r="AS129" s="23"/>
      <c r="AT129" s="24"/>
    </row>
    <row r="130" ht="14.25" customHeight="1">
      <c r="A130" s="22"/>
      <c r="B130" s="55"/>
      <c r="C130" s="55"/>
      <c r="D130" s="47"/>
      <c r="E130" s="127"/>
      <c r="F130" s="55"/>
      <c r="G130" s="55"/>
      <c r="H130" s="127"/>
      <c r="I130" s="82"/>
      <c r="J130" s="47"/>
      <c r="K130" s="128"/>
      <c r="L130" s="129"/>
      <c r="M130" s="47"/>
      <c r="N130" s="128"/>
      <c r="O130" s="129"/>
      <c r="P130" s="47"/>
      <c r="Q130" s="128"/>
      <c r="R130" s="129"/>
      <c r="S130" s="47"/>
      <c r="T130" s="128"/>
      <c r="U130" s="129"/>
      <c r="V130" s="47"/>
      <c r="W130" s="127"/>
      <c r="X130" s="82"/>
      <c r="Y130" s="62"/>
      <c r="Z130" s="127"/>
      <c r="AA130" s="82"/>
      <c r="AB130" s="82"/>
      <c r="AC130" s="127"/>
      <c r="AD130" s="82"/>
      <c r="AE130" s="62"/>
      <c r="AF130" s="127"/>
      <c r="AG130" s="82"/>
      <c r="AH130" s="23"/>
      <c r="AI130" s="127"/>
      <c r="AJ130" s="82"/>
      <c r="AK130" s="23"/>
      <c r="AL130" s="127"/>
      <c r="AM130" s="82"/>
      <c r="AN130" s="23"/>
      <c r="AO130" s="127"/>
      <c r="AP130" s="82"/>
      <c r="AQ130" s="82"/>
      <c r="AR130" s="82"/>
      <c r="AS130" s="23"/>
      <c r="AT130" s="24"/>
      <c r="AV130" s="23"/>
      <c r="AW130" s="23"/>
      <c r="AX130" s="23"/>
      <c r="AY130" s="23"/>
      <c r="AZ130" s="23"/>
    </row>
    <row r="131" ht="14.25" customHeight="1">
      <c r="A131" s="22"/>
      <c r="B131" s="82"/>
      <c r="C131" s="82"/>
      <c r="D131" s="62"/>
      <c r="E131" s="82"/>
      <c r="F131" s="82"/>
      <c r="G131" s="62"/>
      <c r="H131" s="82"/>
      <c r="I131" s="82"/>
      <c r="J131" s="62"/>
      <c r="K131" s="82"/>
      <c r="L131" s="82"/>
      <c r="M131" s="62"/>
      <c r="N131" s="82"/>
      <c r="O131" s="82"/>
      <c r="P131" s="62"/>
      <c r="Q131" s="82"/>
      <c r="R131" s="82"/>
      <c r="S131" s="62"/>
      <c r="T131" s="82"/>
      <c r="U131" s="82"/>
      <c r="V131" s="62"/>
      <c r="W131" s="82"/>
      <c r="X131" s="82"/>
      <c r="Y131" s="62"/>
      <c r="Z131" s="82"/>
      <c r="AA131" s="82"/>
      <c r="AB131" s="23"/>
      <c r="AC131" s="82"/>
      <c r="AD131" s="82"/>
      <c r="AE131" s="62"/>
      <c r="AF131" s="82"/>
      <c r="AG131" s="82"/>
      <c r="AH131" s="23"/>
      <c r="AK131" s="23"/>
      <c r="AN131" s="23"/>
      <c r="AS131" s="23"/>
      <c r="AT131" s="24"/>
    </row>
    <row r="132" ht="14.25" customHeight="1">
      <c r="A132" s="22"/>
      <c r="B132" s="55"/>
      <c r="D132" s="62"/>
      <c r="E132" s="110"/>
      <c r="F132" s="28"/>
      <c r="G132" s="62"/>
      <c r="H132" s="110"/>
      <c r="I132" s="28"/>
      <c r="J132" s="62"/>
      <c r="K132" s="110"/>
      <c r="L132" s="28"/>
      <c r="M132" s="62"/>
      <c r="N132" s="110"/>
      <c r="O132" s="28"/>
      <c r="P132" s="62"/>
      <c r="Q132" s="110"/>
      <c r="R132" s="28"/>
      <c r="S132" s="62"/>
      <c r="T132" s="110"/>
      <c r="U132" s="28"/>
      <c r="V132" s="62"/>
      <c r="W132" s="110"/>
      <c r="X132" s="28"/>
      <c r="Y132" s="62"/>
      <c r="Z132" s="55"/>
      <c r="AB132" s="62"/>
      <c r="AC132" s="55"/>
      <c r="AE132" s="62"/>
      <c r="AI132" s="30"/>
      <c r="AK132" s="23"/>
      <c r="AL132" s="30"/>
      <c r="AN132" s="23"/>
      <c r="AO132" s="30"/>
      <c r="AQ132" s="30"/>
      <c r="AR132" s="30"/>
      <c r="AS132" s="23"/>
      <c r="AT132" s="24"/>
    </row>
    <row r="133" ht="14.25" customHeight="1">
      <c r="A133" s="22"/>
      <c r="B133" s="35"/>
      <c r="C133" s="36"/>
      <c r="D133" s="47"/>
      <c r="E133" s="35"/>
      <c r="F133" s="36"/>
      <c r="G133" s="47"/>
      <c r="H133" s="35"/>
      <c r="I133" s="36"/>
      <c r="J133" s="47"/>
      <c r="K133" s="33"/>
      <c r="L133" s="34"/>
      <c r="M133" s="47"/>
      <c r="N133" s="35"/>
      <c r="O133" s="36"/>
      <c r="P133" s="47"/>
      <c r="Q133" s="35"/>
      <c r="R133" s="36"/>
      <c r="S133" s="47"/>
      <c r="T133" s="41"/>
      <c r="U133" s="41"/>
      <c r="V133" s="47"/>
      <c r="W133" s="35"/>
      <c r="X133" s="36"/>
      <c r="Y133" s="47"/>
      <c r="Z133" s="35"/>
      <c r="AA133" s="36"/>
      <c r="AB133" s="82"/>
      <c r="AC133" s="35"/>
      <c r="AD133" s="36"/>
      <c r="AE133" s="47"/>
      <c r="AF133" s="35"/>
      <c r="AG133" s="36"/>
      <c r="AH133" s="38"/>
      <c r="AI133" s="35"/>
      <c r="AJ133" s="36"/>
      <c r="AK133" s="38"/>
      <c r="AL133" s="111" t="s">
        <v>8</v>
      </c>
      <c r="AM133" s="40"/>
      <c r="AN133" s="38"/>
      <c r="AO133" s="35"/>
      <c r="AP133" s="36"/>
      <c r="AQ133" s="43"/>
      <c r="AR133" s="43"/>
      <c r="AS133" s="38"/>
      <c r="AT133" s="71"/>
    </row>
    <row r="134" ht="14.25" customHeight="1">
      <c r="A134" s="22"/>
      <c r="B134" s="109"/>
      <c r="C134" s="109"/>
      <c r="D134" s="47"/>
      <c r="E134" s="109"/>
      <c r="F134" s="109"/>
      <c r="G134" s="47"/>
      <c r="H134" s="109"/>
      <c r="I134" s="109"/>
      <c r="J134" s="47"/>
      <c r="K134" s="132"/>
      <c r="L134" s="132"/>
      <c r="M134" s="47"/>
      <c r="N134" s="109"/>
      <c r="O134" s="109"/>
      <c r="P134" s="47"/>
      <c r="Q134" s="109"/>
      <c r="R134" s="109"/>
      <c r="S134" s="47"/>
      <c r="T134" s="41"/>
      <c r="U134" s="41"/>
      <c r="V134" s="47"/>
      <c r="W134" s="109"/>
      <c r="X134" s="109"/>
      <c r="Y134" s="62"/>
      <c r="Z134" s="109"/>
      <c r="AA134" s="109"/>
      <c r="AB134" s="98"/>
      <c r="AC134" s="109"/>
      <c r="AD134" s="109"/>
      <c r="AE134" s="62"/>
      <c r="AF134" s="109"/>
      <c r="AG134" s="109"/>
      <c r="AH134" s="38"/>
      <c r="AI134" s="109"/>
      <c r="AJ134" s="109"/>
      <c r="AK134" s="23"/>
      <c r="AL134" s="49"/>
      <c r="AM134" s="50"/>
      <c r="AN134" s="23"/>
      <c r="AO134" s="109"/>
      <c r="AP134" s="109"/>
      <c r="AQ134" s="127"/>
      <c r="AR134" s="127"/>
      <c r="AS134" s="38"/>
      <c r="AT134" s="71"/>
      <c r="AV134" s="52">
        <v>12.0</v>
      </c>
      <c r="AW134" s="52">
        <v>11.0</v>
      </c>
      <c r="AX134" s="52">
        <v>6.0</v>
      </c>
      <c r="AY134" s="52">
        <v>0.0</v>
      </c>
      <c r="AZ134" s="52"/>
      <c r="BA134" s="53" t="str">
        <f>+A135+D135+G135+J135+M135+P135+S135+V135+Y135+AB135+AE135+AH135+AK135+AN135+AQ135</f>
        <v>5453.000</v>
      </c>
    </row>
    <row r="135" ht="14.25" customHeight="1">
      <c r="A135" s="22"/>
      <c r="B135" s="60" t="s">
        <v>33</v>
      </c>
      <c r="D135" s="47">
        <v>386.0</v>
      </c>
      <c r="E135" s="60" t="s">
        <v>33</v>
      </c>
      <c r="G135" s="47">
        <v>370.0</v>
      </c>
      <c r="H135" s="60" t="s">
        <v>33</v>
      </c>
      <c r="J135" s="47">
        <v>382.0</v>
      </c>
      <c r="K135" s="126" t="s">
        <v>34</v>
      </c>
      <c r="M135" s="47">
        <v>384.0</v>
      </c>
      <c r="N135" s="79" t="s">
        <v>12</v>
      </c>
      <c r="O135" s="76"/>
      <c r="P135" s="47">
        <v>382.0</v>
      </c>
      <c r="Q135" s="79" t="s">
        <v>16</v>
      </c>
      <c r="R135" s="76"/>
      <c r="S135" s="47">
        <v>357.0</v>
      </c>
      <c r="T135" s="60" t="s">
        <v>33</v>
      </c>
      <c r="V135" s="47">
        <v>351.0</v>
      </c>
      <c r="W135" s="81" t="s">
        <v>11</v>
      </c>
      <c r="X135" s="76"/>
      <c r="Y135" s="62">
        <v>413.0</v>
      </c>
      <c r="Z135" s="60" t="s">
        <v>34</v>
      </c>
      <c r="AB135" s="98">
        <v>423.0</v>
      </c>
      <c r="AC135" s="60" t="s">
        <v>11</v>
      </c>
      <c r="AE135" s="62">
        <v>390.0</v>
      </c>
      <c r="AF135" s="60" t="s">
        <v>33</v>
      </c>
      <c r="AH135" s="47">
        <v>406.0</v>
      </c>
      <c r="AI135" s="60" t="s">
        <v>34</v>
      </c>
      <c r="AK135" s="62">
        <v>390.0</v>
      </c>
      <c r="AL135" s="55" t="s">
        <v>11</v>
      </c>
      <c r="AN135" s="62">
        <v>393.0</v>
      </c>
      <c r="AO135" s="55" t="s">
        <v>33</v>
      </c>
      <c r="AQ135" s="55">
        <v>426.0</v>
      </c>
      <c r="AR135" s="55"/>
      <c r="AS135" s="38"/>
      <c r="AT135" s="71"/>
    </row>
    <row r="136" ht="14.25" customHeight="1">
      <c r="A136" s="22"/>
      <c r="B136" s="59" t="s">
        <v>281</v>
      </c>
      <c r="D136" s="62"/>
      <c r="E136" s="59" t="s">
        <v>282</v>
      </c>
      <c r="G136" s="62"/>
      <c r="H136" s="59" t="s">
        <v>283</v>
      </c>
      <c r="J136" s="62"/>
      <c r="K136" s="59" t="s">
        <v>284</v>
      </c>
      <c r="M136" s="62"/>
      <c r="N136" s="59" t="s">
        <v>285</v>
      </c>
      <c r="P136" s="62"/>
      <c r="Q136" s="59" t="s">
        <v>286</v>
      </c>
      <c r="S136" s="62"/>
      <c r="T136" s="59" t="s">
        <v>287</v>
      </c>
      <c r="V136" s="62"/>
      <c r="W136" s="59" t="s">
        <v>288</v>
      </c>
      <c r="Y136" s="62"/>
      <c r="Z136" s="59" t="s">
        <v>289</v>
      </c>
      <c r="AB136" s="62"/>
      <c r="AC136" s="59" t="s">
        <v>290</v>
      </c>
      <c r="AE136" s="62"/>
      <c r="AF136" s="59" t="s">
        <v>291</v>
      </c>
      <c r="AH136" s="23"/>
      <c r="AI136" s="59" t="s">
        <v>292</v>
      </c>
      <c r="AK136" s="23"/>
      <c r="AL136" s="59" t="s">
        <v>293</v>
      </c>
      <c r="AN136" s="23"/>
      <c r="AO136" s="59" t="s">
        <v>294</v>
      </c>
      <c r="AQ136" s="55"/>
      <c r="AR136" s="55"/>
      <c r="AS136" s="23"/>
      <c r="AT136" s="24"/>
    </row>
    <row r="137" ht="14.25" customHeight="1">
      <c r="A137" s="22"/>
      <c r="B137" s="118" t="s">
        <v>232</v>
      </c>
      <c r="C137" s="118"/>
      <c r="D137" s="117"/>
      <c r="E137" s="118" t="s">
        <v>232</v>
      </c>
      <c r="F137" s="118"/>
      <c r="G137" s="117"/>
      <c r="H137" s="118" t="s">
        <v>232</v>
      </c>
      <c r="I137" s="118"/>
      <c r="J137" s="117"/>
      <c r="K137" s="118" t="s">
        <v>232</v>
      </c>
      <c r="L137" s="118"/>
      <c r="M137" s="117"/>
      <c r="N137" s="96"/>
      <c r="O137" s="64" t="s">
        <v>31</v>
      </c>
      <c r="P137" s="97"/>
      <c r="Q137" s="96"/>
      <c r="R137" s="64" t="s">
        <v>31</v>
      </c>
      <c r="S137" s="97"/>
      <c r="T137" s="96"/>
      <c r="U137" s="64" t="s">
        <v>31</v>
      </c>
      <c r="V137" s="97"/>
      <c r="W137" s="96"/>
      <c r="X137" s="64" t="s">
        <v>31</v>
      </c>
      <c r="Y137" s="97"/>
      <c r="Z137" s="96"/>
      <c r="AA137" s="64" t="s">
        <v>31</v>
      </c>
      <c r="AB137" s="97"/>
      <c r="AC137" s="96"/>
      <c r="AD137" s="64" t="s">
        <v>31</v>
      </c>
      <c r="AE137" s="97"/>
      <c r="AF137" s="96"/>
      <c r="AG137" s="64" t="s">
        <v>31</v>
      </c>
      <c r="AH137" s="133"/>
      <c r="AI137" s="96"/>
      <c r="AJ137" s="64" t="s">
        <v>31</v>
      </c>
      <c r="AK137" s="133"/>
      <c r="AL137" s="96"/>
      <c r="AM137" s="64" t="s">
        <v>31</v>
      </c>
      <c r="AN137" s="133"/>
      <c r="AO137" s="96"/>
      <c r="AP137" s="64" t="s">
        <v>31</v>
      </c>
      <c r="AQ137" s="64"/>
      <c r="AR137" s="64"/>
      <c r="AS137" s="23"/>
      <c r="AT137" s="24"/>
    </row>
    <row r="138" ht="14.25" customHeight="1">
      <c r="A138" s="22"/>
      <c r="B138" s="55"/>
      <c r="C138" s="55"/>
      <c r="D138" s="47"/>
      <c r="E138" s="127"/>
      <c r="F138" s="55"/>
      <c r="G138" s="55"/>
      <c r="H138" s="127"/>
      <c r="I138" s="82"/>
      <c r="J138" s="47"/>
      <c r="K138" s="128"/>
      <c r="L138" s="129"/>
      <c r="M138" s="47"/>
      <c r="N138" s="128"/>
      <c r="O138" s="129"/>
      <c r="P138" s="47"/>
      <c r="Q138" s="128"/>
      <c r="R138" s="129"/>
      <c r="S138" s="47"/>
      <c r="T138" s="128"/>
      <c r="U138" s="129"/>
      <c r="V138" s="47"/>
      <c r="W138" s="127"/>
      <c r="X138" s="82"/>
      <c r="Y138" s="62"/>
      <c r="Z138" s="121" t="s">
        <v>295</v>
      </c>
      <c r="AA138" s="94"/>
      <c r="AB138" s="94"/>
      <c r="AC138" s="94"/>
      <c r="AD138" s="95"/>
      <c r="AE138" s="62"/>
      <c r="AF138" s="127"/>
      <c r="AG138" s="82"/>
      <c r="AH138" s="23"/>
      <c r="AI138" s="127"/>
      <c r="AJ138" s="82"/>
      <c r="AK138" s="23"/>
      <c r="AL138" s="127"/>
      <c r="AM138" s="82"/>
      <c r="AN138" s="23"/>
      <c r="AO138" s="127"/>
      <c r="AP138" s="82"/>
      <c r="AQ138" s="82"/>
      <c r="AR138" s="82"/>
      <c r="AS138" s="23"/>
      <c r="AT138" s="24"/>
      <c r="AV138" s="23"/>
      <c r="AW138" s="23"/>
      <c r="AX138" s="23"/>
      <c r="AY138" s="23"/>
      <c r="AZ138" s="23"/>
    </row>
    <row r="139" ht="14.25" customHeight="1">
      <c r="A139" s="22"/>
      <c r="B139" s="82"/>
      <c r="C139" s="82"/>
      <c r="D139" s="62"/>
      <c r="E139" s="82"/>
      <c r="F139" s="82"/>
      <c r="G139" s="62"/>
      <c r="H139" s="82"/>
      <c r="I139" s="82"/>
      <c r="J139" s="62"/>
      <c r="K139" s="82"/>
      <c r="L139" s="82"/>
      <c r="M139" s="62"/>
      <c r="N139" s="82"/>
      <c r="O139" s="82"/>
      <c r="P139" s="62"/>
      <c r="Q139" s="82"/>
      <c r="R139" s="82"/>
      <c r="S139" s="62"/>
      <c r="T139" s="82"/>
      <c r="U139" s="82"/>
      <c r="V139" s="62"/>
      <c r="W139" s="82"/>
      <c r="X139" s="82"/>
      <c r="Y139" s="62"/>
      <c r="Z139" s="82"/>
      <c r="AA139" s="82"/>
      <c r="AB139" s="23"/>
      <c r="AC139" s="82"/>
      <c r="AD139" s="82"/>
      <c r="AE139" s="62"/>
      <c r="AF139" s="82"/>
      <c r="AG139" s="82"/>
      <c r="AH139" s="23"/>
      <c r="AK139" s="23"/>
      <c r="AN139" s="23"/>
      <c r="AS139" s="23"/>
      <c r="AT139" s="24"/>
    </row>
    <row r="140" ht="14.25" customHeight="1">
      <c r="A140" s="22"/>
      <c r="B140" s="55"/>
      <c r="D140" s="62"/>
      <c r="E140" s="110"/>
      <c r="F140" s="28"/>
      <c r="G140" s="62"/>
      <c r="H140" s="110"/>
      <c r="I140" s="28"/>
      <c r="J140" s="62"/>
      <c r="K140" s="110"/>
      <c r="L140" s="28"/>
      <c r="M140" s="62"/>
      <c r="N140" s="110"/>
      <c r="O140" s="28"/>
      <c r="P140" s="62"/>
      <c r="Q140" s="110"/>
      <c r="R140" s="28"/>
      <c r="S140" s="62"/>
      <c r="T140" s="110"/>
      <c r="U140" s="28"/>
      <c r="V140" s="62"/>
      <c r="W140" s="110"/>
      <c r="X140" s="28"/>
      <c r="Y140" s="62"/>
      <c r="Z140" s="55"/>
      <c r="AB140" s="62"/>
      <c r="AC140" s="55"/>
      <c r="AE140" s="62"/>
      <c r="AI140" s="30"/>
      <c r="AK140" s="23"/>
      <c r="AL140" s="30"/>
      <c r="AN140" s="23"/>
      <c r="AO140" s="30"/>
      <c r="AQ140" s="30"/>
      <c r="AR140" s="30"/>
      <c r="AS140" s="23"/>
      <c r="AT140" s="24"/>
    </row>
    <row r="141" ht="14.25" customHeight="1">
      <c r="A141" s="22"/>
      <c r="B141" s="35"/>
      <c r="C141" s="36"/>
      <c r="D141" s="47"/>
      <c r="E141" s="35"/>
      <c r="F141" s="36"/>
      <c r="G141" s="47"/>
      <c r="H141" s="35"/>
      <c r="I141" s="36"/>
      <c r="J141" s="47"/>
      <c r="K141" s="35"/>
      <c r="L141" s="36"/>
      <c r="M141" s="47"/>
      <c r="N141" s="35"/>
      <c r="O141" s="36"/>
      <c r="P141" s="47"/>
      <c r="Q141" s="35"/>
      <c r="R141" s="36"/>
      <c r="S141" s="47"/>
      <c r="T141" s="35"/>
      <c r="U141" s="36"/>
      <c r="V141" s="47"/>
      <c r="W141" s="35"/>
      <c r="X141" s="36"/>
      <c r="Y141" s="47"/>
      <c r="Z141" s="41"/>
      <c r="AA141" s="41"/>
      <c r="AB141" s="82"/>
      <c r="AC141" s="33"/>
      <c r="AD141" s="34"/>
      <c r="AE141" s="47"/>
      <c r="AF141" s="35"/>
      <c r="AG141" s="36"/>
      <c r="AH141" s="38"/>
      <c r="AI141" s="35"/>
      <c r="AJ141" s="36"/>
      <c r="AK141" s="38"/>
      <c r="AL141" s="35"/>
      <c r="AM141" s="36"/>
      <c r="AN141" s="38"/>
      <c r="AO141" s="35"/>
      <c r="AP141" s="36"/>
      <c r="AQ141" s="134"/>
      <c r="AR141" s="134"/>
      <c r="AS141" s="38"/>
      <c r="AT141" s="71"/>
    </row>
    <row r="142" ht="14.25" customHeight="1">
      <c r="A142" s="22"/>
      <c r="B142" s="109"/>
      <c r="C142" s="109"/>
      <c r="D142" s="47"/>
      <c r="E142" s="109"/>
      <c r="F142" s="109"/>
      <c r="G142" s="47"/>
      <c r="H142" s="109"/>
      <c r="I142" s="109"/>
      <c r="J142" s="47"/>
      <c r="K142" s="109"/>
      <c r="L142" s="109"/>
      <c r="M142" s="47"/>
      <c r="N142" s="109"/>
      <c r="O142" s="109"/>
      <c r="P142" s="47"/>
      <c r="Q142" s="109"/>
      <c r="R142" s="109"/>
      <c r="S142" s="47"/>
      <c r="T142" s="109"/>
      <c r="U142" s="109"/>
      <c r="V142" s="47"/>
      <c r="W142" s="109"/>
      <c r="X142" s="109"/>
      <c r="Y142" s="62"/>
      <c r="Z142" s="41"/>
      <c r="AA142" s="41"/>
      <c r="AB142" s="98"/>
      <c r="AC142" s="132"/>
      <c r="AD142" s="132"/>
      <c r="AE142" s="62"/>
      <c r="AF142" s="109"/>
      <c r="AG142" s="109"/>
      <c r="AH142" s="38"/>
      <c r="AI142" s="109"/>
      <c r="AJ142" s="109"/>
      <c r="AK142" s="23"/>
      <c r="AL142" s="109"/>
      <c r="AM142" s="109"/>
      <c r="AN142" s="23"/>
      <c r="AO142" s="109"/>
      <c r="AP142" s="109"/>
      <c r="AQ142" s="135"/>
      <c r="AR142" s="135"/>
      <c r="AS142" s="38"/>
      <c r="AT142" s="71"/>
      <c r="AV142" s="52">
        <v>13.0</v>
      </c>
      <c r="AW142" s="52">
        <v>11.0</v>
      </c>
      <c r="AX142" s="52">
        <v>7.0</v>
      </c>
      <c r="AY142" s="52">
        <v>0.0</v>
      </c>
      <c r="AZ142" s="52"/>
      <c r="BA142" s="53" t="str">
        <f>+A143+D143+G143+J143+M143+P143+S143+V143+Y143+AB143+AE143+AH143+AK143+AN143+AQ143</f>
        <v>5377.000</v>
      </c>
    </row>
    <row r="143" ht="14.25" customHeight="1">
      <c r="A143" s="22"/>
      <c r="B143" s="60" t="s">
        <v>34</v>
      </c>
      <c r="D143" s="47">
        <v>407.0</v>
      </c>
      <c r="E143" s="79" t="s">
        <v>16</v>
      </c>
      <c r="F143" s="76"/>
      <c r="G143" s="47">
        <v>404.0</v>
      </c>
      <c r="H143" s="75" t="s">
        <v>12</v>
      </c>
      <c r="I143" s="76"/>
      <c r="J143" s="47">
        <v>418.0</v>
      </c>
      <c r="K143" s="79" t="s">
        <v>33</v>
      </c>
      <c r="L143" s="76"/>
      <c r="M143" s="47">
        <v>413.0</v>
      </c>
      <c r="N143" s="79" t="s">
        <v>34</v>
      </c>
      <c r="O143" s="76"/>
      <c r="P143" s="47">
        <v>410.0</v>
      </c>
      <c r="Q143" s="79" t="s">
        <v>33</v>
      </c>
      <c r="R143" s="76"/>
      <c r="S143" s="47">
        <v>426.0</v>
      </c>
      <c r="T143" s="81" t="s">
        <v>33</v>
      </c>
      <c r="U143" s="76"/>
      <c r="V143" s="47">
        <v>397.0</v>
      </c>
      <c r="W143" s="81" t="s">
        <v>12</v>
      </c>
      <c r="X143" s="76"/>
      <c r="Y143" s="62">
        <v>404.0</v>
      </c>
      <c r="Z143" s="60" t="s">
        <v>147</v>
      </c>
      <c r="AB143" s="98">
        <v>224.0</v>
      </c>
      <c r="AC143" s="60" t="s">
        <v>115</v>
      </c>
      <c r="AE143" s="62">
        <v>422.0</v>
      </c>
      <c r="AF143" s="60" t="s">
        <v>33</v>
      </c>
      <c r="AH143" s="47">
        <v>343.0</v>
      </c>
      <c r="AI143" s="83" t="s">
        <v>15</v>
      </c>
      <c r="AK143" s="62">
        <v>360.0</v>
      </c>
      <c r="AL143" s="83" t="s">
        <v>15</v>
      </c>
      <c r="AN143" s="23">
        <v>340.0</v>
      </c>
      <c r="AO143" s="30" t="s">
        <v>36</v>
      </c>
      <c r="AQ143" s="30">
        <v>409.0</v>
      </c>
      <c r="AR143" s="30"/>
      <c r="AS143" s="38"/>
      <c r="AT143" s="71"/>
    </row>
    <row r="144" ht="14.25" customHeight="1">
      <c r="A144" s="22"/>
      <c r="B144" s="59" t="s">
        <v>296</v>
      </c>
      <c r="D144" s="62"/>
      <c r="E144" s="55" t="s">
        <v>297</v>
      </c>
      <c r="G144" s="62"/>
      <c r="H144" s="55" t="s">
        <v>298</v>
      </c>
      <c r="J144" s="62"/>
      <c r="K144" s="55" t="s">
        <v>299</v>
      </c>
      <c r="M144" s="62"/>
      <c r="N144" s="55" t="s">
        <v>300</v>
      </c>
      <c r="P144" s="62"/>
      <c r="Q144" s="55" t="s">
        <v>301</v>
      </c>
      <c r="S144" s="62"/>
      <c r="T144" s="55" t="s">
        <v>302</v>
      </c>
      <c r="V144" s="62"/>
      <c r="W144" s="55" t="s">
        <v>303</v>
      </c>
      <c r="Y144" s="62"/>
      <c r="Z144" s="55" t="s">
        <v>304</v>
      </c>
      <c r="AB144" s="62"/>
      <c r="AC144" s="55" t="s">
        <v>305</v>
      </c>
      <c r="AE144" s="62"/>
      <c r="AF144" s="55" t="s">
        <v>306</v>
      </c>
      <c r="AH144" s="23"/>
      <c r="AI144" s="55" t="s">
        <v>307</v>
      </c>
      <c r="AK144" s="62"/>
      <c r="AL144" s="55" t="s">
        <v>308</v>
      </c>
      <c r="AN144" s="23"/>
      <c r="AO144" s="55" t="s">
        <v>309</v>
      </c>
      <c r="AQ144" s="55"/>
      <c r="AR144" s="55"/>
      <c r="AS144" s="23"/>
      <c r="AT144" s="24"/>
    </row>
    <row r="145" ht="14.25" customHeight="1">
      <c r="A145" s="22"/>
      <c r="B145" s="64" t="s">
        <v>31</v>
      </c>
      <c r="C145" s="96"/>
      <c r="D145" s="97"/>
      <c r="E145" s="96"/>
      <c r="F145" s="64" t="s">
        <v>31</v>
      </c>
      <c r="G145" s="97"/>
      <c r="H145" s="96"/>
      <c r="I145" s="64" t="s">
        <v>31</v>
      </c>
      <c r="J145" s="97"/>
      <c r="K145" s="96"/>
      <c r="L145" s="64" t="s">
        <v>31</v>
      </c>
      <c r="M145" s="97"/>
      <c r="N145" s="96"/>
      <c r="O145" s="64" t="s">
        <v>31</v>
      </c>
      <c r="P145" s="97"/>
      <c r="Q145" s="96"/>
      <c r="R145" s="64" t="s">
        <v>31</v>
      </c>
      <c r="S145" s="97"/>
      <c r="T145" s="96"/>
      <c r="U145" s="64" t="s">
        <v>31</v>
      </c>
      <c r="V145" s="97"/>
      <c r="W145" s="96"/>
      <c r="X145" s="64" t="s">
        <v>31</v>
      </c>
      <c r="Y145" s="97"/>
      <c r="Z145" s="96"/>
      <c r="AA145" s="64" t="s">
        <v>31</v>
      </c>
      <c r="AB145" s="97"/>
      <c r="AC145" s="96"/>
      <c r="AD145" s="64" t="s">
        <v>31</v>
      </c>
      <c r="AE145" s="97"/>
      <c r="AF145" s="96"/>
      <c r="AG145" s="64" t="s">
        <v>31</v>
      </c>
      <c r="AH145" s="133"/>
      <c r="AI145" s="96"/>
      <c r="AJ145" s="64" t="s">
        <v>31</v>
      </c>
      <c r="AK145" s="133"/>
      <c r="AL145" s="64"/>
      <c r="AM145" s="64" t="s">
        <v>31</v>
      </c>
      <c r="AN145" s="133"/>
      <c r="AO145" s="96"/>
      <c r="AP145" s="64" t="s">
        <v>31</v>
      </c>
      <c r="AQ145" s="64"/>
      <c r="AR145" s="64"/>
      <c r="AS145" s="23"/>
      <c r="AT145" s="24"/>
    </row>
    <row r="146" ht="14.25" customHeight="1">
      <c r="A146" s="22"/>
      <c r="C146" s="82"/>
      <c r="D146" s="82"/>
      <c r="E146" s="82"/>
      <c r="F146" s="82"/>
      <c r="G146" s="82"/>
      <c r="H146" s="121" t="s">
        <v>310</v>
      </c>
      <c r="I146" s="94"/>
      <c r="J146" s="94"/>
      <c r="K146" s="94"/>
      <c r="L146" s="95"/>
      <c r="M146" s="82"/>
      <c r="N146" s="82"/>
      <c r="O146" s="82"/>
      <c r="P146" s="82"/>
      <c r="Q146" s="121" t="s">
        <v>295</v>
      </c>
      <c r="R146" s="94"/>
      <c r="S146" s="94"/>
      <c r="T146" s="94"/>
      <c r="U146" s="95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  <c r="AM146" s="82"/>
      <c r="AN146" s="82"/>
      <c r="AO146" s="55" t="s">
        <v>311</v>
      </c>
      <c r="AT146" s="136"/>
      <c r="AV146" s="23"/>
      <c r="AW146" s="23"/>
      <c r="AX146" s="23"/>
      <c r="AY146" s="23"/>
      <c r="AZ146" s="23"/>
    </row>
    <row r="147" ht="14.25" customHeight="1">
      <c r="A147" s="22"/>
      <c r="B147" s="82"/>
      <c r="C147" s="82"/>
      <c r="D147" s="62"/>
      <c r="E147" s="82"/>
      <c r="F147" s="82"/>
      <c r="G147" s="62"/>
      <c r="H147" s="82"/>
      <c r="I147" s="82"/>
      <c r="J147" s="62"/>
      <c r="K147" s="82"/>
      <c r="L147" s="82"/>
      <c r="M147" s="62"/>
      <c r="N147" s="82"/>
      <c r="O147" s="82"/>
      <c r="P147" s="62"/>
      <c r="Q147" s="82"/>
      <c r="R147" s="82"/>
      <c r="S147" s="62"/>
      <c r="T147" s="82"/>
      <c r="U147" s="82"/>
      <c r="V147" s="62"/>
      <c r="W147" s="82"/>
      <c r="X147" s="82"/>
      <c r="Y147" s="62"/>
      <c r="Z147" s="82"/>
      <c r="AA147" s="82"/>
      <c r="AB147" s="23"/>
      <c r="AC147" s="82"/>
      <c r="AD147" s="82"/>
      <c r="AE147" s="62"/>
      <c r="AF147" s="82"/>
      <c r="AG147" s="82"/>
      <c r="AH147" s="23"/>
      <c r="AK147" s="23"/>
      <c r="AN147" s="23"/>
      <c r="AS147" s="23"/>
      <c r="AT147" s="24"/>
    </row>
    <row r="148" ht="14.25" customHeight="1">
      <c r="A148" s="22"/>
      <c r="B148" s="55"/>
      <c r="D148" s="62"/>
      <c r="E148" s="110"/>
      <c r="F148" s="28"/>
      <c r="G148" s="62"/>
      <c r="H148" s="110"/>
      <c r="I148" s="28"/>
      <c r="J148" s="62"/>
      <c r="K148" s="110"/>
      <c r="L148" s="28"/>
      <c r="M148" s="62"/>
      <c r="N148" s="110"/>
      <c r="O148" s="28"/>
      <c r="P148" s="62"/>
      <c r="Q148" s="110"/>
      <c r="R148" s="28"/>
      <c r="S148" s="62"/>
      <c r="T148" s="110"/>
      <c r="U148" s="28"/>
      <c r="V148" s="62"/>
      <c r="W148" s="110"/>
      <c r="X148" s="28"/>
      <c r="Y148" s="62"/>
      <c r="Z148" s="55"/>
      <c r="AB148" s="62"/>
      <c r="AC148" s="55"/>
      <c r="AE148" s="62"/>
      <c r="AI148" s="30"/>
      <c r="AK148" s="23"/>
      <c r="AL148" s="30"/>
      <c r="AN148" s="23"/>
      <c r="AO148" s="30"/>
      <c r="AQ148" s="30"/>
      <c r="AR148" s="30"/>
      <c r="AS148" s="23"/>
      <c r="AT148" s="24"/>
    </row>
    <row r="149" ht="14.25" customHeight="1">
      <c r="A149" s="22"/>
      <c r="B149" s="41"/>
      <c r="C149" s="41"/>
      <c r="D149" s="47"/>
      <c r="E149" s="41"/>
      <c r="F149" s="41"/>
      <c r="G149" s="47"/>
      <c r="H149" s="35"/>
      <c r="I149" s="36"/>
      <c r="J149" s="47"/>
      <c r="K149" s="35"/>
      <c r="L149" s="36"/>
      <c r="M149" s="47"/>
      <c r="N149" s="41"/>
      <c r="O149" s="41"/>
      <c r="P149" s="47"/>
      <c r="Q149" s="35"/>
      <c r="R149" s="36"/>
      <c r="S149" s="47"/>
      <c r="T149" s="122"/>
      <c r="U149" s="123"/>
      <c r="V149" s="47"/>
      <c r="W149" s="35"/>
      <c r="X149" s="36"/>
      <c r="Y149" s="47"/>
      <c r="Z149" s="35"/>
      <c r="AA149" s="36"/>
      <c r="AB149" s="82"/>
      <c r="AC149" s="111" t="s">
        <v>8</v>
      </c>
      <c r="AD149" s="40"/>
      <c r="AE149" s="47"/>
      <c r="AF149" s="111" t="s">
        <v>8</v>
      </c>
      <c r="AG149" s="40"/>
      <c r="AH149" s="38"/>
      <c r="AI149" s="35"/>
      <c r="AJ149" s="36"/>
      <c r="AK149" s="38"/>
      <c r="AL149" s="111" t="s">
        <v>8</v>
      </c>
      <c r="AM149" s="40"/>
      <c r="AN149" s="38"/>
      <c r="AO149" s="111" t="s">
        <v>8</v>
      </c>
      <c r="AP149" s="40"/>
      <c r="AQ149" s="124"/>
      <c r="AR149" s="124"/>
      <c r="AS149" s="38"/>
      <c r="AT149" s="71"/>
    </row>
    <row r="150" ht="14.25" customHeight="1">
      <c r="A150" s="22"/>
      <c r="B150" s="41"/>
      <c r="C150" s="41"/>
      <c r="D150" s="47"/>
      <c r="E150" s="41"/>
      <c r="F150" s="41"/>
      <c r="G150" s="47"/>
      <c r="H150" s="109"/>
      <c r="I150" s="109"/>
      <c r="J150" s="47"/>
      <c r="K150" s="109"/>
      <c r="L150" s="109"/>
      <c r="M150" s="47"/>
      <c r="N150" s="41"/>
      <c r="O150" s="41"/>
      <c r="P150" s="47"/>
      <c r="Q150" s="109"/>
      <c r="R150" s="109"/>
      <c r="S150" s="47"/>
      <c r="T150" s="125"/>
      <c r="U150" s="125"/>
      <c r="V150" s="47"/>
      <c r="W150" s="109"/>
      <c r="X150" s="109"/>
      <c r="Y150" s="62"/>
      <c r="Z150" s="109"/>
      <c r="AA150" s="109"/>
      <c r="AB150" s="98"/>
      <c r="AC150" s="49"/>
      <c r="AD150" s="50"/>
      <c r="AE150" s="62"/>
      <c r="AF150" s="49"/>
      <c r="AG150" s="50"/>
      <c r="AH150" s="38"/>
      <c r="AI150" s="109"/>
      <c r="AJ150" s="109"/>
      <c r="AK150" s="23"/>
      <c r="AL150" s="49"/>
      <c r="AM150" s="50"/>
      <c r="AN150" s="23"/>
      <c r="AO150" s="49"/>
      <c r="AP150" s="50"/>
      <c r="AQ150" s="124"/>
      <c r="AR150" s="124"/>
      <c r="AS150" s="38"/>
      <c r="AT150" s="71"/>
      <c r="AV150" s="52">
        <v>9.0</v>
      </c>
      <c r="AW150" s="52">
        <v>6.0</v>
      </c>
      <c r="AX150" s="52">
        <v>5.0</v>
      </c>
      <c r="AY150" s="52">
        <v>0.0</v>
      </c>
      <c r="AZ150" s="52"/>
      <c r="BA150" s="53" t="str">
        <f>+A151+D151+G151+J151+M151+P151+S151+V151+Y151+AB151+AE151+AH151+AK151+AN151+AQ151</f>
        <v>4749.269</v>
      </c>
    </row>
    <row r="151" ht="14.25" customHeight="1">
      <c r="A151" s="22"/>
      <c r="B151" s="60" t="s">
        <v>35</v>
      </c>
      <c r="D151" s="47">
        <v>391.06</v>
      </c>
      <c r="E151" s="60" t="s">
        <v>113</v>
      </c>
      <c r="G151" s="47">
        <v>386.0</v>
      </c>
      <c r="H151" s="60" t="s">
        <v>312</v>
      </c>
      <c r="J151" s="137">
        <v>372.887</v>
      </c>
      <c r="K151" s="60" t="s">
        <v>313</v>
      </c>
      <c r="M151" s="137">
        <v>333.0</v>
      </c>
      <c r="N151" s="79" t="s">
        <v>34</v>
      </c>
      <c r="O151" s="76"/>
      <c r="P151" s="137">
        <v>357.142</v>
      </c>
      <c r="Q151" s="79" t="s">
        <v>147</v>
      </c>
      <c r="R151" s="76"/>
      <c r="S151" s="137">
        <v>234.171</v>
      </c>
      <c r="T151" s="81" t="s">
        <v>170</v>
      </c>
      <c r="U151" s="76"/>
      <c r="V151" s="138">
        <v>352.0</v>
      </c>
      <c r="W151" s="81" t="s">
        <v>12</v>
      </c>
      <c r="X151" s="76"/>
      <c r="Y151" s="138">
        <v>353.0</v>
      </c>
      <c r="Z151" s="60" t="s">
        <v>34</v>
      </c>
      <c r="AB151" s="138">
        <v>352.606</v>
      </c>
      <c r="AC151" s="60" t="s">
        <v>149</v>
      </c>
      <c r="AE151" s="62">
        <v>268.0</v>
      </c>
      <c r="AF151" s="60" t="s">
        <v>314</v>
      </c>
      <c r="AH151" s="47">
        <v>306.0</v>
      </c>
      <c r="AI151" s="60" t="s">
        <v>315</v>
      </c>
      <c r="AK151" s="62">
        <v>297.0</v>
      </c>
      <c r="AL151" s="55" t="s">
        <v>15</v>
      </c>
      <c r="AN151" s="138">
        <v>414.403</v>
      </c>
      <c r="AO151" s="55" t="s">
        <v>51</v>
      </c>
      <c r="AQ151" s="55">
        <v>332.0</v>
      </c>
      <c r="AR151" s="55"/>
      <c r="AS151" s="38"/>
      <c r="AT151" s="71"/>
    </row>
    <row r="152" ht="14.25" customHeight="1">
      <c r="A152" s="22"/>
      <c r="B152" s="55" t="s">
        <v>316</v>
      </c>
      <c r="D152" s="62"/>
      <c r="E152" s="55" t="s">
        <v>317</v>
      </c>
      <c r="G152" s="62"/>
      <c r="H152" s="55" t="s">
        <v>318</v>
      </c>
      <c r="J152" s="62"/>
      <c r="K152" s="55" t="s">
        <v>319</v>
      </c>
      <c r="M152" s="62"/>
      <c r="N152" s="55" t="s">
        <v>320</v>
      </c>
      <c r="P152" s="62"/>
      <c r="Q152" s="60" t="s">
        <v>321</v>
      </c>
      <c r="S152" s="62"/>
      <c r="T152" s="55" t="s">
        <v>322</v>
      </c>
      <c r="V152" s="62"/>
      <c r="W152" s="55" t="s">
        <v>323</v>
      </c>
      <c r="Y152" s="62"/>
      <c r="Z152" s="55" t="s">
        <v>324</v>
      </c>
      <c r="AB152" s="62"/>
      <c r="AC152" s="55" t="s">
        <v>325</v>
      </c>
      <c r="AE152" s="62"/>
      <c r="AF152" s="55" t="s">
        <v>326</v>
      </c>
      <c r="AH152" s="23"/>
      <c r="AI152" s="55" t="s">
        <v>327</v>
      </c>
      <c r="AK152" s="23"/>
      <c r="AL152" s="55" t="s">
        <v>328</v>
      </c>
      <c r="AN152" s="23"/>
      <c r="AO152" s="55" t="s">
        <v>329</v>
      </c>
      <c r="AQ152" s="55"/>
      <c r="AR152" s="55"/>
      <c r="AS152" s="23"/>
      <c r="AT152" s="24"/>
    </row>
    <row r="153" ht="14.25" customHeight="1">
      <c r="A153" s="22"/>
      <c r="B153" s="64" t="s">
        <v>31</v>
      </c>
      <c r="C153" s="96"/>
      <c r="D153" s="97"/>
      <c r="E153" s="96"/>
      <c r="F153" s="64" t="s">
        <v>31</v>
      </c>
      <c r="G153" s="97"/>
      <c r="H153" s="96"/>
      <c r="I153" s="64" t="s">
        <v>31</v>
      </c>
      <c r="J153" s="97"/>
      <c r="K153" s="96"/>
      <c r="L153" s="64" t="s">
        <v>31</v>
      </c>
      <c r="M153" s="97"/>
      <c r="N153" s="96"/>
      <c r="O153" s="64" t="s">
        <v>31</v>
      </c>
      <c r="P153" s="97"/>
      <c r="Q153" s="96"/>
      <c r="R153" s="64" t="s">
        <v>31</v>
      </c>
      <c r="S153" s="97"/>
      <c r="T153" s="96"/>
      <c r="U153" s="64" t="s">
        <v>31</v>
      </c>
      <c r="V153" s="97"/>
      <c r="W153" s="96"/>
      <c r="X153" s="64" t="s">
        <v>31</v>
      </c>
      <c r="Y153" s="97"/>
      <c r="Z153" s="96"/>
      <c r="AA153" s="64" t="s">
        <v>31</v>
      </c>
      <c r="AB153" s="97"/>
      <c r="AC153" s="96"/>
      <c r="AD153" s="64" t="s">
        <v>31</v>
      </c>
      <c r="AE153" s="97"/>
      <c r="AF153" s="96"/>
      <c r="AG153" s="64" t="s">
        <v>31</v>
      </c>
      <c r="AH153" s="133"/>
      <c r="AI153" s="96"/>
      <c r="AJ153" s="64" t="s">
        <v>31</v>
      </c>
      <c r="AK153" s="133"/>
      <c r="AL153" s="96"/>
      <c r="AM153" s="64" t="s">
        <v>31</v>
      </c>
      <c r="AN153" s="133"/>
      <c r="AO153" s="96"/>
      <c r="AP153" s="64" t="s">
        <v>31</v>
      </c>
      <c r="AQ153" s="64"/>
      <c r="AR153" s="64"/>
      <c r="AS153" s="23"/>
      <c r="AT153" s="24"/>
    </row>
    <row r="154" ht="14.25" customHeight="1">
      <c r="A154" s="22"/>
      <c r="B154" s="121" t="s">
        <v>311</v>
      </c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5"/>
      <c r="P154" s="82"/>
      <c r="Q154" s="82"/>
      <c r="R154" s="82"/>
      <c r="S154" s="82"/>
      <c r="T154" s="82"/>
      <c r="U154" s="82"/>
      <c r="V154" s="47"/>
      <c r="W154" s="139" t="s">
        <v>330</v>
      </c>
      <c r="X154" s="94"/>
      <c r="Y154" s="94"/>
      <c r="Z154" s="94"/>
      <c r="AA154" s="95"/>
      <c r="AB154" s="82"/>
      <c r="AC154" s="140" t="s">
        <v>331</v>
      </c>
      <c r="AD154" s="140"/>
      <c r="AE154" s="140"/>
      <c r="AF154" s="139" t="s">
        <v>295</v>
      </c>
      <c r="AG154" s="94"/>
      <c r="AH154" s="94"/>
      <c r="AI154" s="94"/>
      <c r="AJ154" s="95"/>
      <c r="AK154" s="23"/>
      <c r="AL154" s="127"/>
      <c r="AM154" s="82"/>
      <c r="AN154" s="23"/>
      <c r="AO154" s="127"/>
      <c r="AP154" s="82"/>
      <c r="AQ154" s="82"/>
      <c r="AR154" s="82"/>
      <c r="AS154" s="23"/>
      <c r="AT154" s="24"/>
      <c r="AV154" s="23"/>
      <c r="AW154" s="23"/>
      <c r="AX154" s="23"/>
      <c r="AY154" s="23"/>
      <c r="AZ154" s="23"/>
    </row>
    <row r="155" ht="14.25" customHeight="1">
      <c r="A155" s="22"/>
      <c r="B155" s="82"/>
      <c r="C155" s="82"/>
      <c r="D155" s="62"/>
      <c r="E155" s="82"/>
      <c r="F155" s="82"/>
      <c r="G155" s="62"/>
      <c r="H155" s="82"/>
      <c r="I155" s="82"/>
      <c r="J155" s="62"/>
      <c r="K155" s="82"/>
      <c r="L155" s="82"/>
      <c r="M155" s="62"/>
      <c r="N155" s="82"/>
      <c r="O155" s="82"/>
      <c r="P155" s="62"/>
      <c r="Q155" s="82"/>
      <c r="R155" s="82"/>
      <c r="S155" s="62"/>
      <c r="T155" s="82"/>
      <c r="U155" s="82"/>
      <c r="V155" s="62"/>
      <c r="W155" s="82"/>
      <c r="X155" s="82"/>
      <c r="Y155" s="62"/>
      <c r="Z155" s="82"/>
      <c r="AA155" s="82"/>
      <c r="AB155" s="23"/>
      <c r="AC155" s="82"/>
      <c r="AD155" s="82"/>
      <c r="AE155" s="62"/>
      <c r="AF155" s="82"/>
      <c r="AG155" s="82"/>
      <c r="AH155" s="23"/>
      <c r="AK155" s="23"/>
      <c r="AN155" s="23"/>
      <c r="AS155" s="23"/>
      <c r="AT155" s="24"/>
    </row>
    <row r="156" ht="14.25" customHeight="1">
      <c r="A156" s="22"/>
      <c r="B156" s="55"/>
      <c r="D156" s="62"/>
      <c r="E156" s="110"/>
      <c r="F156" s="28"/>
      <c r="G156" s="62"/>
      <c r="H156" s="110"/>
      <c r="I156" s="28"/>
      <c r="J156" s="62"/>
      <c r="K156" s="110"/>
      <c r="L156" s="28"/>
      <c r="M156" s="62"/>
      <c r="N156" s="110"/>
      <c r="O156" s="28"/>
      <c r="P156" s="62"/>
      <c r="Q156" s="110"/>
      <c r="R156" s="28"/>
      <c r="S156" s="62"/>
      <c r="T156" s="110"/>
      <c r="U156" s="28"/>
      <c r="V156" s="62"/>
      <c r="W156" s="110"/>
      <c r="X156" s="28"/>
      <c r="Y156" s="62"/>
      <c r="Z156" s="55"/>
      <c r="AB156" s="62"/>
      <c r="AC156" s="55"/>
      <c r="AE156" s="62"/>
      <c r="AI156" s="30"/>
      <c r="AK156" s="23"/>
      <c r="AL156" s="30"/>
      <c r="AN156" s="23"/>
      <c r="AO156" s="30"/>
      <c r="AQ156" s="30"/>
      <c r="AR156" s="30"/>
      <c r="AS156" s="23"/>
      <c r="AT156" s="24"/>
    </row>
    <row r="157" ht="14.25" customHeight="1">
      <c r="A157" s="22"/>
      <c r="B157" s="122"/>
      <c r="C157" s="123"/>
      <c r="D157" s="47"/>
      <c r="E157" s="122"/>
      <c r="F157" s="123"/>
      <c r="G157" s="47"/>
      <c r="H157" s="122"/>
      <c r="I157" s="123"/>
      <c r="J157" s="47"/>
      <c r="K157" s="122"/>
      <c r="L157" s="123"/>
      <c r="M157" s="47"/>
      <c r="N157" s="122"/>
      <c r="O157" s="123"/>
      <c r="P157" s="47"/>
      <c r="Q157" s="111" t="s">
        <v>8</v>
      </c>
      <c r="R157" s="40"/>
      <c r="S157" s="47"/>
      <c r="T157" s="122"/>
      <c r="U157" s="123"/>
      <c r="V157" s="47"/>
      <c r="W157" s="141"/>
      <c r="X157" s="141"/>
      <c r="Y157" s="47"/>
      <c r="Z157" s="122"/>
      <c r="AA157" s="123"/>
      <c r="AB157" s="82"/>
      <c r="AC157" s="119" t="s">
        <v>233</v>
      </c>
      <c r="AD157" s="40"/>
      <c r="AE157" s="47"/>
      <c r="AF157" s="122"/>
      <c r="AG157" s="123"/>
      <c r="AH157" s="38"/>
      <c r="AI157" s="33"/>
      <c r="AJ157" s="34"/>
      <c r="AK157" s="38"/>
      <c r="AL157" s="35"/>
      <c r="AM157" s="36"/>
      <c r="AN157" s="38"/>
      <c r="AO157" s="35"/>
      <c r="AP157" s="36"/>
      <c r="AQ157" s="43"/>
      <c r="AR157" s="43"/>
      <c r="AS157" s="38"/>
      <c r="AT157" s="71"/>
    </row>
    <row r="158" ht="14.25" customHeight="1">
      <c r="A158" s="22"/>
      <c r="B158" s="125"/>
      <c r="C158" s="125"/>
      <c r="D158" s="47"/>
      <c r="E158" s="125"/>
      <c r="F158" s="125"/>
      <c r="G158" s="47"/>
      <c r="H158" s="125"/>
      <c r="I158" s="125"/>
      <c r="J158" s="47"/>
      <c r="K158" s="125"/>
      <c r="L158" s="125"/>
      <c r="M158" s="47"/>
      <c r="N158" s="125"/>
      <c r="O158" s="125"/>
      <c r="P158" s="47"/>
      <c r="Q158" s="49"/>
      <c r="R158" s="50"/>
      <c r="S158" s="47"/>
      <c r="T158" s="125"/>
      <c r="U158" s="125"/>
      <c r="V158" s="47"/>
      <c r="W158" s="141"/>
      <c r="X158" s="141"/>
      <c r="Y158" s="62"/>
      <c r="Z158" s="125"/>
      <c r="AA158" s="125"/>
      <c r="AB158" s="98"/>
      <c r="AC158" s="49"/>
      <c r="AD158" s="50"/>
      <c r="AE158" s="62"/>
      <c r="AF158" s="125"/>
      <c r="AG158" s="125"/>
      <c r="AH158" s="38"/>
      <c r="AI158" s="132"/>
      <c r="AJ158" s="132"/>
      <c r="AK158" s="23"/>
      <c r="AL158" s="109"/>
      <c r="AM158" s="109"/>
      <c r="AN158" s="23"/>
      <c r="AO158" s="109"/>
      <c r="AP158" s="109"/>
      <c r="AQ158" s="127"/>
      <c r="AR158" s="127"/>
      <c r="AS158" s="38"/>
      <c r="AT158" s="71"/>
      <c r="AV158" s="52">
        <v>2.0</v>
      </c>
      <c r="AW158" s="52">
        <v>2.0</v>
      </c>
      <c r="AX158" s="52">
        <v>1.0</v>
      </c>
      <c r="AY158" s="52">
        <v>0.0</v>
      </c>
      <c r="AZ158" s="52"/>
      <c r="BA158" s="53" t="str">
        <f>+A159+D159+G159+J159+M159+P159+S159+V159+Y159+AB159+AE159+AH159+AK159+AN159+AQ159</f>
        <v>5209.907</v>
      </c>
    </row>
    <row r="159" ht="14.25" customHeight="1">
      <c r="A159" s="22"/>
      <c r="B159" s="60" t="s">
        <v>251</v>
      </c>
      <c r="D159" s="47">
        <v>410.0</v>
      </c>
      <c r="E159" s="79" t="s">
        <v>35</v>
      </c>
      <c r="F159" s="76"/>
      <c r="G159" s="138">
        <v>414.0</v>
      </c>
      <c r="H159" s="75" t="s">
        <v>34</v>
      </c>
      <c r="I159" s="76"/>
      <c r="J159" s="138">
        <v>407.0</v>
      </c>
      <c r="K159" s="79" t="s">
        <v>33</v>
      </c>
      <c r="L159" s="76"/>
      <c r="M159" s="138">
        <v>421.884</v>
      </c>
      <c r="N159" s="79" t="s">
        <v>249</v>
      </c>
      <c r="O159" s="76"/>
      <c r="P159" s="138">
        <v>532.192</v>
      </c>
      <c r="Q159" s="79" t="s">
        <v>169</v>
      </c>
      <c r="R159" s="76"/>
      <c r="S159" s="47">
        <v>415.0</v>
      </c>
      <c r="T159" s="81" t="s">
        <v>14</v>
      </c>
      <c r="U159" s="76"/>
      <c r="V159" s="142">
        <v>350.0</v>
      </c>
      <c r="W159" s="81" t="s">
        <v>332</v>
      </c>
      <c r="X159" s="76"/>
      <c r="Y159" s="142">
        <v>249.013</v>
      </c>
      <c r="Z159" s="60" t="s">
        <v>167</v>
      </c>
      <c r="AB159" s="142">
        <v>351.0</v>
      </c>
      <c r="AC159" s="60" t="s">
        <v>12</v>
      </c>
      <c r="AE159" s="142">
        <v>307.261</v>
      </c>
      <c r="AF159" s="60" t="s">
        <v>333</v>
      </c>
      <c r="AH159" s="142">
        <v>250.557</v>
      </c>
      <c r="AI159" s="126" t="s">
        <v>148</v>
      </c>
      <c r="AK159" s="142">
        <v>423.0</v>
      </c>
      <c r="AL159" s="30" t="s">
        <v>15</v>
      </c>
      <c r="AN159" s="142">
        <v>339.0</v>
      </c>
      <c r="AO159" s="30" t="s">
        <v>15</v>
      </c>
      <c r="AQ159" s="30">
        <v>340.0</v>
      </c>
      <c r="AR159" s="30"/>
      <c r="AS159" s="38"/>
      <c r="AT159" s="71"/>
    </row>
    <row r="160" ht="14.25" customHeight="1">
      <c r="A160" s="22"/>
      <c r="B160" s="55" t="s">
        <v>334</v>
      </c>
      <c r="D160" s="62"/>
      <c r="E160" s="55" t="s">
        <v>335</v>
      </c>
      <c r="G160" s="62"/>
      <c r="H160" s="55" t="s">
        <v>336</v>
      </c>
      <c r="J160" s="62"/>
      <c r="K160" s="55" t="s">
        <v>337</v>
      </c>
      <c r="M160" s="62"/>
      <c r="N160" s="55" t="s">
        <v>338</v>
      </c>
      <c r="P160" s="62"/>
      <c r="Q160" s="55" t="s">
        <v>339</v>
      </c>
      <c r="S160" s="62"/>
      <c r="T160" s="55" t="s">
        <v>340</v>
      </c>
      <c r="V160" s="62"/>
      <c r="W160" s="55" t="s">
        <v>341</v>
      </c>
      <c r="Y160" s="62"/>
      <c r="Z160" s="55" t="s">
        <v>342</v>
      </c>
      <c r="AB160" s="62"/>
      <c r="AC160" s="55" t="s">
        <v>343</v>
      </c>
      <c r="AE160" s="62"/>
      <c r="AF160" s="55" t="s">
        <v>344</v>
      </c>
      <c r="AH160" s="23"/>
      <c r="AI160" s="55" t="s">
        <v>345</v>
      </c>
      <c r="AK160" s="23"/>
      <c r="AL160" s="55" t="s">
        <v>346</v>
      </c>
      <c r="AN160" s="23"/>
      <c r="AO160" s="55" t="s">
        <v>347</v>
      </c>
      <c r="AQ160" s="55">
        <v>340.0</v>
      </c>
      <c r="AR160" s="55"/>
      <c r="AS160" s="23"/>
      <c r="AT160" s="24"/>
    </row>
    <row r="161" ht="14.25" customHeight="1">
      <c r="A161" s="22"/>
      <c r="B161" s="64" t="s">
        <v>31</v>
      </c>
      <c r="C161" s="96"/>
      <c r="D161" s="97"/>
      <c r="E161" s="96"/>
      <c r="F161" s="64" t="s">
        <v>31</v>
      </c>
      <c r="G161" s="97"/>
      <c r="H161" s="96"/>
      <c r="I161" s="64" t="s">
        <v>31</v>
      </c>
      <c r="J161" s="97"/>
      <c r="K161" s="96"/>
      <c r="L161" s="64" t="s">
        <v>31</v>
      </c>
      <c r="M161" s="97"/>
      <c r="N161" s="96"/>
      <c r="O161" s="64" t="s">
        <v>31</v>
      </c>
      <c r="P161" s="97"/>
      <c r="Q161" s="96"/>
      <c r="R161" s="64" t="s">
        <v>31</v>
      </c>
      <c r="S161" s="97"/>
      <c r="T161" s="96"/>
      <c r="U161" s="64" t="s">
        <v>31</v>
      </c>
      <c r="V161" s="97"/>
      <c r="W161" s="96"/>
      <c r="X161" s="64" t="s">
        <v>31</v>
      </c>
      <c r="Y161" s="97"/>
      <c r="Z161" s="96"/>
      <c r="AA161" s="64" t="s">
        <v>31</v>
      </c>
      <c r="AB161" s="97"/>
      <c r="AC161" s="96"/>
      <c r="AD161" s="64" t="s">
        <v>31</v>
      </c>
      <c r="AE161" s="97"/>
      <c r="AF161" s="96"/>
      <c r="AG161" s="64" t="s">
        <v>31</v>
      </c>
      <c r="AH161" s="133"/>
      <c r="AI161" s="96"/>
      <c r="AJ161" s="64" t="s">
        <v>31</v>
      </c>
      <c r="AK161" s="133"/>
      <c r="AL161" s="96"/>
      <c r="AM161" s="64" t="s">
        <v>31</v>
      </c>
      <c r="AN161" s="133"/>
      <c r="AO161" s="96"/>
      <c r="AP161" s="64" t="s">
        <v>31</v>
      </c>
      <c r="AQ161" s="64"/>
      <c r="AR161" s="64"/>
      <c r="AS161" s="23"/>
      <c r="AT161" s="24"/>
    </row>
    <row r="162" ht="14.25" customHeight="1">
      <c r="A162" s="22"/>
      <c r="B162" s="55"/>
      <c r="C162" s="55"/>
      <c r="D162" s="47"/>
      <c r="E162" s="127"/>
      <c r="F162" s="55"/>
      <c r="G162" s="55"/>
      <c r="H162" s="127"/>
      <c r="I162" s="82"/>
      <c r="J162" s="47"/>
      <c r="K162" s="128"/>
      <c r="L162" s="129"/>
      <c r="M162" s="47"/>
      <c r="N162" s="128"/>
      <c r="O162" s="129"/>
      <c r="P162" s="47"/>
      <c r="Q162" s="128"/>
      <c r="R162" s="129"/>
      <c r="S162" s="47"/>
      <c r="T162" s="128"/>
      <c r="U162" s="129"/>
      <c r="V162" s="47"/>
      <c r="W162" s="139" t="s">
        <v>164</v>
      </c>
      <c r="X162" s="94"/>
      <c r="Y162" s="94"/>
      <c r="Z162" s="94"/>
      <c r="AA162" s="94"/>
      <c r="AB162" s="94"/>
      <c r="AC162" s="94"/>
      <c r="AD162" s="95"/>
      <c r="AE162" s="62"/>
      <c r="AF162" s="127"/>
      <c r="AG162" s="82"/>
      <c r="AH162" s="23"/>
      <c r="AL162" s="127"/>
      <c r="AM162" s="82"/>
      <c r="AN162" s="23"/>
      <c r="AO162" s="127"/>
      <c r="AP162" s="82"/>
      <c r="AQ162" s="82"/>
      <c r="AR162" s="82"/>
      <c r="AS162" s="23"/>
      <c r="AT162" s="24"/>
      <c r="AV162" s="23"/>
      <c r="AW162" s="23"/>
      <c r="AX162" s="23"/>
      <c r="AY162" s="23"/>
      <c r="AZ162" s="23"/>
    </row>
    <row r="163" ht="14.25" customHeight="1">
      <c r="A163" s="22"/>
      <c r="B163" s="82"/>
      <c r="C163" s="82"/>
      <c r="D163" s="62"/>
      <c r="E163" s="82"/>
      <c r="F163" s="82"/>
      <c r="G163" s="62"/>
      <c r="H163" s="82"/>
      <c r="I163" s="82"/>
      <c r="J163" s="62"/>
      <c r="K163" s="82"/>
      <c r="L163" s="82"/>
      <c r="M163" s="62"/>
      <c r="N163" s="82"/>
      <c r="O163" s="82"/>
      <c r="P163" s="62"/>
      <c r="Q163" s="82"/>
      <c r="R163" s="82"/>
      <c r="S163" s="62"/>
      <c r="T163" s="82"/>
      <c r="U163" s="82"/>
      <c r="V163" s="62"/>
      <c r="W163" s="82"/>
      <c r="X163" s="82"/>
      <c r="Y163" s="62"/>
      <c r="Z163" s="82"/>
      <c r="AA163" s="82"/>
      <c r="AB163" s="23"/>
      <c r="AC163" s="82"/>
      <c r="AD163" s="82"/>
      <c r="AE163" s="62"/>
      <c r="AF163" s="82"/>
      <c r="AG163" s="82"/>
      <c r="AH163" s="23"/>
      <c r="AK163" s="23"/>
      <c r="AN163" s="23"/>
      <c r="AS163" s="23"/>
      <c r="AT163" s="24"/>
    </row>
    <row r="164" ht="14.25" customHeight="1">
      <c r="A164" s="22"/>
      <c r="B164" s="55"/>
      <c r="D164" s="62"/>
      <c r="E164" s="110"/>
      <c r="F164" s="28"/>
      <c r="G164" s="62"/>
      <c r="H164" s="110"/>
      <c r="I164" s="28"/>
      <c r="J164" s="62"/>
      <c r="K164" s="110"/>
      <c r="L164" s="28"/>
      <c r="M164" s="62"/>
      <c r="N164" s="110"/>
      <c r="O164" s="28"/>
      <c r="P164" s="62"/>
      <c r="Q164" s="110"/>
      <c r="R164" s="28"/>
      <c r="S164" s="62"/>
      <c r="T164" s="110"/>
      <c r="U164" s="28"/>
      <c r="V164" s="62"/>
      <c r="W164" s="110"/>
      <c r="X164" s="28"/>
      <c r="Y164" s="62"/>
      <c r="Z164" s="55"/>
      <c r="AB164" s="62"/>
      <c r="AC164" s="55"/>
      <c r="AE164" s="62"/>
      <c r="AI164" s="30"/>
      <c r="AK164" s="23"/>
      <c r="AL164" s="30"/>
      <c r="AN164" s="23"/>
      <c r="AO164" s="30"/>
      <c r="AQ164" s="30"/>
      <c r="AR164" s="30"/>
      <c r="AS164" s="23"/>
      <c r="AT164" s="24"/>
    </row>
    <row r="165" ht="14.25" customHeight="1">
      <c r="A165" s="22"/>
      <c r="B165" s="35"/>
      <c r="C165" s="36"/>
      <c r="D165" s="47"/>
      <c r="E165" s="35"/>
      <c r="F165" s="36"/>
      <c r="G165" s="47"/>
      <c r="H165" s="35"/>
      <c r="I165" s="36"/>
      <c r="J165" s="47"/>
      <c r="K165" s="35"/>
      <c r="L165" s="36"/>
      <c r="M165" s="47"/>
      <c r="N165" s="35"/>
      <c r="O165" s="36"/>
      <c r="P165" s="47"/>
      <c r="Q165" s="35"/>
      <c r="R165" s="36"/>
      <c r="S165" s="47"/>
      <c r="T165" s="35"/>
      <c r="U165" s="36"/>
      <c r="V165" s="47"/>
      <c r="W165" s="113" t="s">
        <v>233</v>
      </c>
      <c r="X165" s="40"/>
      <c r="Y165" s="47"/>
      <c r="Z165" s="35"/>
      <c r="AA165" s="36"/>
      <c r="AB165" s="82"/>
      <c r="AC165" s="119" t="s">
        <v>233</v>
      </c>
      <c r="AD165" s="40"/>
      <c r="AE165" s="47"/>
      <c r="AF165" s="35"/>
      <c r="AG165" s="36"/>
      <c r="AH165" s="38"/>
      <c r="AI165" s="35"/>
      <c r="AJ165" s="36"/>
      <c r="AK165" s="38"/>
      <c r="AL165" s="35"/>
      <c r="AM165" s="36"/>
      <c r="AN165" s="38"/>
      <c r="AO165" s="111" t="s">
        <v>8</v>
      </c>
      <c r="AP165" s="40"/>
      <c r="AQ165" s="124"/>
      <c r="AR165" s="124"/>
      <c r="AS165" s="38"/>
      <c r="AT165" s="71"/>
    </row>
    <row r="166" ht="14.25" customHeight="1">
      <c r="A166" s="22"/>
      <c r="B166" s="109"/>
      <c r="C166" s="109"/>
      <c r="D166" s="47"/>
      <c r="E166" s="109"/>
      <c r="F166" s="109"/>
      <c r="G166" s="47"/>
      <c r="H166" s="109"/>
      <c r="I166" s="109"/>
      <c r="J166" s="47"/>
      <c r="K166" s="109"/>
      <c r="L166" s="109"/>
      <c r="M166" s="47"/>
      <c r="N166" s="109"/>
      <c r="O166" s="109"/>
      <c r="P166" s="47"/>
      <c r="Q166" s="109"/>
      <c r="R166" s="109"/>
      <c r="S166" s="47"/>
      <c r="T166" s="109"/>
      <c r="U166" s="109"/>
      <c r="V166" s="47"/>
      <c r="W166" s="49"/>
      <c r="X166" s="50"/>
      <c r="Y166" s="62"/>
      <c r="Z166" s="109"/>
      <c r="AA166" s="109"/>
      <c r="AB166" s="98"/>
      <c r="AC166" s="49"/>
      <c r="AD166" s="50"/>
      <c r="AE166" s="62"/>
      <c r="AF166" s="109"/>
      <c r="AG166" s="109"/>
      <c r="AH166" s="38"/>
      <c r="AI166" s="109"/>
      <c r="AJ166" s="109"/>
      <c r="AK166" s="23"/>
      <c r="AL166" s="109"/>
      <c r="AM166" s="109"/>
      <c r="AN166" s="23"/>
      <c r="AO166" s="49"/>
      <c r="AP166" s="50"/>
      <c r="AQ166" s="124"/>
      <c r="AR166" s="124"/>
      <c r="AS166" s="38"/>
      <c r="AT166" s="71"/>
      <c r="AV166" s="52">
        <v>12.0</v>
      </c>
      <c r="AW166" s="52">
        <v>11.0</v>
      </c>
      <c r="AX166" s="52">
        <v>7.0</v>
      </c>
      <c r="AY166" s="52">
        <v>0.0</v>
      </c>
      <c r="AZ166" s="52"/>
      <c r="BA166" s="53" t="str">
        <f>+A167+D167+G167+J167+M167+P167+S167+V167+Y167+AB167+AE167+AH167+AK167+AN167+AQ167</f>
        <v>5440.061</v>
      </c>
    </row>
    <row r="167" ht="14.25" customHeight="1">
      <c r="A167" s="22"/>
      <c r="B167" s="30" t="s">
        <v>15</v>
      </c>
      <c r="D167" s="142">
        <v>339.061</v>
      </c>
      <c r="E167" s="79" t="s">
        <v>114</v>
      </c>
      <c r="F167" s="76"/>
      <c r="G167" s="47">
        <v>383.0</v>
      </c>
      <c r="H167" s="75" t="s">
        <v>12</v>
      </c>
      <c r="I167" s="76"/>
      <c r="J167" s="47">
        <v>400.0</v>
      </c>
      <c r="K167" s="79" t="s">
        <v>36</v>
      </c>
      <c r="L167" s="76"/>
      <c r="M167" s="47">
        <v>386.0</v>
      </c>
      <c r="N167" s="79" t="s">
        <v>11</v>
      </c>
      <c r="O167" s="76"/>
      <c r="P167" s="47">
        <v>393.0</v>
      </c>
      <c r="Q167" s="79" t="s">
        <v>33</v>
      </c>
      <c r="R167" s="76"/>
      <c r="S167" s="47">
        <v>422.0</v>
      </c>
      <c r="T167" s="81" t="s">
        <v>12</v>
      </c>
      <c r="U167" s="76"/>
      <c r="V167" s="47">
        <v>408.0</v>
      </c>
      <c r="W167" s="81" t="s">
        <v>11</v>
      </c>
      <c r="X167" s="76"/>
      <c r="Y167" s="62">
        <v>370.0</v>
      </c>
      <c r="Z167" s="60" t="s">
        <v>15</v>
      </c>
      <c r="AB167" s="142">
        <v>345.0</v>
      </c>
      <c r="AC167" s="79" t="s">
        <v>33</v>
      </c>
      <c r="AD167" s="76"/>
      <c r="AE167" s="142">
        <v>352.0</v>
      </c>
      <c r="AF167" s="60" t="s">
        <v>15</v>
      </c>
      <c r="AH167" s="38">
        <v>440.0</v>
      </c>
      <c r="AI167" s="83" t="s">
        <v>35</v>
      </c>
      <c r="AK167" s="23">
        <v>380.0</v>
      </c>
      <c r="AL167" s="60" t="s">
        <v>15</v>
      </c>
      <c r="AN167" s="23">
        <v>416.0</v>
      </c>
      <c r="AO167" s="30" t="s">
        <v>14</v>
      </c>
      <c r="AQ167" s="55">
        <v>406.0</v>
      </c>
      <c r="AR167" s="30"/>
      <c r="AS167" s="38"/>
      <c r="AT167" s="71"/>
    </row>
    <row r="168" ht="14.25" customHeight="1">
      <c r="A168" s="22"/>
      <c r="B168" s="55" t="s">
        <v>348</v>
      </c>
      <c r="D168" s="62"/>
      <c r="E168" s="55" t="s">
        <v>349</v>
      </c>
      <c r="G168" s="62"/>
      <c r="H168" s="55" t="s">
        <v>350</v>
      </c>
      <c r="J168" s="62"/>
      <c r="K168" s="55" t="s">
        <v>351</v>
      </c>
      <c r="M168" s="62"/>
      <c r="N168" s="55" t="s">
        <v>352</v>
      </c>
      <c r="P168" s="62"/>
      <c r="Q168" s="55" t="s">
        <v>353</v>
      </c>
      <c r="S168" s="62"/>
      <c r="T168" s="55" t="s">
        <v>354</v>
      </c>
      <c r="V168" s="62"/>
      <c r="W168" s="55" t="s">
        <v>355</v>
      </c>
      <c r="Y168" s="62"/>
      <c r="Z168" s="55" t="s">
        <v>356</v>
      </c>
      <c r="AB168" s="62"/>
      <c r="AC168" s="55" t="s">
        <v>357</v>
      </c>
      <c r="AE168" s="62"/>
      <c r="AF168" s="55" t="s">
        <v>358</v>
      </c>
      <c r="AH168" s="23"/>
      <c r="AI168" s="55" t="s">
        <v>359</v>
      </c>
      <c r="AK168" s="23"/>
      <c r="AL168" s="55" t="s">
        <v>360</v>
      </c>
      <c r="AN168" s="23"/>
      <c r="AO168" s="55" t="s">
        <v>361</v>
      </c>
      <c r="AR168" s="55"/>
      <c r="AS168" s="23"/>
      <c r="AT168" s="24"/>
    </row>
    <row r="169" ht="14.25" customHeight="1">
      <c r="A169" s="22"/>
      <c r="B169" s="64" t="s">
        <v>31</v>
      </c>
      <c r="C169" s="96"/>
      <c r="D169" s="97"/>
      <c r="E169" s="96"/>
      <c r="F169" s="64" t="s">
        <v>31</v>
      </c>
      <c r="G169" s="97"/>
      <c r="H169" s="96"/>
      <c r="I169" s="64" t="s">
        <v>31</v>
      </c>
      <c r="J169" s="97"/>
      <c r="K169" s="96"/>
      <c r="L169" s="64" t="s">
        <v>31</v>
      </c>
      <c r="M169" s="97"/>
      <c r="N169" s="96"/>
      <c r="O169" s="64" t="s">
        <v>31</v>
      </c>
      <c r="P169" s="97"/>
      <c r="Q169" s="96"/>
      <c r="R169" s="64" t="s">
        <v>31</v>
      </c>
      <c r="S169" s="97"/>
      <c r="T169" s="96"/>
      <c r="U169" s="64" t="s">
        <v>31</v>
      </c>
      <c r="V169" s="97"/>
      <c r="W169" s="96"/>
      <c r="X169" s="64" t="s">
        <v>31</v>
      </c>
      <c r="Y169" s="97"/>
      <c r="Z169" s="96"/>
      <c r="AA169" s="64" t="s">
        <v>31</v>
      </c>
      <c r="AB169" s="97"/>
      <c r="AC169" s="96"/>
      <c r="AD169" s="64" t="s">
        <v>31</v>
      </c>
      <c r="AE169" s="97"/>
      <c r="AF169" s="96"/>
      <c r="AG169" s="64" t="s">
        <v>31</v>
      </c>
      <c r="AH169" s="133"/>
      <c r="AI169" s="96"/>
      <c r="AJ169" s="64" t="s">
        <v>31</v>
      </c>
      <c r="AK169" s="133"/>
      <c r="AL169" s="96"/>
      <c r="AM169" s="64" t="s">
        <v>31</v>
      </c>
      <c r="AN169" s="133"/>
      <c r="AO169" s="96"/>
      <c r="AP169" s="64" t="s">
        <v>31</v>
      </c>
      <c r="AQ169" s="64"/>
      <c r="AR169" s="64"/>
      <c r="AS169" s="23"/>
      <c r="AT169" s="24"/>
    </row>
    <row r="170" ht="14.25" customHeight="1">
      <c r="A170" s="22"/>
      <c r="B170" s="55"/>
      <c r="C170" s="55"/>
      <c r="D170" s="47"/>
      <c r="E170" s="127"/>
      <c r="F170" s="55"/>
      <c r="G170" s="55"/>
      <c r="H170" s="127"/>
      <c r="I170" s="82"/>
      <c r="J170" s="47"/>
      <c r="K170" s="128"/>
      <c r="S170" s="47"/>
      <c r="T170" s="128"/>
      <c r="U170" s="129"/>
      <c r="V170" s="143" t="s">
        <v>164</v>
      </c>
      <c r="W170" s="94"/>
      <c r="X170" s="94"/>
      <c r="Y170" s="95"/>
      <c r="Z170" s="127"/>
      <c r="AA170" s="82"/>
      <c r="AB170" s="82"/>
      <c r="AC170" s="127"/>
      <c r="AD170" s="82"/>
      <c r="AE170" s="62"/>
      <c r="AF170" s="127"/>
      <c r="AG170" s="82"/>
      <c r="AH170" s="23"/>
      <c r="AI170" s="127"/>
      <c r="AJ170" s="82"/>
      <c r="AK170" s="23"/>
      <c r="AL170" s="127"/>
      <c r="AM170" s="82"/>
      <c r="AN170" s="23"/>
      <c r="AO170" s="127"/>
      <c r="AP170" s="82"/>
      <c r="AQ170" s="82"/>
      <c r="AR170" s="82"/>
      <c r="AS170" s="23"/>
      <c r="AT170" s="24"/>
      <c r="AV170" s="23"/>
      <c r="AW170" s="23"/>
      <c r="AX170" s="23"/>
      <c r="AY170" s="23"/>
      <c r="AZ170" s="23"/>
    </row>
    <row r="171" ht="14.25" customHeight="1">
      <c r="A171" s="22"/>
      <c r="B171" s="82"/>
      <c r="C171" s="82"/>
      <c r="D171" s="62"/>
      <c r="E171" s="82"/>
      <c r="F171" s="82"/>
      <c r="G171" s="62"/>
      <c r="H171" s="82"/>
      <c r="I171" s="82"/>
      <c r="J171" s="62"/>
      <c r="K171" s="82"/>
      <c r="L171" s="82"/>
      <c r="M171" s="62"/>
      <c r="N171" s="82"/>
      <c r="O171" s="82"/>
      <c r="P171" s="62"/>
      <c r="Q171" s="82"/>
      <c r="R171" s="82"/>
      <c r="S171" s="62"/>
      <c r="T171" s="82"/>
      <c r="U171" s="82"/>
      <c r="V171" s="62"/>
      <c r="W171" s="82"/>
      <c r="X171" s="82"/>
      <c r="Y171" s="62"/>
      <c r="Z171" s="82"/>
      <c r="AA171" s="82"/>
      <c r="AB171" s="23"/>
      <c r="AC171" s="82"/>
      <c r="AD171" s="82"/>
      <c r="AE171" s="62"/>
      <c r="AF171" s="82"/>
      <c r="AG171" s="82"/>
      <c r="AH171" s="23"/>
      <c r="AK171" s="23"/>
      <c r="AN171" s="23"/>
      <c r="AS171" s="23"/>
      <c r="AT171" s="24"/>
    </row>
    <row r="172" ht="14.25" customHeight="1">
      <c r="A172" s="22"/>
      <c r="B172" s="55"/>
      <c r="D172" s="62"/>
      <c r="E172" s="110"/>
      <c r="F172" s="28"/>
      <c r="G172" s="62"/>
      <c r="H172" s="110"/>
      <c r="I172" s="28"/>
      <c r="J172" s="62"/>
      <c r="K172" s="110"/>
      <c r="L172" s="28"/>
      <c r="M172" s="62"/>
      <c r="N172" s="110"/>
      <c r="O172" s="28"/>
      <c r="P172" s="62"/>
      <c r="Q172" s="110"/>
      <c r="R172" s="28"/>
      <c r="S172" s="62"/>
      <c r="T172" s="110"/>
      <c r="U172" s="28"/>
      <c r="V172" s="62"/>
      <c r="W172" s="110"/>
      <c r="X172" s="28"/>
      <c r="Y172" s="62"/>
      <c r="Z172" s="55"/>
      <c r="AB172" s="62"/>
      <c r="AC172" s="55"/>
      <c r="AE172" s="62"/>
      <c r="AI172" s="30"/>
      <c r="AK172" s="23"/>
      <c r="AL172" s="30"/>
      <c r="AN172" s="23"/>
      <c r="AO172" s="30"/>
      <c r="AQ172" s="30"/>
      <c r="AR172" s="30"/>
      <c r="AS172" s="23"/>
      <c r="AT172" s="24"/>
    </row>
    <row r="173" ht="14.25" customHeight="1">
      <c r="A173" s="22"/>
      <c r="B173" s="35"/>
      <c r="C173" s="36"/>
      <c r="D173" s="47"/>
      <c r="E173" s="35"/>
      <c r="F173" s="36"/>
      <c r="G173" s="47"/>
      <c r="H173" s="111" t="s">
        <v>8</v>
      </c>
      <c r="I173" s="40"/>
      <c r="J173" s="47"/>
      <c r="K173" s="35"/>
      <c r="L173" s="36"/>
      <c r="M173" s="47"/>
      <c r="N173" s="35"/>
      <c r="O173" s="36"/>
      <c r="P173" s="47"/>
      <c r="Q173" s="35"/>
      <c r="R173" s="36"/>
      <c r="S173" s="47"/>
      <c r="T173" s="35"/>
      <c r="U173" s="36"/>
      <c r="V173" s="47"/>
      <c r="W173" s="35"/>
      <c r="X173" s="36"/>
      <c r="Y173" s="47"/>
      <c r="Z173" s="35"/>
      <c r="AA173" s="36"/>
      <c r="AB173" s="82"/>
      <c r="AC173" s="35"/>
      <c r="AD173" s="36"/>
      <c r="AE173" s="47"/>
      <c r="AF173" s="35"/>
      <c r="AG173" s="36"/>
      <c r="AH173" s="38"/>
      <c r="AI173" s="35"/>
      <c r="AJ173" s="36"/>
      <c r="AK173" s="38"/>
      <c r="AL173" s="35"/>
      <c r="AM173" s="36"/>
      <c r="AN173" s="38"/>
      <c r="AO173" s="111" t="s">
        <v>8</v>
      </c>
      <c r="AP173" s="40"/>
      <c r="AQ173" s="124"/>
      <c r="AR173" s="124"/>
      <c r="AS173" s="38"/>
      <c r="AT173" s="71"/>
    </row>
    <row r="174" ht="14.25" customHeight="1">
      <c r="A174" s="22"/>
      <c r="B174" s="109"/>
      <c r="C174" s="109"/>
      <c r="D174" s="47"/>
      <c r="E174" s="109"/>
      <c r="F174" s="109"/>
      <c r="G174" s="47"/>
      <c r="H174" s="49"/>
      <c r="I174" s="50"/>
      <c r="J174" s="47"/>
      <c r="K174" s="109"/>
      <c r="L174" s="109"/>
      <c r="M174" s="47"/>
      <c r="N174" s="109"/>
      <c r="O174" s="109"/>
      <c r="P174" s="47"/>
      <c r="Q174" s="109"/>
      <c r="R174" s="109"/>
      <c r="S174" s="47"/>
      <c r="T174" s="109"/>
      <c r="U174" s="109"/>
      <c r="V174" s="47"/>
      <c r="W174" s="109"/>
      <c r="X174" s="109"/>
      <c r="Y174" s="62"/>
      <c r="Z174" s="109"/>
      <c r="AA174" s="109"/>
      <c r="AB174" s="98"/>
      <c r="AC174" s="109"/>
      <c r="AD174" s="109"/>
      <c r="AE174" s="62"/>
      <c r="AF174" s="109"/>
      <c r="AG174" s="109"/>
      <c r="AH174" s="38"/>
      <c r="AI174" s="109"/>
      <c r="AJ174" s="109"/>
      <c r="AK174" s="23"/>
      <c r="AL174" s="109"/>
      <c r="AM174" s="109"/>
      <c r="AN174" s="23"/>
      <c r="AO174" s="49"/>
      <c r="AP174" s="50"/>
      <c r="AQ174" s="124"/>
      <c r="AR174" s="124"/>
      <c r="AS174" s="38"/>
      <c r="AT174" s="71"/>
      <c r="AV174" s="52">
        <v>12.0</v>
      </c>
      <c r="AW174" s="52">
        <v>8.0</v>
      </c>
      <c r="AX174" s="52">
        <v>9.0</v>
      </c>
      <c r="AY174" s="52">
        <v>0.0</v>
      </c>
      <c r="AZ174" s="52"/>
      <c r="BA174" s="53" t="str">
        <f>+A175+D175+G175+J175+M175+P175+S175+V175+Y175+AB175+AE175+AH175+AK175+AN175+AQ175</f>
        <v>5577.248</v>
      </c>
    </row>
    <row r="175" ht="14.25" customHeight="1">
      <c r="A175" s="22"/>
      <c r="B175" s="75" t="s">
        <v>12</v>
      </c>
      <c r="C175" s="76"/>
      <c r="D175" s="47">
        <v>433.0</v>
      </c>
      <c r="E175" s="79" t="s">
        <v>16</v>
      </c>
      <c r="F175" s="76"/>
      <c r="G175" s="142">
        <v>353.248</v>
      </c>
      <c r="H175" s="75" t="s">
        <v>12</v>
      </c>
      <c r="I175" s="76"/>
      <c r="J175" s="142">
        <v>407.0</v>
      </c>
      <c r="K175" s="79" t="s">
        <v>11</v>
      </c>
      <c r="L175" s="76"/>
      <c r="M175" s="142">
        <v>416.0</v>
      </c>
      <c r="N175" s="79" t="s">
        <v>12</v>
      </c>
      <c r="O175" s="76"/>
      <c r="P175" s="47">
        <v>373.0</v>
      </c>
      <c r="Q175" s="79" t="s">
        <v>15</v>
      </c>
      <c r="R175" s="76"/>
      <c r="S175" s="47">
        <v>389.0</v>
      </c>
      <c r="T175" s="81" t="s">
        <v>34</v>
      </c>
      <c r="U175" s="76"/>
      <c r="V175" s="47">
        <v>399.0</v>
      </c>
      <c r="W175" s="81" t="s">
        <v>11</v>
      </c>
      <c r="X175" s="76"/>
      <c r="Y175" s="62">
        <v>412.0</v>
      </c>
      <c r="Z175" s="60" t="s">
        <v>12</v>
      </c>
      <c r="AB175" s="98">
        <v>418.0</v>
      </c>
      <c r="AC175" s="60" t="s">
        <v>15</v>
      </c>
      <c r="AE175" s="62">
        <v>394.0</v>
      </c>
      <c r="AF175" s="60" t="s">
        <v>250</v>
      </c>
      <c r="AH175" s="38">
        <v>399.0</v>
      </c>
      <c r="AI175" s="126" t="s">
        <v>15</v>
      </c>
      <c r="AK175" s="142">
        <v>348.0</v>
      </c>
      <c r="AL175" s="126" t="s">
        <v>15</v>
      </c>
      <c r="AN175" s="23">
        <v>358.0</v>
      </c>
      <c r="AO175" s="30" t="s">
        <v>14</v>
      </c>
      <c r="AQ175" s="30">
        <v>478.0</v>
      </c>
      <c r="AR175" s="30"/>
      <c r="AS175" s="38"/>
      <c r="AT175" s="71"/>
    </row>
    <row r="176" ht="14.25" customHeight="1">
      <c r="A176" s="22"/>
      <c r="B176" s="55" t="s">
        <v>362</v>
      </c>
      <c r="D176" s="62"/>
      <c r="E176" s="55" t="s">
        <v>363</v>
      </c>
      <c r="G176" s="62"/>
      <c r="H176" s="55" t="s">
        <v>364</v>
      </c>
      <c r="J176" s="62"/>
      <c r="K176" s="55" t="s">
        <v>365</v>
      </c>
      <c r="M176" s="62"/>
      <c r="N176" s="55" t="s">
        <v>366</v>
      </c>
      <c r="P176" s="62"/>
      <c r="Q176" s="55" t="s">
        <v>367</v>
      </c>
      <c r="S176" s="62"/>
      <c r="T176" s="55" t="s">
        <v>368</v>
      </c>
      <c r="V176" s="62"/>
      <c r="W176" s="55" t="s">
        <v>369</v>
      </c>
      <c r="Y176" s="62"/>
      <c r="Z176" s="55" t="s">
        <v>370</v>
      </c>
      <c r="AB176" s="62"/>
      <c r="AC176" s="55" t="s">
        <v>371</v>
      </c>
      <c r="AE176" s="62"/>
      <c r="AF176" s="55" t="s">
        <v>372</v>
      </c>
      <c r="AH176" s="23"/>
      <c r="AI176" s="55" t="s">
        <v>373</v>
      </c>
      <c r="AK176" s="23"/>
      <c r="AL176" s="55" t="s">
        <v>374</v>
      </c>
      <c r="AN176" s="23"/>
      <c r="AO176" s="55" t="s">
        <v>375</v>
      </c>
      <c r="AQ176" s="55"/>
      <c r="AR176" s="55"/>
      <c r="AS176" s="23"/>
      <c r="AT176" s="24"/>
    </row>
    <row r="177" ht="14.25" customHeight="1">
      <c r="A177" s="22"/>
      <c r="B177" s="64" t="s">
        <v>31</v>
      </c>
      <c r="C177" s="96"/>
      <c r="D177" s="97"/>
      <c r="E177" s="96"/>
      <c r="F177" s="64" t="s">
        <v>31</v>
      </c>
      <c r="G177" s="97"/>
      <c r="H177" s="96"/>
      <c r="I177" s="64" t="s">
        <v>31</v>
      </c>
      <c r="J177" s="97"/>
      <c r="K177" s="96"/>
      <c r="L177" s="64" t="s">
        <v>31</v>
      </c>
      <c r="M177" s="97"/>
      <c r="N177" s="96"/>
      <c r="O177" s="64" t="s">
        <v>31</v>
      </c>
      <c r="P177" s="97"/>
      <c r="Q177" s="96"/>
      <c r="R177" s="64" t="s">
        <v>31</v>
      </c>
      <c r="S177" s="97"/>
      <c r="T177" s="96"/>
      <c r="U177" s="64" t="s">
        <v>31</v>
      </c>
      <c r="V177" s="97"/>
      <c r="W177" s="96"/>
      <c r="X177" s="64" t="s">
        <v>31</v>
      </c>
      <c r="Y177" s="97"/>
      <c r="Z177" s="96"/>
      <c r="AA177" s="64" t="s">
        <v>31</v>
      </c>
      <c r="AB177" s="97"/>
      <c r="AC177" s="96"/>
      <c r="AD177" s="64" t="s">
        <v>31</v>
      </c>
      <c r="AE177" s="97"/>
      <c r="AF177" s="96"/>
      <c r="AG177" s="64" t="s">
        <v>31</v>
      </c>
      <c r="AH177" s="133"/>
      <c r="AI177" s="96"/>
      <c r="AJ177" s="64" t="s">
        <v>31</v>
      </c>
      <c r="AK177" s="133"/>
      <c r="AL177" s="96"/>
      <c r="AM177" s="64" t="s">
        <v>31</v>
      </c>
      <c r="AN177" s="133"/>
      <c r="AO177" s="96"/>
      <c r="AP177" s="64" t="s">
        <v>31</v>
      </c>
      <c r="AQ177" s="64"/>
      <c r="AR177" s="64"/>
      <c r="AS177" s="23"/>
      <c r="AT177" s="24"/>
    </row>
    <row r="178" ht="14.25" customHeight="1">
      <c r="A178" s="144" t="s">
        <v>164</v>
      </c>
      <c r="B178" s="94"/>
      <c r="C178" s="94"/>
      <c r="D178" s="95"/>
      <c r="E178" s="127"/>
      <c r="F178" s="55"/>
      <c r="G178" s="55"/>
      <c r="H178" s="127"/>
      <c r="I178" s="82"/>
      <c r="J178" s="47"/>
      <c r="K178" s="128"/>
      <c r="L178" s="129"/>
      <c r="M178" s="47"/>
      <c r="N178" s="128"/>
      <c r="O178" s="129"/>
      <c r="P178" s="47"/>
      <c r="Q178" s="128"/>
      <c r="R178" s="129"/>
      <c r="S178" s="47"/>
      <c r="T178" s="128"/>
      <c r="U178" s="129"/>
      <c r="V178" s="47"/>
      <c r="W178" s="127"/>
      <c r="X178" s="82"/>
      <c r="Y178" s="62"/>
      <c r="Z178" s="127"/>
      <c r="AA178" s="82"/>
      <c r="AB178" s="82"/>
      <c r="AC178" s="127"/>
      <c r="AD178" s="82"/>
      <c r="AE178" s="62"/>
      <c r="AF178" s="127"/>
      <c r="AG178" s="82"/>
      <c r="AH178" s="23"/>
      <c r="AI178" s="127"/>
      <c r="AJ178" s="82"/>
      <c r="AK178" s="23"/>
      <c r="AL178" s="127"/>
      <c r="AM178" s="82"/>
      <c r="AN178" s="23"/>
      <c r="AO178" s="127"/>
      <c r="AP178" s="82"/>
      <c r="AQ178" s="82"/>
      <c r="AR178" s="82"/>
      <c r="AS178" s="23"/>
      <c r="AT178" s="24"/>
      <c r="AV178" s="23"/>
      <c r="AW178" s="23"/>
      <c r="AX178" s="23"/>
      <c r="AY178" s="23"/>
      <c r="AZ178" s="23"/>
    </row>
    <row r="179" ht="14.25" customHeight="1">
      <c r="A179" s="22"/>
      <c r="B179" s="82"/>
      <c r="C179" s="82"/>
      <c r="D179" s="62"/>
      <c r="E179" s="82"/>
      <c r="F179" s="82"/>
      <c r="G179" s="62"/>
      <c r="H179" s="82"/>
      <c r="I179" s="82"/>
      <c r="J179" s="62"/>
      <c r="K179" s="82"/>
      <c r="L179" s="82"/>
      <c r="M179" s="62"/>
      <c r="N179" s="82"/>
      <c r="O179" s="82"/>
      <c r="P179" s="62"/>
      <c r="Q179" s="82"/>
      <c r="R179" s="82"/>
      <c r="S179" s="62"/>
      <c r="T179" s="82"/>
      <c r="U179" s="82"/>
      <c r="V179" s="62"/>
      <c r="W179" s="82"/>
      <c r="X179" s="82"/>
      <c r="Y179" s="62"/>
      <c r="Z179" s="82"/>
      <c r="AA179" s="82"/>
      <c r="AB179" s="23"/>
      <c r="AC179" s="82"/>
      <c r="AD179" s="82"/>
      <c r="AE179" s="62"/>
      <c r="AF179" s="82"/>
      <c r="AG179" s="82"/>
      <c r="AH179" s="23"/>
      <c r="AK179" s="23"/>
      <c r="AN179" s="23"/>
      <c r="AS179" s="23"/>
      <c r="AT179" s="24"/>
    </row>
    <row r="180" ht="14.25" customHeight="1">
      <c r="A180" s="22"/>
      <c r="B180" s="55"/>
      <c r="D180" s="62"/>
      <c r="E180" s="110"/>
      <c r="F180" s="28"/>
      <c r="G180" s="62"/>
      <c r="H180" s="110"/>
      <c r="I180" s="28"/>
      <c r="J180" s="62"/>
      <c r="K180" s="110"/>
      <c r="L180" s="28"/>
      <c r="M180" s="62"/>
      <c r="N180" s="110"/>
      <c r="O180" s="28"/>
      <c r="P180" s="62"/>
      <c r="Q180" s="110"/>
      <c r="R180" s="28"/>
      <c r="S180" s="62"/>
      <c r="T180" s="110"/>
      <c r="U180" s="28"/>
      <c r="V180" s="62"/>
      <c r="W180" s="110"/>
      <c r="X180" s="28"/>
      <c r="Y180" s="62"/>
      <c r="Z180" s="55"/>
      <c r="AB180" s="62"/>
      <c r="AC180" s="55"/>
      <c r="AE180" s="62"/>
      <c r="AI180" s="27"/>
      <c r="AJ180" s="28"/>
      <c r="AK180" s="23"/>
      <c r="AL180" s="27"/>
      <c r="AM180" s="28"/>
      <c r="AN180" s="23"/>
      <c r="AO180" s="27"/>
      <c r="AP180" s="28"/>
      <c r="AQ180" s="30"/>
      <c r="AR180" s="30"/>
      <c r="AS180" s="23"/>
      <c r="AT180" s="24"/>
    </row>
    <row r="181" ht="14.25" customHeight="1">
      <c r="A181" s="22"/>
      <c r="B181" s="35"/>
      <c r="C181" s="36"/>
      <c r="D181" s="47"/>
      <c r="E181" s="25"/>
      <c r="F181" s="31"/>
      <c r="G181" s="47"/>
      <c r="H181" s="25"/>
      <c r="I181" s="31"/>
      <c r="J181" s="47"/>
      <c r="K181" s="25"/>
      <c r="L181" s="31"/>
      <c r="M181" s="47"/>
      <c r="N181" s="25"/>
      <c r="O181" s="31"/>
      <c r="P181" s="47"/>
      <c r="Q181" s="25"/>
      <c r="R181" s="31"/>
      <c r="S181" s="47"/>
      <c r="T181" s="25"/>
      <c r="U181" s="31"/>
      <c r="V181" s="47"/>
      <c r="W181" s="25"/>
      <c r="X181" s="31"/>
      <c r="Y181" s="47"/>
      <c r="Z181" s="25"/>
      <c r="AA181" s="31"/>
      <c r="AB181" s="82"/>
      <c r="AC181" s="25"/>
      <c r="AD181" s="31"/>
      <c r="AE181" s="47"/>
      <c r="AF181" s="25"/>
      <c r="AG181" s="31"/>
      <c r="AH181" s="38"/>
      <c r="AI181" s="25"/>
      <c r="AJ181" s="31"/>
      <c r="AK181" s="38"/>
      <c r="AL181" s="25"/>
      <c r="AM181" s="31"/>
      <c r="AN181" s="38"/>
      <c r="AO181" s="25"/>
      <c r="AP181" s="31"/>
      <c r="AQ181" s="43"/>
      <c r="AR181" s="43"/>
      <c r="AS181" s="38"/>
      <c r="AT181" s="71"/>
    </row>
    <row r="182" ht="14.25" customHeight="1">
      <c r="A182" s="22"/>
      <c r="B182" s="109"/>
      <c r="C182" s="109"/>
      <c r="D182" s="47"/>
      <c r="E182" s="145"/>
      <c r="F182" s="145"/>
      <c r="G182" s="47"/>
      <c r="H182" s="145"/>
      <c r="I182" s="145"/>
      <c r="J182" s="47"/>
      <c r="K182" s="145"/>
      <c r="L182" s="145"/>
      <c r="M182" s="47"/>
      <c r="N182" s="145"/>
      <c r="O182" s="145"/>
      <c r="P182" s="47"/>
      <c r="Q182" s="145"/>
      <c r="R182" s="145"/>
      <c r="S182" s="47"/>
      <c r="T182" s="145"/>
      <c r="U182" s="145"/>
      <c r="V182" s="47"/>
      <c r="W182" s="145"/>
      <c r="X182" s="145"/>
      <c r="Y182" s="62"/>
      <c r="Z182" s="145"/>
      <c r="AA182" s="145"/>
      <c r="AB182" s="98"/>
      <c r="AC182" s="145"/>
      <c r="AD182" s="145"/>
      <c r="AE182" s="62"/>
      <c r="AF182" s="145"/>
      <c r="AG182" s="145"/>
      <c r="AH182" s="38"/>
      <c r="AI182" s="145"/>
      <c r="AJ182" s="145"/>
      <c r="AK182" s="23"/>
      <c r="AL182" s="145"/>
      <c r="AM182" s="145"/>
      <c r="AN182" s="23"/>
      <c r="AO182" s="145"/>
      <c r="AP182" s="145"/>
      <c r="AQ182" s="127"/>
      <c r="AR182" s="127"/>
      <c r="AS182" s="38"/>
      <c r="AT182" s="71"/>
      <c r="AV182" s="52">
        <v>1.0</v>
      </c>
      <c r="AW182" s="52">
        <v>0.0</v>
      </c>
      <c r="AX182" s="52">
        <v>1.0</v>
      </c>
      <c r="AY182" s="52">
        <v>0.0</v>
      </c>
      <c r="AZ182" s="52"/>
      <c r="BA182" s="53" t="str">
        <f>+A183+D183+G183+J183+M183+P183+S183+V183+Y183+AB183+AE183+AH183+AK183+AN183+AQ183</f>
        <v>0.000</v>
      </c>
    </row>
    <row r="183" ht="14.25" customHeight="1">
      <c r="A183" s="22"/>
      <c r="B183" s="60" t="s">
        <v>250</v>
      </c>
      <c r="D183" s="47"/>
      <c r="E183" s="75"/>
      <c r="F183" s="76"/>
      <c r="G183" s="47"/>
      <c r="H183" s="75"/>
      <c r="I183" s="76"/>
      <c r="J183" s="47"/>
      <c r="K183" s="75"/>
      <c r="L183" s="76"/>
      <c r="M183" s="47"/>
      <c r="N183" s="75"/>
      <c r="O183" s="76"/>
      <c r="P183" s="47"/>
      <c r="Q183" s="75"/>
      <c r="R183" s="76"/>
      <c r="S183" s="47"/>
      <c r="T183" s="115"/>
      <c r="U183" s="76"/>
      <c r="V183" s="47"/>
      <c r="W183" s="115"/>
      <c r="X183" s="76"/>
      <c r="Y183" s="62"/>
      <c r="Z183" s="55"/>
      <c r="AB183" s="98"/>
      <c r="AC183" s="55"/>
      <c r="AE183" s="62"/>
      <c r="AF183" s="75"/>
      <c r="AG183" s="76"/>
      <c r="AH183" s="38"/>
      <c r="AI183" s="146"/>
      <c r="AJ183" s="76"/>
      <c r="AK183" s="23"/>
      <c r="AL183" s="147"/>
      <c r="AM183" s="76"/>
      <c r="AN183" s="23"/>
      <c r="AO183" s="30"/>
      <c r="AQ183" s="30"/>
      <c r="AR183" s="30"/>
      <c r="AS183" s="38"/>
      <c r="AT183" s="71"/>
    </row>
    <row r="184" ht="14.25" customHeight="1">
      <c r="A184" s="22"/>
      <c r="B184" s="55" t="s">
        <v>376</v>
      </c>
      <c r="D184" s="62"/>
      <c r="E184" s="55"/>
      <c r="G184" s="62"/>
      <c r="H184" s="55"/>
      <c r="J184" s="62"/>
      <c r="K184" s="55"/>
      <c r="M184" s="62"/>
      <c r="N184" s="55"/>
      <c r="P184" s="62"/>
      <c r="Q184" s="55"/>
      <c r="S184" s="62"/>
      <c r="T184" s="55"/>
      <c r="V184" s="62"/>
      <c r="W184" s="83"/>
      <c r="Y184" s="62"/>
      <c r="Z184" s="55"/>
      <c r="AB184" s="62"/>
      <c r="AC184" s="55"/>
      <c r="AE184" s="62"/>
      <c r="AF184" s="55"/>
      <c r="AH184" s="23"/>
      <c r="AI184" s="126"/>
      <c r="AK184" s="23"/>
      <c r="AL184" s="30"/>
      <c r="AN184" s="23"/>
      <c r="AO184" s="30"/>
      <c r="AQ184" s="30"/>
      <c r="AR184" s="30"/>
      <c r="AS184" s="23"/>
      <c r="AT184" s="24"/>
    </row>
    <row r="185" ht="14.25" customHeight="1">
      <c r="A185" s="22"/>
      <c r="B185" s="64" t="s">
        <v>31</v>
      </c>
      <c r="C185" s="96"/>
      <c r="D185" s="117"/>
      <c r="E185" s="118"/>
      <c r="F185" s="118"/>
      <c r="G185" s="117"/>
      <c r="H185" s="118"/>
      <c r="I185" s="118"/>
      <c r="J185" s="117"/>
      <c r="K185" s="118"/>
      <c r="L185" s="118"/>
      <c r="M185" s="117"/>
      <c r="N185" s="118"/>
      <c r="O185" s="118"/>
      <c r="P185" s="117"/>
      <c r="Q185" s="118"/>
      <c r="R185" s="118"/>
      <c r="S185" s="117"/>
      <c r="T185" s="118"/>
      <c r="U185" s="118"/>
      <c r="V185" s="117"/>
      <c r="W185" s="118"/>
      <c r="X185" s="118"/>
      <c r="Y185" s="117"/>
      <c r="Z185" s="118"/>
      <c r="AA185" s="118"/>
      <c r="AB185" s="117"/>
      <c r="AC185" s="118"/>
      <c r="AD185" s="118"/>
      <c r="AE185" s="117"/>
      <c r="AF185" s="118"/>
      <c r="AG185" s="118"/>
      <c r="AH185" s="120"/>
      <c r="AI185" s="118"/>
      <c r="AJ185" s="118"/>
      <c r="AK185" s="120"/>
      <c r="AL185" s="118"/>
      <c r="AM185" s="118"/>
      <c r="AN185" s="120"/>
      <c r="AO185" s="118"/>
      <c r="AP185" s="118"/>
      <c r="AQ185" s="118"/>
      <c r="AR185" s="118"/>
      <c r="AS185" s="23"/>
      <c r="AT185" s="24"/>
    </row>
    <row r="186" ht="14.25" customHeight="1">
      <c r="A186" s="22"/>
      <c r="B186" s="55"/>
      <c r="C186" s="55"/>
      <c r="D186" s="47"/>
      <c r="E186" s="127"/>
      <c r="F186" s="55"/>
      <c r="G186" s="55"/>
      <c r="H186" s="127"/>
      <c r="I186" s="82"/>
      <c r="J186" s="47"/>
      <c r="K186" s="128"/>
      <c r="L186" s="129"/>
      <c r="M186" s="47"/>
      <c r="N186" s="128"/>
      <c r="O186" s="129"/>
      <c r="P186" s="47"/>
      <c r="Q186" s="128"/>
      <c r="R186" s="129"/>
      <c r="S186" s="47"/>
      <c r="T186" s="128"/>
      <c r="U186" s="129"/>
      <c r="V186" s="47"/>
      <c r="W186" s="127"/>
      <c r="X186" s="82"/>
      <c r="Y186" s="62"/>
      <c r="Z186" s="127"/>
      <c r="AA186" s="82"/>
      <c r="AB186" s="82"/>
      <c r="AC186" s="127"/>
      <c r="AD186" s="82"/>
      <c r="AE186" s="62"/>
      <c r="AF186" s="127"/>
      <c r="AG186" s="82"/>
      <c r="AH186" s="23"/>
      <c r="AI186" s="127"/>
      <c r="AJ186" s="82"/>
      <c r="AK186" s="23"/>
      <c r="AL186" s="127"/>
      <c r="AM186" s="82"/>
      <c r="AN186" s="23"/>
      <c r="AO186" s="127"/>
      <c r="AP186" s="82"/>
      <c r="AQ186" s="82"/>
      <c r="AR186" s="82"/>
      <c r="AS186" s="23"/>
      <c r="AT186" s="24"/>
      <c r="AV186" s="23"/>
      <c r="AW186" s="23"/>
      <c r="AX186" s="23"/>
      <c r="AY186" s="23"/>
      <c r="AZ186" s="23"/>
    </row>
    <row r="187" ht="14.25" customHeight="1">
      <c r="A187" s="22"/>
      <c r="B187" s="55"/>
      <c r="C187" s="55"/>
      <c r="D187" s="47"/>
      <c r="E187" s="127"/>
      <c r="F187" s="55"/>
      <c r="G187" s="55"/>
      <c r="H187" s="127"/>
      <c r="I187" s="82"/>
      <c r="J187" s="47"/>
      <c r="K187" s="128"/>
      <c r="L187" s="129"/>
      <c r="M187" s="47"/>
      <c r="N187" s="128"/>
      <c r="O187" s="129"/>
      <c r="P187" s="47"/>
      <c r="Q187" s="128"/>
      <c r="R187" s="129"/>
      <c r="S187" s="47"/>
      <c r="T187" s="128"/>
      <c r="U187" s="129"/>
      <c r="V187" s="47"/>
      <c r="W187" s="127"/>
      <c r="X187" s="82"/>
      <c r="Y187" s="62"/>
      <c r="Z187" s="127"/>
      <c r="AA187" s="82"/>
      <c r="AB187" s="82"/>
      <c r="AC187" s="127"/>
      <c r="AD187" s="82"/>
      <c r="AE187" s="62"/>
      <c r="AF187" s="127"/>
      <c r="AG187" s="82"/>
      <c r="AH187" s="23"/>
      <c r="AI187" s="127"/>
      <c r="AJ187" s="82"/>
      <c r="AK187" s="23"/>
      <c r="AL187" s="127"/>
      <c r="AM187" s="82"/>
      <c r="AN187" s="23"/>
      <c r="AO187" s="127"/>
      <c r="AP187" s="82"/>
      <c r="AQ187" s="82"/>
      <c r="AR187" s="82"/>
      <c r="AS187" s="23"/>
      <c r="AT187" s="24"/>
      <c r="AV187" s="23"/>
      <c r="AW187" s="23"/>
      <c r="AX187" s="23"/>
      <c r="AY187" s="23"/>
      <c r="AZ187" s="23"/>
    </row>
    <row r="188" ht="14.25" customHeight="1">
      <c r="A188" s="22"/>
      <c r="B188" s="148" t="s">
        <v>31</v>
      </c>
      <c r="C188" s="148"/>
      <c r="D188" s="149"/>
      <c r="E188" s="150"/>
      <c r="F188" s="148"/>
      <c r="G188" s="149"/>
      <c r="H188" s="150"/>
      <c r="I188" s="150"/>
      <c r="J188" s="149"/>
      <c r="K188" s="150"/>
      <c r="L188" s="150"/>
      <c r="M188" s="62"/>
      <c r="N188" s="150"/>
      <c r="O188" s="150"/>
      <c r="P188" s="149"/>
      <c r="Q188" s="150"/>
      <c r="R188" s="150"/>
      <c r="S188" s="149"/>
      <c r="T188" s="150"/>
      <c r="U188" s="150"/>
      <c r="V188" s="149"/>
      <c r="W188" s="83"/>
      <c r="X188" s="55"/>
      <c r="Y188" s="62"/>
      <c r="Z188" s="55"/>
      <c r="AA188" s="55"/>
      <c r="AB188" s="62"/>
      <c r="AC188" s="55"/>
      <c r="AD188" s="55"/>
      <c r="AE188" s="62"/>
      <c r="AF188" s="55"/>
      <c r="AG188" s="55"/>
      <c r="AH188" s="23"/>
      <c r="AI188" s="126"/>
      <c r="AJ188" s="30"/>
      <c r="AK188" s="23"/>
      <c r="AL188" s="30"/>
      <c r="AM188" s="30"/>
      <c r="AN188" s="23"/>
      <c r="AO188" s="30"/>
      <c r="AP188" s="30"/>
      <c r="AQ188" s="30"/>
      <c r="AR188" s="30"/>
      <c r="AS188" s="23"/>
      <c r="AT188" s="24"/>
    </row>
    <row r="189" ht="15.0" customHeight="1">
      <c r="A189" s="22"/>
      <c r="B189" s="151" t="s">
        <v>377</v>
      </c>
      <c r="C189" s="152"/>
      <c r="D189" s="152"/>
      <c r="E189" s="152"/>
      <c r="F189" s="152"/>
      <c r="G189" s="152"/>
      <c r="H189" s="152"/>
      <c r="I189" s="152"/>
      <c r="J189" s="152"/>
      <c r="K189" s="152"/>
      <c r="L189" s="153"/>
      <c r="M189" s="7"/>
      <c r="N189" s="154" t="s">
        <v>378</v>
      </c>
      <c r="O189" s="2"/>
      <c r="P189" s="2"/>
      <c r="Q189" s="2"/>
      <c r="R189" s="2"/>
      <c r="S189" s="2"/>
      <c r="T189" s="2"/>
      <c r="U189" s="2"/>
      <c r="V189" s="155"/>
      <c r="W189" s="156" t="s">
        <v>379</v>
      </c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57"/>
      <c r="AN189" s="158"/>
      <c r="AO189" s="10"/>
      <c r="AP189" s="10"/>
      <c r="AQ189" s="10"/>
      <c r="AR189" s="10"/>
      <c r="AS189" s="11"/>
      <c r="AT189" s="159"/>
      <c r="AV189" s="23"/>
      <c r="AW189" s="23"/>
      <c r="AX189" s="23"/>
      <c r="AY189" s="23"/>
      <c r="AZ189" s="23"/>
    </row>
    <row r="190" ht="15.0" customHeight="1">
      <c r="A190" s="22"/>
      <c r="B190" s="22"/>
      <c r="D190" s="23"/>
      <c r="G190" s="23"/>
      <c r="J190" s="23"/>
      <c r="M190" s="23"/>
      <c r="O190" s="44"/>
      <c r="P190" s="160"/>
      <c r="S190" s="23"/>
      <c r="V190" s="161"/>
      <c r="W190" s="162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50"/>
      <c r="AN190" s="163"/>
      <c r="AO190" s="94"/>
      <c r="AP190" s="94"/>
      <c r="AQ190" s="94"/>
      <c r="AR190" s="94"/>
      <c r="AS190" s="95"/>
      <c r="AT190" s="164"/>
    </row>
    <row r="191" ht="14.25" customHeight="1">
      <c r="A191" s="22"/>
      <c r="B191" s="165" t="s">
        <v>380</v>
      </c>
      <c r="C191" s="94"/>
      <c r="D191" s="95"/>
      <c r="F191" s="166" t="s">
        <v>381</v>
      </c>
      <c r="G191" s="95"/>
      <c r="I191" s="167" t="s">
        <v>382</v>
      </c>
      <c r="J191" s="95"/>
      <c r="M191" s="23"/>
      <c r="N191" s="168" t="s">
        <v>383</v>
      </c>
      <c r="O191" s="40"/>
      <c r="P191" s="169"/>
      <c r="R191" s="170" t="s">
        <v>384</v>
      </c>
      <c r="S191" s="40"/>
      <c r="T191" s="171"/>
      <c r="U191" s="40"/>
      <c r="V191" s="161"/>
      <c r="W191" s="172" t="s">
        <v>385</v>
      </c>
      <c r="X191" s="95"/>
      <c r="Y191" s="173" t="s">
        <v>386</v>
      </c>
      <c r="Z191" s="94"/>
      <c r="AA191" s="94"/>
      <c r="AB191" s="95"/>
      <c r="AC191" s="173" t="s">
        <v>387</v>
      </c>
      <c r="AD191" s="95"/>
      <c r="AE191" s="173" t="s">
        <v>388</v>
      </c>
      <c r="AF191" s="94"/>
      <c r="AG191" s="95"/>
      <c r="AH191" s="173" t="s">
        <v>389</v>
      </c>
      <c r="AI191" s="94"/>
      <c r="AJ191" s="95"/>
      <c r="AK191" s="173" t="s">
        <v>390</v>
      </c>
      <c r="AL191" s="94"/>
      <c r="AM191" s="95"/>
      <c r="AN191" s="173" t="s">
        <v>391</v>
      </c>
      <c r="AO191" s="94"/>
      <c r="AP191" s="94"/>
      <c r="AQ191" s="94"/>
      <c r="AR191" s="94"/>
      <c r="AS191" s="174"/>
      <c r="AT191" s="74"/>
    </row>
    <row r="192" ht="14.25" customHeight="1">
      <c r="A192" s="22"/>
      <c r="B192" s="22"/>
      <c r="D192" s="23"/>
      <c r="G192" s="23"/>
      <c r="J192" s="23"/>
      <c r="M192" s="23"/>
      <c r="N192" s="49"/>
      <c r="O192" s="50"/>
      <c r="P192" s="175"/>
      <c r="R192" s="176"/>
      <c r="S192" s="177"/>
      <c r="T192" s="176"/>
      <c r="U192" s="177"/>
      <c r="V192" s="161"/>
      <c r="W192" s="144">
        <v>1.0</v>
      </c>
      <c r="X192" s="95"/>
      <c r="Y192" s="178" t="s">
        <v>392</v>
      </c>
      <c r="Z192" s="94"/>
      <c r="AA192" s="94"/>
      <c r="AB192" s="95"/>
      <c r="AC192" s="179" t="s">
        <v>393</v>
      </c>
      <c r="AD192" s="95"/>
      <c r="AE192" s="143">
        <v>118.406</v>
      </c>
      <c r="AF192" s="94"/>
      <c r="AG192" s="95"/>
      <c r="AH192" s="143">
        <v>118.387</v>
      </c>
      <c r="AI192" s="94"/>
      <c r="AJ192" s="95"/>
      <c r="AK192" s="143" t="str">
        <f t="shared" ref="AK192:AK199" si="2">AE192-AH192</f>
        <v>0</v>
      </c>
      <c r="AL192" s="94"/>
      <c r="AM192" s="95"/>
      <c r="AN192" s="179"/>
      <c r="AO192" s="94"/>
      <c r="AP192" s="94"/>
      <c r="AQ192" s="94"/>
      <c r="AR192" s="94"/>
      <c r="AS192" s="95"/>
      <c r="AT192" s="74"/>
    </row>
    <row r="193" ht="14.25" customHeight="1">
      <c r="A193" s="22"/>
      <c r="B193" s="180" t="s">
        <v>394</v>
      </c>
      <c r="C193" s="94"/>
      <c r="D193" s="95"/>
      <c r="G193" s="23"/>
      <c r="J193" s="23"/>
      <c r="M193" s="23"/>
      <c r="N193" s="168" t="s">
        <v>395</v>
      </c>
      <c r="O193" s="40"/>
      <c r="P193" s="169"/>
      <c r="R193" s="176"/>
      <c r="S193" s="177"/>
      <c r="T193" s="176"/>
      <c r="U193" s="177"/>
      <c r="V193" s="161"/>
      <c r="W193" s="144">
        <v>2.0</v>
      </c>
      <c r="X193" s="95"/>
      <c r="Y193" s="178" t="s">
        <v>396</v>
      </c>
      <c r="Z193" s="94"/>
      <c r="AA193" s="94"/>
      <c r="AB193" s="95"/>
      <c r="AC193" s="179" t="s">
        <v>393</v>
      </c>
      <c r="AD193" s="95"/>
      <c r="AE193" s="143">
        <v>118.406</v>
      </c>
      <c r="AF193" s="94"/>
      <c r="AG193" s="95"/>
      <c r="AH193" s="143">
        <v>118.387</v>
      </c>
      <c r="AI193" s="94"/>
      <c r="AJ193" s="95"/>
      <c r="AK193" s="143" t="str">
        <f t="shared" si="2"/>
        <v>0</v>
      </c>
      <c r="AL193" s="94"/>
      <c r="AM193" s="95"/>
      <c r="AN193" s="179"/>
      <c r="AO193" s="94"/>
      <c r="AP193" s="94"/>
      <c r="AQ193" s="94"/>
      <c r="AR193" s="94"/>
      <c r="AS193" s="95"/>
      <c r="AT193" s="74"/>
    </row>
    <row r="194" ht="14.25" customHeight="1">
      <c r="A194" s="22"/>
      <c r="B194" s="22"/>
      <c r="D194" s="23"/>
      <c r="F194" s="23"/>
      <c r="J194" s="23"/>
      <c r="M194" s="23"/>
      <c r="N194" s="49"/>
      <c r="O194" s="50"/>
      <c r="P194" s="175"/>
      <c r="R194" s="49"/>
      <c r="S194" s="50"/>
      <c r="T194" s="49"/>
      <c r="U194" s="50"/>
      <c r="V194" s="161"/>
      <c r="W194" s="144">
        <v>3.0</v>
      </c>
      <c r="X194" s="95"/>
      <c r="Y194" s="178" t="s">
        <v>397</v>
      </c>
      <c r="Z194" s="94"/>
      <c r="AA194" s="94"/>
      <c r="AB194" s="95"/>
      <c r="AC194" s="179" t="s">
        <v>398</v>
      </c>
      <c r="AD194" s="95"/>
      <c r="AE194" s="179">
        <v>309.0</v>
      </c>
      <c r="AF194" s="94"/>
      <c r="AG194" s="95"/>
      <c r="AH194" s="179" t="str">
        <f>I206</f>
        <v>264</v>
      </c>
      <c r="AI194" s="94"/>
      <c r="AJ194" s="95"/>
      <c r="AK194" s="179" t="str">
        <f t="shared" si="2"/>
        <v>45</v>
      </c>
      <c r="AL194" s="94"/>
      <c r="AM194" s="95"/>
      <c r="AN194" s="179"/>
      <c r="AO194" s="94"/>
      <c r="AP194" s="94"/>
      <c r="AQ194" s="94"/>
      <c r="AR194" s="94"/>
      <c r="AS194" s="95"/>
      <c r="AT194" s="74"/>
    </row>
    <row r="195" ht="14.25" customHeight="1">
      <c r="A195" s="22"/>
      <c r="B195" s="22"/>
      <c r="D195" s="23"/>
      <c r="E195" s="27"/>
      <c r="F195" s="28"/>
      <c r="G195" s="23"/>
      <c r="H195" s="29"/>
      <c r="I195" s="28"/>
      <c r="J195" s="23"/>
      <c r="K195" s="27"/>
      <c r="L195" s="28"/>
      <c r="M195" s="23"/>
      <c r="N195" s="168" t="s">
        <v>399</v>
      </c>
      <c r="O195" s="40"/>
      <c r="P195" s="169"/>
      <c r="R195" s="170" t="s">
        <v>400</v>
      </c>
      <c r="S195" s="40"/>
      <c r="T195" s="171"/>
      <c r="U195" s="40"/>
      <c r="V195" s="161"/>
      <c r="W195" s="144">
        <v>4.0</v>
      </c>
      <c r="X195" s="95"/>
      <c r="Y195" s="178" t="s">
        <v>401</v>
      </c>
      <c r="Z195" s="94"/>
      <c r="AA195" s="94"/>
      <c r="AB195" s="95"/>
      <c r="AC195" s="179" t="s">
        <v>398</v>
      </c>
      <c r="AD195" s="95"/>
      <c r="AE195" s="179">
        <v>309.0</v>
      </c>
      <c r="AF195" s="94"/>
      <c r="AG195" s="95"/>
      <c r="AH195" s="179" t="str">
        <f>J206</f>
        <v>232</v>
      </c>
      <c r="AI195" s="94"/>
      <c r="AJ195" s="95"/>
      <c r="AK195" s="179" t="str">
        <f t="shared" si="2"/>
        <v>77</v>
      </c>
      <c r="AL195" s="94"/>
      <c r="AM195" s="95"/>
      <c r="AN195" s="179"/>
      <c r="AO195" s="94"/>
      <c r="AP195" s="94"/>
      <c r="AQ195" s="94"/>
      <c r="AR195" s="94"/>
      <c r="AS195" s="95"/>
      <c r="AT195" s="74"/>
    </row>
    <row r="196" ht="14.25" customHeight="1">
      <c r="A196" s="22"/>
      <c r="B196" s="181"/>
      <c r="C196" s="182"/>
      <c r="D196" s="183"/>
      <c r="E196" s="35"/>
      <c r="F196" s="36"/>
      <c r="G196" s="32"/>
      <c r="H196" s="184"/>
      <c r="I196" s="184"/>
      <c r="J196" s="37"/>
      <c r="K196" s="25"/>
      <c r="L196" s="184"/>
      <c r="M196" s="32"/>
      <c r="N196" s="49"/>
      <c r="O196" s="50"/>
      <c r="P196" s="175"/>
      <c r="R196" s="176"/>
      <c r="S196" s="177"/>
      <c r="T196" s="176"/>
      <c r="U196" s="177"/>
      <c r="V196" s="161"/>
      <c r="W196" s="144">
        <v>5.0</v>
      </c>
      <c r="X196" s="95"/>
      <c r="Y196" s="178" t="s">
        <v>394</v>
      </c>
      <c r="Z196" s="94"/>
      <c r="AA196" s="94"/>
      <c r="AB196" s="95"/>
      <c r="AC196" s="179" t="s">
        <v>398</v>
      </c>
      <c r="AD196" s="95"/>
      <c r="AE196" s="179">
        <v>309.0</v>
      </c>
      <c r="AF196" s="94"/>
      <c r="AG196" s="95"/>
      <c r="AH196" s="179" t="str">
        <f>K206</f>
        <v>198</v>
      </c>
      <c r="AI196" s="94"/>
      <c r="AJ196" s="95"/>
      <c r="AK196" s="179" t="str">
        <f t="shared" si="2"/>
        <v>111</v>
      </c>
      <c r="AL196" s="94"/>
      <c r="AM196" s="95"/>
      <c r="AN196" s="179"/>
      <c r="AO196" s="94"/>
      <c r="AP196" s="94"/>
      <c r="AQ196" s="94"/>
      <c r="AR196" s="94"/>
      <c r="AS196" s="95"/>
      <c r="AT196" s="74"/>
    </row>
    <row r="197" ht="14.25" customHeight="1">
      <c r="A197" s="22"/>
      <c r="B197" s="185" t="s">
        <v>397</v>
      </c>
      <c r="C197" s="186"/>
      <c r="D197" s="187"/>
      <c r="E197" s="35"/>
      <c r="F197" s="35"/>
      <c r="G197" s="32"/>
      <c r="H197" s="184"/>
      <c r="I197" s="184"/>
      <c r="J197" s="23"/>
      <c r="K197" s="25"/>
      <c r="L197" s="184"/>
      <c r="M197" s="32"/>
      <c r="N197" s="168" t="s">
        <v>402</v>
      </c>
      <c r="O197" s="40"/>
      <c r="P197" s="169"/>
      <c r="R197" s="176"/>
      <c r="S197" s="177"/>
      <c r="T197" s="176"/>
      <c r="U197" s="177"/>
      <c r="V197" s="161"/>
      <c r="W197" s="144">
        <v>6.0</v>
      </c>
      <c r="X197" s="95"/>
      <c r="Y197" s="178" t="s">
        <v>403</v>
      </c>
      <c r="Z197" s="94"/>
      <c r="AA197" s="94"/>
      <c r="AB197" s="95"/>
      <c r="AC197" s="179" t="s">
        <v>398</v>
      </c>
      <c r="AD197" s="95"/>
      <c r="AE197" s="179">
        <v>309.0</v>
      </c>
      <c r="AF197" s="94"/>
      <c r="AG197" s="95"/>
      <c r="AH197" s="179">
        <v>0.0</v>
      </c>
      <c r="AI197" s="94"/>
      <c r="AJ197" s="95"/>
      <c r="AK197" s="179" t="str">
        <f t="shared" si="2"/>
        <v>309</v>
      </c>
      <c r="AL197" s="94"/>
      <c r="AM197" s="95"/>
      <c r="AN197" s="179"/>
      <c r="AO197" s="94"/>
      <c r="AP197" s="94"/>
      <c r="AQ197" s="94"/>
      <c r="AR197" s="94"/>
      <c r="AS197" s="95"/>
      <c r="AT197" s="74"/>
    </row>
    <row r="198" ht="14.25" customHeight="1">
      <c r="A198" s="22"/>
      <c r="B198" s="181" t="s">
        <v>404</v>
      </c>
      <c r="C198" s="182"/>
      <c r="D198" s="23"/>
      <c r="E198" s="147" t="s">
        <v>17</v>
      </c>
      <c r="F198" s="76"/>
      <c r="G198" s="70">
        <v>293.0</v>
      </c>
      <c r="H198" s="188" t="s">
        <v>405</v>
      </c>
      <c r="I198" s="76"/>
      <c r="J198" s="189">
        <v>391.0</v>
      </c>
      <c r="K198" s="190" t="s">
        <v>406</v>
      </c>
      <c r="L198" s="191"/>
      <c r="M198" s="32"/>
      <c r="N198" s="49"/>
      <c r="O198" s="50"/>
      <c r="P198" s="175"/>
      <c r="R198" s="49"/>
      <c r="S198" s="50"/>
      <c r="T198" s="49"/>
      <c r="U198" s="50"/>
      <c r="V198" s="161"/>
      <c r="W198" s="144">
        <v>7.0</v>
      </c>
      <c r="X198" s="95"/>
      <c r="Y198" s="178" t="s">
        <v>407</v>
      </c>
      <c r="Z198" s="94"/>
      <c r="AA198" s="94"/>
      <c r="AB198" s="95"/>
      <c r="AC198" s="179" t="s">
        <v>393</v>
      </c>
      <c r="AD198" s="95"/>
      <c r="AE198" s="143">
        <v>118.406</v>
      </c>
      <c r="AF198" s="94"/>
      <c r="AG198" s="95"/>
      <c r="AH198" s="143">
        <v>0.0</v>
      </c>
      <c r="AI198" s="94"/>
      <c r="AJ198" s="95"/>
      <c r="AK198" s="143" t="str">
        <f t="shared" si="2"/>
        <v>118</v>
      </c>
      <c r="AL198" s="94"/>
      <c r="AM198" s="95"/>
      <c r="AN198" s="178"/>
      <c r="AO198" s="94"/>
      <c r="AP198" s="94"/>
      <c r="AQ198" s="94"/>
      <c r="AR198" s="94"/>
      <c r="AS198" s="95"/>
      <c r="AT198" s="192"/>
    </row>
    <row r="199" ht="14.25" customHeight="1">
      <c r="A199" s="22"/>
      <c r="B199" s="181" t="s">
        <v>408</v>
      </c>
      <c r="C199" s="182"/>
      <c r="D199" s="23"/>
      <c r="E199" s="30" t="s">
        <v>409</v>
      </c>
      <c r="G199" s="23"/>
      <c r="H199" s="30" t="s">
        <v>34</v>
      </c>
      <c r="J199" s="189"/>
      <c r="K199" s="193" t="s">
        <v>410</v>
      </c>
      <c r="L199" s="194"/>
      <c r="M199" s="32"/>
      <c r="N199" s="168" t="s">
        <v>411</v>
      </c>
      <c r="O199" s="40"/>
      <c r="P199" s="169"/>
      <c r="R199" s="195"/>
      <c r="S199" s="40"/>
      <c r="T199" s="171"/>
      <c r="U199" s="40"/>
      <c r="V199" s="161"/>
      <c r="W199" s="144">
        <v>8.0</v>
      </c>
      <c r="X199" s="95"/>
      <c r="Y199" s="178" t="s">
        <v>412</v>
      </c>
      <c r="Z199" s="94"/>
      <c r="AA199" s="94"/>
      <c r="AB199" s="95"/>
      <c r="AC199" s="179" t="s">
        <v>393</v>
      </c>
      <c r="AD199" s="95"/>
      <c r="AE199" s="143">
        <v>118.406</v>
      </c>
      <c r="AF199" s="94"/>
      <c r="AG199" s="95"/>
      <c r="AH199" s="143">
        <v>0.0</v>
      </c>
      <c r="AI199" s="94"/>
      <c r="AJ199" s="95"/>
      <c r="AK199" s="143" t="str">
        <f t="shared" si="2"/>
        <v>118</v>
      </c>
      <c r="AL199" s="94"/>
      <c r="AM199" s="95"/>
      <c r="AN199" s="179"/>
      <c r="AO199" s="94"/>
      <c r="AP199" s="94"/>
      <c r="AQ199" s="94"/>
      <c r="AR199" s="94"/>
      <c r="AS199" s="95"/>
      <c r="AT199" s="74"/>
    </row>
    <row r="200" ht="14.25" customHeight="1">
      <c r="A200" s="196"/>
      <c r="B200" s="196"/>
      <c r="C200" s="197"/>
      <c r="D200" s="198"/>
      <c r="E200" s="197"/>
      <c r="F200" s="199" t="s">
        <v>401</v>
      </c>
      <c r="G200" s="200"/>
      <c r="H200" s="197"/>
      <c r="I200" s="197"/>
      <c r="J200" s="201" t="s">
        <v>413</v>
      </c>
      <c r="K200" s="202"/>
      <c r="L200" s="200"/>
      <c r="M200" s="198"/>
      <c r="N200" s="203"/>
      <c r="O200" s="204"/>
      <c r="P200" s="205"/>
      <c r="Q200" s="198"/>
      <c r="R200" s="203"/>
      <c r="S200" s="204"/>
      <c r="T200" s="203"/>
      <c r="U200" s="204"/>
      <c r="V200" s="206"/>
      <c r="W200" s="207">
        <v>9.0</v>
      </c>
      <c r="X200" s="200"/>
      <c r="Y200" s="208" t="s">
        <v>414</v>
      </c>
      <c r="Z200" s="202"/>
      <c r="AA200" s="202"/>
      <c r="AB200" s="200"/>
      <c r="AC200" s="209" t="s">
        <v>393</v>
      </c>
      <c r="AD200" s="200"/>
      <c r="AE200" s="210">
        <v>118.406</v>
      </c>
      <c r="AF200" s="202"/>
      <c r="AG200" s="200"/>
      <c r="AH200" s="210">
        <v>0.0</v>
      </c>
      <c r="AI200" s="202"/>
      <c r="AJ200" s="200"/>
      <c r="AK200" s="209">
        <v>118.0</v>
      </c>
      <c r="AL200" s="202"/>
      <c r="AM200" s="200"/>
      <c r="AN200" s="209"/>
      <c r="AO200" s="202"/>
      <c r="AP200" s="202"/>
      <c r="AQ200" s="202"/>
      <c r="AR200" s="202"/>
      <c r="AS200" s="200"/>
      <c r="AT200" s="211"/>
    </row>
    <row r="201" ht="14.25" customHeight="1">
      <c r="D201" s="23"/>
      <c r="G201" s="23"/>
      <c r="J201" s="23"/>
      <c r="M201" s="23"/>
      <c r="N201" s="212" t="s">
        <v>415</v>
      </c>
      <c r="O201" s="177"/>
      <c r="P201" s="213"/>
      <c r="S201" s="23"/>
      <c r="V201" s="23"/>
      <c r="Y201" s="23"/>
      <c r="AB201" s="23"/>
      <c r="AE201" s="23"/>
      <c r="AH201" s="23"/>
      <c r="AK201" s="23"/>
      <c r="AN201" s="23"/>
      <c r="AS201" s="23"/>
      <c r="AT201" s="23"/>
    </row>
    <row r="202" ht="14.25" customHeight="1">
      <c r="D202" s="23"/>
      <c r="G202" s="23"/>
      <c r="J202" s="23"/>
      <c r="M202" s="23"/>
      <c r="N202" s="203"/>
      <c r="O202" s="204"/>
      <c r="P202" s="175"/>
      <c r="S202" s="23"/>
      <c r="V202" s="23"/>
      <c r="Y202" s="23"/>
      <c r="AB202" s="23"/>
      <c r="AE202" s="23"/>
      <c r="AH202" s="23"/>
      <c r="AK202" s="23"/>
      <c r="AN202" s="23"/>
      <c r="AS202" s="23"/>
      <c r="AT202" s="23"/>
    </row>
    <row r="203" ht="14.25" customHeight="1">
      <c r="D203" s="23"/>
      <c r="G203" s="23"/>
      <c r="J203" s="23"/>
      <c r="M203" s="23"/>
      <c r="P203" s="23"/>
      <c r="S203" s="23"/>
      <c r="V203" s="23"/>
      <c r="Y203" s="23"/>
      <c r="AB203" s="23"/>
      <c r="AE203" s="23"/>
      <c r="AH203" s="214"/>
      <c r="AK203" s="23"/>
      <c r="AN203" s="23"/>
      <c r="AS203" s="23"/>
      <c r="AT203" s="23"/>
    </row>
    <row r="204" ht="14.25" customHeight="1">
      <c r="D204" s="23"/>
      <c r="G204" s="23"/>
      <c r="J204" s="23"/>
      <c r="M204" s="23"/>
      <c r="P204" s="23"/>
      <c r="S204" s="23"/>
      <c r="V204" s="23"/>
      <c r="Y204" s="23"/>
      <c r="AB204" s="23"/>
      <c r="AE204" s="23"/>
      <c r="AH204" s="23"/>
      <c r="AK204" s="23"/>
      <c r="AN204" s="23"/>
      <c r="AS204" s="23"/>
      <c r="AT204" s="23"/>
    </row>
    <row r="205" ht="14.25" customHeight="1">
      <c r="D205" s="23"/>
      <c r="G205" s="23"/>
      <c r="I205" s="16" t="s">
        <v>2</v>
      </c>
      <c r="J205" s="215" t="s">
        <v>3</v>
      </c>
      <c r="K205" s="216" t="s">
        <v>416</v>
      </c>
      <c r="L205" s="19" t="s">
        <v>5</v>
      </c>
      <c r="M205" s="217" t="s">
        <v>6</v>
      </c>
      <c r="N205" s="21" t="s">
        <v>7</v>
      </c>
      <c r="P205" s="23"/>
      <c r="S205" s="23"/>
      <c r="V205" s="23"/>
      <c r="W205" s="105"/>
      <c r="X205" s="105"/>
      <c r="Y205" s="23"/>
      <c r="AB205" s="105"/>
      <c r="AE205" s="23"/>
      <c r="AH205" s="218" t="s">
        <v>417</v>
      </c>
      <c r="AI205" s="13"/>
      <c r="AJ205" s="13"/>
      <c r="AK205" s="13"/>
      <c r="AL205" s="13"/>
      <c r="AM205" s="13"/>
      <c r="AN205" s="13"/>
      <c r="AO205" s="13"/>
      <c r="AP205" s="219"/>
      <c r="AQ205" s="220"/>
      <c r="AR205" s="220"/>
      <c r="AS205" s="23"/>
      <c r="AT205" s="23"/>
    </row>
    <row r="206" ht="14.25" customHeight="1">
      <c r="D206" s="23"/>
      <c r="G206" s="23"/>
      <c r="I206" s="25" t="str">
        <f t="shared" ref="I206:K206" si="3">AV3</f>
        <v>264</v>
      </c>
      <c r="J206" s="25" t="str">
        <f t="shared" si="3"/>
        <v>232</v>
      </c>
      <c r="K206" s="25" t="str">
        <f t="shared" si="3"/>
        <v>198</v>
      </c>
      <c r="L206" s="25" t="str">
        <f t="shared" ref="L206:N206" si="4">SUM(L209:L385)</f>
        <v>0</v>
      </c>
      <c r="M206" s="25" t="str">
        <f t="shared" si="4"/>
        <v>0</v>
      </c>
      <c r="N206" s="25" t="str">
        <f t="shared" si="4"/>
        <v>0</v>
      </c>
      <c r="P206" s="23"/>
      <c r="S206" s="23"/>
      <c r="V206" s="23"/>
      <c r="Y206" s="23"/>
      <c r="AB206" s="23"/>
      <c r="AE206" s="23"/>
      <c r="AH206" s="221"/>
      <c r="AP206" s="136"/>
      <c r="AQ206" s="220"/>
      <c r="AR206" s="220"/>
      <c r="AS206" s="23"/>
      <c r="AT206" s="23"/>
    </row>
    <row r="207" ht="14.25" customHeight="1">
      <c r="D207" s="23"/>
      <c r="G207" s="23"/>
      <c r="J207" s="23"/>
      <c r="M207" s="23"/>
      <c r="P207" s="23"/>
      <c r="S207" s="23"/>
      <c r="V207" s="23"/>
      <c r="Y207" s="23"/>
      <c r="AB207" s="23"/>
      <c r="AE207" s="23"/>
      <c r="AH207" s="221"/>
      <c r="AP207" s="136"/>
      <c r="AQ207" s="220"/>
      <c r="AR207" s="220"/>
      <c r="AS207" s="23"/>
      <c r="AT207" s="23"/>
    </row>
    <row r="208" ht="14.25" customHeight="1">
      <c r="D208" s="23"/>
      <c r="G208" s="23"/>
      <c r="J208" s="23"/>
      <c r="M208" s="23"/>
      <c r="P208" s="23"/>
      <c r="S208" s="23"/>
      <c r="V208" s="23"/>
      <c r="Y208" s="23"/>
      <c r="AB208" s="23"/>
      <c r="AE208" s="23"/>
      <c r="AH208" s="221"/>
      <c r="AP208" s="136"/>
      <c r="AQ208" s="220"/>
      <c r="AR208" s="220"/>
      <c r="AS208" s="23"/>
      <c r="AT208" s="23"/>
    </row>
    <row r="209" ht="14.25" customHeight="1">
      <c r="D209" s="23"/>
      <c r="G209" s="23"/>
      <c r="J209" s="23"/>
      <c r="M209" s="23"/>
      <c r="P209" s="23"/>
      <c r="S209" s="23"/>
      <c r="V209" s="23"/>
      <c r="Y209" s="23"/>
      <c r="AB209" s="23"/>
      <c r="AE209" s="23"/>
      <c r="AH209" s="221"/>
      <c r="AP209" s="136"/>
      <c r="AQ209" s="220"/>
      <c r="AR209" s="220"/>
      <c r="AS209" s="23"/>
      <c r="AT209" s="23"/>
    </row>
    <row r="210" ht="14.25" customHeight="1">
      <c r="D210" s="23"/>
      <c r="G210" s="23"/>
      <c r="J210" s="23"/>
      <c r="M210" s="23"/>
      <c r="P210" s="23"/>
      <c r="S210" s="23"/>
      <c r="V210" s="23"/>
      <c r="Y210" s="23"/>
      <c r="AB210" s="23"/>
      <c r="AE210" s="23"/>
      <c r="AH210" s="221"/>
      <c r="AP210" s="136"/>
      <c r="AQ210" s="220"/>
      <c r="AR210" s="220"/>
      <c r="AS210" s="23"/>
      <c r="AT210" s="23"/>
    </row>
    <row r="211" ht="14.25" customHeight="1">
      <c r="D211" s="23"/>
      <c r="G211" s="23"/>
      <c r="J211" s="23"/>
      <c r="M211" s="23"/>
      <c r="P211" s="23"/>
      <c r="S211" s="23"/>
      <c r="V211" s="23"/>
      <c r="Y211" s="23"/>
      <c r="AB211" s="23"/>
      <c r="AE211" s="23"/>
      <c r="AH211" s="222"/>
      <c r="AI211" s="152"/>
      <c r="AJ211" s="152"/>
      <c r="AK211" s="152"/>
      <c r="AL211" s="152"/>
      <c r="AM211" s="152"/>
      <c r="AN211" s="152"/>
      <c r="AO211" s="152"/>
      <c r="AP211" s="153"/>
      <c r="AQ211" s="220"/>
      <c r="AR211" s="220"/>
      <c r="AS211" s="23"/>
      <c r="AT211" s="23"/>
    </row>
  </sheetData>
  <mergeCells count="1145">
    <mergeCell ref="B144:C144"/>
    <mergeCell ref="B143:C143"/>
    <mergeCell ref="B148:C148"/>
    <mergeCell ref="E148:F148"/>
    <mergeCell ref="B152:C152"/>
    <mergeCell ref="H152:I152"/>
    <mergeCell ref="B151:C151"/>
    <mergeCell ref="H151:I151"/>
    <mergeCell ref="E152:F152"/>
    <mergeCell ref="E151:F151"/>
    <mergeCell ref="B159:C159"/>
    <mergeCell ref="H159:I159"/>
    <mergeCell ref="B156:C156"/>
    <mergeCell ref="E156:F156"/>
    <mergeCell ref="B160:C160"/>
    <mergeCell ref="E159:F159"/>
    <mergeCell ref="E160:F160"/>
    <mergeCell ref="B168:C168"/>
    <mergeCell ref="H168:I168"/>
    <mergeCell ref="N168:O168"/>
    <mergeCell ref="B167:C167"/>
    <mergeCell ref="H167:I167"/>
    <mergeCell ref="N167:O167"/>
    <mergeCell ref="W164:X164"/>
    <mergeCell ref="Z164:AA164"/>
    <mergeCell ref="B164:C164"/>
    <mergeCell ref="E164:F164"/>
    <mergeCell ref="H164:I164"/>
    <mergeCell ref="K164:L164"/>
    <mergeCell ref="N164:O164"/>
    <mergeCell ref="Q164:R164"/>
    <mergeCell ref="T164:U164"/>
    <mergeCell ref="Z167:AA167"/>
    <mergeCell ref="Z168:AA168"/>
    <mergeCell ref="Q168:R168"/>
    <mergeCell ref="T168:U168"/>
    <mergeCell ref="Q167:R167"/>
    <mergeCell ref="T167:U167"/>
    <mergeCell ref="W167:X167"/>
    <mergeCell ref="W165:X166"/>
    <mergeCell ref="W168:X168"/>
    <mergeCell ref="H173:I174"/>
    <mergeCell ref="H172:I172"/>
    <mergeCell ref="H176:I176"/>
    <mergeCell ref="K172:L172"/>
    <mergeCell ref="N172:O172"/>
    <mergeCell ref="E175:F175"/>
    <mergeCell ref="E176:F176"/>
    <mergeCell ref="K175:L175"/>
    <mergeCell ref="K176:L176"/>
    <mergeCell ref="N176:O176"/>
    <mergeCell ref="Q176:R176"/>
    <mergeCell ref="K168:L168"/>
    <mergeCell ref="K167:L167"/>
    <mergeCell ref="H175:I175"/>
    <mergeCell ref="N175:O175"/>
    <mergeCell ref="Q175:R175"/>
    <mergeCell ref="K170:R170"/>
    <mergeCell ref="Q172:R172"/>
    <mergeCell ref="B180:C180"/>
    <mergeCell ref="E180:F180"/>
    <mergeCell ref="H180:I180"/>
    <mergeCell ref="K180:L180"/>
    <mergeCell ref="N180:O180"/>
    <mergeCell ref="Q180:R180"/>
    <mergeCell ref="E168:F168"/>
    <mergeCell ref="E167:F167"/>
    <mergeCell ref="B175:C175"/>
    <mergeCell ref="B172:C172"/>
    <mergeCell ref="E172:F172"/>
    <mergeCell ref="A178:D178"/>
    <mergeCell ref="B176:C176"/>
    <mergeCell ref="E104:F104"/>
    <mergeCell ref="E103:F103"/>
    <mergeCell ref="E108:F108"/>
    <mergeCell ref="H108:I108"/>
    <mergeCell ref="E112:F112"/>
    <mergeCell ref="K112:L112"/>
    <mergeCell ref="E111:F111"/>
    <mergeCell ref="K111:L111"/>
    <mergeCell ref="N119:O119"/>
    <mergeCell ref="Q119:R119"/>
    <mergeCell ref="T119:U119"/>
    <mergeCell ref="S122:V122"/>
    <mergeCell ref="T120:U120"/>
    <mergeCell ref="E116:F116"/>
    <mergeCell ref="H116:I116"/>
    <mergeCell ref="K116:L116"/>
    <mergeCell ref="N116:O116"/>
    <mergeCell ref="Q116:R116"/>
    <mergeCell ref="T116:U116"/>
    <mergeCell ref="H124:I124"/>
    <mergeCell ref="G122:J122"/>
    <mergeCell ref="B119:C119"/>
    <mergeCell ref="B120:C120"/>
    <mergeCell ref="E120:F120"/>
    <mergeCell ref="H120:I120"/>
    <mergeCell ref="H112:I112"/>
    <mergeCell ref="H111:I111"/>
    <mergeCell ref="E117:F118"/>
    <mergeCell ref="E119:F119"/>
    <mergeCell ref="H119:I119"/>
    <mergeCell ref="K119:L119"/>
    <mergeCell ref="E114:O114"/>
    <mergeCell ref="K120:L120"/>
    <mergeCell ref="N120:O120"/>
    <mergeCell ref="B116:C116"/>
    <mergeCell ref="E124:F124"/>
    <mergeCell ref="K124:L124"/>
    <mergeCell ref="N124:O124"/>
    <mergeCell ref="Q124:R124"/>
    <mergeCell ref="N122:R122"/>
    <mergeCell ref="Q120:R120"/>
    <mergeCell ref="Q128:R128"/>
    <mergeCell ref="Q127:R127"/>
    <mergeCell ref="W127:X127"/>
    <mergeCell ref="Z127:AA127"/>
    <mergeCell ref="AC127:AD127"/>
    <mergeCell ref="Z124:AA124"/>
    <mergeCell ref="AC124:AD124"/>
    <mergeCell ref="E128:F128"/>
    <mergeCell ref="E125:F126"/>
    <mergeCell ref="E127:F127"/>
    <mergeCell ref="B128:C128"/>
    <mergeCell ref="B127:C127"/>
    <mergeCell ref="K128:L128"/>
    <mergeCell ref="K127:L127"/>
    <mergeCell ref="H128:I128"/>
    <mergeCell ref="N128:O128"/>
    <mergeCell ref="T128:U128"/>
    <mergeCell ref="W125:X126"/>
    <mergeCell ref="H127:I127"/>
    <mergeCell ref="N127:O127"/>
    <mergeCell ref="W124:X124"/>
    <mergeCell ref="H132:I132"/>
    <mergeCell ref="K132:L132"/>
    <mergeCell ref="N132:O132"/>
    <mergeCell ref="Q132:R132"/>
    <mergeCell ref="Z128:AA128"/>
    <mergeCell ref="AC128:AD128"/>
    <mergeCell ref="Z138:AD138"/>
    <mergeCell ref="Z136:AA136"/>
    <mergeCell ref="AC136:AD136"/>
    <mergeCell ref="Z135:AA135"/>
    <mergeCell ref="AC135:AD135"/>
    <mergeCell ref="T127:U127"/>
    <mergeCell ref="T124:U124"/>
    <mergeCell ref="AC132:AD132"/>
    <mergeCell ref="T132:U132"/>
    <mergeCell ref="W132:X132"/>
    <mergeCell ref="Z132:AA132"/>
    <mergeCell ref="W128:X128"/>
    <mergeCell ref="Q140:R140"/>
    <mergeCell ref="T140:U140"/>
    <mergeCell ref="W140:X140"/>
    <mergeCell ref="Z140:AA140"/>
    <mergeCell ref="B136:C136"/>
    <mergeCell ref="E136:F136"/>
    <mergeCell ref="T136:U136"/>
    <mergeCell ref="W136:X136"/>
    <mergeCell ref="T135:U135"/>
    <mergeCell ref="W135:X135"/>
    <mergeCell ref="H144:I144"/>
    <mergeCell ref="H143:I143"/>
    <mergeCell ref="H146:L146"/>
    <mergeCell ref="H148:I148"/>
    <mergeCell ref="K148:L148"/>
    <mergeCell ref="N144:O144"/>
    <mergeCell ref="N143:O143"/>
    <mergeCell ref="T148:U148"/>
    <mergeCell ref="W148:X148"/>
    <mergeCell ref="Q146:U146"/>
    <mergeCell ref="N148:O148"/>
    <mergeCell ref="Q148:R148"/>
    <mergeCell ref="Z156:AA156"/>
    <mergeCell ref="W154:AA154"/>
    <mergeCell ref="H156:I156"/>
    <mergeCell ref="K156:L156"/>
    <mergeCell ref="H160:I160"/>
    <mergeCell ref="K160:L160"/>
    <mergeCell ref="Q157:R158"/>
    <mergeCell ref="Q156:R156"/>
    <mergeCell ref="AC157:AD158"/>
    <mergeCell ref="AC160:AD160"/>
    <mergeCell ref="W162:AD162"/>
    <mergeCell ref="W160:X160"/>
    <mergeCell ref="Z160:AA160"/>
    <mergeCell ref="W159:X159"/>
    <mergeCell ref="Z159:AA159"/>
    <mergeCell ref="Q159:R159"/>
    <mergeCell ref="Q160:R160"/>
    <mergeCell ref="K159:L159"/>
    <mergeCell ref="N159:O159"/>
    <mergeCell ref="T159:U159"/>
    <mergeCell ref="W156:X156"/>
    <mergeCell ref="N156:O156"/>
    <mergeCell ref="T156:U156"/>
    <mergeCell ref="N160:O160"/>
    <mergeCell ref="T160:U160"/>
    <mergeCell ref="B124:C124"/>
    <mergeCell ref="B135:C135"/>
    <mergeCell ref="E135:F135"/>
    <mergeCell ref="H135:I135"/>
    <mergeCell ref="K135:L135"/>
    <mergeCell ref="N135:O135"/>
    <mergeCell ref="Q135:R135"/>
    <mergeCell ref="H136:I136"/>
    <mergeCell ref="K136:L136"/>
    <mergeCell ref="Q136:R136"/>
    <mergeCell ref="B132:C132"/>
    <mergeCell ref="E132:F132"/>
    <mergeCell ref="E140:F140"/>
    <mergeCell ref="H140:I140"/>
    <mergeCell ref="K140:L140"/>
    <mergeCell ref="N140:O140"/>
    <mergeCell ref="N136:O136"/>
    <mergeCell ref="Q144:R144"/>
    <mergeCell ref="Q143:R143"/>
    <mergeCell ref="W143:X143"/>
    <mergeCell ref="Z143:AA143"/>
    <mergeCell ref="AC143:AD143"/>
    <mergeCell ref="AC140:AD140"/>
    <mergeCell ref="W144:X144"/>
    <mergeCell ref="Z144:AA144"/>
    <mergeCell ref="B140:C140"/>
    <mergeCell ref="E144:F144"/>
    <mergeCell ref="K144:L144"/>
    <mergeCell ref="T144:U144"/>
    <mergeCell ref="T143:U143"/>
    <mergeCell ref="E143:F143"/>
    <mergeCell ref="K143:L143"/>
    <mergeCell ref="Z148:AA148"/>
    <mergeCell ref="Z152:AA152"/>
    <mergeCell ref="AC152:AD152"/>
    <mergeCell ref="Z151:AA151"/>
    <mergeCell ref="N152:O152"/>
    <mergeCell ref="N151:O151"/>
    <mergeCell ref="B154:O154"/>
    <mergeCell ref="K152:L152"/>
    <mergeCell ref="Q152:R152"/>
    <mergeCell ref="T152:U152"/>
    <mergeCell ref="W152:X152"/>
    <mergeCell ref="T151:U151"/>
    <mergeCell ref="W151:X151"/>
    <mergeCell ref="K151:L151"/>
    <mergeCell ref="Q151:R151"/>
    <mergeCell ref="W175:X175"/>
    <mergeCell ref="Z175:AA175"/>
    <mergeCell ref="T175:U175"/>
    <mergeCell ref="W172:X172"/>
    <mergeCell ref="Z172:AA172"/>
    <mergeCell ref="V170:Y170"/>
    <mergeCell ref="T172:U172"/>
    <mergeCell ref="AC176:AD176"/>
    <mergeCell ref="T176:U176"/>
    <mergeCell ref="W180:X180"/>
    <mergeCell ref="Z180:AA180"/>
    <mergeCell ref="W176:X176"/>
    <mergeCell ref="Z176:AA176"/>
    <mergeCell ref="Z183:AA183"/>
    <mergeCell ref="AC183:AD183"/>
    <mergeCell ref="T183:U183"/>
    <mergeCell ref="W183:X183"/>
    <mergeCell ref="T180:U180"/>
    <mergeCell ref="P195:P196"/>
    <mergeCell ref="R195:S198"/>
    <mergeCell ref="N197:O198"/>
    <mergeCell ref="P197:P198"/>
    <mergeCell ref="W197:X197"/>
    <mergeCell ref="Y197:AB197"/>
    <mergeCell ref="AC197:AD197"/>
    <mergeCell ref="K195:L195"/>
    <mergeCell ref="N195:O196"/>
    <mergeCell ref="Y199:AB199"/>
    <mergeCell ref="AC199:AD199"/>
    <mergeCell ref="H198:I198"/>
    <mergeCell ref="H199:I199"/>
    <mergeCell ref="E198:F198"/>
    <mergeCell ref="K198:L198"/>
    <mergeCell ref="W198:X198"/>
    <mergeCell ref="Y198:AB198"/>
    <mergeCell ref="AC198:AD198"/>
    <mergeCell ref="W199:X199"/>
    <mergeCell ref="E199:F199"/>
    <mergeCell ref="K199:L199"/>
    <mergeCell ref="H8:I8"/>
    <mergeCell ref="K8:L8"/>
    <mergeCell ref="N8:O8"/>
    <mergeCell ref="Q8:R8"/>
    <mergeCell ref="W7:X7"/>
    <mergeCell ref="Z7:AA7"/>
    <mergeCell ref="W8:X8"/>
    <mergeCell ref="Z8:AA8"/>
    <mergeCell ref="AC7:AD7"/>
    <mergeCell ref="AF7:AG7"/>
    <mergeCell ref="AC8:AD8"/>
    <mergeCell ref="AF8:AG8"/>
    <mergeCell ref="AI8:AJ8"/>
    <mergeCell ref="AK2:AM2"/>
    <mergeCell ref="AI4:AJ4"/>
    <mergeCell ref="A1:AS1"/>
    <mergeCell ref="AV1:BA1"/>
    <mergeCell ref="T2:AD2"/>
    <mergeCell ref="AN2:AP2"/>
    <mergeCell ref="B4:C4"/>
    <mergeCell ref="E4:F4"/>
    <mergeCell ref="N4:O4"/>
    <mergeCell ref="AL4:AM4"/>
    <mergeCell ref="AO4:AP4"/>
    <mergeCell ref="AO8:AP8"/>
    <mergeCell ref="AL8:AM8"/>
    <mergeCell ref="T8:U8"/>
    <mergeCell ref="S10:V10"/>
    <mergeCell ref="W12:X12"/>
    <mergeCell ref="Q12:R12"/>
    <mergeCell ref="T12:U12"/>
    <mergeCell ref="Q7:R7"/>
    <mergeCell ref="T7:U7"/>
    <mergeCell ref="AO12:AP12"/>
    <mergeCell ref="Z12:AA12"/>
    <mergeCell ref="AC12:AD12"/>
    <mergeCell ref="AL12:AM12"/>
    <mergeCell ref="Y10:AB10"/>
    <mergeCell ref="T5:U6"/>
    <mergeCell ref="W5:X6"/>
    <mergeCell ref="K4:L4"/>
    <mergeCell ref="Q4:R4"/>
    <mergeCell ref="T4:U4"/>
    <mergeCell ref="W4:X4"/>
    <mergeCell ref="Z4:AA4"/>
    <mergeCell ref="AC4:AD4"/>
    <mergeCell ref="H4:I4"/>
    <mergeCell ref="AI7:AJ7"/>
    <mergeCell ref="AL7:AM7"/>
    <mergeCell ref="AO7:AP7"/>
    <mergeCell ref="B8:C8"/>
    <mergeCell ref="B7:C7"/>
    <mergeCell ref="N7:O7"/>
    <mergeCell ref="AF4:AG4"/>
    <mergeCell ref="AC16:AD16"/>
    <mergeCell ref="AC15:AD15"/>
    <mergeCell ref="Q15:R15"/>
    <mergeCell ref="T15:U15"/>
    <mergeCell ref="W15:X15"/>
    <mergeCell ref="Z15:AA15"/>
    <mergeCell ref="T16:U16"/>
    <mergeCell ref="W16:X16"/>
    <mergeCell ref="Z16:AA16"/>
    <mergeCell ref="W32:X32"/>
    <mergeCell ref="Z32:AA32"/>
    <mergeCell ref="Z39:AA39"/>
    <mergeCell ref="W36:X36"/>
    <mergeCell ref="Z36:AA36"/>
    <mergeCell ref="W23:X23"/>
    <mergeCell ref="W20:X20"/>
    <mergeCell ref="Z20:AA20"/>
    <mergeCell ref="W29:X30"/>
    <mergeCell ref="W28:X28"/>
    <mergeCell ref="Z28:AA28"/>
    <mergeCell ref="W24:X24"/>
    <mergeCell ref="Z31:AA31"/>
    <mergeCell ref="AC28:AD28"/>
    <mergeCell ref="AF28:AG28"/>
    <mergeCell ref="AI28:AJ28"/>
    <mergeCell ref="AC32:AD32"/>
    <mergeCell ref="AI32:AJ32"/>
    <mergeCell ref="AC31:AD31"/>
    <mergeCell ref="AI31:AJ31"/>
    <mergeCell ref="AL36:AM36"/>
    <mergeCell ref="AO36:AP36"/>
    <mergeCell ref="AC36:AD36"/>
    <mergeCell ref="AF36:AG36"/>
    <mergeCell ref="AF32:AG32"/>
    <mergeCell ref="AF31:AG31"/>
    <mergeCell ref="AC39:AD39"/>
    <mergeCell ref="AF39:AG39"/>
    <mergeCell ref="AI39:AJ39"/>
    <mergeCell ref="AL39:AM39"/>
    <mergeCell ref="AO39:AP39"/>
    <mergeCell ref="AI36:AJ36"/>
    <mergeCell ref="AF12:AG12"/>
    <mergeCell ref="AI12:AJ12"/>
    <mergeCell ref="AI16:AJ16"/>
    <mergeCell ref="AO16:AP16"/>
    <mergeCell ref="AF16:AG16"/>
    <mergeCell ref="AF15:AG15"/>
    <mergeCell ref="AI15:AJ15"/>
    <mergeCell ref="AO15:AP15"/>
    <mergeCell ref="AL23:AM23"/>
    <mergeCell ref="AL20:AM20"/>
    <mergeCell ref="AL28:AM28"/>
    <mergeCell ref="AO28:AP28"/>
    <mergeCell ref="AL24:AM24"/>
    <mergeCell ref="AO24:AP24"/>
    <mergeCell ref="AC20:AD20"/>
    <mergeCell ref="AF20:AG20"/>
    <mergeCell ref="AL16:AM16"/>
    <mergeCell ref="AL15:AM15"/>
    <mergeCell ref="AC23:AD23"/>
    <mergeCell ref="AF23:AG23"/>
    <mergeCell ref="AI23:AJ23"/>
    <mergeCell ref="AO23:AP23"/>
    <mergeCell ref="AO20:AP20"/>
    <mergeCell ref="AI20:AJ20"/>
    <mergeCell ref="Z23:AA23"/>
    <mergeCell ref="Z24:AA24"/>
    <mergeCell ref="AC24:AD24"/>
    <mergeCell ref="AF24:AG24"/>
    <mergeCell ref="AI24:AJ24"/>
    <mergeCell ref="AO32:AP32"/>
    <mergeCell ref="AO31:AP31"/>
    <mergeCell ref="AL32:AM32"/>
    <mergeCell ref="AL31:AM31"/>
    <mergeCell ref="T39:U39"/>
    <mergeCell ref="T36:U36"/>
    <mergeCell ref="T31:U31"/>
    <mergeCell ref="T28:U28"/>
    <mergeCell ref="T26:X26"/>
    <mergeCell ref="T24:U24"/>
    <mergeCell ref="T32:U32"/>
    <mergeCell ref="W31:X31"/>
    <mergeCell ref="W39:X39"/>
    <mergeCell ref="K39:L39"/>
    <mergeCell ref="K36:L36"/>
    <mergeCell ref="K40:L40"/>
    <mergeCell ref="K47:L47"/>
    <mergeCell ref="K44:L44"/>
    <mergeCell ref="K48:L48"/>
    <mergeCell ref="K52:L52"/>
    <mergeCell ref="AL44:AM44"/>
    <mergeCell ref="AL40:AM40"/>
    <mergeCell ref="AO40:AP40"/>
    <mergeCell ref="N44:O44"/>
    <mergeCell ref="Q44:R44"/>
    <mergeCell ref="N55:O55"/>
    <mergeCell ref="Q55:R55"/>
    <mergeCell ref="N52:O52"/>
    <mergeCell ref="Q52:R52"/>
    <mergeCell ref="T44:U44"/>
    <mergeCell ref="W44:X44"/>
    <mergeCell ref="T40:U40"/>
    <mergeCell ref="W40:X40"/>
    <mergeCell ref="Z40:AA40"/>
    <mergeCell ref="AC40:AD40"/>
    <mergeCell ref="AF40:AG40"/>
    <mergeCell ref="AI40:AJ40"/>
    <mergeCell ref="K28:L28"/>
    <mergeCell ref="N28:O28"/>
    <mergeCell ref="N40:O40"/>
    <mergeCell ref="Q40:R40"/>
    <mergeCell ref="N39:O39"/>
    <mergeCell ref="Q39:R39"/>
    <mergeCell ref="N47:O47"/>
    <mergeCell ref="AL56:AM56"/>
    <mergeCell ref="AL55:AM55"/>
    <mergeCell ref="Z64:AA64"/>
    <mergeCell ref="AC64:AD64"/>
    <mergeCell ref="AL64:AM64"/>
    <mergeCell ref="AO64:AP64"/>
    <mergeCell ref="T64:U64"/>
    <mergeCell ref="T63:U63"/>
    <mergeCell ref="H63:I63"/>
    <mergeCell ref="K63:L63"/>
    <mergeCell ref="N63:O63"/>
    <mergeCell ref="Q63:R63"/>
    <mergeCell ref="T60:U60"/>
    <mergeCell ref="B31:C31"/>
    <mergeCell ref="B28:C28"/>
    <mergeCell ref="B34:D34"/>
    <mergeCell ref="B32:C32"/>
    <mergeCell ref="E32:F32"/>
    <mergeCell ref="E39:F39"/>
    <mergeCell ref="H39:I39"/>
    <mergeCell ref="B39:C39"/>
    <mergeCell ref="B40:C40"/>
    <mergeCell ref="B52:C52"/>
    <mergeCell ref="B60:C60"/>
    <mergeCell ref="B56:C56"/>
    <mergeCell ref="B55:C55"/>
    <mergeCell ref="B64:C64"/>
    <mergeCell ref="B63:C63"/>
    <mergeCell ref="E40:F40"/>
    <mergeCell ref="H40:I40"/>
    <mergeCell ref="B36:C36"/>
    <mergeCell ref="B47:C47"/>
    <mergeCell ref="H47:I47"/>
    <mergeCell ref="B44:C44"/>
    <mergeCell ref="E44:F44"/>
    <mergeCell ref="H44:I44"/>
    <mergeCell ref="B48:C48"/>
    <mergeCell ref="H48:I48"/>
    <mergeCell ref="E56:F56"/>
    <mergeCell ref="H56:I56"/>
    <mergeCell ref="N56:O56"/>
    <mergeCell ref="Q56:R56"/>
    <mergeCell ref="K56:L56"/>
    <mergeCell ref="K55:L55"/>
    <mergeCell ref="W60:X60"/>
    <mergeCell ref="Z60:AA60"/>
    <mergeCell ref="AC60:AD60"/>
    <mergeCell ref="AF60:AG60"/>
    <mergeCell ref="AI60:AJ60"/>
    <mergeCell ref="AF64:AG64"/>
    <mergeCell ref="AI64:AJ64"/>
    <mergeCell ref="H7:I7"/>
    <mergeCell ref="K7:L7"/>
    <mergeCell ref="H12:I12"/>
    <mergeCell ref="K12:L12"/>
    <mergeCell ref="E8:F8"/>
    <mergeCell ref="E7:F7"/>
    <mergeCell ref="B15:C15"/>
    <mergeCell ref="E15:F15"/>
    <mergeCell ref="H15:I15"/>
    <mergeCell ref="K15:L15"/>
    <mergeCell ref="N15:O15"/>
    <mergeCell ref="N12:O12"/>
    <mergeCell ref="H16:I16"/>
    <mergeCell ref="K16:L16"/>
    <mergeCell ref="B12:C12"/>
    <mergeCell ref="E12:F12"/>
    <mergeCell ref="D18:G18"/>
    <mergeCell ref="B20:C20"/>
    <mergeCell ref="E20:F20"/>
    <mergeCell ref="H20:I20"/>
    <mergeCell ref="K20:L20"/>
    <mergeCell ref="H24:I24"/>
    <mergeCell ref="H23:I23"/>
    <mergeCell ref="T23:U23"/>
    <mergeCell ref="Q20:R20"/>
    <mergeCell ref="T20:U20"/>
    <mergeCell ref="N20:O20"/>
    <mergeCell ref="Q16:R16"/>
    <mergeCell ref="N16:O16"/>
    <mergeCell ref="N24:O24"/>
    <mergeCell ref="Q24:R24"/>
    <mergeCell ref="N23:O23"/>
    <mergeCell ref="Q23:R23"/>
    <mergeCell ref="B16:C16"/>
    <mergeCell ref="E16:F16"/>
    <mergeCell ref="E24:F24"/>
    <mergeCell ref="K24:L24"/>
    <mergeCell ref="B23:C23"/>
    <mergeCell ref="E23:F23"/>
    <mergeCell ref="K23:L23"/>
    <mergeCell ref="E28:F28"/>
    <mergeCell ref="H28:I28"/>
    <mergeCell ref="H31:I31"/>
    <mergeCell ref="H32:I32"/>
    <mergeCell ref="K32:L32"/>
    <mergeCell ref="N32:O32"/>
    <mergeCell ref="Q32:R32"/>
    <mergeCell ref="B24:C24"/>
    <mergeCell ref="E31:F31"/>
    <mergeCell ref="K31:L31"/>
    <mergeCell ref="N31:O31"/>
    <mergeCell ref="Q31:R31"/>
    <mergeCell ref="G26:J26"/>
    <mergeCell ref="Q28:R28"/>
    <mergeCell ref="E36:F36"/>
    <mergeCell ref="H36:I36"/>
    <mergeCell ref="N36:O36"/>
    <mergeCell ref="Q36:R36"/>
    <mergeCell ref="AL47:AM47"/>
    <mergeCell ref="AO47:AP47"/>
    <mergeCell ref="T47:U47"/>
    <mergeCell ref="W47:X47"/>
    <mergeCell ref="Z47:AA47"/>
    <mergeCell ref="AC47:AD47"/>
    <mergeCell ref="AF47:AG47"/>
    <mergeCell ref="AI47:AJ47"/>
    <mergeCell ref="Q45:R46"/>
    <mergeCell ref="Q47:R47"/>
    <mergeCell ref="Z44:AA44"/>
    <mergeCell ref="AC44:AD44"/>
    <mergeCell ref="AF44:AG44"/>
    <mergeCell ref="AI44:AJ44"/>
    <mergeCell ref="AO44:AP44"/>
    <mergeCell ref="N48:O48"/>
    <mergeCell ref="Q48:R48"/>
    <mergeCell ref="T48:U48"/>
    <mergeCell ref="W48:X48"/>
    <mergeCell ref="AF53:AG54"/>
    <mergeCell ref="AI53:AJ54"/>
    <mergeCell ref="W50:AD50"/>
    <mergeCell ref="Z56:AA56"/>
    <mergeCell ref="T56:U56"/>
    <mergeCell ref="W56:X56"/>
    <mergeCell ref="T55:U55"/>
    <mergeCell ref="W55:X55"/>
    <mergeCell ref="AC56:AD56"/>
    <mergeCell ref="AC55:AD55"/>
    <mergeCell ref="AI56:AJ56"/>
    <mergeCell ref="AI55:AJ55"/>
    <mergeCell ref="T52:U52"/>
    <mergeCell ref="W52:X52"/>
    <mergeCell ref="AF56:AG56"/>
    <mergeCell ref="AO56:AP56"/>
    <mergeCell ref="AO55:AP55"/>
    <mergeCell ref="Z55:AA55"/>
    <mergeCell ref="AF55:AG55"/>
    <mergeCell ref="E52:F52"/>
    <mergeCell ref="E55:F55"/>
    <mergeCell ref="E47:F47"/>
    <mergeCell ref="E48:F48"/>
    <mergeCell ref="H52:I52"/>
    <mergeCell ref="E60:F60"/>
    <mergeCell ref="H60:I60"/>
    <mergeCell ref="K60:L60"/>
    <mergeCell ref="H55:I55"/>
    <mergeCell ref="AC72:AD72"/>
    <mergeCell ref="AC71:AD71"/>
    <mergeCell ref="Z68:AA68"/>
    <mergeCell ref="W66:AA66"/>
    <mergeCell ref="W68:X68"/>
    <mergeCell ref="Z72:AA72"/>
    <mergeCell ref="AF72:AG72"/>
    <mergeCell ref="Z71:AA71"/>
    <mergeCell ref="AF71:AG71"/>
    <mergeCell ref="AL72:AM72"/>
    <mergeCell ref="AO72:AP72"/>
    <mergeCell ref="AL71:AM71"/>
    <mergeCell ref="AO71:AP71"/>
    <mergeCell ref="AO76:AP76"/>
    <mergeCell ref="AL76:AM76"/>
    <mergeCell ref="AI74:AP74"/>
    <mergeCell ref="AC79:AD79"/>
    <mergeCell ref="AF79:AG79"/>
    <mergeCell ref="AL80:AM80"/>
    <mergeCell ref="AL79:AM79"/>
    <mergeCell ref="AO79:AP79"/>
    <mergeCell ref="AI72:AJ72"/>
    <mergeCell ref="AI71:AJ71"/>
    <mergeCell ref="AC76:AD76"/>
    <mergeCell ref="AF76:AG76"/>
    <mergeCell ref="AI76:AJ76"/>
    <mergeCell ref="AI80:AJ80"/>
    <mergeCell ref="AI79:AJ79"/>
    <mergeCell ref="AL52:AM52"/>
    <mergeCell ref="AO52:AP52"/>
    <mergeCell ref="AL63:AM63"/>
    <mergeCell ref="AO63:AP63"/>
    <mergeCell ref="AL60:AM60"/>
    <mergeCell ref="AO60:AP60"/>
    <mergeCell ref="Z48:AA48"/>
    <mergeCell ref="AC48:AD48"/>
    <mergeCell ref="AF48:AG48"/>
    <mergeCell ref="AI48:AJ48"/>
    <mergeCell ref="AL48:AM48"/>
    <mergeCell ref="AO48:AP48"/>
    <mergeCell ref="AC52:AD52"/>
    <mergeCell ref="Z52:AA52"/>
    <mergeCell ref="AF52:AG52"/>
    <mergeCell ref="AI52:AJ52"/>
    <mergeCell ref="W64:X64"/>
    <mergeCell ref="W63:X63"/>
    <mergeCell ref="Z63:AA63"/>
    <mergeCell ref="AF63:AG63"/>
    <mergeCell ref="AI63:AJ63"/>
    <mergeCell ref="AC63:AD63"/>
    <mergeCell ref="AC61:AD62"/>
    <mergeCell ref="AC68:AD68"/>
    <mergeCell ref="AF68:AG68"/>
    <mergeCell ref="AI68:AJ68"/>
    <mergeCell ref="AL68:AM68"/>
    <mergeCell ref="AO68:AP68"/>
    <mergeCell ref="AO66:AS66"/>
    <mergeCell ref="W72:X72"/>
    <mergeCell ref="W71:X71"/>
    <mergeCell ref="AO80:AP80"/>
    <mergeCell ref="AL82:AP82"/>
    <mergeCell ref="AC80:AD80"/>
    <mergeCell ref="AF80:AG80"/>
    <mergeCell ref="Q79:R79"/>
    <mergeCell ref="Q74:S74"/>
    <mergeCell ref="Q76:R76"/>
    <mergeCell ref="K72:L72"/>
    <mergeCell ref="K71:L71"/>
    <mergeCell ref="K79:L79"/>
    <mergeCell ref="N79:O79"/>
    <mergeCell ref="Z79:AA79"/>
    <mergeCell ref="Z76:AA76"/>
    <mergeCell ref="T76:U76"/>
    <mergeCell ref="B79:C79"/>
    <mergeCell ref="E88:F88"/>
    <mergeCell ref="K88:L88"/>
    <mergeCell ref="Q88:R88"/>
    <mergeCell ref="E87:F87"/>
    <mergeCell ref="K87:L87"/>
    <mergeCell ref="Q87:R87"/>
    <mergeCell ref="E76:F76"/>
    <mergeCell ref="H76:I76"/>
    <mergeCell ref="N84:O84"/>
    <mergeCell ref="Q84:R84"/>
    <mergeCell ref="Q80:R80"/>
    <mergeCell ref="E80:F80"/>
    <mergeCell ref="H80:I80"/>
    <mergeCell ref="N60:O60"/>
    <mergeCell ref="Q60:R60"/>
    <mergeCell ref="H64:I64"/>
    <mergeCell ref="K64:L64"/>
    <mergeCell ref="N64:O64"/>
    <mergeCell ref="Q64:R64"/>
    <mergeCell ref="Q61:R62"/>
    <mergeCell ref="Q68:R68"/>
    <mergeCell ref="T68:U68"/>
    <mergeCell ref="T71:U71"/>
    <mergeCell ref="Q71:R71"/>
    <mergeCell ref="E64:F64"/>
    <mergeCell ref="E63:F63"/>
    <mergeCell ref="B68:C68"/>
    <mergeCell ref="E68:F68"/>
    <mergeCell ref="H68:I68"/>
    <mergeCell ref="K68:L68"/>
    <mergeCell ref="N68:O68"/>
    <mergeCell ref="B72:C72"/>
    <mergeCell ref="H72:I72"/>
    <mergeCell ref="N72:O72"/>
    <mergeCell ref="Q72:R72"/>
    <mergeCell ref="T72:U72"/>
    <mergeCell ref="B71:C71"/>
    <mergeCell ref="H71:I71"/>
    <mergeCell ref="N71:O71"/>
    <mergeCell ref="K76:L76"/>
    <mergeCell ref="N76:O76"/>
    <mergeCell ref="K84:L84"/>
    <mergeCell ref="T79:U79"/>
    <mergeCell ref="T80:U80"/>
    <mergeCell ref="T87:U87"/>
    <mergeCell ref="T84:U84"/>
    <mergeCell ref="B92:C92"/>
    <mergeCell ref="E92:F92"/>
    <mergeCell ref="N88:O88"/>
    <mergeCell ref="T88:U88"/>
    <mergeCell ref="N95:O95"/>
    <mergeCell ref="N96:O96"/>
    <mergeCell ref="N87:O87"/>
    <mergeCell ref="Q95:R95"/>
    <mergeCell ref="T95:U95"/>
    <mergeCell ref="N92:O92"/>
    <mergeCell ref="Q92:R92"/>
    <mergeCell ref="T92:U92"/>
    <mergeCell ref="T96:U96"/>
    <mergeCell ref="E72:F72"/>
    <mergeCell ref="E71:F71"/>
    <mergeCell ref="E79:F79"/>
    <mergeCell ref="H79:I79"/>
    <mergeCell ref="A74:C74"/>
    <mergeCell ref="B76:C76"/>
    <mergeCell ref="A82:D82"/>
    <mergeCell ref="K80:L80"/>
    <mergeCell ref="N80:O80"/>
    <mergeCell ref="B80:C80"/>
    <mergeCell ref="B84:C84"/>
    <mergeCell ref="E84:F84"/>
    <mergeCell ref="H84:I84"/>
    <mergeCell ref="N100:O100"/>
    <mergeCell ref="Q100:R100"/>
    <mergeCell ref="Q96:R96"/>
    <mergeCell ref="H95:I95"/>
    <mergeCell ref="H96:I96"/>
    <mergeCell ref="H88:I88"/>
    <mergeCell ref="H87:I87"/>
    <mergeCell ref="K95:L95"/>
    <mergeCell ref="H92:I92"/>
    <mergeCell ref="K92:L92"/>
    <mergeCell ref="H100:I100"/>
    <mergeCell ref="K100:L100"/>
    <mergeCell ref="K96:L96"/>
    <mergeCell ref="B88:C88"/>
    <mergeCell ref="B87:C87"/>
    <mergeCell ref="B95:C95"/>
    <mergeCell ref="E95:F95"/>
    <mergeCell ref="E100:F100"/>
    <mergeCell ref="B96:C96"/>
    <mergeCell ref="E96:F96"/>
    <mergeCell ref="B100:C100"/>
    <mergeCell ref="B101:C102"/>
    <mergeCell ref="B108:C108"/>
    <mergeCell ref="B112:C112"/>
    <mergeCell ref="B111:C111"/>
    <mergeCell ref="K104:L104"/>
    <mergeCell ref="K103:L103"/>
    <mergeCell ref="K108:L108"/>
    <mergeCell ref="N108:O108"/>
    <mergeCell ref="Q108:R108"/>
    <mergeCell ref="T108:U108"/>
    <mergeCell ref="B104:C104"/>
    <mergeCell ref="H104:I104"/>
    <mergeCell ref="N104:O104"/>
    <mergeCell ref="T104:U104"/>
    <mergeCell ref="T103:U103"/>
    <mergeCell ref="B103:C103"/>
    <mergeCell ref="H103:I103"/>
    <mergeCell ref="N103:O103"/>
    <mergeCell ref="Z100:AA100"/>
    <mergeCell ref="AC100:AD100"/>
    <mergeCell ref="Q104:R104"/>
    <mergeCell ref="Q103:R103"/>
    <mergeCell ref="W103:X103"/>
    <mergeCell ref="Z103:AA103"/>
    <mergeCell ref="AC103:AD103"/>
    <mergeCell ref="T100:U100"/>
    <mergeCell ref="W100:X100"/>
    <mergeCell ref="N112:O112"/>
    <mergeCell ref="Q112:R112"/>
    <mergeCell ref="T112:U112"/>
    <mergeCell ref="T111:U111"/>
    <mergeCell ref="N111:O111"/>
    <mergeCell ref="Q111:R111"/>
    <mergeCell ref="Z120:AA120"/>
    <mergeCell ref="Z119:AA119"/>
    <mergeCell ref="Z95:AA95"/>
    <mergeCell ref="Z96:AA96"/>
    <mergeCell ref="Z108:AA108"/>
    <mergeCell ref="Z104:AA104"/>
    <mergeCell ref="Z112:AA112"/>
    <mergeCell ref="Z111:AA111"/>
    <mergeCell ref="Z116:AA116"/>
    <mergeCell ref="Z84:AA84"/>
    <mergeCell ref="AC84:AD84"/>
    <mergeCell ref="W79:X79"/>
    <mergeCell ref="W76:X76"/>
    <mergeCell ref="W82:AA82"/>
    <mergeCell ref="W80:X80"/>
    <mergeCell ref="Z80:AA80"/>
    <mergeCell ref="Z87:AA87"/>
    <mergeCell ref="AC87:AD87"/>
    <mergeCell ref="Z88:AA88"/>
    <mergeCell ref="AC88:AD88"/>
    <mergeCell ref="W84:X84"/>
    <mergeCell ref="W95:X95"/>
    <mergeCell ref="W92:X92"/>
    <mergeCell ref="Z92:AA92"/>
    <mergeCell ref="AC92:AD92"/>
    <mergeCell ref="Z90:AD90"/>
    <mergeCell ref="W96:X96"/>
    <mergeCell ref="W120:X120"/>
    <mergeCell ref="W119:X119"/>
    <mergeCell ref="W87:X87"/>
    <mergeCell ref="W88:X88"/>
    <mergeCell ref="W108:X108"/>
    <mergeCell ref="W104:X104"/>
    <mergeCell ref="W112:X112"/>
    <mergeCell ref="W111:X111"/>
    <mergeCell ref="W116:X116"/>
    <mergeCell ref="AC120:AD120"/>
    <mergeCell ref="AC119:AD119"/>
    <mergeCell ref="AC96:AD96"/>
    <mergeCell ref="AC95:AD95"/>
    <mergeCell ref="AC108:AD108"/>
    <mergeCell ref="AC104:AD104"/>
    <mergeCell ref="AC112:AD112"/>
    <mergeCell ref="AC111:AD111"/>
    <mergeCell ref="AC116:AD116"/>
    <mergeCell ref="AF184:AG184"/>
    <mergeCell ref="AI184:AJ184"/>
    <mergeCell ref="AL184:AM184"/>
    <mergeCell ref="W189:AM190"/>
    <mergeCell ref="AN189:AS189"/>
    <mergeCell ref="AN190:AS190"/>
    <mergeCell ref="W184:X184"/>
    <mergeCell ref="Z184:AA184"/>
    <mergeCell ref="AC184:AD184"/>
    <mergeCell ref="AE195:AG195"/>
    <mergeCell ref="AH195:AJ195"/>
    <mergeCell ref="AH198:AJ198"/>
    <mergeCell ref="AK198:AM198"/>
    <mergeCell ref="AH205:AP211"/>
    <mergeCell ref="AH200:AJ200"/>
    <mergeCell ref="AK200:AM200"/>
    <mergeCell ref="AH203:AI203"/>
    <mergeCell ref="AH199:AJ199"/>
    <mergeCell ref="AK199:AM199"/>
    <mergeCell ref="AE200:AG200"/>
    <mergeCell ref="AE199:AG199"/>
    <mergeCell ref="AH193:AJ193"/>
    <mergeCell ref="AE193:AG193"/>
    <mergeCell ref="AE198:AG198"/>
    <mergeCell ref="AH197:AJ197"/>
    <mergeCell ref="AE196:AG196"/>
    <mergeCell ref="AH196:AJ196"/>
    <mergeCell ref="AE197:AG197"/>
    <mergeCell ref="AI156:AJ156"/>
    <mergeCell ref="AL156:AM156"/>
    <mergeCell ref="AI160:AJ160"/>
    <mergeCell ref="AO160:AP160"/>
    <mergeCell ref="AH162:AK162"/>
    <mergeCell ref="AO159:AP159"/>
    <mergeCell ref="AI159:AJ159"/>
    <mergeCell ref="AL164:AM164"/>
    <mergeCell ref="AI164:AJ164"/>
    <mergeCell ref="AI167:AJ167"/>
    <mergeCell ref="AI168:AJ168"/>
    <mergeCell ref="AI176:AJ176"/>
    <mergeCell ref="AI183:AJ183"/>
    <mergeCell ref="AI180:AJ180"/>
    <mergeCell ref="AL160:AM160"/>
    <mergeCell ref="AL159:AM159"/>
    <mergeCell ref="AL167:AM167"/>
    <mergeCell ref="AO167:AP167"/>
    <mergeCell ref="AO164:AP164"/>
    <mergeCell ref="AO165:AP166"/>
    <mergeCell ref="AO168:AP168"/>
    <mergeCell ref="AL168:AM168"/>
    <mergeCell ref="AK191:AM191"/>
    <mergeCell ref="AN191:AS191"/>
    <mergeCell ref="AE192:AG192"/>
    <mergeCell ref="AH192:AJ192"/>
    <mergeCell ref="AK192:AM192"/>
    <mergeCell ref="AN192:AS192"/>
    <mergeCell ref="AE191:AG191"/>
    <mergeCell ref="AH191:AJ191"/>
    <mergeCell ref="AK193:AM193"/>
    <mergeCell ref="AN193:AS193"/>
    <mergeCell ref="W194:X194"/>
    <mergeCell ref="Y194:AB194"/>
    <mergeCell ref="AC194:AD194"/>
    <mergeCell ref="AE194:AG194"/>
    <mergeCell ref="AH194:AJ194"/>
    <mergeCell ref="AN197:AS197"/>
    <mergeCell ref="AN198:AS198"/>
    <mergeCell ref="AN200:AS200"/>
    <mergeCell ref="W200:X200"/>
    <mergeCell ref="Y200:AB200"/>
    <mergeCell ref="AC200:AD200"/>
    <mergeCell ref="AN199:AS199"/>
    <mergeCell ref="AK194:AM194"/>
    <mergeCell ref="AN194:AS194"/>
    <mergeCell ref="AK197:AM197"/>
    <mergeCell ref="AK195:AM195"/>
    <mergeCell ref="AN195:AS195"/>
    <mergeCell ref="AK196:AM196"/>
    <mergeCell ref="AN196:AS196"/>
    <mergeCell ref="AI96:AJ96"/>
    <mergeCell ref="AI95:AJ95"/>
    <mergeCell ref="AI103:AJ103"/>
    <mergeCell ref="AL103:AM103"/>
    <mergeCell ref="AF103:AG103"/>
    <mergeCell ref="AL100:AM100"/>
    <mergeCell ref="AF101:AG102"/>
    <mergeCell ref="AF100:AG100"/>
    <mergeCell ref="AI100:AJ100"/>
    <mergeCell ref="AE108:AH108"/>
    <mergeCell ref="AI108:AJ108"/>
    <mergeCell ref="AL108:AM108"/>
    <mergeCell ref="AL109:AM110"/>
    <mergeCell ref="AF104:AG104"/>
    <mergeCell ref="AF87:AG87"/>
    <mergeCell ref="AI87:AJ87"/>
    <mergeCell ref="AL87:AM87"/>
    <mergeCell ref="AL84:AM84"/>
    <mergeCell ref="AO84:AP84"/>
    <mergeCell ref="AF84:AG84"/>
    <mergeCell ref="AI84:AJ84"/>
    <mergeCell ref="AO87:AP87"/>
    <mergeCell ref="AO92:AP92"/>
    <mergeCell ref="AF92:AG92"/>
    <mergeCell ref="AI92:AJ92"/>
    <mergeCell ref="AL92:AM92"/>
    <mergeCell ref="AL88:AM88"/>
    <mergeCell ref="AO88:AP88"/>
    <mergeCell ref="AF88:AG88"/>
    <mergeCell ref="AI88:AJ88"/>
    <mergeCell ref="AL96:AM96"/>
    <mergeCell ref="AF98:AH98"/>
    <mergeCell ref="AF96:AG96"/>
    <mergeCell ref="AF95:AG95"/>
    <mergeCell ref="AL95:AM95"/>
    <mergeCell ref="AI104:AJ104"/>
    <mergeCell ref="AL104:AM104"/>
    <mergeCell ref="AF112:AG112"/>
    <mergeCell ref="AI112:AJ112"/>
    <mergeCell ref="AL112:AM112"/>
    <mergeCell ref="AO112:AP112"/>
    <mergeCell ref="AF114:AH114"/>
    <mergeCell ref="AI114:AM114"/>
    <mergeCell ref="AL111:AM111"/>
    <mergeCell ref="AF111:AG111"/>
    <mergeCell ref="AI111:AJ111"/>
    <mergeCell ref="AO96:AP96"/>
    <mergeCell ref="AO95:AP95"/>
    <mergeCell ref="AO103:AP103"/>
    <mergeCell ref="AO100:AP100"/>
    <mergeCell ref="AO108:AP108"/>
    <mergeCell ref="AO104:AP104"/>
    <mergeCell ref="AO111:AP111"/>
    <mergeCell ref="AI119:AJ119"/>
    <mergeCell ref="AL119:AM119"/>
    <mergeCell ref="AI127:AJ127"/>
    <mergeCell ref="AO127:AP127"/>
    <mergeCell ref="AO124:AP124"/>
    <mergeCell ref="AL125:AM126"/>
    <mergeCell ref="AO128:AP128"/>
    <mergeCell ref="AF120:AG120"/>
    <mergeCell ref="AF119:AG119"/>
    <mergeCell ref="AF127:AG127"/>
    <mergeCell ref="AE124:AH124"/>
    <mergeCell ref="AE132:AH132"/>
    <mergeCell ref="AI132:AJ132"/>
    <mergeCell ref="AI128:AJ128"/>
    <mergeCell ref="AC148:AD148"/>
    <mergeCell ref="AE148:AH148"/>
    <mergeCell ref="AF143:AG143"/>
    <mergeCell ref="AF144:AG144"/>
    <mergeCell ref="AF128:AG128"/>
    <mergeCell ref="AF136:AG136"/>
    <mergeCell ref="AF135:AG135"/>
    <mergeCell ref="AE140:AH140"/>
    <mergeCell ref="AF149:AG150"/>
    <mergeCell ref="AC144:AD144"/>
    <mergeCell ref="AF151:AG151"/>
    <mergeCell ref="AC167:AD167"/>
    <mergeCell ref="AC168:AD168"/>
    <mergeCell ref="AF168:AG168"/>
    <mergeCell ref="AF176:AG176"/>
    <mergeCell ref="AF175:AG175"/>
    <mergeCell ref="AF183:AG183"/>
    <mergeCell ref="AF152:AG152"/>
    <mergeCell ref="AE156:AH156"/>
    <mergeCell ref="AF160:AG160"/>
    <mergeCell ref="AF159:AG159"/>
    <mergeCell ref="AF167:AG167"/>
    <mergeCell ref="AE164:AH164"/>
    <mergeCell ref="AE172:AH172"/>
    <mergeCell ref="AC175:AD175"/>
    <mergeCell ref="AC180:AD180"/>
    <mergeCell ref="AE180:AH180"/>
    <mergeCell ref="AC149:AD150"/>
    <mergeCell ref="AC151:AD151"/>
    <mergeCell ref="AC156:AD156"/>
    <mergeCell ref="AC159:AD159"/>
    <mergeCell ref="AC165:AD166"/>
    <mergeCell ref="AC164:AD164"/>
    <mergeCell ref="AC172:AD172"/>
    <mergeCell ref="AO144:AP144"/>
    <mergeCell ref="AI144:AJ144"/>
    <mergeCell ref="AL144:AM144"/>
    <mergeCell ref="AL143:AM143"/>
    <mergeCell ref="AL148:AM148"/>
    <mergeCell ref="AO148:AP148"/>
    <mergeCell ref="AL149:AM150"/>
    <mergeCell ref="AO149:AP150"/>
    <mergeCell ref="AI148:AJ148"/>
    <mergeCell ref="AO146:AT146"/>
    <mergeCell ref="AL120:AM120"/>
    <mergeCell ref="AO120:AP120"/>
    <mergeCell ref="AO116:AP116"/>
    <mergeCell ref="AO117:AP118"/>
    <mergeCell ref="AE116:AH116"/>
    <mergeCell ref="AI116:AJ116"/>
    <mergeCell ref="AL116:AM116"/>
    <mergeCell ref="AI120:AJ120"/>
    <mergeCell ref="AO119:AP119"/>
    <mergeCell ref="AL124:AM124"/>
    <mergeCell ref="AI124:AJ124"/>
    <mergeCell ref="AL132:AM132"/>
    <mergeCell ref="AO132:AP132"/>
    <mergeCell ref="AL133:AM134"/>
    <mergeCell ref="AL136:AM136"/>
    <mergeCell ref="AO136:AP136"/>
    <mergeCell ref="AL135:AM135"/>
    <mergeCell ref="AO135:AP135"/>
    <mergeCell ref="AL127:AM127"/>
    <mergeCell ref="AL128:AM128"/>
    <mergeCell ref="AI136:AJ136"/>
    <mergeCell ref="AI135:AJ135"/>
    <mergeCell ref="AI143:AJ143"/>
    <mergeCell ref="AO143:AP143"/>
    <mergeCell ref="AI140:AJ140"/>
    <mergeCell ref="AL140:AM140"/>
    <mergeCell ref="AO140:AP140"/>
    <mergeCell ref="AI152:AJ152"/>
    <mergeCell ref="AL152:AM152"/>
    <mergeCell ref="AO152:AP152"/>
    <mergeCell ref="AL151:AM151"/>
    <mergeCell ref="AO151:AP151"/>
    <mergeCell ref="AI151:AJ151"/>
    <mergeCell ref="AO156:AP156"/>
    <mergeCell ref="AF154:AJ154"/>
    <mergeCell ref="AO172:AP172"/>
    <mergeCell ref="AO173:AP174"/>
    <mergeCell ref="AI172:AJ172"/>
    <mergeCell ref="AL172:AM172"/>
    <mergeCell ref="AO176:AP176"/>
    <mergeCell ref="AO175:AP175"/>
    <mergeCell ref="AI175:AJ175"/>
    <mergeCell ref="AL176:AM176"/>
    <mergeCell ref="AL175:AM175"/>
    <mergeCell ref="AL183:AM183"/>
    <mergeCell ref="AO183:AP183"/>
    <mergeCell ref="AL180:AM180"/>
    <mergeCell ref="AO180:AP180"/>
    <mergeCell ref="AO184:AP184"/>
    <mergeCell ref="H195:I195"/>
    <mergeCell ref="E195:F195"/>
    <mergeCell ref="E183:F183"/>
    <mergeCell ref="E184:F184"/>
    <mergeCell ref="B191:D191"/>
    <mergeCell ref="F191:G191"/>
    <mergeCell ref="I191:J191"/>
    <mergeCell ref="B193:D193"/>
    <mergeCell ref="B197:D197"/>
    <mergeCell ref="Q183:R183"/>
    <mergeCell ref="T184:U184"/>
    <mergeCell ref="Q184:R184"/>
    <mergeCell ref="B183:C183"/>
    <mergeCell ref="H183:I183"/>
    <mergeCell ref="N183:O183"/>
    <mergeCell ref="B189:L189"/>
    <mergeCell ref="N189:V189"/>
    <mergeCell ref="B184:C184"/>
    <mergeCell ref="H184:I184"/>
    <mergeCell ref="N184:O184"/>
    <mergeCell ref="Y193:AB193"/>
    <mergeCell ref="AC193:AD193"/>
    <mergeCell ref="T191:U194"/>
    <mergeCell ref="T199:U200"/>
    <mergeCell ref="T195:U198"/>
    <mergeCell ref="W196:X196"/>
    <mergeCell ref="Y196:AB196"/>
    <mergeCell ref="AC196:AD196"/>
    <mergeCell ref="W195:X195"/>
    <mergeCell ref="Y195:AB195"/>
    <mergeCell ref="AC195:AD195"/>
    <mergeCell ref="W192:X192"/>
    <mergeCell ref="Y192:AB192"/>
    <mergeCell ref="AC192:AD192"/>
    <mergeCell ref="W191:X191"/>
    <mergeCell ref="Y191:AB191"/>
    <mergeCell ref="AC191:AD191"/>
    <mergeCell ref="W193:X193"/>
    <mergeCell ref="N201:O202"/>
    <mergeCell ref="P201:P202"/>
    <mergeCell ref="F200:G200"/>
    <mergeCell ref="J200:L200"/>
    <mergeCell ref="N199:O200"/>
    <mergeCell ref="P199:P200"/>
    <mergeCell ref="R199:S200"/>
    <mergeCell ref="K183:L183"/>
    <mergeCell ref="K184:L184"/>
    <mergeCell ref="N191:O192"/>
    <mergeCell ref="P191:P192"/>
    <mergeCell ref="R191:S194"/>
    <mergeCell ref="N193:O194"/>
    <mergeCell ref="P193:P194"/>
  </mergeCells>
  <conditionalFormatting sqref="B5:B6 AQ6 AS6:AT6">
    <cfRule type="containsText" dxfId="0" priority="1" operator="containsText" text="fnd">
      <formula>NOT(ISERROR(SEARCH(("fnd"),(B5))))</formula>
    </cfRule>
  </conditionalFormatting>
  <conditionalFormatting sqref="B5:B6 AQ6 AS6:AT6">
    <cfRule type="containsText" dxfId="1" priority="2" operator="containsText" text="Ear">
      <formula>NOT(ISERROR(SEARCH(("Ear"),(B5))))</formula>
    </cfRule>
  </conditionalFormatting>
  <conditionalFormatting sqref="B5:B6 AS6:AT6">
    <cfRule type="containsText" dxfId="2" priority="3" operator="containsText" text="Str">
      <formula>NOT(ISERROR(SEARCH(("Str"),(B5))))</formula>
    </cfRule>
  </conditionalFormatting>
  <conditionalFormatting sqref="B5:B6 AS6:AT6">
    <cfRule type="containsText" dxfId="3" priority="4" operator="containsText" text="Ere">
      <formula>NOT(ISERROR(SEARCH(("Ere"),(B5))))</formula>
    </cfRule>
  </conditionalFormatting>
  <conditionalFormatting sqref="B13:B14">
    <cfRule type="containsText" dxfId="2" priority="5" operator="containsText" text="Str">
      <formula>NOT(ISERROR(SEARCH(("Str"),(B13))))</formula>
    </cfRule>
  </conditionalFormatting>
  <conditionalFormatting sqref="B13:B14">
    <cfRule type="containsText" dxfId="3" priority="6" operator="containsText" text="Ere">
      <formula>NOT(ISERROR(SEARCH(("Ere"),(B13))))</formula>
    </cfRule>
  </conditionalFormatting>
  <conditionalFormatting sqref="B13:B14">
    <cfRule type="containsText" dxfId="1" priority="7" operator="containsText" text="Ear">
      <formula>NOT(ISERROR(SEARCH(("Ear"),(B13))))</formula>
    </cfRule>
  </conditionalFormatting>
  <conditionalFormatting sqref="B13:B14">
    <cfRule type="containsText" dxfId="0" priority="8" operator="containsText" text="fnd">
      <formula>NOT(ISERROR(SEARCH(("fnd"),(B13))))</formula>
    </cfRule>
  </conditionalFormatting>
  <conditionalFormatting sqref="B21:B22 E186:E187 H186:H187 K186:K187 N186:N187 N205 Q186:Q187 T186:T187 W186:W187 W205:X205 Z186:Z187 AB205 AC186:AC187 AF186:AF187 AI186:AI187 AL186:AL187 AO186:AO187">
    <cfRule type="containsText" dxfId="2" priority="9" operator="containsText" text="Str">
      <formula>NOT(ISERROR(SEARCH(("Str"),(B21))))</formula>
    </cfRule>
  </conditionalFormatting>
  <conditionalFormatting sqref="B21:B22 E186:E187 H186:H187 K186:K187 N186:N187 N205 Q186:Q187 T186:T187 W186:W187 W205:X205 Z186:Z187 AB205 AC186:AC187 AF186:AF187 AI186:AI187 AL186:AL187 AO186:AO187">
    <cfRule type="containsText" dxfId="3" priority="10" operator="containsText" text="Ere">
      <formula>NOT(ISERROR(SEARCH(("Ere"),(B21))))</formula>
    </cfRule>
  </conditionalFormatting>
  <conditionalFormatting sqref="B21:B22 E186:E187 H186:H187 K186:K187 N186:N187 N205 Q186:Q187 T186:T187 W186:W187 W205:X205 Z186:Z187 AB205 AC186:AC187 AF186:AF187 AI186:AI187 AL186:AL187 AO186:AO187">
    <cfRule type="containsText" dxfId="1" priority="11" operator="containsText" text="Ear">
      <formula>NOT(ISERROR(SEARCH(("Ear"),(B21))))</formula>
    </cfRule>
  </conditionalFormatting>
  <conditionalFormatting sqref="B21:B22 E186:E187 H186:H187 K186:K187 N186:N187 N205 Q186:Q187 T186:T187 W186:W187 W205:X205 Z186:Z187 AB205 AC186:AC187 AF186:AF187 AI186:AI187 AL186:AL187 AO186:AO187">
    <cfRule type="containsText" dxfId="0" priority="12" operator="containsText" text="fnd">
      <formula>NOT(ISERROR(SEARCH(("fnd"),(B21))))</formula>
    </cfRule>
  </conditionalFormatting>
  <conditionalFormatting sqref="B29:B30">
    <cfRule type="containsText" dxfId="2" priority="13" operator="containsText" text="Str">
      <formula>NOT(ISERROR(SEARCH(("Str"),(B29))))</formula>
    </cfRule>
  </conditionalFormatting>
  <conditionalFormatting sqref="B29:B30">
    <cfRule type="containsText" dxfId="3" priority="14" operator="containsText" text="Ere">
      <formula>NOT(ISERROR(SEARCH(("Ere"),(B29))))</formula>
    </cfRule>
  </conditionalFormatting>
  <conditionalFormatting sqref="B29:B30">
    <cfRule type="containsText" dxfId="1" priority="15" operator="containsText" text="Ear">
      <formula>NOT(ISERROR(SEARCH(("Ear"),(B29))))</formula>
    </cfRule>
  </conditionalFormatting>
  <conditionalFormatting sqref="B29:B30">
    <cfRule type="containsText" dxfId="0" priority="16" operator="containsText" text="fnd">
      <formula>NOT(ISERROR(SEARCH(("fnd"),(B29))))</formula>
    </cfRule>
  </conditionalFormatting>
  <conditionalFormatting sqref="B37:B38">
    <cfRule type="containsText" dxfId="2" priority="17" operator="containsText" text="Str">
      <formula>NOT(ISERROR(SEARCH(("Str"),(B37))))</formula>
    </cfRule>
  </conditionalFormatting>
  <conditionalFormatting sqref="B37:B38">
    <cfRule type="containsText" dxfId="3" priority="18" operator="containsText" text="Ere">
      <formula>NOT(ISERROR(SEARCH(("Ere"),(B37))))</formula>
    </cfRule>
  </conditionalFormatting>
  <conditionalFormatting sqref="B37:B38">
    <cfRule type="containsText" dxfId="1" priority="19" operator="containsText" text="Ear">
      <formula>NOT(ISERROR(SEARCH(("Ear"),(B37))))</formula>
    </cfRule>
  </conditionalFormatting>
  <conditionalFormatting sqref="B37:B38">
    <cfRule type="containsText" dxfId="0" priority="20" operator="containsText" text="fnd">
      <formula>NOT(ISERROR(SEARCH(("fnd"),(B37))))</formula>
    </cfRule>
  </conditionalFormatting>
  <conditionalFormatting sqref="B45:B46">
    <cfRule type="containsText" dxfId="2" priority="21" operator="containsText" text="Str">
      <formula>NOT(ISERROR(SEARCH(("Str"),(B45))))</formula>
    </cfRule>
  </conditionalFormatting>
  <conditionalFormatting sqref="B45:B46">
    <cfRule type="containsText" dxfId="3" priority="22" operator="containsText" text="Ere">
      <formula>NOT(ISERROR(SEARCH(("Ere"),(B45))))</formula>
    </cfRule>
  </conditionalFormatting>
  <conditionalFormatting sqref="B45:B46">
    <cfRule type="containsText" dxfId="1" priority="23" operator="containsText" text="Ear">
      <formula>NOT(ISERROR(SEARCH(("Ear"),(B45))))</formula>
    </cfRule>
  </conditionalFormatting>
  <conditionalFormatting sqref="B45:B46">
    <cfRule type="containsText" dxfId="0" priority="24" operator="containsText" text="fnd">
      <formula>NOT(ISERROR(SEARCH(("fnd"),(B45))))</formula>
    </cfRule>
  </conditionalFormatting>
  <conditionalFormatting sqref="B69">
    <cfRule type="containsText" dxfId="2" priority="25" operator="containsText" text="Str">
      <formula>NOT(ISERROR(SEARCH(("Str"),(B69))))</formula>
    </cfRule>
  </conditionalFormatting>
  <conditionalFormatting sqref="B69">
    <cfRule type="containsText" dxfId="3" priority="26" operator="containsText" text="Ere">
      <formula>NOT(ISERROR(SEARCH(("Ere"),(B69))))</formula>
    </cfRule>
  </conditionalFormatting>
  <conditionalFormatting sqref="B69">
    <cfRule type="containsText" dxfId="1" priority="27" operator="containsText" text="Ear">
      <formula>NOT(ISERROR(SEARCH(("Ear"),(B69))))</formula>
    </cfRule>
  </conditionalFormatting>
  <conditionalFormatting sqref="B69">
    <cfRule type="containsText" dxfId="0" priority="28" operator="containsText" text="fnd">
      <formula>NOT(ISERROR(SEARCH(("fnd"),(B69))))</formula>
    </cfRule>
  </conditionalFormatting>
  <conditionalFormatting sqref="B77">
    <cfRule type="containsText" dxfId="2" priority="29" operator="containsText" text="Str">
      <formula>NOT(ISERROR(SEARCH(("Str"),(B77))))</formula>
    </cfRule>
  </conditionalFormatting>
  <conditionalFormatting sqref="B77">
    <cfRule type="containsText" dxfId="3" priority="30" operator="containsText" text="Ere">
      <formula>NOT(ISERROR(SEARCH(("Ere"),(B77))))</formula>
    </cfRule>
  </conditionalFormatting>
  <conditionalFormatting sqref="B77">
    <cfRule type="containsText" dxfId="1" priority="31" operator="containsText" text="Ear">
      <formula>NOT(ISERROR(SEARCH(("Ear"),(B77))))</formula>
    </cfRule>
  </conditionalFormatting>
  <conditionalFormatting sqref="B77">
    <cfRule type="containsText" dxfId="0" priority="32" operator="containsText" text="fnd">
      <formula>NOT(ISERROR(SEARCH(("fnd"),(B77))))</formula>
    </cfRule>
  </conditionalFormatting>
  <conditionalFormatting sqref="B86">
    <cfRule type="containsText" dxfId="2" priority="33" operator="containsText" text="Str">
      <formula>NOT(ISERROR(SEARCH(("Str"),(B86))))</formula>
    </cfRule>
  </conditionalFormatting>
  <conditionalFormatting sqref="B86">
    <cfRule type="containsText" dxfId="3" priority="34" operator="containsText" text="Ere">
      <formula>NOT(ISERROR(SEARCH(("Ere"),(B86))))</formula>
    </cfRule>
  </conditionalFormatting>
  <conditionalFormatting sqref="B86">
    <cfRule type="containsText" dxfId="1" priority="35" operator="containsText" text="Ear">
      <formula>NOT(ISERROR(SEARCH(("Ear"),(B86))))</formula>
    </cfRule>
  </conditionalFormatting>
  <conditionalFormatting sqref="B86">
    <cfRule type="containsText" dxfId="0" priority="36" operator="containsText" text="fnd">
      <formula>NOT(ISERROR(SEARCH(("fnd"),(B86))))</formula>
    </cfRule>
  </conditionalFormatting>
  <conditionalFormatting sqref="B101">
    <cfRule type="containsText" dxfId="2" priority="37" operator="containsText" text="Str">
      <formula>NOT(ISERROR(SEARCH(("Str"),(B101))))</formula>
    </cfRule>
  </conditionalFormatting>
  <conditionalFormatting sqref="B101">
    <cfRule type="containsText" dxfId="3" priority="38" operator="containsText" text="Ere">
      <formula>NOT(ISERROR(SEARCH(("Ere"),(B101))))</formula>
    </cfRule>
  </conditionalFormatting>
  <conditionalFormatting sqref="B101">
    <cfRule type="containsText" dxfId="1" priority="39" operator="containsText" text="Ear">
      <formula>NOT(ISERROR(SEARCH(("Ear"),(B101))))</formula>
    </cfRule>
  </conditionalFormatting>
  <conditionalFormatting sqref="B101">
    <cfRule type="containsText" dxfId="0" priority="40" operator="containsText" text="fnd">
      <formula>NOT(ISERROR(SEARCH(("fnd"),(B101))))</formula>
    </cfRule>
  </conditionalFormatting>
  <conditionalFormatting sqref="B109">
    <cfRule type="containsText" dxfId="2" priority="41" operator="containsText" text="Str">
      <formula>NOT(ISERROR(SEARCH(("Str"),(B109))))</formula>
    </cfRule>
  </conditionalFormatting>
  <conditionalFormatting sqref="B109">
    <cfRule type="containsText" dxfId="3" priority="42" operator="containsText" text="Ere">
      <formula>NOT(ISERROR(SEARCH(("Ere"),(B109))))</formula>
    </cfRule>
  </conditionalFormatting>
  <conditionalFormatting sqref="B109">
    <cfRule type="containsText" dxfId="1" priority="43" operator="containsText" text="Ear">
      <formula>NOT(ISERROR(SEARCH(("Ear"),(B109))))</formula>
    </cfRule>
  </conditionalFormatting>
  <conditionalFormatting sqref="B109">
    <cfRule type="containsText" dxfId="0" priority="44" operator="containsText" text="fnd">
      <formula>NOT(ISERROR(SEARCH(("fnd"),(B109))))</formula>
    </cfRule>
  </conditionalFormatting>
  <conditionalFormatting sqref="B117">
    <cfRule type="containsText" dxfId="2" priority="45" operator="containsText" text="Str">
      <formula>NOT(ISERROR(SEARCH(("Str"),(B117))))</formula>
    </cfRule>
  </conditionalFormatting>
  <conditionalFormatting sqref="B117">
    <cfRule type="containsText" dxfId="3" priority="46" operator="containsText" text="Ere">
      <formula>NOT(ISERROR(SEARCH(("Ere"),(B117))))</formula>
    </cfRule>
  </conditionalFormatting>
  <conditionalFormatting sqref="B117">
    <cfRule type="containsText" dxfId="1" priority="47" operator="containsText" text="Ear">
      <formula>NOT(ISERROR(SEARCH(("Ear"),(B117))))</formula>
    </cfRule>
  </conditionalFormatting>
  <conditionalFormatting sqref="B117">
    <cfRule type="containsText" dxfId="0" priority="48" operator="containsText" text="fnd">
      <formula>NOT(ISERROR(SEARCH(("fnd"),(B117))))</formula>
    </cfRule>
  </conditionalFormatting>
  <conditionalFormatting sqref="B125">
    <cfRule type="containsText" dxfId="2" priority="49" operator="containsText" text="Str">
      <formula>NOT(ISERROR(SEARCH(("Str"),(B125))))</formula>
    </cfRule>
  </conditionalFormatting>
  <conditionalFormatting sqref="B125">
    <cfRule type="containsText" dxfId="3" priority="50" operator="containsText" text="Ere">
      <formula>NOT(ISERROR(SEARCH(("Ere"),(B125))))</formula>
    </cfRule>
  </conditionalFormatting>
  <conditionalFormatting sqref="B125">
    <cfRule type="containsText" dxfId="1" priority="51" operator="containsText" text="Ear">
      <formula>NOT(ISERROR(SEARCH(("Ear"),(B125))))</formula>
    </cfRule>
  </conditionalFormatting>
  <conditionalFormatting sqref="B125">
    <cfRule type="containsText" dxfId="0" priority="52" operator="containsText" text="fnd">
      <formula>NOT(ISERROR(SEARCH(("fnd"),(B125))))</formula>
    </cfRule>
  </conditionalFormatting>
  <conditionalFormatting sqref="B133">
    <cfRule type="containsText" dxfId="2" priority="53" operator="containsText" text="Str">
      <formula>NOT(ISERROR(SEARCH(("Str"),(B133))))</formula>
    </cfRule>
  </conditionalFormatting>
  <conditionalFormatting sqref="B133">
    <cfRule type="containsText" dxfId="3" priority="54" operator="containsText" text="Ere">
      <formula>NOT(ISERROR(SEARCH(("Ere"),(B133))))</formula>
    </cfRule>
  </conditionalFormatting>
  <conditionalFormatting sqref="B133">
    <cfRule type="containsText" dxfId="1" priority="55" operator="containsText" text="Ear">
      <formula>NOT(ISERROR(SEARCH(("Ear"),(B133))))</formula>
    </cfRule>
  </conditionalFormatting>
  <conditionalFormatting sqref="B133">
    <cfRule type="containsText" dxfId="0" priority="56" operator="containsText" text="fnd">
      <formula>NOT(ISERROR(SEARCH(("fnd"),(B133))))</formula>
    </cfRule>
  </conditionalFormatting>
  <conditionalFormatting sqref="B141">
    <cfRule type="containsText" dxfId="2" priority="57" operator="containsText" text="Str">
      <formula>NOT(ISERROR(SEARCH(("Str"),(B141))))</formula>
    </cfRule>
  </conditionalFormatting>
  <conditionalFormatting sqref="B141">
    <cfRule type="containsText" dxfId="3" priority="58" operator="containsText" text="Ere">
      <formula>NOT(ISERROR(SEARCH(("Ere"),(B141))))</formula>
    </cfRule>
  </conditionalFormatting>
  <conditionalFormatting sqref="B141">
    <cfRule type="containsText" dxfId="1" priority="59" operator="containsText" text="Ear">
      <formula>NOT(ISERROR(SEARCH(("Ear"),(B141))))</formula>
    </cfRule>
  </conditionalFormatting>
  <conditionalFormatting sqref="B141">
    <cfRule type="containsText" dxfId="0" priority="60" operator="containsText" text="fnd">
      <formula>NOT(ISERROR(SEARCH(("fnd"),(B141))))</formula>
    </cfRule>
  </conditionalFormatting>
  <conditionalFormatting sqref="B149">
    <cfRule type="containsText" dxfId="2" priority="61" operator="containsText" text="Str">
      <formula>NOT(ISERROR(SEARCH(("Str"),(B149))))</formula>
    </cfRule>
  </conditionalFormatting>
  <conditionalFormatting sqref="B149">
    <cfRule type="containsText" dxfId="3" priority="62" operator="containsText" text="Ere">
      <formula>NOT(ISERROR(SEARCH(("Ere"),(B149))))</formula>
    </cfRule>
  </conditionalFormatting>
  <conditionalFormatting sqref="B149">
    <cfRule type="containsText" dxfId="1" priority="63" operator="containsText" text="Ear">
      <formula>NOT(ISERROR(SEARCH(("Ear"),(B149))))</formula>
    </cfRule>
  </conditionalFormatting>
  <conditionalFormatting sqref="B149">
    <cfRule type="containsText" dxfId="0" priority="64" operator="containsText" text="fnd">
      <formula>NOT(ISERROR(SEARCH(("fnd"),(B149))))</formula>
    </cfRule>
  </conditionalFormatting>
  <conditionalFormatting sqref="B157">
    <cfRule type="containsText" dxfId="2" priority="65" operator="containsText" text="Str">
      <formula>NOT(ISERROR(SEARCH(("Str"),(B157))))</formula>
    </cfRule>
  </conditionalFormatting>
  <conditionalFormatting sqref="B157">
    <cfRule type="containsText" dxfId="3" priority="66" operator="containsText" text="Ere">
      <formula>NOT(ISERROR(SEARCH(("Ere"),(B157))))</formula>
    </cfRule>
  </conditionalFormatting>
  <conditionalFormatting sqref="B157">
    <cfRule type="containsText" dxfId="1" priority="67" operator="containsText" text="Ear">
      <formula>NOT(ISERROR(SEARCH(("Ear"),(B157))))</formula>
    </cfRule>
  </conditionalFormatting>
  <conditionalFormatting sqref="B157">
    <cfRule type="containsText" dxfId="0" priority="68" operator="containsText" text="fnd">
      <formula>NOT(ISERROR(SEARCH(("fnd"),(B157))))</formula>
    </cfRule>
  </conditionalFormatting>
  <conditionalFormatting sqref="B165">
    <cfRule type="containsText" dxfId="2" priority="69" operator="containsText" text="Str">
      <formula>NOT(ISERROR(SEARCH(("Str"),(B165))))</formula>
    </cfRule>
  </conditionalFormatting>
  <conditionalFormatting sqref="B165">
    <cfRule type="containsText" dxfId="3" priority="70" operator="containsText" text="Ere">
      <formula>NOT(ISERROR(SEARCH(("Ere"),(B165))))</formula>
    </cfRule>
  </conditionalFormatting>
  <conditionalFormatting sqref="B165">
    <cfRule type="containsText" dxfId="1" priority="71" operator="containsText" text="Ear">
      <formula>NOT(ISERROR(SEARCH(("Ear"),(B165))))</formula>
    </cfRule>
  </conditionalFormatting>
  <conditionalFormatting sqref="B165">
    <cfRule type="containsText" dxfId="0" priority="72" operator="containsText" text="fnd">
      <formula>NOT(ISERROR(SEARCH(("fnd"),(B165))))</formula>
    </cfRule>
  </conditionalFormatting>
  <conditionalFormatting sqref="B173">
    <cfRule type="containsText" dxfId="2" priority="73" operator="containsText" text="Str">
      <formula>NOT(ISERROR(SEARCH(("Str"),(B173))))</formula>
    </cfRule>
  </conditionalFormatting>
  <conditionalFormatting sqref="B173">
    <cfRule type="containsText" dxfId="3" priority="74" operator="containsText" text="Ere">
      <formula>NOT(ISERROR(SEARCH(("Ere"),(B173))))</formula>
    </cfRule>
  </conditionalFormatting>
  <conditionalFormatting sqref="B173">
    <cfRule type="containsText" dxfId="1" priority="75" operator="containsText" text="Ear">
      <formula>NOT(ISERROR(SEARCH(("Ear"),(B173))))</formula>
    </cfRule>
  </conditionalFormatting>
  <conditionalFormatting sqref="B173">
    <cfRule type="containsText" dxfId="0" priority="76" operator="containsText" text="fnd">
      <formula>NOT(ISERROR(SEARCH(("fnd"),(B173))))</formula>
    </cfRule>
  </conditionalFormatting>
  <conditionalFormatting sqref="B181">
    <cfRule type="containsText" dxfId="2" priority="77" operator="containsText" text="Str">
      <formula>NOT(ISERROR(SEARCH(("Str"),(B181))))</formula>
    </cfRule>
  </conditionalFormatting>
  <conditionalFormatting sqref="B181">
    <cfRule type="containsText" dxfId="3" priority="78" operator="containsText" text="Ere">
      <formula>NOT(ISERROR(SEARCH(("Ere"),(B181))))</formula>
    </cfRule>
  </conditionalFormatting>
  <conditionalFormatting sqref="B181">
    <cfRule type="containsText" dxfId="1" priority="79" operator="containsText" text="Ear">
      <formula>NOT(ISERROR(SEARCH(("Ear"),(B181))))</formula>
    </cfRule>
  </conditionalFormatting>
  <conditionalFormatting sqref="B181">
    <cfRule type="containsText" dxfId="0" priority="80" operator="containsText" text="fnd">
      <formula>NOT(ISERROR(SEARCH(("fnd"),(B181))))</formula>
    </cfRule>
  </conditionalFormatting>
  <conditionalFormatting sqref="B54:C54">
    <cfRule type="containsText" dxfId="2" priority="81" operator="containsText" text="Str">
      <formula>NOT(ISERROR(SEARCH(("Str"),(B54))))</formula>
    </cfRule>
  </conditionalFormatting>
  <conditionalFormatting sqref="B54:C54">
    <cfRule type="containsText" dxfId="3" priority="82" operator="containsText" text="Ere">
      <formula>NOT(ISERROR(SEARCH(("Ere"),(B54))))</formula>
    </cfRule>
  </conditionalFormatting>
  <conditionalFormatting sqref="B54:C54">
    <cfRule type="containsText" dxfId="1" priority="83" operator="containsText" text="Ear">
      <formula>NOT(ISERROR(SEARCH(("Ear"),(B54))))</formula>
    </cfRule>
  </conditionalFormatting>
  <conditionalFormatting sqref="B54:C54">
    <cfRule type="containsText" dxfId="0" priority="84" operator="containsText" text="fnd">
      <formula>NOT(ISERROR(SEARCH(("fnd"),(B54))))</formula>
    </cfRule>
  </conditionalFormatting>
  <conditionalFormatting sqref="B62:C62">
    <cfRule type="containsText" dxfId="2" priority="85" operator="containsText" text="Str">
      <formula>NOT(ISERROR(SEARCH(("Str"),(B62))))</formula>
    </cfRule>
  </conditionalFormatting>
  <conditionalFormatting sqref="B62:C62">
    <cfRule type="containsText" dxfId="3" priority="86" operator="containsText" text="Ere">
      <formula>NOT(ISERROR(SEARCH(("Ere"),(B62))))</formula>
    </cfRule>
  </conditionalFormatting>
  <conditionalFormatting sqref="B62:C62">
    <cfRule type="containsText" dxfId="1" priority="87" operator="containsText" text="Ear">
      <formula>NOT(ISERROR(SEARCH(("Ear"),(B62))))</formula>
    </cfRule>
  </conditionalFormatting>
  <conditionalFormatting sqref="B62:C62">
    <cfRule type="containsText" dxfId="0" priority="88" operator="containsText" text="fnd">
      <formula>NOT(ISERROR(SEARCH(("fnd"),(B62))))</formula>
    </cfRule>
  </conditionalFormatting>
  <conditionalFormatting sqref="B78:C78">
    <cfRule type="containsText" dxfId="2" priority="89" operator="containsText" text="Str">
      <formula>NOT(ISERROR(SEARCH(("Str"),(B78))))</formula>
    </cfRule>
  </conditionalFormatting>
  <conditionalFormatting sqref="B78:C78">
    <cfRule type="containsText" dxfId="3" priority="90" operator="containsText" text="Ere">
      <formula>NOT(ISERROR(SEARCH(("Ere"),(B78))))</formula>
    </cfRule>
  </conditionalFormatting>
  <conditionalFormatting sqref="B78:C78">
    <cfRule type="containsText" dxfId="1" priority="91" operator="containsText" text="Ear">
      <formula>NOT(ISERROR(SEARCH(("Ear"),(B78))))</formula>
    </cfRule>
  </conditionalFormatting>
  <conditionalFormatting sqref="B78:C78">
    <cfRule type="containsText" dxfId="0" priority="92" operator="containsText" text="fnd">
      <formula>NOT(ISERROR(SEARCH(("fnd"),(B78))))</formula>
    </cfRule>
  </conditionalFormatting>
  <conditionalFormatting sqref="B94:C94">
    <cfRule type="containsText" dxfId="2" priority="93" operator="containsText" text="Str">
      <formula>NOT(ISERROR(SEARCH(("Str"),(B94))))</formula>
    </cfRule>
  </conditionalFormatting>
  <conditionalFormatting sqref="B94:C94">
    <cfRule type="containsText" dxfId="3" priority="94" operator="containsText" text="Ere">
      <formula>NOT(ISERROR(SEARCH(("Ere"),(B94))))</formula>
    </cfRule>
  </conditionalFormatting>
  <conditionalFormatting sqref="B94:C94">
    <cfRule type="containsText" dxfId="1" priority="95" operator="containsText" text="Ear">
      <formula>NOT(ISERROR(SEARCH(("Ear"),(B94))))</formula>
    </cfRule>
  </conditionalFormatting>
  <conditionalFormatting sqref="B94:C94">
    <cfRule type="containsText" dxfId="0" priority="96" operator="containsText" text="fnd">
      <formula>NOT(ISERROR(SEARCH(("fnd"),(B94))))</formula>
    </cfRule>
  </conditionalFormatting>
  <conditionalFormatting sqref="B118:C118">
    <cfRule type="containsText" dxfId="2" priority="97" operator="containsText" text="Str">
      <formula>NOT(ISERROR(SEARCH(("Str"),(B118))))</formula>
    </cfRule>
  </conditionalFormatting>
  <conditionalFormatting sqref="B118:C118">
    <cfRule type="containsText" dxfId="3" priority="98" operator="containsText" text="Ere">
      <formula>NOT(ISERROR(SEARCH(("Ere"),(B118))))</formula>
    </cfRule>
  </conditionalFormatting>
  <conditionalFormatting sqref="B118:C118">
    <cfRule type="containsText" dxfId="1" priority="99" operator="containsText" text="Ear">
      <formula>NOT(ISERROR(SEARCH(("Ear"),(B118))))</formula>
    </cfRule>
  </conditionalFormatting>
  <conditionalFormatting sqref="B118:C118">
    <cfRule type="containsText" dxfId="0" priority="100" operator="containsText" text="fnd">
      <formula>NOT(ISERROR(SEARCH(("fnd"),(B118))))</formula>
    </cfRule>
  </conditionalFormatting>
  <conditionalFormatting sqref="B126:C126">
    <cfRule type="containsText" dxfId="2" priority="101" operator="containsText" text="Str">
      <formula>NOT(ISERROR(SEARCH(("Str"),(B126))))</formula>
    </cfRule>
  </conditionalFormatting>
  <conditionalFormatting sqref="B126:C126">
    <cfRule type="containsText" dxfId="3" priority="102" operator="containsText" text="Ere">
      <formula>NOT(ISERROR(SEARCH(("Ere"),(B126))))</formula>
    </cfRule>
  </conditionalFormatting>
  <conditionalFormatting sqref="B126:C126">
    <cfRule type="containsText" dxfId="1" priority="103" operator="containsText" text="Ear">
      <formula>NOT(ISERROR(SEARCH(("Ear"),(B126))))</formula>
    </cfRule>
  </conditionalFormatting>
  <conditionalFormatting sqref="B126:C126">
    <cfRule type="containsText" dxfId="0" priority="104" operator="containsText" text="fnd">
      <formula>NOT(ISERROR(SEARCH(("fnd"),(B126))))</formula>
    </cfRule>
  </conditionalFormatting>
  <conditionalFormatting sqref="B134:C134">
    <cfRule type="containsText" dxfId="2" priority="105" operator="containsText" text="Str">
      <formula>NOT(ISERROR(SEARCH(("Str"),(B134))))</formula>
    </cfRule>
  </conditionalFormatting>
  <conditionalFormatting sqref="B134:C134">
    <cfRule type="containsText" dxfId="3" priority="106" operator="containsText" text="Ere">
      <formula>NOT(ISERROR(SEARCH(("Ere"),(B134))))</formula>
    </cfRule>
  </conditionalFormatting>
  <conditionalFormatting sqref="B134:C134">
    <cfRule type="containsText" dxfId="1" priority="107" operator="containsText" text="Ear">
      <formula>NOT(ISERROR(SEARCH(("Ear"),(B134))))</formula>
    </cfRule>
  </conditionalFormatting>
  <conditionalFormatting sqref="B134:C134">
    <cfRule type="containsText" dxfId="0" priority="108" operator="containsText" text="fnd">
      <formula>NOT(ISERROR(SEARCH(("fnd"),(B134))))</formula>
    </cfRule>
  </conditionalFormatting>
  <conditionalFormatting sqref="B142:C142">
    <cfRule type="containsText" dxfId="2" priority="109" operator="containsText" text="Str">
      <formula>NOT(ISERROR(SEARCH(("Str"),(B142))))</formula>
    </cfRule>
  </conditionalFormatting>
  <conditionalFormatting sqref="B142:C142">
    <cfRule type="containsText" dxfId="3" priority="110" operator="containsText" text="Ere">
      <formula>NOT(ISERROR(SEARCH(("Ere"),(B142))))</formula>
    </cfRule>
  </conditionalFormatting>
  <conditionalFormatting sqref="B142:C142">
    <cfRule type="containsText" dxfId="1" priority="111" operator="containsText" text="Ear">
      <formula>NOT(ISERROR(SEARCH(("Ear"),(B142))))</formula>
    </cfRule>
  </conditionalFormatting>
  <conditionalFormatting sqref="B142:C142">
    <cfRule type="containsText" dxfId="0" priority="112" operator="containsText" text="fnd">
      <formula>NOT(ISERROR(SEARCH(("fnd"),(B142))))</formula>
    </cfRule>
  </conditionalFormatting>
  <conditionalFormatting sqref="B158:C158">
    <cfRule type="containsText" dxfId="2" priority="113" operator="containsText" text="Str">
      <formula>NOT(ISERROR(SEARCH(("Str"),(B158))))</formula>
    </cfRule>
  </conditionalFormatting>
  <conditionalFormatting sqref="B158:C158">
    <cfRule type="containsText" dxfId="3" priority="114" operator="containsText" text="Ere">
      <formula>NOT(ISERROR(SEARCH(("Ere"),(B158))))</formula>
    </cfRule>
  </conditionalFormatting>
  <conditionalFormatting sqref="B158:C158">
    <cfRule type="containsText" dxfId="1" priority="115" operator="containsText" text="Ear">
      <formula>NOT(ISERROR(SEARCH(("Ear"),(B158))))</formula>
    </cfRule>
  </conditionalFormatting>
  <conditionalFormatting sqref="B158:C158">
    <cfRule type="containsText" dxfId="0" priority="116" operator="containsText" text="fnd">
      <formula>NOT(ISERROR(SEARCH(("fnd"),(B158))))</formula>
    </cfRule>
  </conditionalFormatting>
  <conditionalFormatting sqref="B166:C166">
    <cfRule type="containsText" dxfId="2" priority="117" operator="containsText" text="Str">
      <formula>NOT(ISERROR(SEARCH(("Str"),(B166))))</formula>
    </cfRule>
  </conditionalFormatting>
  <conditionalFormatting sqref="B166:C166">
    <cfRule type="containsText" dxfId="3" priority="118" operator="containsText" text="Ere">
      <formula>NOT(ISERROR(SEARCH(("Ere"),(B166))))</formula>
    </cfRule>
  </conditionalFormatting>
  <conditionalFormatting sqref="B166:C166">
    <cfRule type="containsText" dxfId="1" priority="119" operator="containsText" text="Ear">
      <formula>NOT(ISERROR(SEARCH(("Ear"),(B166))))</formula>
    </cfRule>
  </conditionalFormatting>
  <conditionalFormatting sqref="B166:C166">
    <cfRule type="containsText" dxfId="0" priority="120" operator="containsText" text="fnd">
      <formula>NOT(ISERROR(SEARCH(("fnd"),(B166))))</formula>
    </cfRule>
  </conditionalFormatting>
  <conditionalFormatting sqref="B174:C174">
    <cfRule type="containsText" dxfId="2" priority="121" operator="containsText" text="Str">
      <formula>NOT(ISERROR(SEARCH(("Str"),(B174))))</formula>
    </cfRule>
  </conditionalFormatting>
  <conditionalFormatting sqref="B174:C174">
    <cfRule type="containsText" dxfId="3" priority="122" operator="containsText" text="Ere">
      <formula>NOT(ISERROR(SEARCH(("Ere"),(B174))))</formula>
    </cfRule>
  </conditionalFormatting>
  <conditionalFormatting sqref="B174:C174">
    <cfRule type="containsText" dxfId="1" priority="123" operator="containsText" text="Ear">
      <formula>NOT(ISERROR(SEARCH(("Ear"),(B174))))</formula>
    </cfRule>
  </conditionalFormatting>
  <conditionalFormatting sqref="B174:C174">
    <cfRule type="containsText" dxfId="0" priority="124" operator="containsText" text="fnd">
      <formula>NOT(ISERROR(SEARCH(("fnd"),(B174))))</formula>
    </cfRule>
  </conditionalFormatting>
  <conditionalFormatting sqref="B182:C182">
    <cfRule type="containsText" dxfId="2" priority="125" operator="containsText" text="Str">
      <formula>NOT(ISERROR(SEARCH(("Str"),(B182))))</formula>
    </cfRule>
  </conditionalFormatting>
  <conditionalFormatting sqref="B182:C182">
    <cfRule type="containsText" dxfId="3" priority="126" operator="containsText" text="Ere">
      <formula>NOT(ISERROR(SEARCH(("Ere"),(B182))))</formula>
    </cfRule>
  </conditionalFormatting>
  <conditionalFormatting sqref="B182:C182">
    <cfRule type="containsText" dxfId="1" priority="127" operator="containsText" text="Ear">
      <formula>NOT(ISERROR(SEARCH(("Ear"),(B182))))</formula>
    </cfRule>
  </conditionalFormatting>
  <conditionalFormatting sqref="B182:C182">
    <cfRule type="containsText" dxfId="0" priority="128" operator="containsText" text="fnd">
      <formula>NOT(ISERROR(SEARCH(("fnd"),(B182))))</formula>
    </cfRule>
  </conditionalFormatting>
  <conditionalFormatting sqref="B188:C188">
    <cfRule type="containsText" dxfId="2" priority="129" operator="containsText" text="Str">
      <formula>NOT(ISERROR(SEARCH(("Str"),(B188))))</formula>
    </cfRule>
  </conditionalFormatting>
  <conditionalFormatting sqref="B188:C188">
    <cfRule type="containsText" dxfId="3" priority="130" operator="containsText" text="Ere">
      <formula>NOT(ISERROR(SEARCH(("Ere"),(B188))))</formula>
    </cfRule>
  </conditionalFormatting>
  <conditionalFormatting sqref="B188:C188">
    <cfRule type="containsText" dxfId="1" priority="131" operator="containsText" text="Ear">
      <formula>NOT(ISERROR(SEARCH(("Ear"),(B188))))</formula>
    </cfRule>
  </conditionalFormatting>
  <conditionalFormatting sqref="B188:C188">
    <cfRule type="containsText" dxfId="0" priority="132" operator="containsText" text="fnd">
      <formula>NOT(ISERROR(SEARCH(("fnd"),(B188))))</formula>
    </cfRule>
  </conditionalFormatting>
  <conditionalFormatting sqref="C6">
    <cfRule type="containsText" dxfId="2" priority="133" operator="containsText" text="Str">
      <formula>NOT(ISERROR(SEARCH(("Str"),(C6))))</formula>
    </cfRule>
  </conditionalFormatting>
  <conditionalFormatting sqref="C6">
    <cfRule type="containsText" dxfId="3" priority="134" operator="containsText" text="Ere">
      <formula>NOT(ISERROR(SEARCH(("Ere"),(C6))))</formula>
    </cfRule>
  </conditionalFormatting>
  <conditionalFormatting sqref="C6">
    <cfRule type="containsText" dxfId="1" priority="135" operator="containsText" text="Ear">
      <formula>NOT(ISERROR(SEARCH(("Ear"),(C6))))</formula>
    </cfRule>
  </conditionalFormatting>
  <conditionalFormatting sqref="C6">
    <cfRule type="containsText" dxfId="0" priority="136" operator="containsText" text="fnd">
      <formula>NOT(ISERROR(SEARCH(("fnd"),(C6))))</formula>
    </cfRule>
  </conditionalFormatting>
  <conditionalFormatting sqref="C14">
    <cfRule type="containsText" dxfId="2" priority="137" operator="containsText" text="Str">
      <formula>NOT(ISERROR(SEARCH(("Str"),(C14))))</formula>
    </cfRule>
  </conditionalFormatting>
  <conditionalFormatting sqref="C14">
    <cfRule type="containsText" dxfId="3" priority="138" operator="containsText" text="Ere">
      <formula>NOT(ISERROR(SEARCH(("Ere"),(C14))))</formula>
    </cfRule>
  </conditionalFormatting>
  <conditionalFormatting sqref="C14">
    <cfRule type="containsText" dxfId="1" priority="139" operator="containsText" text="Ear">
      <formula>NOT(ISERROR(SEARCH(("Ear"),(C14))))</formula>
    </cfRule>
  </conditionalFormatting>
  <conditionalFormatting sqref="C14">
    <cfRule type="containsText" dxfId="0" priority="140" operator="containsText" text="fnd">
      <formula>NOT(ISERROR(SEARCH(("fnd"),(C14))))</formula>
    </cfRule>
  </conditionalFormatting>
  <conditionalFormatting sqref="C22">
    <cfRule type="containsText" dxfId="2" priority="141" operator="containsText" text="Str">
      <formula>NOT(ISERROR(SEARCH(("Str"),(C22))))</formula>
    </cfRule>
  </conditionalFormatting>
  <conditionalFormatting sqref="C22">
    <cfRule type="containsText" dxfId="3" priority="142" operator="containsText" text="Ere">
      <formula>NOT(ISERROR(SEARCH(("Ere"),(C22))))</formula>
    </cfRule>
  </conditionalFormatting>
  <conditionalFormatting sqref="C22">
    <cfRule type="containsText" dxfId="1" priority="143" operator="containsText" text="Ear">
      <formula>NOT(ISERROR(SEARCH(("Ear"),(C22))))</formula>
    </cfRule>
  </conditionalFormatting>
  <conditionalFormatting sqref="C22">
    <cfRule type="containsText" dxfId="0" priority="144" operator="containsText" text="fnd">
      <formula>NOT(ISERROR(SEARCH(("fnd"),(C22))))</formula>
    </cfRule>
  </conditionalFormatting>
  <conditionalFormatting sqref="C30">
    <cfRule type="containsText" dxfId="2" priority="145" operator="containsText" text="Str">
      <formula>NOT(ISERROR(SEARCH(("Str"),(C30))))</formula>
    </cfRule>
  </conditionalFormatting>
  <conditionalFormatting sqref="C30">
    <cfRule type="containsText" dxfId="3" priority="146" operator="containsText" text="Ere">
      <formula>NOT(ISERROR(SEARCH(("Ere"),(C30))))</formula>
    </cfRule>
  </conditionalFormatting>
  <conditionalFormatting sqref="C30">
    <cfRule type="containsText" dxfId="1" priority="147" operator="containsText" text="Ear">
      <formula>NOT(ISERROR(SEARCH(("Ear"),(C30))))</formula>
    </cfRule>
  </conditionalFormatting>
  <conditionalFormatting sqref="C30">
    <cfRule type="containsText" dxfId="0" priority="148" operator="containsText" text="fnd">
      <formula>NOT(ISERROR(SEARCH(("fnd"),(C30))))</formula>
    </cfRule>
  </conditionalFormatting>
  <conditionalFormatting sqref="C38">
    <cfRule type="containsText" dxfId="2" priority="149" operator="containsText" text="Str">
      <formula>NOT(ISERROR(SEARCH(("Str"),(C38))))</formula>
    </cfRule>
  </conditionalFormatting>
  <conditionalFormatting sqref="C38">
    <cfRule type="containsText" dxfId="3" priority="150" operator="containsText" text="Ere">
      <formula>NOT(ISERROR(SEARCH(("Ere"),(C38))))</formula>
    </cfRule>
  </conditionalFormatting>
  <conditionalFormatting sqref="C38">
    <cfRule type="containsText" dxfId="1" priority="151" operator="containsText" text="Ear">
      <formula>NOT(ISERROR(SEARCH(("Ear"),(C38))))</formula>
    </cfRule>
  </conditionalFormatting>
  <conditionalFormatting sqref="C38">
    <cfRule type="containsText" dxfId="0" priority="152" operator="containsText" text="fnd">
      <formula>NOT(ISERROR(SEARCH(("fnd"),(C38))))</formula>
    </cfRule>
  </conditionalFormatting>
  <conditionalFormatting sqref="C46">
    <cfRule type="containsText" dxfId="2" priority="153" operator="containsText" text="Str">
      <formula>NOT(ISERROR(SEARCH(("Str"),(C46))))</formula>
    </cfRule>
  </conditionalFormatting>
  <conditionalFormatting sqref="C46">
    <cfRule type="containsText" dxfId="3" priority="154" operator="containsText" text="Ere">
      <formula>NOT(ISERROR(SEARCH(("Ere"),(C46))))</formula>
    </cfRule>
  </conditionalFormatting>
  <conditionalFormatting sqref="C46">
    <cfRule type="containsText" dxfId="1" priority="155" operator="containsText" text="Ear">
      <formula>NOT(ISERROR(SEARCH(("Ear"),(C46))))</formula>
    </cfRule>
  </conditionalFormatting>
  <conditionalFormatting sqref="C46">
    <cfRule type="containsText" dxfId="0" priority="156" operator="containsText" text="fnd">
      <formula>NOT(ISERROR(SEARCH(("fnd"),(C46))))</formula>
    </cfRule>
  </conditionalFormatting>
  <conditionalFormatting sqref="E5:E6">
    <cfRule type="containsText" dxfId="2" priority="157" operator="containsText" text="Str">
      <formula>NOT(ISERROR(SEARCH(("Str"),(E5))))</formula>
    </cfRule>
  </conditionalFormatting>
  <conditionalFormatting sqref="E5:E6">
    <cfRule type="containsText" dxfId="3" priority="158" operator="containsText" text="Ere">
      <formula>NOT(ISERROR(SEARCH(("Ere"),(E5))))</formula>
    </cfRule>
  </conditionalFormatting>
  <conditionalFormatting sqref="E5:E6">
    <cfRule type="containsText" dxfId="1" priority="159" operator="containsText" text="Ear">
      <formula>NOT(ISERROR(SEARCH(("Ear"),(E5))))</formula>
    </cfRule>
  </conditionalFormatting>
  <conditionalFormatting sqref="E5:E6">
    <cfRule type="containsText" dxfId="0" priority="160" operator="containsText" text="fnd">
      <formula>NOT(ISERROR(SEARCH(("fnd"),(E5))))</formula>
    </cfRule>
  </conditionalFormatting>
  <conditionalFormatting sqref="E13:E14">
    <cfRule type="containsText" dxfId="2" priority="161" operator="containsText" text="Str">
      <formula>NOT(ISERROR(SEARCH(("Str"),(E13))))</formula>
    </cfRule>
  </conditionalFormatting>
  <conditionalFormatting sqref="E13:E14">
    <cfRule type="containsText" dxfId="3" priority="162" operator="containsText" text="Ere">
      <formula>NOT(ISERROR(SEARCH(("Ere"),(E13))))</formula>
    </cfRule>
  </conditionalFormatting>
  <conditionalFormatting sqref="E13:E14">
    <cfRule type="containsText" dxfId="1" priority="163" operator="containsText" text="Ear">
      <formula>NOT(ISERROR(SEARCH(("Ear"),(E13))))</formula>
    </cfRule>
  </conditionalFormatting>
  <conditionalFormatting sqref="E13:E14">
    <cfRule type="containsText" dxfId="0" priority="164" operator="containsText" text="fnd">
      <formula>NOT(ISERROR(SEARCH(("fnd"),(E13))))</formula>
    </cfRule>
  </conditionalFormatting>
  <conditionalFormatting sqref="E21:E22">
    <cfRule type="containsText" dxfId="2" priority="165" operator="containsText" text="Str">
      <formula>NOT(ISERROR(SEARCH(("Str"),(E21))))</formula>
    </cfRule>
  </conditionalFormatting>
  <conditionalFormatting sqref="E21:E22">
    <cfRule type="containsText" dxfId="3" priority="166" operator="containsText" text="Ere">
      <formula>NOT(ISERROR(SEARCH(("Ere"),(E21))))</formula>
    </cfRule>
  </conditionalFormatting>
  <conditionalFormatting sqref="E21:E22">
    <cfRule type="containsText" dxfId="1" priority="167" operator="containsText" text="Ear">
      <formula>NOT(ISERROR(SEARCH(("Ear"),(E21))))</formula>
    </cfRule>
  </conditionalFormatting>
  <conditionalFormatting sqref="E21:E22">
    <cfRule type="containsText" dxfId="0" priority="168" operator="containsText" text="fnd">
      <formula>NOT(ISERROR(SEARCH(("fnd"),(E21))))</formula>
    </cfRule>
  </conditionalFormatting>
  <conditionalFormatting sqref="E29">
    <cfRule type="containsText" dxfId="2" priority="169" operator="containsText" text="Str">
      <formula>NOT(ISERROR(SEARCH(("Str"),(E29))))</formula>
    </cfRule>
  </conditionalFormatting>
  <conditionalFormatting sqref="E29">
    <cfRule type="containsText" dxfId="3" priority="170" operator="containsText" text="Ere">
      <formula>NOT(ISERROR(SEARCH(("Ere"),(E29))))</formula>
    </cfRule>
  </conditionalFormatting>
  <conditionalFormatting sqref="E29">
    <cfRule type="containsText" dxfId="1" priority="171" operator="containsText" text="Ear">
      <formula>NOT(ISERROR(SEARCH(("Ear"),(E29))))</formula>
    </cfRule>
  </conditionalFormatting>
  <conditionalFormatting sqref="E29">
    <cfRule type="containsText" dxfId="0" priority="172" operator="containsText" text="fnd">
      <formula>NOT(ISERROR(SEARCH(("fnd"),(E29))))</formula>
    </cfRule>
  </conditionalFormatting>
  <conditionalFormatting sqref="E37:E38">
    <cfRule type="containsText" dxfId="2" priority="173" operator="containsText" text="Str">
      <formula>NOT(ISERROR(SEARCH(("Str"),(E37))))</formula>
    </cfRule>
  </conditionalFormatting>
  <conditionalFormatting sqref="E37:E38">
    <cfRule type="containsText" dxfId="3" priority="174" operator="containsText" text="Ere">
      <formula>NOT(ISERROR(SEARCH(("Ere"),(E37))))</formula>
    </cfRule>
  </conditionalFormatting>
  <conditionalFormatting sqref="E37:E38">
    <cfRule type="containsText" dxfId="1" priority="175" operator="containsText" text="Ear">
      <formula>NOT(ISERROR(SEARCH(("Ear"),(E37))))</formula>
    </cfRule>
  </conditionalFormatting>
  <conditionalFormatting sqref="E37:E38">
    <cfRule type="containsText" dxfId="0" priority="176" operator="containsText" text="fnd">
      <formula>NOT(ISERROR(SEARCH(("fnd"),(E37))))</formula>
    </cfRule>
  </conditionalFormatting>
  <conditionalFormatting sqref="E45">
    <cfRule type="containsText" dxfId="2" priority="177" operator="containsText" text="Str">
      <formula>NOT(ISERROR(SEARCH(("Str"),(E45))))</formula>
    </cfRule>
  </conditionalFormatting>
  <conditionalFormatting sqref="E45">
    <cfRule type="containsText" dxfId="3" priority="178" operator="containsText" text="Ere">
      <formula>NOT(ISERROR(SEARCH(("Ere"),(E45))))</formula>
    </cfRule>
  </conditionalFormatting>
  <conditionalFormatting sqref="E45">
    <cfRule type="containsText" dxfId="1" priority="179" operator="containsText" text="Ear">
      <formula>NOT(ISERROR(SEARCH(("Ear"),(E45))))</formula>
    </cfRule>
  </conditionalFormatting>
  <conditionalFormatting sqref="E45">
    <cfRule type="containsText" dxfId="0" priority="180" operator="containsText" text="fnd">
      <formula>NOT(ISERROR(SEARCH(("fnd"),(E45))))</formula>
    </cfRule>
  </conditionalFormatting>
  <conditionalFormatting sqref="E53:E54">
    <cfRule type="containsText" dxfId="2" priority="181" operator="containsText" text="Str">
      <formula>NOT(ISERROR(SEARCH(("Str"),(E53))))</formula>
    </cfRule>
  </conditionalFormatting>
  <conditionalFormatting sqref="E53:E54">
    <cfRule type="containsText" dxfId="3" priority="182" operator="containsText" text="Ere">
      <formula>NOT(ISERROR(SEARCH(("Ere"),(E53))))</formula>
    </cfRule>
  </conditionalFormatting>
  <conditionalFormatting sqref="E53:E54">
    <cfRule type="containsText" dxfId="1" priority="183" operator="containsText" text="Ear">
      <formula>NOT(ISERROR(SEARCH(("Ear"),(E53))))</formula>
    </cfRule>
  </conditionalFormatting>
  <conditionalFormatting sqref="E53:E54">
    <cfRule type="containsText" dxfId="0" priority="184" operator="containsText" text="fnd">
      <formula>NOT(ISERROR(SEARCH(("fnd"),(E53))))</formula>
    </cfRule>
  </conditionalFormatting>
  <conditionalFormatting sqref="E61">
    <cfRule type="containsText" dxfId="2" priority="185" operator="containsText" text="Str">
      <formula>NOT(ISERROR(SEARCH(("Str"),(E61))))</formula>
    </cfRule>
  </conditionalFormatting>
  <conditionalFormatting sqref="E61">
    <cfRule type="containsText" dxfId="3" priority="186" operator="containsText" text="Ere">
      <formula>NOT(ISERROR(SEARCH(("Ere"),(E61))))</formula>
    </cfRule>
  </conditionalFormatting>
  <conditionalFormatting sqref="E61">
    <cfRule type="containsText" dxfId="1" priority="187" operator="containsText" text="Ear">
      <formula>NOT(ISERROR(SEARCH(("Ear"),(E61))))</formula>
    </cfRule>
  </conditionalFormatting>
  <conditionalFormatting sqref="E61">
    <cfRule type="containsText" dxfId="0" priority="188" operator="containsText" text="fnd">
      <formula>NOT(ISERROR(SEARCH(("fnd"),(E61))))</formula>
    </cfRule>
  </conditionalFormatting>
  <conditionalFormatting sqref="E69">
    <cfRule type="containsText" dxfId="2" priority="189" operator="containsText" text="Str">
      <formula>NOT(ISERROR(SEARCH(("Str"),(E69))))</formula>
    </cfRule>
  </conditionalFormatting>
  <conditionalFormatting sqref="E69">
    <cfRule type="containsText" dxfId="3" priority="190" operator="containsText" text="Ere">
      <formula>NOT(ISERROR(SEARCH(("Ere"),(E69))))</formula>
    </cfRule>
  </conditionalFormatting>
  <conditionalFormatting sqref="E69">
    <cfRule type="containsText" dxfId="1" priority="191" operator="containsText" text="Ear">
      <formula>NOT(ISERROR(SEARCH(("Ear"),(E69))))</formula>
    </cfRule>
  </conditionalFormatting>
  <conditionalFormatting sqref="E69">
    <cfRule type="containsText" dxfId="0" priority="192" operator="containsText" text="fnd">
      <formula>NOT(ISERROR(SEARCH(("fnd"),(E69))))</formula>
    </cfRule>
  </conditionalFormatting>
  <conditionalFormatting sqref="E86">
    <cfRule type="containsText" dxfId="2" priority="193" operator="containsText" text="Str">
      <formula>NOT(ISERROR(SEARCH(("Str"),(E86))))</formula>
    </cfRule>
  </conditionalFormatting>
  <conditionalFormatting sqref="E86">
    <cfRule type="containsText" dxfId="3" priority="194" operator="containsText" text="Ere">
      <formula>NOT(ISERROR(SEARCH(("Ere"),(E86))))</formula>
    </cfRule>
  </conditionalFormatting>
  <conditionalFormatting sqref="E86">
    <cfRule type="containsText" dxfId="1" priority="195" operator="containsText" text="Ear">
      <formula>NOT(ISERROR(SEARCH(("Ear"),(E86))))</formula>
    </cfRule>
  </conditionalFormatting>
  <conditionalFormatting sqref="E86">
    <cfRule type="containsText" dxfId="0" priority="196" operator="containsText" text="fnd">
      <formula>NOT(ISERROR(SEARCH(("fnd"),(E86))))</formula>
    </cfRule>
  </conditionalFormatting>
  <conditionalFormatting sqref="E93">
    <cfRule type="containsText" dxfId="2" priority="197" operator="containsText" text="Str">
      <formula>NOT(ISERROR(SEARCH(("Str"),(E93))))</formula>
    </cfRule>
  </conditionalFormatting>
  <conditionalFormatting sqref="E93">
    <cfRule type="containsText" dxfId="3" priority="198" operator="containsText" text="Ere">
      <formula>NOT(ISERROR(SEARCH(("Ere"),(E93))))</formula>
    </cfRule>
  </conditionalFormatting>
  <conditionalFormatting sqref="E93">
    <cfRule type="containsText" dxfId="1" priority="199" operator="containsText" text="Ear">
      <formula>NOT(ISERROR(SEARCH(("Ear"),(E93))))</formula>
    </cfRule>
  </conditionalFormatting>
  <conditionalFormatting sqref="E93">
    <cfRule type="containsText" dxfId="0" priority="200" operator="containsText" text="fnd">
      <formula>NOT(ISERROR(SEARCH(("fnd"),(E93))))</formula>
    </cfRule>
  </conditionalFormatting>
  <conditionalFormatting sqref="E101">
    <cfRule type="containsText" dxfId="2" priority="201" operator="containsText" text="Str">
      <formula>NOT(ISERROR(SEARCH(("Str"),(E101))))</formula>
    </cfRule>
  </conditionalFormatting>
  <conditionalFormatting sqref="E101">
    <cfRule type="containsText" dxfId="3" priority="202" operator="containsText" text="Ere">
      <formula>NOT(ISERROR(SEARCH(("Ere"),(E101))))</formula>
    </cfRule>
  </conditionalFormatting>
  <conditionalFormatting sqref="E101">
    <cfRule type="containsText" dxfId="1" priority="203" operator="containsText" text="Ear">
      <formula>NOT(ISERROR(SEARCH(("Ear"),(E101))))</formula>
    </cfRule>
  </conditionalFormatting>
  <conditionalFormatting sqref="E101">
    <cfRule type="containsText" dxfId="0" priority="204" operator="containsText" text="fnd">
      <formula>NOT(ISERROR(SEARCH(("fnd"),(E101))))</formula>
    </cfRule>
  </conditionalFormatting>
  <conditionalFormatting sqref="E109">
    <cfRule type="containsText" dxfId="2" priority="205" operator="containsText" text="Str">
      <formula>NOT(ISERROR(SEARCH(("Str"),(E109))))</formula>
    </cfRule>
  </conditionalFormatting>
  <conditionalFormatting sqref="E109">
    <cfRule type="containsText" dxfId="3" priority="206" operator="containsText" text="Ere">
      <formula>NOT(ISERROR(SEARCH(("Ere"),(E109))))</formula>
    </cfRule>
  </conditionalFormatting>
  <conditionalFormatting sqref="E109">
    <cfRule type="containsText" dxfId="1" priority="207" operator="containsText" text="Ear">
      <formula>NOT(ISERROR(SEARCH(("Ear"),(E109))))</formula>
    </cfRule>
  </conditionalFormatting>
  <conditionalFormatting sqref="E109">
    <cfRule type="containsText" dxfId="0" priority="208" operator="containsText" text="fnd">
      <formula>NOT(ISERROR(SEARCH(("fnd"),(E109))))</formula>
    </cfRule>
  </conditionalFormatting>
  <conditionalFormatting sqref="E117">
    <cfRule type="containsText" dxfId="2" priority="209" operator="containsText" text="Str">
      <formula>NOT(ISERROR(SEARCH(("Str"),(E117))))</formula>
    </cfRule>
  </conditionalFormatting>
  <conditionalFormatting sqref="E117">
    <cfRule type="containsText" dxfId="3" priority="210" operator="containsText" text="Ere">
      <formula>NOT(ISERROR(SEARCH(("Ere"),(E117))))</formula>
    </cfRule>
  </conditionalFormatting>
  <conditionalFormatting sqref="E117">
    <cfRule type="containsText" dxfId="1" priority="211" operator="containsText" text="Ear">
      <formula>NOT(ISERROR(SEARCH(("Ear"),(E117))))</formula>
    </cfRule>
  </conditionalFormatting>
  <conditionalFormatting sqref="E117">
    <cfRule type="containsText" dxfId="0" priority="212" operator="containsText" text="fnd">
      <formula>NOT(ISERROR(SEARCH(("fnd"),(E117))))</formula>
    </cfRule>
  </conditionalFormatting>
  <conditionalFormatting sqref="E122 E130 E138 E162 E170 E178">
    <cfRule type="containsText" dxfId="2" priority="213" operator="containsText" text="Str">
      <formula>NOT(ISERROR(SEARCH(("Str"),(E122))))</formula>
    </cfRule>
  </conditionalFormatting>
  <conditionalFormatting sqref="E122 E130 E138 E162 E170 E178">
    <cfRule type="containsText" dxfId="3" priority="214" operator="containsText" text="Ere">
      <formula>NOT(ISERROR(SEARCH(("Ere"),(E122))))</formula>
    </cfRule>
  </conditionalFormatting>
  <conditionalFormatting sqref="E122 E130 E138 E162 E170 E178">
    <cfRule type="containsText" dxfId="1" priority="215" operator="containsText" text="Ear">
      <formula>NOT(ISERROR(SEARCH(("Ear"),(E122))))</formula>
    </cfRule>
  </conditionalFormatting>
  <conditionalFormatting sqref="E122 E130 E138 E162 E170 E178">
    <cfRule type="containsText" dxfId="0" priority="216" operator="containsText" text="fnd">
      <formula>NOT(ISERROR(SEARCH(("fnd"),(E122))))</formula>
    </cfRule>
  </conditionalFormatting>
  <conditionalFormatting sqref="E125">
    <cfRule type="containsText" dxfId="2" priority="217" operator="containsText" text="Str">
      <formula>NOT(ISERROR(SEARCH(("Str"),(E125))))</formula>
    </cfRule>
  </conditionalFormatting>
  <conditionalFormatting sqref="E125">
    <cfRule type="containsText" dxfId="3" priority="218" operator="containsText" text="Ere">
      <formula>NOT(ISERROR(SEARCH(("Ere"),(E125))))</formula>
    </cfRule>
  </conditionalFormatting>
  <conditionalFormatting sqref="E125">
    <cfRule type="containsText" dxfId="1" priority="219" operator="containsText" text="Ear">
      <formula>NOT(ISERROR(SEARCH(("Ear"),(E125))))</formula>
    </cfRule>
  </conditionalFormatting>
  <conditionalFormatting sqref="E125">
    <cfRule type="containsText" dxfId="0" priority="220" operator="containsText" text="fnd">
      <formula>NOT(ISERROR(SEARCH(("fnd"),(E125))))</formula>
    </cfRule>
  </conditionalFormatting>
  <conditionalFormatting sqref="E133">
    <cfRule type="containsText" dxfId="2" priority="221" operator="containsText" text="Str">
      <formula>NOT(ISERROR(SEARCH(("Str"),(E133))))</formula>
    </cfRule>
  </conditionalFormatting>
  <conditionalFormatting sqref="E133">
    <cfRule type="containsText" dxfId="3" priority="222" operator="containsText" text="Ere">
      <formula>NOT(ISERROR(SEARCH(("Ere"),(E133))))</formula>
    </cfRule>
  </conditionalFormatting>
  <conditionalFormatting sqref="E133">
    <cfRule type="containsText" dxfId="1" priority="223" operator="containsText" text="Ear">
      <formula>NOT(ISERROR(SEARCH(("Ear"),(E133))))</formula>
    </cfRule>
  </conditionalFormatting>
  <conditionalFormatting sqref="E133">
    <cfRule type="containsText" dxfId="0" priority="224" operator="containsText" text="fnd">
      <formula>NOT(ISERROR(SEARCH(("fnd"),(E133))))</formula>
    </cfRule>
  </conditionalFormatting>
  <conditionalFormatting sqref="E141">
    <cfRule type="containsText" dxfId="2" priority="225" operator="containsText" text="Str">
      <formula>NOT(ISERROR(SEARCH(("Str"),(E141))))</formula>
    </cfRule>
  </conditionalFormatting>
  <conditionalFormatting sqref="E141">
    <cfRule type="containsText" dxfId="3" priority="226" operator="containsText" text="Ere">
      <formula>NOT(ISERROR(SEARCH(("Ere"),(E141))))</formula>
    </cfRule>
  </conditionalFormatting>
  <conditionalFormatting sqref="E141">
    <cfRule type="containsText" dxfId="1" priority="227" operator="containsText" text="Ear">
      <formula>NOT(ISERROR(SEARCH(("Ear"),(E141))))</formula>
    </cfRule>
  </conditionalFormatting>
  <conditionalFormatting sqref="E141">
    <cfRule type="containsText" dxfId="0" priority="228" operator="containsText" text="fnd">
      <formula>NOT(ISERROR(SEARCH(("fnd"),(E141))))</formula>
    </cfRule>
  </conditionalFormatting>
  <conditionalFormatting sqref="E149">
    <cfRule type="containsText" dxfId="2" priority="229" operator="containsText" text="Str">
      <formula>NOT(ISERROR(SEARCH(("Str"),(E149))))</formula>
    </cfRule>
  </conditionalFormatting>
  <conditionalFormatting sqref="E149">
    <cfRule type="containsText" dxfId="3" priority="230" operator="containsText" text="Ere">
      <formula>NOT(ISERROR(SEARCH(("Ere"),(E149))))</formula>
    </cfRule>
  </conditionalFormatting>
  <conditionalFormatting sqref="E149">
    <cfRule type="containsText" dxfId="1" priority="231" operator="containsText" text="Ear">
      <formula>NOT(ISERROR(SEARCH(("Ear"),(E149))))</formula>
    </cfRule>
  </conditionalFormatting>
  <conditionalFormatting sqref="E149">
    <cfRule type="containsText" dxfId="0" priority="232" operator="containsText" text="fnd">
      <formula>NOT(ISERROR(SEARCH(("fnd"),(E149))))</formula>
    </cfRule>
  </conditionalFormatting>
  <conditionalFormatting sqref="E157">
    <cfRule type="containsText" dxfId="2" priority="233" operator="containsText" text="Str">
      <formula>NOT(ISERROR(SEARCH(("Str"),(E157))))</formula>
    </cfRule>
  </conditionalFormatting>
  <conditionalFormatting sqref="E157">
    <cfRule type="containsText" dxfId="3" priority="234" operator="containsText" text="Ere">
      <formula>NOT(ISERROR(SEARCH(("Ere"),(E157))))</formula>
    </cfRule>
  </conditionalFormatting>
  <conditionalFormatting sqref="E157">
    <cfRule type="containsText" dxfId="1" priority="235" operator="containsText" text="Ear">
      <formula>NOT(ISERROR(SEARCH(("Ear"),(E157))))</formula>
    </cfRule>
  </conditionalFormatting>
  <conditionalFormatting sqref="E157">
    <cfRule type="containsText" dxfId="0" priority="236" operator="containsText" text="fnd">
      <formula>NOT(ISERROR(SEARCH(("fnd"),(E157))))</formula>
    </cfRule>
  </conditionalFormatting>
  <conditionalFormatting sqref="E165">
    <cfRule type="containsText" dxfId="2" priority="237" operator="containsText" text="Str">
      <formula>NOT(ISERROR(SEARCH(("Str"),(E165))))</formula>
    </cfRule>
  </conditionalFormatting>
  <conditionalFormatting sqref="E165">
    <cfRule type="containsText" dxfId="3" priority="238" operator="containsText" text="Ere">
      <formula>NOT(ISERROR(SEARCH(("Ere"),(E165))))</formula>
    </cfRule>
  </conditionalFormatting>
  <conditionalFormatting sqref="E165">
    <cfRule type="containsText" dxfId="1" priority="239" operator="containsText" text="Ear">
      <formula>NOT(ISERROR(SEARCH(("Ear"),(E165))))</formula>
    </cfRule>
  </conditionalFormatting>
  <conditionalFormatting sqref="E165">
    <cfRule type="containsText" dxfId="0" priority="240" operator="containsText" text="fnd">
      <formula>NOT(ISERROR(SEARCH(("fnd"),(E165))))</formula>
    </cfRule>
  </conditionalFormatting>
  <conditionalFormatting sqref="E173">
    <cfRule type="containsText" dxfId="2" priority="241" operator="containsText" text="Str">
      <formula>NOT(ISERROR(SEARCH(("Str"),(E173))))</formula>
    </cfRule>
  </conditionalFormatting>
  <conditionalFormatting sqref="E173">
    <cfRule type="containsText" dxfId="3" priority="242" operator="containsText" text="Ere">
      <formula>NOT(ISERROR(SEARCH(("Ere"),(E173))))</formula>
    </cfRule>
  </conditionalFormatting>
  <conditionalFormatting sqref="E173">
    <cfRule type="containsText" dxfId="1" priority="243" operator="containsText" text="Ear">
      <formula>NOT(ISERROR(SEARCH(("Ear"),(E173))))</formula>
    </cfRule>
  </conditionalFormatting>
  <conditionalFormatting sqref="E173">
    <cfRule type="containsText" dxfId="0" priority="244" operator="containsText" text="fnd">
      <formula>NOT(ISERROR(SEARCH(("fnd"),(E173))))</formula>
    </cfRule>
  </conditionalFormatting>
  <conditionalFormatting sqref="E181">
    <cfRule type="containsText" dxfId="2" priority="245" operator="containsText" text="Str">
      <formula>NOT(ISERROR(SEARCH(("Str"),(E181))))</formula>
    </cfRule>
  </conditionalFormatting>
  <conditionalFormatting sqref="E181">
    <cfRule type="containsText" dxfId="3" priority="246" operator="containsText" text="Ere">
      <formula>NOT(ISERROR(SEARCH(("Ere"),(E181))))</formula>
    </cfRule>
  </conditionalFormatting>
  <conditionalFormatting sqref="E181">
    <cfRule type="containsText" dxfId="1" priority="247" operator="containsText" text="Ear">
      <formula>NOT(ISERROR(SEARCH(("Ear"),(E181))))</formula>
    </cfRule>
  </conditionalFormatting>
  <conditionalFormatting sqref="E181">
    <cfRule type="containsText" dxfId="0" priority="248" operator="containsText" text="fnd">
      <formula>NOT(ISERROR(SEARCH(("fnd"),(E181))))</formula>
    </cfRule>
  </conditionalFormatting>
  <conditionalFormatting sqref="E196">
    <cfRule type="containsText" dxfId="2" priority="249" operator="containsText" text="Str">
      <formula>NOT(ISERROR(SEARCH(("Str"),(E196))))</formula>
    </cfRule>
  </conditionalFormatting>
  <conditionalFormatting sqref="E196">
    <cfRule type="containsText" dxfId="3" priority="250" operator="containsText" text="Ere">
      <formula>NOT(ISERROR(SEARCH(("Ere"),(E196))))</formula>
    </cfRule>
  </conditionalFormatting>
  <conditionalFormatting sqref="E196">
    <cfRule type="containsText" dxfId="1" priority="251" operator="containsText" text="Ear">
      <formula>NOT(ISERROR(SEARCH(("Ear"),(E196))))</formula>
    </cfRule>
  </conditionalFormatting>
  <conditionalFormatting sqref="E196">
    <cfRule type="containsText" dxfId="0" priority="252" operator="containsText" text="fnd">
      <formula>NOT(ISERROR(SEARCH(("fnd"),(E196))))</formula>
    </cfRule>
  </conditionalFormatting>
  <conditionalFormatting sqref="E30:F30">
    <cfRule type="containsText" dxfId="2" priority="253" operator="containsText" text="Str">
      <formula>NOT(ISERROR(SEARCH(("Str"),(E30))))</formula>
    </cfRule>
  </conditionalFormatting>
  <conditionalFormatting sqref="E30:F30">
    <cfRule type="containsText" dxfId="3" priority="254" operator="containsText" text="Ere">
      <formula>NOT(ISERROR(SEARCH(("Ere"),(E30))))</formula>
    </cfRule>
  </conditionalFormatting>
  <conditionalFormatting sqref="E30:F30">
    <cfRule type="containsText" dxfId="1" priority="255" operator="containsText" text="Ear">
      <formula>NOT(ISERROR(SEARCH(("Ear"),(E30))))</formula>
    </cfRule>
  </conditionalFormatting>
  <conditionalFormatting sqref="E30:F30">
    <cfRule type="containsText" dxfId="0" priority="256" operator="containsText" text="fnd">
      <formula>NOT(ISERROR(SEARCH(("fnd"),(E30))))</formula>
    </cfRule>
  </conditionalFormatting>
  <conditionalFormatting sqref="E46:F46">
    <cfRule type="containsText" dxfId="2" priority="257" operator="containsText" text="Str">
      <formula>NOT(ISERROR(SEARCH(("Str"),(E46))))</formula>
    </cfRule>
  </conditionalFormatting>
  <conditionalFormatting sqref="E46:F46">
    <cfRule type="containsText" dxfId="3" priority="258" operator="containsText" text="Ere">
      <formula>NOT(ISERROR(SEARCH(("Ere"),(E46))))</formula>
    </cfRule>
  </conditionalFormatting>
  <conditionalFormatting sqref="E46:F46">
    <cfRule type="containsText" dxfId="1" priority="259" operator="containsText" text="Ear">
      <formula>NOT(ISERROR(SEARCH(("Ear"),(E46))))</formula>
    </cfRule>
  </conditionalFormatting>
  <conditionalFormatting sqref="E46:F46">
    <cfRule type="containsText" dxfId="0" priority="260" operator="containsText" text="fnd">
      <formula>NOT(ISERROR(SEARCH(("fnd"),(E46))))</formula>
    </cfRule>
  </conditionalFormatting>
  <conditionalFormatting sqref="E62:F62">
    <cfRule type="containsText" dxfId="2" priority="261" operator="containsText" text="Str">
      <formula>NOT(ISERROR(SEARCH(("Str"),(E62))))</formula>
    </cfRule>
  </conditionalFormatting>
  <conditionalFormatting sqref="E62:F62">
    <cfRule type="containsText" dxfId="3" priority="262" operator="containsText" text="Ere">
      <formula>NOT(ISERROR(SEARCH(("Ere"),(E62))))</formula>
    </cfRule>
  </conditionalFormatting>
  <conditionalFormatting sqref="E62:F62">
    <cfRule type="containsText" dxfId="1" priority="263" operator="containsText" text="Ear">
      <formula>NOT(ISERROR(SEARCH(("Ear"),(E62))))</formula>
    </cfRule>
  </conditionalFormatting>
  <conditionalFormatting sqref="E62:F62">
    <cfRule type="containsText" dxfId="0" priority="264" operator="containsText" text="fnd">
      <formula>NOT(ISERROR(SEARCH(("fnd"),(E62))))</formula>
    </cfRule>
  </conditionalFormatting>
  <conditionalFormatting sqref="E94:F94">
    <cfRule type="containsText" dxfId="2" priority="265" operator="containsText" text="Str">
      <formula>NOT(ISERROR(SEARCH(("Str"),(E94))))</formula>
    </cfRule>
  </conditionalFormatting>
  <conditionalFormatting sqref="E94:F94">
    <cfRule type="containsText" dxfId="3" priority="266" operator="containsText" text="Ere">
      <formula>NOT(ISERROR(SEARCH(("Ere"),(E94))))</formula>
    </cfRule>
  </conditionalFormatting>
  <conditionalFormatting sqref="E94:F94">
    <cfRule type="containsText" dxfId="1" priority="267" operator="containsText" text="Ear">
      <formula>NOT(ISERROR(SEARCH(("Ear"),(E94))))</formula>
    </cfRule>
  </conditionalFormatting>
  <conditionalFormatting sqref="E94:F94">
    <cfRule type="containsText" dxfId="0" priority="268" operator="containsText" text="fnd">
      <formula>NOT(ISERROR(SEARCH(("fnd"),(E94))))</formula>
    </cfRule>
  </conditionalFormatting>
  <conditionalFormatting sqref="E102:F102">
    <cfRule type="containsText" dxfId="2" priority="269" operator="containsText" text="Str">
      <formula>NOT(ISERROR(SEARCH(("Str"),(E102))))</formula>
    </cfRule>
  </conditionalFormatting>
  <conditionalFormatting sqref="E102:F102">
    <cfRule type="containsText" dxfId="3" priority="270" operator="containsText" text="Ere">
      <formula>NOT(ISERROR(SEARCH(("Ere"),(E102))))</formula>
    </cfRule>
  </conditionalFormatting>
  <conditionalFormatting sqref="E102:F102">
    <cfRule type="containsText" dxfId="1" priority="271" operator="containsText" text="Ear">
      <formula>NOT(ISERROR(SEARCH(("Ear"),(E102))))</formula>
    </cfRule>
  </conditionalFormatting>
  <conditionalFormatting sqref="E102:F102">
    <cfRule type="containsText" dxfId="0" priority="272" operator="containsText" text="fnd">
      <formula>NOT(ISERROR(SEARCH(("fnd"),(E102))))</formula>
    </cfRule>
  </conditionalFormatting>
  <conditionalFormatting sqref="E134:F134">
    <cfRule type="containsText" dxfId="2" priority="273" operator="containsText" text="Str">
      <formula>NOT(ISERROR(SEARCH(("Str"),(E134))))</formula>
    </cfRule>
  </conditionalFormatting>
  <conditionalFormatting sqref="E134:F134">
    <cfRule type="containsText" dxfId="3" priority="274" operator="containsText" text="Ere">
      <formula>NOT(ISERROR(SEARCH(("Ere"),(E134))))</formula>
    </cfRule>
  </conditionalFormatting>
  <conditionalFormatting sqref="E134:F134">
    <cfRule type="containsText" dxfId="1" priority="275" operator="containsText" text="Ear">
      <formula>NOT(ISERROR(SEARCH(("Ear"),(E134))))</formula>
    </cfRule>
  </conditionalFormatting>
  <conditionalFormatting sqref="E134:F134">
    <cfRule type="containsText" dxfId="0" priority="276" operator="containsText" text="fnd">
      <formula>NOT(ISERROR(SEARCH(("fnd"),(E134))))</formula>
    </cfRule>
  </conditionalFormatting>
  <conditionalFormatting sqref="E142:F142">
    <cfRule type="containsText" dxfId="2" priority="277" operator="containsText" text="Str">
      <formula>NOT(ISERROR(SEARCH(("Str"),(E142))))</formula>
    </cfRule>
  </conditionalFormatting>
  <conditionalFormatting sqref="E142:F142">
    <cfRule type="containsText" dxfId="3" priority="278" operator="containsText" text="Ere">
      <formula>NOT(ISERROR(SEARCH(("Ere"),(E142))))</formula>
    </cfRule>
  </conditionalFormatting>
  <conditionalFormatting sqref="E142:F142">
    <cfRule type="containsText" dxfId="1" priority="279" operator="containsText" text="Ear">
      <formula>NOT(ISERROR(SEARCH(("Ear"),(E142))))</formula>
    </cfRule>
  </conditionalFormatting>
  <conditionalFormatting sqref="E142:F142">
    <cfRule type="containsText" dxfId="0" priority="280" operator="containsText" text="fnd">
      <formula>NOT(ISERROR(SEARCH(("fnd"),(E142))))</formula>
    </cfRule>
  </conditionalFormatting>
  <conditionalFormatting sqref="E158:F158">
    <cfRule type="containsText" dxfId="2" priority="281" operator="containsText" text="Str">
      <formula>NOT(ISERROR(SEARCH(("Str"),(E158))))</formula>
    </cfRule>
  </conditionalFormatting>
  <conditionalFormatting sqref="E158:F158">
    <cfRule type="containsText" dxfId="3" priority="282" operator="containsText" text="Ere">
      <formula>NOT(ISERROR(SEARCH(("Ere"),(E158))))</formula>
    </cfRule>
  </conditionalFormatting>
  <conditionalFormatting sqref="E158:F158">
    <cfRule type="containsText" dxfId="1" priority="283" operator="containsText" text="Ear">
      <formula>NOT(ISERROR(SEARCH(("Ear"),(E158))))</formula>
    </cfRule>
  </conditionalFormatting>
  <conditionalFormatting sqref="E158:F158">
    <cfRule type="containsText" dxfId="0" priority="284" operator="containsText" text="fnd">
      <formula>NOT(ISERROR(SEARCH(("fnd"),(E158))))</formula>
    </cfRule>
  </conditionalFormatting>
  <conditionalFormatting sqref="E166:F166">
    <cfRule type="containsText" dxfId="2" priority="285" operator="containsText" text="Str">
      <formula>NOT(ISERROR(SEARCH(("Str"),(E166))))</formula>
    </cfRule>
  </conditionalFormatting>
  <conditionalFormatting sqref="E166:F166">
    <cfRule type="containsText" dxfId="3" priority="286" operator="containsText" text="Ere">
      <formula>NOT(ISERROR(SEARCH(("Ere"),(E166))))</formula>
    </cfRule>
  </conditionalFormatting>
  <conditionalFormatting sqref="E166:F166">
    <cfRule type="containsText" dxfId="1" priority="287" operator="containsText" text="Ear">
      <formula>NOT(ISERROR(SEARCH(("Ear"),(E166))))</formula>
    </cfRule>
  </conditionalFormatting>
  <conditionalFormatting sqref="E166:F166">
    <cfRule type="containsText" dxfId="0" priority="288" operator="containsText" text="fnd">
      <formula>NOT(ISERROR(SEARCH(("fnd"),(E166))))</formula>
    </cfRule>
  </conditionalFormatting>
  <conditionalFormatting sqref="E174:F174">
    <cfRule type="containsText" dxfId="2" priority="289" operator="containsText" text="Str">
      <formula>NOT(ISERROR(SEARCH(("Str"),(E174))))</formula>
    </cfRule>
  </conditionalFormatting>
  <conditionalFormatting sqref="E174:F174">
    <cfRule type="containsText" dxfId="3" priority="290" operator="containsText" text="Ere">
      <formula>NOT(ISERROR(SEARCH(("Ere"),(E174))))</formula>
    </cfRule>
  </conditionalFormatting>
  <conditionalFormatting sqref="E174:F174">
    <cfRule type="containsText" dxfId="1" priority="291" operator="containsText" text="Ear">
      <formula>NOT(ISERROR(SEARCH(("Ear"),(E174))))</formula>
    </cfRule>
  </conditionalFormatting>
  <conditionalFormatting sqref="E174:F174">
    <cfRule type="containsText" dxfId="0" priority="292" operator="containsText" text="fnd">
      <formula>NOT(ISERROR(SEARCH(("fnd"),(E174))))</formula>
    </cfRule>
  </conditionalFormatting>
  <conditionalFormatting sqref="E182:F182">
    <cfRule type="containsText" dxfId="2" priority="293" operator="containsText" text="Str">
      <formula>NOT(ISERROR(SEARCH(("Str"),(E182))))</formula>
    </cfRule>
  </conditionalFormatting>
  <conditionalFormatting sqref="E182:F182">
    <cfRule type="containsText" dxfId="3" priority="294" operator="containsText" text="Ere">
      <formula>NOT(ISERROR(SEARCH(("Ere"),(E182))))</formula>
    </cfRule>
  </conditionalFormatting>
  <conditionalFormatting sqref="E182:F182">
    <cfRule type="containsText" dxfId="1" priority="295" operator="containsText" text="Ear">
      <formula>NOT(ISERROR(SEARCH(("Ear"),(E182))))</formula>
    </cfRule>
  </conditionalFormatting>
  <conditionalFormatting sqref="E182:F182">
    <cfRule type="containsText" dxfId="0" priority="296" operator="containsText" text="fnd">
      <formula>NOT(ISERROR(SEARCH(("fnd"),(E182))))</formula>
    </cfRule>
  </conditionalFormatting>
  <conditionalFormatting sqref="E197:F197">
    <cfRule type="containsText" dxfId="2" priority="297" operator="containsText" text="Str">
      <formula>NOT(ISERROR(SEARCH(("Str"),(E197))))</formula>
    </cfRule>
  </conditionalFormatting>
  <conditionalFormatting sqref="E197:F197">
    <cfRule type="containsText" dxfId="3" priority="298" operator="containsText" text="Ere">
      <formula>NOT(ISERROR(SEARCH(("Ere"),(E197))))</formula>
    </cfRule>
  </conditionalFormatting>
  <conditionalFormatting sqref="E197:F197">
    <cfRule type="containsText" dxfId="1" priority="299" operator="containsText" text="Ear">
      <formula>NOT(ISERROR(SEARCH(("Ear"),(E197))))</formula>
    </cfRule>
  </conditionalFormatting>
  <conditionalFormatting sqref="E197:F197">
    <cfRule type="containsText" dxfId="0" priority="300" operator="containsText" text="fnd">
      <formula>NOT(ISERROR(SEARCH(("fnd"),(E197))))</formula>
    </cfRule>
  </conditionalFormatting>
  <conditionalFormatting sqref="F6">
    <cfRule type="containsText" dxfId="2" priority="301" operator="containsText" text="Str">
      <formula>NOT(ISERROR(SEARCH(("Str"),(F6))))</formula>
    </cfRule>
  </conditionalFormatting>
  <conditionalFormatting sqref="F6">
    <cfRule type="containsText" dxfId="3" priority="302" operator="containsText" text="Ere">
      <formula>NOT(ISERROR(SEARCH(("Ere"),(F6))))</formula>
    </cfRule>
  </conditionalFormatting>
  <conditionalFormatting sqref="F6">
    <cfRule type="containsText" dxfId="1" priority="303" operator="containsText" text="Ear">
      <formula>NOT(ISERROR(SEARCH(("Ear"),(F6))))</formula>
    </cfRule>
  </conditionalFormatting>
  <conditionalFormatting sqref="F6">
    <cfRule type="containsText" dxfId="0" priority="304" operator="containsText" text="fnd">
      <formula>NOT(ISERROR(SEARCH(("fnd"),(F6))))</formula>
    </cfRule>
  </conditionalFormatting>
  <conditionalFormatting sqref="F14">
    <cfRule type="containsText" dxfId="2" priority="305" operator="containsText" text="Str">
      <formula>NOT(ISERROR(SEARCH(("Str"),(F14))))</formula>
    </cfRule>
  </conditionalFormatting>
  <conditionalFormatting sqref="F14">
    <cfRule type="containsText" dxfId="3" priority="306" operator="containsText" text="Ere">
      <formula>NOT(ISERROR(SEARCH(("Ere"),(F14))))</formula>
    </cfRule>
  </conditionalFormatting>
  <conditionalFormatting sqref="F14">
    <cfRule type="containsText" dxfId="1" priority="307" operator="containsText" text="Ear">
      <formula>NOT(ISERROR(SEARCH(("Ear"),(F14))))</formula>
    </cfRule>
  </conditionalFormatting>
  <conditionalFormatting sqref="F14">
    <cfRule type="containsText" dxfId="0" priority="308" operator="containsText" text="fnd">
      <formula>NOT(ISERROR(SEARCH(("fnd"),(F14))))</formula>
    </cfRule>
  </conditionalFormatting>
  <conditionalFormatting sqref="F22">
    <cfRule type="containsText" dxfId="2" priority="309" operator="containsText" text="Str">
      <formula>NOT(ISERROR(SEARCH(("Str"),(F22))))</formula>
    </cfRule>
  </conditionalFormatting>
  <conditionalFormatting sqref="F22">
    <cfRule type="containsText" dxfId="3" priority="310" operator="containsText" text="Ere">
      <formula>NOT(ISERROR(SEARCH(("Ere"),(F22))))</formula>
    </cfRule>
  </conditionalFormatting>
  <conditionalFormatting sqref="F22">
    <cfRule type="containsText" dxfId="1" priority="311" operator="containsText" text="Ear">
      <formula>NOT(ISERROR(SEARCH(("Ear"),(F22))))</formula>
    </cfRule>
  </conditionalFormatting>
  <conditionalFormatting sqref="F22">
    <cfRule type="containsText" dxfId="0" priority="312" operator="containsText" text="fnd">
      <formula>NOT(ISERROR(SEARCH(("fnd"),(F22))))</formula>
    </cfRule>
  </conditionalFormatting>
  <conditionalFormatting sqref="F38">
    <cfRule type="containsText" dxfId="2" priority="313" operator="containsText" text="Str">
      <formula>NOT(ISERROR(SEARCH(("Str"),(F38))))</formula>
    </cfRule>
  </conditionalFormatting>
  <conditionalFormatting sqref="F38">
    <cfRule type="containsText" dxfId="3" priority="314" operator="containsText" text="Ere">
      <formula>NOT(ISERROR(SEARCH(("Ere"),(F38))))</formula>
    </cfRule>
  </conditionalFormatting>
  <conditionalFormatting sqref="F38">
    <cfRule type="containsText" dxfId="1" priority="315" operator="containsText" text="Ear">
      <formula>NOT(ISERROR(SEARCH(("Ear"),(F38))))</formula>
    </cfRule>
  </conditionalFormatting>
  <conditionalFormatting sqref="F38">
    <cfRule type="containsText" dxfId="0" priority="316" operator="containsText" text="fnd">
      <formula>NOT(ISERROR(SEARCH(("fnd"),(F38))))</formula>
    </cfRule>
  </conditionalFormatting>
  <conditionalFormatting sqref="F54">
    <cfRule type="containsText" dxfId="2" priority="317" operator="containsText" text="Str">
      <formula>NOT(ISERROR(SEARCH(("Str"),(F54))))</formula>
    </cfRule>
  </conditionalFormatting>
  <conditionalFormatting sqref="F54">
    <cfRule type="containsText" dxfId="3" priority="318" operator="containsText" text="Ere">
      <formula>NOT(ISERROR(SEARCH(("Ere"),(F54))))</formula>
    </cfRule>
  </conditionalFormatting>
  <conditionalFormatting sqref="F54">
    <cfRule type="containsText" dxfId="1" priority="319" operator="containsText" text="Ear">
      <formula>NOT(ISERROR(SEARCH(("Ear"),(F54))))</formula>
    </cfRule>
  </conditionalFormatting>
  <conditionalFormatting sqref="F54">
    <cfRule type="containsText" dxfId="0" priority="320" operator="containsText" text="fnd">
      <formula>NOT(ISERROR(SEARCH(("fnd"),(F54))))</formula>
    </cfRule>
  </conditionalFormatting>
  <conditionalFormatting sqref="F78">
    <cfRule type="containsText" dxfId="2" priority="321" operator="containsText" text="Str">
      <formula>NOT(ISERROR(SEARCH(("Str"),(F78))))</formula>
    </cfRule>
  </conditionalFormatting>
  <conditionalFormatting sqref="F78">
    <cfRule type="containsText" dxfId="3" priority="322" operator="containsText" text="Ere">
      <formula>NOT(ISERROR(SEARCH(("Ere"),(F78))))</formula>
    </cfRule>
  </conditionalFormatting>
  <conditionalFormatting sqref="F78">
    <cfRule type="containsText" dxfId="1" priority="323" operator="containsText" text="Ear">
      <formula>NOT(ISERROR(SEARCH(("Ear"),(F78))))</formula>
    </cfRule>
  </conditionalFormatting>
  <conditionalFormatting sqref="F78">
    <cfRule type="containsText" dxfId="0" priority="324" operator="containsText" text="fnd">
      <formula>NOT(ISERROR(SEARCH(("fnd"),(F78))))</formula>
    </cfRule>
  </conditionalFormatting>
  <conditionalFormatting sqref="F188">
    <cfRule type="containsText" dxfId="2" priority="325" operator="containsText" text="Str">
      <formula>NOT(ISERROR(SEARCH(("Str"),(F188))))</formula>
    </cfRule>
  </conditionalFormatting>
  <conditionalFormatting sqref="F188">
    <cfRule type="containsText" dxfId="3" priority="326" operator="containsText" text="Ere">
      <formula>NOT(ISERROR(SEARCH(("Ere"),(F188))))</formula>
    </cfRule>
  </conditionalFormatting>
  <conditionalFormatting sqref="F188">
    <cfRule type="containsText" dxfId="1" priority="327" operator="containsText" text="Ear">
      <formula>NOT(ISERROR(SEARCH(("Ear"),(F188))))</formula>
    </cfRule>
  </conditionalFormatting>
  <conditionalFormatting sqref="F188">
    <cfRule type="containsText" dxfId="0" priority="328" operator="containsText" text="fnd">
      <formula>NOT(ISERROR(SEARCH(("fnd"),(F188))))</formula>
    </cfRule>
  </conditionalFormatting>
  <conditionalFormatting sqref="G122 H130 H138 H162 H170 H178">
    <cfRule type="containsText" dxfId="2" priority="329" operator="containsText" text="Str">
      <formula>NOT(ISERROR(SEARCH(("Str"),(G122))))</formula>
    </cfRule>
  </conditionalFormatting>
  <conditionalFormatting sqref="G122 H130 H138 H162 H170 H178">
    <cfRule type="containsText" dxfId="3" priority="330" operator="containsText" text="Ere">
      <formula>NOT(ISERROR(SEARCH(("Ere"),(G122))))</formula>
    </cfRule>
  </conditionalFormatting>
  <conditionalFormatting sqref="G122 H130 H138 H162 H170 H178">
    <cfRule type="containsText" dxfId="1" priority="331" operator="containsText" text="Ear">
      <formula>NOT(ISERROR(SEARCH(("Ear"),(G122))))</formula>
    </cfRule>
  </conditionalFormatting>
  <conditionalFormatting sqref="G122 H130 H138 H162 H170 H178">
    <cfRule type="containsText" dxfId="0" priority="332" operator="containsText" text="fnd">
      <formula>NOT(ISERROR(SEARCH(("fnd"),(G122))))</formula>
    </cfRule>
  </conditionalFormatting>
  <conditionalFormatting sqref="H5:H6">
    <cfRule type="containsText" dxfId="2" priority="333" operator="containsText" text="Str">
      <formula>NOT(ISERROR(SEARCH(("Str"),(H5))))</formula>
    </cfRule>
  </conditionalFormatting>
  <conditionalFormatting sqref="H5:H6">
    <cfRule type="containsText" dxfId="3" priority="334" operator="containsText" text="Ere">
      <formula>NOT(ISERROR(SEARCH(("Ere"),(H5))))</formula>
    </cfRule>
  </conditionalFormatting>
  <conditionalFormatting sqref="H5:H6">
    <cfRule type="containsText" dxfId="1" priority="335" operator="containsText" text="Ear">
      <formula>NOT(ISERROR(SEARCH(("Ear"),(H5))))</formula>
    </cfRule>
  </conditionalFormatting>
  <conditionalFormatting sqref="H5:H6">
    <cfRule type="containsText" dxfId="0" priority="336" operator="containsText" text="fnd">
      <formula>NOT(ISERROR(SEARCH(("fnd"),(H5))))</formula>
    </cfRule>
  </conditionalFormatting>
  <conditionalFormatting sqref="H13:H14">
    <cfRule type="containsText" dxfId="2" priority="337" operator="containsText" text="Str">
      <formula>NOT(ISERROR(SEARCH(("Str"),(H13))))</formula>
    </cfRule>
  </conditionalFormatting>
  <conditionalFormatting sqref="H13:H14">
    <cfRule type="containsText" dxfId="3" priority="338" operator="containsText" text="Ere">
      <formula>NOT(ISERROR(SEARCH(("Ere"),(H13))))</formula>
    </cfRule>
  </conditionalFormatting>
  <conditionalFormatting sqref="H13:H14">
    <cfRule type="containsText" dxfId="1" priority="339" operator="containsText" text="Ear">
      <formula>NOT(ISERROR(SEARCH(("Ear"),(H13))))</formula>
    </cfRule>
  </conditionalFormatting>
  <conditionalFormatting sqref="H13:H14">
    <cfRule type="containsText" dxfId="0" priority="340" operator="containsText" text="fnd">
      <formula>NOT(ISERROR(SEARCH(("fnd"),(H13))))</formula>
    </cfRule>
  </conditionalFormatting>
  <conditionalFormatting sqref="H21:H22">
    <cfRule type="containsText" dxfId="2" priority="341" operator="containsText" text="Str">
      <formula>NOT(ISERROR(SEARCH(("Str"),(H21))))</formula>
    </cfRule>
  </conditionalFormatting>
  <conditionalFormatting sqref="H21:H22">
    <cfRule type="containsText" dxfId="3" priority="342" operator="containsText" text="Ere">
      <formula>NOT(ISERROR(SEARCH(("Ere"),(H21))))</formula>
    </cfRule>
  </conditionalFormatting>
  <conditionalFormatting sqref="H21:H22">
    <cfRule type="containsText" dxfId="1" priority="343" operator="containsText" text="Ear">
      <formula>NOT(ISERROR(SEARCH(("Ear"),(H21))))</formula>
    </cfRule>
  </conditionalFormatting>
  <conditionalFormatting sqref="H21:H22">
    <cfRule type="containsText" dxfId="0" priority="344" operator="containsText" text="fnd">
      <formula>NOT(ISERROR(SEARCH(("fnd"),(H21))))</formula>
    </cfRule>
  </conditionalFormatting>
  <conditionalFormatting sqref="H29">
    <cfRule type="containsText" dxfId="2" priority="345" operator="containsText" text="Str">
      <formula>NOT(ISERROR(SEARCH(("Str"),(H29))))</formula>
    </cfRule>
  </conditionalFormatting>
  <conditionalFormatting sqref="H29">
    <cfRule type="containsText" dxfId="3" priority="346" operator="containsText" text="Ere">
      <formula>NOT(ISERROR(SEARCH(("Ere"),(H29))))</formula>
    </cfRule>
  </conditionalFormatting>
  <conditionalFormatting sqref="H29">
    <cfRule type="containsText" dxfId="1" priority="347" operator="containsText" text="Ear">
      <formula>NOT(ISERROR(SEARCH(("Ear"),(H29))))</formula>
    </cfRule>
  </conditionalFormatting>
  <conditionalFormatting sqref="H29">
    <cfRule type="containsText" dxfId="0" priority="348" operator="containsText" text="fnd">
      <formula>NOT(ISERROR(SEARCH(("fnd"),(H29))))</formula>
    </cfRule>
  </conditionalFormatting>
  <conditionalFormatting sqref="H37:H38">
    <cfRule type="containsText" dxfId="2" priority="349" operator="containsText" text="Str">
      <formula>NOT(ISERROR(SEARCH(("Str"),(H37))))</formula>
    </cfRule>
  </conditionalFormatting>
  <conditionalFormatting sqref="H37:H38">
    <cfRule type="containsText" dxfId="3" priority="350" operator="containsText" text="Ere">
      <formula>NOT(ISERROR(SEARCH(("Ere"),(H37))))</formula>
    </cfRule>
  </conditionalFormatting>
  <conditionalFormatting sqref="H37:H38">
    <cfRule type="containsText" dxfId="1" priority="351" operator="containsText" text="Ear">
      <formula>NOT(ISERROR(SEARCH(("Ear"),(H37))))</formula>
    </cfRule>
  </conditionalFormatting>
  <conditionalFormatting sqref="H37:H38">
    <cfRule type="containsText" dxfId="0" priority="352" operator="containsText" text="fnd">
      <formula>NOT(ISERROR(SEARCH(("fnd"),(H37))))</formula>
    </cfRule>
  </conditionalFormatting>
  <conditionalFormatting sqref="H45">
    <cfRule type="containsText" dxfId="2" priority="353" operator="containsText" text="Str">
      <formula>NOT(ISERROR(SEARCH(("Str"),(H45))))</formula>
    </cfRule>
  </conditionalFormatting>
  <conditionalFormatting sqref="H45">
    <cfRule type="containsText" dxfId="3" priority="354" operator="containsText" text="Ere">
      <formula>NOT(ISERROR(SEARCH(("Ere"),(H45))))</formula>
    </cfRule>
  </conditionalFormatting>
  <conditionalFormatting sqref="H45">
    <cfRule type="containsText" dxfId="1" priority="355" operator="containsText" text="Ear">
      <formula>NOT(ISERROR(SEARCH(("Ear"),(H45))))</formula>
    </cfRule>
  </conditionalFormatting>
  <conditionalFormatting sqref="H45">
    <cfRule type="containsText" dxfId="0" priority="356" operator="containsText" text="fnd">
      <formula>NOT(ISERROR(SEARCH(("fnd"),(H45))))</formula>
    </cfRule>
  </conditionalFormatting>
  <conditionalFormatting sqref="H61">
    <cfRule type="containsText" dxfId="2" priority="357" operator="containsText" text="Str">
      <formula>NOT(ISERROR(SEARCH(("Str"),(H61))))</formula>
    </cfRule>
  </conditionalFormatting>
  <conditionalFormatting sqref="H61">
    <cfRule type="containsText" dxfId="3" priority="358" operator="containsText" text="Ere">
      <formula>NOT(ISERROR(SEARCH(("Ere"),(H61))))</formula>
    </cfRule>
  </conditionalFormatting>
  <conditionalFormatting sqref="H61">
    <cfRule type="containsText" dxfId="1" priority="359" operator="containsText" text="Ear">
      <formula>NOT(ISERROR(SEARCH(("Ear"),(H61))))</formula>
    </cfRule>
  </conditionalFormatting>
  <conditionalFormatting sqref="H61">
    <cfRule type="containsText" dxfId="0" priority="360" operator="containsText" text="fnd">
      <formula>NOT(ISERROR(SEARCH(("fnd"),(H61))))</formula>
    </cfRule>
  </conditionalFormatting>
  <conditionalFormatting sqref="H69">
    <cfRule type="containsText" dxfId="2" priority="361" operator="containsText" text="Str">
      <formula>NOT(ISERROR(SEARCH(("Str"),(H69))))</formula>
    </cfRule>
  </conditionalFormatting>
  <conditionalFormatting sqref="H69">
    <cfRule type="containsText" dxfId="3" priority="362" operator="containsText" text="Ere">
      <formula>NOT(ISERROR(SEARCH(("Ere"),(H69))))</formula>
    </cfRule>
  </conditionalFormatting>
  <conditionalFormatting sqref="H69">
    <cfRule type="containsText" dxfId="1" priority="363" operator="containsText" text="Ear">
      <formula>NOT(ISERROR(SEARCH(("Ear"),(H69))))</formula>
    </cfRule>
  </conditionalFormatting>
  <conditionalFormatting sqref="H69">
    <cfRule type="containsText" dxfId="0" priority="364" operator="containsText" text="fnd">
      <formula>NOT(ISERROR(SEARCH(("fnd"),(H69))))</formula>
    </cfRule>
  </conditionalFormatting>
  <conditionalFormatting sqref="H86 K86:L86 N86:O86">
    <cfRule type="containsText" dxfId="2" priority="365" operator="containsText" text="Str">
      <formula>NOT(ISERROR(SEARCH(("Str"),(H86))))</formula>
    </cfRule>
  </conditionalFormatting>
  <conditionalFormatting sqref="H86 K86:L86 N86:O86">
    <cfRule type="containsText" dxfId="3" priority="366" operator="containsText" text="Ere">
      <formula>NOT(ISERROR(SEARCH(("Ere"),(H86))))</formula>
    </cfRule>
  </conditionalFormatting>
  <conditionalFormatting sqref="H86 K86:L86 N86:O86">
    <cfRule type="containsText" dxfId="1" priority="367" operator="containsText" text="Ear">
      <formula>NOT(ISERROR(SEARCH(("Ear"),(H86))))</formula>
    </cfRule>
  </conditionalFormatting>
  <conditionalFormatting sqref="H86 K86:L86 N86:O86">
    <cfRule type="containsText" dxfId="0" priority="368" operator="containsText" text="fnd">
      <formula>NOT(ISERROR(SEARCH(("fnd"),(H86))))</formula>
    </cfRule>
  </conditionalFormatting>
  <conditionalFormatting sqref="H93">
    <cfRule type="containsText" dxfId="2" priority="369" operator="containsText" text="Str">
      <formula>NOT(ISERROR(SEARCH(("Str"),(H93))))</formula>
    </cfRule>
  </conditionalFormatting>
  <conditionalFormatting sqref="H93">
    <cfRule type="containsText" dxfId="3" priority="370" operator="containsText" text="Ere">
      <formula>NOT(ISERROR(SEARCH(("Ere"),(H93))))</formula>
    </cfRule>
  </conditionalFormatting>
  <conditionalFormatting sqref="H93">
    <cfRule type="containsText" dxfId="1" priority="371" operator="containsText" text="Ear">
      <formula>NOT(ISERROR(SEARCH(("Ear"),(H93))))</formula>
    </cfRule>
  </conditionalFormatting>
  <conditionalFormatting sqref="H93">
    <cfRule type="containsText" dxfId="0" priority="372" operator="containsText" text="fnd">
      <formula>NOT(ISERROR(SEARCH(("fnd"),(H93))))</formula>
    </cfRule>
  </conditionalFormatting>
  <conditionalFormatting sqref="H101">
    <cfRule type="containsText" dxfId="2" priority="373" operator="containsText" text="Str">
      <formula>NOT(ISERROR(SEARCH(("Str"),(H101))))</formula>
    </cfRule>
  </conditionalFormatting>
  <conditionalFormatting sqref="H101">
    <cfRule type="containsText" dxfId="3" priority="374" operator="containsText" text="Ere">
      <formula>NOT(ISERROR(SEARCH(("Ere"),(H101))))</formula>
    </cfRule>
  </conditionalFormatting>
  <conditionalFormatting sqref="H101">
    <cfRule type="containsText" dxfId="1" priority="375" operator="containsText" text="Ear">
      <formula>NOT(ISERROR(SEARCH(("Ear"),(H101))))</formula>
    </cfRule>
  </conditionalFormatting>
  <conditionalFormatting sqref="H101">
    <cfRule type="containsText" dxfId="0" priority="376" operator="containsText" text="fnd">
      <formula>NOT(ISERROR(SEARCH(("fnd"),(H101))))</formula>
    </cfRule>
  </conditionalFormatting>
  <conditionalFormatting sqref="H109">
    <cfRule type="containsText" dxfId="2" priority="377" operator="containsText" text="Str">
      <formula>NOT(ISERROR(SEARCH(("Str"),(H109))))</formula>
    </cfRule>
  </conditionalFormatting>
  <conditionalFormatting sqref="H109">
    <cfRule type="containsText" dxfId="3" priority="378" operator="containsText" text="Ere">
      <formula>NOT(ISERROR(SEARCH(("Ere"),(H109))))</formula>
    </cfRule>
  </conditionalFormatting>
  <conditionalFormatting sqref="H109">
    <cfRule type="containsText" dxfId="1" priority="379" operator="containsText" text="Ear">
      <formula>NOT(ISERROR(SEARCH(("Ear"),(H109))))</formula>
    </cfRule>
  </conditionalFormatting>
  <conditionalFormatting sqref="H109">
    <cfRule type="containsText" dxfId="0" priority="380" operator="containsText" text="fnd">
      <formula>NOT(ISERROR(SEARCH(("fnd"),(H109))))</formula>
    </cfRule>
  </conditionalFormatting>
  <conditionalFormatting sqref="H117">
    <cfRule type="containsText" dxfId="2" priority="381" operator="containsText" text="Str">
      <formula>NOT(ISERROR(SEARCH(("Str"),(H117))))</formula>
    </cfRule>
  </conditionalFormatting>
  <conditionalFormatting sqref="H117">
    <cfRule type="containsText" dxfId="3" priority="382" operator="containsText" text="Ere">
      <formula>NOT(ISERROR(SEARCH(("Ere"),(H117))))</formula>
    </cfRule>
  </conditionalFormatting>
  <conditionalFormatting sqref="H117">
    <cfRule type="containsText" dxfId="1" priority="383" operator="containsText" text="Ear">
      <formula>NOT(ISERROR(SEARCH(("Ear"),(H117))))</formula>
    </cfRule>
  </conditionalFormatting>
  <conditionalFormatting sqref="H117">
    <cfRule type="containsText" dxfId="0" priority="384" operator="containsText" text="fnd">
      <formula>NOT(ISERROR(SEARCH(("fnd"),(H117))))</formula>
    </cfRule>
  </conditionalFormatting>
  <conditionalFormatting sqref="H125">
    <cfRule type="containsText" dxfId="2" priority="385" operator="containsText" text="Str">
      <formula>NOT(ISERROR(SEARCH(("Str"),(H125))))</formula>
    </cfRule>
  </conditionalFormatting>
  <conditionalFormatting sqref="H125">
    <cfRule type="containsText" dxfId="3" priority="386" operator="containsText" text="Ere">
      <formula>NOT(ISERROR(SEARCH(("Ere"),(H125))))</formula>
    </cfRule>
  </conditionalFormatting>
  <conditionalFormatting sqref="H125">
    <cfRule type="containsText" dxfId="1" priority="387" operator="containsText" text="Ear">
      <formula>NOT(ISERROR(SEARCH(("Ear"),(H125))))</formula>
    </cfRule>
  </conditionalFormatting>
  <conditionalFormatting sqref="H125">
    <cfRule type="containsText" dxfId="0" priority="388" operator="containsText" text="fnd">
      <formula>NOT(ISERROR(SEARCH(("fnd"),(H125))))</formula>
    </cfRule>
  </conditionalFormatting>
  <conditionalFormatting sqref="H133">
    <cfRule type="containsText" dxfId="2" priority="389" operator="containsText" text="Str">
      <formula>NOT(ISERROR(SEARCH(("Str"),(H133))))</formula>
    </cfRule>
  </conditionalFormatting>
  <conditionalFormatting sqref="H133">
    <cfRule type="containsText" dxfId="3" priority="390" operator="containsText" text="Ere">
      <formula>NOT(ISERROR(SEARCH(("Ere"),(H133))))</formula>
    </cfRule>
  </conditionalFormatting>
  <conditionalFormatting sqref="H133">
    <cfRule type="containsText" dxfId="1" priority="391" operator="containsText" text="Ear">
      <formula>NOT(ISERROR(SEARCH(("Ear"),(H133))))</formula>
    </cfRule>
  </conditionalFormatting>
  <conditionalFormatting sqref="H133">
    <cfRule type="containsText" dxfId="0" priority="392" operator="containsText" text="fnd">
      <formula>NOT(ISERROR(SEARCH(("fnd"),(H133))))</formula>
    </cfRule>
  </conditionalFormatting>
  <conditionalFormatting sqref="H141">
    <cfRule type="containsText" dxfId="2" priority="393" operator="containsText" text="Str">
      <formula>NOT(ISERROR(SEARCH(("Str"),(H141))))</formula>
    </cfRule>
  </conditionalFormatting>
  <conditionalFormatting sqref="H141">
    <cfRule type="containsText" dxfId="3" priority="394" operator="containsText" text="Ere">
      <formula>NOT(ISERROR(SEARCH(("Ere"),(H141))))</formula>
    </cfRule>
  </conditionalFormatting>
  <conditionalFormatting sqref="H141">
    <cfRule type="containsText" dxfId="1" priority="395" operator="containsText" text="Ear">
      <formula>NOT(ISERROR(SEARCH(("Ear"),(H141))))</formula>
    </cfRule>
  </conditionalFormatting>
  <conditionalFormatting sqref="H141">
    <cfRule type="containsText" dxfId="0" priority="396" operator="containsText" text="fnd">
      <formula>NOT(ISERROR(SEARCH(("fnd"),(H141))))</formula>
    </cfRule>
  </conditionalFormatting>
  <conditionalFormatting sqref="H149">
    <cfRule type="containsText" dxfId="2" priority="397" operator="containsText" text="Str">
      <formula>NOT(ISERROR(SEARCH(("Str"),(H149))))</formula>
    </cfRule>
  </conditionalFormatting>
  <conditionalFormatting sqref="H149">
    <cfRule type="containsText" dxfId="3" priority="398" operator="containsText" text="Ere">
      <formula>NOT(ISERROR(SEARCH(("Ere"),(H149))))</formula>
    </cfRule>
  </conditionalFormatting>
  <conditionalFormatting sqref="H149">
    <cfRule type="containsText" dxfId="1" priority="399" operator="containsText" text="Ear">
      <formula>NOT(ISERROR(SEARCH(("Ear"),(H149))))</formula>
    </cfRule>
  </conditionalFormatting>
  <conditionalFormatting sqref="H149">
    <cfRule type="containsText" dxfId="0" priority="400" operator="containsText" text="fnd">
      <formula>NOT(ISERROR(SEARCH(("fnd"),(H149))))</formula>
    </cfRule>
  </conditionalFormatting>
  <conditionalFormatting sqref="H157">
    <cfRule type="containsText" dxfId="2" priority="401" operator="containsText" text="Str">
      <formula>NOT(ISERROR(SEARCH(("Str"),(H157))))</formula>
    </cfRule>
  </conditionalFormatting>
  <conditionalFormatting sqref="H157">
    <cfRule type="containsText" dxfId="3" priority="402" operator="containsText" text="Ere">
      <formula>NOT(ISERROR(SEARCH(("Ere"),(H157))))</formula>
    </cfRule>
  </conditionalFormatting>
  <conditionalFormatting sqref="H157">
    <cfRule type="containsText" dxfId="1" priority="403" operator="containsText" text="Ear">
      <formula>NOT(ISERROR(SEARCH(("Ear"),(H157))))</formula>
    </cfRule>
  </conditionalFormatting>
  <conditionalFormatting sqref="H157">
    <cfRule type="containsText" dxfId="0" priority="404" operator="containsText" text="fnd">
      <formula>NOT(ISERROR(SEARCH(("fnd"),(H157))))</formula>
    </cfRule>
  </conditionalFormatting>
  <conditionalFormatting sqref="H165">
    <cfRule type="containsText" dxfId="2" priority="405" operator="containsText" text="Str">
      <formula>NOT(ISERROR(SEARCH(("Str"),(H165))))</formula>
    </cfRule>
  </conditionalFormatting>
  <conditionalFormatting sqref="H165">
    <cfRule type="containsText" dxfId="3" priority="406" operator="containsText" text="Ere">
      <formula>NOT(ISERROR(SEARCH(("Ere"),(H165))))</formula>
    </cfRule>
  </conditionalFormatting>
  <conditionalFormatting sqref="H165">
    <cfRule type="containsText" dxfId="1" priority="407" operator="containsText" text="Ear">
      <formula>NOT(ISERROR(SEARCH(("Ear"),(H165))))</formula>
    </cfRule>
  </conditionalFormatting>
  <conditionalFormatting sqref="H165">
    <cfRule type="containsText" dxfId="0" priority="408" operator="containsText" text="fnd">
      <formula>NOT(ISERROR(SEARCH(("fnd"),(H165))))</formula>
    </cfRule>
  </conditionalFormatting>
  <conditionalFormatting sqref="H173">
    <cfRule type="containsText" dxfId="2" priority="409" operator="containsText" text="Str">
      <formula>NOT(ISERROR(SEARCH(("Str"),(H173))))</formula>
    </cfRule>
  </conditionalFormatting>
  <conditionalFormatting sqref="H173">
    <cfRule type="containsText" dxfId="3" priority="410" operator="containsText" text="Ere">
      <formula>NOT(ISERROR(SEARCH(("Ere"),(H173))))</formula>
    </cfRule>
  </conditionalFormatting>
  <conditionalFormatting sqref="H173">
    <cfRule type="containsText" dxfId="1" priority="411" operator="containsText" text="Ear">
      <formula>NOT(ISERROR(SEARCH(("Ear"),(H173))))</formula>
    </cfRule>
  </conditionalFormatting>
  <conditionalFormatting sqref="H173">
    <cfRule type="containsText" dxfId="0" priority="412" operator="containsText" text="fnd">
      <formula>NOT(ISERROR(SEARCH(("fnd"),(H173))))</formula>
    </cfRule>
  </conditionalFormatting>
  <conditionalFormatting sqref="H181">
    <cfRule type="containsText" dxfId="2" priority="413" operator="containsText" text="Str">
      <formula>NOT(ISERROR(SEARCH(("Str"),(H181))))</formula>
    </cfRule>
  </conditionalFormatting>
  <conditionalFormatting sqref="H181">
    <cfRule type="containsText" dxfId="3" priority="414" operator="containsText" text="Ere">
      <formula>NOT(ISERROR(SEARCH(("Ere"),(H181))))</formula>
    </cfRule>
  </conditionalFormatting>
  <conditionalFormatting sqref="H181">
    <cfRule type="containsText" dxfId="1" priority="415" operator="containsText" text="Ear">
      <formula>NOT(ISERROR(SEARCH(("Ear"),(H181))))</formula>
    </cfRule>
  </conditionalFormatting>
  <conditionalFormatting sqref="H181">
    <cfRule type="containsText" dxfId="0" priority="416" operator="containsText" text="fnd">
      <formula>NOT(ISERROR(SEARCH(("fnd"),(H181))))</formula>
    </cfRule>
  </conditionalFormatting>
  <conditionalFormatting sqref="H30:I30">
    <cfRule type="containsText" dxfId="2" priority="417" operator="containsText" text="Str">
      <formula>NOT(ISERROR(SEARCH(("Str"),(H30))))</formula>
    </cfRule>
  </conditionalFormatting>
  <conditionalFormatting sqref="H30:I30">
    <cfRule type="containsText" dxfId="3" priority="418" operator="containsText" text="Ere">
      <formula>NOT(ISERROR(SEARCH(("Ere"),(H30))))</formula>
    </cfRule>
  </conditionalFormatting>
  <conditionalFormatting sqref="H30:I30">
    <cfRule type="containsText" dxfId="1" priority="419" operator="containsText" text="Ear">
      <formula>NOT(ISERROR(SEARCH(("Ear"),(H30))))</formula>
    </cfRule>
  </conditionalFormatting>
  <conditionalFormatting sqref="H30:I30">
    <cfRule type="containsText" dxfId="0" priority="420" operator="containsText" text="fnd">
      <formula>NOT(ISERROR(SEARCH(("fnd"),(H30))))</formula>
    </cfRule>
  </conditionalFormatting>
  <conditionalFormatting sqref="H46:I46">
    <cfRule type="containsText" dxfId="2" priority="421" operator="containsText" text="Str">
      <formula>NOT(ISERROR(SEARCH(("Str"),(H46))))</formula>
    </cfRule>
  </conditionalFormatting>
  <conditionalFormatting sqref="H46:I46">
    <cfRule type="containsText" dxfId="3" priority="422" operator="containsText" text="Ere">
      <formula>NOT(ISERROR(SEARCH(("Ere"),(H46))))</formula>
    </cfRule>
  </conditionalFormatting>
  <conditionalFormatting sqref="H46:I46">
    <cfRule type="containsText" dxfId="1" priority="423" operator="containsText" text="Ear">
      <formula>NOT(ISERROR(SEARCH(("Ear"),(H46))))</formula>
    </cfRule>
  </conditionalFormatting>
  <conditionalFormatting sqref="H46:I46">
    <cfRule type="containsText" dxfId="0" priority="424" operator="containsText" text="fnd">
      <formula>NOT(ISERROR(SEARCH(("fnd"),(H46))))</formula>
    </cfRule>
  </conditionalFormatting>
  <conditionalFormatting sqref="H62:I62">
    <cfRule type="containsText" dxfId="2" priority="425" operator="containsText" text="Str">
      <formula>NOT(ISERROR(SEARCH(("Str"),(H62))))</formula>
    </cfRule>
  </conditionalFormatting>
  <conditionalFormatting sqref="H62:I62">
    <cfRule type="containsText" dxfId="3" priority="426" operator="containsText" text="Ere">
      <formula>NOT(ISERROR(SEARCH(("Ere"),(H62))))</formula>
    </cfRule>
  </conditionalFormatting>
  <conditionalFormatting sqref="H62:I62">
    <cfRule type="containsText" dxfId="1" priority="427" operator="containsText" text="Ear">
      <formula>NOT(ISERROR(SEARCH(("Ear"),(H62))))</formula>
    </cfRule>
  </conditionalFormatting>
  <conditionalFormatting sqref="H62:I62">
    <cfRule type="containsText" dxfId="0" priority="428" operator="containsText" text="fnd">
      <formula>NOT(ISERROR(SEARCH(("fnd"),(H62))))</formula>
    </cfRule>
  </conditionalFormatting>
  <conditionalFormatting sqref="H94:I94">
    <cfRule type="containsText" dxfId="2" priority="429" operator="containsText" text="Str">
      <formula>NOT(ISERROR(SEARCH(("Str"),(H94))))</formula>
    </cfRule>
  </conditionalFormatting>
  <conditionalFormatting sqref="H94:I94">
    <cfRule type="containsText" dxfId="3" priority="430" operator="containsText" text="Ere">
      <formula>NOT(ISERROR(SEARCH(("Ere"),(H94))))</formula>
    </cfRule>
  </conditionalFormatting>
  <conditionalFormatting sqref="H94:I94">
    <cfRule type="containsText" dxfId="1" priority="431" operator="containsText" text="Ear">
      <formula>NOT(ISERROR(SEARCH(("Ear"),(H94))))</formula>
    </cfRule>
  </conditionalFormatting>
  <conditionalFormatting sqref="H94:I94">
    <cfRule type="containsText" dxfId="0" priority="432" operator="containsText" text="fnd">
      <formula>NOT(ISERROR(SEARCH(("fnd"),(H94))))</formula>
    </cfRule>
  </conditionalFormatting>
  <conditionalFormatting sqref="H102:I102">
    <cfRule type="containsText" dxfId="2" priority="433" operator="containsText" text="Str">
      <formula>NOT(ISERROR(SEARCH(("Str"),(H102))))</formula>
    </cfRule>
  </conditionalFormatting>
  <conditionalFormatting sqref="H102:I102">
    <cfRule type="containsText" dxfId="3" priority="434" operator="containsText" text="Ere">
      <formula>NOT(ISERROR(SEARCH(("Ere"),(H102))))</formula>
    </cfRule>
  </conditionalFormatting>
  <conditionalFormatting sqref="H102:I102">
    <cfRule type="containsText" dxfId="1" priority="435" operator="containsText" text="Ear">
      <formula>NOT(ISERROR(SEARCH(("Ear"),(H102))))</formula>
    </cfRule>
  </conditionalFormatting>
  <conditionalFormatting sqref="H102:I102">
    <cfRule type="containsText" dxfId="0" priority="436" operator="containsText" text="fnd">
      <formula>NOT(ISERROR(SEARCH(("fnd"),(H102))))</formula>
    </cfRule>
  </conditionalFormatting>
  <conditionalFormatting sqref="H110:I110">
    <cfRule type="containsText" dxfId="2" priority="437" operator="containsText" text="Str">
      <formula>NOT(ISERROR(SEARCH(("Str"),(H110))))</formula>
    </cfRule>
  </conditionalFormatting>
  <conditionalFormatting sqref="H110:I110">
    <cfRule type="containsText" dxfId="3" priority="438" operator="containsText" text="Ere">
      <formula>NOT(ISERROR(SEARCH(("Ere"),(H110))))</formula>
    </cfRule>
  </conditionalFormatting>
  <conditionalFormatting sqref="H110:I110">
    <cfRule type="containsText" dxfId="1" priority="439" operator="containsText" text="Ear">
      <formula>NOT(ISERROR(SEARCH(("Ear"),(H110))))</formula>
    </cfRule>
  </conditionalFormatting>
  <conditionalFormatting sqref="H110:I110">
    <cfRule type="containsText" dxfId="0" priority="440" operator="containsText" text="fnd">
      <formula>NOT(ISERROR(SEARCH(("fnd"),(H110))))</formula>
    </cfRule>
  </conditionalFormatting>
  <conditionalFormatting sqref="H118:I118">
    <cfRule type="containsText" dxfId="2" priority="441" operator="containsText" text="Str">
      <formula>NOT(ISERROR(SEARCH(("Str"),(H118))))</formula>
    </cfRule>
  </conditionalFormatting>
  <conditionalFormatting sqref="H118:I118">
    <cfRule type="containsText" dxfId="3" priority="442" operator="containsText" text="Ere">
      <formula>NOT(ISERROR(SEARCH(("Ere"),(H118))))</formula>
    </cfRule>
  </conditionalFormatting>
  <conditionalFormatting sqref="H118:I118">
    <cfRule type="containsText" dxfId="1" priority="443" operator="containsText" text="Ear">
      <formula>NOT(ISERROR(SEARCH(("Ear"),(H118))))</formula>
    </cfRule>
  </conditionalFormatting>
  <conditionalFormatting sqref="H118:I118">
    <cfRule type="containsText" dxfId="0" priority="444" operator="containsText" text="fnd">
      <formula>NOT(ISERROR(SEARCH(("fnd"),(H118))))</formula>
    </cfRule>
  </conditionalFormatting>
  <conditionalFormatting sqref="H126:I126">
    <cfRule type="containsText" dxfId="2" priority="445" operator="containsText" text="Str">
      <formula>NOT(ISERROR(SEARCH(("Str"),(H126))))</formula>
    </cfRule>
  </conditionalFormatting>
  <conditionalFormatting sqref="H126:I126">
    <cfRule type="containsText" dxfId="3" priority="446" operator="containsText" text="Ere">
      <formula>NOT(ISERROR(SEARCH(("Ere"),(H126))))</formula>
    </cfRule>
  </conditionalFormatting>
  <conditionalFormatting sqref="H126:I126">
    <cfRule type="containsText" dxfId="1" priority="447" operator="containsText" text="Ear">
      <formula>NOT(ISERROR(SEARCH(("Ear"),(H126))))</formula>
    </cfRule>
  </conditionalFormatting>
  <conditionalFormatting sqref="H126:I126">
    <cfRule type="containsText" dxfId="0" priority="448" operator="containsText" text="fnd">
      <formula>NOT(ISERROR(SEARCH(("fnd"),(H126))))</formula>
    </cfRule>
  </conditionalFormatting>
  <conditionalFormatting sqref="H134:I134">
    <cfRule type="containsText" dxfId="2" priority="449" operator="containsText" text="Str">
      <formula>NOT(ISERROR(SEARCH(("Str"),(H134))))</formula>
    </cfRule>
  </conditionalFormatting>
  <conditionalFormatting sqref="H134:I134">
    <cfRule type="containsText" dxfId="3" priority="450" operator="containsText" text="Ere">
      <formula>NOT(ISERROR(SEARCH(("Ere"),(H134))))</formula>
    </cfRule>
  </conditionalFormatting>
  <conditionalFormatting sqref="H134:I134">
    <cfRule type="containsText" dxfId="1" priority="451" operator="containsText" text="Ear">
      <formula>NOT(ISERROR(SEARCH(("Ear"),(H134))))</formula>
    </cfRule>
  </conditionalFormatting>
  <conditionalFormatting sqref="H134:I134">
    <cfRule type="containsText" dxfId="0" priority="452" operator="containsText" text="fnd">
      <formula>NOT(ISERROR(SEARCH(("fnd"),(H134))))</formula>
    </cfRule>
  </conditionalFormatting>
  <conditionalFormatting sqref="H142:I142">
    <cfRule type="containsText" dxfId="2" priority="453" operator="containsText" text="Str">
      <formula>NOT(ISERROR(SEARCH(("Str"),(H142))))</formula>
    </cfRule>
  </conditionalFormatting>
  <conditionalFormatting sqref="H142:I142">
    <cfRule type="containsText" dxfId="3" priority="454" operator="containsText" text="Ere">
      <formula>NOT(ISERROR(SEARCH(("Ere"),(H142))))</formula>
    </cfRule>
  </conditionalFormatting>
  <conditionalFormatting sqref="H142:I142">
    <cfRule type="containsText" dxfId="1" priority="455" operator="containsText" text="Ear">
      <formula>NOT(ISERROR(SEARCH(("Ear"),(H142))))</formula>
    </cfRule>
  </conditionalFormatting>
  <conditionalFormatting sqref="H142:I142">
    <cfRule type="containsText" dxfId="0" priority="456" operator="containsText" text="fnd">
      <formula>NOT(ISERROR(SEARCH(("fnd"),(H142))))</formula>
    </cfRule>
  </conditionalFormatting>
  <conditionalFormatting sqref="H150:I150">
    <cfRule type="containsText" dxfId="2" priority="457" operator="containsText" text="Str">
      <formula>NOT(ISERROR(SEARCH(("Str"),(H150))))</formula>
    </cfRule>
  </conditionalFormatting>
  <conditionalFormatting sqref="H150:I150">
    <cfRule type="containsText" dxfId="3" priority="458" operator="containsText" text="Ere">
      <formula>NOT(ISERROR(SEARCH(("Ere"),(H150))))</formula>
    </cfRule>
  </conditionalFormatting>
  <conditionalFormatting sqref="H150:I150">
    <cfRule type="containsText" dxfId="1" priority="459" operator="containsText" text="Ear">
      <formula>NOT(ISERROR(SEARCH(("Ear"),(H150))))</formula>
    </cfRule>
  </conditionalFormatting>
  <conditionalFormatting sqref="H150:I150">
    <cfRule type="containsText" dxfId="0" priority="460" operator="containsText" text="fnd">
      <formula>NOT(ISERROR(SEARCH(("fnd"),(H150))))</formula>
    </cfRule>
  </conditionalFormatting>
  <conditionalFormatting sqref="H158:I158">
    <cfRule type="containsText" dxfId="2" priority="461" operator="containsText" text="Str">
      <formula>NOT(ISERROR(SEARCH(("Str"),(H158))))</formula>
    </cfRule>
  </conditionalFormatting>
  <conditionalFormatting sqref="H158:I158">
    <cfRule type="containsText" dxfId="3" priority="462" operator="containsText" text="Ere">
      <formula>NOT(ISERROR(SEARCH(("Ere"),(H158))))</formula>
    </cfRule>
  </conditionalFormatting>
  <conditionalFormatting sqref="H158:I158">
    <cfRule type="containsText" dxfId="1" priority="463" operator="containsText" text="Ear">
      <formula>NOT(ISERROR(SEARCH(("Ear"),(H158))))</formula>
    </cfRule>
  </conditionalFormatting>
  <conditionalFormatting sqref="H158:I158">
    <cfRule type="containsText" dxfId="0" priority="464" operator="containsText" text="fnd">
      <formula>NOT(ISERROR(SEARCH(("fnd"),(H158))))</formula>
    </cfRule>
  </conditionalFormatting>
  <conditionalFormatting sqref="H166:I166">
    <cfRule type="containsText" dxfId="2" priority="465" operator="containsText" text="Str">
      <formula>NOT(ISERROR(SEARCH(("Str"),(H166))))</formula>
    </cfRule>
  </conditionalFormatting>
  <conditionalFormatting sqref="H166:I166">
    <cfRule type="containsText" dxfId="3" priority="466" operator="containsText" text="Ere">
      <formula>NOT(ISERROR(SEARCH(("Ere"),(H166))))</formula>
    </cfRule>
  </conditionalFormatting>
  <conditionalFormatting sqref="H166:I166">
    <cfRule type="containsText" dxfId="1" priority="467" operator="containsText" text="Ear">
      <formula>NOT(ISERROR(SEARCH(("Ear"),(H166))))</formula>
    </cfRule>
  </conditionalFormatting>
  <conditionalFormatting sqref="H166:I166">
    <cfRule type="containsText" dxfId="0" priority="468" operator="containsText" text="fnd">
      <formula>NOT(ISERROR(SEARCH(("fnd"),(H166))))</formula>
    </cfRule>
  </conditionalFormatting>
  <conditionalFormatting sqref="H182:I182">
    <cfRule type="containsText" dxfId="2" priority="469" operator="containsText" text="Str">
      <formula>NOT(ISERROR(SEARCH(("Str"),(H182))))</formula>
    </cfRule>
  </conditionalFormatting>
  <conditionalFormatting sqref="H182:I182">
    <cfRule type="containsText" dxfId="3" priority="470" operator="containsText" text="Ere">
      <formula>NOT(ISERROR(SEARCH(("Ere"),(H182))))</formula>
    </cfRule>
  </conditionalFormatting>
  <conditionalFormatting sqref="H182:I182">
    <cfRule type="containsText" dxfId="1" priority="471" operator="containsText" text="Ear">
      <formula>NOT(ISERROR(SEARCH(("Ear"),(H182))))</formula>
    </cfRule>
  </conditionalFormatting>
  <conditionalFormatting sqref="H182:I182">
    <cfRule type="containsText" dxfId="0" priority="472" operator="containsText" text="fnd">
      <formula>NOT(ISERROR(SEARCH(("fnd"),(H182))))</formula>
    </cfRule>
  </conditionalFormatting>
  <conditionalFormatting sqref="I6">
    <cfRule type="containsText" dxfId="2" priority="473" operator="containsText" text="Str">
      <formula>NOT(ISERROR(SEARCH(("Str"),(I6))))</formula>
    </cfRule>
  </conditionalFormatting>
  <conditionalFormatting sqref="I6">
    <cfRule type="containsText" dxfId="3" priority="474" operator="containsText" text="Ere">
      <formula>NOT(ISERROR(SEARCH(("Ere"),(I6))))</formula>
    </cfRule>
  </conditionalFormatting>
  <conditionalFormatting sqref="I6">
    <cfRule type="containsText" dxfId="1" priority="475" operator="containsText" text="Ear">
      <formula>NOT(ISERROR(SEARCH(("Ear"),(I6))))</formula>
    </cfRule>
  </conditionalFormatting>
  <conditionalFormatting sqref="I6">
    <cfRule type="containsText" dxfId="0" priority="476" operator="containsText" text="fnd">
      <formula>NOT(ISERROR(SEARCH(("fnd"),(I6))))</formula>
    </cfRule>
  </conditionalFormatting>
  <conditionalFormatting sqref="I14">
    <cfRule type="containsText" dxfId="2" priority="477" operator="containsText" text="Str">
      <formula>NOT(ISERROR(SEARCH(("Str"),(I14))))</formula>
    </cfRule>
  </conditionalFormatting>
  <conditionalFormatting sqref="I14">
    <cfRule type="containsText" dxfId="3" priority="478" operator="containsText" text="Ere">
      <formula>NOT(ISERROR(SEARCH(("Ere"),(I14))))</formula>
    </cfRule>
  </conditionalFormatting>
  <conditionalFormatting sqref="I14">
    <cfRule type="containsText" dxfId="1" priority="479" operator="containsText" text="Ear">
      <formula>NOT(ISERROR(SEARCH(("Ear"),(I14))))</formula>
    </cfRule>
  </conditionalFormatting>
  <conditionalFormatting sqref="I14">
    <cfRule type="containsText" dxfId="0" priority="480" operator="containsText" text="fnd">
      <formula>NOT(ISERROR(SEARCH(("fnd"),(I14))))</formula>
    </cfRule>
  </conditionalFormatting>
  <conditionalFormatting sqref="I22">
    <cfRule type="containsText" dxfId="2" priority="481" operator="containsText" text="Str">
      <formula>NOT(ISERROR(SEARCH(("Str"),(I22))))</formula>
    </cfRule>
  </conditionalFormatting>
  <conditionalFormatting sqref="I22">
    <cfRule type="containsText" dxfId="3" priority="482" operator="containsText" text="Ere">
      <formula>NOT(ISERROR(SEARCH(("Ere"),(I22))))</formula>
    </cfRule>
  </conditionalFormatting>
  <conditionalFormatting sqref="I22">
    <cfRule type="containsText" dxfId="1" priority="483" operator="containsText" text="Ear">
      <formula>NOT(ISERROR(SEARCH(("Ear"),(I22))))</formula>
    </cfRule>
  </conditionalFormatting>
  <conditionalFormatting sqref="I22">
    <cfRule type="containsText" dxfId="0" priority="484" operator="containsText" text="fnd">
      <formula>NOT(ISERROR(SEARCH(("fnd"),(I22))))</formula>
    </cfRule>
  </conditionalFormatting>
  <conditionalFormatting sqref="I38">
    <cfRule type="containsText" dxfId="2" priority="485" operator="containsText" text="Str">
      <formula>NOT(ISERROR(SEARCH(("Str"),(I38))))</formula>
    </cfRule>
  </conditionalFormatting>
  <conditionalFormatting sqref="I38">
    <cfRule type="containsText" dxfId="3" priority="486" operator="containsText" text="Ere">
      <formula>NOT(ISERROR(SEARCH(("Ere"),(I38))))</formula>
    </cfRule>
  </conditionalFormatting>
  <conditionalFormatting sqref="I38">
    <cfRule type="containsText" dxfId="1" priority="487" operator="containsText" text="Ear">
      <formula>NOT(ISERROR(SEARCH(("Ear"),(I38))))</formula>
    </cfRule>
  </conditionalFormatting>
  <conditionalFormatting sqref="I38">
    <cfRule type="containsText" dxfId="0" priority="488" operator="containsText" text="fnd">
      <formula>NOT(ISERROR(SEARCH(("fnd"),(I38))))</formula>
    </cfRule>
  </conditionalFormatting>
  <conditionalFormatting sqref="I54">
    <cfRule type="containsText" dxfId="2" priority="489" operator="containsText" text="Str">
      <formula>NOT(ISERROR(SEARCH(("Str"),(I54))))</formula>
    </cfRule>
  </conditionalFormatting>
  <conditionalFormatting sqref="I54">
    <cfRule type="containsText" dxfId="3" priority="490" operator="containsText" text="Ere">
      <formula>NOT(ISERROR(SEARCH(("Ere"),(I54))))</formula>
    </cfRule>
  </conditionalFormatting>
  <conditionalFormatting sqref="I54">
    <cfRule type="containsText" dxfId="1" priority="491" operator="containsText" text="Ear">
      <formula>NOT(ISERROR(SEARCH(("Ear"),(I54))))</formula>
    </cfRule>
  </conditionalFormatting>
  <conditionalFormatting sqref="I54">
    <cfRule type="containsText" dxfId="0" priority="492" operator="containsText" text="fnd">
      <formula>NOT(ISERROR(SEARCH(("fnd"),(I54))))</formula>
    </cfRule>
  </conditionalFormatting>
  <conditionalFormatting sqref="I78">
    <cfRule type="containsText" dxfId="2" priority="493" operator="containsText" text="Str">
      <formula>NOT(ISERROR(SEARCH(("Str"),(I78))))</formula>
    </cfRule>
  </conditionalFormatting>
  <conditionalFormatting sqref="I78">
    <cfRule type="containsText" dxfId="3" priority="494" operator="containsText" text="Ere">
      <formula>NOT(ISERROR(SEARCH(("Ere"),(I78))))</formula>
    </cfRule>
  </conditionalFormatting>
  <conditionalFormatting sqref="I78">
    <cfRule type="containsText" dxfId="1" priority="495" operator="containsText" text="Ear">
      <formula>NOT(ISERROR(SEARCH(("Ear"),(I78))))</formula>
    </cfRule>
  </conditionalFormatting>
  <conditionalFormatting sqref="I78">
    <cfRule type="containsText" dxfId="0" priority="496" operator="containsText" text="fnd">
      <formula>NOT(ISERROR(SEARCH(("fnd"),(I78))))</formula>
    </cfRule>
  </conditionalFormatting>
  <conditionalFormatting sqref="I205:I206">
    <cfRule type="containsText" dxfId="2" priority="497" operator="containsText" text="Str">
      <formula>NOT(ISERROR(SEARCH(("Str"),(I205))))</formula>
    </cfRule>
  </conditionalFormatting>
  <conditionalFormatting sqref="I205:I206">
    <cfRule type="containsText" dxfId="3" priority="498" operator="containsText" text="Ere">
      <formula>NOT(ISERROR(SEARCH(("Ere"),(I205))))</formula>
    </cfRule>
  </conditionalFormatting>
  <conditionalFormatting sqref="I205:I206">
    <cfRule type="containsText" dxfId="1" priority="499" operator="containsText" text="Ear">
      <formula>NOT(ISERROR(SEARCH(("Ear"),(I205))))</formula>
    </cfRule>
  </conditionalFormatting>
  <conditionalFormatting sqref="I205:I206">
    <cfRule type="containsText" dxfId="0" priority="500" operator="containsText" text="fnd">
      <formula>NOT(ISERROR(SEARCH(("fnd"),(I205))))</formula>
    </cfRule>
  </conditionalFormatting>
  <conditionalFormatting sqref="J206:N206">
    <cfRule type="containsText" dxfId="2" priority="501" operator="containsText" text="Str">
      <formula>NOT(ISERROR(SEARCH(("Str"),(J206))))</formula>
    </cfRule>
  </conditionalFormatting>
  <conditionalFormatting sqref="J206:N206">
    <cfRule type="containsText" dxfId="3" priority="502" operator="containsText" text="Ere">
      <formula>NOT(ISERROR(SEARCH(("Ere"),(J206))))</formula>
    </cfRule>
  </conditionalFormatting>
  <conditionalFormatting sqref="J206:N206">
    <cfRule type="containsText" dxfId="1" priority="503" operator="containsText" text="Ear">
      <formula>NOT(ISERROR(SEARCH(("Ear"),(J206))))</formula>
    </cfRule>
  </conditionalFormatting>
  <conditionalFormatting sqref="J206:N206">
    <cfRule type="containsText" dxfId="0" priority="504" operator="containsText" text="fnd">
      <formula>NOT(ISERROR(SEARCH(("fnd"),(J206))))</formula>
    </cfRule>
  </conditionalFormatting>
  <conditionalFormatting sqref="K5:K6">
    <cfRule type="containsText" dxfId="2" priority="505" operator="containsText" text="Str">
      <formula>NOT(ISERROR(SEARCH(("Str"),(K5))))</formula>
    </cfRule>
  </conditionalFormatting>
  <conditionalFormatting sqref="K5:K6">
    <cfRule type="containsText" dxfId="3" priority="506" operator="containsText" text="Ere">
      <formula>NOT(ISERROR(SEARCH(("Ere"),(K5))))</formula>
    </cfRule>
  </conditionalFormatting>
  <conditionalFormatting sqref="K5:K6">
    <cfRule type="containsText" dxfId="1" priority="507" operator="containsText" text="Ear">
      <formula>NOT(ISERROR(SEARCH(("Ear"),(K5))))</formula>
    </cfRule>
  </conditionalFormatting>
  <conditionalFormatting sqref="K5:K6">
    <cfRule type="containsText" dxfId="0" priority="508" operator="containsText" text="fnd">
      <formula>NOT(ISERROR(SEARCH(("fnd"),(K5))))</formula>
    </cfRule>
  </conditionalFormatting>
  <conditionalFormatting sqref="K13:K14">
    <cfRule type="containsText" dxfId="2" priority="509" operator="containsText" text="Str">
      <formula>NOT(ISERROR(SEARCH(("Str"),(K13))))</formula>
    </cfRule>
  </conditionalFormatting>
  <conditionalFormatting sqref="K13:K14">
    <cfRule type="containsText" dxfId="3" priority="510" operator="containsText" text="Ere">
      <formula>NOT(ISERROR(SEARCH(("Ere"),(K13))))</formula>
    </cfRule>
  </conditionalFormatting>
  <conditionalFormatting sqref="K13:K14">
    <cfRule type="containsText" dxfId="1" priority="511" operator="containsText" text="Ear">
      <formula>NOT(ISERROR(SEARCH(("Ear"),(K13))))</formula>
    </cfRule>
  </conditionalFormatting>
  <conditionalFormatting sqref="K13:K14">
    <cfRule type="containsText" dxfId="0" priority="512" operator="containsText" text="fnd">
      <formula>NOT(ISERROR(SEARCH(("fnd"),(K13))))</formula>
    </cfRule>
  </conditionalFormatting>
  <conditionalFormatting sqref="K21:K22">
    <cfRule type="containsText" dxfId="2" priority="513" operator="containsText" text="Str">
      <formula>NOT(ISERROR(SEARCH(("Str"),(K21))))</formula>
    </cfRule>
  </conditionalFormatting>
  <conditionalFormatting sqref="K21:K22">
    <cfRule type="containsText" dxfId="3" priority="514" operator="containsText" text="Ere">
      <formula>NOT(ISERROR(SEARCH(("Ere"),(K21))))</formula>
    </cfRule>
  </conditionalFormatting>
  <conditionalFormatting sqref="K21:K22">
    <cfRule type="containsText" dxfId="1" priority="515" operator="containsText" text="Ear">
      <formula>NOT(ISERROR(SEARCH(("Ear"),(K21))))</formula>
    </cfRule>
  </conditionalFormatting>
  <conditionalFormatting sqref="K21:K22">
    <cfRule type="containsText" dxfId="0" priority="516" operator="containsText" text="fnd">
      <formula>NOT(ISERROR(SEARCH(("fnd"),(K21))))</formula>
    </cfRule>
  </conditionalFormatting>
  <conditionalFormatting sqref="K29">
    <cfRule type="containsText" dxfId="2" priority="517" operator="containsText" text="Str">
      <formula>NOT(ISERROR(SEARCH(("Str"),(K29))))</formula>
    </cfRule>
  </conditionalFormatting>
  <conditionalFormatting sqref="K29">
    <cfRule type="containsText" dxfId="3" priority="518" operator="containsText" text="Ere">
      <formula>NOT(ISERROR(SEARCH(("Ere"),(K29))))</formula>
    </cfRule>
  </conditionalFormatting>
  <conditionalFormatting sqref="K29">
    <cfRule type="containsText" dxfId="1" priority="519" operator="containsText" text="Ear">
      <formula>NOT(ISERROR(SEARCH(("Ear"),(K29))))</formula>
    </cfRule>
  </conditionalFormatting>
  <conditionalFormatting sqref="K29">
    <cfRule type="containsText" dxfId="0" priority="520" operator="containsText" text="fnd">
      <formula>NOT(ISERROR(SEARCH(("fnd"),(K29))))</formula>
    </cfRule>
  </conditionalFormatting>
  <conditionalFormatting sqref="K37:K38">
    <cfRule type="containsText" dxfId="2" priority="521" operator="containsText" text="Str">
      <formula>NOT(ISERROR(SEARCH(("Str"),(K37))))</formula>
    </cfRule>
  </conditionalFormatting>
  <conditionalFormatting sqref="K37:K38">
    <cfRule type="containsText" dxfId="3" priority="522" operator="containsText" text="Ere">
      <formula>NOT(ISERROR(SEARCH(("Ere"),(K37))))</formula>
    </cfRule>
  </conditionalFormatting>
  <conditionalFormatting sqref="K37:K38">
    <cfRule type="containsText" dxfId="1" priority="523" operator="containsText" text="Ear">
      <formula>NOT(ISERROR(SEARCH(("Ear"),(K37))))</formula>
    </cfRule>
  </conditionalFormatting>
  <conditionalFormatting sqref="K37:K38">
    <cfRule type="containsText" dxfId="0" priority="524" operator="containsText" text="fnd">
      <formula>NOT(ISERROR(SEARCH(("fnd"),(K37))))</formula>
    </cfRule>
  </conditionalFormatting>
  <conditionalFormatting sqref="K45:K46">
    <cfRule type="containsText" dxfId="2" priority="525" operator="containsText" text="Str">
      <formula>NOT(ISERROR(SEARCH(("Str"),(K45))))</formula>
    </cfRule>
  </conditionalFormatting>
  <conditionalFormatting sqref="K45:K46">
    <cfRule type="containsText" dxfId="3" priority="526" operator="containsText" text="Ere">
      <formula>NOT(ISERROR(SEARCH(("Ere"),(K45))))</formula>
    </cfRule>
  </conditionalFormatting>
  <conditionalFormatting sqref="K45:K46">
    <cfRule type="containsText" dxfId="1" priority="527" operator="containsText" text="Ear">
      <formula>NOT(ISERROR(SEARCH(("Ear"),(K45))))</formula>
    </cfRule>
  </conditionalFormatting>
  <conditionalFormatting sqref="K45:K46">
    <cfRule type="containsText" dxfId="0" priority="528" operator="containsText" text="fnd">
      <formula>NOT(ISERROR(SEARCH(("fnd"),(K45))))</formula>
    </cfRule>
  </conditionalFormatting>
  <conditionalFormatting sqref="K61">
    <cfRule type="containsText" dxfId="2" priority="529" operator="containsText" text="Str">
      <formula>NOT(ISERROR(SEARCH(("Str"),(K61))))</formula>
    </cfRule>
  </conditionalFormatting>
  <conditionalFormatting sqref="K61">
    <cfRule type="containsText" dxfId="3" priority="530" operator="containsText" text="Ere">
      <formula>NOT(ISERROR(SEARCH(("Ere"),(K61))))</formula>
    </cfRule>
  </conditionalFormatting>
  <conditionalFormatting sqref="K61">
    <cfRule type="containsText" dxfId="1" priority="531" operator="containsText" text="Ear">
      <formula>NOT(ISERROR(SEARCH(("Ear"),(K61))))</formula>
    </cfRule>
  </conditionalFormatting>
  <conditionalFormatting sqref="K61">
    <cfRule type="containsText" dxfId="0" priority="532" operator="containsText" text="fnd">
      <formula>NOT(ISERROR(SEARCH(("fnd"),(K61))))</formula>
    </cfRule>
  </conditionalFormatting>
  <conditionalFormatting sqref="K77 AF77:AF78">
    <cfRule type="containsText" dxfId="2" priority="533" operator="containsText" text="Str">
      <formula>NOT(ISERROR(SEARCH(("Str"),(K77))))</formula>
    </cfRule>
  </conditionalFormatting>
  <conditionalFormatting sqref="K77 AF77:AF78">
    <cfRule type="containsText" dxfId="3" priority="534" operator="containsText" text="Ere">
      <formula>NOT(ISERROR(SEARCH(("Ere"),(K77))))</formula>
    </cfRule>
  </conditionalFormatting>
  <conditionalFormatting sqref="K77 AF77:AF78">
    <cfRule type="containsText" dxfId="1" priority="535" operator="containsText" text="Ear">
      <formula>NOT(ISERROR(SEARCH(("Ear"),(K77))))</formula>
    </cfRule>
  </conditionalFormatting>
  <conditionalFormatting sqref="K77 AF77:AF78">
    <cfRule type="containsText" dxfId="0" priority="536" operator="containsText" text="fnd">
      <formula>NOT(ISERROR(SEARCH(("fnd"),(K77))))</formula>
    </cfRule>
  </conditionalFormatting>
  <conditionalFormatting sqref="K85 N85">
    <cfRule type="containsText" dxfId="2" priority="537" operator="containsText" text="Str">
      <formula>NOT(ISERROR(SEARCH(("Str"),(K85))))</formula>
    </cfRule>
  </conditionalFormatting>
  <conditionalFormatting sqref="K85 N85">
    <cfRule type="containsText" dxfId="3" priority="538" operator="containsText" text="Ere">
      <formula>NOT(ISERROR(SEARCH(("Ere"),(K85))))</formula>
    </cfRule>
  </conditionalFormatting>
  <conditionalFormatting sqref="K85 N85">
    <cfRule type="containsText" dxfId="1" priority="539" operator="containsText" text="Ear">
      <formula>NOT(ISERROR(SEARCH(("Ear"),(K85))))</formula>
    </cfRule>
  </conditionalFormatting>
  <conditionalFormatting sqref="K85 N85">
    <cfRule type="containsText" dxfId="0" priority="540" operator="containsText" text="fnd">
      <formula>NOT(ISERROR(SEARCH(("fnd"),(K85))))</formula>
    </cfRule>
  </conditionalFormatting>
  <conditionalFormatting sqref="K93">
    <cfRule type="containsText" dxfId="2" priority="541" operator="containsText" text="Str">
      <formula>NOT(ISERROR(SEARCH(("Str"),(K93))))</formula>
    </cfRule>
  </conditionalFormatting>
  <conditionalFormatting sqref="K93">
    <cfRule type="containsText" dxfId="3" priority="542" operator="containsText" text="Ere">
      <formula>NOT(ISERROR(SEARCH(("Ere"),(K93))))</formula>
    </cfRule>
  </conditionalFormatting>
  <conditionalFormatting sqref="K93">
    <cfRule type="containsText" dxfId="1" priority="543" operator="containsText" text="Ear">
      <formula>NOT(ISERROR(SEARCH(("Ear"),(K93))))</formula>
    </cfRule>
  </conditionalFormatting>
  <conditionalFormatting sqref="K93">
    <cfRule type="containsText" dxfId="0" priority="544" operator="containsText" text="fnd">
      <formula>NOT(ISERROR(SEARCH(("fnd"),(K93))))</formula>
    </cfRule>
  </conditionalFormatting>
  <conditionalFormatting sqref="K101">
    <cfRule type="containsText" dxfId="2" priority="545" operator="containsText" text="Str">
      <formula>NOT(ISERROR(SEARCH(("Str"),(K101))))</formula>
    </cfRule>
  </conditionalFormatting>
  <conditionalFormatting sqref="K101">
    <cfRule type="containsText" dxfId="3" priority="546" operator="containsText" text="Ere">
      <formula>NOT(ISERROR(SEARCH(("Ere"),(K101))))</formula>
    </cfRule>
  </conditionalFormatting>
  <conditionalFormatting sqref="K101">
    <cfRule type="containsText" dxfId="1" priority="547" operator="containsText" text="Ear">
      <formula>NOT(ISERROR(SEARCH(("Ear"),(K101))))</formula>
    </cfRule>
  </conditionalFormatting>
  <conditionalFormatting sqref="K101">
    <cfRule type="containsText" dxfId="0" priority="548" operator="containsText" text="fnd">
      <formula>NOT(ISERROR(SEARCH(("fnd"),(K101))))</formula>
    </cfRule>
  </conditionalFormatting>
  <conditionalFormatting sqref="K109">
    <cfRule type="containsText" dxfId="2" priority="549" operator="containsText" text="Str">
      <formula>NOT(ISERROR(SEARCH(("Str"),(K109))))</formula>
    </cfRule>
  </conditionalFormatting>
  <conditionalFormatting sqref="K109">
    <cfRule type="containsText" dxfId="3" priority="550" operator="containsText" text="Ere">
      <formula>NOT(ISERROR(SEARCH(("Ere"),(K109))))</formula>
    </cfRule>
  </conditionalFormatting>
  <conditionalFormatting sqref="K109">
    <cfRule type="containsText" dxfId="1" priority="551" operator="containsText" text="Ear">
      <formula>NOT(ISERROR(SEARCH(("Ear"),(K109))))</formula>
    </cfRule>
  </conditionalFormatting>
  <conditionalFormatting sqref="K109">
    <cfRule type="containsText" dxfId="0" priority="552" operator="containsText" text="fnd">
      <formula>NOT(ISERROR(SEARCH(("fnd"),(K109))))</formula>
    </cfRule>
  </conditionalFormatting>
  <conditionalFormatting sqref="K117">
    <cfRule type="containsText" dxfId="2" priority="553" operator="containsText" text="Str">
      <formula>NOT(ISERROR(SEARCH(("Str"),(K117))))</formula>
    </cfRule>
  </conditionalFormatting>
  <conditionalFormatting sqref="K117">
    <cfRule type="containsText" dxfId="3" priority="554" operator="containsText" text="Ere">
      <formula>NOT(ISERROR(SEARCH(("Ere"),(K117))))</formula>
    </cfRule>
  </conditionalFormatting>
  <conditionalFormatting sqref="K117">
    <cfRule type="containsText" dxfId="1" priority="555" operator="containsText" text="Ear">
      <formula>NOT(ISERROR(SEARCH(("Ear"),(K117))))</formula>
    </cfRule>
  </conditionalFormatting>
  <conditionalFormatting sqref="K117">
    <cfRule type="containsText" dxfId="0" priority="556" operator="containsText" text="fnd">
      <formula>NOT(ISERROR(SEARCH(("fnd"),(K117))))</formula>
    </cfRule>
  </conditionalFormatting>
  <conditionalFormatting sqref="K122 K130 K138 K162 K170 K178">
    <cfRule type="containsText" dxfId="2" priority="557" operator="containsText" text="Str">
      <formula>NOT(ISERROR(SEARCH(("Str"),(K122))))</formula>
    </cfRule>
  </conditionalFormatting>
  <conditionalFormatting sqref="K122 K130 K138 K162 K170 K178">
    <cfRule type="containsText" dxfId="3" priority="558" operator="containsText" text="Ere">
      <formula>NOT(ISERROR(SEARCH(("Ere"),(K122))))</formula>
    </cfRule>
  </conditionalFormatting>
  <conditionalFormatting sqref="K122 K130 K138 K162 K170 K178">
    <cfRule type="containsText" dxfId="1" priority="559" operator="containsText" text="Ear">
      <formula>NOT(ISERROR(SEARCH(("Ear"),(K122))))</formula>
    </cfRule>
  </conditionalFormatting>
  <conditionalFormatting sqref="K122 K130 K138 K162 K170 K178">
    <cfRule type="containsText" dxfId="0" priority="560" operator="containsText" text="fnd">
      <formula>NOT(ISERROR(SEARCH(("fnd"),(K122))))</formula>
    </cfRule>
  </conditionalFormatting>
  <conditionalFormatting sqref="K125">
    <cfRule type="containsText" dxfId="2" priority="561" operator="containsText" text="Str">
      <formula>NOT(ISERROR(SEARCH(("Str"),(K125))))</formula>
    </cfRule>
  </conditionalFormatting>
  <conditionalFormatting sqref="K125">
    <cfRule type="containsText" dxfId="3" priority="562" operator="containsText" text="Ere">
      <formula>NOT(ISERROR(SEARCH(("Ere"),(K125))))</formula>
    </cfRule>
  </conditionalFormatting>
  <conditionalFormatting sqref="K125">
    <cfRule type="containsText" dxfId="1" priority="563" operator="containsText" text="Ear">
      <formula>NOT(ISERROR(SEARCH(("Ear"),(K125))))</formula>
    </cfRule>
  </conditionalFormatting>
  <conditionalFormatting sqref="K125">
    <cfRule type="containsText" dxfId="0" priority="564" operator="containsText" text="fnd">
      <formula>NOT(ISERROR(SEARCH(("fnd"),(K125))))</formula>
    </cfRule>
  </conditionalFormatting>
  <conditionalFormatting sqref="K133">
    <cfRule type="containsText" dxfId="0" priority="565" operator="containsText" text="fnd">
      <formula>NOT(ISERROR(SEARCH(("fnd"),(K133))))</formula>
    </cfRule>
  </conditionalFormatting>
  <conditionalFormatting sqref="K133">
    <cfRule type="containsText" dxfId="1" priority="566" operator="containsText" text="Ear">
      <formula>NOT(ISERROR(SEARCH(("Ear"),(K133))))</formula>
    </cfRule>
  </conditionalFormatting>
  <conditionalFormatting sqref="K133">
    <cfRule type="containsText" dxfId="3" priority="567" operator="containsText" text="Ere">
      <formula>NOT(ISERROR(SEARCH(("Ere"),(K133))))</formula>
    </cfRule>
  </conditionalFormatting>
  <conditionalFormatting sqref="K133">
    <cfRule type="containsText" dxfId="2" priority="568" operator="containsText" text="Str">
      <formula>NOT(ISERROR(SEARCH(("Str"),(K133))))</formula>
    </cfRule>
  </conditionalFormatting>
  <conditionalFormatting sqref="K141">
    <cfRule type="containsText" dxfId="2" priority="569" operator="containsText" text="Str">
      <formula>NOT(ISERROR(SEARCH(("Str"),(K141))))</formula>
    </cfRule>
  </conditionalFormatting>
  <conditionalFormatting sqref="K141">
    <cfRule type="containsText" dxfId="3" priority="570" operator="containsText" text="Ere">
      <formula>NOT(ISERROR(SEARCH(("Ere"),(K141))))</formula>
    </cfRule>
  </conditionalFormatting>
  <conditionalFormatting sqref="K141">
    <cfRule type="containsText" dxfId="1" priority="571" operator="containsText" text="Ear">
      <formula>NOT(ISERROR(SEARCH(("Ear"),(K141))))</formula>
    </cfRule>
  </conditionalFormatting>
  <conditionalFormatting sqref="K141">
    <cfRule type="containsText" dxfId="0" priority="572" operator="containsText" text="fnd">
      <formula>NOT(ISERROR(SEARCH(("fnd"),(K141))))</formula>
    </cfRule>
  </conditionalFormatting>
  <conditionalFormatting sqref="K149">
    <cfRule type="containsText" dxfId="2" priority="573" operator="containsText" text="Str">
      <formula>NOT(ISERROR(SEARCH(("Str"),(K149))))</formula>
    </cfRule>
  </conditionalFormatting>
  <conditionalFormatting sqref="K149">
    <cfRule type="containsText" dxfId="3" priority="574" operator="containsText" text="Ere">
      <formula>NOT(ISERROR(SEARCH(("Ere"),(K149))))</formula>
    </cfRule>
  </conditionalFormatting>
  <conditionalFormatting sqref="K149">
    <cfRule type="containsText" dxfId="1" priority="575" operator="containsText" text="Ear">
      <formula>NOT(ISERROR(SEARCH(("Ear"),(K149))))</formula>
    </cfRule>
  </conditionalFormatting>
  <conditionalFormatting sqref="K149">
    <cfRule type="containsText" dxfId="0" priority="576" operator="containsText" text="fnd">
      <formula>NOT(ISERROR(SEARCH(("fnd"),(K149))))</formula>
    </cfRule>
  </conditionalFormatting>
  <conditionalFormatting sqref="K157">
    <cfRule type="containsText" dxfId="2" priority="577" operator="containsText" text="Str">
      <formula>NOT(ISERROR(SEARCH(("Str"),(K157))))</formula>
    </cfRule>
  </conditionalFormatting>
  <conditionalFormatting sqref="K157">
    <cfRule type="containsText" dxfId="3" priority="578" operator="containsText" text="Ere">
      <formula>NOT(ISERROR(SEARCH(("Ere"),(K157))))</formula>
    </cfRule>
  </conditionalFormatting>
  <conditionalFormatting sqref="K157">
    <cfRule type="containsText" dxfId="1" priority="579" operator="containsText" text="Ear">
      <formula>NOT(ISERROR(SEARCH(("Ear"),(K157))))</formula>
    </cfRule>
  </conditionalFormatting>
  <conditionalFormatting sqref="K157">
    <cfRule type="containsText" dxfId="0" priority="580" operator="containsText" text="fnd">
      <formula>NOT(ISERROR(SEARCH(("fnd"),(K157))))</formula>
    </cfRule>
  </conditionalFormatting>
  <conditionalFormatting sqref="K165">
    <cfRule type="containsText" dxfId="2" priority="581" operator="containsText" text="Str">
      <formula>NOT(ISERROR(SEARCH(("Str"),(K165))))</formula>
    </cfRule>
  </conditionalFormatting>
  <conditionalFormatting sqref="K165">
    <cfRule type="containsText" dxfId="3" priority="582" operator="containsText" text="Ere">
      <formula>NOT(ISERROR(SEARCH(("Ere"),(K165))))</formula>
    </cfRule>
  </conditionalFormatting>
  <conditionalFormatting sqref="K165">
    <cfRule type="containsText" dxfId="1" priority="583" operator="containsText" text="Ear">
      <formula>NOT(ISERROR(SEARCH(("Ear"),(K165))))</formula>
    </cfRule>
  </conditionalFormatting>
  <conditionalFormatting sqref="K165">
    <cfRule type="containsText" dxfId="0" priority="584" operator="containsText" text="fnd">
      <formula>NOT(ISERROR(SEARCH(("fnd"),(K165))))</formula>
    </cfRule>
  </conditionalFormatting>
  <conditionalFormatting sqref="K173">
    <cfRule type="containsText" dxfId="2" priority="585" operator="containsText" text="Str">
      <formula>NOT(ISERROR(SEARCH(("Str"),(K173))))</formula>
    </cfRule>
  </conditionalFormatting>
  <conditionalFormatting sqref="K173">
    <cfRule type="containsText" dxfId="3" priority="586" operator="containsText" text="Ere">
      <formula>NOT(ISERROR(SEARCH(("Ere"),(K173))))</formula>
    </cfRule>
  </conditionalFormatting>
  <conditionalFormatting sqref="K173">
    <cfRule type="containsText" dxfId="1" priority="587" operator="containsText" text="Ear">
      <formula>NOT(ISERROR(SEARCH(("Ear"),(K173))))</formula>
    </cfRule>
  </conditionalFormatting>
  <conditionalFormatting sqref="K173">
    <cfRule type="containsText" dxfId="0" priority="588" operator="containsText" text="fnd">
      <formula>NOT(ISERROR(SEARCH(("fnd"),(K173))))</formula>
    </cfRule>
  </conditionalFormatting>
  <conditionalFormatting sqref="K181">
    <cfRule type="containsText" dxfId="2" priority="589" operator="containsText" text="Str">
      <formula>NOT(ISERROR(SEARCH(("Str"),(K181))))</formula>
    </cfRule>
  </conditionalFormatting>
  <conditionalFormatting sqref="K181">
    <cfRule type="containsText" dxfId="3" priority="590" operator="containsText" text="Ere">
      <formula>NOT(ISERROR(SEARCH(("Ere"),(K181))))</formula>
    </cfRule>
  </conditionalFormatting>
  <conditionalFormatting sqref="K181">
    <cfRule type="containsText" dxfId="1" priority="591" operator="containsText" text="Ear">
      <formula>NOT(ISERROR(SEARCH(("Ear"),(K181))))</formula>
    </cfRule>
  </conditionalFormatting>
  <conditionalFormatting sqref="K181">
    <cfRule type="containsText" dxfId="0" priority="592" operator="containsText" text="fnd">
      <formula>NOT(ISERROR(SEARCH(("fnd"),(K181))))</formula>
    </cfRule>
  </conditionalFormatting>
  <conditionalFormatting sqref="K196:K197">
    <cfRule type="containsText" dxfId="2" priority="593" operator="containsText" text="Str">
      <formula>NOT(ISERROR(SEARCH(("Str"),(K196))))</formula>
    </cfRule>
  </conditionalFormatting>
  <conditionalFormatting sqref="K196:K197">
    <cfRule type="containsText" dxfId="3" priority="594" operator="containsText" text="Ere">
      <formula>NOT(ISERROR(SEARCH(("Ere"),(K196))))</formula>
    </cfRule>
  </conditionalFormatting>
  <conditionalFormatting sqref="K196:K197">
    <cfRule type="containsText" dxfId="1" priority="595" operator="containsText" text="Ear">
      <formula>NOT(ISERROR(SEARCH(("Ear"),(K196))))</formula>
    </cfRule>
  </conditionalFormatting>
  <conditionalFormatting sqref="K196:K197">
    <cfRule type="containsText" dxfId="0" priority="596" operator="containsText" text="fnd">
      <formula>NOT(ISERROR(SEARCH(("fnd"),(K196))))</formula>
    </cfRule>
  </conditionalFormatting>
  <conditionalFormatting sqref="K30:L30">
    <cfRule type="containsText" dxfId="2" priority="597" operator="containsText" text="Str">
      <formula>NOT(ISERROR(SEARCH(("Str"),(K30))))</formula>
    </cfRule>
  </conditionalFormatting>
  <conditionalFormatting sqref="K30:L30">
    <cfRule type="containsText" dxfId="3" priority="598" operator="containsText" text="Ere">
      <formula>NOT(ISERROR(SEARCH(("Ere"),(K30))))</formula>
    </cfRule>
  </conditionalFormatting>
  <conditionalFormatting sqref="K30:L30">
    <cfRule type="containsText" dxfId="1" priority="599" operator="containsText" text="Ear">
      <formula>NOT(ISERROR(SEARCH(("Ear"),(K30))))</formula>
    </cfRule>
  </conditionalFormatting>
  <conditionalFormatting sqref="K30:L30">
    <cfRule type="containsText" dxfId="0" priority="600" operator="containsText" text="fnd">
      <formula>NOT(ISERROR(SEARCH(("fnd"),(K30))))</formula>
    </cfRule>
  </conditionalFormatting>
  <conditionalFormatting sqref="K54:L54">
    <cfRule type="containsText" dxfId="2" priority="601" operator="containsText" text="Str">
      <formula>NOT(ISERROR(SEARCH(("Str"),(K54))))</formula>
    </cfRule>
  </conditionalFormatting>
  <conditionalFormatting sqref="K54:L54">
    <cfRule type="containsText" dxfId="3" priority="602" operator="containsText" text="Ere">
      <formula>NOT(ISERROR(SEARCH(("Ere"),(K54))))</formula>
    </cfRule>
  </conditionalFormatting>
  <conditionalFormatting sqref="K54:L54">
    <cfRule type="containsText" dxfId="1" priority="603" operator="containsText" text="Ear">
      <formula>NOT(ISERROR(SEARCH(("Ear"),(K54))))</formula>
    </cfRule>
  </conditionalFormatting>
  <conditionalFormatting sqref="K54:L54">
    <cfRule type="containsText" dxfId="0" priority="604" operator="containsText" text="fnd">
      <formula>NOT(ISERROR(SEARCH(("fnd"),(K54))))</formula>
    </cfRule>
  </conditionalFormatting>
  <conditionalFormatting sqref="K62:L62">
    <cfRule type="containsText" dxfId="2" priority="605" operator="containsText" text="Str">
      <formula>NOT(ISERROR(SEARCH(("Str"),(K62))))</formula>
    </cfRule>
  </conditionalFormatting>
  <conditionalFormatting sqref="K62:L62">
    <cfRule type="containsText" dxfId="3" priority="606" operator="containsText" text="Ere">
      <formula>NOT(ISERROR(SEARCH(("Ere"),(K62))))</formula>
    </cfRule>
  </conditionalFormatting>
  <conditionalFormatting sqref="K62:L62">
    <cfRule type="containsText" dxfId="1" priority="607" operator="containsText" text="Ear">
      <formula>NOT(ISERROR(SEARCH(("Ear"),(K62))))</formula>
    </cfRule>
  </conditionalFormatting>
  <conditionalFormatting sqref="K62:L62">
    <cfRule type="containsText" dxfId="0" priority="608" operator="containsText" text="fnd">
      <formula>NOT(ISERROR(SEARCH(("fnd"),(K62))))</formula>
    </cfRule>
  </conditionalFormatting>
  <conditionalFormatting sqref="K78:L78">
    <cfRule type="containsText" dxfId="2" priority="609" operator="containsText" text="Str">
      <formula>NOT(ISERROR(SEARCH(("Str"),(K78))))</formula>
    </cfRule>
  </conditionalFormatting>
  <conditionalFormatting sqref="K78:L78">
    <cfRule type="containsText" dxfId="3" priority="610" operator="containsText" text="Ere">
      <formula>NOT(ISERROR(SEARCH(("Ere"),(K78))))</formula>
    </cfRule>
  </conditionalFormatting>
  <conditionalFormatting sqref="K78:L78">
    <cfRule type="containsText" dxfId="1" priority="611" operator="containsText" text="Ear">
      <formula>NOT(ISERROR(SEARCH(("Ear"),(K78))))</formula>
    </cfRule>
  </conditionalFormatting>
  <conditionalFormatting sqref="K78:L78">
    <cfRule type="containsText" dxfId="0" priority="612" operator="containsText" text="fnd">
      <formula>NOT(ISERROR(SEARCH(("fnd"),(K78))))</formula>
    </cfRule>
  </conditionalFormatting>
  <conditionalFormatting sqref="K94:L94">
    <cfRule type="containsText" dxfId="2" priority="613" operator="containsText" text="Str">
      <formula>NOT(ISERROR(SEARCH(("Str"),(K94))))</formula>
    </cfRule>
  </conditionalFormatting>
  <conditionalFormatting sqref="K94:L94">
    <cfRule type="containsText" dxfId="3" priority="614" operator="containsText" text="Ere">
      <formula>NOT(ISERROR(SEARCH(("Ere"),(K94))))</formula>
    </cfRule>
  </conditionalFormatting>
  <conditionalFormatting sqref="K94:L94">
    <cfRule type="containsText" dxfId="1" priority="615" operator="containsText" text="Ear">
      <formula>NOT(ISERROR(SEARCH(("Ear"),(K94))))</formula>
    </cfRule>
  </conditionalFormatting>
  <conditionalFormatting sqref="K94:L94">
    <cfRule type="containsText" dxfId="0" priority="616" operator="containsText" text="fnd">
      <formula>NOT(ISERROR(SEARCH(("fnd"),(K94))))</formula>
    </cfRule>
  </conditionalFormatting>
  <conditionalFormatting sqref="K102:L102">
    <cfRule type="containsText" dxfId="2" priority="617" operator="containsText" text="Str">
      <formula>NOT(ISERROR(SEARCH(("Str"),(K102))))</formula>
    </cfRule>
  </conditionalFormatting>
  <conditionalFormatting sqref="K102:L102">
    <cfRule type="containsText" dxfId="3" priority="618" operator="containsText" text="Ere">
      <formula>NOT(ISERROR(SEARCH(("Ere"),(K102))))</formula>
    </cfRule>
  </conditionalFormatting>
  <conditionalFormatting sqref="K102:L102">
    <cfRule type="containsText" dxfId="1" priority="619" operator="containsText" text="Ear">
      <formula>NOT(ISERROR(SEARCH(("Ear"),(K102))))</formula>
    </cfRule>
  </conditionalFormatting>
  <conditionalFormatting sqref="K102:L102">
    <cfRule type="containsText" dxfId="0" priority="620" operator="containsText" text="fnd">
      <formula>NOT(ISERROR(SEARCH(("fnd"),(K102))))</formula>
    </cfRule>
  </conditionalFormatting>
  <conditionalFormatting sqref="K110:L110">
    <cfRule type="containsText" dxfId="2" priority="621" operator="containsText" text="Str">
      <formula>NOT(ISERROR(SEARCH(("Str"),(K110))))</formula>
    </cfRule>
  </conditionalFormatting>
  <conditionalFormatting sqref="K110:L110">
    <cfRule type="containsText" dxfId="3" priority="622" operator="containsText" text="Ere">
      <formula>NOT(ISERROR(SEARCH(("Ere"),(K110))))</formula>
    </cfRule>
  </conditionalFormatting>
  <conditionalFormatting sqref="K110:L110">
    <cfRule type="containsText" dxfId="1" priority="623" operator="containsText" text="Ear">
      <formula>NOT(ISERROR(SEARCH(("Ear"),(K110))))</formula>
    </cfRule>
  </conditionalFormatting>
  <conditionalFormatting sqref="K110:L110">
    <cfRule type="containsText" dxfId="0" priority="624" operator="containsText" text="fnd">
      <formula>NOT(ISERROR(SEARCH(("fnd"),(K110))))</formula>
    </cfRule>
  </conditionalFormatting>
  <conditionalFormatting sqref="K118:L118">
    <cfRule type="containsText" dxfId="2" priority="625" operator="containsText" text="Str">
      <formula>NOT(ISERROR(SEARCH(("Str"),(K118))))</formula>
    </cfRule>
  </conditionalFormatting>
  <conditionalFormatting sqref="K118:L118">
    <cfRule type="containsText" dxfId="3" priority="626" operator="containsText" text="Ere">
      <formula>NOT(ISERROR(SEARCH(("Ere"),(K118))))</formula>
    </cfRule>
  </conditionalFormatting>
  <conditionalFormatting sqref="K118:L118">
    <cfRule type="containsText" dxfId="1" priority="627" operator="containsText" text="Ear">
      <formula>NOT(ISERROR(SEARCH(("Ear"),(K118))))</formula>
    </cfRule>
  </conditionalFormatting>
  <conditionalFormatting sqref="K118:L118">
    <cfRule type="containsText" dxfId="0" priority="628" operator="containsText" text="fnd">
      <formula>NOT(ISERROR(SEARCH(("fnd"),(K118))))</formula>
    </cfRule>
  </conditionalFormatting>
  <conditionalFormatting sqref="K126:L126">
    <cfRule type="containsText" dxfId="2" priority="629" operator="containsText" text="Str">
      <formula>NOT(ISERROR(SEARCH(("Str"),(K126))))</formula>
    </cfRule>
  </conditionalFormatting>
  <conditionalFormatting sqref="K126:L126">
    <cfRule type="containsText" dxfId="3" priority="630" operator="containsText" text="Ere">
      <formula>NOT(ISERROR(SEARCH(("Ere"),(K126))))</formula>
    </cfRule>
  </conditionalFormatting>
  <conditionalFormatting sqref="K126:L126">
    <cfRule type="containsText" dxfId="1" priority="631" operator="containsText" text="Ear">
      <formula>NOT(ISERROR(SEARCH(("Ear"),(K126))))</formula>
    </cfRule>
  </conditionalFormatting>
  <conditionalFormatting sqref="K126:L126">
    <cfRule type="containsText" dxfId="0" priority="632" operator="containsText" text="fnd">
      <formula>NOT(ISERROR(SEARCH(("fnd"),(K126))))</formula>
    </cfRule>
  </conditionalFormatting>
  <conditionalFormatting sqref="K134:L134">
    <cfRule type="containsText" dxfId="3" priority="633" operator="containsText" text="Ere">
      <formula>NOT(ISERROR(SEARCH(("Ere"),(K134))))</formula>
    </cfRule>
  </conditionalFormatting>
  <conditionalFormatting sqref="K134:L134">
    <cfRule type="containsText" dxfId="1" priority="634" operator="containsText" text="Ear">
      <formula>NOT(ISERROR(SEARCH(("Ear"),(K134))))</formula>
    </cfRule>
  </conditionalFormatting>
  <conditionalFormatting sqref="K134:L134">
    <cfRule type="containsText" dxfId="0" priority="635" operator="containsText" text="fnd">
      <formula>NOT(ISERROR(SEARCH(("fnd"),(K134))))</formula>
    </cfRule>
  </conditionalFormatting>
  <conditionalFormatting sqref="K134:L134">
    <cfRule type="containsText" dxfId="2" priority="636" operator="containsText" text="Str">
      <formula>NOT(ISERROR(SEARCH(("Str"),(K134))))</formula>
    </cfRule>
  </conditionalFormatting>
  <conditionalFormatting sqref="K142:L142">
    <cfRule type="containsText" dxfId="2" priority="637" operator="containsText" text="Str">
      <formula>NOT(ISERROR(SEARCH(("Str"),(K142))))</formula>
    </cfRule>
  </conditionalFormatting>
  <conditionalFormatting sqref="K142:L142">
    <cfRule type="containsText" dxfId="3" priority="638" operator="containsText" text="Ere">
      <formula>NOT(ISERROR(SEARCH(("Ere"),(K142))))</formula>
    </cfRule>
  </conditionalFormatting>
  <conditionalFormatting sqref="K142:L142">
    <cfRule type="containsText" dxfId="1" priority="639" operator="containsText" text="Ear">
      <formula>NOT(ISERROR(SEARCH(("Ear"),(K142))))</formula>
    </cfRule>
  </conditionalFormatting>
  <conditionalFormatting sqref="K142:L142">
    <cfRule type="containsText" dxfId="0" priority="640" operator="containsText" text="fnd">
      <formula>NOT(ISERROR(SEARCH(("fnd"),(K142))))</formula>
    </cfRule>
  </conditionalFormatting>
  <conditionalFormatting sqref="K150:L150">
    <cfRule type="containsText" dxfId="2" priority="641" operator="containsText" text="Str">
      <formula>NOT(ISERROR(SEARCH(("Str"),(K150))))</formula>
    </cfRule>
  </conditionalFormatting>
  <conditionalFormatting sqref="K150:L150">
    <cfRule type="containsText" dxfId="3" priority="642" operator="containsText" text="Ere">
      <formula>NOT(ISERROR(SEARCH(("Ere"),(K150))))</formula>
    </cfRule>
  </conditionalFormatting>
  <conditionalFormatting sqref="K150:L150">
    <cfRule type="containsText" dxfId="1" priority="643" operator="containsText" text="Ear">
      <formula>NOT(ISERROR(SEARCH(("Ear"),(K150))))</formula>
    </cfRule>
  </conditionalFormatting>
  <conditionalFormatting sqref="K150:L150">
    <cfRule type="containsText" dxfId="0" priority="644" operator="containsText" text="fnd">
      <formula>NOT(ISERROR(SEARCH(("fnd"),(K150))))</formula>
    </cfRule>
  </conditionalFormatting>
  <conditionalFormatting sqref="K158:L158">
    <cfRule type="containsText" dxfId="2" priority="645" operator="containsText" text="Str">
      <formula>NOT(ISERROR(SEARCH(("Str"),(K158))))</formula>
    </cfRule>
  </conditionalFormatting>
  <conditionalFormatting sqref="K158:L158">
    <cfRule type="containsText" dxfId="3" priority="646" operator="containsText" text="Ere">
      <formula>NOT(ISERROR(SEARCH(("Ere"),(K158))))</formula>
    </cfRule>
  </conditionalFormatting>
  <conditionalFormatting sqref="K158:L158">
    <cfRule type="containsText" dxfId="1" priority="647" operator="containsText" text="Ear">
      <formula>NOT(ISERROR(SEARCH(("Ear"),(K158))))</formula>
    </cfRule>
  </conditionalFormatting>
  <conditionalFormatting sqref="K158:L158">
    <cfRule type="containsText" dxfId="0" priority="648" operator="containsText" text="fnd">
      <formula>NOT(ISERROR(SEARCH(("fnd"),(K158))))</formula>
    </cfRule>
  </conditionalFormatting>
  <conditionalFormatting sqref="K166:L166">
    <cfRule type="containsText" dxfId="2" priority="649" operator="containsText" text="Str">
      <formula>NOT(ISERROR(SEARCH(("Str"),(K166))))</formula>
    </cfRule>
  </conditionalFormatting>
  <conditionalFormatting sqref="K166:L166">
    <cfRule type="containsText" dxfId="3" priority="650" operator="containsText" text="Ere">
      <formula>NOT(ISERROR(SEARCH(("Ere"),(K166))))</formula>
    </cfRule>
  </conditionalFormatting>
  <conditionalFormatting sqref="K166:L166">
    <cfRule type="containsText" dxfId="1" priority="651" operator="containsText" text="Ear">
      <formula>NOT(ISERROR(SEARCH(("Ear"),(K166))))</formula>
    </cfRule>
  </conditionalFormatting>
  <conditionalFormatting sqref="K166:L166">
    <cfRule type="containsText" dxfId="0" priority="652" operator="containsText" text="fnd">
      <formula>NOT(ISERROR(SEARCH(("fnd"),(K166))))</formula>
    </cfRule>
  </conditionalFormatting>
  <conditionalFormatting sqref="K174:L174">
    <cfRule type="containsText" dxfId="2" priority="653" operator="containsText" text="Str">
      <formula>NOT(ISERROR(SEARCH(("Str"),(K174))))</formula>
    </cfRule>
  </conditionalFormatting>
  <conditionalFormatting sqref="K174:L174">
    <cfRule type="containsText" dxfId="3" priority="654" operator="containsText" text="Ere">
      <formula>NOT(ISERROR(SEARCH(("Ere"),(K174))))</formula>
    </cfRule>
  </conditionalFormatting>
  <conditionalFormatting sqref="K174:L174">
    <cfRule type="containsText" dxfId="1" priority="655" operator="containsText" text="Ear">
      <formula>NOT(ISERROR(SEARCH(("Ear"),(K174))))</formula>
    </cfRule>
  </conditionalFormatting>
  <conditionalFormatting sqref="K174:L174">
    <cfRule type="containsText" dxfId="0" priority="656" operator="containsText" text="fnd">
      <formula>NOT(ISERROR(SEARCH(("fnd"),(K174))))</formula>
    </cfRule>
  </conditionalFormatting>
  <conditionalFormatting sqref="K182:L182">
    <cfRule type="containsText" dxfId="2" priority="657" operator="containsText" text="Str">
      <formula>NOT(ISERROR(SEARCH(("Str"),(K182))))</formula>
    </cfRule>
  </conditionalFormatting>
  <conditionalFormatting sqref="K182:L182">
    <cfRule type="containsText" dxfId="3" priority="658" operator="containsText" text="Ere">
      <formula>NOT(ISERROR(SEARCH(("Ere"),(K182))))</formula>
    </cfRule>
  </conditionalFormatting>
  <conditionalFormatting sqref="K182:L182">
    <cfRule type="containsText" dxfId="1" priority="659" operator="containsText" text="Ear">
      <formula>NOT(ISERROR(SEARCH(("Ear"),(K182))))</formula>
    </cfRule>
  </conditionalFormatting>
  <conditionalFormatting sqref="K182:L182">
    <cfRule type="containsText" dxfId="0" priority="660" operator="containsText" text="fnd">
      <formula>NOT(ISERROR(SEARCH(("fnd"),(K182))))</formula>
    </cfRule>
  </conditionalFormatting>
  <conditionalFormatting sqref="L6">
    <cfRule type="containsText" dxfId="2" priority="661" operator="containsText" text="Str">
      <formula>NOT(ISERROR(SEARCH(("Str"),(L6))))</formula>
    </cfRule>
  </conditionalFormatting>
  <conditionalFormatting sqref="L6">
    <cfRule type="containsText" dxfId="3" priority="662" operator="containsText" text="Ere">
      <formula>NOT(ISERROR(SEARCH(("Ere"),(L6))))</formula>
    </cfRule>
  </conditionalFormatting>
  <conditionalFormatting sqref="L6">
    <cfRule type="containsText" dxfId="1" priority="663" operator="containsText" text="Ear">
      <formula>NOT(ISERROR(SEARCH(("Ear"),(L6))))</formula>
    </cfRule>
  </conditionalFormatting>
  <conditionalFormatting sqref="L6">
    <cfRule type="containsText" dxfId="0" priority="664" operator="containsText" text="fnd">
      <formula>NOT(ISERROR(SEARCH(("fnd"),(L6))))</formula>
    </cfRule>
  </conditionalFormatting>
  <conditionalFormatting sqref="L14">
    <cfRule type="containsText" dxfId="2" priority="665" operator="containsText" text="Str">
      <formula>NOT(ISERROR(SEARCH(("Str"),(L14))))</formula>
    </cfRule>
  </conditionalFormatting>
  <conditionalFormatting sqref="L14">
    <cfRule type="containsText" dxfId="3" priority="666" operator="containsText" text="Ere">
      <formula>NOT(ISERROR(SEARCH(("Ere"),(L14))))</formula>
    </cfRule>
  </conditionalFormatting>
  <conditionalFormatting sqref="L14">
    <cfRule type="containsText" dxfId="1" priority="667" operator="containsText" text="Ear">
      <formula>NOT(ISERROR(SEARCH(("Ear"),(L14))))</formula>
    </cfRule>
  </conditionalFormatting>
  <conditionalFormatting sqref="L14">
    <cfRule type="containsText" dxfId="0" priority="668" operator="containsText" text="fnd">
      <formula>NOT(ISERROR(SEARCH(("fnd"),(L14))))</formula>
    </cfRule>
  </conditionalFormatting>
  <conditionalFormatting sqref="L22">
    <cfRule type="containsText" dxfId="2" priority="669" operator="containsText" text="Str">
      <formula>NOT(ISERROR(SEARCH(("Str"),(L22))))</formula>
    </cfRule>
  </conditionalFormatting>
  <conditionalFormatting sqref="L22">
    <cfRule type="containsText" dxfId="3" priority="670" operator="containsText" text="Ere">
      <formula>NOT(ISERROR(SEARCH(("Ere"),(L22))))</formula>
    </cfRule>
  </conditionalFormatting>
  <conditionalFormatting sqref="L22">
    <cfRule type="containsText" dxfId="1" priority="671" operator="containsText" text="Ear">
      <formula>NOT(ISERROR(SEARCH(("Ear"),(L22))))</formula>
    </cfRule>
  </conditionalFormatting>
  <conditionalFormatting sqref="L22">
    <cfRule type="containsText" dxfId="0" priority="672" operator="containsText" text="fnd">
      <formula>NOT(ISERROR(SEARCH(("fnd"),(L22))))</formula>
    </cfRule>
  </conditionalFormatting>
  <conditionalFormatting sqref="L38">
    <cfRule type="containsText" dxfId="2" priority="673" operator="containsText" text="Str">
      <formula>NOT(ISERROR(SEARCH(("Str"),(L38))))</formula>
    </cfRule>
  </conditionalFormatting>
  <conditionalFormatting sqref="L38">
    <cfRule type="containsText" dxfId="3" priority="674" operator="containsText" text="Ere">
      <formula>NOT(ISERROR(SEARCH(("Ere"),(L38))))</formula>
    </cfRule>
  </conditionalFormatting>
  <conditionalFormatting sqref="L38">
    <cfRule type="containsText" dxfId="1" priority="675" operator="containsText" text="Ear">
      <formula>NOT(ISERROR(SEARCH(("Ear"),(L38))))</formula>
    </cfRule>
  </conditionalFormatting>
  <conditionalFormatting sqref="L38">
    <cfRule type="containsText" dxfId="0" priority="676" operator="containsText" text="fnd">
      <formula>NOT(ISERROR(SEARCH(("fnd"),(L38))))</formula>
    </cfRule>
  </conditionalFormatting>
  <conditionalFormatting sqref="N5:N6">
    <cfRule type="containsText" dxfId="2" priority="677" operator="containsText" text="Str">
      <formula>NOT(ISERROR(SEARCH(("Str"),(N5))))</formula>
    </cfRule>
  </conditionalFormatting>
  <conditionalFormatting sqref="N5:N6">
    <cfRule type="containsText" dxfId="3" priority="678" operator="containsText" text="Ere">
      <formula>NOT(ISERROR(SEARCH(("Ere"),(N5))))</formula>
    </cfRule>
  </conditionalFormatting>
  <conditionalFormatting sqref="N5:N6">
    <cfRule type="containsText" dxfId="1" priority="679" operator="containsText" text="Ear">
      <formula>NOT(ISERROR(SEARCH(("Ear"),(N5))))</formula>
    </cfRule>
  </conditionalFormatting>
  <conditionalFormatting sqref="N5:N6">
    <cfRule type="containsText" dxfId="0" priority="680" operator="containsText" text="fnd">
      <formula>NOT(ISERROR(SEARCH(("fnd"),(N5))))</formula>
    </cfRule>
  </conditionalFormatting>
  <conditionalFormatting sqref="N13:N14">
    <cfRule type="containsText" dxfId="2" priority="681" operator="containsText" text="Str">
      <formula>NOT(ISERROR(SEARCH(("Str"),(N13))))</formula>
    </cfRule>
  </conditionalFormatting>
  <conditionalFormatting sqref="N13:N14">
    <cfRule type="containsText" dxfId="3" priority="682" operator="containsText" text="Ere">
      <formula>NOT(ISERROR(SEARCH(("Ere"),(N13))))</formula>
    </cfRule>
  </conditionalFormatting>
  <conditionalFormatting sqref="N13:N14">
    <cfRule type="containsText" dxfId="1" priority="683" operator="containsText" text="Ear">
      <formula>NOT(ISERROR(SEARCH(("Ear"),(N13))))</formula>
    </cfRule>
  </conditionalFormatting>
  <conditionalFormatting sqref="N13:N14">
    <cfRule type="containsText" dxfId="0" priority="684" operator="containsText" text="fnd">
      <formula>NOT(ISERROR(SEARCH(("fnd"),(N13))))</formula>
    </cfRule>
  </conditionalFormatting>
  <conditionalFormatting sqref="N21:N22">
    <cfRule type="containsText" dxfId="2" priority="685" operator="containsText" text="Str">
      <formula>NOT(ISERROR(SEARCH(("Str"),(N21))))</formula>
    </cfRule>
  </conditionalFormatting>
  <conditionalFormatting sqref="N21:N22">
    <cfRule type="containsText" dxfId="3" priority="686" operator="containsText" text="Ere">
      <formula>NOT(ISERROR(SEARCH(("Ere"),(N21))))</formula>
    </cfRule>
  </conditionalFormatting>
  <conditionalFormatting sqref="N21:N22">
    <cfRule type="containsText" dxfId="1" priority="687" operator="containsText" text="Ear">
      <formula>NOT(ISERROR(SEARCH(("Ear"),(N21))))</formula>
    </cfRule>
  </conditionalFormatting>
  <conditionalFormatting sqref="N21:N22">
    <cfRule type="containsText" dxfId="0" priority="688" operator="containsText" text="fnd">
      <formula>NOT(ISERROR(SEARCH(("fnd"),(N21))))</formula>
    </cfRule>
  </conditionalFormatting>
  <conditionalFormatting sqref="N29">
    <cfRule type="containsText" dxfId="2" priority="689" operator="containsText" text="Str">
      <formula>NOT(ISERROR(SEARCH(("Str"),(N29))))</formula>
    </cfRule>
  </conditionalFormatting>
  <conditionalFormatting sqref="N29">
    <cfRule type="containsText" dxfId="3" priority="690" operator="containsText" text="Ere">
      <formula>NOT(ISERROR(SEARCH(("Ere"),(N29))))</formula>
    </cfRule>
  </conditionalFormatting>
  <conditionalFormatting sqref="N29">
    <cfRule type="containsText" dxfId="1" priority="691" operator="containsText" text="Ear">
      <formula>NOT(ISERROR(SEARCH(("Ear"),(N29))))</formula>
    </cfRule>
  </conditionalFormatting>
  <conditionalFormatting sqref="N29">
    <cfRule type="containsText" dxfId="0" priority="692" operator="containsText" text="fnd">
      <formula>NOT(ISERROR(SEARCH(("fnd"),(N29))))</formula>
    </cfRule>
  </conditionalFormatting>
  <conditionalFormatting sqref="N37:N38">
    <cfRule type="containsText" dxfId="2" priority="693" operator="containsText" text="Str">
      <formula>NOT(ISERROR(SEARCH(("Str"),(N37))))</formula>
    </cfRule>
  </conditionalFormatting>
  <conditionalFormatting sqref="N37:N38">
    <cfRule type="containsText" dxfId="3" priority="694" operator="containsText" text="Ere">
      <formula>NOT(ISERROR(SEARCH(("Ere"),(N37))))</formula>
    </cfRule>
  </conditionalFormatting>
  <conditionalFormatting sqref="N37:N38">
    <cfRule type="containsText" dxfId="1" priority="695" operator="containsText" text="Ear">
      <formula>NOT(ISERROR(SEARCH(("Ear"),(N37))))</formula>
    </cfRule>
  </conditionalFormatting>
  <conditionalFormatting sqref="N37:N38">
    <cfRule type="containsText" dxfId="0" priority="696" operator="containsText" text="fnd">
      <formula>NOT(ISERROR(SEARCH(("fnd"),(N37))))</formula>
    </cfRule>
  </conditionalFormatting>
  <conditionalFormatting sqref="N45 T45 W45">
    <cfRule type="containsText" dxfId="2" priority="697" operator="containsText" text="Str">
      <formula>NOT(ISERROR(SEARCH(("Str"),(N45))))</formula>
    </cfRule>
  </conditionalFormatting>
  <conditionalFormatting sqref="N45 T45 W45">
    <cfRule type="containsText" dxfId="3" priority="698" operator="containsText" text="Ere">
      <formula>NOT(ISERROR(SEARCH(("Ere"),(N45))))</formula>
    </cfRule>
  </conditionalFormatting>
  <conditionalFormatting sqref="N45 T45 W45">
    <cfRule type="containsText" dxfId="1" priority="699" operator="containsText" text="Ear">
      <formula>NOT(ISERROR(SEARCH(("Ear"),(N45))))</formula>
    </cfRule>
  </conditionalFormatting>
  <conditionalFormatting sqref="N45 T45 W45">
    <cfRule type="containsText" dxfId="0" priority="700" operator="containsText" text="fnd">
      <formula>NOT(ISERROR(SEARCH(("fnd"),(N45))))</formula>
    </cfRule>
  </conditionalFormatting>
  <conditionalFormatting sqref="N53">
    <cfRule type="containsText" dxfId="2" priority="701" operator="containsText" text="Str">
      <formula>NOT(ISERROR(SEARCH(("Str"),(N53))))</formula>
    </cfRule>
  </conditionalFormatting>
  <conditionalFormatting sqref="N53">
    <cfRule type="containsText" dxfId="3" priority="702" operator="containsText" text="Ere">
      <formula>NOT(ISERROR(SEARCH(("Ere"),(N53))))</formula>
    </cfRule>
  </conditionalFormatting>
  <conditionalFormatting sqref="N53">
    <cfRule type="containsText" dxfId="1" priority="703" operator="containsText" text="Ear">
      <formula>NOT(ISERROR(SEARCH(("Ear"),(N53))))</formula>
    </cfRule>
  </conditionalFormatting>
  <conditionalFormatting sqref="N53">
    <cfRule type="containsText" dxfId="0" priority="704" operator="containsText" text="fnd">
      <formula>NOT(ISERROR(SEARCH(("fnd"),(N53))))</formula>
    </cfRule>
  </conditionalFormatting>
  <conditionalFormatting sqref="N61">
    <cfRule type="containsText" dxfId="2" priority="705" operator="containsText" text="Str">
      <formula>NOT(ISERROR(SEARCH(("Str"),(N61))))</formula>
    </cfRule>
  </conditionalFormatting>
  <conditionalFormatting sqref="N61">
    <cfRule type="containsText" dxfId="3" priority="706" operator="containsText" text="Ere">
      <formula>NOT(ISERROR(SEARCH(("Ere"),(N61))))</formula>
    </cfRule>
  </conditionalFormatting>
  <conditionalFormatting sqref="N61">
    <cfRule type="containsText" dxfId="1" priority="707" operator="containsText" text="Ear">
      <formula>NOT(ISERROR(SEARCH(("Ear"),(N61))))</formula>
    </cfRule>
  </conditionalFormatting>
  <conditionalFormatting sqref="N61">
    <cfRule type="containsText" dxfId="0" priority="708" operator="containsText" text="fnd">
      <formula>NOT(ISERROR(SEARCH(("fnd"),(N61))))</formula>
    </cfRule>
  </conditionalFormatting>
  <conditionalFormatting sqref="N93">
    <cfRule type="containsText" dxfId="2" priority="709" operator="containsText" text="Str">
      <formula>NOT(ISERROR(SEARCH(("Str"),(N93))))</formula>
    </cfRule>
  </conditionalFormatting>
  <conditionalFormatting sqref="N93">
    <cfRule type="containsText" dxfId="3" priority="710" operator="containsText" text="Ere">
      <formula>NOT(ISERROR(SEARCH(("Ere"),(N93))))</formula>
    </cfRule>
  </conditionalFormatting>
  <conditionalFormatting sqref="N93">
    <cfRule type="containsText" dxfId="1" priority="711" operator="containsText" text="Ear">
      <formula>NOT(ISERROR(SEARCH(("Ear"),(N93))))</formula>
    </cfRule>
  </conditionalFormatting>
  <conditionalFormatting sqref="N93">
    <cfRule type="containsText" dxfId="0" priority="712" operator="containsText" text="fnd">
      <formula>NOT(ISERROR(SEARCH(("fnd"),(N93))))</formula>
    </cfRule>
  </conditionalFormatting>
  <conditionalFormatting sqref="N101">
    <cfRule type="containsText" dxfId="2" priority="713" operator="containsText" text="Str">
      <formula>NOT(ISERROR(SEARCH(("Str"),(N101))))</formula>
    </cfRule>
  </conditionalFormatting>
  <conditionalFormatting sqref="N101">
    <cfRule type="containsText" dxfId="3" priority="714" operator="containsText" text="Ere">
      <formula>NOT(ISERROR(SEARCH(("Ere"),(N101))))</formula>
    </cfRule>
  </conditionalFormatting>
  <conditionalFormatting sqref="N101">
    <cfRule type="containsText" dxfId="1" priority="715" operator="containsText" text="Ear">
      <formula>NOT(ISERROR(SEARCH(("Ear"),(N101))))</formula>
    </cfRule>
  </conditionalFormatting>
  <conditionalFormatting sqref="N101">
    <cfRule type="containsText" dxfId="0" priority="716" operator="containsText" text="fnd">
      <formula>NOT(ISERROR(SEARCH(("fnd"),(N101))))</formula>
    </cfRule>
  </conditionalFormatting>
  <conditionalFormatting sqref="N109">
    <cfRule type="containsText" dxfId="2" priority="717" operator="containsText" text="Str">
      <formula>NOT(ISERROR(SEARCH(("Str"),(N109))))</formula>
    </cfRule>
  </conditionalFormatting>
  <conditionalFormatting sqref="N109">
    <cfRule type="containsText" dxfId="3" priority="718" operator="containsText" text="Ere">
      <formula>NOT(ISERROR(SEARCH(("Ere"),(N109))))</formula>
    </cfRule>
  </conditionalFormatting>
  <conditionalFormatting sqref="N109">
    <cfRule type="containsText" dxfId="1" priority="719" operator="containsText" text="Ear">
      <formula>NOT(ISERROR(SEARCH(("Ear"),(N109))))</formula>
    </cfRule>
  </conditionalFormatting>
  <conditionalFormatting sqref="N109">
    <cfRule type="containsText" dxfId="0" priority="720" operator="containsText" text="fnd">
      <formula>NOT(ISERROR(SEARCH(("fnd"),(N109))))</formula>
    </cfRule>
  </conditionalFormatting>
  <conditionalFormatting sqref="N117">
    <cfRule type="containsText" dxfId="2" priority="721" operator="containsText" text="Str">
      <formula>NOT(ISERROR(SEARCH(("Str"),(N117))))</formula>
    </cfRule>
  </conditionalFormatting>
  <conditionalFormatting sqref="N117">
    <cfRule type="containsText" dxfId="3" priority="722" operator="containsText" text="Ere">
      <formula>NOT(ISERROR(SEARCH(("Ere"),(N117))))</formula>
    </cfRule>
  </conditionalFormatting>
  <conditionalFormatting sqref="N117">
    <cfRule type="containsText" dxfId="1" priority="723" operator="containsText" text="Ear">
      <formula>NOT(ISERROR(SEARCH(("Ear"),(N117))))</formula>
    </cfRule>
  </conditionalFormatting>
  <conditionalFormatting sqref="N117">
    <cfRule type="containsText" dxfId="0" priority="724" operator="containsText" text="fnd">
      <formula>NOT(ISERROR(SEARCH(("fnd"),(N117))))</formula>
    </cfRule>
  </conditionalFormatting>
  <conditionalFormatting sqref="N122 N130 N138 N162 N178">
    <cfRule type="containsText" dxfId="2" priority="725" operator="containsText" text="Str">
      <formula>NOT(ISERROR(SEARCH(("Str"),(N122))))</formula>
    </cfRule>
  </conditionalFormatting>
  <conditionalFormatting sqref="N122 N130 N138 N162 N178">
    <cfRule type="containsText" dxfId="3" priority="726" operator="containsText" text="Ere">
      <formula>NOT(ISERROR(SEARCH(("Ere"),(N122))))</formula>
    </cfRule>
  </conditionalFormatting>
  <conditionalFormatting sqref="N122 N130 N138 N162 N178">
    <cfRule type="containsText" dxfId="1" priority="727" operator="containsText" text="Ear">
      <formula>NOT(ISERROR(SEARCH(("Ear"),(N122))))</formula>
    </cfRule>
  </conditionalFormatting>
  <conditionalFormatting sqref="N122 N130 N138 N162 N178">
    <cfRule type="containsText" dxfId="0" priority="728" operator="containsText" text="fnd">
      <formula>NOT(ISERROR(SEARCH(("fnd"),(N122))))</formula>
    </cfRule>
  </conditionalFormatting>
  <conditionalFormatting sqref="N125">
    <cfRule type="containsText" dxfId="2" priority="729" operator="containsText" text="Str">
      <formula>NOT(ISERROR(SEARCH(("Str"),(N125))))</formula>
    </cfRule>
  </conditionalFormatting>
  <conditionalFormatting sqref="N125">
    <cfRule type="containsText" dxfId="3" priority="730" operator="containsText" text="Ere">
      <formula>NOT(ISERROR(SEARCH(("Ere"),(N125))))</formula>
    </cfRule>
  </conditionalFormatting>
  <conditionalFormatting sqref="N125">
    <cfRule type="containsText" dxfId="1" priority="731" operator="containsText" text="Ear">
      <formula>NOT(ISERROR(SEARCH(("Ear"),(N125))))</formula>
    </cfRule>
  </conditionalFormatting>
  <conditionalFormatting sqref="N125">
    <cfRule type="containsText" dxfId="0" priority="732" operator="containsText" text="fnd">
      <formula>NOT(ISERROR(SEARCH(("fnd"),(N125))))</formula>
    </cfRule>
  </conditionalFormatting>
  <conditionalFormatting sqref="N133">
    <cfRule type="containsText" dxfId="2" priority="733" operator="containsText" text="Str">
      <formula>NOT(ISERROR(SEARCH(("Str"),(N133))))</formula>
    </cfRule>
  </conditionalFormatting>
  <conditionalFormatting sqref="N133">
    <cfRule type="containsText" dxfId="3" priority="734" operator="containsText" text="Ere">
      <formula>NOT(ISERROR(SEARCH(("Ere"),(N133))))</formula>
    </cfRule>
  </conditionalFormatting>
  <conditionalFormatting sqref="N133">
    <cfRule type="containsText" dxfId="1" priority="735" operator="containsText" text="Ear">
      <formula>NOT(ISERROR(SEARCH(("Ear"),(N133))))</formula>
    </cfRule>
  </conditionalFormatting>
  <conditionalFormatting sqref="N133">
    <cfRule type="containsText" dxfId="0" priority="736" operator="containsText" text="fnd">
      <formula>NOT(ISERROR(SEARCH(("fnd"),(N133))))</formula>
    </cfRule>
  </conditionalFormatting>
  <conditionalFormatting sqref="N141">
    <cfRule type="containsText" dxfId="2" priority="737" operator="containsText" text="Str">
      <formula>NOT(ISERROR(SEARCH(("Str"),(N141))))</formula>
    </cfRule>
  </conditionalFormatting>
  <conditionalFormatting sqref="N141">
    <cfRule type="containsText" dxfId="3" priority="738" operator="containsText" text="Ere">
      <formula>NOT(ISERROR(SEARCH(("Ere"),(N141))))</formula>
    </cfRule>
  </conditionalFormatting>
  <conditionalFormatting sqref="N141">
    <cfRule type="containsText" dxfId="1" priority="739" operator="containsText" text="Ear">
      <formula>NOT(ISERROR(SEARCH(("Ear"),(N141))))</formula>
    </cfRule>
  </conditionalFormatting>
  <conditionalFormatting sqref="N141">
    <cfRule type="containsText" dxfId="0" priority="740" operator="containsText" text="fnd">
      <formula>NOT(ISERROR(SEARCH(("fnd"),(N141))))</formula>
    </cfRule>
  </conditionalFormatting>
  <conditionalFormatting sqref="N149">
    <cfRule type="containsText" dxfId="2" priority="741" operator="containsText" text="Str">
      <formula>NOT(ISERROR(SEARCH(("Str"),(N149))))</formula>
    </cfRule>
  </conditionalFormatting>
  <conditionalFormatting sqref="N149">
    <cfRule type="containsText" dxfId="3" priority="742" operator="containsText" text="Ere">
      <formula>NOT(ISERROR(SEARCH(("Ere"),(N149))))</formula>
    </cfRule>
  </conditionalFormatting>
  <conditionalFormatting sqref="N149">
    <cfRule type="containsText" dxfId="1" priority="743" operator="containsText" text="Ear">
      <formula>NOT(ISERROR(SEARCH(("Ear"),(N149))))</formula>
    </cfRule>
  </conditionalFormatting>
  <conditionalFormatting sqref="N149">
    <cfRule type="containsText" dxfId="0" priority="744" operator="containsText" text="fnd">
      <formula>NOT(ISERROR(SEARCH(("fnd"),(N149))))</formula>
    </cfRule>
  </conditionalFormatting>
  <conditionalFormatting sqref="N157">
    <cfRule type="containsText" dxfId="2" priority="745" operator="containsText" text="Str">
      <formula>NOT(ISERROR(SEARCH(("Str"),(N157))))</formula>
    </cfRule>
  </conditionalFormatting>
  <conditionalFormatting sqref="N157">
    <cfRule type="containsText" dxfId="3" priority="746" operator="containsText" text="Ere">
      <formula>NOT(ISERROR(SEARCH(("Ere"),(N157))))</formula>
    </cfRule>
  </conditionalFormatting>
  <conditionalFormatting sqref="N157">
    <cfRule type="containsText" dxfId="1" priority="747" operator="containsText" text="Ear">
      <formula>NOT(ISERROR(SEARCH(("Ear"),(N157))))</formula>
    </cfRule>
  </conditionalFormatting>
  <conditionalFormatting sqref="N157">
    <cfRule type="containsText" dxfId="0" priority="748" operator="containsText" text="fnd">
      <formula>NOT(ISERROR(SEARCH(("fnd"),(N157))))</formula>
    </cfRule>
  </conditionalFormatting>
  <conditionalFormatting sqref="N165">
    <cfRule type="containsText" dxfId="2" priority="749" operator="containsText" text="Str">
      <formula>NOT(ISERROR(SEARCH(("Str"),(N165))))</formula>
    </cfRule>
  </conditionalFormatting>
  <conditionalFormatting sqref="N165">
    <cfRule type="containsText" dxfId="3" priority="750" operator="containsText" text="Ere">
      <formula>NOT(ISERROR(SEARCH(("Ere"),(N165))))</formula>
    </cfRule>
  </conditionalFormatting>
  <conditionalFormatting sqref="N165">
    <cfRule type="containsText" dxfId="1" priority="751" operator="containsText" text="Ear">
      <formula>NOT(ISERROR(SEARCH(("Ear"),(N165))))</formula>
    </cfRule>
  </conditionalFormatting>
  <conditionalFormatting sqref="N165">
    <cfRule type="containsText" dxfId="0" priority="752" operator="containsText" text="fnd">
      <formula>NOT(ISERROR(SEARCH(("fnd"),(N165))))</formula>
    </cfRule>
  </conditionalFormatting>
  <conditionalFormatting sqref="N173">
    <cfRule type="containsText" dxfId="2" priority="753" operator="containsText" text="Str">
      <formula>NOT(ISERROR(SEARCH(("Str"),(N173))))</formula>
    </cfRule>
  </conditionalFormatting>
  <conditionalFormatting sqref="N173">
    <cfRule type="containsText" dxfId="3" priority="754" operator="containsText" text="Ere">
      <formula>NOT(ISERROR(SEARCH(("Ere"),(N173))))</formula>
    </cfRule>
  </conditionalFormatting>
  <conditionalFormatting sqref="N173">
    <cfRule type="containsText" dxfId="1" priority="755" operator="containsText" text="Ear">
      <formula>NOT(ISERROR(SEARCH(("Ear"),(N173))))</formula>
    </cfRule>
  </conditionalFormatting>
  <conditionalFormatting sqref="N173">
    <cfRule type="containsText" dxfId="0" priority="756" operator="containsText" text="fnd">
      <formula>NOT(ISERROR(SEARCH(("fnd"),(N173))))</formula>
    </cfRule>
  </conditionalFormatting>
  <conditionalFormatting sqref="N181">
    <cfRule type="containsText" dxfId="2" priority="757" operator="containsText" text="Str">
      <formula>NOT(ISERROR(SEARCH(("Str"),(N181))))</formula>
    </cfRule>
  </conditionalFormatting>
  <conditionalFormatting sqref="N181">
    <cfRule type="containsText" dxfId="3" priority="758" operator="containsText" text="Ere">
      <formula>NOT(ISERROR(SEARCH(("Ere"),(N181))))</formula>
    </cfRule>
  </conditionalFormatting>
  <conditionalFormatting sqref="N181">
    <cfRule type="containsText" dxfId="1" priority="759" operator="containsText" text="Ear">
      <formula>NOT(ISERROR(SEARCH(("Ear"),(N181))))</formula>
    </cfRule>
  </conditionalFormatting>
  <conditionalFormatting sqref="N181">
    <cfRule type="containsText" dxfId="0" priority="760" operator="containsText" text="fnd">
      <formula>NOT(ISERROR(SEARCH(("fnd"),(N181))))</formula>
    </cfRule>
  </conditionalFormatting>
  <conditionalFormatting sqref="N30:O30">
    <cfRule type="containsText" dxfId="2" priority="761" operator="containsText" text="Str">
      <formula>NOT(ISERROR(SEARCH(("Str"),(N30))))</formula>
    </cfRule>
  </conditionalFormatting>
  <conditionalFormatting sqref="N30:O30">
    <cfRule type="containsText" dxfId="3" priority="762" operator="containsText" text="Ere">
      <formula>NOT(ISERROR(SEARCH(("Ere"),(N30))))</formula>
    </cfRule>
  </conditionalFormatting>
  <conditionalFormatting sqref="N30:O30">
    <cfRule type="containsText" dxfId="1" priority="763" operator="containsText" text="Ear">
      <formula>NOT(ISERROR(SEARCH(("Ear"),(N30))))</formula>
    </cfRule>
  </conditionalFormatting>
  <conditionalFormatting sqref="N30:O30">
    <cfRule type="containsText" dxfId="0" priority="764" operator="containsText" text="fnd">
      <formula>NOT(ISERROR(SEARCH(("fnd"),(N30))))</formula>
    </cfRule>
  </conditionalFormatting>
  <conditionalFormatting sqref="N46:O46">
    <cfRule type="containsText" dxfId="2" priority="765" operator="containsText" text="Str">
      <formula>NOT(ISERROR(SEARCH(("Str"),(N46))))</formula>
    </cfRule>
  </conditionalFormatting>
  <conditionalFormatting sqref="N46:O46">
    <cfRule type="containsText" dxfId="3" priority="766" operator="containsText" text="Ere">
      <formula>NOT(ISERROR(SEARCH(("Ere"),(N46))))</formula>
    </cfRule>
  </conditionalFormatting>
  <conditionalFormatting sqref="N46:O46">
    <cfRule type="containsText" dxfId="1" priority="767" operator="containsText" text="Ear">
      <formula>NOT(ISERROR(SEARCH(("Ear"),(N46))))</formula>
    </cfRule>
  </conditionalFormatting>
  <conditionalFormatting sqref="N46:O46">
    <cfRule type="containsText" dxfId="0" priority="768" operator="containsText" text="fnd">
      <formula>NOT(ISERROR(SEARCH(("fnd"),(N46))))</formula>
    </cfRule>
  </conditionalFormatting>
  <conditionalFormatting sqref="N54:O54">
    <cfRule type="containsText" dxfId="2" priority="769" operator="containsText" text="Str">
      <formula>NOT(ISERROR(SEARCH(("Str"),(N54))))</formula>
    </cfRule>
  </conditionalFormatting>
  <conditionalFormatting sqref="N54:O54">
    <cfRule type="containsText" dxfId="3" priority="770" operator="containsText" text="Ere">
      <formula>NOT(ISERROR(SEARCH(("Ere"),(N54))))</formula>
    </cfRule>
  </conditionalFormatting>
  <conditionalFormatting sqref="N54:O54">
    <cfRule type="containsText" dxfId="1" priority="771" operator="containsText" text="Ear">
      <formula>NOT(ISERROR(SEARCH(("Ear"),(N54))))</formula>
    </cfRule>
  </conditionalFormatting>
  <conditionalFormatting sqref="N54:O54">
    <cfRule type="containsText" dxfId="0" priority="772" operator="containsText" text="fnd">
      <formula>NOT(ISERROR(SEARCH(("fnd"),(N54))))</formula>
    </cfRule>
  </conditionalFormatting>
  <conditionalFormatting sqref="N62:O62">
    <cfRule type="containsText" dxfId="2" priority="773" operator="containsText" text="Str">
      <formula>NOT(ISERROR(SEARCH(("Str"),(N62))))</formula>
    </cfRule>
  </conditionalFormatting>
  <conditionalFormatting sqref="N62:O62">
    <cfRule type="containsText" dxfId="3" priority="774" operator="containsText" text="Ere">
      <formula>NOT(ISERROR(SEARCH(("Ere"),(N62))))</formula>
    </cfRule>
  </conditionalFormatting>
  <conditionalFormatting sqref="N62:O62">
    <cfRule type="containsText" dxfId="1" priority="775" operator="containsText" text="Ear">
      <formula>NOT(ISERROR(SEARCH(("Ear"),(N62))))</formula>
    </cfRule>
  </conditionalFormatting>
  <conditionalFormatting sqref="N62:O62">
    <cfRule type="containsText" dxfId="0" priority="776" operator="containsText" text="fnd">
      <formula>NOT(ISERROR(SEARCH(("fnd"),(N62))))</formula>
    </cfRule>
  </conditionalFormatting>
  <conditionalFormatting sqref="N94:O94">
    <cfRule type="containsText" dxfId="2" priority="777" operator="containsText" text="Str">
      <formula>NOT(ISERROR(SEARCH(("Str"),(N94))))</formula>
    </cfRule>
  </conditionalFormatting>
  <conditionalFormatting sqref="N94:O94">
    <cfRule type="containsText" dxfId="3" priority="778" operator="containsText" text="Ere">
      <formula>NOT(ISERROR(SEARCH(("Ere"),(N94))))</formula>
    </cfRule>
  </conditionalFormatting>
  <conditionalFormatting sqref="N94:O94">
    <cfRule type="containsText" dxfId="1" priority="779" operator="containsText" text="Ear">
      <formula>NOT(ISERROR(SEARCH(("Ear"),(N94))))</formula>
    </cfRule>
  </conditionalFormatting>
  <conditionalFormatting sqref="N94:O94">
    <cfRule type="containsText" dxfId="0" priority="780" operator="containsText" text="fnd">
      <formula>NOT(ISERROR(SEARCH(("fnd"),(N94))))</formula>
    </cfRule>
  </conditionalFormatting>
  <conditionalFormatting sqref="N102:O102">
    <cfRule type="containsText" dxfId="2" priority="781" operator="containsText" text="Str">
      <formula>NOT(ISERROR(SEARCH(("Str"),(N102))))</formula>
    </cfRule>
  </conditionalFormatting>
  <conditionalFormatting sqref="N102:O102">
    <cfRule type="containsText" dxfId="3" priority="782" operator="containsText" text="Ere">
      <formula>NOT(ISERROR(SEARCH(("Ere"),(N102))))</formula>
    </cfRule>
  </conditionalFormatting>
  <conditionalFormatting sqref="N102:O102">
    <cfRule type="containsText" dxfId="1" priority="783" operator="containsText" text="Ear">
      <formula>NOT(ISERROR(SEARCH(("Ear"),(N102))))</formula>
    </cfRule>
  </conditionalFormatting>
  <conditionalFormatting sqref="N102:O102">
    <cfRule type="containsText" dxfId="0" priority="784" operator="containsText" text="fnd">
      <formula>NOT(ISERROR(SEARCH(("fnd"),(N102))))</formula>
    </cfRule>
  </conditionalFormatting>
  <conditionalFormatting sqref="N110:O110">
    <cfRule type="containsText" dxfId="2" priority="785" operator="containsText" text="Str">
      <formula>NOT(ISERROR(SEARCH(("Str"),(N110))))</formula>
    </cfRule>
  </conditionalFormatting>
  <conditionalFormatting sqref="N110:O110">
    <cfRule type="containsText" dxfId="3" priority="786" operator="containsText" text="Ere">
      <formula>NOT(ISERROR(SEARCH(("Ere"),(N110))))</formula>
    </cfRule>
  </conditionalFormatting>
  <conditionalFormatting sqref="N110:O110">
    <cfRule type="containsText" dxfId="1" priority="787" operator="containsText" text="Ear">
      <formula>NOT(ISERROR(SEARCH(("Ear"),(N110))))</formula>
    </cfRule>
  </conditionalFormatting>
  <conditionalFormatting sqref="N110:O110">
    <cfRule type="containsText" dxfId="0" priority="788" operator="containsText" text="fnd">
      <formula>NOT(ISERROR(SEARCH(("fnd"),(N110))))</formula>
    </cfRule>
  </conditionalFormatting>
  <conditionalFormatting sqref="N118:O118">
    <cfRule type="containsText" dxfId="2" priority="789" operator="containsText" text="Str">
      <formula>NOT(ISERROR(SEARCH(("Str"),(N118))))</formula>
    </cfRule>
  </conditionalFormatting>
  <conditionalFormatting sqref="N118:O118">
    <cfRule type="containsText" dxfId="3" priority="790" operator="containsText" text="Ere">
      <formula>NOT(ISERROR(SEARCH(("Ere"),(N118))))</formula>
    </cfRule>
  </conditionalFormatting>
  <conditionalFormatting sqref="N118:O118">
    <cfRule type="containsText" dxfId="1" priority="791" operator="containsText" text="Ear">
      <formula>NOT(ISERROR(SEARCH(("Ear"),(N118))))</formula>
    </cfRule>
  </conditionalFormatting>
  <conditionalFormatting sqref="N118:O118">
    <cfRule type="containsText" dxfId="0" priority="792" operator="containsText" text="fnd">
      <formula>NOT(ISERROR(SEARCH(("fnd"),(N118))))</formula>
    </cfRule>
  </conditionalFormatting>
  <conditionalFormatting sqref="N126:O126">
    <cfRule type="containsText" dxfId="2" priority="793" operator="containsText" text="Str">
      <formula>NOT(ISERROR(SEARCH(("Str"),(N126))))</formula>
    </cfRule>
  </conditionalFormatting>
  <conditionalFormatting sqref="N126:O126">
    <cfRule type="containsText" dxfId="3" priority="794" operator="containsText" text="Ere">
      <formula>NOT(ISERROR(SEARCH(("Ere"),(N126))))</formula>
    </cfRule>
  </conditionalFormatting>
  <conditionalFormatting sqref="N126:O126">
    <cfRule type="containsText" dxfId="1" priority="795" operator="containsText" text="Ear">
      <formula>NOT(ISERROR(SEARCH(("Ear"),(N126))))</formula>
    </cfRule>
  </conditionalFormatting>
  <conditionalFormatting sqref="N126:O126">
    <cfRule type="containsText" dxfId="0" priority="796" operator="containsText" text="fnd">
      <formula>NOT(ISERROR(SEARCH(("fnd"),(N126))))</formula>
    </cfRule>
  </conditionalFormatting>
  <conditionalFormatting sqref="N134:O134">
    <cfRule type="containsText" dxfId="2" priority="797" operator="containsText" text="Str">
      <formula>NOT(ISERROR(SEARCH(("Str"),(N134))))</formula>
    </cfRule>
  </conditionalFormatting>
  <conditionalFormatting sqref="N134:O134">
    <cfRule type="containsText" dxfId="3" priority="798" operator="containsText" text="Ere">
      <formula>NOT(ISERROR(SEARCH(("Ere"),(N134))))</formula>
    </cfRule>
  </conditionalFormatting>
  <conditionalFormatting sqref="N134:O134">
    <cfRule type="containsText" dxfId="1" priority="799" operator="containsText" text="Ear">
      <formula>NOT(ISERROR(SEARCH(("Ear"),(N134))))</formula>
    </cfRule>
  </conditionalFormatting>
  <conditionalFormatting sqref="N134:O134">
    <cfRule type="containsText" dxfId="0" priority="800" operator="containsText" text="fnd">
      <formula>NOT(ISERROR(SEARCH(("fnd"),(N134))))</formula>
    </cfRule>
  </conditionalFormatting>
  <conditionalFormatting sqref="N142:O142">
    <cfRule type="containsText" dxfId="2" priority="801" operator="containsText" text="Str">
      <formula>NOT(ISERROR(SEARCH(("Str"),(N142))))</formula>
    </cfRule>
  </conditionalFormatting>
  <conditionalFormatting sqref="N142:O142">
    <cfRule type="containsText" dxfId="3" priority="802" operator="containsText" text="Ere">
      <formula>NOT(ISERROR(SEARCH(("Ere"),(N142))))</formula>
    </cfRule>
  </conditionalFormatting>
  <conditionalFormatting sqref="N142:O142">
    <cfRule type="containsText" dxfId="1" priority="803" operator="containsText" text="Ear">
      <formula>NOT(ISERROR(SEARCH(("Ear"),(N142))))</formula>
    </cfRule>
  </conditionalFormatting>
  <conditionalFormatting sqref="N142:O142">
    <cfRule type="containsText" dxfId="0" priority="804" operator="containsText" text="fnd">
      <formula>NOT(ISERROR(SEARCH(("fnd"),(N142))))</formula>
    </cfRule>
  </conditionalFormatting>
  <conditionalFormatting sqref="N158:O158">
    <cfRule type="containsText" dxfId="2" priority="805" operator="containsText" text="Str">
      <formula>NOT(ISERROR(SEARCH(("Str"),(N158))))</formula>
    </cfRule>
  </conditionalFormatting>
  <conditionalFormatting sqref="N158:O158">
    <cfRule type="containsText" dxfId="3" priority="806" operator="containsText" text="Ere">
      <formula>NOT(ISERROR(SEARCH(("Ere"),(N158))))</formula>
    </cfRule>
  </conditionalFormatting>
  <conditionalFormatting sqref="N158:O158">
    <cfRule type="containsText" dxfId="1" priority="807" operator="containsText" text="Ear">
      <formula>NOT(ISERROR(SEARCH(("Ear"),(N158))))</formula>
    </cfRule>
  </conditionalFormatting>
  <conditionalFormatting sqref="N158:O158">
    <cfRule type="containsText" dxfId="0" priority="808" operator="containsText" text="fnd">
      <formula>NOT(ISERROR(SEARCH(("fnd"),(N158))))</formula>
    </cfRule>
  </conditionalFormatting>
  <conditionalFormatting sqref="N166:O166">
    <cfRule type="containsText" dxfId="2" priority="809" operator="containsText" text="Str">
      <formula>NOT(ISERROR(SEARCH(("Str"),(N166))))</formula>
    </cfRule>
  </conditionalFormatting>
  <conditionalFormatting sqref="N166:O166">
    <cfRule type="containsText" dxfId="3" priority="810" operator="containsText" text="Ere">
      <formula>NOT(ISERROR(SEARCH(("Ere"),(N166))))</formula>
    </cfRule>
  </conditionalFormatting>
  <conditionalFormatting sqref="N166:O166">
    <cfRule type="containsText" dxfId="1" priority="811" operator="containsText" text="Ear">
      <formula>NOT(ISERROR(SEARCH(("Ear"),(N166))))</formula>
    </cfRule>
  </conditionalFormatting>
  <conditionalFormatting sqref="N166:O166">
    <cfRule type="containsText" dxfId="0" priority="812" operator="containsText" text="fnd">
      <formula>NOT(ISERROR(SEARCH(("fnd"),(N166))))</formula>
    </cfRule>
  </conditionalFormatting>
  <conditionalFormatting sqref="N174:O174">
    <cfRule type="containsText" dxfId="2" priority="813" operator="containsText" text="Str">
      <formula>NOT(ISERROR(SEARCH(("Str"),(N174))))</formula>
    </cfRule>
  </conditionalFormatting>
  <conditionalFormatting sqref="N174:O174">
    <cfRule type="containsText" dxfId="3" priority="814" operator="containsText" text="Ere">
      <formula>NOT(ISERROR(SEARCH(("Ere"),(N174))))</formula>
    </cfRule>
  </conditionalFormatting>
  <conditionalFormatting sqref="N174:O174">
    <cfRule type="containsText" dxfId="1" priority="815" operator="containsText" text="Ear">
      <formula>NOT(ISERROR(SEARCH(("Ear"),(N174))))</formula>
    </cfRule>
  </conditionalFormatting>
  <conditionalFormatting sqref="N174:O174">
    <cfRule type="containsText" dxfId="0" priority="816" operator="containsText" text="fnd">
      <formula>NOT(ISERROR(SEARCH(("fnd"),(N174))))</formula>
    </cfRule>
  </conditionalFormatting>
  <conditionalFormatting sqref="N182:O182">
    <cfRule type="containsText" dxfId="2" priority="817" operator="containsText" text="Str">
      <formula>NOT(ISERROR(SEARCH(("Str"),(N182))))</formula>
    </cfRule>
  </conditionalFormatting>
  <conditionalFormatting sqref="N182:O182">
    <cfRule type="containsText" dxfId="3" priority="818" operator="containsText" text="Ere">
      <formula>NOT(ISERROR(SEARCH(("Ere"),(N182))))</formula>
    </cfRule>
  </conditionalFormatting>
  <conditionalFormatting sqref="N182:O182">
    <cfRule type="containsText" dxfId="1" priority="819" operator="containsText" text="Ear">
      <formula>NOT(ISERROR(SEARCH(("Ear"),(N182))))</formula>
    </cfRule>
  </conditionalFormatting>
  <conditionalFormatting sqref="N182:O182">
    <cfRule type="containsText" dxfId="0" priority="820" operator="containsText" text="fnd">
      <formula>NOT(ISERROR(SEARCH(("fnd"),(N182))))</formula>
    </cfRule>
  </conditionalFormatting>
  <conditionalFormatting sqref="O6">
    <cfRule type="containsText" dxfId="2" priority="821" operator="containsText" text="Str">
      <formula>NOT(ISERROR(SEARCH(("Str"),(O6))))</formula>
    </cfRule>
  </conditionalFormatting>
  <conditionalFormatting sqref="O6">
    <cfRule type="containsText" dxfId="3" priority="822" operator="containsText" text="Ere">
      <formula>NOT(ISERROR(SEARCH(("Ere"),(O6))))</formula>
    </cfRule>
  </conditionalFormatting>
  <conditionalFormatting sqref="O6">
    <cfRule type="containsText" dxfId="1" priority="823" operator="containsText" text="Ear">
      <formula>NOT(ISERROR(SEARCH(("Ear"),(O6))))</formula>
    </cfRule>
  </conditionalFormatting>
  <conditionalFormatting sqref="O6">
    <cfRule type="containsText" dxfId="0" priority="824" operator="containsText" text="fnd">
      <formula>NOT(ISERROR(SEARCH(("fnd"),(O6))))</formula>
    </cfRule>
  </conditionalFormatting>
  <conditionalFormatting sqref="O14">
    <cfRule type="containsText" dxfId="2" priority="825" operator="containsText" text="Str">
      <formula>NOT(ISERROR(SEARCH(("Str"),(O14))))</formula>
    </cfRule>
  </conditionalFormatting>
  <conditionalFormatting sqref="O14">
    <cfRule type="containsText" dxfId="3" priority="826" operator="containsText" text="Ere">
      <formula>NOT(ISERROR(SEARCH(("Ere"),(O14))))</formula>
    </cfRule>
  </conditionalFormatting>
  <conditionalFormatting sqref="O14">
    <cfRule type="containsText" dxfId="1" priority="827" operator="containsText" text="Ear">
      <formula>NOT(ISERROR(SEARCH(("Ear"),(O14))))</formula>
    </cfRule>
  </conditionalFormatting>
  <conditionalFormatting sqref="O14">
    <cfRule type="containsText" dxfId="0" priority="828" operator="containsText" text="fnd">
      <formula>NOT(ISERROR(SEARCH(("fnd"),(O14))))</formula>
    </cfRule>
  </conditionalFormatting>
  <conditionalFormatting sqref="O22">
    <cfRule type="containsText" dxfId="2" priority="829" operator="containsText" text="Str">
      <formula>NOT(ISERROR(SEARCH(("Str"),(O22))))</formula>
    </cfRule>
  </conditionalFormatting>
  <conditionalFormatting sqref="O22">
    <cfRule type="containsText" dxfId="3" priority="830" operator="containsText" text="Ere">
      <formula>NOT(ISERROR(SEARCH(("Ere"),(O22))))</formula>
    </cfRule>
  </conditionalFormatting>
  <conditionalFormatting sqref="O22">
    <cfRule type="containsText" dxfId="1" priority="831" operator="containsText" text="Ear">
      <formula>NOT(ISERROR(SEARCH(("Ear"),(O22))))</formula>
    </cfRule>
  </conditionalFormatting>
  <conditionalFormatting sqref="O22">
    <cfRule type="containsText" dxfId="0" priority="832" operator="containsText" text="fnd">
      <formula>NOT(ISERROR(SEARCH(("fnd"),(O22))))</formula>
    </cfRule>
  </conditionalFormatting>
  <conditionalFormatting sqref="O38">
    <cfRule type="containsText" dxfId="2" priority="833" operator="containsText" text="Str">
      <formula>NOT(ISERROR(SEARCH(("Str"),(O38))))</formula>
    </cfRule>
  </conditionalFormatting>
  <conditionalFormatting sqref="O38">
    <cfRule type="containsText" dxfId="3" priority="834" operator="containsText" text="Ere">
      <formula>NOT(ISERROR(SEARCH(("Ere"),(O38))))</formula>
    </cfRule>
  </conditionalFormatting>
  <conditionalFormatting sqref="O38">
    <cfRule type="containsText" dxfId="1" priority="835" operator="containsText" text="Ear">
      <formula>NOT(ISERROR(SEARCH(("Ear"),(O38))))</formula>
    </cfRule>
  </conditionalFormatting>
  <conditionalFormatting sqref="O38">
    <cfRule type="containsText" dxfId="0" priority="836" operator="containsText" text="fnd">
      <formula>NOT(ISERROR(SEARCH(("fnd"),(O38))))</formula>
    </cfRule>
  </conditionalFormatting>
  <conditionalFormatting sqref="O78">
    <cfRule type="containsText" dxfId="2" priority="837" operator="containsText" text="Str">
      <formula>NOT(ISERROR(SEARCH(("Str"),(O78))))</formula>
    </cfRule>
  </conditionalFormatting>
  <conditionalFormatting sqref="O78">
    <cfRule type="containsText" dxfId="3" priority="838" operator="containsText" text="Ere">
      <formula>NOT(ISERROR(SEARCH(("Ere"),(O78))))</formula>
    </cfRule>
  </conditionalFormatting>
  <conditionalFormatting sqref="O78">
    <cfRule type="containsText" dxfId="1" priority="839" operator="containsText" text="Ear">
      <formula>NOT(ISERROR(SEARCH(("Ear"),(O78))))</formula>
    </cfRule>
  </conditionalFormatting>
  <conditionalFormatting sqref="O78">
    <cfRule type="containsText" dxfId="0" priority="840" operator="containsText" text="fnd">
      <formula>NOT(ISERROR(SEARCH(("fnd"),(O78))))</formula>
    </cfRule>
  </conditionalFormatting>
  <conditionalFormatting sqref="O190">
    <cfRule type="containsText" dxfId="2" priority="841" operator="containsText" text="Str">
      <formula>NOT(ISERROR(SEARCH(("Str"),(O190))))</formula>
    </cfRule>
  </conditionalFormatting>
  <conditionalFormatting sqref="O190">
    <cfRule type="containsText" dxfId="3" priority="842" operator="containsText" text="Ere">
      <formula>NOT(ISERROR(SEARCH(("Ere"),(O190))))</formula>
    </cfRule>
  </conditionalFormatting>
  <conditionalFormatting sqref="O190">
    <cfRule type="containsText" dxfId="1" priority="843" operator="containsText" text="Ear">
      <formula>NOT(ISERROR(SEARCH(("Ear"),(O190))))</formula>
    </cfRule>
  </conditionalFormatting>
  <conditionalFormatting sqref="O190">
    <cfRule type="containsText" dxfId="0" priority="844" operator="containsText" text="fnd">
      <formula>NOT(ISERROR(SEARCH(("fnd"),(O190))))</formula>
    </cfRule>
  </conditionalFormatting>
  <conditionalFormatting sqref="Q5:Q6">
    <cfRule type="containsText" dxfId="2" priority="845" operator="containsText" text="Str">
      <formula>NOT(ISERROR(SEARCH(("Str"),(Q5))))</formula>
    </cfRule>
  </conditionalFormatting>
  <conditionalFormatting sqref="Q5:Q6">
    <cfRule type="containsText" dxfId="3" priority="846" operator="containsText" text="Ere">
      <formula>NOT(ISERROR(SEARCH(("Ere"),(Q5))))</formula>
    </cfRule>
  </conditionalFormatting>
  <conditionalFormatting sqref="Q5:Q6">
    <cfRule type="containsText" dxfId="1" priority="847" operator="containsText" text="Ear">
      <formula>NOT(ISERROR(SEARCH(("Ear"),(Q5))))</formula>
    </cfRule>
  </conditionalFormatting>
  <conditionalFormatting sqref="Q5:Q6">
    <cfRule type="containsText" dxfId="0" priority="848" operator="containsText" text="fnd">
      <formula>NOT(ISERROR(SEARCH(("fnd"),(Q5))))</formula>
    </cfRule>
  </conditionalFormatting>
  <conditionalFormatting sqref="Q13:Q14">
    <cfRule type="containsText" dxfId="2" priority="849" operator="containsText" text="Str">
      <formula>NOT(ISERROR(SEARCH(("Str"),(Q13))))</formula>
    </cfRule>
  </conditionalFormatting>
  <conditionalFormatting sqref="Q13:Q14">
    <cfRule type="containsText" dxfId="3" priority="850" operator="containsText" text="Ere">
      <formula>NOT(ISERROR(SEARCH(("Ere"),(Q13))))</formula>
    </cfRule>
  </conditionalFormatting>
  <conditionalFormatting sqref="Q13:Q14">
    <cfRule type="containsText" dxfId="1" priority="851" operator="containsText" text="Ear">
      <formula>NOT(ISERROR(SEARCH(("Ear"),(Q13))))</formula>
    </cfRule>
  </conditionalFormatting>
  <conditionalFormatting sqref="Q13:Q14">
    <cfRule type="containsText" dxfId="0" priority="852" operator="containsText" text="fnd">
      <formula>NOT(ISERROR(SEARCH(("fnd"),(Q13))))</formula>
    </cfRule>
  </conditionalFormatting>
  <conditionalFormatting sqref="Q21:Q22">
    <cfRule type="containsText" dxfId="2" priority="853" operator="containsText" text="Str">
      <formula>NOT(ISERROR(SEARCH(("Str"),(Q21))))</formula>
    </cfRule>
  </conditionalFormatting>
  <conditionalFormatting sqref="Q21:Q22">
    <cfRule type="containsText" dxfId="3" priority="854" operator="containsText" text="Ere">
      <formula>NOT(ISERROR(SEARCH(("Ere"),(Q21))))</formula>
    </cfRule>
  </conditionalFormatting>
  <conditionalFormatting sqref="Q21:Q22">
    <cfRule type="containsText" dxfId="1" priority="855" operator="containsText" text="Ear">
      <formula>NOT(ISERROR(SEARCH(("Ear"),(Q21))))</formula>
    </cfRule>
  </conditionalFormatting>
  <conditionalFormatting sqref="Q21:Q22">
    <cfRule type="containsText" dxfId="0" priority="856" operator="containsText" text="fnd">
      <formula>NOT(ISERROR(SEARCH(("fnd"),(Q21))))</formula>
    </cfRule>
  </conditionalFormatting>
  <conditionalFormatting sqref="Q29">
    <cfRule type="containsText" dxfId="2" priority="857" operator="containsText" text="Str">
      <formula>NOT(ISERROR(SEARCH(("Str"),(Q29))))</formula>
    </cfRule>
  </conditionalFormatting>
  <conditionalFormatting sqref="Q29">
    <cfRule type="containsText" dxfId="3" priority="858" operator="containsText" text="Ere">
      <formula>NOT(ISERROR(SEARCH(("Ere"),(Q29))))</formula>
    </cfRule>
  </conditionalFormatting>
  <conditionalFormatting sqref="Q29">
    <cfRule type="containsText" dxfId="1" priority="859" operator="containsText" text="Ear">
      <formula>NOT(ISERROR(SEARCH(("Ear"),(Q29))))</formula>
    </cfRule>
  </conditionalFormatting>
  <conditionalFormatting sqref="Q29">
    <cfRule type="containsText" dxfId="0" priority="860" operator="containsText" text="fnd">
      <formula>NOT(ISERROR(SEARCH(("fnd"),(Q29))))</formula>
    </cfRule>
  </conditionalFormatting>
  <conditionalFormatting sqref="Q37:Q38">
    <cfRule type="containsText" dxfId="2" priority="861" operator="containsText" text="Str">
      <formula>NOT(ISERROR(SEARCH(("Str"),(Q37))))</formula>
    </cfRule>
  </conditionalFormatting>
  <conditionalFormatting sqref="Q37:Q38">
    <cfRule type="containsText" dxfId="3" priority="862" operator="containsText" text="Ere">
      <formula>NOT(ISERROR(SEARCH(("Ere"),(Q37))))</formula>
    </cfRule>
  </conditionalFormatting>
  <conditionalFormatting sqref="Q37:Q38">
    <cfRule type="containsText" dxfId="1" priority="863" operator="containsText" text="Ear">
      <formula>NOT(ISERROR(SEARCH(("Ear"),(Q37))))</formula>
    </cfRule>
  </conditionalFormatting>
  <conditionalFormatting sqref="Q37:Q38">
    <cfRule type="containsText" dxfId="0" priority="864" operator="containsText" text="fnd">
      <formula>NOT(ISERROR(SEARCH(("fnd"),(Q37))))</formula>
    </cfRule>
  </conditionalFormatting>
  <conditionalFormatting sqref="Q45">
    <cfRule type="containsText" dxfId="2" priority="865" operator="containsText" text="Str">
      <formula>NOT(ISERROR(SEARCH(("Str"),(Q45))))</formula>
    </cfRule>
  </conditionalFormatting>
  <conditionalFormatting sqref="Q45">
    <cfRule type="containsText" dxfId="3" priority="866" operator="containsText" text="Ere">
      <formula>NOT(ISERROR(SEARCH(("Ere"),(Q45))))</formula>
    </cfRule>
  </conditionalFormatting>
  <conditionalFormatting sqref="Q45">
    <cfRule type="containsText" dxfId="1" priority="867" operator="containsText" text="Ear">
      <formula>NOT(ISERROR(SEARCH(("Ear"),(Q45))))</formula>
    </cfRule>
  </conditionalFormatting>
  <conditionalFormatting sqref="Q45">
    <cfRule type="containsText" dxfId="0" priority="868" operator="containsText" text="fnd">
      <formula>NOT(ISERROR(SEARCH(("fnd"),(Q45))))</formula>
    </cfRule>
  </conditionalFormatting>
  <conditionalFormatting sqref="Q53">
    <cfRule type="containsText" dxfId="2" priority="869" operator="containsText" text="Str">
      <formula>NOT(ISERROR(SEARCH(("Str"),(Q53))))</formula>
    </cfRule>
  </conditionalFormatting>
  <conditionalFormatting sqref="Q53">
    <cfRule type="containsText" dxfId="3" priority="870" operator="containsText" text="Ere">
      <formula>NOT(ISERROR(SEARCH(("Ere"),(Q53))))</formula>
    </cfRule>
  </conditionalFormatting>
  <conditionalFormatting sqref="Q53">
    <cfRule type="containsText" dxfId="1" priority="871" operator="containsText" text="Ear">
      <formula>NOT(ISERROR(SEARCH(("Ear"),(Q53))))</formula>
    </cfRule>
  </conditionalFormatting>
  <conditionalFormatting sqref="Q53">
    <cfRule type="containsText" dxfId="0" priority="872" operator="containsText" text="fnd">
      <formula>NOT(ISERROR(SEARCH(("fnd"),(Q53))))</formula>
    </cfRule>
  </conditionalFormatting>
  <conditionalFormatting sqref="Q61">
    <cfRule type="containsText" dxfId="2" priority="873" operator="containsText" text="Str">
      <formula>NOT(ISERROR(SEARCH(("Str"),(Q61))))</formula>
    </cfRule>
  </conditionalFormatting>
  <conditionalFormatting sqref="Q61">
    <cfRule type="containsText" dxfId="3" priority="874" operator="containsText" text="Ere">
      <formula>NOT(ISERROR(SEARCH(("Ere"),(Q61))))</formula>
    </cfRule>
  </conditionalFormatting>
  <conditionalFormatting sqref="Q61">
    <cfRule type="containsText" dxfId="1" priority="875" operator="containsText" text="Ear">
      <formula>NOT(ISERROR(SEARCH(("Ear"),(Q61))))</formula>
    </cfRule>
  </conditionalFormatting>
  <conditionalFormatting sqref="Q61">
    <cfRule type="containsText" dxfId="0" priority="876" operator="containsText" text="fnd">
      <formula>NOT(ISERROR(SEARCH(("fnd"),(Q61))))</formula>
    </cfRule>
  </conditionalFormatting>
  <conditionalFormatting sqref="Q77">
    <cfRule type="containsText" dxfId="2" priority="877" operator="containsText" text="Str">
      <formula>NOT(ISERROR(SEARCH(("Str"),(Q77))))</formula>
    </cfRule>
  </conditionalFormatting>
  <conditionalFormatting sqref="Q77">
    <cfRule type="containsText" dxfId="3" priority="878" operator="containsText" text="Ere">
      <formula>NOT(ISERROR(SEARCH(("Ere"),(Q77))))</formula>
    </cfRule>
  </conditionalFormatting>
  <conditionalFormatting sqref="Q77">
    <cfRule type="containsText" dxfId="1" priority="879" operator="containsText" text="Ear">
      <formula>NOT(ISERROR(SEARCH(("Ear"),(Q77))))</formula>
    </cfRule>
  </conditionalFormatting>
  <conditionalFormatting sqref="Q77">
    <cfRule type="containsText" dxfId="0" priority="880" operator="containsText" text="fnd">
      <formula>NOT(ISERROR(SEARCH(("fnd"),(Q77))))</formula>
    </cfRule>
  </conditionalFormatting>
  <conditionalFormatting sqref="Q85">
    <cfRule type="containsText" dxfId="2" priority="881" operator="containsText" text="Str">
      <formula>NOT(ISERROR(SEARCH(("Str"),(Q85))))</formula>
    </cfRule>
  </conditionalFormatting>
  <conditionalFormatting sqref="Q85">
    <cfRule type="containsText" dxfId="3" priority="882" operator="containsText" text="Ere">
      <formula>NOT(ISERROR(SEARCH(("Ere"),(Q85))))</formula>
    </cfRule>
  </conditionalFormatting>
  <conditionalFormatting sqref="Q85">
    <cfRule type="containsText" dxfId="1" priority="883" operator="containsText" text="Ear">
      <formula>NOT(ISERROR(SEARCH(("Ear"),(Q85))))</formula>
    </cfRule>
  </conditionalFormatting>
  <conditionalFormatting sqref="Q85">
    <cfRule type="containsText" dxfId="0" priority="884" operator="containsText" text="fnd">
      <formula>NOT(ISERROR(SEARCH(("fnd"),(Q85))))</formula>
    </cfRule>
  </conditionalFormatting>
  <conditionalFormatting sqref="Q93">
    <cfRule type="containsText" dxfId="2" priority="885" operator="containsText" text="Str">
      <formula>NOT(ISERROR(SEARCH(("Str"),(Q93))))</formula>
    </cfRule>
  </conditionalFormatting>
  <conditionalFormatting sqref="Q93">
    <cfRule type="containsText" dxfId="3" priority="886" operator="containsText" text="Ere">
      <formula>NOT(ISERROR(SEARCH(("Ere"),(Q93))))</formula>
    </cfRule>
  </conditionalFormatting>
  <conditionalFormatting sqref="Q93">
    <cfRule type="containsText" dxfId="1" priority="887" operator="containsText" text="Ear">
      <formula>NOT(ISERROR(SEARCH(("Ear"),(Q93))))</formula>
    </cfRule>
  </conditionalFormatting>
  <conditionalFormatting sqref="Q93">
    <cfRule type="containsText" dxfId="0" priority="888" operator="containsText" text="fnd">
      <formula>NOT(ISERROR(SEARCH(("fnd"),(Q93))))</formula>
    </cfRule>
  </conditionalFormatting>
  <conditionalFormatting sqref="Q101">
    <cfRule type="containsText" dxfId="2" priority="889" operator="containsText" text="Str">
      <formula>NOT(ISERROR(SEARCH(("Str"),(Q101))))</formula>
    </cfRule>
  </conditionalFormatting>
  <conditionalFormatting sqref="Q101">
    <cfRule type="containsText" dxfId="3" priority="890" operator="containsText" text="Ere">
      <formula>NOT(ISERROR(SEARCH(("Ere"),(Q101))))</formula>
    </cfRule>
  </conditionalFormatting>
  <conditionalFormatting sqref="Q101">
    <cfRule type="containsText" dxfId="1" priority="891" operator="containsText" text="Ear">
      <formula>NOT(ISERROR(SEARCH(("Ear"),(Q101))))</formula>
    </cfRule>
  </conditionalFormatting>
  <conditionalFormatting sqref="Q101">
    <cfRule type="containsText" dxfId="0" priority="892" operator="containsText" text="fnd">
      <formula>NOT(ISERROR(SEARCH(("fnd"),(Q101))))</formula>
    </cfRule>
  </conditionalFormatting>
  <conditionalFormatting sqref="Q109">
    <cfRule type="containsText" dxfId="2" priority="893" operator="containsText" text="Str">
      <formula>NOT(ISERROR(SEARCH(("Str"),(Q109))))</formula>
    </cfRule>
  </conditionalFormatting>
  <conditionalFormatting sqref="Q109">
    <cfRule type="containsText" dxfId="3" priority="894" operator="containsText" text="Ere">
      <formula>NOT(ISERROR(SEARCH(("Ere"),(Q109))))</formula>
    </cfRule>
  </conditionalFormatting>
  <conditionalFormatting sqref="Q109">
    <cfRule type="containsText" dxfId="1" priority="895" operator="containsText" text="Ear">
      <formula>NOT(ISERROR(SEARCH(("Ear"),(Q109))))</formula>
    </cfRule>
  </conditionalFormatting>
  <conditionalFormatting sqref="Q109">
    <cfRule type="containsText" dxfId="0" priority="896" operator="containsText" text="fnd">
      <formula>NOT(ISERROR(SEARCH(("fnd"),(Q109))))</formula>
    </cfRule>
  </conditionalFormatting>
  <conditionalFormatting sqref="Q117">
    <cfRule type="containsText" dxfId="2" priority="897" operator="containsText" text="Str">
      <formula>NOT(ISERROR(SEARCH(("Str"),(Q117))))</formula>
    </cfRule>
  </conditionalFormatting>
  <conditionalFormatting sqref="Q117">
    <cfRule type="containsText" dxfId="3" priority="898" operator="containsText" text="Ere">
      <formula>NOT(ISERROR(SEARCH(("Ere"),(Q117))))</formula>
    </cfRule>
  </conditionalFormatting>
  <conditionalFormatting sqref="Q117">
    <cfRule type="containsText" dxfId="1" priority="899" operator="containsText" text="Ear">
      <formula>NOT(ISERROR(SEARCH(("Ear"),(Q117))))</formula>
    </cfRule>
  </conditionalFormatting>
  <conditionalFormatting sqref="Q117">
    <cfRule type="containsText" dxfId="0" priority="900" operator="containsText" text="fnd">
      <formula>NOT(ISERROR(SEARCH(("fnd"),(Q117))))</formula>
    </cfRule>
  </conditionalFormatting>
  <conditionalFormatting sqref="Q125">
    <cfRule type="containsText" dxfId="2" priority="901" operator="containsText" text="Str">
      <formula>NOT(ISERROR(SEARCH(("Str"),(Q125))))</formula>
    </cfRule>
  </conditionalFormatting>
  <conditionalFormatting sqref="Q125">
    <cfRule type="containsText" dxfId="3" priority="902" operator="containsText" text="Ere">
      <formula>NOT(ISERROR(SEARCH(("Ere"),(Q125))))</formula>
    </cfRule>
  </conditionalFormatting>
  <conditionalFormatting sqref="Q125">
    <cfRule type="containsText" dxfId="1" priority="903" operator="containsText" text="Ear">
      <formula>NOT(ISERROR(SEARCH(("Ear"),(Q125))))</formula>
    </cfRule>
  </conditionalFormatting>
  <conditionalFormatting sqref="Q125">
    <cfRule type="containsText" dxfId="0" priority="904" operator="containsText" text="fnd">
      <formula>NOT(ISERROR(SEARCH(("fnd"),(Q125))))</formula>
    </cfRule>
  </conditionalFormatting>
  <conditionalFormatting sqref="Q130 Q138 Q162 Q178">
    <cfRule type="containsText" dxfId="2" priority="905" operator="containsText" text="Str">
      <formula>NOT(ISERROR(SEARCH(("Str"),(Q130))))</formula>
    </cfRule>
  </conditionalFormatting>
  <conditionalFormatting sqref="Q130 Q138 Q162 Q178">
    <cfRule type="containsText" dxfId="3" priority="906" operator="containsText" text="Ere">
      <formula>NOT(ISERROR(SEARCH(("Ere"),(Q130))))</formula>
    </cfRule>
  </conditionalFormatting>
  <conditionalFormatting sqref="Q130 Q138 Q162 Q178">
    <cfRule type="containsText" dxfId="1" priority="907" operator="containsText" text="Ear">
      <formula>NOT(ISERROR(SEARCH(("Ear"),(Q130))))</formula>
    </cfRule>
  </conditionalFormatting>
  <conditionalFormatting sqref="Q130 Q138 Q162 Q178">
    <cfRule type="containsText" dxfId="0" priority="908" operator="containsText" text="fnd">
      <formula>NOT(ISERROR(SEARCH(("fnd"),(Q130))))</formula>
    </cfRule>
  </conditionalFormatting>
  <conditionalFormatting sqref="Q133">
    <cfRule type="containsText" dxfId="2" priority="909" operator="containsText" text="Str">
      <formula>NOT(ISERROR(SEARCH(("Str"),(Q133))))</formula>
    </cfRule>
  </conditionalFormatting>
  <conditionalFormatting sqref="Q133">
    <cfRule type="containsText" dxfId="3" priority="910" operator="containsText" text="Ere">
      <formula>NOT(ISERROR(SEARCH(("Ere"),(Q133))))</formula>
    </cfRule>
  </conditionalFormatting>
  <conditionalFormatting sqref="Q133">
    <cfRule type="containsText" dxfId="1" priority="911" operator="containsText" text="Ear">
      <formula>NOT(ISERROR(SEARCH(("Ear"),(Q133))))</formula>
    </cfRule>
  </conditionalFormatting>
  <conditionalFormatting sqref="Q133">
    <cfRule type="containsText" dxfId="0" priority="912" operator="containsText" text="fnd">
      <formula>NOT(ISERROR(SEARCH(("fnd"),(Q133))))</formula>
    </cfRule>
  </conditionalFormatting>
  <conditionalFormatting sqref="Q141">
    <cfRule type="containsText" dxfId="2" priority="913" operator="containsText" text="Str">
      <formula>NOT(ISERROR(SEARCH(("Str"),(Q141))))</formula>
    </cfRule>
  </conditionalFormatting>
  <conditionalFormatting sqref="Q141">
    <cfRule type="containsText" dxfId="3" priority="914" operator="containsText" text="Ere">
      <formula>NOT(ISERROR(SEARCH(("Ere"),(Q141))))</formula>
    </cfRule>
  </conditionalFormatting>
  <conditionalFormatting sqref="Q141">
    <cfRule type="containsText" dxfId="1" priority="915" operator="containsText" text="Ear">
      <formula>NOT(ISERROR(SEARCH(("Ear"),(Q141))))</formula>
    </cfRule>
  </conditionalFormatting>
  <conditionalFormatting sqref="Q141">
    <cfRule type="containsText" dxfId="0" priority="916" operator="containsText" text="fnd">
      <formula>NOT(ISERROR(SEARCH(("fnd"),(Q141))))</formula>
    </cfRule>
  </conditionalFormatting>
  <conditionalFormatting sqref="Q149">
    <cfRule type="containsText" dxfId="2" priority="917" operator="containsText" text="Str">
      <formula>NOT(ISERROR(SEARCH(("Str"),(Q149))))</formula>
    </cfRule>
  </conditionalFormatting>
  <conditionalFormatting sqref="Q149">
    <cfRule type="containsText" dxfId="3" priority="918" operator="containsText" text="Ere">
      <formula>NOT(ISERROR(SEARCH(("Ere"),(Q149))))</formula>
    </cfRule>
  </conditionalFormatting>
  <conditionalFormatting sqref="Q149">
    <cfRule type="containsText" dxfId="1" priority="919" operator="containsText" text="Ear">
      <formula>NOT(ISERROR(SEARCH(("Ear"),(Q149))))</formula>
    </cfRule>
  </conditionalFormatting>
  <conditionalFormatting sqref="Q149">
    <cfRule type="containsText" dxfId="0" priority="920" operator="containsText" text="fnd">
      <formula>NOT(ISERROR(SEARCH(("fnd"),(Q149))))</formula>
    </cfRule>
  </conditionalFormatting>
  <conditionalFormatting sqref="Q157">
    <cfRule type="containsText" dxfId="2" priority="921" operator="containsText" text="Str">
      <formula>NOT(ISERROR(SEARCH(("Str"),(Q157))))</formula>
    </cfRule>
  </conditionalFormatting>
  <conditionalFormatting sqref="Q157">
    <cfRule type="containsText" dxfId="3" priority="922" operator="containsText" text="Ere">
      <formula>NOT(ISERROR(SEARCH(("Ere"),(Q157))))</formula>
    </cfRule>
  </conditionalFormatting>
  <conditionalFormatting sqref="Q157">
    <cfRule type="containsText" dxfId="1" priority="923" operator="containsText" text="Ear">
      <formula>NOT(ISERROR(SEARCH(("Ear"),(Q157))))</formula>
    </cfRule>
  </conditionalFormatting>
  <conditionalFormatting sqref="Q157">
    <cfRule type="containsText" dxfId="0" priority="924" operator="containsText" text="fnd">
      <formula>NOT(ISERROR(SEARCH(("fnd"),(Q157))))</formula>
    </cfRule>
  </conditionalFormatting>
  <conditionalFormatting sqref="Q165">
    <cfRule type="containsText" dxfId="2" priority="925" operator="containsText" text="Str">
      <formula>NOT(ISERROR(SEARCH(("Str"),(Q165))))</formula>
    </cfRule>
  </conditionalFormatting>
  <conditionalFormatting sqref="Q165">
    <cfRule type="containsText" dxfId="3" priority="926" operator="containsText" text="Ere">
      <formula>NOT(ISERROR(SEARCH(("Ere"),(Q165))))</formula>
    </cfRule>
  </conditionalFormatting>
  <conditionalFormatting sqref="Q165">
    <cfRule type="containsText" dxfId="1" priority="927" operator="containsText" text="Ear">
      <formula>NOT(ISERROR(SEARCH(("Ear"),(Q165))))</formula>
    </cfRule>
  </conditionalFormatting>
  <conditionalFormatting sqref="Q165">
    <cfRule type="containsText" dxfId="0" priority="928" operator="containsText" text="fnd">
      <formula>NOT(ISERROR(SEARCH(("fnd"),(Q165))))</formula>
    </cfRule>
  </conditionalFormatting>
  <conditionalFormatting sqref="Q173">
    <cfRule type="containsText" dxfId="2" priority="929" operator="containsText" text="Str">
      <formula>NOT(ISERROR(SEARCH(("Str"),(Q173))))</formula>
    </cfRule>
  </conditionalFormatting>
  <conditionalFormatting sqref="Q173">
    <cfRule type="containsText" dxfId="3" priority="930" operator="containsText" text="Ere">
      <formula>NOT(ISERROR(SEARCH(("Ere"),(Q173))))</formula>
    </cfRule>
  </conditionalFormatting>
  <conditionalFormatting sqref="Q173">
    <cfRule type="containsText" dxfId="1" priority="931" operator="containsText" text="Ear">
      <formula>NOT(ISERROR(SEARCH(("Ear"),(Q173))))</formula>
    </cfRule>
  </conditionalFormatting>
  <conditionalFormatting sqref="Q173">
    <cfRule type="containsText" dxfId="0" priority="932" operator="containsText" text="fnd">
      <formula>NOT(ISERROR(SEARCH(("fnd"),(Q173))))</formula>
    </cfRule>
  </conditionalFormatting>
  <conditionalFormatting sqref="Q181">
    <cfRule type="containsText" dxfId="2" priority="933" operator="containsText" text="Str">
      <formula>NOT(ISERROR(SEARCH(("Str"),(Q181))))</formula>
    </cfRule>
  </conditionalFormatting>
  <conditionalFormatting sqref="Q181">
    <cfRule type="containsText" dxfId="3" priority="934" operator="containsText" text="Ere">
      <formula>NOT(ISERROR(SEARCH(("Ere"),(Q181))))</formula>
    </cfRule>
  </conditionalFormatting>
  <conditionalFormatting sqref="Q181">
    <cfRule type="containsText" dxfId="1" priority="935" operator="containsText" text="Ear">
      <formula>NOT(ISERROR(SEARCH(("Ear"),(Q181))))</formula>
    </cfRule>
  </conditionalFormatting>
  <conditionalFormatting sqref="Q181">
    <cfRule type="containsText" dxfId="0" priority="936" operator="containsText" text="fnd">
      <formula>NOT(ISERROR(SEARCH(("fnd"),(Q181))))</formula>
    </cfRule>
  </conditionalFormatting>
  <conditionalFormatting sqref="Q30:R30">
    <cfRule type="containsText" dxfId="2" priority="937" operator="containsText" text="Str">
      <formula>NOT(ISERROR(SEARCH(("Str"),(Q30))))</formula>
    </cfRule>
  </conditionalFormatting>
  <conditionalFormatting sqref="Q30:R30">
    <cfRule type="containsText" dxfId="3" priority="938" operator="containsText" text="Ere">
      <formula>NOT(ISERROR(SEARCH(("Ere"),(Q30))))</formula>
    </cfRule>
  </conditionalFormatting>
  <conditionalFormatting sqref="Q30:R30">
    <cfRule type="containsText" dxfId="1" priority="939" operator="containsText" text="Ear">
      <formula>NOT(ISERROR(SEARCH(("Ear"),(Q30))))</formula>
    </cfRule>
  </conditionalFormatting>
  <conditionalFormatting sqref="Q30:R30">
    <cfRule type="containsText" dxfId="0" priority="940" operator="containsText" text="fnd">
      <formula>NOT(ISERROR(SEARCH(("fnd"),(Q30))))</formula>
    </cfRule>
  </conditionalFormatting>
  <conditionalFormatting sqref="Q54:R54">
    <cfRule type="containsText" dxfId="2" priority="941" operator="containsText" text="Str">
      <formula>NOT(ISERROR(SEARCH(("Str"),(Q54))))</formula>
    </cfRule>
  </conditionalFormatting>
  <conditionalFormatting sqref="Q54:R54">
    <cfRule type="containsText" dxfId="3" priority="942" operator="containsText" text="Ere">
      <formula>NOT(ISERROR(SEARCH(("Ere"),(Q54))))</formula>
    </cfRule>
  </conditionalFormatting>
  <conditionalFormatting sqref="Q54:R54">
    <cfRule type="containsText" dxfId="1" priority="943" operator="containsText" text="Ear">
      <formula>NOT(ISERROR(SEARCH(("Ear"),(Q54))))</formula>
    </cfRule>
  </conditionalFormatting>
  <conditionalFormatting sqref="Q54:R54">
    <cfRule type="containsText" dxfId="0" priority="944" operator="containsText" text="fnd">
      <formula>NOT(ISERROR(SEARCH(("fnd"),(Q54))))</formula>
    </cfRule>
  </conditionalFormatting>
  <conditionalFormatting sqref="Q78:R78">
    <cfRule type="containsText" dxfId="2" priority="945" operator="containsText" text="Str">
      <formula>NOT(ISERROR(SEARCH(("Str"),(Q78))))</formula>
    </cfRule>
  </conditionalFormatting>
  <conditionalFormatting sqref="Q78:R78">
    <cfRule type="containsText" dxfId="3" priority="946" operator="containsText" text="Ere">
      <formula>NOT(ISERROR(SEARCH(("Ere"),(Q78))))</formula>
    </cfRule>
  </conditionalFormatting>
  <conditionalFormatting sqref="Q78:R78">
    <cfRule type="containsText" dxfId="1" priority="947" operator="containsText" text="Ear">
      <formula>NOT(ISERROR(SEARCH(("Ear"),(Q78))))</formula>
    </cfRule>
  </conditionalFormatting>
  <conditionalFormatting sqref="Q78:R78">
    <cfRule type="containsText" dxfId="0" priority="948" operator="containsText" text="fnd">
      <formula>NOT(ISERROR(SEARCH(("fnd"),(Q78))))</formula>
    </cfRule>
  </conditionalFormatting>
  <conditionalFormatting sqref="Q86:R86">
    <cfRule type="containsText" dxfId="2" priority="949" operator="containsText" text="Str">
      <formula>NOT(ISERROR(SEARCH(("Str"),(Q86))))</formula>
    </cfRule>
  </conditionalFormatting>
  <conditionalFormatting sqref="Q86:R86">
    <cfRule type="containsText" dxfId="3" priority="950" operator="containsText" text="Ere">
      <formula>NOT(ISERROR(SEARCH(("Ere"),(Q86))))</formula>
    </cfRule>
  </conditionalFormatting>
  <conditionalFormatting sqref="Q86:R86">
    <cfRule type="containsText" dxfId="1" priority="951" operator="containsText" text="Ear">
      <formula>NOT(ISERROR(SEARCH(("Ear"),(Q86))))</formula>
    </cfRule>
  </conditionalFormatting>
  <conditionalFormatting sqref="Q86:R86">
    <cfRule type="containsText" dxfId="0" priority="952" operator="containsText" text="fnd">
      <formula>NOT(ISERROR(SEARCH(("fnd"),(Q86))))</formula>
    </cfRule>
  </conditionalFormatting>
  <conditionalFormatting sqref="Q94:R94">
    <cfRule type="containsText" dxfId="2" priority="953" operator="containsText" text="Str">
      <formula>NOT(ISERROR(SEARCH(("Str"),(Q94))))</formula>
    </cfRule>
  </conditionalFormatting>
  <conditionalFormatting sqref="Q94:R94">
    <cfRule type="containsText" dxfId="3" priority="954" operator="containsText" text="Ere">
      <formula>NOT(ISERROR(SEARCH(("Ere"),(Q94))))</formula>
    </cfRule>
  </conditionalFormatting>
  <conditionalFormatting sqref="Q94:R94">
    <cfRule type="containsText" dxfId="1" priority="955" operator="containsText" text="Ear">
      <formula>NOT(ISERROR(SEARCH(("Ear"),(Q94))))</formula>
    </cfRule>
  </conditionalFormatting>
  <conditionalFormatting sqref="Q94:R94">
    <cfRule type="containsText" dxfId="0" priority="956" operator="containsText" text="fnd">
      <formula>NOT(ISERROR(SEARCH(("fnd"),(Q94))))</formula>
    </cfRule>
  </conditionalFormatting>
  <conditionalFormatting sqref="Q102:R102">
    <cfRule type="containsText" dxfId="2" priority="957" operator="containsText" text="Str">
      <formula>NOT(ISERROR(SEARCH(("Str"),(Q102))))</formula>
    </cfRule>
  </conditionalFormatting>
  <conditionalFormatting sqref="Q102:R102">
    <cfRule type="containsText" dxfId="3" priority="958" operator="containsText" text="Ere">
      <formula>NOT(ISERROR(SEARCH(("Ere"),(Q102))))</formula>
    </cfRule>
  </conditionalFormatting>
  <conditionalFormatting sqref="Q102:R102">
    <cfRule type="containsText" dxfId="1" priority="959" operator="containsText" text="Ear">
      <formula>NOT(ISERROR(SEARCH(("Ear"),(Q102))))</formula>
    </cfRule>
  </conditionalFormatting>
  <conditionalFormatting sqref="Q102:R102">
    <cfRule type="containsText" dxfId="0" priority="960" operator="containsText" text="fnd">
      <formula>NOT(ISERROR(SEARCH(("fnd"),(Q102))))</formula>
    </cfRule>
  </conditionalFormatting>
  <conditionalFormatting sqref="Q110:R110">
    <cfRule type="containsText" dxfId="2" priority="961" operator="containsText" text="Str">
      <formula>NOT(ISERROR(SEARCH(("Str"),(Q110))))</formula>
    </cfRule>
  </conditionalFormatting>
  <conditionalFormatting sqref="Q110:R110">
    <cfRule type="containsText" dxfId="3" priority="962" operator="containsText" text="Ere">
      <formula>NOT(ISERROR(SEARCH(("Ere"),(Q110))))</formula>
    </cfRule>
  </conditionalFormatting>
  <conditionalFormatting sqref="Q110:R110">
    <cfRule type="containsText" dxfId="1" priority="963" operator="containsText" text="Ear">
      <formula>NOT(ISERROR(SEARCH(("Ear"),(Q110))))</formula>
    </cfRule>
  </conditionalFormatting>
  <conditionalFormatting sqref="Q110:R110">
    <cfRule type="containsText" dxfId="0" priority="964" operator="containsText" text="fnd">
      <formula>NOT(ISERROR(SEARCH(("fnd"),(Q110))))</formula>
    </cfRule>
  </conditionalFormatting>
  <conditionalFormatting sqref="Q118:R118">
    <cfRule type="containsText" dxfId="2" priority="965" operator="containsText" text="Str">
      <formula>NOT(ISERROR(SEARCH(("Str"),(Q118))))</formula>
    </cfRule>
  </conditionalFormatting>
  <conditionalFormatting sqref="Q118:R118">
    <cfRule type="containsText" dxfId="3" priority="966" operator="containsText" text="Ere">
      <formula>NOT(ISERROR(SEARCH(("Ere"),(Q118))))</formula>
    </cfRule>
  </conditionalFormatting>
  <conditionalFormatting sqref="Q118:R118">
    <cfRule type="containsText" dxfId="1" priority="967" operator="containsText" text="Ear">
      <formula>NOT(ISERROR(SEARCH(("Ear"),(Q118))))</formula>
    </cfRule>
  </conditionalFormatting>
  <conditionalFormatting sqref="Q118:R118">
    <cfRule type="containsText" dxfId="0" priority="968" operator="containsText" text="fnd">
      <formula>NOT(ISERROR(SEARCH(("fnd"),(Q118))))</formula>
    </cfRule>
  </conditionalFormatting>
  <conditionalFormatting sqref="Q126:R126">
    <cfRule type="containsText" dxfId="2" priority="969" operator="containsText" text="Str">
      <formula>NOT(ISERROR(SEARCH(("Str"),(Q126))))</formula>
    </cfRule>
  </conditionalFormatting>
  <conditionalFormatting sqref="Q126:R126">
    <cfRule type="containsText" dxfId="3" priority="970" operator="containsText" text="Ere">
      <formula>NOT(ISERROR(SEARCH(("Ere"),(Q126))))</formula>
    </cfRule>
  </conditionalFormatting>
  <conditionalFormatting sqref="Q126:R126">
    <cfRule type="containsText" dxfId="1" priority="971" operator="containsText" text="Ear">
      <formula>NOT(ISERROR(SEARCH(("Ear"),(Q126))))</formula>
    </cfRule>
  </conditionalFormatting>
  <conditionalFormatting sqref="Q126:R126">
    <cfRule type="containsText" dxfId="0" priority="972" operator="containsText" text="fnd">
      <formula>NOT(ISERROR(SEARCH(("fnd"),(Q126))))</formula>
    </cfRule>
  </conditionalFormatting>
  <conditionalFormatting sqref="Q134:R134">
    <cfRule type="containsText" dxfId="2" priority="973" operator="containsText" text="Str">
      <formula>NOT(ISERROR(SEARCH(("Str"),(Q134))))</formula>
    </cfRule>
  </conditionalFormatting>
  <conditionalFormatting sqref="Q134:R134">
    <cfRule type="containsText" dxfId="3" priority="974" operator="containsText" text="Ere">
      <formula>NOT(ISERROR(SEARCH(("Ere"),(Q134))))</formula>
    </cfRule>
  </conditionalFormatting>
  <conditionalFormatting sqref="Q134:R134">
    <cfRule type="containsText" dxfId="1" priority="975" operator="containsText" text="Ear">
      <formula>NOT(ISERROR(SEARCH(("Ear"),(Q134))))</formula>
    </cfRule>
  </conditionalFormatting>
  <conditionalFormatting sqref="Q134:R134">
    <cfRule type="containsText" dxfId="0" priority="976" operator="containsText" text="fnd">
      <formula>NOT(ISERROR(SEARCH(("fnd"),(Q134))))</formula>
    </cfRule>
  </conditionalFormatting>
  <conditionalFormatting sqref="Q142:R142">
    <cfRule type="containsText" dxfId="2" priority="977" operator="containsText" text="Str">
      <formula>NOT(ISERROR(SEARCH(("Str"),(Q142))))</formula>
    </cfRule>
  </conditionalFormatting>
  <conditionalFormatting sqref="Q142:R142">
    <cfRule type="containsText" dxfId="3" priority="978" operator="containsText" text="Ere">
      <formula>NOT(ISERROR(SEARCH(("Ere"),(Q142))))</formula>
    </cfRule>
  </conditionalFormatting>
  <conditionalFormatting sqref="Q142:R142">
    <cfRule type="containsText" dxfId="1" priority="979" operator="containsText" text="Ear">
      <formula>NOT(ISERROR(SEARCH(("Ear"),(Q142))))</formula>
    </cfRule>
  </conditionalFormatting>
  <conditionalFormatting sqref="Q142:R142">
    <cfRule type="containsText" dxfId="0" priority="980" operator="containsText" text="fnd">
      <formula>NOT(ISERROR(SEARCH(("fnd"),(Q142))))</formula>
    </cfRule>
  </conditionalFormatting>
  <conditionalFormatting sqref="Q150:R150">
    <cfRule type="containsText" dxfId="2" priority="981" operator="containsText" text="Str">
      <formula>NOT(ISERROR(SEARCH(("Str"),(Q150))))</formula>
    </cfRule>
  </conditionalFormatting>
  <conditionalFormatting sqref="Q150:R150">
    <cfRule type="containsText" dxfId="3" priority="982" operator="containsText" text="Ere">
      <formula>NOT(ISERROR(SEARCH(("Ere"),(Q150))))</formula>
    </cfRule>
  </conditionalFormatting>
  <conditionalFormatting sqref="Q150:R150">
    <cfRule type="containsText" dxfId="1" priority="983" operator="containsText" text="Ear">
      <formula>NOT(ISERROR(SEARCH(("Ear"),(Q150))))</formula>
    </cfRule>
  </conditionalFormatting>
  <conditionalFormatting sqref="Q150:R150">
    <cfRule type="containsText" dxfId="0" priority="984" operator="containsText" text="fnd">
      <formula>NOT(ISERROR(SEARCH(("fnd"),(Q150))))</formula>
    </cfRule>
  </conditionalFormatting>
  <conditionalFormatting sqref="Q166:R166">
    <cfRule type="containsText" dxfId="2" priority="985" operator="containsText" text="Str">
      <formula>NOT(ISERROR(SEARCH(("Str"),(Q166))))</formula>
    </cfRule>
  </conditionalFormatting>
  <conditionalFormatting sqref="Q166:R166">
    <cfRule type="containsText" dxfId="3" priority="986" operator="containsText" text="Ere">
      <formula>NOT(ISERROR(SEARCH(("Ere"),(Q166))))</formula>
    </cfRule>
  </conditionalFormatting>
  <conditionalFormatting sqref="Q166:R166">
    <cfRule type="containsText" dxfId="1" priority="987" operator="containsText" text="Ear">
      <formula>NOT(ISERROR(SEARCH(("Ear"),(Q166))))</formula>
    </cfRule>
  </conditionalFormatting>
  <conditionalFormatting sqref="Q166:R166">
    <cfRule type="containsText" dxfId="0" priority="988" operator="containsText" text="fnd">
      <formula>NOT(ISERROR(SEARCH(("fnd"),(Q166))))</formula>
    </cfRule>
  </conditionalFormatting>
  <conditionalFormatting sqref="Q174:R174">
    <cfRule type="containsText" dxfId="2" priority="989" operator="containsText" text="Str">
      <formula>NOT(ISERROR(SEARCH(("Str"),(Q174))))</formula>
    </cfRule>
  </conditionalFormatting>
  <conditionalFormatting sqref="Q174:R174">
    <cfRule type="containsText" dxfId="3" priority="990" operator="containsText" text="Ere">
      <formula>NOT(ISERROR(SEARCH(("Ere"),(Q174))))</formula>
    </cfRule>
  </conditionalFormatting>
  <conditionalFormatting sqref="Q174:R174">
    <cfRule type="containsText" dxfId="1" priority="991" operator="containsText" text="Ear">
      <formula>NOT(ISERROR(SEARCH(("Ear"),(Q174))))</formula>
    </cfRule>
  </conditionalFormatting>
  <conditionalFormatting sqref="Q174:R174">
    <cfRule type="containsText" dxfId="0" priority="992" operator="containsText" text="fnd">
      <formula>NOT(ISERROR(SEARCH(("fnd"),(Q174))))</formula>
    </cfRule>
  </conditionalFormatting>
  <conditionalFormatting sqref="Q182:R182">
    <cfRule type="containsText" dxfId="2" priority="993" operator="containsText" text="Str">
      <formula>NOT(ISERROR(SEARCH(("Str"),(Q182))))</formula>
    </cfRule>
  </conditionalFormatting>
  <conditionalFormatting sqref="Q182:R182">
    <cfRule type="containsText" dxfId="3" priority="994" operator="containsText" text="Ere">
      <formula>NOT(ISERROR(SEARCH(("Ere"),(Q182))))</formula>
    </cfRule>
  </conditionalFormatting>
  <conditionalFormatting sqref="Q182:R182">
    <cfRule type="containsText" dxfId="1" priority="995" operator="containsText" text="Ear">
      <formula>NOT(ISERROR(SEARCH(("Ear"),(Q182))))</formula>
    </cfRule>
  </conditionalFormatting>
  <conditionalFormatting sqref="Q182:R182">
    <cfRule type="containsText" dxfId="0" priority="996" operator="containsText" text="fnd">
      <formula>NOT(ISERROR(SEARCH(("fnd"),(Q182))))</formula>
    </cfRule>
  </conditionalFormatting>
  <conditionalFormatting sqref="R6">
    <cfRule type="containsText" dxfId="2" priority="997" operator="containsText" text="Str">
      <formula>NOT(ISERROR(SEARCH(("Str"),(R6))))</formula>
    </cfRule>
  </conditionalFormatting>
  <conditionalFormatting sqref="R6">
    <cfRule type="containsText" dxfId="3" priority="998" operator="containsText" text="Ere">
      <formula>NOT(ISERROR(SEARCH(("Ere"),(R6))))</formula>
    </cfRule>
  </conditionalFormatting>
  <conditionalFormatting sqref="R6">
    <cfRule type="containsText" dxfId="1" priority="999" operator="containsText" text="Ear">
      <formula>NOT(ISERROR(SEARCH(("Ear"),(R6))))</formula>
    </cfRule>
  </conditionalFormatting>
  <conditionalFormatting sqref="R6">
    <cfRule type="containsText" dxfId="0" priority="1000" operator="containsText" text="fnd">
      <formula>NOT(ISERROR(SEARCH(("fnd"),(R6))))</formula>
    </cfRule>
  </conditionalFormatting>
  <conditionalFormatting sqref="R14">
    <cfRule type="containsText" dxfId="2" priority="1001" operator="containsText" text="Str">
      <formula>NOT(ISERROR(SEARCH(("Str"),(R14))))</formula>
    </cfRule>
  </conditionalFormatting>
  <conditionalFormatting sqref="R14">
    <cfRule type="containsText" dxfId="3" priority="1002" operator="containsText" text="Ere">
      <formula>NOT(ISERROR(SEARCH(("Ere"),(R14))))</formula>
    </cfRule>
  </conditionalFormatting>
  <conditionalFormatting sqref="R14">
    <cfRule type="containsText" dxfId="1" priority="1003" operator="containsText" text="Ear">
      <formula>NOT(ISERROR(SEARCH(("Ear"),(R14))))</formula>
    </cfRule>
  </conditionalFormatting>
  <conditionalFormatting sqref="R14">
    <cfRule type="containsText" dxfId="0" priority="1004" operator="containsText" text="fnd">
      <formula>NOT(ISERROR(SEARCH(("fnd"),(R14))))</formula>
    </cfRule>
  </conditionalFormatting>
  <conditionalFormatting sqref="R22">
    <cfRule type="containsText" dxfId="2" priority="1005" operator="containsText" text="Str">
      <formula>NOT(ISERROR(SEARCH(("Str"),(R22))))</formula>
    </cfRule>
  </conditionalFormatting>
  <conditionalFormatting sqref="R22">
    <cfRule type="containsText" dxfId="3" priority="1006" operator="containsText" text="Ere">
      <formula>NOT(ISERROR(SEARCH(("Ere"),(R22))))</formula>
    </cfRule>
  </conditionalFormatting>
  <conditionalFormatting sqref="R22">
    <cfRule type="containsText" dxfId="1" priority="1007" operator="containsText" text="Ear">
      <formula>NOT(ISERROR(SEARCH(("Ear"),(R22))))</formula>
    </cfRule>
  </conditionalFormatting>
  <conditionalFormatting sqref="R22">
    <cfRule type="containsText" dxfId="0" priority="1008" operator="containsText" text="fnd">
      <formula>NOT(ISERROR(SEARCH(("fnd"),(R22))))</formula>
    </cfRule>
  </conditionalFormatting>
  <conditionalFormatting sqref="R38">
    <cfRule type="containsText" dxfId="2" priority="1009" operator="containsText" text="Str">
      <formula>NOT(ISERROR(SEARCH(("Str"),(R38))))</formula>
    </cfRule>
  </conditionalFormatting>
  <conditionalFormatting sqref="R38">
    <cfRule type="containsText" dxfId="3" priority="1010" operator="containsText" text="Ere">
      <formula>NOT(ISERROR(SEARCH(("Ere"),(R38))))</formula>
    </cfRule>
  </conditionalFormatting>
  <conditionalFormatting sqref="R38">
    <cfRule type="containsText" dxfId="1" priority="1011" operator="containsText" text="Ear">
      <formula>NOT(ISERROR(SEARCH(("Ear"),(R38))))</formula>
    </cfRule>
  </conditionalFormatting>
  <conditionalFormatting sqref="R38">
    <cfRule type="containsText" dxfId="0" priority="1012" operator="containsText" text="fnd">
      <formula>NOT(ISERROR(SEARCH(("fnd"),(R38))))</formula>
    </cfRule>
  </conditionalFormatting>
  <conditionalFormatting sqref="S122 T130 T138 T162 T170 T178">
    <cfRule type="containsText" dxfId="2" priority="1013" operator="containsText" text="Str">
      <formula>NOT(ISERROR(SEARCH(("Str"),(S122))))</formula>
    </cfRule>
  </conditionalFormatting>
  <conditionalFormatting sqref="S122 T130 T138 T162 T170 T178">
    <cfRule type="containsText" dxfId="3" priority="1014" operator="containsText" text="Ere">
      <formula>NOT(ISERROR(SEARCH(("Ere"),(S122))))</formula>
    </cfRule>
  </conditionalFormatting>
  <conditionalFormatting sqref="S122 T130 T138 T162 T170 T178">
    <cfRule type="containsText" dxfId="1" priority="1015" operator="containsText" text="Ear">
      <formula>NOT(ISERROR(SEARCH(("Ear"),(S122))))</formula>
    </cfRule>
  </conditionalFormatting>
  <conditionalFormatting sqref="S122 T130 T138 T162 T170 T178">
    <cfRule type="containsText" dxfId="0" priority="1016" operator="containsText" text="fnd">
      <formula>NOT(ISERROR(SEARCH(("fnd"),(S122))))</formula>
    </cfRule>
  </conditionalFormatting>
  <conditionalFormatting sqref="T5">
    <cfRule type="containsText" dxfId="2" priority="1017" operator="containsText" text="Str">
      <formula>NOT(ISERROR(SEARCH(("Str"),(T5))))</formula>
    </cfRule>
  </conditionalFormatting>
  <conditionalFormatting sqref="T5">
    <cfRule type="containsText" dxfId="3" priority="1018" operator="containsText" text="Ere">
      <formula>NOT(ISERROR(SEARCH(("Ere"),(T5))))</formula>
    </cfRule>
  </conditionalFormatting>
  <conditionalFormatting sqref="T5">
    <cfRule type="containsText" dxfId="1" priority="1019" operator="containsText" text="Ear">
      <formula>NOT(ISERROR(SEARCH(("Ear"),(T5))))</formula>
    </cfRule>
  </conditionalFormatting>
  <conditionalFormatting sqref="T5">
    <cfRule type="containsText" dxfId="0" priority="1020" operator="containsText" text="fnd">
      <formula>NOT(ISERROR(SEARCH(("fnd"),(T5))))</formula>
    </cfRule>
  </conditionalFormatting>
  <conditionalFormatting sqref="T13:T14">
    <cfRule type="containsText" dxfId="2" priority="1021" operator="containsText" text="Str">
      <formula>NOT(ISERROR(SEARCH(("Str"),(T13))))</formula>
    </cfRule>
  </conditionalFormatting>
  <conditionalFormatting sqref="T13:T14">
    <cfRule type="containsText" dxfId="3" priority="1022" operator="containsText" text="Ere">
      <formula>NOT(ISERROR(SEARCH(("Ere"),(T13))))</formula>
    </cfRule>
  </conditionalFormatting>
  <conditionalFormatting sqref="T13:T14">
    <cfRule type="containsText" dxfId="1" priority="1023" operator="containsText" text="Ear">
      <formula>NOT(ISERROR(SEARCH(("Ear"),(T13))))</formula>
    </cfRule>
  </conditionalFormatting>
  <conditionalFormatting sqref="T13:T14">
    <cfRule type="containsText" dxfId="0" priority="1024" operator="containsText" text="fnd">
      <formula>NOT(ISERROR(SEARCH(("fnd"),(T13))))</formula>
    </cfRule>
  </conditionalFormatting>
  <conditionalFormatting sqref="T21:T22">
    <cfRule type="containsText" dxfId="2" priority="1025" operator="containsText" text="Str">
      <formula>NOT(ISERROR(SEARCH(("Str"),(T21))))</formula>
    </cfRule>
  </conditionalFormatting>
  <conditionalFormatting sqref="T21:T22">
    <cfRule type="containsText" dxfId="3" priority="1026" operator="containsText" text="Ere">
      <formula>NOT(ISERROR(SEARCH(("Ere"),(T21))))</formula>
    </cfRule>
  </conditionalFormatting>
  <conditionalFormatting sqref="T21:T22">
    <cfRule type="containsText" dxfId="1" priority="1027" operator="containsText" text="Ear">
      <formula>NOT(ISERROR(SEARCH(("Ear"),(T21))))</formula>
    </cfRule>
  </conditionalFormatting>
  <conditionalFormatting sqref="T21:T22">
    <cfRule type="containsText" dxfId="0" priority="1028" operator="containsText" text="fnd">
      <formula>NOT(ISERROR(SEARCH(("fnd"),(T21))))</formula>
    </cfRule>
  </conditionalFormatting>
  <conditionalFormatting sqref="T29">
    <cfRule type="containsText" dxfId="2" priority="1029" operator="containsText" text="Str">
      <formula>NOT(ISERROR(SEARCH(("Str"),(T29))))</formula>
    </cfRule>
  </conditionalFormatting>
  <conditionalFormatting sqref="T29">
    <cfRule type="containsText" dxfId="3" priority="1030" operator="containsText" text="Ere">
      <formula>NOT(ISERROR(SEARCH(("Ere"),(T29))))</formula>
    </cfRule>
  </conditionalFormatting>
  <conditionalFormatting sqref="T29">
    <cfRule type="containsText" dxfId="1" priority="1031" operator="containsText" text="Ear">
      <formula>NOT(ISERROR(SEARCH(("Ear"),(T29))))</formula>
    </cfRule>
  </conditionalFormatting>
  <conditionalFormatting sqref="T29">
    <cfRule type="containsText" dxfId="0" priority="1032" operator="containsText" text="fnd">
      <formula>NOT(ISERROR(SEARCH(("fnd"),(T29))))</formula>
    </cfRule>
  </conditionalFormatting>
  <conditionalFormatting sqref="T37">
    <cfRule type="containsText" dxfId="2" priority="1033" operator="containsText" text="Str">
      <formula>NOT(ISERROR(SEARCH(("Str"),(T37))))</formula>
    </cfRule>
  </conditionalFormatting>
  <conditionalFormatting sqref="T37">
    <cfRule type="containsText" dxfId="3" priority="1034" operator="containsText" text="Ere">
      <formula>NOT(ISERROR(SEARCH(("Ere"),(T37))))</formula>
    </cfRule>
  </conditionalFormatting>
  <conditionalFormatting sqref="T37">
    <cfRule type="containsText" dxfId="1" priority="1035" operator="containsText" text="Ear">
      <formula>NOT(ISERROR(SEARCH(("Ear"),(T37))))</formula>
    </cfRule>
  </conditionalFormatting>
  <conditionalFormatting sqref="T37">
    <cfRule type="containsText" dxfId="0" priority="1036" operator="containsText" text="fnd">
      <formula>NOT(ISERROR(SEARCH(("fnd"),(T37))))</formula>
    </cfRule>
  </conditionalFormatting>
  <conditionalFormatting sqref="T53">
    <cfRule type="containsText" dxfId="2" priority="1037" operator="containsText" text="Str">
      <formula>NOT(ISERROR(SEARCH(("Str"),(T53))))</formula>
    </cfRule>
  </conditionalFormatting>
  <conditionalFormatting sqref="T53">
    <cfRule type="containsText" dxfId="3" priority="1038" operator="containsText" text="Ere">
      <formula>NOT(ISERROR(SEARCH(("Ere"),(T53))))</formula>
    </cfRule>
  </conditionalFormatting>
  <conditionalFormatting sqref="T53">
    <cfRule type="containsText" dxfId="1" priority="1039" operator="containsText" text="Ear">
      <formula>NOT(ISERROR(SEARCH(("Ear"),(T53))))</formula>
    </cfRule>
  </conditionalFormatting>
  <conditionalFormatting sqref="T53">
    <cfRule type="containsText" dxfId="0" priority="1040" operator="containsText" text="fnd">
      <formula>NOT(ISERROR(SEARCH(("fnd"),(T53))))</formula>
    </cfRule>
  </conditionalFormatting>
  <conditionalFormatting sqref="T61">
    <cfRule type="containsText" dxfId="2" priority="1041" operator="containsText" text="Str">
      <formula>NOT(ISERROR(SEARCH(("Str"),(T61))))</formula>
    </cfRule>
  </conditionalFormatting>
  <conditionalFormatting sqref="T61">
    <cfRule type="containsText" dxfId="3" priority="1042" operator="containsText" text="Ere">
      <formula>NOT(ISERROR(SEARCH(("Ere"),(T61))))</formula>
    </cfRule>
  </conditionalFormatting>
  <conditionalFormatting sqref="T61">
    <cfRule type="containsText" dxfId="1" priority="1043" operator="containsText" text="Ear">
      <formula>NOT(ISERROR(SEARCH(("Ear"),(T61))))</formula>
    </cfRule>
  </conditionalFormatting>
  <conditionalFormatting sqref="T61">
    <cfRule type="containsText" dxfId="0" priority="1044" operator="containsText" text="fnd">
      <formula>NOT(ISERROR(SEARCH(("fnd"),(T61))))</formula>
    </cfRule>
  </conditionalFormatting>
  <conditionalFormatting sqref="T85">
    <cfRule type="containsText" dxfId="2" priority="1045" operator="containsText" text="Str">
      <formula>NOT(ISERROR(SEARCH(("Str"),(T85))))</formula>
    </cfRule>
  </conditionalFormatting>
  <conditionalFormatting sqref="T85">
    <cfRule type="containsText" dxfId="3" priority="1046" operator="containsText" text="Ere">
      <formula>NOT(ISERROR(SEARCH(("Ere"),(T85))))</formula>
    </cfRule>
  </conditionalFormatting>
  <conditionalFormatting sqref="T85">
    <cfRule type="containsText" dxfId="1" priority="1047" operator="containsText" text="Ear">
      <formula>NOT(ISERROR(SEARCH(("Ear"),(T85))))</formula>
    </cfRule>
  </conditionalFormatting>
  <conditionalFormatting sqref="T85">
    <cfRule type="containsText" dxfId="0" priority="1048" operator="containsText" text="fnd">
      <formula>NOT(ISERROR(SEARCH(("fnd"),(T85))))</formula>
    </cfRule>
  </conditionalFormatting>
  <conditionalFormatting sqref="T93">
    <cfRule type="containsText" dxfId="2" priority="1049" operator="containsText" text="Str">
      <formula>NOT(ISERROR(SEARCH(("Str"),(T93))))</formula>
    </cfRule>
  </conditionalFormatting>
  <conditionalFormatting sqref="T93">
    <cfRule type="containsText" dxfId="3" priority="1050" operator="containsText" text="Ere">
      <formula>NOT(ISERROR(SEARCH(("Ere"),(T93))))</formula>
    </cfRule>
  </conditionalFormatting>
  <conditionalFormatting sqref="T93">
    <cfRule type="containsText" dxfId="1" priority="1051" operator="containsText" text="Ear">
      <formula>NOT(ISERROR(SEARCH(("Ear"),(T93))))</formula>
    </cfRule>
  </conditionalFormatting>
  <conditionalFormatting sqref="T93">
    <cfRule type="containsText" dxfId="0" priority="1052" operator="containsText" text="fnd">
      <formula>NOT(ISERROR(SEARCH(("fnd"),(T93))))</formula>
    </cfRule>
  </conditionalFormatting>
  <conditionalFormatting sqref="T101">
    <cfRule type="containsText" dxfId="2" priority="1053" operator="containsText" text="Str">
      <formula>NOT(ISERROR(SEARCH(("Str"),(T101))))</formula>
    </cfRule>
  </conditionalFormatting>
  <conditionalFormatting sqref="T101">
    <cfRule type="containsText" dxfId="3" priority="1054" operator="containsText" text="Ere">
      <formula>NOT(ISERROR(SEARCH(("Ere"),(T101))))</formula>
    </cfRule>
  </conditionalFormatting>
  <conditionalFormatting sqref="T101">
    <cfRule type="containsText" dxfId="1" priority="1055" operator="containsText" text="Ear">
      <formula>NOT(ISERROR(SEARCH(("Ear"),(T101))))</formula>
    </cfRule>
  </conditionalFormatting>
  <conditionalFormatting sqref="T101">
    <cfRule type="containsText" dxfId="0" priority="1056" operator="containsText" text="fnd">
      <formula>NOT(ISERROR(SEARCH(("fnd"),(T101))))</formula>
    </cfRule>
  </conditionalFormatting>
  <conditionalFormatting sqref="T109">
    <cfRule type="containsText" dxfId="2" priority="1057" operator="containsText" text="Str">
      <formula>NOT(ISERROR(SEARCH(("Str"),(T109))))</formula>
    </cfRule>
  </conditionalFormatting>
  <conditionalFormatting sqref="T109">
    <cfRule type="containsText" dxfId="3" priority="1058" operator="containsText" text="Ere">
      <formula>NOT(ISERROR(SEARCH(("Ere"),(T109))))</formula>
    </cfRule>
  </conditionalFormatting>
  <conditionalFormatting sqref="T109">
    <cfRule type="containsText" dxfId="1" priority="1059" operator="containsText" text="Ear">
      <formula>NOT(ISERROR(SEARCH(("Ear"),(T109))))</formula>
    </cfRule>
  </conditionalFormatting>
  <conditionalFormatting sqref="T109">
    <cfRule type="containsText" dxfId="0" priority="1060" operator="containsText" text="fnd">
      <formula>NOT(ISERROR(SEARCH(("fnd"),(T109))))</formula>
    </cfRule>
  </conditionalFormatting>
  <conditionalFormatting sqref="T117">
    <cfRule type="containsText" dxfId="2" priority="1061" operator="containsText" text="Str">
      <formula>NOT(ISERROR(SEARCH(("Str"),(T117))))</formula>
    </cfRule>
  </conditionalFormatting>
  <conditionalFormatting sqref="T117">
    <cfRule type="containsText" dxfId="3" priority="1062" operator="containsText" text="Ere">
      <formula>NOT(ISERROR(SEARCH(("Ere"),(T117))))</formula>
    </cfRule>
  </conditionalFormatting>
  <conditionalFormatting sqref="T117">
    <cfRule type="containsText" dxfId="1" priority="1063" operator="containsText" text="Ear">
      <formula>NOT(ISERROR(SEARCH(("Ear"),(T117))))</formula>
    </cfRule>
  </conditionalFormatting>
  <conditionalFormatting sqref="T117">
    <cfRule type="containsText" dxfId="0" priority="1064" operator="containsText" text="fnd">
      <formula>NOT(ISERROR(SEARCH(("fnd"),(T117))))</formula>
    </cfRule>
  </conditionalFormatting>
  <conditionalFormatting sqref="T125">
    <cfRule type="containsText" dxfId="2" priority="1065" operator="containsText" text="Str">
      <formula>NOT(ISERROR(SEARCH(("Str"),(T125))))</formula>
    </cfRule>
  </conditionalFormatting>
  <conditionalFormatting sqref="T125">
    <cfRule type="containsText" dxfId="3" priority="1066" operator="containsText" text="Ere">
      <formula>NOT(ISERROR(SEARCH(("Ere"),(T125))))</formula>
    </cfRule>
  </conditionalFormatting>
  <conditionalFormatting sqref="T125">
    <cfRule type="containsText" dxfId="1" priority="1067" operator="containsText" text="Ear">
      <formula>NOT(ISERROR(SEARCH(("Ear"),(T125))))</formula>
    </cfRule>
  </conditionalFormatting>
  <conditionalFormatting sqref="T125">
    <cfRule type="containsText" dxfId="0" priority="1068" operator="containsText" text="fnd">
      <formula>NOT(ISERROR(SEARCH(("fnd"),(T125))))</formula>
    </cfRule>
  </conditionalFormatting>
  <conditionalFormatting sqref="T133">
    <cfRule type="containsText" dxfId="2" priority="1069" operator="containsText" text="Str">
      <formula>NOT(ISERROR(SEARCH(("Str"),(T133))))</formula>
    </cfRule>
  </conditionalFormatting>
  <conditionalFormatting sqref="T133">
    <cfRule type="containsText" dxfId="3" priority="1070" operator="containsText" text="Ere">
      <formula>NOT(ISERROR(SEARCH(("Ere"),(T133))))</formula>
    </cfRule>
  </conditionalFormatting>
  <conditionalFormatting sqref="T133">
    <cfRule type="containsText" dxfId="1" priority="1071" operator="containsText" text="Ear">
      <formula>NOT(ISERROR(SEARCH(("Ear"),(T133))))</formula>
    </cfRule>
  </conditionalFormatting>
  <conditionalFormatting sqref="T133">
    <cfRule type="containsText" dxfId="0" priority="1072" operator="containsText" text="fnd">
      <formula>NOT(ISERROR(SEARCH(("fnd"),(T133))))</formula>
    </cfRule>
  </conditionalFormatting>
  <conditionalFormatting sqref="T141">
    <cfRule type="containsText" dxfId="2" priority="1073" operator="containsText" text="Str">
      <formula>NOT(ISERROR(SEARCH(("Str"),(T141))))</formula>
    </cfRule>
  </conditionalFormatting>
  <conditionalFormatting sqref="T141">
    <cfRule type="containsText" dxfId="3" priority="1074" operator="containsText" text="Ere">
      <formula>NOT(ISERROR(SEARCH(("Ere"),(T141))))</formula>
    </cfRule>
  </conditionalFormatting>
  <conditionalFormatting sqref="T141">
    <cfRule type="containsText" dxfId="1" priority="1075" operator="containsText" text="Ear">
      <formula>NOT(ISERROR(SEARCH(("Ear"),(T141))))</formula>
    </cfRule>
  </conditionalFormatting>
  <conditionalFormatting sqref="T141">
    <cfRule type="containsText" dxfId="0" priority="1076" operator="containsText" text="fnd">
      <formula>NOT(ISERROR(SEARCH(("fnd"),(T141))))</formula>
    </cfRule>
  </conditionalFormatting>
  <conditionalFormatting sqref="T149">
    <cfRule type="containsText" dxfId="2" priority="1077" operator="containsText" text="Str">
      <formula>NOT(ISERROR(SEARCH(("Str"),(T149))))</formula>
    </cfRule>
  </conditionalFormatting>
  <conditionalFormatting sqref="T149">
    <cfRule type="containsText" dxfId="3" priority="1078" operator="containsText" text="Ere">
      <formula>NOT(ISERROR(SEARCH(("Ere"),(T149))))</formula>
    </cfRule>
  </conditionalFormatting>
  <conditionalFormatting sqref="T149">
    <cfRule type="containsText" dxfId="1" priority="1079" operator="containsText" text="Ear">
      <formula>NOT(ISERROR(SEARCH(("Ear"),(T149))))</formula>
    </cfRule>
  </conditionalFormatting>
  <conditionalFormatting sqref="T149">
    <cfRule type="containsText" dxfId="0" priority="1080" operator="containsText" text="fnd">
      <formula>NOT(ISERROR(SEARCH(("fnd"),(T149))))</formula>
    </cfRule>
  </conditionalFormatting>
  <conditionalFormatting sqref="T157">
    <cfRule type="containsText" dxfId="2" priority="1081" operator="containsText" text="Str">
      <formula>NOT(ISERROR(SEARCH(("Str"),(T157))))</formula>
    </cfRule>
  </conditionalFormatting>
  <conditionalFormatting sqref="T157">
    <cfRule type="containsText" dxfId="3" priority="1082" operator="containsText" text="Ere">
      <formula>NOT(ISERROR(SEARCH(("Ere"),(T157))))</formula>
    </cfRule>
  </conditionalFormatting>
  <conditionalFormatting sqref="T157">
    <cfRule type="containsText" dxfId="1" priority="1083" operator="containsText" text="Ear">
      <formula>NOT(ISERROR(SEARCH(("Ear"),(T157))))</formula>
    </cfRule>
  </conditionalFormatting>
  <conditionalFormatting sqref="T157">
    <cfRule type="containsText" dxfId="0" priority="1084" operator="containsText" text="fnd">
      <formula>NOT(ISERROR(SEARCH(("fnd"),(T157))))</formula>
    </cfRule>
  </conditionalFormatting>
  <conditionalFormatting sqref="T165">
    <cfRule type="containsText" dxfId="2" priority="1085" operator="containsText" text="Str">
      <formula>NOT(ISERROR(SEARCH(("Str"),(T165))))</formula>
    </cfRule>
  </conditionalFormatting>
  <conditionalFormatting sqref="T165">
    <cfRule type="containsText" dxfId="3" priority="1086" operator="containsText" text="Ere">
      <formula>NOT(ISERROR(SEARCH(("Ere"),(T165))))</formula>
    </cfRule>
  </conditionalFormatting>
  <conditionalFormatting sqref="T165">
    <cfRule type="containsText" dxfId="1" priority="1087" operator="containsText" text="Ear">
      <formula>NOT(ISERROR(SEARCH(("Ear"),(T165))))</formula>
    </cfRule>
  </conditionalFormatting>
  <conditionalFormatting sqref="T165">
    <cfRule type="containsText" dxfId="0" priority="1088" operator="containsText" text="fnd">
      <formula>NOT(ISERROR(SEARCH(("fnd"),(T165))))</formula>
    </cfRule>
  </conditionalFormatting>
  <conditionalFormatting sqref="T173">
    <cfRule type="containsText" dxfId="2" priority="1089" operator="containsText" text="Str">
      <formula>NOT(ISERROR(SEARCH(("Str"),(T173))))</formula>
    </cfRule>
  </conditionalFormatting>
  <conditionalFormatting sqref="T173">
    <cfRule type="containsText" dxfId="3" priority="1090" operator="containsText" text="Ere">
      <formula>NOT(ISERROR(SEARCH(("Ere"),(T173))))</formula>
    </cfRule>
  </conditionalFormatting>
  <conditionalFormatting sqref="T173">
    <cfRule type="containsText" dxfId="1" priority="1091" operator="containsText" text="Ear">
      <formula>NOT(ISERROR(SEARCH(("Ear"),(T173))))</formula>
    </cfRule>
  </conditionalFormatting>
  <conditionalFormatting sqref="T173">
    <cfRule type="containsText" dxfId="0" priority="1092" operator="containsText" text="fnd">
      <formula>NOT(ISERROR(SEARCH(("fnd"),(T173))))</formula>
    </cfRule>
  </conditionalFormatting>
  <conditionalFormatting sqref="T181">
    <cfRule type="containsText" dxfId="2" priority="1093" operator="containsText" text="Str">
      <formula>NOT(ISERROR(SEARCH(("Str"),(T181))))</formula>
    </cfRule>
  </conditionalFormatting>
  <conditionalFormatting sqref="T181">
    <cfRule type="containsText" dxfId="3" priority="1094" operator="containsText" text="Ere">
      <formula>NOT(ISERROR(SEARCH(("Ere"),(T181))))</formula>
    </cfRule>
  </conditionalFormatting>
  <conditionalFormatting sqref="T181">
    <cfRule type="containsText" dxfId="1" priority="1095" operator="containsText" text="Ear">
      <formula>NOT(ISERROR(SEARCH(("Ear"),(T181))))</formula>
    </cfRule>
  </conditionalFormatting>
  <conditionalFormatting sqref="T181">
    <cfRule type="containsText" dxfId="0" priority="1096" operator="containsText" text="fnd">
      <formula>NOT(ISERROR(SEARCH(("fnd"),(T181))))</formula>
    </cfRule>
  </conditionalFormatting>
  <conditionalFormatting sqref="T30:U30">
    <cfRule type="containsText" dxfId="2" priority="1097" operator="containsText" text="Str">
      <formula>NOT(ISERROR(SEARCH(("Str"),(T30))))</formula>
    </cfRule>
  </conditionalFormatting>
  <conditionalFormatting sqref="T30:U30">
    <cfRule type="containsText" dxfId="3" priority="1098" operator="containsText" text="Ere">
      <formula>NOT(ISERROR(SEARCH(("Ere"),(T30))))</formula>
    </cfRule>
  </conditionalFormatting>
  <conditionalFormatting sqref="T30:U30">
    <cfRule type="containsText" dxfId="1" priority="1099" operator="containsText" text="Ear">
      <formula>NOT(ISERROR(SEARCH(("Ear"),(T30))))</formula>
    </cfRule>
  </conditionalFormatting>
  <conditionalFormatting sqref="T30:U30">
    <cfRule type="containsText" dxfId="0" priority="1100" operator="containsText" text="fnd">
      <formula>NOT(ISERROR(SEARCH(("fnd"),(T30))))</formula>
    </cfRule>
  </conditionalFormatting>
  <conditionalFormatting sqref="T38:U38">
    <cfRule type="containsText" dxfId="2" priority="1101" operator="containsText" text="Str">
      <formula>NOT(ISERROR(SEARCH(("Str"),(T38))))</formula>
    </cfRule>
  </conditionalFormatting>
  <conditionalFormatting sqref="T38:U38">
    <cfRule type="containsText" dxfId="3" priority="1102" operator="containsText" text="Ere">
      <formula>NOT(ISERROR(SEARCH(("Ere"),(T38))))</formula>
    </cfRule>
  </conditionalFormatting>
  <conditionalFormatting sqref="T38:U38">
    <cfRule type="containsText" dxfId="1" priority="1103" operator="containsText" text="Ear">
      <formula>NOT(ISERROR(SEARCH(("Ear"),(T38))))</formula>
    </cfRule>
  </conditionalFormatting>
  <conditionalFormatting sqref="T38:U38">
    <cfRule type="containsText" dxfId="0" priority="1104" operator="containsText" text="fnd">
      <formula>NOT(ISERROR(SEARCH(("fnd"),(T38))))</formula>
    </cfRule>
  </conditionalFormatting>
  <conditionalFormatting sqref="T46:U46">
    <cfRule type="containsText" dxfId="2" priority="1105" operator="containsText" text="Str">
      <formula>NOT(ISERROR(SEARCH(("Str"),(T46))))</formula>
    </cfRule>
  </conditionalFormatting>
  <conditionalFormatting sqref="T46:U46">
    <cfRule type="containsText" dxfId="3" priority="1106" operator="containsText" text="Ere">
      <formula>NOT(ISERROR(SEARCH(("Ere"),(T46))))</formula>
    </cfRule>
  </conditionalFormatting>
  <conditionalFormatting sqref="T46:U46">
    <cfRule type="containsText" dxfId="1" priority="1107" operator="containsText" text="Ear">
      <formula>NOT(ISERROR(SEARCH(("Ear"),(T46))))</formula>
    </cfRule>
  </conditionalFormatting>
  <conditionalFormatting sqref="T46:U46">
    <cfRule type="containsText" dxfId="0" priority="1108" operator="containsText" text="fnd">
      <formula>NOT(ISERROR(SEARCH(("fnd"),(T46))))</formula>
    </cfRule>
  </conditionalFormatting>
  <conditionalFormatting sqref="T54:U54">
    <cfRule type="containsText" dxfId="2" priority="1109" operator="containsText" text="Str">
      <formula>NOT(ISERROR(SEARCH(("Str"),(T54))))</formula>
    </cfRule>
  </conditionalFormatting>
  <conditionalFormatting sqref="T54:U54">
    <cfRule type="containsText" dxfId="3" priority="1110" operator="containsText" text="Ere">
      <formula>NOT(ISERROR(SEARCH(("Ere"),(T54))))</formula>
    </cfRule>
  </conditionalFormatting>
  <conditionalFormatting sqref="T54:U54">
    <cfRule type="containsText" dxfId="1" priority="1111" operator="containsText" text="Ear">
      <formula>NOT(ISERROR(SEARCH(("Ear"),(T54))))</formula>
    </cfRule>
  </conditionalFormatting>
  <conditionalFormatting sqref="T54:U54">
    <cfRule type="containsText" dxfId="0" priority="1112" operator="containsText" text="fnd">
      <formula>NOT(ISERROR(SEARCH(("fnd"),(T54))))</formula>
    </cfRule>
  </conditionalFormatting>
  <conditionalFormatting sqref="T62:U62">
    <cfRule type="containsText" dxfId="2" priority="1113" operator="containsText" text="Str">
      <formula>NOT(ISERROR(SEARCH(("Str"),(T62))))</formula>
    </cfRule>
  </conditionalFormatting>
  <conditionalFormatting sqref="T62:U62">
    <cfRule type="containsText" dxfId="3" priority="1114" operator="containsText" text="Ere">
      <formula>NOT(ISERROR(SEARCH(("Ere"),(T62))))</formula>
    </cfRule>
  </conditionalFormatting>
  <conditionalFormatting sqref="T62:U62">
    <cfRule type="containsText" dxfId="1" priority="1115" operator="containsText" text="Ear">
      <formula>NOT(ISERROR(SEARCH(("Ear"),(T62))))</formula>
    </cfRule>
  </conditionalFormatting>
  <conditionalFormatting sqref="T62:U62">
    <cfRule type="containsText" dxfId="0" priority="1116" operator="containsText" text="fnd">
      <formula>NOT(ISERROR(SEARCH(("fnd"),(T62))))</formula>
    </cfRule>
  </conditionalFormatting>
  <conditionalFormatting sqref="T70:U70">
    <cfRule type="containsText" dxfId="2" priority="1117" operator="containsText" text="Str">
      <formula>NOT(ISERROR(SEARCH(("Str"),(T70))))</formula>
    </cfRule>
  </conditionalFormatting>
  <conditionalFormatting sqref="T70:U70">
    <cfRule type="containsText" dxfId="3" priority="1118" operator="containsText" text="Ere">
      <formula>NOT(ISERROR(SEARCH(("Ere"),(T70))))</formula>
    </cfRule>
  </conditionalFormatting>
  <conditionalFormatting sqref="T70:U70">
    <cfRule type="containsText" dxfId="1" priority="1119" operator="containsText" text="Ear">
      <formula>NOT(ISERROR(SEARCH(("Ear"),(T70))))</formula>
    </cfRule>
  </conditionalFormatting>
  <conditionalFormatting sqref="T70:U70">
    <cfRule type="containsText" dxfId="0" priority="1120" operator="containsText" text="fnd">
      <formula>NOT(ISERROR(SEARCH(("fnd"),(T70))))</formula>
    </cfRule>
  </conditionalFormatting>
  <conditionalFormatting sqref="T86:U86">
    <cfRule type="containsText" dxfId="2" priority="1121" operator="containsText" text="Str">
      <formula>NOT(ISERROR(SEARCH(("Str"),(T86))))</formula>
    </cfRule>
  </conditionalFormatting>
  <conditionalFormatting sqref="T86:U86">
    <cfRule type="containsText" dxfId="3" priority="1122" operator="containsText" text="Ere">
      <formula>NOT(ISERROR(SEARCH(("Ere"),(T86))))</formula>
    </cfRule>
  </conditionalFormatting>
  <conditionalFormatting sqref="T86:U86">
    <cfRule type="containsText" dxfId="1" priority="1123" operator="containsText" text="Ear">
      <formula>NOT(ISERROR(SEARCH(("Ear"),(T86))))</formula>
    </cfRule>
  </conditionalFormatting>
  <conditionalFormatting sqref="T86:U86">
    <cfRule type="containsText" dxfId="0" priority="1124" operator="containsText" text="fnd">
      <formula>NOT(ISERROR(SEARCH(("fnd"),(T86))))</formula>
    </cfRule>
  </conditionalFormatting>
  <conditionalFormatting sqref="T94:U94">
    <cfRule type="containsText" dxfId="2" priority="1125" operator="containsText" text="Str">
      <formula>NOT(ISERROR(SEARCH(("Str"),(T94))))</formula>
    </cfRule>
  </conditionalFormatting>
  <conditionalFormatting sqref="T94:U94">
    <cfRule type="containsText" dxfId="3" priority="1126" operator="containsText" text="Ere">
      <formula>NOT(ISERROR(SEARCH(("Ere"),(T94))))</formula>
    </cfRule>
  </conditionalFormatting>
  <conditionalFormatting sqref="T94:U94">
    <cfRule type="containsText" dxfId="1" priority="1127" operator="containsText" text="Ear">
      <formula>NOT(ISERROR(SEARCH(("Ear"),(T94))))</formula>
    </cfRule>
  </conditionalFormatting>
  <conditionalFormatting sqref="T94:U94">
    <cfRule type="containsText" dxfId="0" priority="1128" operator="containsText" text="fnd">
      <formula>NOT(ISERROR(SEARCH(("fnd"),(T94))))</formula>
    </cfRule>
  </conditionalFormatting>
  <conditionalFormatting sqref="T102:U102 W102:X102">
    <cfRule type="containsText" dxfId="2" priority="1129" operator="containsText" text="Str">
      <formula>NOT(ISERROR(SEARCH(("Str"),(T102))))</formula>
    </cfRule>
  </conditionalFormatting>
  <conditionalFormatting sqref="T102:U102 W102:X102">
    <cfRule type="containsText" dxfId="3" priority="1130" operator="containsText" text="Ere">
      <formula>NOT(ISERROR(SEARCH(("Ere"),(T102))))</formula>
    </cfRule>
  </conditionalFormatting>
  <conditionalFormatting sqref="T102:U102 W102:X102">
    <cfRule type="containsText" dxfId="1" priority="1131" operator="containsText" text="Ear">
      <formula>NOT(ISERROR(SEARCH(("Ear"),(T102))))</formula>
    </cfRule>
  </conditionalFormatting>
  <conditionalFormatting sqref="T102:U102 W102:X102">
    <cfRule type="containsText" dxfId="0" priority="1132" operator="containsText" text="fnd">
      <formula>NOT(ISERROR(SEARCH(("fnd"),(T102))))</formula>
    </cfRule>
  </conditionalFormatting>
  <conditionalFormatting sqref="T110:U110">
    <cfRule type="containsText" dxfId="2" priority="1133" operator="containsText" text="Str">
      <formula>NOT(ISERROR(SEARCH(("Str"),(T110))))</formula>
    </cfRule>
  </conditionalFormatting>
  <conditionalFormatting sqref="T110:U110">
    <cfRule type="containsText" dxfId="3" priority="1134" operator="containsText" text="Ere">
      <formula>NOT(ISERROR(SEARCH(("Ere"),(T110))))</formula>
    </cfRule>
  </conditionalFormatting>
  <conditionalFormatting sqref="T110:U110">
    <cfRule type="containsText" dxfId="1" priority="1135" operator="containsText" text="Ear">
      <formula>NOT(ISERROR(SEARCH(("Ear"),(T110))))</formula>
    </cfRule>
  </conditionalFormatting>
  <conditionalFormatting sqref="T110:U110">
    <cfRule type="containsText" dxfId="0" priority="1136" operator="containsText" text="fnd">
      <formula>NOT(ISERROR(SEARCH(("fnd"),(T110))))</formula>
    </cfRule>
  </conditionalFormatting>
  <conditionalFormatting sqref="T118:U118">
    <cfRule type="containsText" dxfId="2" priority="1137" operator="containsText" text="Str">
      <formula>NOT(ISERROR(SEARCH(("Str"),(T118))))</formula>
    </cfRule>
  </conditionalFormatting>
  <conditionalFormatting sqref="T118:U118">
    <cfRule type="containsText" dxfId="3" priority="1138" operator="containsText" text="Ere">
      <formula>NOT(ISERROR(SEARCH(("Ere"),(T118))))</formula>
    </cfRule>
  </conditionalFormatting>
  <conditionalFormatting sqref="T118:U118">
    <cfRule type="containsText" dxfId="1" priority="1139" operator="containsText" text="Ear">
      <formula>NOT(ISERROR(SEARCH(("Ear"),(T118))))</formula>
    </cfRule>
  </conditionalFormatting>
  <conditionalFormatting sqref="T118:U118">
    <cfRule type="containsText" dxfId="0" priority="1140" operator="containsText" text="fnd">
      <formula>NOT(ISERROR(SEARCH(("fnd"),(T118))))</formula>
    </cfRule>
  </conditionalFormatting>
  <conditionalFormatting sqref="T126:U126">
    <cfRule type="containsText" dxfId="2" priority="1141" operator="containsText" text="Str">
      <formula>NOT(ISERROR(SEARCH(("Str"),(T126))))</formula>
    </cfRule>
  </conditionalFormatting>
  <conditionalFormatting sqref="T126:U126">
    <cfRule type="containsText" dxfId="3" priority="1142" operator="containsText" text="Ere">
      <formula>NOT(ISERROR(SEARCH(("Ere"),(T126))))</formula>
    </cfRule>
  </conditionalFormatting>
  <conditionalFormatting sqref="T126:U126">
    <cfRule type="containsText" dxfId="1" priority="1143" operator="containsText" text="Ear">
      <formula>NOT(ISERROR(SEARCH(("Ear"),(T126))))</formula>
    </cfRule>
  </conditionalFormatting>
  <conditionalFormatting sqref="T126:U126">
    <cfRule type="containsText" dxfId="0" priority="1144" operator="containsText" text="fnd">
      <formula>NOT(ISERROR(SEARCH(("fnd"),(T126))))</formula>
    </cfRule>
  </conditionalFormatting>
  <conditionalFormatting sqref="T142:U142">
    <cfRule type="containsText" dxfId="2" priority="1145" operator="containsText" text="Str">
      <formula>NOT(ISERROR(SEARCH(("Str"),(T142))))</formula>
    </cfRule>
  </conditionalFormatting>
  <conditionalFormatting sqref="T142:U142">
    <cfRule type="containsText" dxfId="3" priority="1146" operator="containsText" text="Ere">
      <formula>NOT(ISERROR(SEARCH(("Ere"),(T142))))</formula>
    </cfRule>
  </conditionalFormatting>
  <conditionalFormatting sqref="T142:U142">
    <cfRule type="containsText" dxfId="1" priority="1147" operator="containsText" text="Ear">
      <formula>NOT(ISERROR(SEARCH(("Ear"),(T142))))</formula>
    </cfRule>
  </conditionalFormatting>
  <conditionalFormatting sqref="T142:U142">
    <cfRule type="containsText" dxfId="0" priority="1148" operator="containsText" text="fnd">
      <formula>NOT(ISERROR(SEARCH(("fnd"),(T142))))</formula>
    </cfRule>
  </conditionalFormatting>
  <conditionalFormatting sqref="T150:U150">
    <cfRule type="containsText" dxfId="2" priority="1149" operator="containsText" text="Str">
      <formula>NOT(ISERROR(SEARCH(("Str"),(T150))))</formula>
    </cfRule>
  </conditionalFormatting>
  <conditionalFormatting sqref="T150:U150">
    <cfRule type="containsText" dxfId="3" priority="1150" operator="containsText" text="Ere">
      <formula>NOT(ISERROR(SEARCH(("Ere"),(T150))))</formula>
    </cfRule>
  </conditionalFormatting>
  <conditionalFormatting sqref="T150:U150">
    <cfRule type="containsText" dxfId="1" priority="1151" operator="containsText" text="Ear">
      <formula>NOT(ISERROR(SEARCH(("Ear"),(T150))))</formula>
    </cfRule>
  </conditionalFormatting>
  <conditionalFormatting sqref="T150:U150">
    <cfRule type="containsText" dxfId="0" priority="1152" operator="containsText" text="fnd">
      <formula>NOT(ISERROR(SEARCH(("fnd"),(T150))))</formula>
    </cfRule>
  </conditionalFormatting>
  <conditionalFormatting sqref="T158:U158">
    <cfRule type="containsText" dxfId="2" priority="1153" operator="containsText" text="Str">
      <formula>NOT(ISERROR(SEARCH(("Str"),(T158))))</formula>
    </cfRule>
  </conditionalFormatting>
  <conditionalFormatting sqref="T158:U158">
    <cfRule type="containsText" dxfId="3" priority="1154" operator="containsText" text="Ere">
      <formula>NOT(ISERROR(SEARCH(("Ere"),(T158))))</formula>
    </cfRule>
  </conditionalFormatting>
  <conditionalFormatting sqref="T158:U158">
    <cfRule type="containsText" dxfId="1" priority="1155" operator="containsText" text="Ear">
      <formula>NOT(ISERROR(SEARCH(("Ear"),(T158))))</formula>
    </cfRule>
  </conditionalFormatting>
  <conditionalFormatting sqref="T158:U158">
    <cfRule type="containsText" dxfId="0" priority="1156" operator="containsText" text="fnd">
      <formula>NOT(ISERROR(SEARCH(("fnd"),(T158))))</formula>
    </cfRule>
  </conditionalFormatting>
  <conditionalFormatting sqref="T166:U166">
    <cfRule type="containsText" dxfId="2" priority="1157" operator="containsText" text="Str">
      <formula>NOT(ISERROR(SEARCH(("Str"),(T166))))</formula>
    </cfRule>
  </conditionalFormatting>
  <conditionalFormatting sqref="T166:U166">
    <cfRule type="containsText" dxfId="3" priority="1158" operator="containsText" text="Ere">
      <formula>NOT(ISERROR(SEARCH(("Ere"),(T166))))</formula>
    </cfRule>
  </conditionalFormatting>
  <conditionalFormatting sqref="T166:U166">
    <cfRule type="containsText" dxfId="1" priority="1159" operator="containsText" text="Ear">
      <formula>NOT(ISERROR(SEARCH(("Ear"),(T166))))</formula>
    </cfRule>
  </conditionalFormatting>
  <conditionalFormatting sqref="T166:U166">
    <cfRule type="containsText" dxfId="0" priority="1160" operator="containsText" text="fnd">
      <formula>NOT(ISERROR(SEARCH(("fnd"),(T166))))</formula>
    </cfRule>
  </conditionalFormatting>
  <conditionalFormatting sqref="T174:U174">
    <cfRule type="containsText" dxfId="2" priority="1161" operator="containsText" text="Str">
      <formula>NOT(ISERROR(SEARCH(("Str"),(T174))))</formula>
    </cfRule>
  </conditionalFormatting>
  <conditionalFormatting sqref="T174:U174">
    <cfRule type="containsText" dxfId="3" priority="1162" operator="containsText" text="Ere">
      <formula>NOT(ISERROR(SEARCH(("Ere"),(T174))))</formula>
    </cfRule>
  </conditionalFormatting>
  <conditionalFormatting sqref="T174:U174">
    <cfRule type="containsText" dxfId="1" priority="1163" operator="containsText" text="Ear">
      <formula>NOT(ISERROR(SEARCH(("Ear"),(T174))))</formula>
    </cfRule>
  </conditionalFormatting>
  <conditionalFormatting sqref="T174:U174">
    <cfRule type="containsText" dxfId="0" priority="1164" operator="containsText" text="fnd">
      <formula>NOT(ISERROR(SEARCH(("fnd"),(T174))))</formula>
    </cfRule>
  </conditionalFormatting>
  <conditionalFormatting sqref="T182:U182">
    <cfRule type="containsText" dxfId="2" priority="1165" operator="containsText" text="Str">
      <formula>NOT(ISERROR(SEARCH(("Str"),(T182))))</formula>
    </cfRule>
  </conditionalFormatting>
  <conditionalFormatting sqref="T182:U182">
    <cfRule type="containsText" dxfId="3" priority="1166" operator="containsText" text="Ere">
      <formula>NOT(ISERROR(SEARCH(("Ere"),(T182))))</formula>
    </cfRule>
  </conditionalFormatting>
  <conditionalFormatting sqref="T182:U182">
    <cfRule type="containsText" dxfId="1" priority="1167" operator="containsText" text="Ear">
      <formula>NOT(ISERROR(SEARCH(("Ear"),(T182))))</formula>
    </cfRule>
  </conditionalFormatting>
  <conditionalFormatting sqref="T182:U182">
    <cfRule type="containsText" dxfId="0" priority="1168" operator="containsText" text="fnd">
      <formula>NOT(ISERROR(SEARCH(("fnd"),(T182))))</formula>
    </cfRule>
  </conditionalFormatting>
  <conditionalFormatting sqref="U14">
    <cfRule type="containsText" dxfId="2" priority="1169" operator="containsText" text="Str">
      <formula>NOT(ISERROR(SEARCH(("Str"),(U14))))</formula>
    </cfRule>
  </conditionalFormatting>
  <conditionalFormatting sqref="U14">
    <cfRule type="containsText" dxfId="3" priority="1170" operator="containsText" text="Ere">
      <formula>NOT(ISERROR(SEARCH(("Ere"),(U14))))</formula>
    </cfRule>
  </conditionalFormatting>
  <conditionalFormatting sqref="U14">
    <cfRule type="containsText" dxfId="1" priority="1171" operator="containsText" text="Ear">
      <formula>NOT(ISERROR(SEARCH(("Ear"),(U14))))</formula>
    </cfRule>
  </conditionalFormatting>
  <conditionalFormatting sqref="U14">
    <cfRule type="containsText" dxfId="0" priority="1172" operator="containsText" text="fnd">
      <formula>NOT(ISERROR(SEARCH(("fnd"),(U14))))</formula>
    </cfRule>
  </conditionalFormatting>
  <conditionalFormatting sqref="U22">
    <cfRule type="containsText" dxfId="2" priority="1173" operator="containsText" text="Str">
      <formula>NOT(ISERROR(SEARCH(("Str"),(U22))))</formula>
    </cfRule>
  </conditionalFormatting>
  <conditionalFormatting sqref="U22">
    <cfRule type="containsText" dxfId="3" priority="1174" operator="containsText" text="Ere">
      <formula>NOT(ISERROR(SEARCH(("Ere"),(U22))))</formula>
    </cfRule>
  </conditionalFormatting>
  <conditionalFormatting sqref="U22">
    <cfRule type="containsText" dxfId="1" priority="1175" operator="containsText" text="Ear">
      <formula>NOT(ISERROR(SEARCH(("Ear"),(U22))))</formula>
    </cfRule>
  </conditionalFormatting>
  <conditionalFormatting sqref="U22">
    <cfRule type="containsText" dxfId="0" priority="1176" operator="containsText" text="fnd">
      <formula>NOT(ISERROR(SEARCH(("fnd"),(U22))))</formula>
    </cfRule>
  </conditionalFormatting>
  <conditionalFormatting sqref="U78">
    <cfRule type="containsText" dxfId="2" priority="1177" operator="containsText" text="Str">
      <formula>NOT(ISERROR(SEARCH(("Str"),(U78))))</formula>
    </cfRule>
  </conditionalFormatting>
  <conditionalFormatting sqref="U78">
    <cfRule type="containsText" dxfId="3" priority="1178" operator="containsText" text="Ere">
      <formula>NOT(ISERROR(SEARCH(("Ere"),(U78))))</formula>
    </cfRule>
  </conditionalFormatting>
  <conditionalFormatting sqref="U78">
    <cfRule type="containsText" dxfId="1" priority="1179" operator="containsText" text="Ear">
      <formula>NOT(ISERROR(SEARCH(("Ear"),(U78))))</formula>
    </cfRule>
  </conditionalFormatting>
  <conditionalFormatting sqref="U78">
    <cfRule type="containsText" dxfId="0" priority="1180" operator="containsText" text="fnd">
      <formula>NOT(ISERROR(SEARCH(("fnd"),(U78))))</formula>
    </cfRule>
  </conditionalFormatting>
  <conditionalFormatting sqref="W5">
    <cfRule type="containsText" dxfId="2" priority="1181" operator="containsText" text="Str">
      <formula>NOT(ISERROR(SEARCH(("Str"),(W5))))</formula>
    </cfRule>
  </conditionalFormatting>
  <conditionalFormatting sqref="W5">
    <cfRule type="containsText" dxfId="3" priority="1182" operator="containsText" text="Ere">
      <formula>NOT(ISERROR(SEARCH(("Ere"),(W5))))</formula>
    </cfRule>
  </conditionalFormatting>
  <conditionalFormatting sqref="W5">
    <cfRule type="containsText" dxfId="1" priority="1183" operator="containsText" text="Ear">
      <formula>NOT(ISERROR(SEARCH(("Ear"),(W5))))</formula>
    </cfRule>
  </conditionalFormatting>
  <conditionalFormatting sqref="W5">
    <cfRule type="containsText" dxfId="0" priority="1184" operator="containsText" text="fnd">
      <formula>NOT(ISERROR(SEARCH(("fnd"),(W5))))</formula>
    </cfRule>
  </conditionalFormatting>
  <conditionalFormatting sqref="W13:W14">
    <cfRule type="containsText" dxfId="2" priority="1185" operator="containsText" text="Str">
      <formula>NOT(ISERROR(SEARCH(("Str"),(W13))))</formula>
    </cfRule>
  </conditionalFormatting>
  <conditionalFormatting sqref="W13:W14">
    <cfRule type="containsText" dxfId="3" priority="1186" operator="containsText" text="Ere">
      <formula>NOT(ISERROR(SEARCH(("Ere"),(W13))))</formula>
    </cfRule>
  </conditionalFormatting>
  <conditionalFormatting sqref="W13:W14">
    <cfRule type="containsText" dxfId="1" priority="1187" operator="containsText" text="Ear">
      <formula>NOT(ISERROR(SEARCH(("Ear"),(W13))))</formula>
    </cfRule>
  </conditionalFormatting>
  <conditionalFormatting sqref="W13:W14">
    <cfRule type="containsText" dxfId="0" priority="1188" operator="containsText" text="fnd">
      <formula>NOT(ISERROR(SEARCH(("fnd"),(W13))))</formula>
    </cfRule>
  </conditionalFormatting>
  <conditionalFormatting sqref="W21:W22">
    <cfRule type="containsText" dxfId="2" priority="1189" operator="containsText" text="Str">
      <formula>NOT(ISERROR(SEARCH(("Str"),(W21))))</formula>
    </cfRule>
  </conditionalFormatting>
  <conditionalFormatting sqref="W21:W22">
    <cfRule type="containsText" dxfId="3" priority="1190" operator="containsText" text="Ere">
      <formula>NOT(ISERROR(SEARCH(("Ere"),(W21))))</formula>
    </cfRule>
  </conditionalFormatting>
  <conditionalFormatting sqref="W21:W22">
    <cfRule type="containsText" dxfId="1" priority="1191" operator="containsText" text="Ear">
      <formula>NOT(ISERROR(SEARCH(("Ear"),(W21))))</formula>
    </cfRule>
  </conditionalFormatting>
  <conditionalFormatting sqref="W21:W22">
    <cfRule type="containsText" dxfId="0" priority="1192" operator="containsText" text="fnd">
      <formula>NOT(ISERROR(SEARCH(("fnd"),(W21))))</formula>
    </cfRule>
  </conditionalFormatting>
  <conditionalFormatting sqref="W29">
    <cfRule type="containsText" dxfId="2" priority="1193" operator="containsText" text="Str">
      <formula>NOT(ISERROR(SEARCH(("Str"),(W29))))</formula>
    </cfRule>
  </conditionalFormatting>
  <conditionalFormatting sqref="W29">
    <cfRule type="containsText" dxfId="3" priority="1194" operator="containsText" text="Ere">
      <formula>NOT(ISERROR(SEARCH(("Ere"),(W29))))</formula>
    </cfRule>
  </conditionalFormatting>
  <conditionalFormatting sqref="W29">
    <cfRule type="containsText" dxfId="1" priority="1195" operator="containsText" text="Ear">
      <formula>NOT(ISERROR(SEARCH(("Ear"),(W29))))</formula>
    </cfRule>
  </conditionalFormatting>
  <conditionalFormatting sqref="W29">
    <cfRule type="containsText" dxfId="0" priority="1196" operator="containsText" text="fnd">
      <formula>NOT(ISERROR(SEARCH(("fnd"),(W29))))</formula>
    </cfRule>
  </conditionalFormatting>
  <conditionalFormatting sqref="W37">
    <cfRule type="containsText" dxfId="2" priority="1197" operator="containsText" text="Str">
      <formula>NOT(ISERROR(SEARCH(("Str"),(W37))))</formula>
    </cfRule>
  </conditionalFormatting>
  <conditionalFormatting sqref="W37">
    <cfRule type="containsText" dxfId="3" priority="1198" operator="containsText" text="Ere">
      <formula>NOT(ISERROR(SEARCH(("Ere"),(W37))))</formula>
    </cfRule>
  </conditionalFormatting>
  <conditionalFormatting sqref="W37">
    <cfRule type="containsText" dxfId="1" priority="1199" operator="containsText" text="Ear">
      <formula>NOT(ISERROR(SEARCH(("Ear"),(W37))))</formula>
    </cfRule>
  </conditionalFormatting>
  <conditionalFormatting sqref="W37">
    <cfRule type="containsText" dxfId="0" priority="1200" operator="containsText" text="fnd">
      <formula>NOT(ISERROR(SEARCH(("fnd"),(W37))))</formula>
    </cfRule>
  </conditionalFormatting>
  <conditionalFormatting sqref="W53">
    <cfRule type="containsText" dxfId="2" priority="1201" operator="containsText" text="Str">
      <formula>NOT(ISERROR(SEARCH(("Str"),(W53))))</formula>
    </cfRule>
  </conditionalFormatting>
  <conditionalFormatting sqref="W53">
    <cfRule type="containsText" dxfId="3" priority="1202" operator="containsText" text="Ere">
      <formula>NOT(ISERROR(SEARCH(("Ere"),(W53))))</formula>
    </cfRule>
  </conditionalFormatting>
  <conditionalFormatting sqref="W53">
    <cfRule type="containsText" dxfId="1" priority="1203" operator="containsText" text="Ear">
      <formula>NOT(ISERROR(SEARCH(("Ear"),(W53))))</formula>
    </cfRule>
  </conditionalFormatting>
  <conditionalFormatting sqref="W53">
    <cfRule type="containsText" dxfId="0" priority="1204" operator="containsText" text="fnd">
      <formula>NOT(ISERROR(SEARCH(("fnd"),(W53))))</formula>
    </cfRule>
  </conditionalFormatting>
  <conditionalFormatting sqref="W61">
    <cfRule type="containsText" dxfId="2" priority="1205" operator="containsText" text="Str">
      <formula>NOT(ISERROR(SEARCH(("Str"),(W61))))</formula>
    </cfRule>
  </conditionalFormatting>
  <conditionalFormatting sqref="W61">
    <cfRule type="containsText" dxfId="3" priority="1206" operator="containsText" text="Ere">
      <formula>NOT(ISERROR(SEARCH(("Ere"),(W61))))</formula>
    </cfRule>
  </conditionalFormatting>
  <conditionalFormatting sqref="W61">
    <cfRule type="containsText" dxfId="1" priority="1207" operator="containsText" text="Ear">
      <formula>NOT(ISERROR(SEARCH(("Ear"),(W61))))</formula>
    </cfRule>
  </conditionalFormatting>
  <conditionalFormatting sqref="W61">
    <cfRule type="containsText" dxfId="0" priority="1208" operator="containsText" text="fnd">
      <formula>NOT(ISERROR(SEARCH(("fnd"),(W61))))</formula>
    </cfRule>
  </conditionalFormatting>
  <conditionalFormatting sqref="W85">
    <cfRule type="containsText" dxfId="2" priority="1209" operator="containsText" text="Str">
      <formula>NOT(ISERROR(SEARCH(("Str"),(W85))))</formula>
    </cfRule>
  </conditionalFormatting>
  <conditionalFormatting sqref="W85">
    <cfRule type="containsText" dxfId="3" priority="1210" operator="containsText" text="Ere">
      <formula>NOT(ISERROR(SEARCH(("Ere"),(W85))))</formula>
    </cfRule>
  </conditionalFormatting>
  <conditionalFormatting sqref="W85">
    <cfRule type="containsText" dxfId="1" priority="1211" operator="containsText" text="Ear">
      <formula>NOT(ISERROR(SEARCH(("Ear"),(W85))))</formula>
    </cfRule>
  </conditionalFormatting>
  <conditionalFormatting sqref="W85">
    <cfRule type="containsText" dxfId="0" priority="1212" operator="containsText" text="fnd">
      <formula>NOT(ISERROR(SEARCH(("fnd"),(W85))))</formula>
    </cfRule>
  </conditionalFormatting>
  <conditionalFormatting sqref="W93">
    <cfRule type="containsText" dxfId="2" priority="1213" operator="containsText" text="Str">
      <formula>NOT(ISERROR(SEARCH(("Str"),(W93))))</formula>
    </cfRule>
  </conditionalFormatting>
  <conditionalFormatting sqref="W93">
    <cfRule type="containsText" dxfId="3" priority="1214" operator="containsText" text="Ere">
      <formula>NOT(ISERROR(SEARCH(("Ere"),(W93))))</formula>
    </cfRule>
  </conditionalFormatting>
  <conditionalFormatting sqref="W93">
    <cfRule type="containsText" dxfId="1" priority="1215" operator="containsText" text="Ear">
      <formula>NOT(ISERROR(SEARCH(("Ear"),(W93))))</formula>
    </cfRule>
  </conditionalFormatting>
  <conditionalFormatting sqref="W93">
    <cfRule type="containsText" dxfId="0" priority="1216" operator="containsText" text="fnd">
      <formula>NOT(ISERROR(SEARCH(("fnd"),(W93))))</formula>
    </cfRule>
  </conditionalFormatting>
  <conditionalFormatting sqref="W101">
    <cfRule type="containsText" dxfId="2" priority="1217" operator="containsText" text="Str">
      <formula>NOT(ISERROR(SEARCH(("Str"),(W101))))</formula>
    </cfRule>
  </conditionalFormatting>
  <conditionalFormatting sqref="W101">
    <cfRule type="containsText" dxfId="3" priority="1218" operator="containsText" text="Ere">
      <formula>NOT(ISERROR(SEARCH(("Ere"),(W101))))</formula>
    </cfRule>
  </conditionalFormatting>
  <conditionalFormatting sqref="W101">
    <cfRule type="containsText" dxfId="1" priority="1219" operator="containsText" text="Ear">
      <formula>NOT(ISERROR(SEARCH(("Ear"),(W101))))</formula>
    </cfRule>
  </conditionalFormatting>
  <conditionalFormatting sqref="W101">
    <cfRule type="containsText" dxfId="0" priority="1220" operator="containsText" text="fnd">
      <formula>NOT(ISERROR(SEARCH(("fnd"),(W101))))</formula>
    </cfRule>
  </conditionalFormatting>
  <conditionalFormatting sqref="W109">
    <cfRule type="containsText" dxfId="2" priority="1221" operator="containsText" text="Str">
      <formula>NOT(ISERROR(SEARCH(("Str"),(W109))))</formula>
    </cfRule>
  </conditionalFormatting>
  <conditionalFormatting sqref="W109">
    <cfRule type="containsText" dxfId="3" priority="1222" operator="containsText" text="Ere">
      <formula>NOT(ISERROR(SEARCH(("Ere"),(W109))))</formula>
    </cfRule>
  </conditionalFormatting>
  <conditionalFormatting sqref="W109">
    <cfRule type="containsText" dxfId="1" priority="1223" operator="containsText" text="Ear">
      <formula>NOT(ISERROR(SEARCH(("Ear"),(W109))))</formula>
    </cfRule>
  </conditionalFormatting>
  <conditionalFormatting sqref="W109">
    <cfRule type="containsText" dxfId="0" priority="1224" operator="containsText" text="fnd">
      <formula>NOT(ISERROR(SEARCH(("fnd"),(W109))))</formula>
    </cfRule>
  </conditionalFormatting>
  <conditionalFormatting sqref="W117">
    <cfRule type="containsText" dxfId="2" priority="1225" operator="containsText" text="Str">
      <formula>NOT(ISERROR(SEARCH(("Str"),(W117))))</formula>
    </cfRule>
  </conditionalFormatting>
  <conditionalFormatting sqref="W117">
    <cfRule type="containsText" dxfId="3" priority="1226" operator="containsText" text="Ere">
      <formula>NOT(ISERROR(SEARCH(("Ere"),(W117))))</formula>
    </cfRule>
  </conditionalFormatting>
  <conditionalFormatting sqref="W117">
    <cfRule type="containsText" dxfId="1" priority="1227" operator="containsText" text="Ear">
      <formula>NOT(ISERROR(SEARCH(("Ear"),(W117))))</formula>
    </cfRule>
  </conditionalFormatting>
  <conditionalFormatting sqref="W117">
    <cfRule type="containsText" dxfId="0" priority="1228" operator="containsText" text="fnd">
      <formula>NOT(ISERROR(SEARCH(("fnd"),(W117))))</formula>
    </cfRule>
  </conditionalFormatting>
  <conditionalFormatting sqref="W122 W130 W138 W154 W162 W178">
    <cfRule type="containsText" dxfId="2" priority="1229" operator="containsText" text="Str">
      <formula>NOT(ISERROR(SEARCH(("Str"),(W122))))</formula>
    </cfRule>
  </conditionalFormatting>
  <conditionalFormatting sqref="W122 W130 W138 W154 W162 W178">
    <cfRule type="containsText" dxfId="3" priority="1230" operator="containsText" text="Ere">
      <formula>NOT(ISERROR(SEARCH(("Ere"),(W122))))</formula>
    </cfRule>
  </conditionalFormatting>
  <conditionalFormatting sqref="W122 W130 W138 W154 W162 W178">
    <cfRule type="containsText" dxfId="1" priority="1231" operator="containsText" text="Ear">
      <formula>NOT(ISERROR(SEARCH(("Ear"),(W122))))</formula>
    </cfRule>
  </conditionalFormatting>
  <conditionalFormatting sqref="W122 W130 W138 W154 W162 W178">
    <cfRule type="containsText" dxfId="0" priority="1232" operator="containsText" text="fnd">
      <formula>NOT(ISERROR(SEARCH(("fnd"),(W122))))</formula>
    </cfRule>
  </conditionalFormatting>
  <conditionalFormatting sqref="W125">
    <cfRule type="containsText" dxfId="2" priority="1233" operator="containsText" text="Str">
      <formula>NOT(ISERROR(SEARCH(("Str"),(W125))))</formula>
    </cfRule>
  </conditionalFormatting>
  <conditionalFormatting sqref="W125">
    <cfRule type="containsText" dxfId="3" priority="1234" operator="containsText" text="Ere">
      <formula>NOT(ISERROR(SEARCH(("Ere"),(W125))))</formula>
    </cfRule>
  </conditionalFormatting>
  <conditionalFormatting sqref="W125">
    <cfRule type="containsText" dxfId="1" priority="1235" operator="containsText" text="Ear">
      <formula>NOT(ISERROR(SEARCH(("Ear"),(W125))))</formula>
    </cfRule>
  </conditionalFormatting>
  <conditionalFormatting sqref="W125">
    <cfRule type="containsText" dxfId="0" priority="1236" operator="containsText" text="fnd">
      <formula>NOT(ISERROR(SEARCH(("fnd"),(W125))))</formula>
    </cfRule>
  </conditionalFormatting>
  <conditionalFormatting sqref="W133">
    <cfRule type="containsText" dxfId="2" priority="1237" operator="containsText" text="Str">
      <formula>NOT(ISERROR(SEARCH(("Str"),(W133))))</formula>
    </cfRule>
  </conditionalFormatting>
  <conditionalFormatting sqref="W133">
    <cfRule type="containsText" dxfId="3" priority="1238" operator="containsText" text="Ere">
      <formula>NOT(ISERROR(SEARCH(("Ere"),(W133))))</formula>
    </cfRule>
  </conditionalFormatting>
  <conditionalFormatting sqref="W133">
    <cfRule type="containsText" dxfId="1" priority="1239" operator="containsText" text="Ear">
      <formula>NOT(ISERROR(SEARCH(("Ear"),(W133))))</formula>
    </cfRule>
  </conditionalFormatting>
  <conditionalFormatting sqref="W133">
    <cfRule type="containsText" dxfId="0" priority="1240" operator="containsText" text="fnd">
      <formula>NOT(ISERROR(SEARCH(("fnd"),(W133))))</formula>
    </cfRule>
  </conditionalFormatting>
  <conditionalFormatting sqref="W141">
    <cfRule type="containsText" dxfId="2" priority="1241" operator="containsText" text="Str">
      <formula>NOT(ISERROR(SEARCH(("Str"),(W141))))</formula>
    </cfRule>
  </conditionalFormatting>
  <conditionalFormatting sqref="W141">
    <cfRule type="containsText" dxfId="3" priority="1242" operator="containsText" text="Ere">
      <formula>NOT(ISERROR(SEARCH(("Ere"),(W141))))</formula>
    </cfRule>
  </conditionalFormatting>
  <conditionalFormatting sqref="W141">
    <cfRule type="containsText" dxfId="1" priority="1243" operator="containsText" text="Ear">
      <formula>NOT(ISERROR(SEARCH(("Ear"),(W141))))</formula>
    </cfRule>
  </conditionalFormatting>
  <conditionalFormatting sqref="W141">
    <cfRule type="containsText" dxfId="0" priority="1244" operator="containsText" text="fnd">
      <formula>NOT(ISERROR(SEARCH(("fnd"),(W141))))</formula>
    </cfRule>
  </conditionalFormatting>
  <conditionalFormatting sqref="W149">
    <cfRule type="containsText" dxfId="2" priority="1245" operator="containsText" text="Str">
      <formula>NOT(ISERROR(SEARCH(("Str"),(W149))))</formula>
    </cfRule>
  </conditionalFormatting>
  <conditionalFormatting sqref="W149">
    <cfRule type="containsText" dxfId="3" priority="1246" operator="containsText" text="Ere">
      <formula>NOT(ISERROR(SEARCH(("Ere"),(W149))))</formula>
    </cfRule>
  </conditionalFormatting>
  <conditionalFormatting sqref="W149">
    <cfRule type="containsText" dxfId="1" priority="1247" operator="containsText" text="Ear">
      <formula>NOT(ISERROR(SEARCH(("Ear"),(W149))))</formula>
    </cfRule>
  </conditionalFormatting>
  <conditionalFormatting sqref="W149">
    <cfRule type="containsText" dxfId="0" priority="1248" operator="containsText" text="fnd">
      <formula>NOT(ISERROR(SEARCH(("fnd"),(W149))))</formula>
    </cfRule>
  </conditionalFormatting>
  <conditionalFormatting sqref="W157">
    <cfRule type="containsText" dxfId="2" priority="1249" operator="containsText" text="Str">
      <formula>NOT(ISERROR(SEARCH(("Str"),(W157))))</formula>
    </cfRule>
  </conditionalFormatting>
  <conditionalFormatting sqref="W157">
    <cfRule type="containsText" dxfId="3" priority="1250" operator="containsText" text="Ere">
      <formula>NOT(ISERROR(SEARCH(("Ere"),(W157))))</formula>
    </cfRule>
  </conditionalFormatting>
  <conditionalFormatting sqref="W157">
    <cfRule type="containsText" dxfId="1" priority="1251" operator="containsText" text="Ear">
      <formula>NOT(ISERROR(SEARCH(("Ear"),(W157))))</formula>
    </cfRule>
  </conditionalFormatting>
  <conditionalFormatting sqref="W157">
    <cfRule type="containsText" dxfId="0" priority="1252" operator="containsText" text="fnd">
      <formula>NOT(ISERROR(SEARCH(("fnd"),(W157))))</formula>
    </cfRule>
  </conditionalFormatting>
  <conditionalFormatting sqref="W165">
    <cfRule type="containsText" dxfId="2" priority="1253" operator="containsText" text="Str">
      <formula>NOT(ISERROR(SEARCH(("Str"),(W165))))</formula>
    </cfRule>
  </conditionalFormatting>
  <conditionalFormatting sqref="W165">
    <cfRule type="containsText" dxfId="3" priority="1254" operator="containsText" text="Ere">
      <formula>NOT(ISERROR(SEARCH(("Ere"),(W165))))</formula>
    </cfRule>
  </conditionalFormatting>
  <conditionalFormatting sqref="W165">
    <cfRule type="containsText" dxfId="1" priority="1255" operator="containsText" text="Ear">
      <formula>NOT(ISERROR(SEARCH(("Ear"),(W165))))</formula>
    </cfRule>
  </conditionalFormatting>
  <conditionalFormatting sqref="W165">
    <cfRule type="containsText" dxfId="0" priority="1256" operator="containsText" text="fnd">
      <formula>NOT(ISERROR(SEARCH(("fnd"),(W165))))</formula>
    </cfRule>
  </conditionalFormatting>
  <conditionalFormatting sqref="W173">
    <cfRule type="containsText" dxfId="2" priority="1257" operator="containsText" text="Str">
      <formula>NOT(ISERROR(SEARCH(("Str"),(W173))))</formula>
    </cfRule>
  </conditionalFormatting>
  <conditionalFormatting sqref="W173">
    <cfRule type="containsText" dxfId="3" priority="1258" operator="containsText" text="Ere">
      <formula>NOT(ISERROR(SEARCH(("Ere"),(W173))))</formula>
    </cfRule>
  </conditionalFormatting>
  <conditionalFormatting sqref="W173">
    <cfRule type="containsText" dxfId="1" priority="1259" operator="containsText" text="Ear">
      <formula>NOT(ISERROR(SEARCH(("Ear"),(W173))))</formula>
    </cfRule>
  </conditionalFormatting>
  <conditionalFormatting sqref="W173">
    <cfRule type="containsText" dxfId="0" priority="1260" operator="containsText" text="fnd">
      <formula>NOT(ISERROR(SEARCH(("fnd"),(W173))))</formula>
    </cfRule>
  </conditionalFormatting>
  <conditionalFormatting sqref="W181">
    <cfRule type="containsText" dxfId="2" priority="1261" operator="containsText" text="Str">
      <formula>NOT(ISERROR(SEARCH(("Str"),(W181))))</formula>
    </cfRule>
  </conditionalFormatting>
  <conditionalFormatting sqref="W181">
    <cfRule type="containsText" dxfId="3" priority="1262" operator="containsText" text="Ere">
      <formula>NOT(ISERROR(SEARCH(("Ere"),(W181))))</formula>
    </cfRule>
  </conditionalFormatting>
  <conditionalFormatting sqref="W181">
    <cfRule type="containsText" dxfId="1" priority="1263" operator="containsText" text="Ear">
      <formula>NOT(ISERROR(SEARCH(("Ear"),(W181))))</formula>
    </cfRule>
  </conditionalFormatting>
  <conditionalFormatting sqref="W181">
    <cfRule type="containsText" dxfId="0" priority="1264" operator="containsText" text="fnd">
      <formula>NOT(ISERROR(SEARCH(("fnd"),(W181))))</formula>
    </cfRule>
  </conditionalFormatting>
  <conditionalFormatting sqref="W38:X38">
    <cfRule type="containsText" dxfId="2" priority="1265" operator="containsText" text="Str">
      <formula>NOT(ISERROR(SEARCH(("Str"),(W38))))</formula>
    </cfRule>
  </conditionalFormatting>
  <conditionalFormatting sqref="W38:X38">
    <cfRule type="containsText" dxfId="3" priority="1266" operator="containsText" text="Ere">
      <formula>NOT(ISERROR(SEARCH(("Ere"),(W38))))</formula>
    </cfRule>
  </conditionalFormatting>
  <conditionalFormatting sqref="W38:X38">
    <cfRule type="containsText" dxfId="1" priority="1267" operator="containsText" text="Ear">
      <formula>NOT(ISERROR(SEARCH(("Ear"),(W38))))</formula>
    </cfRule>
  </conditionalFormatting>
  <conditionalFormatting sqref="W38:X38">
    <cfRule type="containsText" dxfId="0" priority="1268" operator="containsText" text="fnd">
      <formula>NOT(ISERROR(SEARCH(("fnd"),(W38))))</formula>
    </cfRule>
  </conditionalFormatting>
  <conditionalFormatting sqref="W46:X46">
    <cfRule type="containsText" dxfId="2" priority="1269" operator="containsText" text="Str">
      <formula>NOT(ISERROR(SEARCH(("Str"),(W46))))</formula>
    </cfRule>
  </conditionalFormatting>
  <conditionalFormatting sqref="W46:X46">
    <cfRule type="containsText" dxfId="3" priority="1270" operator="containsText" text="Ere">
      <formula>NOT(ISERROR(SEARCH(("Ere"),(W46))))</formula>
    </cfRule>
  </conditionalFormatting>
  <conditionalFormatting sqref="W46:X46">
    <cfRule type="containsText" dxfId="1" priority="1271" operator="containsText" text="Ear">
      <formula>NOT(ISERROR(SEARCH(("Ear"),(W46))))</formula>
    </cfRule>
  </conditionalFormatting>
  <conditionalFormatting sqref="W46:X46">
    <cfRule type="containsText" dxfId="0" priority="1272" operator="containsText" text="fnd">
      <formula>NOT(ISERROR(SEARCH(("fnd"),(W46))))</formula>
    </cfRule>
  </conditionalFormatting>
  <conditionalFormatting sqref="W54:X54">
    <cfRule type="containsText" dxfId="2" priority="1273" operator="containsText" text="Str">
      <formula>NOT(ISERROR(SEARCH(("Str"),(W54))))</formula>
    </cfRule>
  </conditionalFormatting>
  <conditionalFormatting sqref="W54:X54">
    <cfRule type="containsText" dxfId="3" priority="1274" operator="containsText" text="Ere">
      <formula>NOT(ISERROR(SEARCH(("Ere"),(W54))))</formula>
    </cfRule>
  </conditionalFormatting>
  <conditionalFormatting sqref="W54:X54">
    <cfRule type="containsText" dxfId="1" priority="1275" operator="containsText" text="Ear">
      <formula>NOT(ISERROR(SEARCH(("Ear"),(W54))))</formula>
    </cfRule>
  </conditionalFormatting>
  <conditionalFormatting sqref="W54:X54">
    <cfRule type="containsText" dxfId="0" priority="1276" operator="containsText" text="fnd">
      <formula>NOT(ISERROR(SEARCH(("fnd"),(W54))))</formula>
    </cfRule>
  </conditionalFormatting>
  <conditionalFormatting sqref="W70:X70">
    <cfRule type="containsText" dxfId="2" priority="1277" operator="containsText" text="Str">
      <formula>NOT(ISERROR(SEARCH(("Str"),(W70))))</formula>
    </cfRule>
  </conditionalFormatting>
  <conditionalFormatting sqref="W70:X70">
    <cfRule type="containsText" dxfId="3" priority="1278" operator="containsText" text="Ere">
      <formula>NOT(ISERROR(SEARCH(("Ere"),(W70))))</formula>
    </cfRule>
  </conditionalFormatting>
  <conditionalFormatting sqref="W70:X70">
    <cfRule type="containsText" dxfId="1" priority="1279" operator="containsText" text="Ear">
      <formula>NOT(ISERROR(SEARCH(("Ear"),(W70))))</formula>
    </cfRule>
  </conditionalFormatting>
  <conditionalFormatting sqref="W70:X70">
    <cfRule type="containsText" dxfId="0" priority="1280" operator="containsText" text="fnd">
      <formula>NOT(ISERROR(SEARCH(("fnd"),(W70))))</formula>
    </cfRule>
  </conditionalFormatting>
  <conditionalFormatting sqref="W77:X78">
    <cfRule type="containsText" dxfId="2" priority="1281" operator="containsText" text="Str">
      <formula>NOT(ISERROR(SEARCH(("Str"),(W77))))</formula>
    </cfRule>
  </conditionalFormatting>
  <conditionalFormatting sqref="W77:X78">
    <cfRule type="containsText" dxfId="3" priority="1282" operator="containsText" text="Ere">
      <formula>NOT(ISERROR(SEARCH(("Ere"),(W77))))</formula>
    </cfRule>
  </conditionalFormatting>
  <conditionalFormatting sqref="W77:X78">
    <cfRule type="containsText" dxfId="1" priority="1283" operator="containsText" text="Ear">
      <formula>NOT(ISERROR(SEARCH(("Ear"),(W77))))</formula>
    </cfRule>
  </conditionalFormatting>
  <conditionalFormatting sqref="W77:X78">
    <cfRule type="containsText" dxfId="0" priority="1284" operator="containsText" text="fnd">
      <formula>NOT(ISERROR(SEARCH(("fnd"),(W77))))</formula>
    </cfRule>
  </conditionalFormatting>
  <conditionalFormatting sqref="W86:X86">
    <cfRule type="containsText" dxfId="2" priority="1285" operator="containsText" text="Str">
      <formula>NOT(ISERROR(SEARCH(("Str"),(W86))))</formula>
    </cfRule>
  </conditionalFormatting>
  <conditionalFormatting sqref="W86:X86">
    <cfRule type="containsText" dxfId="3" priority="1286" operator="containsText" text="Ere">
      <formula>NOT(ISERROR(SEARCH(("Ere"),(W86))))</formula>
    </cfRule>
  </conditionalFormatting>
  <conditionalFormatting sqref="W86:X86">
    <cfRule type="containsText" dxfId="1" priority="1287" operator="containsText" text="Ear">
      <formula>NOT(ISERROR(SEARCH(("Ear"),(W86))))</formula>
    </cfRule>
  </conditionalFormatting>
  <conditionalFormatting sqref="W86:X86">
    <cfRule type="containsText" dxfId="0" priority="1288" operator="containsText" text="fnd">
      <formula>NOT(ISERROR(SEARCH(("fnd"),(W86))))</formula>
    </cfRule>
  </conditionalFormatting>
  <conditionalFormatting sqref="W94:X94">
    <cfRule type="containsText" dxfId="2" priority="1289" operator="containsText" text="Str">
      <formula>NOT(ISERROR(SEARCH(("Str"),(W94))))</formula>
    </cfRule>
  </conditionalFormatting>
  <conditionalFormatting sqref="W94:X94">
    <cfRule type="containsText" dxfId="3" priority="1290" operator="containsText" text="Ere">
      <formula>NOT(ISERROR(SEARCH(("Ere"),(W94))))</formula>
    </cfRule>
  </conditionalFormatting>
  <conditionalFormatting sqref="W94:X94">
    <cfRule type="containsText" dxfId="1" priority="1291" operator="containsText" text="Ear">
      <formula>NOT(ISERROR(SEARCH(("Ear"),(W94))))</formula>
    </cfRule>
  </conditionalFormatting>
  <conditionalFormatting sqref="W94:X94">
    <cfRule type="containsText" dxfId="0" priority="1292" operator="containsText" text="fnd">
      <formula>NOT(ISERROR(SEARCH(("fnd"),(W94))))</formula>
    </cfRule>
  </conditionalFormatting>
  <conditionalFormatting sqref="W110:X110">
    <cfRule type="containsText" dxfId="2" priority="1293" operator="containsText" text="Str">
      <formula>NOT(ISERROR(SEARCH(("Str"),(W110))))</formula>
    </cfRule>
  </conditionalFormatting>
  <conditionalFormatting sqref="W110:X110">
    <cfRule type="containsText" dxfId="3" priority="1294" operator="containsText" text="Ere">
      <formula>NOT(ISERROR(SEARCH(("Ere"),(W110))))</formula>
    </cfRule>
  </conditionalFormatting>
  <conditionalFormatting sqref="W110:X110">
    <cfRule type="containsText" dxfId="1" priority="1295" operator="containsText" text="Ear">
      <formula>NOT(ISERROR(SEARCH(("Ear"),(W110))))</formula>
    </cfRule>
  </conditionalFormatting>
  <conditionalFormatting sqref="W110:X110">
    <cfRule type="containsText" dxfId="0" priority="1296" operator="containsText" text="fnd">
      <formula>NOT(ISERROR(SEARCH(("fnd"),(W110))))</formula>
    </cfRule>
  </conditionalFormatting>
  <conditionalFormatting sqref="W118:X118">
    <cfRule type="containsText" dxfId="2" priority="1297" operator="containsText" text="Str">
      <formula>NOT(ISERROR(SEARCH(("Str"),(W118))))</formula>
    </cfRule>
  </conditionalFormatting>
  <conditionalFormatting sqref="W118:X118">
    <cfRule type="containsText" dxfId="3" priority="1298" operator="containsText" text="Ere">
      <formula>NOT(ISERROR(SEARCH(("Ere"),(W118))))</formula>
    </cfRule>
  </conditionalFormatting>
  <conditionalFormatting sqref="W118:X118">
    <cfRule type="containsText" dxfId="1" priority="1299" operator="containsText" text="Ear">
      <formula>NOT(ISERROR(SEARCH(("Ear"),(W118))))</formula>
    </cfRule>
  </conditionalFormatting>
  <conditionalFormatting sqref="W118:X118">
    <cfRule type="containsText" dxfId="0" priority="1300" operator="containsText" text="fnd">
      <formula>NOT(ISERROR(SEARCH(("fnd"),(W118))))</formula>
    </cfRule>
  </conditionalFormatting>
  <conditionalFormatting sqref="W134:X134">
    <cfRule type="containsText" dxfId="2" priority="1301" operator="containsText" text="Str">
      <formula>NOT(ISERROR(SEARCH(("Str"),(W134))))</formula>
    </cfRule>
  </conditionalFormatting>
  <conditionalFormatting sqref="W134:X134">
    <cfRule type="containsText" dxfId="3" priority="1302" operator="containsText" text="Ere">
      <formula>NOT(ISERROR(SEARCH(("Ere"),(W134))))</formula>
    </cfRule>
  </conditionalFormatting>
  <conditionalFormatting sqref="W134:X134">
    <cfRule type="containsText" dxfId="1" priority="1303" operator="containsText" text="Ear">
      <formula>NOT(ISERROR(SEARCH(("Ear"),(W134))))</formula>
    </cfRule>
  </conditionalFormatting>
  <conditionalFormatting sqref="W134:X134">
    <cfRule type="containsText" dxfId="0" priority="1304" operator="containsText" text="fnd">
      <formula>NOT(ISERROR(SEARCH(("fnd"),(W134))))</formula>
    </cfRule>
  </conditionalFormatting>
  <conditionalFormatting sqref="W142:X142">
    <cfRule type="containsText" dxfId="2" priority="1305" operator="containsText" text="Str">
      <formula>NOT(ISERROR(SEARCH(("Str"),(W142))))</formula>
    </cfRule>
  </conditionalFormatting>
  <conditionalFormatting sqref="W142:X142">
    <cfRule type="containsText" dxfId="3" priority="1306" operator="containsText" text="Ere">
      <formula>NOT(ISERROR(SEARCH(("Ere"),(W142))))</formula>
    </cfRule>
  </conditionalFormatting>
  <conditionalFormatting sqref="W142:X142">
    <cfRule type="containsText" dxfId="1" priority="1307" operator="containsText" text="Ear">
      <formula>NOT(ISERROR(SEARCH(("Ear"),(W142))))</formula>
    </cfRule>
  </conditionalFormatting>
  <conditionalFormatting sqref="W142:X142">
    <cfRule type="containsText" dxfId="0" priority="1308" operator="containsText" text="fnd">
      <formula>NOT(ISERROR(SEARCH(("fnd"),(W142))))</formula>
    </cfRule>
  </conditionalFormatting>
  <conditionalFormatting sqref="W150:X150">
    <cfRule type="containsText" dxfId="2" priority="1309" operator="containsText" text="Str">
      <formula>NOT(ISERROR(SEARCH(("Str"),(W150))))</formula>
    </cfRule>
  </conditionalFormatting>
  <conditionalFormatting sqref="W150:X150">
    <cfRule type="containsText" dxfId="3" priority="1310" operator="containsText" text="Ere">
      <formula>NOT(ISERROR(SEARCH(("Ere"),(W150))))</formula>
    </cfRule>
  </conditionalFormatting>
  <conditionalFormatting sqref="W150:X150">
    <cfRule type="containsText" dxfId="1" priority="1311" operator="containsText" text="Ear">
      <formula>NOT(ISERROR(SEARCH(("Ear"),(W150))))</formula>
    </cfRule>
  </conditionalFormatting>
  <conditionalFormatting sqref="W150:X150">
    <cfRule type="containsText" dxfId="0" priority="1312" operator="containsText" text="fnd">
      <formula>NOT(ISERROR(SEARCH(("fnd"),(W150))))</formula>
    </cfRule>
  </conditionalFormatting>
  <conditionalFormatting sqref="W174:X174">
    <cfRule type="containsText" dxfId="2" priority="1313" operator="containsText" text="Str">
      <formula>NOT(ISERROR(SEARCH(("Str"),(W174))))</formula>
    </cfRule>
  </conditionalFormatting>
  <conditionalFormatting sqref="W174:X174">
    <cfRule type="containsText" dxfId="3" priority="1314" operator="containsText" text="Ere">
      <formula>NOT(ISERROR(SEARCH(("Ere"),(W174))))</formula>
    </cfRule>
  </conditionalFormatting>
  <conditionalFormatting sqref="W174:X174">
    <cfRule type="containsText" dxfId="1" priority="1315" operator="containsText" text="Ear">
      <formula>NOT(ISERROR(SEARCH(("Ear"),(W174))))</formula>
    </cfRule>
  </conditionalFormatting>
  <conditionalFormatting sqref="W174:X174">
    <cfRule type="containsText" dxfId="0" priority="1316" operator="containsText" text="fnd">
      <formula>NOT(ISERROR(SEARCH(("fnd"),(W174))))</formula>
    </cfRule>
  </conditionalFormatting>
  <conditionalFormatting sqref="W182:X182">
    <cfRule type="containsText" dxfId="2" priority="1317" operator="containsText" text="Str">
      <formula>NOT(ISERROR(SEARCH(("Str"),(W182))))</formula>
    </cfRule>
  </conditionalFormatting>
  <conditionalFormatting sqref="W182:X182">
    <cfRule type="containsText" dxfId="3" priority="1318" operator="containsText" text="Ere">
      <formula>NOT(ISERROR(SEARCH(("Ere"),(W182))))</formula>
    </cfRule>
  </conditionalFormatting>
  <conditionalFormatting sqref="W182:X182">
    <cfRule type="containsText" dxfId="1" priority="1319" operator="containsText" text="Ear">
      <formula>NOT(ISERROR(SEARCH(("Ear"),(W182))))</formula>
    </cfRule>
  </conditionalFormatting>
  <conditionalFormatting sqref="W182:X182">
    <cfRule type="containsText" dxfId="0" priority="1320" operator="containsText" text="fnd">
      <formula>NOT(ISERROR(SEARCH(("fnd"),(W182))))</formula>
    </cfRule>
  </conditionalFormatting>
  <conditionalFormatting sqref="X14">
    <cfRule type="containsText" dxfId="2" priority="1321" operator="containsText" text="Str">
      <formula>NOT(ISERROR(SEARCH(("Str"),(X14))))</formula>
    </cfRule>
  </conditionalFormatting>
  <conditionalFormatting sqref="X14">
    <cfRule type="containsText" dxfId="3" priority="1322" operator="containsText" text="Ere">
      <formula>NOT(ISERROR(SEARCH(("Ere"),(X14))))</formula>
    </cfRule>
  </conditionalFormatting>
  <conditionalFormatting sqref="X14">
    <cfRule type="containsText" dxfId="1" priority="1323" operator="containsText" text="Ear">
      <formula>NOT(ISERROR(SEARCH(("Ear"),(X14))))</formula>
    </cfRule>
  </conditionalFormatting>
  <conditionalFormatting sqref="X14">
    <cfRule type="containsText" dxfId="0" priority="1324" operator="containsText" text="fnd">
      <formula>NOT(ISERROR(SEARCH(("fnd"),(X14))))</formula>
    </cfRule>
  </conditionalFormatting>
  <conditionalFormatting sqref="X22">
    <cfRule type="containsText" dxfId="2" priority="1325" operator="containsText" text="Str">
      <formula>NOT(ISERROR(SEARCH(("Str"),(X22))))</formula>
    </cfRule>
  </conditionalFormatting>
  <conditionalFormatting sqref="X22">
    <cfRule type="containsText" dxfId="3" priority="1326" operator="containsText" text="Ere">
      <formula>NOT(ISERROR(SEARCH(("Ere"),(X22))))</formula>
    </cfRule>
  </conditionalFormatting>
  <conditionalFormatting sqref="X22">
    <cfRule type="containsText" dxfId="1" priority="1327" operator="containsText" text="Ear">
      <formula>NOT(ISERROR(SEARCH(("Ear"),(X22))))</formula>
    </cfRule>
  </conditionalFormatting>
  <conditionalFormatting sqref="X22">
    <cfRule type="containsText" dxfId="0" priority="1328" operator="containsText" text="fnd">
      <formula>NOT(ISERROR(SEARCH(("fnd"),(X22))))</formula>
    </cfRule>
  </conditionalFormatting>
  <conditionalFormatting sqref="Z5:Z6">
    <cfRule type="containsText" dxfId="2" priority="1329" operator="containsText" text="Str">
      <formula>NOT(ISERROR(SEARCH(("Str"),(Z5))))</formula>
    </cfRule>
  </conditionalFormatting>
  <conditionalFormatting sqref="Z5:Z6">
    <cfRule type="containsText" dxfId="3" priority="1330" operator="containsText" text="Ere">
      <formula>NOT(ISERROR(SEARCH(("Ere"),(Z5))))</formula>
    </cfRule>
  </conditionalFormatting>
  <conditionalFormatting sqref="Z5:Z6">
    <cfRule type="containsText" dxfId="1" priority="1331" operator="containsText" text="Ear">
      <formula>NOT(ISERROR(SEARCH(("Ear"),(Z5))))</formula>
    </cfRule>
  </conditionalFormatting>
  <conditionalFormatting sqref="Z5:Z6">
    <cfRule type="containsText" dxfId="0" priority="1332" operator="containsText" text="fnd">
      <formula>NOT(ISERROR(SEARCH(("fnd"),(Z5))))</formula>
    </cfRule>
  </conditionalFormatting>
  <conditionalFormatting sqref="Z13:Z14">
    <cfRule type="containsText" dxfId="2" priority="1333" operator="containsText" text="Str">
      <formula>NOT(ISERROR(SEARCH(("Str"),(Z13))))</formula>
    </cfRule>
  </conditionalFormatting>
  <conditionalFormatting sqref="Z13:Z14">
    <cfRule type="containsText" dxfId="3" priority="1334" operator="containsText" text="Ere">
      <formula>NOT(ISERROR(SEARCH(("Ere"),(Z13))))</formula>
    </cfRule>
  </conditionalFormatting>
  <conditionalFormatting sqref="Z13:Z14">
    <cfRule type="containsText" dxfId="1" priority="1335" operator="containsText" text="Ear">
      <formula>NOT(ISERROR(SEARCH(("Ear"),(Z13))))</formula>
    </cfRule>
  </conditionalFormatting>
  <conditionalFormatting sqref="Z13:Z14">
    <cfRule type="containsText" dxfId="0" priority="1336" operator="containsText" text="fnd">
      <formula>NOT(ISERROR(SEARCH(("fnd"),(Z13))))</formula>
    </cfRule>
  </conditionalFormatting>
  <conditionalFormatting sqref="Z21:Z22">
    <cfRule type="containsText" dxfId="2" priority="1337" operator="containsText" text="Str">
      <formula>NOT(ISERROR(SEARCH(("Str"),(Z21))))</formula>
    </cfRule>
  </conditionalFormatting>
  <conditionalFormatting sqref="Z21:Z22">
    <cfRule type="containsText" dxfId="3" priority="1338" operator="containsText" text="Ere">
      <formula>NOT(ISERROR(SEARCH(("Ere"),(Z21))))</formula>
    </cfRule>
  </conditionalFormatting>
  <conditionalFormatting sqref="Z21:Z22">
    <cfRule type="containsText" dxfId="1" priority="1339" operator="containsText" text="Ear">
      <formula>NOT(ISERROR(SEARCH(("Ear"),(Z21))))</formula>
    </cfRule>
  </conditionalFormatting>
  <conditionalFormatting sqref="Z21:Z22">
    <cfRule type="containsText" dxfId="0" priority="1340" operator="containsText" text="fnd">
      <formula>NOT(ISERROR(SEARCH(("fnd"),(Z21))))</formula>
    </cfRule>
  </conditionalFormatting>
  <conditionalFormatting sqref="Z29">
    <cfRule type="containsText" dxfId="2" priority="1341" operator="containsText" text="Str">
      <formula>NOT(ISERROR(SEARCH(("Str"),(Z29))))</formula>
    </cfRule>
  </conditionalFormatting>
  <conditionalFormatting sqref="Z29">
    <cfRule type="containsText" dxfId="3" priority="1342" operator="containsText" text="Ere">
      <formula>NOT(ISERROR(SEARCH(("Ere"),(Z29))))</formula>
    </cfRule>
  </conditionalFormatting>
  <conditionalFormatting sqref="Z29">
    <cfRule type="containsText" dxfId="1" priority="1343" operator="containsText" text="Ear">
      <formula>NOT(ISERROR(SEARCH(("Ear"),(Z29))))</formula>
    </cfRule>
  </conditionalFormatting>
  <conditionalFormatting sqref="Z29">
    <cfRule type="containsText" dxfId="0" priority="1344" operator="containsText" text="fnd">
      <formula>NOT(ISERROR(SEARCH(("fnd"),(Z29))))</formula>
    </cfRule>
  </conditionalFormatting>
  <conditionalFormatting sqref="Z37">
    <cfRule type="containsText" dxfId="2" priority="1345" operator="containsText" text="Str">
      <formula>NOT(ISERROR(SEARCH(("Str"),(Z37))))</formula>
    </cfRule>
  </conditionalFormatting>
  <conditionalFormatting sqref="Z37">
    <cfRule type="containsText" dxfId="3" priority="1346" operator="containsText" text="Ere">
      <formula>NOT(ISERROR(SEARCH(("Ere"),(Z37))))</formula>
    </cfRule>
  </conditionalFormatting>
  <conditionalFormatting sqref="Z37">
    <cfRule type="containsText" dxfId="1" priority="1347" operator="containsText" text="Ear">
      <formula>NOT(ISERROR(SEARCH(("Ear"),(Z37))))</formula>
    </cfRule>
  </conditionalFormatting>
  <conditionalFormatting sqref="Z37">
    <cfRule type="containsText" dxfId="0" priority="1348" operator="containsText" text="fnd">
      <formula>NOT(ISERROR(SEARCH(("fnd"),(Z37))))</formula>
    </cfRule>
  </conditionalFormatting>
  <conditionalFormatting sqref="Z45">
    <cfRule type="containsText" dxfId="2" priority="1349" operator="containsText" text="Str">
      <formula>NOT(ISERROR(SEARCH(("Str"),(Z45))))</formula>
    </cfRule>
  </conditionalFormatting>
  <conditionalFormatting sqref="Z45">
    <cfRule type="containsText" dxfId="3" priority="1350" operator="containsText" text="Ere">
      <formula>NOT(ISERROR(SEARCH(("Ere"),(Z45))))</formula>
    </cfRule>
  </conditionalFormatting>
  <conditionalFormatting sqref="Z45">
    <cfRule type="containsText" dxfId="1" priority="1351" operator="containsText" text="Ear">
      <formula>NOT(ISERROR(SEARCH(("Ear"),(Z45))))</formula>
    </cfRule>
  </conditionalFormatting>
  <conditionalFormatting sqref="Z45">
    <cfRule type="containsText" dxfId="0" priority="1352" operator="containsText" text="fnd">
      <formula>NOT(ISERROR(SEARCH(("fnd"),(Z45))))</formula>
    </cfRule>
  </conditionalFormatting>
  <conditionalFormatting sqref="Z53">
    <cfRule type="containsText" dxfId="2" priority="1353" operator="containsText" text="Str">
      <formula>NOT(ISERROR(SEARCH(("Str"),(Z53))))</formula>
    </cfRule>
  </conditionalFormatting>
  <conditionalFormatting sqref="Z53">
    <cfRule type="containsText" dxfId="3" priority="1354" operator="containsText" text="Ere">
      <formula>NOT(ISERROR(SEARCH(("Ere"),(Z53))))</formula>
    </cfRule>
  </conditionalFormatting>
  <conditionalFormatting sqref="Z53">
    <cfRule type="containsText" dxfId="1" priority="1355" operator="containsText" text="Ear">
      <formula>NOT(ISERROR(SEARCH(("Ear"),(Z53))))</formula>
    </cfRule>
  </conditionalFormatting>
  <conditionalFormatting sqref="Z53">
    <cfRule type="containsText" dxfId="0" priority="1356" operator="containsText" text="fnd">
      <formula>NOT(ISERROR(SEARCH(("fnd"),(Z53))))</formula>
    </cfRule>
  </conditionalFormatting>
  <conditionalFormatting sqref="Z61">
    <cfRule type="containsText" dxfId="2" priority="1357" operator="containsText" text="Str">
      <formula>NOT(ISERROR(SEARCH(("Str"),(Z61))))</formula>
    </cfRule>
  </conditionalFormatting>
  <conditionalFormatting sqref="Z61">
    <cfRule type="containsText" dxfId="3" priority="1358" operator="containsText" text="Ere">
      <formula>NOT(ISERROR(SEARCH(("Ere"),(Z61))))</formula>
    </cfRule>
  </conditionalFormatting>
  <conditionalFormatting sqref="Z61">
    <cfRule type="containsText" dxfId="1" priority="1359" operator="containsText" text="Ear">
      <formula>NOT(ISERROR(SEARCH(("Ear"),(Z61))))</formula>
    </cfRule>
  </conditionalFormatting>
  <conditionalFormatting sqref="Z61">
    <cfRule type="containsText" dxfId="0" priority="1360" operator="containsText" text="fnd">
      <formula>NOT(ISERROR(SEARCH(("fnd"),(Z61))))</formula>
    </cfRule>
  </conditionalFormatting>
  <conditionalFormatting sqref="Z69">
    <cfRule type="containsText" dxfId="2" priority="1361" operator="containsText" text="Str">
      <formula>NOT(ISERROR(SEARCH(("Str"),(Z69))))</formula>
    </cfRule>
  </conditionalFormatting>
  <conditionalFormatting sqref="Z69">
    <cfRule type="containsText" dxfId="3" priority="1362" operator="containsText" text="Ere">
      <formula>NOT(ISERROR(SEARCH(("Ere"),(Z69))))</formula>
    </cfRule>
  </conditionalFormatting>
  <conditionalFormatting sqref="Z69">
    <cfRule type="containsText" dxfId="1" priority="1363" operator="containsText" text="Ear">
      <formula>NOT(ISERROR(SEARCH(("Ear"),(Z69))))</formula>
    </cfRule>
  </conditionalFormatting>
  <conditionalFormatting sqref="Z69">
    <cfRule type="containsText" dxfId="0" priority="1364" operator="containsText" text="fnd">
      <formula>NOT(ISERROR(SEARCH(("fnd"),(Z69))))</formula>
    </cfRule>
  </conditionalFormatting>
  <conditionalFormatting sqref="Z85">
    <cfRule type="containsText" dxfId="2" priority="1365" operator="containsText" text="Str">
      <formula>NOT(ISERROR(SEARCH(("Str"),(Z85))))</formula>
    </cfRule>
  </conditionalFormatting>
  <conditionalFormatting sqref="Z85">
    <cfRule type="containsText" dxfId="3" priority="1366" operator="containsText" text="Ere">
      <formula>NOT(ISERROR(SEARCH(("Ere"),(Z85))))</formula>
    </cfRule>
  </conditionalFormatting>
  <conditionalFormatting sqref="Z85">
    <cfRule type="containsText" dxfId="1" priority="1367" operator="containsText" text="Ear">
      <formula>NOT(ISERROR(SEARCH(("Ear"),(Z85))))</formula>
    </cfRule>
  </conditionalFormatting>
  <conditionalFormatting sqref="Z85">
    <cfRule type="containsText" dxfId="0" priority="1368" operator="containsText" text="fnd">
      <formula>NOT(ISERROR(SEARCH(("fnd"),(Z85))))</formula>
    </cfRule>
  </conditionalFormatting>
  <conditionalFormatting sqref="Z93">
    <cfRule type="containsText" dxfId="2" priority="1369" operator="containsText" text="Str">
      <formula>NOT(ISERROR(SEARCH(("Str"),(Z93))))</formula>
    </cfRule>
  </conditionalFormatting>
  <conditionalFormatting sqref="Z93">
    <cfRule type="containsText" dxfId="3" priority="1370" operator="containsText" text="Ere">
      <formula>NOT(ISERROR(SEARCH(("Ere"),(Z93))))</formula>
    </cfRule>
  </conditionalFormatting>
  <conditionalFormatting sqref="Z93">
    <cfRule type="containsText" dxfId="1" priority="1371" operator="containsText" text="Ear">
      <formula>NOT(ISERROR(SEARCH(("Ear"),(Z93))))</formula>
    </cfRule>
  </conditionalFormatting>
  <conditionalFormatting sqref="Z93">
    <cfRule type="containsText" dxfId="0" priority="1372" operator="containsText" text="fnd">
      <formula>NOT(ISERROR(SEARCH(("fnd"),(Z93))))</formula>
    </cfRule>
  </conditionalFormatting>
  <conditionalFormatting sqref="Z101">
    <cfRule type="containsText" dxfId="2" priority="1373" operator="containsText" text="Str">
      <formula>NOT(ISERROR(SEARCH(("Str"),(Z101))))</formula>
    </cfRule>
  </conditionalFormatting>
  <conditionalFormatting sqref="Z101">
    <cfRule type="containsText" dxfId="3" priority="1374" operator="containsText" text="Ere">
      <formula>NOT(ISERROR(SEARCH(("Ere"),(Z101))))</formula>
    </cfRule>
  </conditionalFormatting>
  <conditionalFormatting sqref="Z101">
    <cfRule type="containsText" dxfId="1" priority="1375" operator="containsText" text="Ear">
      <formula>NOT(ISERROR(SEARCH(("Ear"),(Z101))))</formula>
    </cfRule>
  </conditionalFormatting>
  <conditionalFormatting sqref="Z101">
    <cfRule type="containsText" dxfId="0" priority="1376" operator="containsText" text="fnd">
      <formula>NOT(ISERROR(SEARCH(("fnd"),(Z101))))</formula>
    </cfRule>
  </conditionalFormatting>
  <conditionalFormatting sqref="Z109">
    <cfRule type="containsText" dxfId="2" priority="1377" operator="containsText" text="Str">
      <formula>NOT(ISERROR(SEARCH(("Str"),(Z109))))</formula>
    </cfRule>
  </conditionalFormatting>
  <conditionalFormatting sqref="Z109">
    <cfRule type="containsText" dxfId="3" priority="1378" operator="containsText" text="Ere">
      <formula>NOT(ISERROR(SEARCH(("Ere"),(Z109))))</formula>
    </cfRule>
  </conditionalFormatting>
  <conditionalFormatting sqref="Z109">
    <cfRule type="containsText" dxfId="1" priority="1379" operator="containsText" text="Ear">
      <formula>NOT(ISERROR(SEARCH(("Ear"),(Z109))))</formula>
    </cfRule>
  </conditionalFormatting>
  <conditionalFormatting sqref="Z109">
    <cfRule type="containsText" dxfId="0" priority="1380" operator="containsText" text="fnd">
      <formula>NOT(ISERROR(SEARCH(("fnd"),(Z109))))</formula>
    </cfRule>
  </conditionalFormatting>
  <conditionalFormatting sqref="Z117">
    <cfRule type="containsText" dxfId="2" priority="1381" operator="containsText" text="Str">
      <formula>NOT(ISERROR(SEARCH(("Str"),(Z117))))</formula>
    </cfRule>
  </conditionalFormatting>
  <conditionalFormatting sqref="Z117">
    <cfRule type="containsText" dxfId="3" priority="1382" operator="containsText" text="Ere">
      <formula>NOT(ISERROR(SEARCH(("Ere"),(Z117))))</formula>
    </cfRule>
  </conditionalFormatting>
  <conditionalFormatting sqref="Z117">
    <cfRule type="containsText" dxfId="1" priority="1383" operator="containsText" text="Ear">
      <formula>NOT(ISERROR(SEARCH(("Ear"),(Z117))))</formula>
    </cfRule>
  </conditionalFormatting>
  <conditionalFormatting sqref="Z117">
    <cfRule type="containsText" dxfId="0" priority="1384" operator="containsText" text="fnd">
      <formula>NOT(ISERROR(SEARCH(("fnd"),(Z117))))</formula>
    </cfRule>
  </conditionalFormatting>
  <conditionalFormatting sqref="Z122 Z130 Z170 Z178">
    <cfRule type="containsText" dxfId="2" priority="1385" operator="containsText" text="Str">
      <formula>NOT(ISERROR(SEARCH(("Str"),(Z122))))</formula>
    </cfRule>
  </conditionalFormatting>
  <conditionalFormatting sqref="Z122 Z130 Z170 Z178">
    <cfRule type="containsText" dxfId="3" priority="1386" operator="containsText" text="Ere">
      <formula>NOT(ISERROR(SEARCH(("Ere"),(Z122))))</formula>
    </cfRule>
  </conditionalFormatting>
  <conditionalFormatting sqref="Z122 Z130 Z170 Z178">
    <cfRule type="containsText" dxfId="1" priority="1387" operator="containsText" text="Ear">
      <formula>NOT(ISERROR(SEARCH(("Ear"),(Z122))))</formula>
    </cfRule>
  </conditionalFormatting>
  <conditionalFormatting sqref="Z122 Z130 Z170 Z178">
    <cfRule type="containsText" dxfId="0" priority="1388" operator="containsText" text="fnd">
      <formula>NOT(ISERROR(SEARCH(("fnd"),(Z122))))</formula>
    </cfRule>
  </conditionalFormatting>
  <conditionalFormatting sqref="Z125">
    <cfRule type="containsText" dxfId="2" priority="1389" operator="containsText" text="Str">
      <formula>NOT(ISERROR(SEARCH(("Str"),(Z125))))</formula>
    </cfRule>
  </conditionalFormatting>
  <conditionalFormatting sqref="Z125">
    <cfRule type="containsText" dxfId="3" priority="1390" operator="containsText" text="Ere">
      <formula>NOT(ISERROR(SEARCH(("Ere"),(Z125))))</formula>
    </cfRule>
  </conditionalFormatting>
  <conditionalFormatting sqref="Z125">
    <cfRule type="containsText" dxfId="1" priority="1391" operator="containsText" text="Ear">
      <formula>NOT(ISERROR(SEARCH(("Ear"),(Z125))))</formula>
    </cfRule>
  </conditionalFormatting>
  <conditionalFormatting sqref="Z125">
    <cfRule type="containsText" dxfId="0" priority="1392" operator="containsText" text="fnd">
      <formula>NOT(ISERROR(SEARCH(("fnd"),(Z125))))</formula>
    </cfRule>
  </conditionalFormatting>
  <conditionalFormatting sqref="Z133">
    <cfRule type="containsText" dxfId="2" priority="1393" operator="containsText" text="Str">
      <formula>NOT(ISERROR(SEARCH(("Str"),(Z133))))</formula>
    </cfRule>
  </conditionalFormatting>
  <conditionalFormatting sqref="Z133">
    <cfRule type="containsText" dxfId="3" priority="1394" operator="containsText" text="Ere">
      <formula>NOT(ISERROR(SEARCH(("Ere"),(Z133))))</formula>
    </cfRule>
  </conditionalFormatting>
  <conditionalFormatting sqref="Z133">
    <cfRule type="containsText" dxfId="1" priority="1395" operator="containsText" text="Ear">
      <formula>NOT(ISERROR(SEARCH(("Ear"),(Z133))))</formula>
    </cfRule>
  </conditionalFormatting>
  <conditionalFormatting sqref="Z133">
    <cfRule type="containsText" dxfId="0" priority="1396" operator="containsText" text="fnd">
      <formula>NOT(ISERROR(SEARCH(("fnd"),(Z133))))</formula>
    </cfRule>
  </conditionalFormatting>
  <conditionalFormatting sqref="Z141">
    <cfRule type="containsText" dxfId="2" priority="1397" operator="containsText" text="Str">
      <formula>NOT(ISERROR(SEARCH(("Str"),(Z141))))</formula>
    </cfRule>
  </conditionalFormatting>
  <conditionalFormatting sqref="Z141">
    <cfRule type="containsText" dxfId="3" priority="1398" operator="containsText" text="Ere">
      <formula>NOT(ISERROR(SEARCH(("Ere"),(Z141))))</formula>
    </cfRule>
  </conditionalFormatting>
  <conditionalFormatting sqref="Z141">
    <cfRule type="containsText" dxfId="1" priority="1399" operator="containsText" text="Ear">
      <formula>NOT(ISERROR(SEARCH(("Ear"),(Z141))))</formula>
    </cfRule>
  </conditionalFormatting>
  <conditionalFormatting sqref="Z141">
    <cfRule type="containsText" dxfId="0" priority="1400" operator="containsText" text="fnd">
      <formula>NOT(ISERROR(SEARCH(("fnd"),(Z141))))</formula>
    </cfRule>
  </conditionalFormatting>
  <conditionalFormatting sqref="Z149">
    <cfRule type="containsText" dxfId="2" priority="1401" operator="containsText" text="Str">
      <formula>NOT(ISERROR(SEARCH(("Str"),(Z149))))</formula>
    </cfRule>
  </conditionalFormatting>
  <conditionalFormatting sqref="Z149">
    <cfRule type="containsText" dxfId="3" priority="1402" operator="containsText" text="Ere">
      <formula>NOT(ISERROR(SEARCH(("Ere"),(Z149))))</formula>
    </cfRule>
  </conditionalFormatting>
  <conditionalFormatting sqref="Z149">
    <cfRule type="containsText" dxfId="1" priority="1403" operator="containsText" text="Ear">
      <formula>NOT(ISERROR(SEARCH(("Ear"),(Z149))))</formula>
    </cfRule>
  </conditionalFormatting>
  <conditionalFormatting sqref="Z149">
    <cfRule type="containsText" dxfId="0" priority="1404" operator="containsText" text="fnd">
      <formula>NOT(ISERROR(SEARCH(("fnd"),(Z149))))</formula>
    </cfRule>
  </conditionalFormatting>
  <conditionalFormatting sqref="Z157">
    <cfRule type="containsText" dxfId="2" priority="1405" operator="containsText" text="Str">
      <formula>NOT(ISERROR(SEARCH(("Str"),(Z157))))</formula>
    </cfRule>
  </conditionalFormatting>
  <conditionalFormatting sqref="Z157">
    <cfRule type="containsText" dxfId="3" priority="1406" operator="containsText" text="Ere">
      <formula>NOT(ISERROR(SEARCH(("Ere"),(Z157))))</formula>
    </cfRule>
  </conditionalFormatting>
  <conditionalFormatting sqref="Z157">
    <cfRule type="containsText" dxfId="1" priority="1407" operator="containsText" text="Ear">
      <formula>NOT(ISERROR(SEARCH(("Ear"),(Z157))))</formula>
    </cfRule>
  </conditionalFormatting>
  <conditionalFormatting sqref="Z157">
    <cfRule type="containsText" dxfId="0" priority="1408" operator="containsText" text="fnd">
      <formula>NOT(ISERROR(SEARCH(("fnd"),(Z157))))</formula>
    </cfRule>
  </conditionalFormatting>
  <conditionalFormatting sqref="Z165">
    <cfRule type="containsText" dxfId="2" priority="1409" operator="containsText" text="Str">
      <formula>NOT(ISERROR(SEARCH(("Str"),(Z165))))</formula>
    </cfRule>
  </conditionalFormatting>
  <conditionalFormatting sqref="Z165">
    <cfRule type="containsText" dxfId="3" priority="1410" operator="containsText" text="Ere">
      <formula>NOT(ISERROR(SEARCH(("Ere"),(Z165))))</formula>
    </cfRule>
  </conditionalFormatting>
  <conditionalFormatting sqref="Z165">
    <cfRule type="containsText" dxfId="1" priority="1411" operator="containsText" text="Ear">
      <formula>NOT(ISERROR(SEARCH(("Ear"),(Z165))))</formula>
    </cfRule>
  </conditionalFormatting>
  <conditionalFormatting sqref="Z165">
    <cfRule type="containsText" dxfId="0" priority="1412" operator="containsText" text="fnd">
      <formula>NOT(ISERROR(SEARCH(("fnd"),(Z165))))</formula>
    </cfRule>
  </conditionalFormatting>
  <conditionalFormatting sqref="Z173">
    <cfRule type="containsText" dxfId="2" priority="1413" operator="containsText" text="Str">
      <formula>NOT(ISERROR(SEARCH(("Str"),(Z173))))</formula>
    </cfRule>
  </conditionalFormatting>
  <conditionalFormatting sqref="Z173">
    <cfRule type="containsText" dxfId="3" priority="1414" operator="containsText" text="Ere">
      <formula>NOT(ISERROR(SEARCH(("Ere"),(Z173))))</formula>
    </cfRule>
  </conditionalFormatting>
  <conditionalFormatting sqref="Z173">
    <cfRule type="containsText" dxfId="1" priority="1415" operator="containsText" text="Ear">
      <formula>NOT(ISERROR(SEARCH(("Ear"),(Z173))))</formula>
    </cfRule>
  </conditionalFormatting>
  <conditionalFormatting sqref="Z173">
    <cfRule type="containsText" dxfId="0" priority="1416" operator="containsText" text="fnd">
      <formula>NOT(ISERROR(SEARCH(("fnd"),(Z173))))</formula>
    </cfRule>
  </conditionalFormatting>
  <conditionalFormatting sqref="Z181">
    <cfRule type="containsText" dxfId="2" priority="1417" operator="containsText" text="Str">
      <formula>NOT(ISERROR(SEARCH(("Str"),(Z181))))</formula>
    </cfRule>
  </conditionalFormatting>
  <conditionalFormatting sqref="Z181">
    <cfRule type="containsText" dxfId="3" priority="1418" operator="containsText" text="Ere">
      <formula>NOT(ISERROR(SEARCH(("Ere"),(Z181))))</formula>
    </cfRule>
  </conditionalFormatting>
  <conditionalFormatting sqref="Z181">
    <cfRule type="containsText" dxfId="1" priority="1419" operator="containsText" text="Ear">
      <formula>NOT(ISERROR(SEARCH(("Ear"),(Z181))))</formula>
    </cfRule>
  </conditionalFormatting>
  <conditionalFormatting sqref="Z181">
    <cfRule type="containsText" dxfId="0" priority="1420" operator="containsText" text="fnd">
      <formula>NOT(ISERROR(SEARCH(("fnd"),(Z181))))</formula>
    </cfRule>
  </conditionalFormatting>
  <conditionalFormatting sqref="Z30:AA30">
    <cfRule type="containsText" dxfId="2" priority="1421" operator="containsText" text="Str">
      <formula>NOT(ISERROR(SEARCH(("Str"),(Z30))))</formula>
    </cfRule>
  </conditionalFormatting>
  <conditionalFormatting sqref="Z30:AA30">
    <cfRule type="containsText" dxfId="3" priority="1422" operator="containsText" text="Ere">
      <formula>NOT(ISERROR(SEARCH(("Ere"),(Z30))))</formula>
    </cfRule>
  </conditionalFormatting>
  <conditionalFormatting sqref="Z30:AA30">
    <cfRule type="containsText" dxfId="1" priority="1423" operator="containsText" text="Ear">
      <formula>NOT(ISERROR(SEARCH(("Ear"),(Z30))))</formula>
    </cfRule>
  </conditionalFormatting>
  <conditionalFormatting sqref="Z30:AA30">
    <cfRule type="containsText" dxfId="0" priority="1424" operator="containsText" text="fnd">
      <formula>NOT(ISERROR(SEARCH(("fnd"),(Z30))))</formula>
    </cfRule>
  </conditionalFormatting>
  <conditionalFormatting sqref="Z38:AA38">
    <cfRule type="containsText" dxfId="2" priority="1425" operator="containsText" text="Str">
      <formula>NOT(ISERROR(SEARCH(("Str"),(Z38))))</formula>
    </cfRule>
  </conditionalFormatting>
  <conditionalFormatting sqref="Z38:AA38">
    <cfRule type="containsText" dxfId="3" priority="1426" operator="containsText" text="Ere">
      <formula>NOT(ISERROR(SEARCH(("Ere"),(Z38))))</formula>
    </cfRule>
  </conditionalFormatting>
  <conditionalFormatting sqref="Z38:AA38">
    <cfRule type="containsText" dxfId="1" priority="1427" operator="containsText" text="Ear">
      <formula>NOT(ISERROR(SEARCH(("Ear"),(Z38))))</formula>
    </cfRule>
  </conditionalFormatting>
  <conditionalFormatting sqref="Z38:AA38">
    <cfRule type="containsText" dxfId="0" priority="1428" operator="containsText" text="fnd">
      <formula>NOT(ISERROR(SEARCH(("fnd"),(Z38))))</formula>
    </cfRule>
  </conditionalFormatting>
  <conditionalFormatting sqref="Z46:AA46">
    <cfRule type="containsText" dxfId="2" priority="1429" operator="containsText" text="Str">
      <formula>NOT(ISERROR(SEARCH(("Str"),(Z46))))</formula>
    </cfRule>
  </conditionalFormatting>
  <conditionalFormatting sqref="Z46:AA46">
    <cfRule type="containsText" dxfId="3" priority="1430" operator="containsText" text="Ere">
      <formula>NOT(ISERROR(SEARCH(("Ere"),(Z46))))</formula>
    </cfRule>
  </conditionalFormatting>
  <conditionalFormatting sqref="Z46:AA46">
    <cfRule type="containsText" dxfId="1" priority="1431" operator="containsText" text="Ear">
      <formula>NOT(ISERROR(SEARCH(("Ear"),(Z46))))</formula>
    </cfRule>
  </conditionalFormatting>
  <conditionalFormatting sqref="Z46:AA46">
    <cfRule type="containsText" dxfId="0" priority="1432" operator="containsText" text="fnd">
      <formula>NOT(ISERROR(SEARCH(("fnd"),(Z46))))</formula>
    </cfRule>
  </conditionalFormatting>
  <conditionalFormatting sqref="Z54:AA54">
    <cfRule type="containsText" dxfId="2" priority="1433" operator="containsText" text="Str">
      <formula>NOT(ISERROR(SEARCH(("Str"),(Z54))))</formula>
    </cfRule>
  </conditionalFormatting>
  <conditionalFormatting sqref="Z54:AA54">
    <cfRule type="containsText" dxfId="3" priority="1434" operator="containsText" text="Ere">
      <formula>NOT(ISERROR(SEARCH(("Ere"),(Z54))))</formula>
    </cfRule>
  </conditionalFormatting>
  <conditionalFormatting sqref="Z54:AA54">
    <cfRule type="containsText" dxfId="1" priority="1435" operator="containsText" text="Ear">
      <formula>NOT(ISERROR(SEARCH(("Ear"),(Z54))))</formula>
    </cfRule>
  </conditionalFormatting>
  <conditionalFormatting sqref="Z54:AA54">
    <cfRule type="containsText" dxfId="0" priority="1436" operator="containsText" text="fnd">
      <formula>NOT(ISERROR(SEARCH(("fnd"),(Z54))))</formula>
    </cfRule>
  </conditionalFormatting>
  <conditionalFormatting sqref="Z62:AA62 AM62">
    <cfRule type="containsText" dxfId="2" priority="1437" operator="containsText" text="Str">
      <formula>NOT(ISERROR(SEARCH(("Str"),(Z62))))</formula>
    </cfRule>
  </conditionalFormatting>
  <conditionalFormatting sqref="Z62:AA62 AM62">
    <cfRule type="containsText" dxfId="3" priority="1438" operator="containsText" text="Ere">
      <formula>NOT(ISERROR(SEARCH(("Ere"),(Z62))))</formula>
    </cfRule>
  </conditionalFormatting>
  <conditionalFormatting sqref="Z62:AA62 AM62">
    <cfRule type="containsText" dxfId="1" priority="1439" operator="containsText" text="Ear">
      <formula>NOT(ISERROR(SEARCH(("Ear"),(Z62))))</formula>
    </cfRule>
  </conditionalFormatting>
  <conditionalFormatting sqref="Z62:AA62 AM62">
    <cfRule type="containsText" dxfId="0" priority="1440" operator="containsText" text="fnd">
      <formula>NOT(ISERROR(SEARCH(("fnd"),(Z62))))</formula>
    </cfRule>
  </conditionalFormatting>
  <conditionalFormatting sqref="Z77:AA78">
    <cfRule type="containsText" dxfId="2" priority="1441" operator="containsText" text="Str">
      <formula>NOT(ISERROR(SEARCH(("Str"),(Z77))))</formula>
    </cfRule>
  </conditionalFormatting>
  <conditionalFormatting sqref="Z77:AA78">
    <cfRule type="containsText" dxfId="3" priority="1442" operator="containsText" text="Ere">
      <formula>NOT(ISERROR(SEARCH(("Ere"),(Z77))))</formula>
    </cfRule>
  </conditionalFormatting>
  <conditionalFormatting sqref="Z77:AA78">
    <cfRule type="containsText" dxfId="1" priority="1443" operator="containsText" text="Ear">
      <formula>NOT(ISERROR(SEARCH(("Ear"),(Z77))))</formula>
    </cfRule>
  </conditionalFormatting>
  <conditionalFormatting sqref="Z77:AA78">
    <cfRule type="containsText" dxfId="0" priority="1444" operator="containsText" text="fnd">
      <formula>NOT(ISERROR(SEARCH(("fnd"),(Z77))))</formula>
    </cfRule>
  </conditionalFormatting>
  <conditionalFormatting sqref="Z86:AA86">
    <cfRule type="containsText" dxfId="2" priority="1445" operator="containsText" text="Str">
      <formula>NOT(ISERROR(SEARCH(("Str"),(Z86))))</formula>
    </cfRule>
  </conditionalFormatting>
  <conditionalFormatting sqref="Z86:AA86">
    <cfRule type="containsText" dxfId="3" priority="1446" operator="containsText" text="Ere">
      <formula>NOT(ISERROR(SEARCH(("Ere"),(Z86))))</formula>
    </cfRule>
  </conditionalFormatting>
  <conditionalFormatting sqref="Z86:AA86">
    <cfRule type="containsText" dxfId="1" priority="1447" operator="containsText" text="Ear">
      <formula>NOT(ISERROR(SEARCH(("Ear"),(Z86))))</formula>
    </cfRule>
  </conditionalFormatting>
  <conditionalFormatting sqref="Z86:AA86">
    <cfRule type="containsText" dxfId="0" priority="1448" operator="containsText" text="fnd">
      <formula>NOT(ISERROR(SEARCH(("fnd"),(Z86))))</formula>
    </cfRule>
  </conditionalFormatting>
  <conditionalFormatting sqref="Z94:AA94">
    <cfRule type="containsText" dxfId="2" priority="1449" operator="containsText" text="Str">
      <formula>NOT(ISERROR(SEARCH(("Str"),(Z94))))</formula>
    </cfRule>
  </conditionalFormatting>
  <conditionalFormatting sqref="Z94:AA94">
    <cfRule type="containsText" dxfId="3" priority="1450" operator="containsText" text="Ere">
      <formula>NOT(ISERROR(SEARCH(("Ere"),(Z94))))</formula>
    </cfRule>
  </conditionalFormatting>
  <conditionalFormatting sqref="Z94:AA94">
    <cfRule type="containsText" dxfId="1" priority="1451" operator="containsText" text="Ear">
      <formula>NOT(ISERROR(SEARCH(("Ear"),(Z94))))</formula>
    </cfRule>
  </conditionalFormatting>
  <conditionalFormatting sqref="Z94:AA94">
    <cfRule type="containsText" dxfId="0" priority="1452" operator="containsText" text="fnd">
      <formula>NOT(ISERROR(SEARCH(("fnd"),(Z94))))</formula>
    </cfRule>
  </conditionalFormatting>
  <conditionalFormatting sqref="Z102:AA102">
    <cfRule type="containsText" dxfId="2" priority="1453" operator="containsText" text="Str">
      <formula>NOT(ISERROR(SEARCH(("Str"),(Z102))))</formula>
    </cfRule>
  </conditionalFormatting>
  <conditionalFormatting sqref="Z102:AA102">
    <cfRule type="containsText" dxfId="3" priority="1454" operator="containsText" text="Ere">
      <formula>NOT(ISERROR(SEARCH(("Ere"),(Z102))))</formula>
    </cfRule>
  </conditionalFormatting>
  <conditionalFormatting sqref="Z102:AA102">
    <cfRule type="containsText" dxfId="1" priority="1455" operator="containsText" text="Ear">
      <formula>NOT(ISERROR(SEARCH(("Ear"),(Z102))))</formula>
    </cfRule>
  </conditionalFormatting>
  <conditionalFormatting sqref="Z102:AA102">
    <cfRule type="containsText" dxfId="0" priority="1456" operator="containsText" text="fnd">
      <formula>NOT(ISERROR(SEARCH(("fnd"),(Z102))))</formula>
    </cfRule>
  </conditionalFormatting>
  <conditionalFormatting sqref="Z110:AA110">
    <cfRule type="containsText" dxfId="2" priority="1457" operator="containsText" text="Str">
      <formula>NOT(ISERROR(SEARCH(("Str"),(Z110))))</formula>
    </cfRule>
  </conditionalFormatting>
  <conditionalFormatting sqref="Z110:AA110">
    <cfRule type="containsText" dxfId="3" priority="1458" operator="containsText" text="Ere">
      <formula>NOT(ISERROR(SEARCH(("Ere"),(Z110))))</formula>
    </cfRule>
  </conditionalFormatting>
  <conditionalFormatting sqref="Z110:AA110">
    <cfRule type="containsText" dxfId="1" priority="1459" operator="containsText" text="Ear">
      <formula>NOT(ISERROR(SEARCH(("Ear"),(Z110))))</formula>
    </cfRule>
  </conditionalFormatting>
  <conditionalFormatting sqref="Z110:AA110">
    <cfRule type="containsText" dxfId="0" priority="1460" operator="containsText" text="fnd">
      <formula>NOT(ISERROR(SEARCH(("fnd"),(Z110))))</formula>
    </cfRule>
  </conditionalFormatting>
  <conditionalFormatting sqref="Z118:AA118">
    <cfRule type="containsText" dxfId="2" priority="1461" operator="containsText" text="Str">
      <formula>NOT(ISERROR(SEARCH(("Str"),(Z118))))</formula>
    </cfRule>
  </conditionalFormatting>
  <conditionalFormatting sqref="Z118:AA118">
    <cfRule type="containsText" dxfId="3" priority="1462" operator="containsText" text="Ere">
      <formula>NOT(ISERROR(SEARCH(("Ere"),(Z118))))</formula>
    </cfRule>
  </conditionalFormatting>
  <conditionalFormatting sqref="Z118:AA118">
    <cfRule type="containsText" dxfId="1" priority="1463" operator="containsText" text="Ear">
      <formula>NOT(ISERROR(SEARCH(("Ear"),(Z118))))</formula>
    </cfRule>
  </conditionalFormatting>
  <conditionalFormatting sqref="Z118:AA118">
    <cfRule type="containsText" dxfId="0" priority="1464" operator="containsText" text="fnd">
      <formula>NOT(ISERROR(SEARCH(("fnd"),(Z118))))</formula>
    </cfRule>
  </conditionalFormatting>
  <conditionalFormatting sqref="Z126:AA126">
    <cfRule type="containsText" dxfId="2" priority="1465" operator="containsText" text="Str">
      <formula>NOT(ISERROR(SEARCH(("Str"),(Z126))))</formula>
    </cfRule>
  </conditionalFormatting>
  <conditionalFormatting sqref="Z126:AA126">
    <cfRule type="containsText" dxfId="3" priority="1466" operator="containsText" text="Ere">
      <formula>NOT(ISERROR(SEARCH(("Ere"),(Z126))))</formula>
    </cfRule>
  </conditionalFormatting>
  <conditionalFormatting sqref="Z126:AA126">
    <cfRule type="containsText" dxfId="1" priority="1467" operator="containsText" text="Ear">
      <formula>NOT(ISERROR(SEARCH(("Ear"),(Z126))))</formula>
    </cfRule>
  </conditionalFormatting>
  <conditionalFormatting sqref="Z126:AA126">
    <cfRule type="containsText" dxfId="0" priority="1468" operator="containsText" text="fnd">
      <formula>NOT(ISERROR(SEARCH(("fnd"),(Z126))))</formula>
    </cfRule>
  </conditionalFormatting>
  <conditionalFormatting sqref="Z134:AA134">
    <cfRule type="containsText" dxfId="2" priority="1469" operator="containsText" text="Str">
      <formula>NOT(ISERROR(SEARCH(("Str"),(Z134))))</formula>
    </cfRule>
  </conditionalFormatting>
  <conditionalFormatting sqref="Z134:AA134">
    <cfRule type="containsText" dxfId="3" priority="1470" operator="containsText" text="Ere">
      <formula>NOT(ISERROR(SEARCH(("Ere"),(Z134))))</formula>
    </cfRule>
  </conditionalFormatting>
  <conditionalFormatting sqref="Z134:AA134">
    <cfRule type="containsText" dxfId="1" priority="1471" operator="containsText" text="Ear">
      <formula>NOT(ISERROR(SEARCH(("Ear"),(Z134))))</formula>
    </cfRule>
  </conditionalFormatting>
  <conditionalFormatting sqref="Z134:AA134">
    <cfRule type="containsText" dxfId="0" priority="1472" operator="containsText" text="fnd">
      <formula>NOT(ISERROR(SEARCH(("fnd"),(Z134))))</formula>
    </cfRule>
  </conditionalFormatting>
  <conditionalFormatting sqref="Z150:AA150">
    <cfRule type="containsText" dxfId="2" priority="1473" operator="containsText" text="Str">
      <formula>NOT(ISERROR(SEARCH(("Str"),(Z150))))</formula>
    </cfRule>
  </conditionalFormatting>
  <conditionalFormatting sqref="Z150:AA150">
    <cfRule type="containsText" dxfId="3" priority="1474" operator="containsText" text="Ere">
      <formula>NOT(ISERROR(SEARCH(("Ere"),(Z150))))</formula>
    </cfRule>
  </conditionalFormatting>
  <conditionalFormatting sqref="Z150:AA150">
    <cfRule type="containsText" dxfId="1" priority="1475" operator="containsText" text="Ear">
      <formula>NOT(ISERROR(SEARCH(("Ear"),(Z150))))</formula>
    </cfRule>
  </conditionalFormatting>
  <conditionalFormatting sqref="Z150:AA150">
    <cfRule type="containsText" dxfId="0" priority="1476" operator="containsText" text="fnd">
      <formula>NOT(ISERROR(SEARCH(("fnd"),(Z150))))</formula>
    </cfRule>
  </conditionalFormatting>
  <conditionalFormatting sqref="Z158:AA158">
    <cfRule type="containsText" dxfId="2" priority="1477" operator="containsText" text="Str">
      <formula>NOT(ISERROR(SEARCH(("Str"),(Z158))))</formula>
    </cfRule>
  </conditionalFormatting>
  <conditionalFormatting sqref="Z158:AA158">
    <cfRule type="containsText" dxfId="3" priority="1478" operator="containsText" text="Ere">
      <formula>NOT(ISERROR(SEARCH(("Ere"),(Z158))))</formula>
    </cfRule>
  </conditionalFormatting>
  <conditionalFormatting sqref="Z158:AA158">
    <cfRule type="containsText" dxfId="1" priority="1479" operator="containsText" text="Ear">
      <formula>NOT(ISERROR(SEARCH(("Ear"),(Z158))))</formula>
    </cfRule>
  </conditionalFormatting>
  <conditionalFormatting sqref="Z158:AA158">
    <cfRule type="containsText" dxfId="0" priority="1480" operator="containsText" text="fnd">
      <formula>NOT(ISERROR(SEARCH(("fnd"),(Z158))))</formula>
    </cfRule>
  </conditionalFormatting>
  <conditionalFormatting sqref="Z166:AA166">
    <cfRule type="containsText" dxfId="2" priority="1481" operator="containsText" text="Str">
      <formula>NOT(ISERROR(SEARCH(("Str"),(Z166))))</formula>
    </cfRule>
  </conditionalFormatting>
  <conditionalFormatting sqref="Z166:AA166">
    <cfRule type="containsText" dxfId="3" priority="1482" operator="containsText" text="Ere">
      <formula>NOT(ISERROR(SEARCH(("Ere"),(Z166))))</formula>
    </cfRule>
  </conditionalFormatting>
  <conditionalFormatting sqref="Z166:AA166">
    <cfRule type="containsText" dxfId="1" priority="1483" operator="containsText" text="Ear">
      <formula>NOT(ISERROR(SEARCH(("Ear"),(Z166))))</formula>
    </cfRule>
  </conditionalFormatting>
  <conditionalFormatting sqref="Z166:AA166">
    <cfRule type="containsText" dxfId="0" priority="1484" operator="containsText" text="fnd">
      <formula>NOT(ISERROR(SEARCH(("fnd"),(Z166))))</formula>
    </cfRule>
  </conditionalFormatting>
  <conditionalFormatting sqref="Z174:AA174">
    <cfRule type="containsText" dxfId="2" priority="1485" operator="containsText" text="Str">
      <formula>NOT(ISERROR(SEARCH(("Str"),(Z174))))</formula>
    </cfRule>
  </conditionalFormatting>
  <conditionalFormatting sqref="Z174:AA174">
    <cfRule type="containsText" dxfId="3" priority="1486" operator="containsText" text="Ere">
      <formula>NOT(ISERROR(SEARCH(("Ere"),(Z174))))</formula>
    </cfRule>
  </conditionalFormatting>
  <conditionalFormatting sqref="Z174:AA174">
    <cfRule type="containsText" dxfId="1" priority="1487" operator="containsText" text="Ear">
      <formula>NOT(ISERROR(SEARCH(("Ear"),(Z174))))</formula>
    </cfRule>
  </conditionalFormatting>
  <conditionalFormatting sqref="Z174:AA174">
    <cfRule type="containsText" dxfId="0" priority="1488" operator="containsText" text="fnd">
      <formula>NOT(ISERROR(SEARCH(("fnd"),(Z174))))</formula>
    </cfRule>
  </conditionalFormatting>
  <conditionalFormatting sqref="Z182:AA182">
    <cfRule type="containsText" dxfId="2" priority="1489" operator="containsText" text="Str">
      <formula>NOT(ISERROR(SEARCH(("Str"),(Z182))))</formula>
    </cfRule>
  </conditionalFormatting>
  <conditionalFormatting sqref="Z182:AA182">
    <cfRule type="containsText" dxfId="3" priority="1490" operator="containsText" text="Ere">
      <formula>NOT(ISERROR(SEARCH(("Ere"),(Z182))))</formula>
    </cfRule>
  </conditionalFormatting>
  <conditionalFormatting sqref="Z182:AA182">
    <cfRule type="containsText" dxfId="1" priority="1491" operator="containsText" text="Ear">
      <formula>NOT(ISERROR(SEARCH(("Ear"),(Z182))))</formula>
    </cfRule>
  </conditionalFormatting>
  <conditionalFormatting sqref="Z182:AA182">
    <cfRule type="containsText" dxfId="0" priority="1492" operator="containsText" text="fnd">
      <formula>NOT(ISERROR(SEARCH(("fnd"),(Z182))))</formula>
    </cfRule>
  </conditionalFormatting>
  <conditionalFormatting sqref="AA6">
    <cfRule type="containsText" dxfId="2" priority="1493" operator="containsText" text="Str">
      <formula>NOT(ISERROR(SEARCH(("Str"),(AA6))))</formula>
    </cfRule>
  </conditionalFormatting>
  <conditionalFormatting sqref="AA6">
    <cfRule type="containsText" dxfId="3" priority="1494" operator="containsText" text="Ere">
      <formula>NOT(ISERROR(SEARCH(("Ere"),(AA6))))</formula>
    </cfRule>
  </conditionalFormatting>
  <conditionalFormatting sqref="AA6">
    <cfRule type="containsText" dxfId="1" priority="1495" operator="containsText" text="Ear">
      <formula>NOT(ISERROR(SEARCH(("Ear"),(AA6))))</formula>
    </cfRule>
  </conditionalFormatting>
  <conditionalFormatting sqref="AA6">
    <cfRule type="containsText" dxfId="0" priority="1496" operator="containsText" text="fnd">
      <formula>NOT(ISERROR(SEARCH(("fnd"),(AA6))))</formula>
    </cfRule>
  </conditionalFormatting>
  <conditionalFormatting sqref="AA14">
    <cfRule type="containsText" dxfId="2" priority="1497" operator="containsText" text="Str">
      <formula>NOT(ISERROR(SEARCH(("Str"),(AA14))))</formula>
    </cfRule>
  </conditionalFormatting>
  <conditionalFormatting sqref="AA14">
    <cfRule type="containsText" dxfId="3" priority="1498" operator="containsText" text="Ere">
      <formula>NOT(ISERROR(SEARCH(("Ere"),(AA14))))</formula>
    </cfRule>
  </conditionalFormatting>
  <conditionalFormatting sqref="AA14">
    <cfRule type="containsText" dxfId="1" priority="1499" operator="containsText" text="Ear">
      <formula>NOT(ISERROR(SEARCH(("Ear"),(AA14))))</formula>
    </cfRule>
  </conditionalFormatting>
  <conditionalFormatting sqref="AA14">
    <cfRule type="containsText" dxfId="0" priority="1500" operator="containsText" text="fnd">
      <formula>NOT(ISERROR(SEARCH(("fnd"),(AA14))))</formula>
    </cfRule>
  </conditionalFormatting>
  <conditionalFormatting sqref="AA22">
    <cfRule type="containsText" dxfId="2" priority="1501" operator="containsText" text="Str">
      <formula>NOT(ISERROR(SEARCH(("Str"),(AA22))))</formula>
    </cfRule>
  </conditionalFormatting>
  <conditionalFormatting sqref="AA22">
    <cfRule type="containsText" dxfId="3" priority="1502" operator="containsText" text="Ere">
      <formula>NOT(ISERROR(SEARCH(("Ere"),(AA22))))</formula>
    </cfRule>
  </conditionalFormatting>
  <conditionalFormatting sqref="AA22">
    <cfRule type="containsText" dxfId="1" priority="1503" operator="containsText" text="Ear">
      <formula>NOT(ISERROR(SEARCH(("Ear"),(AA22))))</formula>
    </cfRule>
  </conditionalFormatting>
  <conditionalFormatting sqref="AA22">
    <cfRule type="containsText" dxfId="0" priority="1504" operator="containsText" text="fnd">
      <formula>NOT(ISERROR(SEARCH(("fnd"),(AA22))))</formula>
    </cfRule>
  </conditionalFormatting>
  <conditionalFormatting sqref="AC5:AC6">
    <cfRule type="containsText" dxfId="2" priority="1505" operator="containsText" text="Str">
      <formula>NOT(ISERROR(SEARCH(("Str"),(AC5))))</formula>
    </cfRule>
  </conditionalFormatting>
  <conditionalFormatting sqref="AC5:AC6">
    <cfRule type="containsText" dxfId="3" priority="1506" operator="containsText" text="Ere">
      <formula>NOT(ISERROR(SEARCH(("Ere"),(AC5))))</formula>
    </cfRule>
  </conditionalFormatting>
  <conditionalFormatting sqref="AC5:AC6">
    <cfRule type="containsText" dxfId="1" priority="1507" operator="containsText" text="Ear">
      <formula>NOT(ISERROR(SEARCH(("Ear"),(AC5))))</formula>
    </cfRule>
  </conditionalFormatting>
  <conditionalFormatting sqref="AC5:AC6">
    <cfRule type="containsText" dxfId="0" priority="1508" operator="containsText" text="fnd">
      <formula>NOT(ISERROR(SEARCH(("fnd"),(AC5))))</formula>
    </cfRule>
  </conditionalFormatting>
  <conditionalFormatting sqref="AC13:AC14">
    <cfRule type="containsText" dxfId="2" priority="1509" operator="containsText" text="Str">
      <formula>NOT(ISERROR(SEARCH(("Str"),(AC13))))</formula>
    </cfRule>
  </conditionalFormatting>
  <conditionalFormatting sqref="AC13:AC14">
    <cfRule type="containsText" dxfId="3" priority="1510" operator="containsText" text="Ere">
      <formula>NOT(ISERROR(SEARCH(("Ere"),(AC13))))</formula>
    </cfRule>
  </conditionalFormatting>
  <conditionalFormatting sqref="AC13:AC14">
    <cfRule type="containsText" dxfId="1" priority="1511" operator="containsText" text="Ear">
      <formula>NOT(ISERROR(SEARCH(("Ear"),(AC13))))</formula>
    </cfRule>
  </conditionalFormatting>
  <conditionalFormatting sqref="AC13:AC14">
    <cfRule type="containsText" dxfId="0" priority="1512" operator="containsText" text="fnd">
      <formula>NOT(ISERROR(SEARCH(("fnd"),(AC13))))</formula>
    </cfRule>
  </conditionalFormatting>
  <conditionalFormatting sqref="AC21:AC22">
    <cfRule type="containsText" dxfId="2" priority="1513" operator="containsText" text="Str">
      <formula>NOT(ISERROR(SEARCH(("Str"),(AC21))))</formula>
    </cfRule>
  </conditionalFormatting>
  <conditionalFormatting sqref="AC21:AC22">
    <cfRule type="containsText" dxfId="3" priority="1514" operator="containsText" text="Ere">
      <formula>NOT(ISERROR(SEARCH(("Ere"),(AC21))))</formula>
    </cfRule>
  </conditionalFormatting>
  <conditionalFormatting sqref="AC21:AC22">
    <cfRule type="containsText" dxfId="1" priority="1515" operator="containsText" text="Ear">
      <formula>NOT(ISERROR(SEARCH(("Ear"),(AC21))))</formula>
    </cfRule>
  </conditionalFormatting>
  <conditionalFormatting sqref="AC21:AC22">
    <cfRule type="containsText" dxfId="0" priority="1516" operator="containsText" text="fnd">
      <formula>NOT(ISERROR(SEARCH(("fnd"),(AC21))))</formula>
    </cfRule>
  </conditionalFormatting>
  <conditionalFormatting sqref="AC29">
    <cfRule type="containsText" dxfId="2" priority="1517" operator="containsText" text="Str">
      <formula>NOT(ISERROR(SEARCH(("Str"),(AC29))))</formula>
    </cfRule>
  </conditionalFormatting>
  <conditionalFormatting sqref="AC29">
    <cfRule type="containsText" dxfId="3" priority="1518" operator="containsText" text="Ere">
      <formula>NOT(ISERROR(SEARCH(("Ere"),(AC29))))</formula>
    </cfRule>
  </conditionalFormatting>
  <conditionalFormatting sqref="AC29">
    <cfRule type="containsText" dxfId="1" priority="1519" operator="containsText" text="Ear">
      <formula>NOT(ISERROR(SEARCH(("Ear"),(AC29))))</formula>
    </cfRule>
  </conditionalFormatting>
  <conditionalFormatting sqref="AC29">
    <cfRule type="containsText" dxfId="0" priority="1520" operator="containsText" text="fnd">
      <formula>NOT(ISERROR(SEARCH(("fnd"),(AC29))))</formula>
    </cfRule>
  </conditionalFormatting>
  <conditionalFormatting sqref="AC37">
    <cfRule type="containsText" dxfId="2" priority="1521" operator="containsText" text="Str">
      <formula>NOT(ISERROR(SEARCH(("Str"),(AC37))))</formula>
    </cfRule>
  </conditionalFormatting>
  <conditionalFormatting sqref="AC37">
    <cfRule type="containsText" dxfId="3" priority="1522" operator="containsText" text="Ere">
      <formula>NOT(ISERROR(SEARCH(("Ere"),(AC37))))</formula>
    </cfRule>
  </conditionalFormatting>
  <conditionalFormatting sqref="AC37">
    <cfRule type="containsText" dxfId="1" priority="1523" operator="containsText" text="Ear">
      <formula>NOT(ISERROR(SEARCH(("Ear"),(AC37))))</formula>
    </cfRule>
  </conditionalFormatting>
  <conditionalFormatting sqref="AC37">
    <cfRule type="containsText" dxfId="0" priority="1524" operator="containsText" text="fnd">
      <formula>NOT(ISERROR(SEARCH(("fnd"),(AC37))))</formula>
    </cfRule>
  </conditionalFormatting>
  <conditionalFormatting sqref="AC45">
    <cfRule type="containsText" dxfId="2" priority="1525" operator="containsText" text="Str">
      <formula>NOT(ISERROR(SEARCH(("Str"),(AC45))))</formula>
    </cfRule>
  </conditionalFormatting>
  <conditionalFormatting sqref="AC45">
    <cfRule type="containsText" dxfId="3" priority="1526" operator="containsText" text="Ere">
      <formula>NOT(ISERROR(SEARCH(("Ere"),(AC45))))</formula>
    </cfRule>
  </conditionalFormatting>
  <conditionalFormatting sqref="AC45">
    <cfRule type="containsText" dxfId="1" priority="1527" operator="containsText" text="Ear">
      <formula>NOT(ISERROR(SEARCH(("Ear"),(AC45))))</formula>
    </cfRule>
  </conditionalFormatting>
  <conditionalFormatting sqref="AC45">
    <cfRule type="containsText" dxfId="0" priority="1528" operator="containsText" text="fnd">
      <formula>NOT(ISERROR(SEARCH(("fnd"),(AC45))))</formula>
    </cfRule>
  </conditionalFormatting>
  <conditionalFormatting sqref="AC53">
    <cfRule type="containsText" dxfId="2" priority="1529" operator="containsText" text="Str">
      <formula>NOT(ISERROR(SEARCH(("Str"),(AC53))))</formula>
    </cfRule>
  </conditionalFormatting>
  <conditionalFormatting sqref="AC53">
    <cfRule type="containsText" dxfId="3" priority="1530" operator="containsText" text="Ere">
      <formula>NOT(ISERROR(SEARCH(("Ere"),(AC53))))</formula>
    </cfRule>
  </conditionalFormatting>
  <conditionalFormatting sqref="AC53">
    <cfRule type="containsText" dxfId="1" priority="1531" operator="containsText" text="Ear">
      <formula>NOT(ISERROR(SEARCH(("Ear"),(AC53))))</formula>
    </cfRule>
  </conditionalFormatting>
  <conditionalFormatting sqref="AC53">
    <cfRule type="containsText" dxfId="0" priority="1532" operator="containsText" text="fnd">
      <formula>NOT(ISERROR(SEARCH(("fnd"),(AC53))))</formula>
    </cfRule>
  </conditionalFormatting>
  <conditionalFormatting sqref="AC61">
    <cfRule type="containsText" dxfId="2" priority="1533" operator="containsText" text="Str">
      <formula>NOT(ISERROR(SEARCH(("Str"),(AC61))))</formula>
    </cfRule>
  </conditionalFormatting>
  <conditionalFormatting sqref="AC61">
    <cfRule type="containsText" dxfId="3" priority="1534" operator="containsText" text="Ere">
      <formula>NOT(ISERROR(SEARCH(("Ere"),(AC61))))</formula>
    </cfRule>
  </conditionalFormatting>
  <conditionalFormatting sqref="AC61">
    <cfRule type="containsText" dxfId="1" priority="1535" operator="containsText" text="Ear">
      <formula>NOT(ISERROR(SEARCH(("Ear"),(AC61))))</formula>
    </cfRule>
  </conditionalFormatting>
  <conditionalFormatting sqref="AC61">
    <cfRule type="containsText" dxfId="0" priority="1536" operator="containsText" text="fnd">
      <formula>NOT(ISERROR(SEARCH(("fnd"),(AC61))))</formula>
    </cfRule>
  </conditionalFormatting>
  <conditionalFormatting sqref="AC70">
    <cfRule type="containsText" dxfId="2" priority="1537" operator="containsText" text="Str">
      <formula>NOT(ISERROR(SEARCH(("Str"),(AC70))))</formula>
    </cfRule>
  </conditionalFormatting>
  <conditionalFormatting sqref="AC70">
    <cfRule type="containsText" dxfId="3" priority="1538" operator="containsText" text="Ere">
      <formula>NOT(ISERROR(SEARCH(("Ere"),(AC70))))</formula>
    </cfRule>
  </conditionalFormatting>
  <conditionalFormatting sqref="AC70">
    <cfRule type="containsText" dxfId="1" priority="1539" operator="containsText" text="Ear">
      <formula>NOT(ISERROR(SEARCH(("Ear"),(AC70))))</formula>
    </cfRule>
  </conditionalFormatting>
  <conditionalFormatting sqref="AC70">
    <cfRule type="containsText" dxfId="0" priority="1540" operator="containsText" text="fnd">
      <formula>NOT(ISERROR(SEARCH(("fnd"),(AC70))))</formula>
    </cfRule>
  </conditionalFormatting>
  <conditionalFormatting sqref="AC77">
    <cfRule type="containsText" dxfId="2" priority="1541" operator="containsText" text="Str">
      <formula>NOT(ISERROR(SEARCH(("Str"),(AC77))))</formula>
    </cfRule>
  </conditionalFormatting>
  <conditionalFormatting sqref="AC77">
    <cfRule type="containsText" dxfId="3" priority="1542" operator="containsText" text="Ere">
      <formula>NOT(ISERROR(SEARCH(("Ere"),(AC77))))</formula>
    </cfRule>
  </conditionalFormatting>
  <conditionalFormatting sqref="AC77">
    <cfRule type="containsText" dxfId="1" priority="1543" operator="containsText" text="Ear">
      <formula>NOT(ISERROR(SEARCH(("Ear"),(AC77))))</formula>
    </cfRule>
  </conditionalFormatting>
  <conditionalFormatting sqref="AC77">
    <cfRule type="containsText" dxfId="0" priority="1544" operator="containsText" text="fnd">
      <formula>NOT(ISERROR(SEARCH(("fnd"),(AC77))))</formula>
    </cfRule>
  </conditionalFormatting>
  <conditionalFormatting sqref="AC85:AC86">
    <cfRule type="containsText" dxfId="2" priority="1545" operator="containsText" text="Str">
      <formula>NOT(ISERROR(SEARCH(("Str"),(AC85))))</formula>
    </cfRule>
  </conditionalFormatting>
  <conditionalFormatting sqref="AC85:AC86">
    <cfRule type="containsText" dxfId="3" priority="1546" operator="containsText" text="Ere">
      <formula>NOT(ISERROR(SEARCH(("Ere"),(AC85))))</formula>
    </cfRule>
  </conditionalFormatting>
  <conditionalFormatting sqref="AC85:AC86">
    <cfRule type="containsText" dxfId="1" priority="1547" operator="containsText" text="Ear">
      <formula>NOT(ISERROR(SEARCH(("Ear"),(AC85))))</formula>
    </cfRule>
  </conditionalFormatting>
  <conditionalFormatting sqref="AC85:AC86">
    <cfRule type="containsText" dxfId="0" priority="1548" operator="containsText" text="fnd">
      <formula>NOT(ISERROR(SEARCH(("fnd"),(AC85))))</formula>
    </cfRule>
  </conditionalFormatting>
  <conditionalFormatting sqref="AC93">
    <cfRule type="containsText" dxfId="2" priority="1549" operator="containsText" text="Str">
      <formula>NOT(ISERROR(SEARCH(("Str"),(AC93))))</formula>
    </cfRule>
  </conditionalFormatting>
  <conditionalFormatting sqref="AC93">
    <cfRule type="containsText" dxfId="3" priority="1550" operator="containsText" text="Ere">
      <formula>NOT(ISERROR(SEARCH(("Ere"),(AC93))))</formula>
    </cfRule>
  </conditionalFormatting>
  <conditionalFormatting sqref="AC93">
    <cfRule type="containsText" dxfId="1" priority="1551" operator="containsText" text="Ear">
      <formula>NOT(ISERROR(SEARCH(("Ear"),(AC93))))</formula>
    </cfRule>
  </conditionalFormatting>
  <conditionalFormatting sqref="AC93">
    <cfRule type="containsText" dxfId="0" priority="1552" operator="containsText" text="fnd">
      <formula>NOT(ISERROR(SEARCH(("fnd"),(AC93))))</formula>
    </cfRule>
  </conditionalFormatting>
  <conditionalFormatting sqref="AC101">
    <cfRule type="containsText" dxfId="2" priority="1553" operator="containsText" text="Str">
      <formula>NOT(ISERROR(SEARCH(("Str"),(AC101))))</formula>
    </cfRule>
  </conditionalFormatting>
  <conditionalFormatting sqref="AC101">
    <cfRule type="containsText" dxfId="3" priority="1554" operator="containsText" text="Ere">
      <formula>NOT(ISERROR(SEARCH(("Ere"),(AC101))))</formula>
    </cfRule>
  </conditionalFormatting>
  <conditionalFormatting sqref="AC101">
    <cfRule type="containsText" dxfId="1" priority="1555" operator="containsText" text="Ear">
      <formula>NOT(ISERROR(SEARCH(("Ear"),(AC101))))</formula>
    </cfRule>
  </conditionalFormatting>
  <conditionalFormatting sqref="AC101">
    <cfRule type="containsText" dxfId="0" priority="1556" operator="containsText" text="fnd">
      <formula>NOT(ISERROR(SEARCH(("fnd"),(AC101))))</formula>
    </cfRule>
  </conditionalFormatting>
  <conditionalFormatting sqref="AC109">
    <cfRule type="containsText" dxfId="2" priority="1557" operator="containsText" text="Str">
      <formula>NOT(ISERROR(SEARCH(("Str"),(AC109))))</formula>
    </cfRule>
  </conditionalFormatting>
  <conditionalFormatting sqref="AC109">
    <cfRule type="containsText" dxfId="3" priority="1558" operator="containsText" text="Ere">
      <formula>NOT(ISERROR(SEARCH(("Ere"),(AC109))))</formula>
    </cfRule>
  </conditionalFormatting>
  <conditionalFormatting sqref="AC109">
    <cfRule type="containsText" dxfId="1" priority="1559" operator="containsText" text="Ear">
      <formula>NOT(ISERROR(SEARCH(("Ear"),(AC109))))</formula>
    </cfRule>
  </conditionalFormatting>
  <conditionalFormatting sqref="AC109">
    <cfRule type="containsText" dxfId="0" priority="1560" operator="containsText" text="fnd">
      <formula>NOT(ISERROR(SEARCH(("fnd"),(AC109))))</formula>
    </cfRule>
  </conditionalFormatting>
  <conditionalFormatting sqref="AC117">
    <cfRule type="containsText" dxfId="2" priority="1561" operator="containsText" text="Str">
      <formula>NOT(ISERROR(SEARCH(("Str"),(AC117))))</formula>
    </cfRule>
  </conditionalFormatting>
  <conditionalFormatting sqref="AC117">
    <cfRule type="containsText" dxfId="3" priority="1562" operator="containsText" text="Ere">
      <formula>NOT(ISERROR(SEARCH(("Ere"),(AC117))))</formula>
    </cfRule>
  </conditionalFormatting>
  <conditionalFormatting sqref="AC117">
    <cfRule type="containsText" dxfId="1" priority="1563" operator="containsText" text="Ear">
      <formula>NOT(ISERROR(SEARCH(("Ear"),(AC117))))</formula>
    </cfRule>
  </conditionalFormatting>
  <conditionalFormatting sqref="AC117">
    <cfRule type="containsText" dxfId="0" priority="1564" operator="containsText" text="fnd">
      <formula>NOT(ISERROR(SEARCH(("fnd"),(AC117))))</formula>
    </cfRule>
  </conditionalFormatting>
  <conditionalFormatting sqref="AC122 AC130 AC154 AC170 AC178">
    <cfRule type="containsText" dxfId="2" priority="1565" operator="containsText" text="Str">
      <formula>NOT(ISERROR(SEARCH(("Str"),(AC122))))</formula>
    </cfRule>
  </conditionalFormatting>
  <conditionalFormatting sqref="AC122 AC130 AC154 AC170 AC178">
    <cfRule type="containsText" dxfId="3" priority="1566" operator="containsText" text="Ere">
      <formula>NOT(ISERROR(SEARCH(("Ere"),(AC122))))</formula>
    </cfRule>
  </conditionalFormatting>
  <conditionalFormatting sqref="AC122 AC130 AC154 AC170 AC178">
    <cfRule type="containsText" dxfId="1" priority="1567" operator="containsText" text="Ear">
      <formula>NOT(ISERROR(SEARCH(("Ear"),(AC122))))</formula>
    </cfRule>
  </conditionalFormatting>
  <conditionalFormatting sqref="AC122 AC130 AC154 AC170 AC178">
    <cfRule type="containsText" dxfId="0" priority="1568" operator="containsText" text="fnd">
      <formula>NOT(ISERROR(SEARCH(("fnd"),(AC122))))</formula>
    </cfRule>
  </conditionalFormatting>
  <conditionalFormatting sqref="AC125">
    <cfRule type="containsText" dxfId="2" priority="1569" operator="containsText" text="Str">
      <formula>NOT(ISERROR(SEARCH(("Str"),(AC125))))</formula>
    </cfRule>
  </conditionalFormatting>
  <conditionalFormatting sqref="AC125">
    <cfRule type="containsText" dxfId="3" priority="1570" operator="containsText" text="Ere">
      <formula>NOT(ISERROR(SEARCH(("Ere"),(AC125))))</formula>
    </cfRule>
  </conditionalFormatting>
  <conditionalFormatting sqref="AC125">
    <cfRule type="containsText" dxfId="1" priority="1571" operator="containsText" text="Ear">
      <formula>NOT(ISERROR(SEARCH(("Ear"),(AC125))))</formula>
    </cfRule>
  </conditionalFormatting>
  <conditionalFormatting sqref="AC125">
    <cfRule type="containsText" dxfId="0" priority="1572" operator="containsText" text="fnd">
      <formula>NOT(ISERROR(SEARCH(("fnd"),(AC125))))</formula>
    </cfRule>
  </conditionalFormatting>
  <conditionalFormatting sqref="AC133">
    <cfRule type="containsText" dxfId="2" priority="1573" operator="containsText" text="Str">
      <formula>NOT(ISERROR(SEARCH(("Str"),(AC133))))</formula>
    </cfRule>
  </conditionalFormatting>
  <conditionalFormatting sqref="AC133">
    <cfRule type="containsText" dxfId="3" priority="1574" operator="containsText" text="Ere">
      <formula>NOT(ISERROR(SEARCH(("Ere"),(AC133))))</formula>
    </cfRule>
  </conditionalFormatting>
  <conditionalFormatting sqref="AC133">
    <cfRule type="containsText" dxfId="1" priority="1575" operator="containsText" text="Ear">
      <formula>NOT(ISERROR(SEARCH(("Ear"),(AC133))))</formula>
    </cfRule>
  </conditionalFormatting>
  <conditionalFormatting sqref="AC133">
    <cfRule type="containsText" dxfId="0" priority="1576" operator="containsText" text="fnd">
      <formula>NOT(ISERROR(SEARCH(("fnd"),(AC133))))</formula>
    </cfRule>
  </conditionalFormatting>
  <conditionalFormatting sqref="AC141">
    <cfRule type="containsText" dxfId="2" priority="1577" operator="containsText" text="Str">
      <formula>NOT(ISERROR(SEARCH(("Str"),(AC141))))</formula>
    </cfRule>
  </conditionalFormatting>
  <conditionalFormatting sqref="AC141">
    <cfRule type="containsText" dxfId="3" priority="1578" operator="containsText" text="Ere">
      <formula>NOT(ISERROR(SEARCH(("Ere"),(AC141))))</formula>
    </cfRule>
  </conditionalFormatting>
  <conditionalFormatting sqref="AC141">
    <cfRule type="containsText" dxfId="1" priority="1579" operator="containsText" text="Ear">
      <formula>NOT(ISERROR(SEARCH(("Ear"),(AC141))))</formula>
    </cfRule>
  </conditionalFormatting>
  <conditionalFormatting sqref="AC141">
    <cfRule type="containsText" dxfId="0" priority="1580" operator="containsText" text="fnd">
      <formula>NOT(ISERROR(SEARCH(("fnd"),(AC141))))</formula>
    </cfRule>
  </conditionalFormatting>
  <conditionalFormatting sqref="AC149">
    <cfRule type="containsText" dxfId="2" priority="1581" operator="containsText" text="Str">
      <formula>NOT(ISERROR(SEARCH(("Str"),(AC149))))</formula>
    </cfRule>
  </conditionalFormatting>
  <conditionalFormatting sqref="AC149">
    <cfRule type="containsText" dxfId="3" priority="1582" operator="containsText" text="Ere">
      <formula>NOT(ISERROR(SEARCH(("Ere"),(AC149))))</formula>
    </cfRule>
  </conditionalFormatting>
  <conditionalFormatting sqref="AC149">
    <cfRule type="containsText" dxfId="1" priority="1583" operator="containsText" text="Ear">
      <formula>NOT(ISERROR(SEARCH(("Ear"),(AC149))))</formula>
    </cfRule>
  </conditionalFormatting>
  <conditionalFormatting sqref="AC149">
    <cfRule type="containsText" dxfId="0" priority="1584" operator="containsText" text="fnd">
      <formula>NOT(ISERROR(SEARCH(("fnd"),(AC149))))</formula>
    </cfRule>
  </conditionalFormatting>
  <conditionalFormatting sqref="AC157">
    <cfRule type="containsText" dxfId="2" priority="1585" operator="containsText" text="Str">
      <formula>NOT(ISERROR(SEARCH(("Str"),(AC157))))</formula>
    </cfRule>
  </conditionalFormatting>
  <conditionalFormatting sqref="AC157">
    <cfRule type="containsText" dxfId="3" priority="1586" operator="containsText" text="Ere">
      <formula>NOT(ISERROR(SEARCH(("Ere"),(AC157))))</formula>
    </cfRule>
  </conditionalFormatting>
  <conditionalFormatting sqref="AC157">
    <cfRule type="containsText" dxfId="1" priority="1587" operator="containsText" text="Ear">
      <formula>NOT(ISERROR(SEARCH(("Ear"),(AC157))))</formula>
    </cfRule>
  </conditionalFormatting>
  <conditionalFormatting sqref="AC157">
    <cfRule type="containsText" dxfId="0" priority="1588" operator="containsText" text="fnd">
      <formula>NOT(ISERROR(SEARCH(("fnd"),(AC157))))</formula>
    </cfRule>
  </conditionalFormatting>
  <conditionalFormatting sqref="AC165">
    <cfRule type="containsText" dxfId="2" priority="1589" operator="containsText" text="Str">
      <formula>NOT(ISERROR(SEARCH(("Str"),(AC165))))</formula>
    </cfRule>
  </conditionalFormatting>
  <conditionalFormatting sqref="AC165">
    <cfRule type="containsText" dxfId="3" priority="1590" operator="containsText" text="Ere">
      <formula>NOT(ISERROR(SEARCH(("Ere"),(AC165))))</formula>
    </cfRule>
  </conditionalFormatting>
  <conditionalFormatting sqref="AC165">
    <cfRule type="containsText" dxfId="1" priority="1591" operator="containsText" text="Ear">
      <formula>NOT(ISERROR(SEARCH(("Ear"),(AC165))))</formula>
    </cfRule>
  </conditionalFormatting>
  <conditionalFormatting sqref="AC165">
    <cfRule type="containsText" dxfId="0" priority="1592" operator="containsText" text="fnd">
      <formula>NOT(ISERROR(SEARCH(("fnd"),(AC165))))</formula>
    </cfRule>
  </conditionalFormatting>
  <conditionalFormatting sqref="AC173">
    <cfRule type="containsText" dxfId="2" priority="1593" operator="containsText" text="Str">
      <formula>NOT(ISERROR(SEARCH(("Str"),(AC173))))</formula>
    </cfRule>
  </conditionalFormatting>
  <conditionalFormatting sqref="AC173">
    <cfRule type="containsText" dxfId="3" priority="1594" operator="containsText" text="Ere">
      <formula>NOT(ISERROR(SEARCH(("Ere"),(AC173))))</formula>
    </cfRule>
  </conditionalFormatting>
  <conditionalFormatting sqref="AC173">
    <cfRule type="containsText" dxfId="1" priority="1595" operator="containsText" text="Ear">
      <formula>NOT(ISERROR(SEARCH(("Ear"),(AC173))))</formula>
    </cfRule>
  </conditionalFormatting>
  <conditionalFormatting sqref="AC173">
    <cfRule type="containsText" dxfId="0" priority="1596" operator="containsText" text="fnd">
      <formula>NOT(ISERROR(SEARCH(("fnd"),(AC173))))</formula>
    </cfRule>
  </conditionalFormatting>
  <conditionalFormatting sqref="AC181">
    <cfRule type="containsText" dxfId="2" priority="1597" operator="containsText" text="Str">
      <formula>NOT(ISERROR(SEARCH(("Str"),(AC181))))</formula>
    </cfRule>
  </conditionalFormatting>
  <conditionalFormatting sqref="AC181">
    <cfRule type="containsText" dxfId="3" priority="1598" operator="containsText" text="Ere">
      <formula>NOT(ISERROR(SEARCH(("Ere"),(AC181))))</formula>
    </cfRule>
  </conditionalFormatting>
  <conditionalFormatting sqref="AC181">
    <cfRule type="containsText" dxfId="1" priority="1599" operator="containsText" text="Ear">
      <formula>NOT(ISERROR(SEARCH(("Ear"),(AC181))))</formula>
    </cfRule>
  </conditionalFormatting>
  <conditionalFormatting sqref="AC181">
    <cfRule type="containsText" dxfId="0" priority="1600" operator="containsText" text="fnd">
      <formula>NOT(ISERROR(SEARCH(("fnd"),(AC181))))</formula>
    </cfRule>
  </conditionalFormatting>
  <conditionalFormatting sqref="AC30:AD30">
    <cfRule type="containsText" dxfId="2" priority="1601" operator="containsText" text="Str">
      <formula>NOT(ISERROR(SEARCH(("Str"),(AC30))))</formula>
    </cfRule>
  </conditionalFormatting>
  <conditionalFormatting sqref="AC30:AD30">
    <cfRule type="containsText" dxfId="3" priority="1602" operator="containsText" text="Ere">
      <formula>NOT(ISERROR(SEARCH(("Ere"),(AC30))))</formula>
    </cfRule>
  </conditionalFormatting>
  <conditionalFormatting sqref="AC30:AD30">
    <cfRule type="containsText" dxfId="1" priority="1603" operator="containsText" text="Ear">
      <formula>NOT(ISERROR(SEARCH(("Ear"),(AC30))))</formula>
    </cfRule>
  </conditionalFormatting>
  <conditionalFormatting sqref="AC30:AD30">
    <cfRule type="containsText" dxfId="0" priority="1604" operator="containsText" text="fnd">
      <formula>NOT(ISERROR(SEARCH(("fnd"),(AC30))))</formula>
    </cfRule>
  </conditionalFormatting>
  <conditionalFormatting sqref="AC38:AD38">
    <cfRule type="containsText" dxfId="2" priority="1605" operator="containsText" text="Str">
      <formula>NOT(ISERROR(SEARCH(("Str"),(AC38))))</formula>
    </cfRule>
  </conditionalFormatting>
  <conditionalFormatting sqref="AC38:AD38">
    <cfRule type="containsText" dxfId="3" priority="1606" operator="containsText" text="Ere">
      <formula>NOT(ISERROR(SEARCH(("Ere"),(AC38))))</formula>
    </cfRule>
  </conditionalFormatting>
  <conditionalFormatting sqref="AC38:AD38">
    <cfRule type="containsText" dxfId="1" priority="1607" operator="containsText" text="Ear">
      <formula>NOT(ISERROR(SEARCH(("Ear"),(AC38))))</formula>
    </cfRule>
  </conditionalFormatting>
  <conditionalFormatting sqref="AC38:AD38">
    <cfRule type="containsText" dxfId="0" priority="1608" operator="containsText" text="fnd">
      <formula>NOT(ISERROR(SEARCH(("fnd"),(AC38))))</formula>
    </cfRule>
  </conditionalFormatting>
  <conditionalFormatting sqref="AC54:AD54">
    <cfRule type="containsText" dxfId="2" priority="1609" operator="containsText" text="Str">
      <formula>NOT(ISERROR(SEARCH(("Str"),(AC54))))</formula>
    </cfRule>
  </conditionalFormatting>
  <conditionalFormatting sqref="AC54:AD54">
    <cfRule type="containsText" dxfId="3" priority="1610" operator="containsText" text="Ere">
      <formula>NOT(ISERROR(SEARCH(("Ere"),(AC54))))</formula>
    </cfRule>
  </conditionalFormatting>
  <conditionalFormatting sqref="AC54:AD54">
    <cfRule type="containsText" dxfId="1" priority="1611" operator="containsText" text="Ear">
      <formula>NOT(ISERROR(SEARCH(("Ear"),(AC54))))</formula>
    </cfRule>
  </conditionalFormatting>
  <conditionalFormatting sqref="AC54:AD54">
    <cfRule type="containsText" dxfId="0" priority="1612" operator="containsText" text="fnd">
      <formula>NOT(ISERROR(SEARCH(("fnd"),(AC54))))</formula>
    </cfRule>
  </conditionalFormatting>
  <conditionalFormatting sqref="AC94:AD94">
    <cfRule type="containsText" dxfId="2" priority="1613" operator="containsText" text="Str">
      <formula>NOT(ISERROR(SEARCH(("Str"),(AC94))))</formula>
    </cfRule>
  </conditionalFormatting>
  <conditionalFormatting sqref="AC94:AD94">
    <cfRule type="containsText" dxfId="3" priority="1614" operator="containsText" text="Ere">
      <formula>NOT(ISERROR(SEARCH(("Ere"),(AC94))))</formula>
    </cfRule>
  </conditionalFormatting>
  <conditionalFormatting sqref="AC94:AD94">
    <cfRule type="containsText" dxfId="1" priority="1615" operator="containsText" text="Ear">
      <formula>NOT(ISERROR(SEARCH(("Ear"),(AC94))))</formula>
    </cfRule>
  </conditionalFormatting>
  <conditionalFormatting sqref="AC94:AD94">
    <cfRule type="containsText" dxfId="0" priority="1616" operator="containsText" text="fnd">
      <formula>NOT(ISERROR(SEARCH(("fnd"),(AC94))))</formula>
    </cfRule>
  </conditionalFormatting>
  <conditionalFormatting sqref="AC102:AD102">
    <cfRule type="containsText" dxfId="2" priority="1617" operator="containsText" text="Str">
      <formula>NOT(ISERROR(SEARCH(("Str"),(AC102))))</formula>
    </cfRule>
  </conditionalFormatting>
  <conditionalFormatting sqref="AC102:AD102">
    <cfRule type="containsText" dxfId="3" priority="1618" operator="containsText" text="Ere">
      <formula>NOT(ISERROR(SEARCH(("Ere"),(AC102))))</formula>
    </cfRule>
  </conditionalFormatting>
  <conditionalFormatting sqref="AC102:AD102">
    <cfRule type="containsText" dxfId="1" priority="1619" operator="containsText" text="Ear">
      <formula>NOT(ISERROR(SEARCH(("Ear"),(AC102))))</formula>
    </cfRule>
  </conditionalFormatting>
  <conditionalFormatting sqref="AC102:AD102">
    <cfRule type="containsText" dxfId="0" priority="1620" operator="containsText" text="fnd">
      <formula>NOT(ISERROR(SEARCH(("fnd"),(AC102))))</formula>
    </cfRule>
  </conditionalFormatting>
  <conditionalFormatting sqref="AC118:AD118">
    <cfRule type="containsText" dxfId="2" priority="1621" operator="containsText" text="Str">
      <formula>NOT(ISERROR(SEARCH(("Str"),(AC118))))</formula>
    </cfRule>
  </conditionalFormatting>
  <conditionalFormatting sqref="AC118:AD118">
    <cfRule type="containsText" dxfId="3" priority="1622" operator="containsText" text="Ere">
      <formula>NOT(ISERROR(SEARCH(("Ere"),(AC118))))</formula>
    </cfRule>
  </conditionalFormatting>
  <conditionalFormatting sqref="AC118:AD118">
    <cfRule type="containsText" dxfId="1" priority="1623" operator="containsText" text="Ear">
      <formula>NOT(ISERROR(SEARCH(("Ear"),(AC118))))</formula>
    </cfRule>
  </conditionalFormatting>
  <conditionalFormatting sqref="AC118:AD118">
    <cfRule type="containsText" dxfId="0" priority="1624" operator="containsText" text="fnd">
      <formula>NOT(ISERROR(SEARCH(("fnd"),(AC118))))</formula>
    </cfRule>
  </conditionalFormatting>
  <conditionalFormatting sqref="AC126:AD126">
    <cfRule type="containsText" dxfId="2" priority="1625" operator="containsText" text="Str">
      <formula>NOT(ISERROR(SEARCH(("Str"),(AC126))))</formula>
    </cfRule>
  </conditionalFormatting>
  <conditionalFormatting sqref="AC126:AD126">
    <cfRule type="containsText" dxfId="3" priority="1626" operator="containsText" text="Ere">
      <formula>NOT(ISERROR(SEARCH(("Ere"),(AC126))))</formula>
    </cfRule>
  </conditionalFormatting>
  <conditionalFormatting sqref="AC126:AD126">
    <cfRule type="containsText" dxfId="1" priority="1627" operator="containsText" text="Ear">
      <formula>NOT(ISERROR(SEARCH(("Ear"),(AC126))))</formula>
    </cfRule>
  </conditionalFormatting>
  <conditionalFormatting sqref="AC126:AD126">
    <cfRule type="containsText" dxfId="0" priority="1628" operator="containsText" text="fnd">
      <formula>NOT(ISERROR(SEARCH(("fnd"),(AC126))))</formula>
    </cfRule>
  </conditionalFormatting>
  <conditionalFormatting sqref="AC134:AD134">
    <cfRule type="containsText" dxfId="2" priority="1629" operator="containsText" text="Str">
      <formula>NOT(ISERROR(SEARCH(("Str"),(AC134))))</formula>
    </cfRule>
  </conditionalFormatting>
  <conditionalFormatting sqref="AC134:AD134">
    <cfRule type="containsText" dxfId="3" priority="1630" operator="containsText" text="Ere">
      <formula>NOT(ISERROR(SEARCH(("Ere"),(AC134))))</formula>
    </cfRule>
  </conditionalFormatting>
  <conditionalFormatting sqref="AC134:AD134">
    <cfRule type="containsText" dxfId="1" priority="1631" operator="containsText" text="Ear">
      <formula>NOT(ISERROR(SEARCH(("Ear"),(AC134))))</formula>
    </cfRule>
  </conditionalFormatting>
  <conditionalFormatting sqref="AC134:AD134">
    <cfRule type="containsText" dxfId="0" priority="1632" operator="containsText" text="fnd">
      <formula>NOT(ISERROR(SEARCH(("fnd"),(AC134))))</formula>
    </cfRule>
  </conditionalFormatting>
  <conditionalFormatting sqref="AC142:AD142">
    <cfRule type="containsText" dxfId="2" priority="1633" operator="containsText" text="Str">
      <formula>NOT(ISERROR(SEARCH(("Str"),(AC142))))</formula>
    </cfRule>
  </conditionalFormatting>
  <conditionalFormatting sqref="AC142:AD142">
    <cfRule type="containsText" dxfId="3" priority="1634" operator="containsText" text="Ere">
      <formula>NOT(ISERROR(SEARCH(("Ere"),(AC142))))</formula>
    </cfRule>
  </conditionalFormatting>
  <conditionalFormatting sqref="AC142:AD142">
    <cfRule type="containsText" dxfId="1" priority="1635" operator="containsText" text="Ear">
      <formula>NOT(ISERROR(SEARCH(("Ear"),(AC142))))</formula>
    </cfRule>
  </conditionalFormatting>
  <conditionalFormatting sqref="AC142:AD142">
    <cfRule type="containsText" dxfId="0" priority="1636" operator="containsText" text="fnd">
      <formula>NOT(ISERROR(SEARCH(("fnd"),(AC142))))</formula>
    </cfRule>
  </conditionalFormatting>
  <conditionalFormatting sqref="AC174:AD174">
    <cfRule type="containsText" dxfId="2" priority="1637" operator="containsText" text="Str">
      <formula>NOT(ISERROR(SEARCH(("Str"),(AC174))))</formula>
    </cfRule>
  </conditionalFormatting>
  <conditionalFormatting sqref="AC174:AD174">
    <cfRule type="containsText" dxfId="3" priority="1638" operator="containsText" text="Ere">
      <formula>NOT(ISERROR(SEARCH(("Ere"),(AC174))))</formula>
    </cfRule>
  </conditionalFormatting>
  <conditionalFormatting sqref="AC174:AD174">
    <cfRule type="containsText" dxfId="1" priority="1639" operator="containsText" text="Ear">
      <formula>NOT(ISERROR(SEARCH(("Ear"),(AC174))))</formula>
    </cfRule>
  </conditionalFormatting>
  <conditionalFormatting sqref="AC174:AD174">
    <cfRule type="containsText" dxfId="0" priority="1640" operator="containsText" text="fnd">
      <formula>NOT(ISERROR(SEARCH(("fnd"),(AC174))))</formula>
    </cfRule>
  </conditionalFormatting>
  <conditionalFormatting sqref="AC182:AD182">
    <cfRule type="containsText" dxfId="2" priority="1641" operator="containsText" text="Str">
      <formula>NOT(ISERROR(SEARCH(("Str"),(AC182))))</formula>
    </cfRule>
  </conditionalFormatting>
  <conditionalFormatting sqref="AC182:AD182">
    <cfRule type="containsText" dxfId="3" priority="1642" operator="containsText" text="Ere">
      <formula>NOT(ISERROR(SEARCH(("Ere"),(AC182))))</formula>
    </cfRule>
  </conditionalFormatting>
  <conditionalFormatting sqref="AC182:AD182">
    <cfRule type="containsText" dxfId="1" priority="1643" operator="containsText" text="Ear">
      <formula>NOT(ISERROR(SEARCH(("Ear"),(AC182))))</formula>
    </cfRule>
  </conditionalFormatting>
  <conditionalFormatting sqref="AC182:AD182">
    <cfRule type="containsText" dxfId="0" priority="1644" operator="containsText" text="fnd">
      <formula>NOT(ISERROR(SEARCH(("fnd"),(AC182))))</formula>
    </cfRule>
  </conditionalFormatting>
  <conditionalFormatting sqref="AD6">
    <cfRule type="containsText" dxfId="2" priority="1645" operator="containsText" text="Str">
      <formula>NOT(ISERROR(SEARCH(("Str"),(AD6))))</formula>
    </cfRule>
  </conditionalFormatting>
  <conditionalFormatting sqref="AD6">
    <cfRule type="containsText" dxfId="3" priority="1646" operator="containsText" text="Ere">
      <formula>NOT(ISERROR(SEARCH(("Ere"),(AD6))))</formula>
    </cfRule>
  </conditionalFormatting>
  <conditionalFormatting sqref="AD6">
    <cfRule type="containsText" dxfId="1" priority="1647" operator="containsText" text="Ear">
      <formula>NOT(ISERROR(SEARCH(("Ear"),(AD6))))</formula>
    </cfRule>
  </conditionalFormatting>
  <conditionalFormatting sqref="AD6">
    <cfRule type="containsText" dxfId="0" priority="1648" operator="containsText" text="fnd">
      <formula>NOT(ISERROR(SEARCH(("fnd"),(AD6))))</formula>
    </cfRule>
  </conditionalFormatting>
  <conditionalFormatting sqref="AD14">
    <cfRule type="containsText" dxfId="2" priority="1649" operator="containsText" text="Str">
      <formula>NOT(ISERROR(SEARCH(("Str"),(AD14))))</formula>
    </cfRule>
  </conditionalFormatting>
  <conditionalFormatting sqref="AD14">
    <cfRule type="containsText" dxfId="3" priority="1650" operator="containsText" text="Ere">
      <formula>NOT(ISERROR(SEARCH(("Ere"),(AD14))))</formula>
    </cfRule>
  </conditionalFormatting>
  <conditionalFormatting sqref="AD14">
    <cfRule type="containsText" dxfId="1" priority="1651" operator="containsText" text="Ear">
      <formula>NOT(ISERROR(SEARCH(("Ear"),(AD14))))</formula>
    </cfRule>
  </conditionalFormatting>
  <conditionalFormatting sqref="AD14">
    <cfRule type="containsText" dxfId="0" priority="1652" operator="containsText" text="fnd">
      <formula>NOT(ISERROR(SEARCH(("fnd"),(AD14))))</formula>
    </cfRule>
  </conditionalFormatting>
  <conditionalFormatting sqref="AD22">
    <cfRule type="containsText" dxfId="2" priority="1653" operator="containsText" text="Str">
      <formula>NOT(ISERROR(SEARCH(("Str"),(AD22))))</formula>
    </cfRule>
  </conditionalFormatting>
  <conditionalFormatting sqref="AD22">
    <cfRule type="containsText" dxfId="3" priority="1654" operator="containsText" text="Ere">
      <formula>NOT(ISERROR(SEARCH(("Ere"),(AD22))))</formula>
    </cfRule>
  </conditionalFormatting>
  <conditionalFormatting sqref="AD22">
    <cfRule type="containsText" dxfId="1" priority="1655" operator="containsText" text="Ear">
      <formula>NOT(ISERROR(SEARCH(("Ear"),(AD22))))</formula>
    </cfRule>
  </conditionalFormatting>
  <conditionalFormatting sqref="AD22">
    <cfRule type="containsText" dxfId="0" priority="1656" operator="containsText" text="fnd">
      <formula>NOT(ISERROR(SEARCH(("fnd"),(AD22))))</formula>
    </cfRule>
  </conditionalFormatting>
  <conditionalFormatting sqref="AF5:AF6">
    <cfRule type="containsText" dxfId="2" priority="1657" operator="containsText" text="Str">
      <formula>NOT(ISERROR(SEARCH(("Str"),(AF5))))</formula>
    </cfRule>
  </conditionalFormatting>
  <conditionalFormatting sqref="AF5:AF6">
    <cfRule type="containsText" dxfId="3" priority="1658" operator="containsText" text="Ere">
      <formula>NOT(ISERROR(SEARCH(("Ere"),(AF5))))</formula>
    </cfRule>
  </conditionalFormatting>
  <conditionalFormatting sqref="AF5:AF6">
    <cfRule type="containsText" dxfId="1" priority="1659" operator="containsText" text="Ear">
      <formula>NOT(ISERROR(SEARCH(("Ear"),(AF5))))</formula>
    </cfRule>
  </conditionalFormatting>
  <conditionalFormatting sqref="AF5:AF6">
    <cfRule type="containsText" dxfId="0" priority="1660" operator="containsText" text="fnd">
      <formula>NOT(ISERROR(SEARCH(("fnd"),(AF5))))</formula>
    </cfRule>
  </conditionalFormatting>
  <conditionalFormatting sqref="AF13:AF14">
    <cfRule type="containsText" dxfId="2" priority="1661" operator="containsText" text="Str">
      <formula>NOT(ISERROR(SEARCH(("Str"),(AF13))))</formula>
    </cfRule>
  </conditionalFormatting>
  <conditionalFormatting sqref="AF13:AF14">
    <cfRule type="containsText" dxfId="3" priority="1662" operator="containsText" text="Ere">
      <formula>NOT(ISERROR(SEARCH(("Ere"),(AF13))))</formula>
    </cfRule>
  </conditionalFormatting>
  <conditionalFormatting sqref="AF13:AF14">
    <cfRule type="containsText" dxfId="1" priority="1663" operator="containsText" text="Ear">
      <formula>NOT(ISERROR(SEARCH(("Ear"),(AF13))))</formula>
    </cfRule>
  </conditionalFormatting>
  <conditionalFormatting sqref="AF13:AF14">
    <cfRule type="containsText" dxfId="0" priority="1664" operator="containsText" text="fnd">
      <formula>NOT(ISERROR(SEARCH(("fnd"),(AF13))))</formula>
    </cfRule>
  </conditionalFormatting>
  <conditionalFormatting sqref="AF21:AF22">
    <cfRule type="containsText" dxfId="2" priority="1665" operator="containsText" text="Str">
      <formula>NOT(ISERROR(SEARCH(("Str"),(AF21))))</formula>
    </cfRule>
  </conditionalFormatting>
  <conditionalFormatting sqref="AF21:AF22">
    <cfRule type="containsText" dxfId="3" priority="1666" operator="containsText" text="Ere">
      <formula>NOT(ISERROR(SEARCH(("Ere"),(AF21))))</formula>
    </cfRule>
  </conditionalFormatting>
  <conditionalFormatting sqref="AF21:AF22">
    <cfRule type="containsText" dxfId="1" priority="1667" operator="containsText" text="Ear">
      <formula>NOT(ISERROR(SEARCH(("Ear"),(AF21))))</formula>
    </cfRule>
  </conditionalFormatting>
  <conditionalFormatting sqref="AF21:AF22">
    <cfRule type="containsText" dxfId="0" priority="1668" operator="containsText" text="fnd">
      <formula>NOT(ISERROR(SEARCH(("fnd"),(AF21))))</formula>
    </cfRule>
  </conditionalFormatting>
  <conditionalFormatting sqref="AF29">
    <cfRule type="containsText" dxfId="2" priority="1669" operator="containsText" text="Str">
      <formula>NOT(ISERROR(SEARCH(("Str"),(AF29))))</formula>
    </cfRule>
  </conditionalFormatting>
  <conditionalFormatting sqref="AF29">
    <cfRule type="containsText" dxfId="3" priority="1670" operator="containsText" text="Ere">
      <formula>NOT(ISERROR(SEARCH(("Ere"),(AF29))))</formula>
    </cfRule>
  </conditionalFormatting>
  <conditionalFormatting sqref="AF29">
    <cfRule type="containsText" dxfId="1" priority="1671" operator="containsText" text="Ear">
      <formula>NOT(ISERROR(SEARCH(("Ear"),(AF29))))</formula>
    </cfRule>
  </conditionalFormatting>
  <conditionalFormatting sqref="AF29">
    <cfRule type="containsText" dxfId="0" priority="1672" operator="containsText" text="fnd">
      <formula>NOT(ISERROR(SEARCH(("fnd"),(AF29))))</formula>
    </cfRule>
  </conditionalFormatting>
  <conditionalFormatting sqref="AF37">
    <cfRule type="containsText" dxfId="2" priority="1673" operator="containsText" text="Str">
      <formula>NOT(ISERROR(SEARCH(("Str"),(AF37))))</formula>
    </cfRule>
  </conditionalFormatting>
  <conditionalFormatting sqref="AF37">
    <cfRule type="containsText" dxfId="3" priority="1674" operator="containsText" text="Ere">
      <formula>NOT(ISERROR(SEARCH(("Ere"),(AF37))))</formula>
    </cfRule>
  </conditionalFormatting>
  <conditionalFormatting sqref="AF37">
    <cfRule type="containsText" dxfId="1" priority="1675" operator="containsText" text="Ear">
      <formula>NOT(ISERROR(SEARCH(("Ear"),(AF37))))</formula>
    </cfRule>
  </conditionalFormatting>
  <conditionalFormatting sqref="AF37">
    <cfRule type="containsText" dxfId="0" priority="1676" operator="containsText" text="fnd">
      <formula>NOT(ISERROR(SEARCH(("fnd"),(AF37))))</formula>
    </cfRule>
  </conditionalFormatting>
  <conditionalFormatting sqref="AF53">
    <cfRule type="containsText" dxfId="2" priority="1677" operator="containsText" text="Str">
      <formula>NOT(ISERROR(SEARCH(("Str"),(AF53))))</formula>
    </cfRule>
  </conditionalFormatting>
  <conditionalFormatting sqref="AF53">
    <cfRule type="containsText" dxfId="3" priority="1678" operator="containsText" text="Ere">
      <formula>NOT(ISERROR(SEARCH(("Ere"),(AF53))))</formula>
    </cfRule>
  </conditionalFormatting>
  <conditionalFormatting sqref="AF53">
    <cfRule type="containsText" dxfId="1" priority="1679" operator="containsText" text="Ear">
      <formula>NOT(ISERROR(SEARCH(("Ear"),(AF53))))</formula>
    </cfRule>
  </conditionalFormatting>
  <conditionalFormatting sqref="AF53">
    <cfRule type="containsText" dxfId="0" priority="1680" operator="containsText" text="fnd">
      <formula>NOT(ISERROR(SEARCH(("fnd"),(AF53))))</formula>
    </cfRule>
  </conditionalFormatting>
  <conditionalFormatting sqref="AF61">
    <cfRule type="containsText" dxfId="2" priority="1681" operator="containsText" text="Str">
      <formula>NOT(ISERROR(SEARCH(("Str"),(AF61))))</formula>
    </cfRule>
  </conditionalFormatting>
  <conditionalFormatting sqref="AF61">
    <cfRule type="containsText" dxfId="3" priority="1682" operator="containsText" text="Ere">
      <formula>NOT(ISERROR(SEARCH(("Ere"),(AF61))))</formula>
    </cfRule>
  </conditionalFormatting>
  <conditionalFormatting sqref="AF61">
    <cfRule type="containsText" dxfId="1" priority="1683" operator="containsText" text="Ear">
      <formula>NOT(ISERROR(SEARCH(("Ear"),(AF61))))</formula>
    </cfRule>
  </conditionalFormatting>
  <conditionalFormatting sqref="AF61">
    <cfRule type="containsText" dxfId="0" priority="1684" operator="containsText" text="fnd">
      <formula>NOT(ISERROR(SEARCH(("fnd"),(AF61))))</formula>
    </cfRule>
  </conditionalFormatting>
  <conditionalFormatting sqref="AF69">
    <cfRule type="containsText" dxfId="2" priority="1685" operator="containsText" text="Str">
      <formula>NOT(ISERROR(SEARCH(("Str"),(AF69))))</formula>
    </cfRule>
  </conditionalFormatting>
  <conditionalFormatting sqref="AF69">
    <cfRule type="containsText" dxfId="3" priority="1686" operator="containsText" text="Ere">
      <formula>NOT(ISERROR(SEARCH(("Ere"),(AF69))))</formula>
    </cfRule>
  </conditionalFormatting>
  <conditionalFormatting sqref="AF69">
    <cfRule type="containsText" dxfId="1" priority="1687" operator="containsText" text="Ear">
      <formula>NOT(ISERROR(SEARCH(("Ear"),(AF69))))</formula>
    </cfRule>
  </conditionalFormatting>
  <conditionalFormatting sqref="AF69">
    <cfRule type="containsText" dxfId="0" priority="1688" operator="containsText" text="fnd">
      <formula>NOT(ISERROR(SEARCH(("fnd"),(AF69))))</formula>
    </cfRule>
  </conditionalFormatting>
  <conditionalFormatting sqref="AF85 AI85">
    <cfRule type="containsText" dxfId="2" priority="1689" operator="containsText" text="Str">
      <formula>NOT(ISERROR(SEARCH(("Str"),(AF85))))</formula>
    </cfRule>
  </conditionalFormatting>
  <conditionalFormatting sqref="AF85 AI85">
    <cfRule type="containsText" dxfId="3" priority="1690" operator="containsText" text="Ere">
      <formula>NOT(ISERROR(SEARCH(("Ere"),(AF85))))</formula>
    </cfRule>
  </conditionalFormatting>
  <conditionalFormatting sqref="AF85 AI85">
    <cfRule type="containsText" dxfId="1" priority="1691" operator="containsText" text="Ear">
      <formula>NOT(ISERROR(SEARCH(("Ear"),(AF85))))</formula>
    </cfRule>
  </conditionalFormatting>
  <conditionalFormatting sqref="AF85 AI85">
    <cfRule type="containsText" dxfId="0" priority="1692" operator="containsText" text="fnd">
      <formula>NOT(ISERROR(SEARCH(("fnd"),(AF85))))</formula>
    </cfRule>
  </conditionalFormatting>
  <conditionalFormatting sqref="AF93:AF94">
    <cfRule type="containsText" dxfId="2" priority="1693" operator="containsText" text="Str">
      <formula>NOT(ISERROR(SEARCH(("Str"),(AF93))))</formula>
    </cfRule>
  </conditionalFormatting>
  <conditionalFormatting sqref="AF93:AF94">
    <cfRule type="containsText" dxfId="3" priority="1694" operator="containsText" text="Ere">
      <formula>NOT(ISERROR(SEARCH(("Ere"),(AF93))))</formula>
    </cfRule>
  </conditionalFormatting>
  <conditionalFormatting sqref="AF93:AF94">
    <cfRule type="containsText" dxfId="1" priority="1695" operator="containsText" text="Ear">
      <formula>NOT(ISERROR(SEARCH(("Ear"),(AF93))))</formula>
    </cfRule>
  </conditionalFormatting>
  <conditionalFormatting sqref="AF93:AF94">
    <cfRule type="containsText" dxfId="0" priority="1696" operator="containsText" text="fnd">
      <formula>NOT(ISERROR(SEARCH(("fnd"),(AF93))))</formula>
    </cfRule>
  </conditionalFormatting>
  <conditionalFormatting sqref="AF101">
    <cfRule type="containsText" dxfId="2" priority="1697" operator="containsText" text="Str">
      <formula>NOT(ISERROR(SEARCH(("Str"),(AF101))))</formula>
    </cfRule>
  </conditionalFormatting>
  <conditionalFormatting sqref="AF101">
    <cfRule type="containsText" dxfId="3" priority="1698" operator="containsText" text="Ere">
      <formula>NOT(ISERROR(SEARCH(("Ere"),(AF101))))</formula>
    </cfRule>
  </conditionalFormatting>
  <conditionalFormatting sqref="AF101">
    <cfRule type="containsText" dxfId="1" priority="1699" operator="containsText" text="Ear">
      <formula>NOT(ISERROR(SEARCH(("Ear"),(AF101))))</formula>
    </cfRule>
  </conditionalFormatting>
  <conditionalFormatting sqref="AF101">
    <cfRule type="containsText" dxfId="0" priority="1700" operator="containsText" text="fnd">
      <formula>NOT(ISERROR(SEARCH(("fnd"),(AF101))))</formula>
    </cfRule>
  </conditionalFormatting>
  <conditionalFormatting sqref="AF109">
    <cfRule type="containsText" dxfId="2" priority="1701" operator="containsText" text="Str">
      <formula>NOT(ISERROR(SEARCH(("Str"),(AF109))))</formula>
    </cfRule>
  </conditionalFormatting>
  <conditionalFormatting sqref="AF109">
    <cfRule type="containsText" dxfId="3" priority="1702" operator="containsText" text="Ere">
      <formula>NOT(ISERROR(SEARCH(("Ere"),(AF109))))</formula>
    </cfRule>
  </conditionalFormatting>
  <conditionalFormatting sqref="AF109">
    <cfRule type="containsText" dxfId="1" priority="1703" operator="containsText" text="Ear">
      <formula>NOT(ISERROR(SEARCH(("Ear"),(AF109))))</formula>
    </cfRule>
  </conditionalFormatting>
  <conditionalFormatting sqref="AF109">
    <cfRule type="containsText" dxfId="0" priority="1704" operator="containsText" text="fnd">
      <formula>NOT(ISERROR(SEARCH(("fnd"),(AF109))))</formula>
    </cfRule>
  </conditionalFormatting>
  <conditionalFormatting sqref="AF117">
    <cfRule type="containsText" dxfId="2" priority="1705" operator="containsText" text="Str">
      <formula>NOT(ISERROR(SEARCH(("Str"),(AF117))))</formula>
    </cfRule>
  </conditionalFormatting>
  <conditionalFormatting sqref="AF117">
    <cfRule type="containsText" dxfId="3" priority="1706" operator="containsText" text="Ere">
      <formula>NOT(ISERROR(SEARCH(("Ere"),(AF117))))</formula>
    </cfRule>
  </conditionalFormatting>
  <conditionalFormatting sqref="AF117">
    <cfRule type="containsText" dxfId="1" priority="1707" operator="containsText" text="Ear">
      <formula>NOT(ISERROR(SEARCH(("Ear"),(AF117))))</formula>
    </cfRule>
  </conditionalFormatting>
  <conditionalFormatting sqref="AF117">
    <cfRule type="containsText" dxfId="0" priority="1708" operator="containsText" text="fnd">
      <formula>NOT(ISERROR(SEARCH(("fnd"),(AF117))))</formula>
    </cfRule>
  </conditionalFormatting>
  <conditionalFormatting sqref="AF122 AF130 AF138 AF162 AF170 AF178">
    <cfRule type="containsText" dxfId="2" priority="1709" operator="containsText" text="Str">
      <formula>NOT(ISERROR(SEARCH(("Str"),(AF122))))</formula>
    </cfRule>
  </conditionalFormatting>
  <conditionalFormatting sqref="AF122 AF130 AF138 AF162 AF170 AF178">
    <cfRule type="containsText" dxfId="3" priority="1710" operator="containsText" text="Ere">
      <formula>NOT(ISERROR(SEARCH(("Ere"),(AF122))))</formula>
    </cfRule>
  </conditionalFormatting>
  <conditionalFormatting sqref="AF122 AF130 AF138 AF162 AF170 AF178">
    <cfRule type="containsText" dxfId="1" priority="1711" operator="containsText" text="Ear">
      <formula>NOT(ISERROR(SEARCH(("Ear"),(AF122))))</formula>
    </cfRule>
  </conditionalFormatting>
  <conditionalFormatting sqref="AF122 AF130 AF138 AF162 AF170 AF178">
    <cfRule type="containsText" dxfId="0" priority="1712" operator="containsText" text="fnd">
      <formula>NOT(ISERROR(SEARCH(("fnd"),(AF122))))</formula>
    </cfRule>
  </conditionalFormatting>
  <conditionalFormatting sqref="AF125">
    <cfRule type="containsText" dxfId="2" priority="1713" operator="containsText" text="Str">
      <formula>NOT(ISERROR(SEARCH(("Str"),(AF125))))</formula>
    </cfRule>
  </conditionalFormatting>
  <conditionalFormatting sqref="AF125">
    <cfRule type="containsText" dxfId="3" priority="1714" operator="containsText" text="Ere">
      <formula>NOT(ISERROR(SEARCH(("Ere"),(AF125))))</formula>
    </cfRule>
  </conditionalFormatting>
  <conditionalFormatting sqref="AF125">
    <cfRule type="containsText" dxfId="1" priority="1715" operator="containsText" text="Ear">
      <formula>NOT(ISERROR(SEARCH(("Ear"),(AF125))))</formula>
    </cfRule>
  </conditionalFormatting>
  <conditionalFormatting sqref="AF125">
    <cfRule type="containsText" dxfId="0" priority="1716" operator="containsText" text="fnd">
      <formula>NOT(ISERROR(SEARCH(("fnd"),(AF125))))</formula>
    </cfRule>
  </conditionalFormatting>
  <conditionalFormatting sqref="AF133">
    <cfRule type="containsText" dxfId="2" priority="1717" operator="containsText" text="Str">
      <formula>NOT(ISERROR(SEARCH(("Str"),(AF133))))</formula>
    </cfRule>
  </conditionalFormatting>
  <conditionalFormatting sqref="AF133">
    <cfRule type="containsText" dxfId="3" priority="1718" operator="containsText" text="Ere">
      <formula>NOT(ISERROR(SEARCH(("Ere"),(AF133))))</formula>
    </cfRule>
  </conditionalFormatting>
  <conditionalFormatting sqref="AF133">
    <cfRule type="containsText" dxfId="1" priority="1719" operator="containsText" text="Ear">
      <formula>NOT(ISERROR(SEARCH(("Ear"),(AF133))))</formula>
    </cfRule>
  </conditionalFormatting>
  <conditionalFormatting sqref="AF133">
    <cfRule type="containsText" dxfId="0" priority="1720" operator="containsText" text="fnd">
      <formula>NOT(ISERROR(SEARCH(("fnd"),(AF133))))</formula>
    </cfRule>
  </conditionalFormatting>
  <conditionalFormatting sqref="AF141">
    <cfRule type="containsText" dxfId="2" priority="1721" operator="containsText" text="Str">
      <formula>NOT(ISERROR(SEARCH(("Str"),(AF141))))</formula>
    </cfRule>
  </conditionalFormatting>
  <conditionalFormatting sqref="AF141">
    <cfRule type="containsText" dxfId="3" priority="1722" operator="containsText" text="Ere">
      <formula>NOT(ISERROR(SEARCH(("Ere"),(AF141))))</formula>
    </cfRule>
  </conditionalFormatting>
  <conditionalFormatting sqref="AF141">
    <cfRule type="containsText" dxfId="1" priority="1723" operator="containsText" text="Ear">
      <formula>NOT(ISERROR(SEARCH(("Ear"),(AF141))))</formula>
    </cfRule>
  </conditionalFormatting>
  <conditionalFormatting sqref="AF141">
    <cfRule type="containsText" dxfId="0" priority="1724" operator="containsText" text="fnd">
      <formula>NOT(ISERROR(SEARCH(("fnd"),(AF141))))</formula>
    </cfRule>
  </conditionalFormatting>
  <conditionalFormatting sqref="AF149">
    <cfRule type="containsText" dxfId="2" priority="1725" operator="containsText" text="Str">
      <formula>NOT(ISERROR(SEARCH(("Str"),(AF149))))</formula>
    </cfRule>
  </conditionalFormatting>
  <conditionalFormatting sqref="AF149">
    <cfRule type="containsText" dxfId="3" priority="1726" operator="containsText" text="Ere">
      <formula>NOT(ISERROR(SEARCH(("Ere"),(AF149))))</formula>
    </cfRule>
  </conditionalFormatting>
  <conditionalFormatting sqref="AF149">
    <cfRule type="containsText" dxfId="1" priority="1727" operator="containsText" text="Ear">
      <formula>NOT(ISERROR(SEARCH(("Ear"),(AF149))))</formula>
    </cfRule>
  </conditionalFormatting>
  <conditionalFormatting sqref="AF149">
    <cfRule type="containsText" dxfId="0" priority="1728" operator="containsText" text="fnd">
      <formula>NOT(ISERROR(SEARCH(("fnd"),(AF149))))</formula>
    </cfRule>
  </conditionalFormatting>
  <conditionalFormatting sqref="AF157">
    <cfRule type="containsText" dxfId="2" priority="1729" operator="containsText" text="Str">
      <formula>NOT(ISERROR(SEARCH(("Str"),(AF157))))</formula>
    </cfRule>
  </conditionalFormatting>
  <conditionalFormatting sqref="AF157">
    <cfRule type="containsText" dxfId="3" priority="1730" operator="containsText" text="Ere">
      <formula>NOT(ISERROR(SEARCH(("Ere"),(AF157))))</formula>
    </cfRule>
  </conditionalFormatting>
  <conditionalFormatting sqref="AF157">
    <cfRule type="containsText" dxfId="1" priority="1731" operator="containsText" text="Ear">
      <formula>NOT(ISERROR(SEARCH(("Ear"),(AF157))))</formula>
    </cfRule>
  </conditionalFormatting>
  <conditionalFormatting sqref="AF157">
    <cfRule type="containsText" dxfId="0" priority="1732" operator="containsText" text="fnd">
      <formula>NOT(ISERROR(SEARCH(("fnd"),(AF157))))</formula>
    </cfRule>
  </conditionalFormatting>
  <conditionalFormatting sqref="AF165">
    <cfRule type="containsText" dxfId="2" priority="1733" operator="containsText" text="Str">
      <formula>NOT(ISERROR(SEARCH(("Str"),(AF165))))</formula>
    </cfRule>
  </conditionalFormatting>
  <conditionalFormatting sqref="AF165">
    <cfRule type="containsText" dxfId="3" priority="1734" operator="containsText" text="Ere">
      <formula>NOT(ISERROR(SEARCH(("Ere"),(AF165))))</formula>
    </cfRule>
  </conditionalFormatting>
  <conditionalFormatting sqref="AF165">
    <cfRule type="containsText" dxfId="1" priority="1735" operator="containsText" text="Ear">
      <formula>NOT(ISERROR(SEARCH(("Ear"),(AF165))))</formula>
    </cfRule>
  </conditionalFormatting>
  <conditionalFormatting sqref="AF165">
    <cfRule type="containsText" dxfId="0" priority="1736" operator="containsText" text="fnd">
      <formula>NOT(ISERROR(SEARCH(("fnd"),(AF165))))</formula>
    </cfRule>
  </conditionalFormatting>
  <conditionalFormatting sqref="AF173">
    <cfRule type="containsText" dxfId="2" priority="1737" operator="containsText" text="Str">
      <formula>NOT(ISERROR(SEARCH(("Str"),(AF173))))</formula>
    </cfRule>
  </conditionalFormatting>
  <conditionalFormatting sqref="AF173">
    <cfRule type="containsText" dxfId="3" priority="1738" operator="containsText" text="Ere">
      <formula>NOT(ISERROR(SEARCH(("Ere"),(AF173))))</formula>
    </cfRule>
  </conditionalFormatting>
  <conditionalFormatting sqref="AF173">
    <cfRule type="containsText" dxfId="1" priority="1739" operator="containsText" text="Ear">
      <formula>NOT(ISERROR(SEARCH(("Ear"),(AF173))))</formula>
    </cfRule>
  </conditionalFormatting>
  <conditionalFormatting sqref="AF173">
    <cfRule type="containsText" dxfId="0" priority="1740" operator="containsText" text="fnd">
      <formula>NOT(ISERROR(SEARCH(("fnd"),(AF173))))</formula>
    </cfRule>
  </conditionalFormatting>
  <conditionalFormatting sqref="AF181">
    <cfRule type="containsText" dxfId="2" priority="1741" operator="containsText" text="Str">
      <formula>NOT(ISERROR(SEARCH(("Str"),(AF181))))</formula>
    </cfRule>
  </conditionalFormatting>
  <conditionalFormatting sqref="AF181">
    <cfRule type="containsText" dxfId="3" priority="1742" operator="containsText" text="Ere">
      <formula>NOT(ISERROR(SEARCH(("Ere"),(AF181))))</formula>
    </cfRule>
  </conditionalFormatting>
  <conditionalFormatting sqref="AF181">
    <cfRule type="containsText" dxfId="1" priority="1743" operator="containsText" text="Ear">
      <formula>NOT(ISERROR(SEARCH(("Ear"),(AF181))))</formula>
    </cfRule>
  </conditionalFormatting>
  <conditionalFormatting sqref="AF181">
    <cfRule type="containsText" dxfId="0" priority="1744" operator="containsText" text="fnd">
      <formula>NOT(ISERROR(SEARCH(("fnd"),(AF181))))</formula>
    </cfRule>
  </conditionalFormatting>
  <conditionalFormatting sqref="AF30:AG30">
    <cfRule type="containsText" dxfId="2" priority="1745" operator="containsText" text="Str">
      <formula>NOT(ISERROR(SEARCH(("Str"),(AF30))))</formula>
    </cfRule>
  </conditionalFormatting>
  <conditionalFormatting sqref="AF30:AG30">
    <cfRule type="containsText" dxfId="3" priority="1746" operator="containsText" text="Ere">
      <formula>NOT(ISERROR(SEARCH(("Ere"),(AF30))))</formula>
    </cfRule>
  </conditionalFormatting>
  <conditionalFormatting sqref="AF30:AG30">
    <cfRule type="containsText" dxfId="1" priority="1747" operator="containsText" text="Ear">
      <formula>NOT(ISERROR(SEARCH(("Ear"),(AF30))))</formula>
    </cfRule>
  </conditionalFormatting>
  <conditionalFormatting sqref="AF30:AG30">
    <cfRule type="containsText" dxfId="0" priority="1748" operator="containsText" text="fnd">
      <formula>NOT(ISERROR(SEARCH(("fnd"),(AF30))))</formula>
    </cfRule>
  </conditionalFormatting>
  <conditionalFormatting sqref="AF38:AG38">
    <cfRule type="containsText" dxfId="2" priority="1749" operator="containsText" text="Str">
      <formula>NOT(ISERROR(SEARCH(("Str"),(AF38))))</formula>
    </cfRule>
  </conditionalFormatting>
  <conditionalFormatting sqref="AF38:AG38">
    <cfRule type="containsText" dxfId="3" priority="1750" operator="containsText" text="Ere">
      <formula>NOT(ISERROR(SEARCH(("Ere"),(AF38))))</formula>
    </cfRule>
  </conditionalFormatting>
  <conditionalFormatting sqref="AF38:AG38">
    <cfRule type="containsText" dxfId="1" priority="1751" operator="containsText" text="Ear">
      <formula>NOT(ISERROR(SEARCH(("Ear"),(AF38))))</formula>
    </cfRule>
  </conditionalFormatting>
  <conditionalFormatting sqref="AF38:AG38">
    <cfRule type="containsText" dxfId="0" priority="1752" operator="containsText" text="fnd">
      <formula>NOT(ISERROR(SEARCH(("fnd"),(AF38))))</formula>
    </cfRule>
  </conditionalFormatting>
  <conditionalFormatting sqref="H53:H54 K53 AF45:AG46">
    <cfRule type="containsText" dxfId="2" priority="1753" operator="containsText" text="Str">
      <formula>NOT(ISERROR(SEARCH(("Str"),(H53))))</formula>
    </cfRule>
  </conditionalFormatting>
  <conditionalFormatting sqref="H53:H54 K53 AF45:AG46">
    <cfRule type="containsText" dxfId="3" priority="1754" operator="containsText" text="Ere">
      <formula>NOT(ISERROR(SEARCH(("Ere"),(H53))))</formula>
    </cfRule>
  </conditionalFormatting>
  <conditionalFormatting sqref="H53:H54 K53 AF45:AG46">
    <cfRule type="containsText" dxfId="1" priority="1755" operator="containsText" text="Ear">
      <formula>NOT(ISERROR(SEARCH(("Ear"),(H53))))</formula>
    </cfRule>
  </conditionalFormatting>
  <conditionalFormatting sqref="H53:H54 K53 AF45:AG46">
    <cfRule type="containsText" dxfId="0" priority="1756" operator="containsText" text="fnd">
      <formula>NOT(ISERROR(SEARCH(("fnd"),(H53))))</formula>
    </cfRule>
  </conditionalFormatting>
  <conditionalFormatting sqref="AF62:AG62">
    <cfRule type="containsText" dxfId="2" priority="1757" operator="containsText" text="Str">
      <formula>NOT(ISERROR(SEARCH(("Str"),(AF62))))</formula>
    </cfRule>
  </conditionalFormatting>
  <conditionalFormatting sqref="AF62:AG62">
    <cfRule type="containsText" dxfId="3" priority="1758" operator="containsText" text="Ere">
      <formula>NOT(ISERROR(SEARCH(("Ere"),(AF62))))</formula>
    </cfRule>
  </conditionalFormatting>
  <conditionalFormatting sqref="AF62:AG62">
    <cfRule type="containsText" dxfId="1" priority="1759" operator="containsText" text="Ear">
      <formula>NOT(ISERROR(SEARCH(("Ear"),(AF62))))</formula>
    </cfRule>
  </conditionalFormatting>
  <conditionalFormatting sqref="AF62:AG62">
    <cfRule type="containsText" dxfId="0" priority="1760" operator="containsText" text="fnd">
      <formula>NOT(ISERROR(SEARCH(("fnd"),(AF62))))</formula>
    </cfRule>
  </conditionalFormatting>
  <conditionalFormatting sqref="AF70:AG70">
    <cfRule type="containsText" dxfId="2" priority="1761" operator="containsText" text="Str">
      <formula>NOT(ISERROR(SEARCH(("Str"),(AF70))))</formula>
    </cfRule>
  </conditionalFormatting>
  <conditionalFormatting sqref="AF70:AG70">
    <cfRule type="containsText" dxfId="3" priority="1762" operator="containsText" text="Ere">
      <formula>NOT(ISERROR(SEARCH(("Ere"),(AF70))))</formula>
    </cfRule>
  </conditionalFormatting>
  <conditionalFormatting sqref="AF70:AG70">
    <cfRule type="containsText" dxfId="1" priority="1763" operator="containsText" text="Ear">
      <formula>NOT(ISERROR(SEARCH(("Ear"),(AF70))))</formula>
    </cfRule>
  </conditionalFormatting>
  <conditionalFormatting sqref="AF70:AG70">
    <cfRule type="containsText" dxfId="0" priority="1764" operator="containsText" text="fnd">
      <formula>NOT(ISERROR(SEARCH(("fnd"),(AF70))))</formula>
    </cfRule>
  </conditionalFormatting>
  <conditionalFormatting sqref="AF86:AG86">
    <cfRule type="containsText" dxfId="2" priority="1765" operator="containsText" text="Str">
      <formula>NOT(ISERROR(SEARCH(("Str"),(AF86))))</formula>
    </cfRule>
  </conditionalFormatting>
  <conditionalFormatting sqref="AF86:AG86">
    <cfRule type="containsText" dxfId="3" priority="1766" operator="containsText" text="Ere">
      <formula>NOT(ISERROR(SEARCH(("Ere"),(AF86))))</formula>
    </cfRule>
  </conditionalFormatting>
  <conditionalFormatting sqref="AF86:AG86">
    <cfRule type="containsText" dxfId="1" priority="1767" operator="containsText" text="Ear">
      <formula>NOT(ISERROR(SEARCH(("Ear"),(AF86))))</formula>
    </cfRule>
  </conditionalFormatting>
  <conditionalFormatting sqref="AF86:AG86">
    <cfRule type="containsText" dxfId="0" priority="1768" operator="containsText" text="fnd">
      <formula>NOT(ISERROR(SEARCH(("fnd"),(AF86))))</formula>
    </cfRule>
  </conditionalFormatting>
  <conditionalFormatting sqref="AF110:AG110">
    <cfRule type="containsText" dxfId="2" priority="1769" operator="containsText" text="Str">
      <formula>NOT(ISERROR(SEARCH(("Str"),(AF110))))</formula>
    </cfRule>
  </conditionalFormatting>
  <conditionalFormatting sqref="AF110:AG110">
    <cfRule type="containsText" dxfId="3" priority="1770" operator="containsText" text="Ere">
      <formula>NOT(ISERROR(SEARCH(("Ere"),(AF110))))</formula>
    </cfRule>
  </conditionalFormatting>
  <conditionalFormatting sqref="AF110:AG110">
    <cfRule type="containsText" dxfId="1" priority="1771" operator="containsText" text="Ear">
      <formula>NOT(ISERROR(SEARCH(("Ear"),(AF110))))</formula>
    </cfRule>
  </conditionalFormatting>
  <conditionalFormatting sqref="AF110:AG110">
    <cfRule type="containsText" dxfId="0" priority="1772" operator="containsText" text="fnd">
      <formula>NOT(ISERROR(SEARCH(("fnd"),(AF110))))</formula>
    </cfRule>
  </conditionalFormatting>
  <conditionalFormatting sqref="AF118:AG118">
    <cfRule type="containsText" dxfId="2" priority="1773" operator="containsText" text="Str">
      <formula>NOT(ISERROR(SEARCH(("Str"),(AF118))))</formula>
    </cfRule>
  </conditionalFormatting>
  <conditionalFormatting sqref="AF118:AG118">
    <cfRule type="containsText" dxfId="3" priority="1774" operator="containsText" text="Ere">
      <formula>NOT(ISERROR(SEARCH(("Ere"),(AF118))))</formula>
    </cfRule>
  </conditionalFormatting>
  <conditionalFormatting sqref="AF118:AG118">
    <cfRule type="containsText" dxfId="1" priority="1775" operator="containsText" text="Ear">
      <formula>NOT(ISERROR(SEARCH(("Ear"),(AF118))))</formula>
    </cfRule>
  </conditionalFormatting>
  <conditionalFormatting sqref="AF118:AG118">
    <cfRule type="containsText" dxfId="0" priority="1776" operator="containsText" text="fnd">
      <formula>NOT(ISERROR(SEARCH(("fnd"),(AF118))))</formula>
    </cfRule>
  </conditionalFormatting>
  <conditionalFormatting sqref="AF126:AG126">
    <cfRule type="containsText" dxfId="2" priority="1777" operator="containsText" text="Str">
      <formula>NOT(ISERROR(SEARCH(("Str"),(AF126))))</formula>
    </cfRule>
  </conditionalFormatting>
  <conditionalFormatting sqref="AF126:AG126">
    <cfRule type="containsText" dxfId="3" priority="1778" operator="containsText" text="Ere">
      <formula>NOT(ISERROR(SEARCH(("Ere"),(AF126))))</formula>
    </cfRule>
  </conditionalFormatting>
  <conditionalFormatting sqref="AF126:AG126">
    <cfRule type="containsText" dxfId="1" priority="1779" operator="containsText" text="Ear">
      <formula>NOT(ISERROR(SEARCH(("Ear"),(AF126))))</formula>
    </cfRule>
  </conditionalFormatting>
  <conditionalFormatting sqref="AF126:AG126">
    <cfRule type="containsText" dxfId="0" priority="1780" operator="containsText" text="fnd">
      <formula>NOT(ISERROR(SEARCH(("fnd"),(AF126))))</formula>
    </cfRule>
  </conditionalFormatting>
  <conditionalFormatting sqref="AF134:AG134">
    <cfRule type="containsText" dxfId="2" priority="1781" operator="containsText" text="Str">
      <formula>NOT(ISERROR(SEARCH(("Str"),(AF134))))</formula>
    </cfRule>
  </conditionalFormatting>
  <conditionalFormatting sqref="AF134:AG134">
    <cfRule type="containsText" dxfId="3" priority="1782" operator="containsText" text="Ere">
      <formula>NOT(ISERROR(SEARCH(("Ere"),(AF134))))</formula>
    </cfRule>
  </conditionalFormatting>
  <conditionalFormatting sqref="AF134:AG134">
    <cfRule type="containsText" dxfId="1" priority="1783" operator="containsText" text="Ear">
      <formula>NOT(ISERROR(SEARCH(("Ear"),(AF134))))</formula>
    </cfRule>
  </conditionalFormatting>
  <conditionalFormatting sqref="AF134:AG134">
    <cfRule type="containsText" dxfId="0" priority="1784" operator="containsText" text="fnd">
      <formula>NOT(ISERROR(SEARCH(("fnd"),(AF134))))</formula>
    </cfRule>
  </conditionalFormatting>
  <conditionalFormatting sqref="AF142:AG142">
    <cfRule type="containsText" dxfId="2" priority="1785" operator="containsText" text="Str">
      <formula>NOT(ISERROR(SEARCH(("Str"),(AF142))))</formula>
    </cfRule>
  </conditionalFormatting>
  <conditionalFormatting sqref="AF142:AG142">
    <cfRule type="containsText" dxfId="3" priority="1786" operator="containsText" text="Ere">
      <formula>NOT(ISERROR(SEARCH(("Ere"),(AF142))))</formula>
    </cfRule>
  </conditionalFormatting>
  <conditionalFormatting sqref="AF142:AG142">
    <cfRule type="containsText" dxfId="1" priority="1787" operator="containsText" text="Ear">
      <formula>NOT(ISERROR(SEARCH(("Ear"),(AF142))))</formula>
    </cfRule>
  </conditionalFormatting>
  <conditionalFormatting sqref="AF142:AG142">
    <cfRule type="containsText" dxfId="0" priority="1788" operator="containsText" text="fnd">
      <formula>NOT(ISERROR(SEARCH(("fnd"),(AF142))))</formula>
    </cfRule>
  </conditionalFormatting>
  <conditionalFormatting sqref="AF158:AG158">
    <cfRule type="containsText" dxfId="2" priority="1789" operator="containsText" text="Str">
      <formula>NOT(ISERROR(SEARCH(("Str"),(AF158))))</formula>
    </cfRule>
  </conditionalFormatting>
  <conditionalFormatting sqref="AF158:AG158">
    <cfRule type="containsText" dxfId="3" priority="1790" operator="containsText" text="Ere">
      <formula>NOT(ISERROR(SEARCH(("Ere"),(AF158))))</formula>
    </cfRule>
  </conditionalFormatting>
  <conditionalFormatting sqref="AF158:AG158">
    <cfRule type="containsText" dxfId="1" priority="1791" operator="containsText" text="Ear">
      <formula>NOT(ISERROR(SEARCH(("Ear"),(AF158))))</formula>
    </cfRule>
  </conditionalFormatting>
  <conditionalFormatting sqref="AF158:AG158">
    <cfRule type="containsText" dxfId="0" priority="1792" operator="containsText" text="fnd">
      <formula>NOT(ISERROR(SEARCH(("fnd"),(AF158))))</formula>
    </cfRule>
  </conditionalFormatting>
  <conditionalFormatting sqref="AF166:AG166">
    <cfRule type="containsText" dxfId="2" priority="1793" operator="containsText" text="Str">
      <formula>NOT(ISERROR(SEARCH(("Str"),(AF166))))</formula>
    </cfRule>
  </conditionalFormatting>
  <conditionalFormatting sqref="AF166:AG166">
    <cfRule type="containsText" dxfId="3" priority="1794" operator="containsText" text="Ere">
      <formula>NOT(ISERROR(SEARCH(("Ere"),(AF166))))</formula>
    </cfRule>
  </conditionalFormatting>
  <conditionalFormatting sqref="AF166:AG166">
    <cfRule type="containsText" dxfId="1" priority="1795" operator="containsText" text="Ear">
      <formula>NOT(ISERROR(SEARCH(("Ear"),(AF166))))</formula>
    </cfRule>
  </conditionalFormatting>
  <conditionalFormatting sqref="AF166:AG166">
    <cfRule type="containsText" dxfId="0" priority="1796" operator="containsText" text="fnd">
      <formula>NOT(ISERROR(SEARCH(("fnd"),(AF166))))</formula>
    </cfRule>
  </conditionalFormatting>
  <conditionalFormatting sqref="AF174:AG174">
    <cfRule type="containsText" dxfId="2" priority="1797" operator="containsText" text="Str">
      <formula>NOT(ISERROR(SEARCH(("Str"),(AF174))))</formula>
    </cfRule>
  </conditionalFormatting>
  <conditionalFormatting sqref="AF174:AG174">
    <cfRule type="containsText" dxfId="3" priority="1798" operator="containsText" text="Ere">
      <formula>NOT(ISERROR(SEARCH(("Ere"),(AF174))))</formula>
    </cfRule>
  </conditionalFormatting>
  <conditionalFormatting sqref="AF174:AG174">
    <cfRule type="containsText" dxfId="1" priority="1799" operator="containsText" text="Ear">
      <formula>NOT(ISERROR(SEARCH(("Ear"),(AF174))))</formula>
    </cfRule>
  </conditionalFormatting>
  <conditionalFormatting sqref="AF174:AG174">
    <cfRule type="containsText" dxfId="0" priority="1800" operator="containsText" text="fnd">
      <formula>NOT(ISERROR(SEARCH(("fnd"),(AF174))))</formula>
    </cfRule>
  </conditionalFormatting>
  <conditionalFormatting sqref="AF182:AG182">
    <cfRule type="containsText" dxfId="2" priority="1801" operator="containsText" text="Str">
      <formula>NOT(ISERROR(SEARCH(("Str"),(AF182))))</formula>
    </cfRule>
  </conditionalFormatting>
  <conditionalFormatting sqref="AF182:AG182">
    <cfRule type="containsText" dxfId="3" priority="1802" operator="containsText" text="Ere">
      <formula>NOT(ISERROR(SEARCH(("Ere"),(AF182))))</formula>
    </cfRule>
  </conditionalFormatting>
  <conditionalFormatting sqref="AF182:AG182">
    <cfRule type="containsText" dxfId="1" priority="1803" operator="containsText" text="Ear">
      <formula>NOT(ISERROR(SEARCH(("Ear"),(AF182))))</formula>
    </cfRule>
  </conditionalFormatting>
  <conditionalFormatting sqref="AF182:AG182">
    <cfRule type="containsText" dxfId="0" priority="1804" operator="containsText" text="fnd">
      <formula>NOT(ISERROR(SEARCH(("fnd"),(AF182))))</formula>
    </cfRule>
  </conditionalFormatting>
  <conditionalFormatting sqref="AG6">
    <cfRule type="containsText" dxfId="2" priority="1805" operator="containsText" text="Str">
      <formula>NOT(ISERROR(SEARCH(("Str"),(AG6))))</formula>
    </cfRule>
  </conditionalFormatting>
  <conditionalFormatting sqref="AG6">
    <cfRule type="containsText" dxfId="3" priority="1806" operator="containsText" text="Ere">
      <formula>NOT(ISERROR(SEARCH(("Ere"),(AG6))))</formula>
    </cfRule>
  </conditionalFormatting>
  <conditionalFormatting sqref="AG6">
    <cfRule type="containsText" dxfId="1" priority="1807" operator="containsText" text="Ear">
      <formula>NOT(ISERROR(SEARCH(("Ear"),(AG6))))</formula>
    </cfRule>
  </conditionalFormatting>
  <conditionalFormatting sqref="AG6">
    <cfRule type="containsText" dxfId="0" priority="1808" operator="containsText" text="fnd">
      <formula>NOT(ISERROR(SEARCH(("fnd"),(AG6))))</formula>
    </cfRule>
  </conditionalFormatting>
  <conditionalFormatting sqref="AG14">
    <cfRule type="containsText" dxfId="2" priority="1809" operator="containsText" text="Str">
      <formula>NOT(ISERROR(SEARCH(("Str"),(AG14))))</formula>
    </cfRule>
  </conditionalFormatting>
  <conditionalFormatting sqref="AG14">
    <cfRule type="containsText" dxfId="3" priority="1810" operator="containsText" text="Ere">
      <formula>NOT(ISERROR(SEARCH(("Ere"),(AG14))))</formula>
    </cfRule>
  </conditionalFormatting>
  <conditionalFormatting sqref="AG14">
    <cfRule type="containsText" dxfId="1" priority="1811" operator="containsText" text="Ear">
      <formula>NOT(ISERROR(SEARCH(("Ear"),(AG14))))</formula>
    </cfRule>
  </conditionalFormatting>
  <conditionalFormatting sqref="AG14">
    <cfRule type="containsText" dxfId="0" priority="1812" operator="containsText" text="fnd">
      <formula>NOT(ISERROR(SEARCH(("fnd"),(AG14))))</formula>
    </cfRule>
  </conditionalFormatting>
  <conditionalFormatting sqref="AG22">
    <cfRule type="containsText" dxfId="2" priority="1813" operator="containsText" text="Str">
      <formula>NOT(ISERROR(SEARCH(("Str"),(AG22))))</formula>
    </cfRule>
  </conditionalFormatting>
  <conditionalFormatting sqref="AG22">
    <cfRule type="containsText" dxfId="3" priority="1814" operator="containsText" text="Ere">
      <formula>NOT(ISERROR(SEARCH(("Ere"),(AG22))))</formula>
    </cfRule>
  </conditionalFormatting>
  <conditionalFormatting sqref="AG22">
    <cfRule type="containsText" dxfId="1" priority="1815" operator="containsText" text="Ear">
      <formula>NOT(ISERROR(SEARCH(("Ear"),(AG22))))</formula>
    </cfRule>
  </conditionalFormatting>
  <conditionalFormatting sqref="AG22">
    <cfRule type="containsText" dxfId="0" priority="1816" operator="containsText" text="fnd">
      <formula>NOT(ISERROR(SEARCH(("fnd"),(AG22))))</formula>
    </cfRule>
  </conditionalFormatting>
  <conditionalFormatting sqref="AG78">
    <cfRule type="containsText" dxfId="2" priority="1817" operator="containsText" text="Str">
      <formula>NOT(ISERROR(SEARCH(("Str"),(AG78))))</formula>
    </cfRule>
  </conditionalFormatting>
  <conditionalFormatting sqref="AG78">
    <cfRule type="containsText" dxfId="3" priority="1818" operator="containsText" text="Ere">
      <formula>NOT(ISERROR(SEARCH(("Ere"),(AG78))))</formula>
    </cfRule>
  </conditionalFormatting>
  <conditionalFormatting sqref="AG78">
    <cfRule type="containsText" dxfId="1" priority="1819" operator="containsText" text="Ear">
      <formula>NOT(ISERROR(SEARCH(("Ear"),(AG78))))</formula>
    </cfRule>
  </conditionalFormatting>
  <conditionalFormatting sqref="AG78">
    <cfRule type="containsText" dxfId="0" priority="1820" operator="containsText" text="fnd">
      <formula>NOT(ISERROR(SEARCH(("fnd"),(AG78))))</formula>
    </cfRule>
  </conditionalFormatting>
  <conditionalFormatting sqref="AI5:AI6">
    <cfRule type="containsText" dxfId="2" priority="1821" operator="containsText" text="Str">
      <formula>NOT(ISERROR(SEARCH(("Str"),(AI5))))</formula>
    </cfRule>
  </conditionalFormatting>
  <conditionalFormatting sqref="AI5:AI6">
    <cfRule type="containsText" dxfId="3" priority="1822" operator="containsText" text="Ere">
      <formula>NOT(ISERROR(SEARCH(("Ere"),(AI5))))</formula>
    </cfRule>
  </conditionalFormatting>
  <conditionalFormatting sqref="AI5:AI6">
    <cfRule type="containsText" dxfId="1" priority="1823" operator="containsText" text="Ear">
      <formula>NOT(ISERROR(SEARCH(("Ear"),(AI5))))</formula>
    </cfRule>
  </conditionalFormatting>
  <conditionalFormatting sqref="AI5:AI6">
    <cfRule type="containsText" dxfId="0" priority="1824" operator="containsText" text="fnd">
      <formula>NOT(ISERROR(SEARCH(("fnd"),(AI5))))</formula>
    </cfRule>
  </conditionalFormatting>
  <conditionalFormatting sqref="AI13:AI14">
    <cfRule type="containsText" dxfId="2" priority="1825" operator="containsText" text="Str">
      <formula>NOT(ISERROR(SEARCH(("Str"),(AI13))))</formula>
    </cfRule>
  </conditionalFormatting>
  <conditionalFormatting sqref="AI13:AI14">
    <cfRule type="containsText" dxfId="3" priority="1826" operator="containsText" text="Ere">
      <formula>NOT(ISERROR(SEARCH(("Ere"),(AI13))))</formula>
    </cfRule>
  </conditionalFormatting>
  <conditionalFormatting sqref="AI13:AI14">
    <cfRule type="containsText" dxfId="1" priority="1827" operator="containsText" text="Ear">
      <formula>NOT(ISERROR(SEARCH(("Ear"),(AI13))))</formula>
    </cfRule>
  </conditionalFormatting>
  <conditionalFormatting sqref="AI13:AI14">
    <cfRule type="containsText" dxfId="0" priority="1828" operator="containsText" text="fnd">
      <formula>NOT(ISERROR(SEARCH(("fnd"),(AI13))))</formula>
    </cfRule>
  </conditionalFormatting>
  <conditionalFormatting sqref="AI21:AI22">
    <cfRule type="containsText" dxfId="2" priority="1829" operator="containsText" text="Str">
      <formula>NOT(ISERROR(SEARCH(("Str"),(AI21))))</formula>
    </cfRule>
  </conditionalFormatting>
  <conditionalFormatting sqref="AI21:AI22">
    <cfRule type="containsText" dxfId="3" priority="1830" operator="containsText" text="Ere">
      <formula>NOT(ISERROR(SEARCH(("Ere"),(AI21))))</formula>
    </cfRule>
  </conditionalFormatting>
  <conditionalFormatting sqref="AI21:AI22">
    <cfRule type="containsText" dxfId="1" priority="1831" operator="containsText" text="Ear">
      <formula>NOT(ISERROR(SEARCH(("Ear"),(AI21))))</formula>
    </cfRule>
  </conditionalFormatting>
  <conditionalFormatting sqref="AI21:AI22">
    <cfRule type="containsText" dxfId="0" priority="1832" operator="containsText" text="fnd">
      <formula>NOT(ISERROR(SEARCH(("fnd"),(AI21))))</formula>
    </cfRule>
  </conditionalFormatting>
  <conditionalFormatting sqref="AI29">
    <cfRule type="containsText" dxfId="2" priority="1833" operator="containsText" text="Str">
      <formula>NOT(ISERROR(SEARCH(("Str"),(AI29))))</formula>
    </cfRule>
  </conditionalFormatting>
  <conditionalFormatting sqref="AI29">
    <cfRule type="containsText" dxfId="3" priority="1834" operator="containsText" text="Ere">
      <formula>NOT(ISERROR(SEARCH(("Ere"),(AI29))))</formula>
    </cfRule>
  </conditionalFormatting>
  <conditionalFormatting sqref="AI29">
    <cfRule type="containsText" dxfId="1" priority="1835" operator="containsText" text="Ear">
      <formula>NOT(ISERROR(SEARCH(("Ear"),(AI29))))</formula>
    </cfRule>
  </conditionalFormatting>
  <conditionalFormatting sqref="AI29">
    <cfRule type="containsText" dxfId="0" priority="1836" operator="containsText" text="fnd">
      <formula>NOT(ISERROR(SEARCH(("fnd"),(AI29))))</formula>
    </cfRule>
  </conditionalFormatting>
  <conditionalFormatting sqref="AI37">
    <cfRule type="containsText" dxfId="2" priority="1837" operator="containsText" text="Str">
      <formula>NOT(ISERROR(SEARCH(("Str"),(AI37))))</formula>
    </cfRule>
  </conditionalFormatting>
  <conditionalFormatting sqref="AI37">
    <cfRule type="containsText" dxfId="3" priority="1838" operator="containsText" text="Ere">
      <formula>NOT(ISERROR(SEARCH(("Ere"),(AI37))))</formula>
    </cfRule>
  </conditionalFormatting>
  <conditionalFormatting sqref="AI37">
    <cfRule type="containsText" dxfId="1" priority="1839" operator="containsText" text="Ear">
      <formula>NOT(ISERROR(SEARCH(("Ear"),(AI37))))</formula>
    </cfRule>
  </conditionalFormatting>
  <conditionalFormatting sqref="AI37">
    <cfRule type="containsText" dxfId="0" priority="1840" operator="containsText" text="fnd">
      <formula>NOT(ISERROR(SEARCH(("fnd"),(AI37))))</formula>
    </cfRule>
  </conditionalFormatting>
  <conditionalFormatting sqref="AI53">
    <cfRule type="containsText" dxfId="2" priority="1841" operator="containsText" text="Str">
      <formula>NOT(ISERROR(SEARCH(("Str"),(AI53))))</formula>
    </cfRule>
  </conditionalFormatting>
  <conditionalFormatting sqref="AI53">
    <cfRule type="containsText" dxfId="3" priority="1842" operator="containsText" text="Ere">
      <formula>NOT(ISERROR(SEARCH(("Ere"),(AI53))))</formula>
    </cfRule>
  </conditionalFormatting>
  <conditionalFormatting sqref="AI53">
    <cfRule type="containsText" dxfId="1" priority="1843" operator="containsText" text="Ear">
      <formula>NOT(ISERROR(SEARCH(("Ear"),(AI53))))</formula>
    </cfRule>
  </conditionalFormatting>
  <conditionalFormatting sqref="AI53">
    <cfRule type="containsText" dxfId="0" priority="1844" operator="containsText" text="fnd">
      <formula>NOT(ISERROR(SEARCH(("fnd"),(AI53))))</formula>
    </cfRule>
  </conditionalFormatting>
  <conditionalFormatting sqref="AI61">
    <cfRule type="containsText" dxfId="2" priority="1845" operator="containsText" text="Str">
      <formula>NOT(ISERROR(SEARCH(("Str"),(AI61))))</formula>
    </cfRule>
  </conditionalFormatting>
  <conditionalFormatting sqref="AI61">
    <cfRule type="containsText" dxfId="3" priority="1846" operator="containsText" text="Ere">
      <formula>NOT(ISERROR(SEARCH(("Ere"),(AI61))))</formula>
    </cfRule>
  </conditionalFormatting>
  <conditionalFormatting sqref="AI61">
    <cfRule type="containsText" dxfId="1" priority="1847" operator="containsText" text="Ear">
      <formula>NOT(ISERROR(SEARCH(("Ear"),(AI61))))</formula>
    </cfRule>
  </conditionalFormatting>
  <conditionalFormatting sqref="AI61">
    <cfRule type="containsText" dxfId="0" priority="1848" operator="containsText" text="fnd">
      <formula>NOT(ISERROR(SEARCH(("fnd"),(AI61))))</formula>
    </cfRule>
  </conditionalFormatting>
  <conditionalFormatting sqref="AI69">
    <cfRule type="containsText" dxfId="2" priority="1849" operator="containsText" text="Str">
      <formula>NOT(ISERROR(SEARCH(("Str"),(AI69))))</formula>
    </cfRule>
  </conditionalFormatting>
  <conditionalFormatting sqref="AI69">
    <cfRule type="containsText" dxfId="3" priority="1850" operator="containsText" text="Ere">
      <formula>NOT(ISERROR(SEARCH(("Ere"),(AI69))))</formula>
    </cfRule>
  </conditionalFormatting>
  <conditionalFormatting sqref="AI69">
    <cfRule type="containsText" dxfId="1" priority="1851" operator="containsText" text="Ear">
      <formula>NOT(ISERROR(SEARCH(("Ear"),(AI69))))</formula>
    </cfRule>
  </conditionalFormatting>
  <conditionalFormatting sqref="AI69">
    <cfRule type="containsText" dxfId="0" priority="1852" operator="containsText" text="fnd">
      <formula>NOT(ISERROR(SEARCH(("fnd"),(AI69))))</formula>
    </cfRule>
  </conditionalFormatting>
  <conditionalFormatting sqref="AI77:AI78">
    <cfRule type="containsText" dxfId="2" priority="1853" operator="containsText" text="Str">
      <formula>NOT(ISERROR(SEARCH(("Str"),(AI77))))</formula>
    </cfRule>
  </conditionalFormatting>
  <conditionalFormatting sqref="AI77:AI78">
    <cfRule type="containsText" dxfId="3" priority="1854" operator="containsText" text="Ere">
      <formula>NOT(ISERROR(SEARCH(("Ere"),(AI77))))</formula>
    </cfRule>
  </conditionalFormatting>
  <conditionalFormatting sqref="AI77:AI78">
    <cfRule type="containsText" dxfId="1" priority="1855" operator="containsText" text="Ear">
      <formula>NOT(ISERROR(SEARCH(("Ear"),(AI77))))</formula>
    </cfRule>
  </conditionalFormatting>
  <conditionalFormatting sqref="AI77:AI78">
    <cfRule type="containsText" dxfId="0" priority="1856" operator="containsText" text="fnd">
      <formula>NOT(ISERROR(SEARCH(("fnd"),(AI77))))</formula>
    </cfRule>
  </conditionalFormatting>
  <conditionalFormatting sqref="AI93:AI94">
    <cfRule type="containsText" dxfId="2" priority="1857" operator="containsText" text="Str">
      <formula>NOT(ISERROR(SEARCH(("Str"),(AI93))))</formula>
    </cfRule>
  </conditionalFormatting>
  <conditionalFormatting sqref="AI93:AI94">
    <cfRule type="containsText" dxfId="3" priority="1858" operator="containsText" text="Ere">
      <formula>NOT(ISERROR(SEARCH(("Ere"),(AI93))))</formula>
    </cfRule>
  </conditionalFormatting>
  <conditionalFormatting sqref="AI93:AI94">
    <cfRule type="containsText" dxfId="1" priority="1859" operator="containsText" text="Ear">
      <formula>NOT(ISERROR(SEARCH(("Ear"),(AI93))))</formula>
    </cfRule>
  </conditionalFormatting>
  <conditionalFormatting sqref="AI93:AI94">
    <cfRule type="containsText" dxfId="0" priority="1860" operator="containsText" text="fnd">
      <formula>NOT(ISERROR(SEARCH(("fnd"),(AI93))))</formula>
    </cfRule>
  </conditionalFormatting>
  <conditionalFormatting sqref="AI101">
    <cfRule type="containsText" dxfId="2" priority="1861" operator="containsText" text="Str">
      <formula>NOT(ISERROR(SEARCH(("Str"),(AI101))))</formula>
    </cfRule>
  </conditionalFormatting>
  <conditionalFormatting sqref="AI101">
    <cfRule type="containsText" dxfId="3" priority="1862" operator="containsText" text="Ere">
      <formula>NOT(ISERROR(SEARCH(("Ere"),(AI101))))</formula>
    </cfRule>
  </conditionalFormatting>
  <conditionalFormatting sqref="AI101">
    <cfRule type="containsText" dxfId="1" priority="1863" operator="containsText" text="Ear">
      <formula>NOT(ISERROR(SEARCH(("Ear"),(AI101))))</formula>
    </cfRule>
  </conditionalFormatting>
  <conditionalFormatting sqref="AI101">
    <cfRule type="containsText" dxfId="0" priority="1864" operator="containsText" text="fnd">
      <formula>NOT(ISERROR(SEARCH(("fnd"),(AI101))))</formula>
    </cfRule>
  </conditionalFormatting>
  <conditionalFormatting sqref="AI109">
    <cfRule type="containsText" dxfId="2" priority="1865" operator="containsText" text="Str">
      <formula>NOT(ISERROR(SEARCH(("Str"),(AI109))))</formula>
    </cfRule>
  </conditionalFormatting>
  <conditionalFormatting sqref="AI109">
    <cfRule type="containsText" dxfId="3" priority="1866" operator="containsText" text="Ere">
      <formula>NOT(ISERROR(SEARCH(("Ere"),(AI109))))</formula>
    </cfRule>
  </conditionalFormatting>
  <conditionalFormatting sqref="AI109">
    <cfRule type="containsText" dxfId="1" priority="1867" operator="containsText" text="Ear">
      <formula>NOT(ISERROR(SEARCH(("Ear"),(AI109))))</formula>
    </cfRule>
  </conditionalFormatting>
  <conditionalFormatting sqref="AI109">
    <cfRule type="containsText" dxfId="0" priority="1868" operator="containsText" text="fnd">
      <formula>NOT(ISERROR(SEARCH(("fnd"),(AI109))))</formula>
    </cfRule>
  </conditionalFormatting>
  <conditionalFormatting sqref="AI117">
    <cfRule type="containsText" dxfId="2" priority="1869" operator="containsText" text="Str">
      <formula>NOT(ISERROR(SEARCH(("Str"),(AI117))))</formula>
    </cfRule>
  </conditionalFormatting>
  <conditionalFormatting sqref="AI117">
    <cfRule type="containsText" dxfId="3" priority="1870" operator="containsText" text="Ere">
      <formula>NOT(ISERROR(SEARCH(("Ere"),(AI117))))</formula>
    </cfRule>
  </conditionalFormatting>
  <conditionalFormatting sqref="AI117">
    <cfRule type="containsText" dxfId="1" priority="1871" operator="containsText" text="Ear">
      <formula>NOT(ISERROR(SEARCH(("Ear"),(AI117))))</formula>
    </cfRule>
  </conditionalFormatting>
  <conditionalFormatting sqref="AI117">
    <cfRule type="containsText" dxfId="0" priority="1872" operator="containsText" text="fnd">
      <formula>NOT(ISERROR(SEARCH(("fnd"),(AI117))))</formula>
    </cfRule>
  </conditionalFormatting>
  <conditionalFormatting sqref="AI122 AI130 AI138 AI170 AI178">
    <cfRule type="containsText" dxfId="2" priority="1873" operator="containsText" text="Str">
      <formula>NOT(ISERROR(SEARCH(("Str"),(AI122))))</formula>
    </cfRule>
  </conditionalFormatting>
  <conditionalFormatting sqref="AI122 AI130 AI138 AI170 AI178">
    <cfRule type="containsText" dxfId="3" priority="1874" operator="containsText" text="Ere">
      <formula>NOT(ISERROR(SEARCH(("Ere"),(AI122))))</formula>
    </cfRule>
  </conditionalFormatting>
  <conditionalFormatting sqref="AI122 AI130 AI138 AI170 AI178">
    <cfRule type="containsText" dxfId="1" priority="1875" operator="containsText" text="Ear">
      <formula>NOT(ISERROR(SEARCH(("Ear"),(AI122))))</formula>
    </cfRule>
  </conditionalFormatting>
  <conditionalFormatting sqref="AI122 AI130 AI138 AI170 AI178">
    <cfRule type="containsText" dxfId="0" priority="1876" operator="containsText" text="fnd">
      <formula>NOT(ISERROR(SEARCH(("fnd"),(AI122))))</formula>
    </cfRule>
  </conditionalFormatting>
  <conditionalFormatting sqref="AI125">
    <cfRule type="containsText" dxfId="2" priority="1877" operator="containsText" text="Str">
      <formula>NOT(ISERROR(SEARCH(("Str"),(AI125))))</formula>
    </cfRule>
  </conditionalFormatting>
  <conditionalFormatting sqref="AI125">
    <cfRule type="containsText" dxfId="3" priority="1878" operator="containsText" text="Ere">
      <formula>NOT(ISERROR(SEARCH(("Ere"),(AI125))))</formula>
    </cfRule>
  </conditionalFormatting>
  <conditionalFormatting sqref="AI125">
    <cfRule type="containsText" dxfId="1" priority="1879" operator="containsText" text="Ear">
      <formula>NOT(ISERROR(SEARCH(("Ear"),(AI125))))</formula>
    </cfRule>
  </conditionalFormatting>
  <conditionalFormatting sqref="AI125">
    <cfRule type="containsText" dxfId="0" priority="1880" operator="containsText" text="fnd">
      <formula>NOT(ISERROR(SEARCH(("fnd"),(AI125))))</formula>
    </cfRule>
  </conditionalFormatting>
  <conditionalFormatting sqref="AI133">
    <cfRule type="containsText" dxfId="2" priority="1881" operator="containsText" text="Str">
      <formula>NOT(ISERROR(SEARCH(("Str"),(AI133))))</formula>
    </cfRule>
  </conditionalFormatting>
  <conditionalFormatting sqref="AI133">
    <cfRule type="containsText" dxfId="3" priority="1882" operator="containsText" text="Ere">
      <formula>NOT(ISERROR(SEARCH(("Ere"),(AI133))))</formula>
    </cfRule>
  </conditionalFormatting>
  <conditionalFormatting sqref="AI133">
    <cfRule type="containsText" dxfId="1" priority="1883" operator="containsText" text="Ear">
      <formula>NOT(ISERROR(SEARCH(("Ear"),(AI133))))</formula>
    </cfRule>
  </conditionalFormatting>
  <conditionalFormatting sqref="AI133">
    <cfRule type="containsText" dxfId="0" priority="1884" operator="containsText" text="fnd">
      <formula>NOT(ISERROR(SEARCH(("fnd"),(AI133))))</formula>
    </cfRule>
  </conditionalFormatting>
  <conditionalFormatting sqref="AI141">
    <cfRule type="containsText" dxfId="2" priority="1885" operator="containsText" text="Str">
      <formula>NOT(ISERROR(SEARCH(("Str"),(AI141))))</formula>
    </cfRule>
  </conditionalFormatting>
  <conditionalFormatting sqref="AI141">
    <cfRule type="containsText" dxfId="3" priority="1886" operator="containsText" text="Ere">
      <formula>NOT(ISERROR(SEARCH(("Ere"),(AI141))))</formula>
    </cfRule>
  </conditionalFormatting>
  <conditionalFormatting sqref="AI141">
    <cfRule type="containsText" dxfId="1" priority="1887" operator="containsText" text="Ear">
      <formula>NOT(ISERROR(SEARCH(("Ear"),(AI141))))</formula>
    </cfRule>
  </conditionalFormatting>
  <conditionalFormatting sqref="AI141">
    <cfRule type="containsText" dxfId="0" priority="1888" operator="containsText" text="fnd">
      <formula>NOT(ISERROR(SEARCH(("fnd"),(AI141))))</formula>
    </cfRule>
  </conditionalFormatting>
  <conditionalFormatting sqref="AI149">
    <cfRule type="containsText" dxfId="2" priority="1889" operator="containsText" text="Str">
      <formula>NOT(ISERROR(SEARCH(("Str"),(AI149))))</formula>
    </cfRule>
  </conditionalFormatting>
  <conditionalFormatting sqref="AI149">
    <cfRule type="containsText" dxfId="3" priority="1890" operator="containsText" text="Ere">
      <formula>NOT(ISERROR(SEARCH(("Ere"),(AI149))))</formula>
    </cfRule>
  </conditionalFormatting>
  <conditionalFormatting sqref="AI149">
    <cfRule type="containsText" dxfId="1" priority="1891" operator="containsText" text="Ear">
      <formula>NOT(ISERROR(SEARCH(("Ear"),(AI149))))</formula>
    </cfRule>
  </conditionalFormatting>
  <conditionalFormatting sqref="AI149">
    <cfRule type="containsText" dxfId="0" priority="1892" operator="containsText" text="fnd">
      <formula>NOT(ISERROR(SEARCH(("fnd"),(AI149))))</formula>
    </cfRule>
  </conditionalFormatting>
  <conditionalFormatting sqref="AI157">
    <cfRule type="containsText" dxfId="2" priority="1893" operator="containsText" text="Str">
      <formula>NOT(ISERROR(SEARCH(("Str"),(AI157))))</formula>
    </cfRule>
  </conditionalFormatting>
  <conditionalFormatting sqref="AI157">
    <cfRule type="containsText" dxfId="3" priority="1894" operator="containsText" text="Ere">
      <formula>NOT(ISERROR(SEARCH(("Ere"),(AI157))))</formula>
    </cfRule>
  </conditionalFormatting>
  <conditionalFormatting sqref="AI157">
    <cfRule type="containsText" dxfId="1" priority="1895" operator="containsText" text="Ear">
      <formula>NOT(ISERROR(SEARCH(("Ear"),(AI157))))</formula>
    </cfRule>
  </conditionalFormatting>
  <conditionalFormatting sqref="AI157">
    <cfRule type="containsText" dxfId="0" priority="1896" operator="containsText" text="fnd">
      <formula>NOT(ISERROR(SEARCH(("fnd"),(AI157))))</formula>
    </cfRule>
  </conditionalFormatting>
  <conditionalFormatting sqref="AI165">
    <cfRule type="containsText" dxfId="2" priority="1897" operator="containsText" text="Str">
      <formula>NOT(ISERROR(SEARCH(("Str"),(AI165))))</formula>
    </cfRule>
  </conditionalFormatting>
  <conditionalFormatting sqref="AI165">
    <cfRule type="containsText" dxfId="3" priority="1898" operator="containsText" text="Ere">
      <formula>NOT(ISERROR(SEARCH(("Ere"),(AI165))))</formula>
    </cfRule>
  </conditionalFormatting>
  <conditionalFormatting sqref="AI165">
    <cfRule type="containsText" dxfId="1" priority="1899" operator="containsText" text="Ear">
      <formula>NOT(ISERROR(SEARCH(("Ear"),(AI165))))</formula>
    </cfRule>
  </conditionalFormatting>
  <conditionalFormatting sqref="AI165">
    <cfRule type="containsText" dxfId="0" priority="1900" operator="containsText" text="fnd">
      <formula>NOT(ISERROR(SEARCH(("fnd"),(AI165))))</formula>
    </cfRule>
  </conditionalFormatting>
  <conditionalFormatting sqref="AI173">
    <cfRule type="containsText" dxfId="2" priority="1901" operator="containsText" text="Str">
      <formula>NOT(ISERROR(SEARCH(("Str"),(AI173))))</formula>
    </cfRule>
  </conditionalFormatting>
  <conditionalFormatting sqref="AI173">
    <cfRule type="containsText" dxfId="3" priority="1902" operator="containsText" text="Ere">
      <formula>NOT(ISERROR(SEARCH(("Ere"),(AI173))))</formula>
    </cfRule>
  </conditionalFormatting>
  <conditionalFormatting sqref="AI173">
    <cfRule type="containsText" dxfId="1" priority="1903" operator="containsText" text="Ear">
      <formula>NOT(ISERROR(SEARCH(("Ear"),(AI173))))</formula>
    </cfRule>
  </conditionalFormatting>
  <conditionalFormatting sqref="AI173">
    <cfRule type="containsText" dxfId="0" priority="1904" operator="containsText" text="fnd">
      <formula>NOT(ISERROR(SEARCH(("fnd"),(AI173))))</formula>
    </cfRule>
  </conditionalFormatting>
  <conditionalFormatting sqref="AI181">
    <cfRule type="containsText" dxfId="2" priority="1905" operator="containsText" text="Str">
      <formula>NOT(ISERROR(SEARCH(("Str"),(AI181))))</formula>
    </cfRule>
  </conditionalFormatting>
  <conditionalFormatting sqref="AI181">
    <cfRule type="containsText" dxfId="3" priority="1906" operator="containsText" text="Ere">
      <formula>NOT(ISERROR(SEARCH(("Ere"),(AI181))))</formula>
    </cfRule>
  </conditionalFormatting>
  <conditionalFormatting sqref="AI181">
    <cfRule type="containsText" dxfId="1" priority="1907" operator="containsText" text="Ear">
      <formula>NOT(ISERROR(SEARCH(("Ear"),(AI181))))</formula>
    </cfRule>
  </conditionalFormatting>
  <conditionalFormatting sqref="AI181">
    <cfRule type="containsText" dxfId="0" priority="1908" operator="containsText" text="fnd">
      <formula>NOT(ISERROR(SEARCH(("fnd"),(AI181))))</formula>
    </cfRule>
  </conditionalFormatting>
  <conditionalFormatting sqref="AI30:AJ30">
    <cfRule type="containsText" dxfId="2" priority="1909" operator="containsText" text="Str">
      <formula>NOT(ISERROR(SEARCH(("Str"),(AI30))))</formula>
    </cfRule>
  </conditionalFormatting>
  <conditionalFormatting sqref="AI30:AJ30">
    <cfRule type="containsText" dxfId="3" priority="1910" operator="containsText" text="Ere">
      <formula>NOT(ISERROR(SEARCH(("Ere"),(AI30))))</formula>
    </cfRule>
  </conditionalFormatting>
  <conditionalFormatting sqref="AI30:AJ30">
    <cfRule type="containsText" dxfId="1" priority="1911" operator="containsText" text="Ear">
      <formula>NOT(ISERROR(SEARCH(("Ear"),(AI30))))</formula>
    </cfRule>
  </conditionalFormatting>
  <conditionalFormatting sqref="AI30:AJ30">
    <cfRule type="containsText" dxfId="0" priority="1912" operator="containsText" text="fnd">
      <formula>NOT(ISERROR(SEARCH(("fnd"),(AI30))))</formula>
    </cfRule>
  </conditionalFormatting>
  <conditionalFormatting sqref="AI38:AJ38">
    <cfRule type="containsText" dxfId="2" priority="1913" operator="containsText" text="Str">
      <formula>NOT(ISERROR(SEARCH(("Str"),(AI38))))</formula>
    </cfRule>
  </conditionalFormatting>
  <conditionalFormatting sqref="AI38:AJ38">
    <cfRule type="containsText" dxfId="3" priority="1914" operator="containsText" text="Ere">
      <formula>NOT(ISERROR(SEARCH(("Ere"),(AI38))))</formula>
    </cfRule>
  </conditionalFormatting>
  <conditionalFormatting sqref="AI38:AJ38">
    <cfRule type="containsText" dxfId="1" priority="1915" operator="containsText" text="Ear">
      <formula>NOT(ISERROR(SEARCH(("Ear"),(AI38))))</formula>
    </cfRule>
  </conditionalFormatting>
  <conditionalFormatting sqref="AI38:AJ38">
    <cfRule type="containsText" dxfId="0" priority="1916" operator="containsText" text="fnd">
      <formula>NOT(ISERROR(SEARCH(("fnd"),(AI38))))</formula>
    </cfRule>
  </conditionalFormatting>
  <conditionalFormatting sqref="AI46:AJ46">
    <cfRule type="containsText" dxfId="2" priority="1917" operator="containsText" text="Str">
      <formula>NOT(ISERROR(SEARCH(("Str"),(AI46))))</formula>
    </cfRule>
  </conditionalFormatting>
  <conditionalFormatting sqref="AI46:AJ46">
    <cfRule type="containsText" dxfId="3" priority="1918" operator="containsText" text="Ere">
      <formula>NOT(ISERROR(SEARCH(("Ere"),(AI46))))</formula>
    </cfRule>
  </conditionalFormatting>
  <conditionalFormatting sqref="AI46:AJ46">
    <cfRule type="containsText" dxfId="1" priority="1919" operator="containsText" text="Ear">
      <formula>NOT(ISERROR(SEARCH(("Ear"),(AI46))))</formula>
    </cfRule>
  </conditionalFormatting>
  <conditionalFormatting sqref="AI46:AJ46">
    <cfRule type="containsText" dxfId="0" priority="1920" operator="containsText" text="fnd">
      <formula>NOT(ISERROR(SEARCH(("fnd"),(AI46))))</formula>
    </cfRule>
  </conditionalFormatting>
  <conditionalFormatting sqref="AI62:AJ62">
    <cfRule type="containsText" dxfId="2" priority="1921" operator="containsText" text="Str">
      <formula>NOT(ISERROR(SEARCH(("Str"),(AI62))))</formula>
    </cfRule>
  </conditionalFormatting>
  <conditionalFormatting sqref="AI62:AJ62">
    <cfRule type="containsText" dxfId="3" priority="1922" operator="containsText" text="Ere">
      <formula>NOT(ISERROR(SEARCH(("Ere"),(AI62))))</formula>
    </cfRule>
  </conditionalFormatting>
  <conditionalFormatting sqref="AI62:AJ62">
    <cfRule type="containsText" dxfId="1" priority="1923" operator="containsText" text="Ear">
      <formula>NOT(ISERROR(SEARCH(("Ear"),(AI62))))</formula>
    </cfRule>
  </conditionalFormatting>
  <conditionalFormatting sqref="AI62:AJ62">
    <cfRule type="containsText" dxfId="0" priority="1924" operator="containsText" text="fnd">
      <formula>NOT(ISERROR(SEARCH(("fnd"),(AI62))))</formula>
    </cfRule>
  </conditionalFormatting>
  <conditionalFormatting sqref="AI70:AJ70">
    <cfRule type="containsText" dxfId="2" priority="1925" operator="containsText" text="Str">
      <formula>NOT(ISERROR(SEARCH(("Str"),(AI70))))</formula>
    </cfRule>
  </conditionalFormatting>
  <conditionalFormatting sqref="AI70:AJ70">
    <cfRule type="containsText" dxfId="3" priority="1926" operator="containsText" text="Ere">
      <formula>NOT(ISERROR(SEARCH(("Ere"),(AI70))))</formula>
    </cfRule>
  </conditionalFormatting>
  <conditionalFormatting sqref="AI70:AJ70">
    <cfRule type="containsText" dxfId="1" priority="1927" operator="containsText" text="Ear">
      <formula>NOT(ISERROR(SEARCH(("Ear"),(AI70))))</formula>
    </cfRule>
  </conditionalFormatting>
  <conditionalFormatting sqref="AI70:AJ70">
    <cfRule type="containsText" dxfId="0" priority="1928" operator="containsText" text="fnd">
      <formula>NOT(ISERROR(SEARCH(("fnd"),(AI70))))</formula>
    </cfRule>
  </conditionalFormatting>
  <conditionalFormatting sqref="AI86:AJ86">
    <cfRule type="containsText" dxfId="2" priority="1929" operator="containsText" text="Str">
      <formula>NOT(ISERROR(SEARCH(("Str"),(AI86))))</formula>
    </cfRule>
  </conditionalFormatting>
  <conditionalFormatting sqref="AI86:AJ86">
    <cfRule type="containsText" dxfId="3" priority="1930" operator="containsText" text="Ere">
      <formula>NOT(ISERROR(SEARCH(("Ere"),(AI86))))</formula>
    </cfRule>
  </conditionalFormatting>
  <conditionalFormatting sqref="AI86:AJ86">
    <cfRule type="containsText" dxfId="1" priority="1931" operator="containsText" text="Ear">
      <formula>NOT(ISERROR(SEARCH(("Ear"),(AI86))))</formula>
    </cfRule>
  </conditionalFormatting>
  <conditionalFormatting sqref="AI86:AJ86">
    <cfRule type="containsText" dxfId="0" priority="1932" operator="containsText" text="fnd">
      <formula>NOT(ISERROR(SEARCH(("fnd"),(AI86))))</formula>
    </cfRule>
  </conditionalFormatting>
  <conditionalFormatting sqref="AI102:AJ102">
    <cfRule type="containsText" dxfId="2" priority="1933" operator="containsText" text="Str">
      <formula>NOT(ISERROR(SEARCH(("Str"),(AI102))))</formula>
    </cfRule>
  </conditionalFormatting>
  <conditionalFormatting sqref="AI102:AJ102">
    <cfRule type="containsText" dxfId="3" priority="1934" operator="containsText" text="Ere">
      <formula>NOT(ISERROR(SEARCH(("Ere"),(AI102))))</formula>
    </cfRule>
  </conditionalFormatting>
  <conditionalFormatting sqref="AI102:AJ102">
    <cfRule type="containsText" dxfId="1" priority="1935" operator="containsText" text="Ear">
      <formula>NOT(ISERROR(SEARCH(("Ear"),(AI102))))</formula>
    </cfRule>
  </conditionalFormatting>
  <conditionalFormatting sqref="AI102:AJ102">
    <cfRule type="containsText" dxfId="0" priority="1936" operator="containsText" text="fnd">
      <formula>NOT(ISERROR(SEARCH(("fnd"),(AI102))))</formula>
    </cfRule>
  </conditionalFormatting>
  <conditionalFormatting sqref="AI110:AJ110">
    <cfRule type="containsText" dxfId="2" priority="1937" operator="containsText" text="Str">
      <formula>NOT(ISERROR(SEARCH(("Str"),(AI110))))</formula>
    </cfRule>
  </conditionalFormatting>
  <conditionalFormatting sqref="AI110:AJ110">
    <cfRule type="containsText" dxfId="3" priority="1938" operator="containsText" text="Ere">
      <formula>NOT(ISERROR(SEARCH(("Ere"),(AI110))))</formula>
    </cfRule>
  </conditionalFormatting>
  <conditionalFormatting sqref="AI110:AJ110">
    <cfRule type="containsText" dxfId="1" priority="1939" operator="containsText" text="Ear">
      <formula>NOT(ISERROR(SEARCH(("Ear"),(AI110))))</formula>
    </cfRule>
  </conditionalFormatting>
  <conditionalFormatting sqref="AI110:AJ110">
    <cfRule type="containsText" dxfId="0" priority="1940" operator="containsText" text="fnd">
      <formula>NOT(ISERROR(SEARCH(("fnd"),(AI110))))</formula>
    </cfRule>
  </conditionalFormatting>
  <conditionalFormatting sqref="AI118:AJ118">
    <cfRule type="containsText" dxfId="2" priority="1941" operator="containsText" text="Str">
      <formula>NOT(ISERROR(SEARCH(("Str"),(AI118))))</formula>
    </cfRule>
  </conditionalFormatting>
  <conditionalFormatting sqref="AI118:AJ118">
    <cfRule type="containsText" dxfId="3" priority="1942" operator="containsText" text="Ere">
      <formula>NOT(ISERROR(SEARCH(("Ere"),(AI118))))</formula>
    </cfRule>
  </conditionalFormatting>
  <conditionalFormatting sqref="AI118:AJ118">
    <cfRule type="containsText" dxfId="1" priority="1943" operator="containsText" text="Ear">
      <formula>NOT(ISERROR(SEARCH(("Ear"),(AI118))))</formula>
    </cfRule>
  </conditionalFormatting>
  <conditionalFormatting sqref="AI118:AJ118">
    <cfRule type="containsText" dxfId="0" priority="1944" operator="containsText" text="fnd">
      <formula>NOT(ISERROR(SEARCH(("fnd"),(AI118))))</formula>
    </cfRule>
  </conditionalFormatting>
  <conditionalFormatting sqref="AI126:AJ126">
    <cfRule type="containsText" dxfId="2" priority="1945" operator="containsText" text="Str">
      <formula>NOT(ISERROR(SEARCH(("Str"),(AI126))))</formula>
    </cfRule>
  </conditionalFormatting>
  <conditionalFormatting sqref="AI126:AJ126">
    <cfRule type="containsText" dxfId="3" priority="1946" operator="containsText" text="Ere">
      <formula>NOT(ISERROR(SEARCH(("Ere"),(AI126))))</formula>
    </cfRule>
  </conditionalFormatting>
  <conditionalFormatting sqref="AI126:AJ126">
    <cfRule type="containsText" dxfId="1" priority="1947" operator="containsText" text="Ear">
      <formula>NOT(ISERROR(SEARCH(("Ear"),(AI126))))</formula>
    </cfRule>
  </conditionalFormatting>
  <conditionalFormatting sqref="AI126:AJ126">
    <cfRule type="containsText" dxfId="0" priority="1948" operator="containsText" text="fnd">
      <formula>NOT(ISERROR(SEARCH(("fnd"),(AI126))))</formula>
    </cfRule>
  </conditionalFormatting>
  <conditionalFormatting sqref="AI134:AJ134">
    <cfRule type="containsText" dxfId="2" priority="1949" operator="containsText" text="Str">
      <formula>NOT(ISERROR(SEARCH(("Str"),(AI134))))</formula>
    </cfRule>
  </conditionalFormatting>
  <conditionalFormatting sqref="AI134:AJ134">
    <cfRule type="containsText" dxfId="3" priority="1950" operator="containsText" text="Ere">
      <formula>NOT(ISERROR(SEARCH(("Ere"),(AI134))))</formula>
    </cfRule>
  </conditionalFormatting>
  <conditionalFormatting sqref="AI134:AJ134">
    <cfRule type="containsText" dxfId="1" priority="1951" operator="containsText" text="Ear">
      <formula>NOT(ISERROR(SEARCH(("Ear"),(AI134))))</formula>
    </cfRule>
  </conditionalFormatting>
  <conditionalFormatting sqref="AI134:AJ134">
    <cfRule type="containsText" dxfId="0" priority="1952" operator="containsText" text="fnd">
      <formula>NOT(ISERROR(SEARCH(("fnd"),(AI134))))</formula>
    </cfRule>
  </conditionalFormatting>
  <conditionalFormatting sqref="AI142:AJ142">
    <cfRule type="containsText" dxfId="2" priority="1953" operator="containsText" text="Str">
      <formula>NOT(ISERROR(SEARCH(("Str"),(AI142))))</formula>
    </cfRule>
  </conditionalFormatting>
  <conditionalFormatting sqref="AI142:AJ142">
    <cfRule type="containsText" dxfId="3" priority="1954" operator="containsText" text="Ere">
      <formula>NOT(ISERROR(SEARCH(("Ere"),(AI142))))</formula>
    </cfRule>
  </conditionalFormatting>
  <conditionalFormatting sqref="AI142:AJ142">
    <cfRule type="containsText" dxfId="1" priority="1955" operator="containsText" text="Ear">
      <formula>NOT(ISERROR(SEARCH(("Ear"),(AI142))))</formula>
    </cfRule>
  </conditionalFormatting>
  <conditionalFormatting sqref="AI142:AJ142">
    <cfRule type="containsText" dxfId="0" priority="1956" operator="containsText" text="fnd">
      <formula>NOT(ISERROR(SEARCH(("fnd"),(AI142))))</formula>
    </cfRule>
  </conditionalFormatting>
  <conditionalFormatting sqref="AI150:AJ150">
    <cfRule type="containsText" dxfId="2" priority="1957" operator="containsText" text="Str">
      <formula>NOT(ISERROR(SEARCH(("Str"),(AI150))))</formula>
    </cfRule>
  </conditionalFormatting>
  <conditionalFormatting sqref="AI150:AJ150">
    <cfRule type="containsText" dxfId="3" priority="1958" operator="containsText" text="Ere">
      <formula>NOT(ISERROR(SEARCH(("Ere"),(AI150))))</formula>
    </cfRule>
  </conditionalFormatting>
  <conditionalFormatting sqref="AI150:AJ150">
    <cfRule type="containsText" dxfId="1" priority="1959" operator="containsText" text="Ear">
      <formula>NOT(ISERROR(SEARCH(("Ear"),(AI150))))</formula>
    </cfRule>
  </conditionalFormatting>
  <conditionalFormatting sqref="AI150:AJ150">
    <cfRule type="containsText" dxfId="0" priority="1960" operator="containsText" text="fnd">
      <formula>NOT(ISERROR(SEARCH(("fnd"),(AI150))))</formula>
    </cfRule>
  </conditionalFormatting>
  <conditionalFormatting sqref="AI158:AJ158">
    <cfRule type="containsText" dxfId="2" priority="1961" operator="containsText" text="Str">
      <formula>NOT(ISERROR(SEARCH(("Str"),(AI158))))</formula>
    </cfRule>
  </conditionalFormatting>
  <conditionalFormatting sqref="AI158:AJ158">
    <cfRule type="containsText" dxfId="3" priority="1962" operator="containsText" text="Ere">
      <formula>NOT(ISERROR(SEARCH(("Ere"),(AI158))))</formula>
    </cfRule>
  </conditionalFormatting>
  <conditionalFormatting sqref="AI158:AJ158">
    <cfRule type="containsText" dxfId="1" priority="1963" operator="containsText" text="Ear">
      <formula>NOT(ISERROR(SEARCH(("Ear"),(AI158))))</formula>
    </cfRule>
  </conditionalFormatting>
  <conditionalFormatting sqref="AI158:AJ158">
    <cfRule type="containsText" dxfId="0" priority="1964" operator="containsText" text="fnd">
      <formula>NOT(ISERROR(SEARCH(("fnd"),(AI158))))</formula>
    </cfRule>
  </conditionalFormatting>
  <conditionalFormatting sqref="AI166:AJ166">
    <cfRule type="containsText" dxfId="2" priority="1965" operator="containsText" text="Str">
      <formula>NOT(ISERROR(SEARCH(("Str"),(AI166))))</formula>
    </cfRule>
  </conditionalFormatting>
  <conditionalFormatting sqref="AI166:AJ166">
    <cfRule type="containsText" dxfId="3" priority="1966" operator="containsText" text="Ere">
      <formula>NOT(ISERROR(SEARCH(("Ere"),(AI166))))</formula>
    </cfRule>
  </conditionalFormatting>
  <conditionalFormatting sqref="AI166:AJ166">
    <cfRule type="containsText" dxfId="1" priority="1967" operator="containsText" text="Ear">
      <formula>NOT(ISERROR(SEARCH(("Ear"),(AI166))))</formula>
    </cfRule>
  </conditionalFormatting>
  <conditionalFormatting sqref="AI166:AJ166">
    <cfRule type="containsText" dxfId="0" priority="1968" operator="containsText" text="fnd">
      <formula>NOT(ISERROR(SEARCH(("fnd"),(AI166))))</formula>
    </cfRule>
  </conditionalFormatting>
  <conditionalFormatting sqref="AI174:AJ174">
    <cfRule type="containsText" dxfId="2" priority="1969" operator="containsText" text="Str">
      <formula>NOT(ISERROR(SEARCH(("Str"),(AI174))))</formula>
    </cfRule>
  </conditionalFormatting>
  <conditionalFormatting sqref="AI174:AJ174">
    <cfRule type="containsText" dxfId="3" priority="1970" operator="containsText" text="Ere">
      <formula>NOT(ISERROR(SEARCH(("Ere"),(AI174))))</formula>
    </cfRule>
  </conditionalFormatting>
  <conditionalFormatting sqref="AI174:AJ174">
    <cfRule type="containsText" dxfId="1" priority="1971" operator="containsText" text="Ear">
      <formula>NOT(ISERROR(SEARCH(("Ear"),(AI174))))</formula>
    </cfRule>
  </conditionalFormatting>
  <conditionalFormatting sqref="AI174:AJ174">
    <cfRule type="containsText" dxfId="0" priority="1972" operator="containsText" text="fnd">
      <formula>NOT(ISERROR(SEARCH(("fnd"),(AI174))))</formula>
    </cfRule>
  </conditionalFormatting>
  <conditionalFormatting sqref="AI182:AJ182">
    <cfRule type="containsText" dxfId="2" priority="1973" operator="containsText" text="Str">
      <formula>NOT(ISERROR(SEARCH(("Str"),(AI182))))</formula>
    </cfRule>
  </conditionalFormatting>
  <conditionalFormatting sqref="AI182:AJ182">
    <cfRule type="containsText" dxfId="3" priority="1974" operator="containsText" text="Ere">
      <formula>NOT(ISERROR(SEARCH(("Ere"),(AI182))))</formula>
    </cfRule>
  </conditionalFormatting>
  <conditionalFormatting sqref="AI182:AJ182">
    <cfRule type="containsText" dxfId="1" priority="1975" operator="containsText" text="Ear">
      <formula>NOT(ISERROR(SEARCH(("Ear"),(AI182))))</formula>
    </cfRule>
  </conditionalFormatting>
  <conditionalFormatting sqref="AI182:AJ182">
    <cfRule type="containsText" dxfId="0" priority="1976" operator="containsText" text="fnd">
      <formula>NOT(ISERROR(SEARCH(("fnd"),(AI182))))</formula>
    </cfRule>
  </conditionalFormatting>
  <conditionalFormatting sqref="AJ6">
    <cfRule type="containsText" dxfId="2" priority="1977" operator="containsText" text="Str">
      <formula>NOT(ISERROR(SEARCH(("Str"),(AJ6))))</formula>
    </cfRule>
  </conditionalFormatting>
  <conditionalFormatting sqref="AJ6">
    <cfRule type="containsText" dxfId="3" priority="1978" operator="containsText" text="Ere">
      <formula>NOT(ISERROR(SEARCH(("Ere"),(AJ6))))</formula>
    </cfRule>
  </conditionalFormatting>
  <conditionalFormatting sqref="AJ6">
    <cfRule type="containsText" dxfId="1" priority="1979" operator="containsText" text="Ear">
      <formula>NOT(ISERROR(SEARCH(("Ear"),(AJ6))))</formula>
    </cfRule>
  </conditionalFormatting>
  <conditionalFormatting sqref="AJ6">
    <cfRule type="containsText" dxfId="0" priority="1980" operator="containsText" text="fnd">
      <formula>NOT(ISERROR(SEARCH(("fnd"),(AJ6))))</formula>
    </cfRule>
  </conditionalFormatting>
  <conditionalFormatting sqref="AJ14">
    <cfRule type="containsText" dxfId="2" priority="1981" operator="containsText" text="Str">
      <formula>NOT(ISERROR(SEARCH(("Str"),(AJ14))))</formula>
    </cfRule>
  </conditionalFormatting>
  <conditionalFormatting sqref="AJ14">
    <cfRule type="containsText" dxfId="3" priority="1982" operator="containsText" text="Ere">
      <formula>NOT(ISERROR(SEARCH(("Ere"),(AJ14))))</formula>
    </cfRule>
  </conditionalFormatting>
  <conditionalFormatting sqref="AJ14">
    <cfRule type="containsText" dxfId="1" priority="1983" operator="containsText" text="Ear">
      <formula>NOT(ISERROR(SEARCH(("Ear"),(AJ14))))</formula>
    </cfRule>
  </conditionalFormatting>
  <conditionalFormatting sqref="AJ14">
    <cfRule type="containsText" dxfId="0" priority="1984" operator="containsText" text="fnd">
      <formula>NOT(ISERROR(SEARCH(("fnd"),(AJ14))))</formula>
    </cfRule>
  </conditionalFormatting>
  <conditionalFormatting sqref="AJ22">
    <cfRule type="containsText" dxfId="2" priority="1985" operator="containsText" text="Str">
      <formula>NOT(ISERROR(SEARCH(("Str"),(AJ22))))</formula>
    </cfRule>
  </conditionalFormatting>
  <conditionalFormatting sqref="AJ22">
    <cfRule type="containsText" dxfId="3" priority="1986" operator="containsText" text="Ere">
      <formula>NOT(ISERROR(SEARCH(("Ere"),(AJ22))))</formula>
    </cfRule>
  </conditionalFormatting>
  <conditionalFormatting sqref="AJ22">
    <cfRule type="containsText" dxfId="1" priority="1987" operator="containsText" text="Ear">
      <formula>NOT(ISERROR(SEARCH(("Ear"),(AJ22))))</formula>
    </cfRule>
  </conditionalFormatting>
  <conditionalFormatting sqref="AJ22">
    <cfRule type="containsText" dxfId="0" priority="1988" operator="containsText" text="fnd">
      <formula>NOT(ISERROR(SEARCH(("fnd"),(AJ22))))</formula>
    </cfRule>
  </conditionalFormatting>
  <conditionalFormatting sqref="AJ78">
    <cfRule type="containsText" dxfId="2" priority="1989" operator="containsText" text="Str">
      <formula>NOT(ISERROR(SEARCH(("Str"),(AJ78))))</formula>
    </cfRule>
  </conditionalFormatting>
  <conditionalFormatting sqref="AJ78">
    <cfRule type="containsText" dxfId="3" priority="1990" operator="containsText" text="Ere">
      <formula>NOT(ISERROR(SEARCH(("Ere"),(AJ78))))</formula>
    </cfRule>
  </conditionalFormatting>
  <conditionalFormatting sqref="AJ78">
    <cfRule type="containsText" dxfId="1" priority="1991" operator="containsText" text="Ear">
      <formula>NOT(ISERROR(SEARCH(("Ear"),(AJ78))))</formula>
    </cfRule>
  </conditionalFormatting>
  <conditionalFormatting sqref="AJ78">
    <cfRule type="containsText" dxfId="0" priority="1992" operator="containsText" text="fnd">
      <formula>NOT(ISERROR(SEARCH(("fnd"),(AJ78))))</formula>
    </cfRule>
  </conditionalFormatting>
  <conditionalFormatting sqref="AL5:AL6">
    <cfRule type="containsText" dxfId="2" priority="1993" operator="containsText" text="Str">
      <formula>NOT(ISERROR(SEARCH(("Str"),(AL5))))</formula>
    </cfRule>
  </conditionalFormatting>
  <conditionalFormatting sqref="AL5:AL6">
    <cfRule type="containsText" dxfId="3" priority="1994" operator="containsText" text="Ere">
      <formula>NOT(ISERROR(SEARCH(("Ere"),(AL5))))</formula>
    </cfRule>
  </conditionalFormatting>
  <conditionalFormatting sqref="AL5:AL6">
    <cfRule type="containsText" dxfId="1" priority="1995" operator="containsText" text="Ear">
      <formula>NOT(ISERROR(SEARCH(("Ear"),(AL5))))</formula>
    </cfRule>
  </conditionalFormatting>
  <conditionalFormatting sqref="AL5:AL6">
    <cfRule type="containsText" dxfId="0" priority="1996" operator="containsText" text="fnd">
      <formula>NOT(ISERROR(SEARCH(("fnd"),(AL5))))</formula>
    </cfRule>
  </conditionalFormatting>
  <conditionalFormatting sqref="AL13:AL14">
    <cfRule type="containsText" dxfId="2" priority="1997" operator="containsText" text="Str">
      <formula>NOT(ISERROR(SEARCH(("Str"),(AL13))))</formula>
    </cfRule>
  </conditionalFormatting>
  <conditionalFormatting sqref="AL13:AL14">
    <cfRule type="containsText" dxfId="3" priority="1998" operator="containsText" text="Ere">
      <formula>NOT(ISERROR(SEARCH(("Ere"),(AL13))))</formula>
    </cfRule>
  </conditionalFormatting>
  <conditionalFormatting sqref="AL13:AL14">
    <cfRule type="containsText" dxfId="1" priority="1999" operator="containsText" text="Ear">
      <formula>NOT(ISERROR(SEARCH(("Ear"),(AL13))))</formula>
    </cfRule>
  </conditionalFormatting>
  <conditionalFormatting sqref="AL13:AL14">
    <cfRule type="containsText" dxfId="0" priority="2000" operator="containsText" text="fnd">
      <formula>NOT(ISERROR(SEARCH(("fnd"),(AL13))))</formula>
    </cfRule>
  </conditionalFormatting>
  <conditionalFormatting sqref="AL21">
    <cfRule type="containsText" dxfId="2" priority="2001" operator="containsText" text="Str">
      <formula>NOT(ISERROR(SEARCH(("Str"),(AL21))))</formula>
    </cfRule>
  </conditionalFormatting>
  <conditionalFormatting sqref="AL21">
    <cfRule type="containsText" dxfId="3" priority="2002" operator="containsText" text="Ere">
      <formula>NOT(ISERROR(SEARCH(("Ere"),(AL21))))</formula>
    </cfRule>
  </conditionalFormatting>
  <conditionalFormatting sqref="AL21">
    <cfRule type="containsText" dxfId="1" priority="2003" operator="containsText" text="Ear">
      <formula>NOT(ISERROR(SEARCH(("Ear"),(AL21))))</formula>
    </cfRule>
  </conditionalFormatting>
  <conditionalFormatting sqref="AL21">
    <cfRule type="containsText" dxfId="0" priority="2004" operator="containsText" text="fnd">
      <formula>NOT(ISERROR(SEARCH(("fnd"),(AL21))))</formula>
    </cfRule>
  </conditionalFormatting>
  <conditionalFormatting sqref="AL29">
    <cfRule type="containsText" dxfId="2" priority="2005" operator="containsText" text="Str">
      <formula>NOT(ISERROR(SEARCH(("Str"),(AL29))))</formula>
    </cfRule>
  </conditionalFormatting>
  <conditionalFormatting sqref="AL29">
    <cfRule type="containsText" dxfId="3" priority="2006" operator="containsText" text="Ere">
      <formula>NOT(ISERROR(SEARCH(("Ere"),(AL29))))</formula>
    </cfRule>
  </conditionalFormatting>
  <conditionalFormatting sqref="AL29">
    <cfRule type="containsText" dxfId="1" priority="2007" operator="containsText" text="Ear">
      <formula>NOT(ISERROR(SEARCH(("Ear"),(AL29))))</formula>
    </cfRule>
  </conditionalFormatting>
  <conditionalFormatting sqref="AL29">
    <cfRule type="containsText" dxfId="0" priority="2008" operator="containsText" text="fnd">
      <formula>NOT(ISERROR(SEARCH(("fnd"),(AL29))))</formula>
    </cfRule>
  </conditionalFormatting>
  <conditionalFormatting sqref="AL37">
    <cfRule type="containsText" dxfId="2" priority="2009" operator="containsText" text="Str">
      <formula>NOT(ISERROR(SEARCH(("Str"),(AL37))))</formula>
    </cfRule>
  </conditionalFormatting>
  <conditionalFormatting sqref="AL37">
    <cfRule type="containsText" dxfId="3" priority="2010" operator="containsText" text="Ere">
      <formula>NOT(ISERROR(SEARCH(("Ere"),(AL37))))</formula>
    </cfRule>
  </conditionalFormatting>
  <conditionalFormatting sqref="AL37">
    <cfRule type="containsText" dxfId="1" priority="2011" operator="containsText" text="Ear">
      <formula>NOT(ISERROR(SEARCH(("Ear"),(AL37))))</formula>
    </cfRule>
  </conditionalFormatting>
  <conditionalFormatting sqref="AL37">
    <cfRule type="containsText" dxfId="0" priority="2012" operator="containsText" text="fnd">
      <formula>NOT(ISERROR(SEARCH(("fnd"),(AL37))))</formula>
    </cfRule>
  </conditionalFormatting>
  <conditionalFormatting sqref="AL61:AL62">
    <cfRule type="containsText" dxfId="2" priority="2013" operator="containsText" text="Str">
      <formula>NOT(ISERROR(SEARCH(("Str"),(AL61))))</formula>
    </cfRule>
  </conditionalFormatting>
  <conditionalFormatting sqref="AL61:AL62">
    <cfRule type="containsText" dxfId="3" priority="2014" operator="containsText" text="Ere">
      <formula>NOT(ISERROR(SEARCH(("Ere"),(AL61))))</formula>
    </cfRule>
  </conditionalFormatting>
  <conditionalFormatting sqref="AL61:AL62">
    <cfRule type="containsText" dxfId="1" priority="2015" operator="containsText" text="Ear">
      <formula>NOT(ISERROR(SEARCH(("Ear"),(AL61))))</formula>
    </cfRule>
  </conditionalFormatting>
  <conditionalFormatting sqref="AL61:AL62">
    <cfRule type="containsText" dxfId="0" priority="2016" operator="containsText" text="fnd">
      <formula>NOT(ISERROR(SEARCH(("fnd"),(AL61))))</formula>
    </cfRule>
  </conditionalFormatting>
  <conditionalFormatting sqref="AL69">
    <cfRule type="containsText" dxfId="2" priority="2017" operator="containsText" text="Str">
      <formula>NOT(ISERROR(SEARCH(("Str"),(AL69))))</formula>
    </cfRule>
  </conditionalFormatting>
  <conditionalFormatting sqref="AL69">
    <cfRule type="containsText" dxfId="3" priority="2018" operator="containsText" text="Ere">
      <formula>NOT(ISERROR(SEARCH(("Ere"),(AL69))))</formula>
    </cfRule>
  </conditionalFormatting>
  <conditionalFormatting sqref="AL69">
    <cfRule type="containsText" dxfId="1" priority="2019" operator="containsText" text="Ear">
      <formula>NOT(ISERROR(SEARCH(("Ear"),(AL69))))</formula>
    </cfRule>
  </conditionalFormatting>
  <conditionalFormatting sqref="AL69">
    <cfRule type="containsText" dxfId="0" priority="2020" operator="containsText" text="fnd">
      <formula>NOT(ISERROR(SEARCH(("fnd"),(AL69))))</formula>
    </cfRule>
  </conditionalFormatting>
  <conditionalFormatting sqref="AL77">
    <cfRule type="containsText" dxfId="2" priority="2021" operator="containsText" text="Str">
      <formula>NOT(ISERROR(SEARCH(("Str"),(AL77))))</formula>
    </cfRule>
  </conditionalFormatting>
  <conditionalFormatting sqref="AL77">
    <cfRule type="containsText" dxfId="3" priority="2022" operator="containsText" text="Ere">
      <formula>NOT(ISERROR(SEARCH(("Ere"),(AL77))))</formula>
    </cfRule>
  </conditionalFormatting>
  <conditionalFormatting sqref="AL77">
    <cfRule type="containsText" dxfId="1" priority="2023" operator="containsText" text="Ear">
      <formula>NOT(ISERROR(SEARCH(("Ear"),(AL77))))</formula>
    </cfRule>
  </conditionalFormatting>
  <conditionalFormatting sqref="AL77">
    <cfRule type="containsText" dxfId="0" priority="2024" operator="containsText" text="fnd">
      <formula>NOT(ISERROR(SEARCH(("fnd"),(AL77))))</formula>
    </cfRule>
  </conditionalFormatting>
  <conditionalFormatting sqref="AL85">
    <cfRule type="containsText" dxfId="2" priority="2025" operator="containsText" text="Str">
      <formula>NOT(ISERROR(SEARCH(("Str"),(AL85))))</formula>
    </cfRule>
  </conditionalFormatting>
  <conditionalFormatting sqref="AL85">
    <cfRule type="containsText" dxfId="3" priority="2026" operator="containsText" text="Ere">
      <formula>NOT(ISERROR(SEARCH(("Ere"),(AL85))))</formula>
    </cfRule>
  </conditionalFormatting>
  <conditionalFormatting sqref="AL85">
    <cfRule type="containsText" dxfId="1" priority="2027" operator="containsText" text="Ear">
      <formula>NOT(ISERROR(SEARCH(("Ear"),(AL85))))</formula>
    </cfRule>
  </conditionalFormatting>
  <conditionalFormatting sqref="AL85">
    <cfRule type="containsText" dxfId="0" priority="2028" operator="containsText" text="fnd">
      <formula>NOT(ISERROR(SEARCH(("fnd"),(AL85))))</formula>
    </cfRule>
  </conditionalFormatting>
  <conditionalFormatting sqref="AL93:AL94">
    <cfRule type="containsText" dxfId="2" priority="2029" operator="containsText" text="Str">
      <formula>NOT(ISERROR(SEARCH(("Str"),(AL93))))</formula>
    </cfRule>
  </conditionalFormatting>
  <conditionalFormatting sqref="AL93:AL94">
    <cfRule type="containsText" dxfId="3" priority="2030" operator="containsText" text="Ere">
      <formula>NOT(ISERROR(SEARCH(("Ere"),(AL93))))</formula>
    </cfRule>
  </conditionalFormatting>
  <conditionalFormatting sqref="AL93:AL94">
    <cfRule type="containsText" dxfId="1" priority="2031" operator="containsText" text="Ear">
      <formula>NOT(ISERROR(SEARCH(("Ear"),(AL93))))</formula>
    </cfRule>
  </conditionalFormatting>
  <conditionalFormatting sqref="AL93:AL94">
    <cfRule type="containsText" dxfId="0" priority="2032" operator="containsText" text="fnd">
      <formula>NOT(ISERROR(SEARCH(("fnd"),(AL93))))</formula>
    </cfRule>
  </conditionalFormatting>
  <conditionalFormatting sqref="AL101">
    <cfRule type="containsText" dxfId="2" priority="2033" operator="containsText" text="Str">
      <formula>NOT(ISERROR(SEARCH(("Str"),(AL101))))</formula>
    </cfRule>
  </conditionalFormatting>
  <conditionalFormatting sqref="AL101">
    <cfRule type="containsText" dxfId="3" priority="2034" operator="containsText" text="Ere">
      <formula>NOT(ISERROR(SEARCH(("Ere"),(AL101))))</formula>
    </cfRule>
  </conditionalFormatting>
  <conditionalFormatting sqref="AL101">
    <cfRule type="containsText" dxfId="1" priority="2035" operator="containsText" text="Ear">
      <formula>NOT(ISERROR(SEARCH(("Ear"),(AL101))))</formula>
    </cfRule>
  </conditionalFormatting>
  <conditionalFormatting sqref="AL101">
    <cfRule type="containsText" dxfId="0" priority="2036" operator="containsText" text="fnd">
      <formula>NOT(ISERROR(SEARCH(("fnd"),(AL101))))</formula>
    </cfRule>
  </conditionalFormatting>
  <conditionalFormatting sqref="AL109">
    <cfRule type="containsText" dxfId="2" priority="2037" operator="containsText" text="Str">
      <formula>NOT(ISERROR(SEARCH(("Str"),(AL109))))</formula>
    </cfRule>
  </conditionalFormatting>
  <conditionalFormatting sqref="AL109">
    <cfRule type="containsText" dxfId="3" priority="2038" operator="containsText" text="Ere">
      <formula>NOT(ISERROR(SEARCH(("Ere"),(AL109))))</formula>
    </cfRule>
  </conditionalFormatting>
  <conditionalFormatting sqref="AL109">
    <cfRule type="containsText" dxfId="1" priority="2039" operator="containsText" text="Ear">
      <formula>NOT(ISERROR(SEARCH(("Ear"),(AL109))))</formula>
    </cfRule>
  </conditionalFormatting>
  <conditionalFormatting sqref="AL109">
    <cfRule type="containsText" dxfId="0" priority="2040" operator="containsText" text="fnd">
      <formula>NOT(ISERROR(SEARCH(("fnd"),(AL109))))</formula>
    </cfRule>
  </conditionalFormatting>
  <conditionalFormatting sqref="AL117">
    <cfRule type="containsText" dxfId="2" priority="2041" operator="containsText" text="Str">
      <formula>NOT(ISERROR(SEARCH(("Str"),(AL117))))</formula>
    </cfRule>
  </conditionalFormatting>
  <conditionalFormatting sqref="AL117">
    <cfRule type="containsText" dxfId="3" priority="2042" operator="containsText" text="Ere">
      <formula>NOT(ISERROR(SEARCH(("Ere"),(AL117))))</formula>
    </cfRule>
  </conditionalFormatting>
  <conditionalFormatting sqref="AL117">
    <cfRule type="containsText" dxfId="1" priority="2043" operator="containsText" text="Ear">
      <formula>NOT(ISERROR(SEARCH(("Ear"),(AL117))))</formula>
    </cfRule>
  </conditionalFormatting>
  <conditionalFormatting sqref="AL117">
    <cfRule type="containsText" dxfId="0" priority="2044" operator="containsText" text="fnd">
      <formula>NOT(ISERROR(SEARCH(("fnd"),(AL117))))</formula>
    </cfRule>
  </conditionalFormatting>
  <conditionalFormatting sqref="AL122 AL130 AL138 AL154 AL162 AL170 AL178">
    <cfRule type="containsText" dxfId="2" priority="2045" operator="containsText" text="Str">
      <formula>NOT(ISERROR(SEARCH(("Str"),(AL122))))</formula>
    </cfRule>
  </conditionalFormatting>
  <conditionalFormatting sqref="AL122 AL130 AL138 AL154 AL162 AL170 AL178">
    <cfRule type="containsText" dxfId="3" priority="2046" operator="containsText" text="Ere">
      <formula>NOT(ISERROR(SEARCH(("Ere"),(AL122))))</formula>
    </cfRule>
  </conditionalFormatting>
  <conditionalFormatting sqref="AL122 AL130 AL138 AL154 AL162 AL170 AL178">
    <cfRule type="containsText" dxfId="1" priority="2047" operator="containsText" text="Ear">
      <formula>NOT(ISERROR(SEARCH(("Ear"),(AL122))))</formula>
    </cfRule>
  </conditionalFormatting>
  <conditionalFormatting sqref="AL122 AL130 AL138 AL154 AL162 AL170 AL178">
    <cfRule type="containsText" dxfId="0" priority="2048" operator="containsText" text="fnd">
      <formula>NOT(ISERROR(SEARCH(("fnd"),(AL122))))</formula>
    </cfRule>
  </conditionalFormatting>
  <conditionalFormatting sqref="AL125">
    <cfRule type="containsText" dxfId="2" priority="2049" operator="containsText" text="Str">
      <formula>NOT(ISERROR(SEARCH(("Str"),(AL125))))</formula>
    </cfRule>
  </conditionalFormatting>
  <conditionalFormatting sqref="AL125">
    <cfRule type="containsText" dxfId="3" priority="2050" operator="containsText" text="Ere">
      <formula>NOT(ISERROR(SEARCH(("Ere"),(AL125))))</formula>
    </cfRule>
  </conditionalFormatting>
  <conditionalFormatting sqref="AL125">
    <cfRule type="containsText" dxfId="1" priority="2051" operator="containsText" text="Ear">
      <formula>NOT(ISERROR(SEARCH(("Ear"),(AL125))))</formula>
    </cfRule>
  </conditionalFormatting>
  <conditionalFormatting sqref="AL125">
    <cfRule type="containsText" dxfId="0" priority="2052" operator="containsText" text="fnd">
      <formula>NOT(ISERROR(SEARCH(("fnd"),(AL125))))</formula>
    </cfRule>
  </conditionalFormatting>
  <conditionalFormatting sqref="AL133">
    <cfRule type="containsText" dxfId="2" priority="2053" operator="containsText" text="Str">
      <formula>NOT(ISERROR(SEARCH(("Str"),(AL133))))</formula>
    </cfRule>
  </conditionalFormatting>
  <conditionalFormatting sqref="AL133">
    <cfRule type="containsText" dxfId="3" priority="2054" operator="containsText" text="Ere">
      <formula>NOT(ISERROR(SEARCH(("Ere"),(AL133))))</formula>
    </cfRule>
  </conditionalFormatting>
  <conditionalFormatting sqref="AL133">
    <cfRule type="containsText" dxfId="1" priority="2055" operator="containsText" text="Ear">
      <formula>NOT(ISERROR(SEARCH(("Ear"),(AL133))))</formula>
    </cfRule>
  </conditionalFormatting>
  <conditionalFormatting sqref="AL133">
    <cfRule type="containsText" dxfId="0" priority="2056" operator="containsText" text="fnd">
      <formula>NOT(ISERROR(SEARCH(("fnd"),(AL133))))</formula>
    </cfRule>
  </conditionalFormatting>
  <conditionalFormatting sqref="AL141">
    <cfRule type="containsText" dxfId="2" priority="2057" operator="containsText" text="Str">
      <formula>NOT(ISERROR(SEARCH(("Str"),(AL141))))</formula>
    </cfRule>
  </conditionalFormatting>
  <conditionalFormatting sqref="AL141">
    <cfRule type="containsText" dxfId="3" priority="2058" operator="containsText" text="Ere">
      <formula>NOT(ISERROR(SEARCH(("Ere"),(AL141))))</formula>
    </cfRule>
  </conditionalFormatting>
  <conditionalFormatting sqref="AL141">
    <cfRule type="containsText" dxfId="1" priority="2059" operator="containsText" text="Ear">
      <formula>NOT(ISERROR(SEARCH(("Ear"),(AL141))))</formula>
    </cfRule>
  </conditionalFormatting>
  <conditionalFormatting sqref="AL141">
    <cfRule type="containsText" dxfId="0" priority="2060" operator="containsText" text="fnd">
      <formula>NOT(ISERROR(SEARCH(("fnd"),(AL141))))</formula>
    </cfRule>
  </conditionalFormatting>
  <conditionalFormatting sqref="AL149">
    <cfRule type="containsText" dxfId="2" priority="2061" operator="containsText" text="Str">
      <formula>NOT(ISERROR(SEARCH(("Str"),(AL149))))</formula>
    </cfRule>
  </conditionalFormatting>
  <conditionalFormatting sqref="AL149">
    <cfRule type="containsText" dxfId="3" priority="2062" operator="containsText" text="Ere">
      <formula>NOT(ISERROR(SEARCH(("Ere"),(AL149))))</formula>
    </cfRule>
  </conditionalFormatting>
  <conditionalFormatting sqref="AL149">
    <cfRule type="containsText" dxfId="1" priority="2063" operator="containsText" text="Ear">
      <formula>NOT(ISERROR(SEARCH(("Ear"),(AL149))))</formula>
    </cfRule>
  </conditionalFormatting>
  <conditionalFormatting sqref="AL149">
    <cfRule type="containsText" dxfId="0" priority="2064" operator="containsText" text="fnd">
      <formula>NOT(ISERROR(SEARCH(("fnd"),(AL149))))</formula>
    </cfRule>
  </conditionalFormatting>
  <conditionalFormatting sqref="AL157">
    <cfRule type="containsText" dxfId="2" priority="2065" operator="containsText" text="Str">
      <formula>NOT(ISERROR(SEARCH(("Str"),(AL157))))</formula>
    </cfRule>
  </conditionalFormatting>
  <conditionalFormatting sqref="AL157">
    <cfRule type="containsText" dxfId="3" priority="2066" operator="containsText" text="Ere">
      <formula>NOT(ISERROR(SEARCH(("Ere"),(AL157))))</formula>
    </cfRule>
  </conditionalFormatting>
  <conditionalFormatting sqref="AL157">
    <cfRule type="containsText" dxfId="1" priority="2067" operator="containsText" text="Ear">
      <formula>NOT(ISERROR(SEARCH(("Ear"),(AL157))))</formula>
    </cfRule>
  </conditionalFormatting>
  <conditionalFormatting sqref="AL157">
    <cfRule type="containsText" dxfId="0" priority="2068" operator="containsText" text="fnd">
      <formula>NOT(ISERROR(SEARCH(("fnd"),(AL157))))</formula>
    </cfRule>
  </conditionalFormatting>
  <conditionalFormatting sqref="AL165">
    <cfRule type="containsText" dxfId="2" priority="2069" operator="containsText" text="Str">
      <formula>NOT(ISERROR(SEARCH(("Str"),(AL165))))</formula>
    </cfRule>
  </conditionalFormatting>
  <conditionalFormatting sqref="AL165">
    <cfRule type="containsText" dxfId="3" priority="2070" operator="containsText" text="Ere">
      <formula>NOT(ISERROR(SEARCH(("Ere"),(AL165))))</formula>
    </cfRule>
  </conditionalFormatting>
  <conditionalFormatting sqref="AL165">
    <cfRule type="containsText" dxfId="1" priority="2071" operator="containsText" text="Ear">
      <formula>NOT(ISERROR(SEARCH(("Ear"),(AL165))))</formula>
    </cfRule>
  </conditionalFormatting>
  <conditionalFormatting sqref="AL165">
    <cfRule type="containsText" dxfId="0" priority="2072" operator="containsText" text="fnd">
      <formula>NOT(ISERROR(SEARCH(("fnd"),(AL165))))</formula>
    </cfRule>
  </conditionalFormatting>
  <conditionalFormatting sqref="AL173">
    <cfRule type="containsText" dxfId="2" priority="2073" operator="containsText" text="Str">
      <formula>NOT(ISERROR(SEARCH(("Str"),(AL173))))</formula>
    </cfRule>
  </conditionalFormatting>
  <conditionalFormatting sqref="AL173">
    <cfRule type="containsText" dxfId="3" priority="2074" operator="containsText" text="Ere">
      <formula>NOT(ISERROR(SEARCH(("Ere"),(AL173))))</formula>
    </cfRule>
  </conditionalFormatting>
  <conditionalFormatting sqref="AL173">
    <cfRule type="containsText" dxfId="1" priority="2075" operator="containsText" text="Ear">
      <formula>NOT(ISERROR(SEARCH(("Ear"),(AL173))))</formula>
    </cfRule>
  </conditionalFormatting>
  <conditionalFormatting sqref="AL173">
    <cfRule type="containsText" dxfId="0" priority="2076" operator="containsText" text="fnd">
      <formula>NOT(ISERROR(SEARCH(("fnd"),(AL173))))</formula>
    </cfRule>
  </conditionalFormatting>
  <conditionalFormatting sqref="AL181">
    <cfRule type="containsText" dxfId="2" priority="2077" operator="containsText" text="Str">
      <formula>NOT(ISERROR(SEARCH(("Str"),(AL181))))</formula>
    </cfRule>
  </conditionalFormatting>
  <conditionalFormatting sqref="AL181">
    <cfRule type="containsText" dxfId="3" priority="2078" operator="containsText" text="Ere">
      <formula>NOT(ISERROR(SEARCH(("Ere"),(AL181))))</formula>
    </cfRule>
  </conditionalFormatting>
  <conditionalFormatting sqref="AL181">
    <cfRule type="containsText" dxfId="1" priority="2079" operator="containsText" text="Ear">
      <formula>NOT(ISERROR(SEARCH(("Ear"),(AL181))))</formula>
    </cfRule>
  </conditionalFormatting>
  <conditionalFormatting sqref="AL181">
    <cfRule type="containsText" dxfId="0" priority="2080" operator="containsText" text="fnd">
      <formula>NOT(ISERROR(SEARCH(("fnd"),(AL181))))</formula>
    </cfRule>
  </conditionalFormatting>
  <conditionalFormatting sqref="AL30:AM30">
    <cfRule type="containsText" dxfId="2" priority="2081" operator="containsText" text="Str">
      <formula>NOT(ISERROR(SEARCH(("Str"),(AL30))))</formula>
    </cfRule>
  </conditionalFormatting>
  <conditionalFormatting sqref="AL30:AM30">
    <cfRule type="containsText" dxfId="3" priority="2082" operator="containsText" text="Ere">
      <formula>NOT(ISERROR(SEARCH(("Ere"),(AL30))))</formula>
    </cfRule>
  </conditionalFormatting>
  <conditionalFormatting sqref="AL30:AM30">
    <cfRule type="containsText" dxfId="1" priority="2083" operator="containsText" text="Ear">
      <formula>NOT(ISERROR(SEARCH(("Ear"),(AL30))))</formula>
    </cfRule>
  </conditionalFormatting>
  <conditionalFormatting sqref="AL30:AM30">
    <cfRule type="containsText" dxfId="0" priority="2084" operator="containsText" text="fnd">
      <formula>NOT(ISERROR(SEARCH(("fnd"),(AL30))))</formula>
    </cfRule>
  </conditionalFormatting>
  <conditionalFormatting sqref="AL38:AM38">
    <cfRule type="containsText" dxfId="2" priority="2085" operator="containsText" text="Str">
      <formula>NOT(ISERROR(SEARCH(("Str"),(AL38))))</formula>
    </cfRule>
  </conditionalFormatting>
  <conditionalFormatting sqref="AL38:AM38">
    <cfRule type="containsText" dxfId="3" priority="2086" operator="containsText" text="Ere">
      <formula>NOT(ISERROR(SEARCH(("Ere"),(AL38))))</formula>
    </cfRule>
  </conditionalFormatting>
  <conditionalFormatting sqref="AL38:AM38">
    <cfRule type="containsText" dxfId="1" priority="2087" operator="containsText" text="Ear">
      <formula>NOT(ISERROR(SEARCH(("Ear"),(AL38))))</formula>
    </cfRule>
  </conditionalFormatting>
  <conditionalFormatting sqref="AL38:AM38">
    <cfRule type="containsText" dxfId="0" priority="2088" operator="containsText" text="fnd">
      <formula>NOT(ISERROR(SEARCH(("fnd"),(AL38))))</formula>
    </cfRule>
  </conditionalFormatting>
  <conditionalFormatting sqref="AL53:AM54">
    <cfRule type="containsText" dxfId="2" priority="2089" operator="containsText" text="Str">
      <formula>NOT(ISERROR(SEARCH(("Str"),(AL53))))</formula>
    </cfRule>
  </conditionalFormatting>
  <conditionalFormatting sqref="AL53:AM54">
    <cfRule type="containsText" dxfId="3" priority="2090" operator="containsText" text="Ere">
      <formula>NOT(ISERROR(SEARCH(("Ere"),(AL53))))</formula>
    </cfRule>
  </conditionalFormatting>
  <conditionalFormatting sqref="AL53:AM54">
    <cfRule type="containsText" dxfId="1" priority="2091" operator="containsText" text="Ear">
      <formula>NOT(ISERROR(SEARCH(("Ear"),(AL53))))</formula>
    </cfRule>
  </conditionalFormatting>
  <conditionalFormatting sqref="AL53:AM54">
    <cfRule type="containsText" dxfId="0" priority="2092" operator="containsText" text="fnd">
      <formula>NOT(ISERROR(SEARCH(("fnd"),(AL53))))</formula>
    </cfRule>
  </conditionalFormatting>
  <conditionalFormatting sqref="AL70:AM70">
    <cfRule type="containsText" dxfId="2" priority="2093" operator="containsText" text="Str">
      <formula>NOT(ISERROR(SEARCH(("Str"),(AL70))))</formula>
    </cfRule>
  </conditionalFormatting>
  <conditionalFormatting sqref="AL70:AM70">
    <cfRule type="containsText" dxfId="3" priority="2094" operator="containsText" text="Ere">
      <formula>NOT(ISERROR(SEARCH(("Ere"),(AL70))))</formula>
    </cfRule>
  </conditionalFormatting>
  <conditionalFormatting sqref="AL70:AM70">
    <cfRule type="containsText" dxfId="1" priority="2095" operator="containsText" text="Ear">
      <formula>NOT(ISERROR(SEARCH(("Ear"),(AL70))))</formula>
    </cfRule>
  </conditionalFormatting>
  <conditionalFormatting sqref="AL70:AM70">
    <cfRule type="containsText" dxfId="0" priority="2096" operator="containsText" text="fnd">
      <formula>NOT(ISERROR(SEARCH(("fnd"),(AL70))))</formula>
    </cfRule>
  </conditionalFormatting>
  <conditionalFormatting sqref="AL78:AM78">
    <cfRule type="containsText" dxfId="2" priority="2097" operator="containsText" text="Str">
      <formula>NOT(ISERROR(SEARCH(("Str"),(AL78))))</formula>
    </cfRule>
  </conditionalFormatting>
  <conditionalFormatting sqref="AL78:AM78">
    <cfRule type="containsText" dxfId="3" priority="2098" operator="containsText" text="Ere">
      <formula>NOT(ISERROR(SEARCH(("Ere"),(AL78))))</formula>
    </cfRule>
  </conditionalFormatting>
  <conditionalFormatting sqref="AL78:AM78">
    <cfRule type="containsText" dxfId="1" priority="2099" operator="containsText" text="Ear">
      <formula>NOT(ISERROR(SEARCH(("Ear"),(AL78))))</formula>
    </cfRule>
  </conditionalFormatting>
  <conditionalFormatting sqref="AL78:AM78">
    <cfRule type="containsText" dxfId="0" priority="2100" operator="containsText" text="fnd">
      <formula>NOT(ISERROR(SEARCH(("fnd"),(AL78))))</formula>
    </cfRule>
  </conditionalFormatting>
  <conditionalFormatting sqref="AL102:AM102">
    <cfRule type="containsText" dxfId="2" priority="2101" operator="containsText" text="Str">
      <formula>NOT(ISERROR(SEARCH(("Str"),(AL102))))</formula>
    </cfRule>
  </conditionalFormatting>
  <conditionalFormatting sqref="AL102:AM102">
    <cfRule type="containsText" dxfId="3" priority="2102" operator="containsText" text="Ere">
      <formula>NOT(ISERROR(SEARCH(("Ere"),(AL102))))</formula>
    </cfRule>
  </conditionalFormatting>
  <conditionalFormatting sqref="AL102:AM102">
    <cfRule type="containsText" dxfId="1" priority="2103" operator="containsText" text="Ear">
      <formula>NOT(ISERROR(SEARCH(("Ear"),(AL102))))</formula>
    </cfRule>
  </conditionalFormatting>
  <conditionalFormatting sqref="AL102:AM102">
    <cfRule type="containsText" dxfId="0" priority="2104" operator="containsText" text="fnd">
      <formula>NOT(ISERROR(SEARCH(("fnd"),(AL102))))</formula>
    </cfRule>
  </conditionalFormatting>
  <conditionalFormatting sqref="AL118:AM118">
    <cfRule type="containsText" dxfId="2" priority="2105" operator="containsText" text="Str">
      <formula>NOT(ISERROR(SEARCH(("Str"),(AL118))))</formula>
    </cfRule>
  </conditionalFormatting>
  <conditionalFormatting sqref="AL118:AM118">
    <cfRule type="containsText" dxfId="3" priority="2106" operator="containsText" text="Ere">
      <formula>NOT(ISERROR(SEARCH(("Ere"),(AL118))))</formula>
    </cfRule>
  </conditionalFormatting>
  <conditionalFormatting sqref="AL118:AM118">
    <cfRule type="containsText" dxfId="1" priority="2107" operator="containsText" text="Ear">
      <formula>NOT(ISERROR(SEARCH(("Ear"),(AL118))))</formula>
    </cfRule>
  </conditionalFormatting>
  <conditionalFormatting sqref="AL118:AM118">
    <cfRule type="containsText" dxfId="0" priority="2108" operator="containsText" text="fnd">
      <formula>NOT(ISERROR(SEARCH(("fnd"),(AL118))))</formula>
    </cfRule>
  </conditionalFormatting>
  <conditionalFormatting sqref="AL142:AM142">
    <cfRule type="containsText" dxfId="2" priority="2109" operator="containsText" text="Str">
      <formula>NOT(ISERROR(SEARCH(("Str"),(AL142))))</formula>
    </cfRule>
  </conditionalFormatting>
  <conditionalFormatting sqref="AL142:AM142">
    <cfRule type="containsText" dxfId="3" priority="2110" operator="containsText" text="Ere">
      <formula>NOT(ISERROR(SEARCH(("Ere"),(AL142))))</formula>
    </cfRule>
  </conditionalFormatting>
  <conditionalFormatting sqref="AL142:AM142">
    <cfRule type="containsText" dxfId="1" priority="2111" operator="containsText" text="Ear">
      <formula>NOT(ISERROR(SEARCH(("Ear"),(AL142))))</formula>
    </cfRule>
  </conditionalFormatting>
  <conditionalFormatting sqref="AL142:AM142">
    <cfRule type="containsText" dxfId="0" priority="2112" operator="containsText" text="fnd">
      <formula>NOT(ISERROR(SEARCH(("fnd"),(AL142))))</formula>
    </cfRule>
  </conditionalFormatting>
  <conditionalFormatting sqref="AL158:AM158">
    <cfRule type="containsText" dxfId="2" priority="2113" operator="containsText" text="Str">
      <formula>NOT(ISERROR(SEARCH(("Str"),(AL158))))</formula>
    </cfRule>
  </conditionalFormatting>
  <conditionalFormatting sqref="AL158:AM158">
    <cfRule type="containsText" dxfId="3" priority="2114" operator="containsText" text="Ere">
      <formula>NOT(ISERROR(SEARCH(("Ere"),(AL158))))</formula>
    </cfRule>
  </conditionalFormatting>
  <conditionalFormatting sqref="AL158:AM158">
    <cfRule type="containsText" dxfId="1" priority="2115" operator="containsText" text="Ear">
      <formula>NOT(ISERROR(SEARCH(("Ear"),(AL158))))</formula>
    </cfRule>
  </conditionalFormatting>
  <conditionalFormatting sqref="AL158:AM158">
    <cfRule type="containsText" dxfId="0" priority="2116" operator="containsText" text="fnd">
      <formula>NOT(ISERROR(SEARCH(("fnd"),(AL158))))</formula>
    </cfRule>
  </conditionalFormatting>
  <conditionalFormatting sqref="AL166:AM166">
    <cfRule type="containsText" dxfId="2" priority="2117" operator="containsText" text="Str">
      <formula>NOT(ISERROR(SEARCH(("Str"),(AL166))))</formula>
    </cfRule>
  </conditionalFormatting>
  <conditionalFormatting sqref="AL166:AM166">
    <cfRule type="containsText" dxfId="3" priority="2118" operator="containsText" text="Ere">
      <formula>NOT(ISERROR(SEARCH(("Ere"),(AL166))))</formula>
    </cfRule>
  </conditionalFormatting>
  <conditionalFormatting sqref="AL166:AM166">
    <cfRule type="containsText" dxfId="1" priority="2119" operator="containsText" text="Ear">
      <formula>NOT(ISERROR(SEARCH(("Ear"),(AL166))))</formula>
    </cfRule>
  </conditionalFormatting>
  <conditionalFormatting sqref="AL166:AM166">
    <cfRule type="containsText" dxfId="0" priority="2120" operator="containsText" text="fnd">
      <formula>NOT(ISERROR(SEARCH(("fnd"),(AL166))))</formula>
    </cfRule>
  </conditionalFormatting>
  <conditionalFormatting sqref="AL174:AM174">
    <cfRule type="containsText" dxfId="2" priority="2121" operator="containsText" text="Str">
      <formula>NOT(ISERROR(SEARCH(("Str"),(AL174))))</formula>
    </cfRule>
  </conditionalFormatting>
  <conditionalFormatting sqref="AL174:AM174">
    <cfRule type="containsText" dxfId="3" priority="2122" operator="containsText" text="Ere">
      <formula>NOT(ISERROR(SEARCH(("Ere"),(AL174))))</formula>
    </cfRule>
  </conditionalFormatting>
  <conditionalFormatting sqref="AL174:AM174">
    <cfRule type="containsText" dxfId="1" priority="2123" operator="containsText" text="Ear">
      <formula>NOT(ISERROR(SEARCH(("Ear"),(AL174))))</formula>
    </cfRule>
  </conditionalFormatting>
  <conditionalFormatting sqref="AL174:AM174">
    <cfRule type="containsText" dxfId="0" priority="2124" operator="containsText" text="fnd">
      <formula>NOT(ISERROR(SEARCH(("fnd"),(AL174))))</formula>
    </cfRule>
  </conditionalFormatting>
  <conditionalFormatting sqref="AL182:AM182">
    <cfRule type="containsText" dxfId="2" priority="2125" operator="containsText" text="Str">
      <formula>NOT(ISERROR(SEARCH(("Str"),(AL182))))</formula>
    </cfRule>
  </conditionalFormatting>
  <conditionalFormatting sqref="AL182:AM182">
    <cfRule type="containsText" dxfId="3" priority="2126" operator="containsText" text="Ere">
      <formula>NOT(ISERROR(SEARCH(("Ere"),(AL182))))</formula>
    </cfRule>
  </conditionalFormatting>
  <conditionalFormatting sqref="AL182:AM182">
    <cfRule type="containsText" dxfId="1" priority="2127" operator="containsText" text="Ear">
      <formula>NOT(ISERROR(SEARCH(("Ear"),(AL182))))</formula>
    </cfRule>
  </conditionalFormatting>
  <conditionalFormatting sqref="AL182:AM182">
    <cfRule type="containsText" dxfId="0" priority="2128" operator="containsText" text="fnd">
      <formula>NOT(ISERROR(SEARCH(("fnd"),(AL182))))</formula>
    </cfRule>
  </conditionalFormatting>
  <conditionalFormatting sqref="AM6">
    <cfRule type="containsText" dxfId="2" priority="2129" operator="containsText" text="Str">
      <formula>NOT(ISERROR(SEARCH(("Str"),(AM6))))</formula>
    </cfRule>
  </conditionalFormatting>
  <conditionalFormatting sqref="AM6">
    <cfRule type="containsText" dxfId="3" priority="2130" operator="containsText" text="Ere">
      <formula>NOT(ISERROR(SEARCH(("Ere"),(AM6))))</formula>
    </cfRule>
  </conditionalFormatting>
  <conditionalFormatting sqref="AM6">
    <cfRule type="containsText" dxfId="1" priority="2131" operator="containsText" text="Ear">
      <formula>NOT(ISERROR(SEARCH(("Ear"),(AM6))))</formula>
    </cfRule>
  </conditionalFormatting>
  <conditionalFormatting sqref="AM6">
    <cfRule type="containsText" dxfId="0" priority="2132" operator="containsText" text="fnd">
      <formula>NOT(ISERROR(SEARCH(("fnd"),(AM6))))</formula>
    </cfRule>
  </conditionalFormatting>
  <conditionalFormatting sqref="AM14">
    <cfRule type="containsText" dxfId="2" priority="2133" operator="containsText" text="Str">
      <formula>NOT(ISERROR(SEARCH(("Str"),(AM14))))</formula>
    </cfRule>
  </conditionalFormatting>
  <conditionalFormatting sqref="AM14">
    <cfRule type="containsText" dxfId="3" priority="2134" operator="containsText" text="Ere">
      <formula>NOT(ISERROR(SEARCH(("Ere"),(AM14))))</formula>
    </cfRule>
  </conditionalFormatting>
  <conditionalFormatting sqref="AM14">
    <cfRule type="containsText" dxfId="1" priority="2135" operator="containsText" text="Ear">
      <formula>NOT(ISERROR(SEARCH(("Ear"),(AM14))))</formula>
    </cfRule>
  </conditionalFormatting>
  <conditionalFormatting sqref="AM14">
    <cfRule type="containsText" dxfId="0" priority="2136" operator="containsText" text="fnd">
      <formula>NOT(ISERROR(SEARCH(("fnd"),(AM14))))</formula>
    </cfRule>
  </conditionalFormatting>
  <conditionalFormatting sqref="AO5:AO6">
    <cfRule type="containsText" dxfId="2" priority="2137" operator="containsText" text="Str">
      <formula>NOT(ISERROR(SEARCH(("Str"),(AO5))))</formula>
    </cfRule>
  </conditionalFormatting>
  <conditionalFormatting sqref="AO5:AO6">
    <cfRule type="containsText" dxfId="3" priority="2138" operator="containsText" text="Ere">
      <formula>NOT(ISERROR(SEARCH(("Ere"),(AO5))))</formula>
    </cfRule>
  </conditionalFormatting>
  <conditionalFormatting sqref="AO5:AO6">
    <cfRule type="containsText" dxfId="1" priority="2139" operator="containsText" text="Ear">
      <formula>NOT(ISERROR(SEARCH(("Ear"),(AO5))))</formula>
    </cfRule>
  </conditionalFormatting>
  <conditionalFormatting sqref="AO5:AO6">
    <cfRule type="containsText" dxfId="0" priority="2140" operator="containsText" text="fnd">
      <formula>NOT(ISERROR(SEARCH(("fnd"),(AO5))))</formula>
    </cfRule>
  </conditionalFormatting>
  <conditionalFormatting sqref="AO13:AO14">
    <cfRule type="containsText" dxfId="2" priority="2141" operator="containsText" text="Str">
      <formula>NOT(ISERROR(SEARCH(("Str"),(AO13))))</formula>
    </cfRule>
  </conditionalFormatting>
  <conditionalFormatting sqref="AO13:AO14">
    <cfRule type="containsText" dxfId="3" priority="2142" operator="containsText" text="Ere">
      <formula>NOT(ISERROR(SEARCH(("Ere"),(AO13))))</formula>
    </cfRule>
  </conditionalFormatting>
  <conditionalFormatting sqref="AO13:AO14">
    <cfRule type="containsText" dxfId="1" priority="2143" operator="containsText" text="Ear">
      <formula>NOT(ISERROR(SEARCH(("Ear"),(AO13))))</formula>
    </cfRule>
  </conditionalFormatting>
  <conditionalFormatting sqref="AO13:AO14">
    <cfRule type="containsText" dxfId="0" priority="2144" operator="containsText" text="fnd">
      <formula>NOT(ISERROR(SEARCH(("fnd"),(AO13))))</formula>
    </cfRule>
  </conditionalFormatting>
  <conditionalFormatting sqref="AO21:AO22">
    <cfRule type="containsText" dxfId="2" priority="2145" operator="containsText" text="Str">
      <formula>NOT(ISERROR(SEARCH(("Str"),(AO21))))</formula>
    </cfRule>
  </conditionalFormatting>
  <conditionalFormatting sqref="AO21:AO22">
    <cfRule type="containsText" dxfId="3" priority="2146" operator="containsText" text="Ere">
      <formula>NOT(ISERROR(SEARCH(("Ere"),(AO21))))</formula>
    </cfRule>
  </conditionalFormatting>
  <conditionalFormatting sqref="AO21:AO22">
    <cfRule type="containsText" dxfId="1" priority="2147" operator="containsText" text="Ear">
      <formula>NOT(ISERROR(SEARCH(("Ear"),(AO21))))</formula>
    </cfRule>
  </conditionalFormatting>
  <conditionalFormatting sqref="AO21:AO22">
    <cfRule type="containsText" dxfId="0" priority="2148" operator="containsText" text="fnd">
      <formula>NOT(ISERROR(SEARCH(("fnd"),(AO21))))</formula>
    </cfRule>
  </conditionalFormatting>
  <conditionalFormatting sqref="AO29">
    <cfRule type="containsText" dxfId="2" priority="2149" operator="containsText" text="Str">
      <formula>NOT(ISERROR(SEARCH(("Str"),(AO29))))</formula>
    </cfRule>
  </conditionalFormatting>
  <conditionalFormatting sqref="AO29">
    <cfRule type="containsText" dxfId="3" priority="2150" operator="containsText" text="Ere">
      <formula>NOT(ISERROR(SEARCH(("Ere"),(AO29))))</formula>
    </cfRule>
  </conditionalFormatting>
  <conditionalFormatting sqref="AO29">
    <cfRule type="containsText" dxfId="1" priority="2151" operator="containsText" text="Ear">
      <formula>NOT(ISERROR(SEARCH(("Ear"),(AO29))))</formula>
    </cfRule>
  </conditionalFormatting>
  <conditionalFormatting sqref="AO29">
    <cfRule type="containsText" dxfId="0" priority="2152" operator="containsText" text="fnd">
      <formula>NOT(ISERROR(SEARCH(("fnd"),(AO29))))</formula>
    </cfRule>
  </conditionalFormatting>
  <conditionalFormatting sqref="AO37">
    <cfRule type="containsText" dxfId="2" priority="2153" operator="containsText" text="Str">
      <formula>NOT(ISERROR(SEARCH(("Str"),(AO37))))</formula>
    </cfRule>
  </conditionalFormatting>
  <conditionalFormatting sqref="AO37">
    <cfRule type="containsText" dxfId="3" priority="2154" operator="containsText" text="Ere">
      <formula>NOT(ISERROR(SEARCH(("Ere"),(AO37))))</formula>
    </cfRule>
  </conditionalFormatting>
  <conditionalFormatting sqref="AO37">
    <cfRule type="containsText" dxfId="1" priority="2155" operator="containsText" text="Ear">
      <formula>NOT(ISERROR(SEARCH(("Ear"),(AO37))))</formula>
    </cfRule>
  </conditionalFormatting>
  <conditionalFormatting sqref="AO37">
    <cfRule type="containsText" dxfId="0" priority="2156" operator="containsText" text="fnd">
      <formula>NOT(ISERROR(SEARCH(("fnd"),(AO37))))</formula>
    </cfRule>
  </conditionalFormatting>
  <conditionalFormatting sqref="AO61:AO62">
    <cfRule type="containsText" dxfId="2" priority="2157" operator="containsText" text="Str">
      <formula>NOT(ISERROR(SEARCH(("Str"),(AO61))))</formula>
    </cfRule>
  </conditionalFormatting>
  <conditionalFormatting sqref="AO61:AO62">
    <cfRule type="containsText" dxfId="3" priority="2158" operator="containsText" text="Ere">
      <formula>NOT(ISERROR(SEARCH(("Ere"),(AO61))))</formula>
    </cfRule>
  </conditionalFormatting>
  <conditionalFormatting sqref="AO61:AO62">
    <cfRule type="containsText" dxfId="1" priority="2159" operator="containsText" text="Ear">
      <formula>NOT(ISERROR(SEARCH(("Ear"),(AO61))))</formula>
    </cfRule>
  </conditionalFormatting>
  <conditionalFormatting sqref="AO61:AO62">
    <cfRule type="containsText" dxfId="0" priority="2160" operator="containsText" text="fnd">
      <formula>NOT(ISERROR(SEARCH(("fnd"),(AO61))))</formula>
    </cfRule>
  </conditionalFormatting>
  <conditionalFormatting sqref="AO69">
    <cfRule type="containsText" dxfId="2" priority="2161" operator="containsText" text="Str">
      <formula>NOT(ISERROR(SEARCH(("Str"),(AO69))))</formula>
    </cfRule>
  </conditionalFormatting>
  <conditionalFormatting sqref="AO69">
    <cfRule type="containsText" dxfId="3" priority="2162" operator="containsText" text="Ere">
      <formula>NOT(ISERROR(SEARCH(("Ere"),(AO69))))</formula>
    </cfRule>
  </conditionalFormatting>
  <conditionalFormatting sqref="AO69">
    <cfRule type="containsText" dxfId="1" priority="2163" operator="containsText" text="Ear">
      <formula>NOT(ISERROR(SEARCH(("Ear"),(AO69))))</formula>
    </cfRule>
  </conditionalFormatting>
  <conditionalFormatting sqref="AO69">
    <cfRule type="containsText" dxfId="0" priority="2164" operator="containsText" text="fnd">
      <formula>NOT(ISERROR(SEARCH(("fnd"),(AO69))))</formula>
    </cfRule>
  </conditionalFormatting>
  <conditionalFormatting sqref="AO77">
    <cfRule type="containsText" dxfId="2" priority="2165" operator="containsText" text="Str">
      <formula>NOT(ISERROR(SEARCH(("Str"),(AO77))))</formula>
    </cfRule>
  </conditionalFormatting>
  <conditionalFormatting sqref="AO77">
    <cfRule type="containsText" dxfId="3" priority="2166" operator="containsText" text="Ere">
      <formula>NOT(ISERROR(SEARCH(("Ere"),(AO77))))</formula>
    </cfRule>
  </conditionalFormatting>
  <conditionalFormatting sqref="AO77">
    <cfRule type="containsText" dxfId="1" priority="2167" operator="containsText" text="Ear">
      <formula>NOT(ISERROR(SEARCH(("Ear"),(AO77))))</formula>
    </cfRule>
  </conditionalFormatting>
  <conditionalFormatting sqref="AO77">
    <cfRule type="containsText" dxfId="0" priority="2168" operator="containsText" text="fnd">
      <formula>NOT(ISERROR(SEARCH(("fnd"),(AO77))))</formula>
    </cfRule>
  </conditionalFormatting>
  <conditionalFormatting sqref="AO85">
    <cfRule type="containsText" dxfId="2" priority="2169" operator="containsText" text="Str">
      <formula>NOT(ISERROR(SEARCH(("Str"),(AO85))))</formula>
    </cfRule>
  </conditionalFormatting>
  <conditionalFormatting sqref="AO85">
    <cfRule type="containsText" dxfId="3" priority="2170" operator="containsText" text="Ere">
      <formula>NOT(ISERROR(SEARCH(("Ere"),(AO85))))</formula>
    </cfRule>
  </conditionalFormatting>
  <conditionalFormatting sqref="AO85">
    <cfRule type="containsText" dxfId="1" priority="2171" operator="containsText" text="Ear">
      <formula>NOT(ISERROR(SEARCH(("Ear"),(AO85))))</formula>
    </cfRule>
  </conditionalFormatting>
  <conditionalFormatting sqref="AO85">
    <cfRule type="containsText" dxfId="0" priority="2172" operator="containsText" text="fnd">
      <formula>NOT(ISERROR(SEARCH(("fnd"),(AO85))))</formula>
    </cfRule>
  </conditionalFormatting>
  <conditionalFormatting sqref="AO93:AO94">
    <cfRule type="containsText" dxfId="2" priority="2173" operator="containsText" text="Str">
      <formula>NOT(ISERROR(SEARCH(("Str"),(AO93))))</formula>
    </cfRule>
  </conditionalFormatting>
  <conditionalFormatting sqref="AO93:AO94">
    <cfRule type="containsText" dxfId="3" priority="2174" operator="containsText" text="Ere">
      <formula>NOT(ISERROR(SEARCH(("Ere"),(AO93))))</formula>
    </cfRule>
  </conditionalFormatting>
  <conditionalFormatting sqref="AO93:AO94">
    <cfRule type="containsText" dxfId="1" priority="2175" operator="containsText" text="Ear">
      <formula>NOT(ISERROR(SEARCH(("Ear"),(AO93))))</formula>
    </cfRule>
  </conditionalFormatting>
  <conditionalFormatting sqref="AO93:AO94">
    <cfRule type="containsText" dxfId="0" priority="2176" operator="containsText" text="fnd">
      <formula>NOT(ISERROR(SEARCH(("fnd"),(AO93))))</formula>
    </cfRule>
  </conditionalFormatting>
  <conditionalFormatting sqref="AO101:AO102">
    <cfRule type="containsText" dxfId="2" priority="2177" operator="containsText" text="Str">
      <formula>NOT(ISERROR(SEARCH(("Str"),(AO101))))</formula>
    </cfRule>
  </conditionalFormatting>
  <conditionalFormatting sqref="AO101:AO102">
    <cfRule type="containsText" dxfId="3" priority="2178" operator="containsText" text="Ere">
      <formula>NOT(ISERROR(SEARCH(("Ere"),(AO101))))</formula>
    </cfRule>
  </conditionalFormatting>
  <conditionalFormatting sqref="AO101:AO102">
    <cfRule type="containsText" dxfId="1" priority="2179" operator="containsText" text="Ear">
      <formula>NOT(ISERROR(SEARCH(("Ear"),(AO101))))</formula>
    </cfRule>
  </conditionalFormatting>
  <conditionalFormatting sqref="AO101:AO102">
    <cfRule type="containsText" dxfId="0" priority="2180" operator="containsText" text="fnd">
      <formula>NOT(ISERROR(SEARCH(("fnd"),(AO101))))</formula>
    </cfRule>
  </conditionalFormatting>
  <conditionalFormatting sqref="AO109">
    <cfRule type="containsText" dxfId="2" priority="2181" operator="containsText" text="Str">
      <formula>NOT(ISERROR(SEARCH(("Str"),(AO109))))</formula>
    </cfRule>
  </conditionalFormatting>
  <conditionalFormatting sqref="AO109">
    <cfRule type="containsText" dxfId="3" priority="2182" operator="containsText" text="Ere">
      <formula>NOT(ISERROR(SEARCH(("Ere"),(AO109))))</formula>
    </cfRule>
  </conditionalFormatting>
  <conditionalFormatting sqref="AO109">
    <cfRule type="containsText" dxfId="1" priority="2183" operator="containsText" text="Ear">
      <formula>NOT(ISERROR(SEARCH(("Ear"),(AO109))))</formula>
    </cfRule>
  </conditionalFormatting>
  <conditionalFormatting sqref="AO109">
    <cfRule type="containsText" dxfId="0" priority="2184" operator="containsText" text="fnd">
      <formula>NOT(ISERROR(SEARCH(("fnd"),(AO109))))</formula>
    </cfRule>
  </conditionalFormatting>
  <conditionalFormatting sqref="AO117">
    <cfRule type="containsText" dxfId="2" priority="2185" operator="containsText" text="Str">
      <formula>NOT(ISERROR(SEARCH(("Str"),(AO117))))</formula>
    </cfRule>
  </conditionalFormatting>
  <conditionalFormatting sqref="AO117">
    <cfRule type="containsText" dxfId="3" priority="2186" operator="containsText" text="Ere">
      <formula>NOT(ISERROR(SEARCH(("Ere"),(AO117))))</formula>
    </cfRule>
  </conditionalFormatting>
  <conditionalFormatting sqref="AO117">
    <cfRule type="containsText" dxfId="1" priority="2187" operator="containsText" text="Ear">
      <formula>NOT(ISERROR(SEARCH(("Ear"),(AO117))))</formula>
    </cfRule>
  </conditionalFormatting>
  <conditionalFormatting sqref="AO117">
    <cfRule type="containsText" dxfId="0" priority="2188" operator="containsText" text="fnd">
      <formula>NOT(ISERROR(SEARCH(("fnd"),(AO117))))</formula>
    </cfRule>
  </conditionalFormatting>
  <conditionalFormatting sqref="AO122 AO130 AO138 AO154 AO162 AO170 AO178">
    <cfRule type="containsText" dxfId="2" priority="2189" operator="containsText" text="Str">
      <formula>NOT(ISERROR(SEARCH(("Str"),(AO122))))</formula>
    </cfRule>
  </conditionalFormatting>
  <conditionalFormatting sqref="AO122 AO130 AO138 AO154 AO162 AO170 AO178">
    <cfRule type="containsText" dxfId="3" priority="2190" operator="containsText" text="Ere">
      <formula>NOT(ISERROR(SEARCH(("Ere"),(AO122))))</formula>
    </cfRule>
  </conditionalFormatting>
  <conditionalFormatting sqref="AO122 AO130 AO138 AO154 AO162 AO170 AO178">
    <cfRule type="containsText" dxfId="1" priority="2191" operator="containsText" text="Ear">
      <formula>NOT(ISERROR(SEARCH(("Ear"),(AO122))))</formula>
    </cfRule>
  </conditionalFormatting>
  <conditionalFormatting sqref="AO122 AO130 AO138 AO154 AO162 AO170 AO178">
    <cfRule type="containsText" dxfId="0" priority="2192" operator="containsText" text="fnd">
      <formula>NOT(ISERROR(SEARCH(("fnd"),(AO122))))</formula>
    </cfRule>
  </conditionalFormatting>
  <conditionalFormatting sqref="AO125">
    <cfRule type="containsText" dxfId="2" priority="2193" operator="containsText" text="Str">
      <formula>NOT(ISERROR(SEARCH(("Str"),(AO125))))</formula>
    </cfRule>
  </conditionalFormatting>
  <conditionalFormatting sqref="AO125">
    <cfRule type="containsText" dxfId="3" priority="2194" operator="containsText" text="Ere">
      <formula>NOT(ISERROR(SEARCH(("Ere"),(AO125))))</formula>
    </cfRule>
  </conditionalFormatting>
  <conditionalFormatting sqref="AO125">
    <cfRule type="containsText" dxfId="1" priority="2195" operator="containsText" text="Ear">
      <formula>NOT(ISERROR(SEARCH(("Ear"),(AO125))))</formula>
    </cfRule>
  </conditionalFormatting>
  <conditionalFormatting sqref="AO125">
    <cfRule type="containsText" dxfId="0" priority="2196" operator="containsText" text="fnd">
      <formula>NOT(ISERROR(SEARCH(("fnd"),(AO125))))</formula>
    </cfRule>
  </conditionalFormatting>
  <conditionalFormatting sqref="AO133">
    <cfRule type="containsText" dxfId="2" priority="2197" operator="containsText" text="Str">
      <formula>NOT(ISERROR(SEARCH(("Str"),(AO133))))</formula>
    </cfRule>
  </conditionalFormatting>
  <conditionalFormatting sqref="AO133">
    <cfRule type="containsText" dxfId="3" priority="2198" operator="containsText" text="Ere">
      <formula>NOT(ISERROR(SEARCH(("Ere"),(AO133))))</formula>
    </cfRule>
  </conditionalFormatting>
  <conditionalFormatting sqref="AO133">
    <cfRule type="containsText" dxfId="1" priority="2199" operator="containsText" text="Ear">
      <formula>NOT(ISERROR(SEARCH(("Ear"),(AO133))))</formula>
    </cfRule>
  </conditionalFormatting>
  <conditionalFormatting sqref="AO133">
    <cfRule type="containsText" dxfId="0" priority="2200" operator="containsText" text="fnd">
      <formula>NOT(ISERROR(SEARCH(("fnd"),(AO133))))</formula>
    </cfRule>
  </conditionalFormatting>
  <conditionalFormatting sqref="AO141">
    <cfRule type="containsText" dxfId="2" priority="2201" operator="containsText" text="Str">
      <formula>NOT(ISERROR(SEARCH(("Str"),(AO141))))</formula>
    </cfRule>
  </conditionalFormatting>
  <conditionalFormatting sqref="AO141">
    <cfRule type="containsText" dxfId="3" priority="2202" operator="containsText" text="Ere">
      <formula>NOT(ISERROR(SEARCH(("Ere"),(AO141))))</formula>
    </cfRule>
  </conditionalFormatting>
  <conditionalFormatting sqref="AO141">
    <cfRule type="containsText" dxfId="1" priority="2203" operator="containsText" text="Ear">
      <formula>NOT(ISERROR(SEARCH(("Ear"),(AO141))))</formula>
    </cfRule>
  </conditionalFormatting>
  <conditionalFormatting sqref="AO141">
    <cfRule type="containsText" dxfId="0" priority="2204" operator="containsText" text="fnd">
      <formula>NOT(ISERROR(SEARCH(("fnd"),(AO141))))</formula>
    </cfRule>
  </conditionalFormatting>
  <conditionalFormatting sqref="AO149">
    <cfRule type="containsText" dxfId="2" priority="2205" operator="containsText" text="Str">
      <formula>NOT(ISERROR(SEARCH(("Str"),(AO149))))</formula>
    </cfRule>
  </conditionalFormatting>
  <conditionalFormatting sqref="AO149">
    <cfRule type="containsText" dxfId="3" priority="2206" operator="containsText" text="Ere">
      <formula>NOT(ISERROR(SEARCH(("Ere"),(AO149))))</formula>
    </cfRule>
  </conditionalFormatting>
  <conditionalFormatting sqref="AO149">
    <cfRule type="containsText" dxfId="1" priority="2207" operator="containsText" text="Ear">
      <formula>NOT(ISERROR(SEARCH(("Ear"),(AO149))))</formula>
    </cfRule>
  </conditionalFormatting>
  <conditionalFormatting sqref="AO149">
    <cfRule type="containsText" dxfId="0" priority="2208" operator="containsText" text="fnd">
      <formula>NOT(ISERROR(SEARCH(("fnd"),(AO149))))</formula>
    </cfRule>
  </conditionalFormatting>
  <conditionalFormatting sqref="AO157">
    <cfRule type="containsText" dxfId="2" priority="2209" operator="containsText" text="Str">
      <formula>NOT(ISERROR(SEARCH(("Str"),(AO157))))</formula>
    </cfRule>
  </conditionalFormatting>
  <conditionalFormatting sqref="AO157">
    <cfRule type="containsText" dxfId="3" priority="2210" operator="containsText" text="Ere">
      <formula>NOT(ISERROR(SEARCH(("Ere"),(AO157))))</formula>
    </cfRule>
  </conditionalFormatting>
  <conditionalFormatting sqref="AO157">
    <cfRule type="containsText" dxfId="1" priority="2211" operator="containsText" text="Ear">
      <formula>NOT(ISERROR(SEARCH(("Ear"),(AO157))))</formula>
    </cfRule>
  </conditionalFormatting>
  <conditionalFormatting sqref="AO157">
    <cfRule type="containsText" dxfId="0" priority="2212" operator="containsText" text="fnd">
      <formula>NOT(ISERROR(SEARCH(("fnd"),(AO157))))</formula>
    </cfRule>
  </conditionalFormatting>
  <conditionalFormatting sqref="AO165">
    <cfRule type="containsText" dxfId="2" priority="2213" operator="containsText" text="Str">
      <formula>NOT(ISERROR(SEARCH(("Str"),(AO165))))</formula>
    </cfRule>
  </conditionalFormatting>
  <conditionalFormatting sqref="AO165">
    <cfRule type="containsText" dxfId="3" priority="2214" operator="containsText" text="Ere">
      <formula>NOT(ISERROR(SEARCH(("Ere"),(AO165))))</formula>
    </cfRule>
  </conditionalFormatting>
  <conditionalFormatting sqref="AO165">
    <cfRule type="containsText" dxfId="1" priority="2215" operator="containsText" text="Ear">
      <formula>NOT(ISERROR(SEARCH(("Ear"),(AO165))))</formula>
    </cfRule>
  </conditionalFormatting>
  <conditionalFormatting sqref="AO165">
    <cfRule type="containsText" dxfId="0" priority="2216" operator="containsText" text="fnd">
      <formula>NOT(ISERROR(SEARCH(("fnd"),(AO165))))</formula>
    </cfRule>
  </conditionalFormatting>
  <conditionalFormatting sqref="AO173">
    <cfRule type="containsText" dxfId="2" priority="2217" operator="containsText" text="Str">
      <formula>NOT(ISERROR(SEARCH(("Str"),(AO173))))</formula>
    </cfRule>
  </conditionalFormatting>
  <conditionalFormatting sqref="AO173">
    <cfRule type="containsText" dxfId="3" priority="2218" operator="containsText" text="Ere">
      <formula>NOT(ISERROR(SEARCH(("Ere"),(AO173))))</formula>
    </cfRule>
  </conditionalFormatting>
  <conditionalFormatting sqref="AO173">
    <cfRule type="containsText" dxfId="1" priority="2219" operator="containsText" text="Ear">
      <formula>NOT(ISERROR(SEARCH(("Ear"),(AO173))))</formula>
    </cfRule>
  </conditionalFormatting>
  <conditionalFormatting sqref="AO173">
    <cfRule type="containsText" dxfId="0" priority="2220" operator="containsText" text="fnd">
      <formula>NOT(ISERROR(SEARCH(("fnd"),(AO173))))</formula>
    </cfRule>
  </conditionalFormatting>
  <conditionalFormatting sqref="AO181">
    <cfRule type="containsText" dxfId="2" priority="2221" operator="containsText" text="Str">
      <formula>NOT(ISERROR(SEARCH(("Str"),(AO181))))</formula>
    </cfRule>
  </conditionalFormatting>
  <conditionalFormatting sqref="AO181">
    <cfRule type="containsText" dxfId="3" priority="2222" operator="containsText" text="Ere">
      <formula>NOT(ISERROR(SEARCH(("Ere"),(AO181))))</formula>
    </cfRule>
  </conditionalFormatting>
  <conditionalFormatting sqref="AO181">
    <cfRule type="containsText" dxfId="1" priority="2223" operator="containsText" text="Ear">
      <formula>NOT(ISERROR(SEARCH(("Ear"),(AO181))))</formula>
    </cfRule>
  </conditionalFormatting>
  <conditionalFormatting sqref="AO181">
    <cfRule type="containsText" dxfId="0" priority="2224" operator="containsText" text="fnd">
      <formula>NOT(ISERROR(SEARCH(("fnd"),(AO181))))</formula>
    </cfRule>
  </conditionalFormatting>
  <conditionalFormatting sqref="AO30:AR30">
    <cfRule type="containsText" dxfId="2" priority="2225" operator="containsText" text="Str">
      <formula>NOT(ISERROR(SEARCH(("Str"),(AO30))))</formula>
    </cfRule>
  </conditionalFormatting>
  <conditionalFormatting sqref="AO30:AR30">
    <cfRule type="containsText" dxfId="3" priority="2226" operator="containsText" text="Ere">
      <formula>NOT(ISERROR(SEARCH(("Ere"),(AO30))))</formula>
    </cfRule>
  </conditionalFormatting>
  <conditionalFormatting sqref="AO30:AR30">
    <cfRule type="containsText" dxfId="1" priority="2227" operator="containsText" text="Ear">
      <formula>NOT(ISERROR(SEARCH(("Ear"),(AO30))))</formula>
    </cfRule>
  </conditionalFormatting>
  <conditionalFormatting sqref="AO30:AR30">
    <cfRule type="containsText" dxfId="0" priority="2228" operator="containsText" text="fnd">
      <formula>NOT(ISERROR(SEARCH(("fnd"),(AO30))))</formula>
    </cfRule>
  </conditionalFormatting>
  <conditionalFormatting sqref="AO38:AR38">
    <cfRule type="containsText" dxfId="2" priority="2229" operator="containsText" text="Str">
      <formula>NOT(ISERROR(SEARCH(("Str"),(AO38))))</formula>
    </cfRule>
  </conditionalFormatting>
  <conditionalFormatting sqref="AO38:AR38">
    <cfRule type="containsText" dxfId="3" priority="2230" operator="containsText" text="Ere">
      <formula>NOT(ISERROR(SEARCH(("Ere"),(AO38))))</formula>
    </cfRule>
  </conditionalFormatting>
  <conditionalFormatting sqref="AO38:AR38">
    <cfRule type="containsText" dxfId="1" priority="2231" operator="containsText" text="Ear">
      <formula>NOT(ISERROR(SEARCH(("Ear"),(AO38))))</formula>
    </cfRule>
  </conditionalFormatting>
  <conditionalFormatting sqref="AO38:AR38">
    <cfRule type="containsText" dxfId="0" priority="2232" operator="containsText" text="fnd">
      <formula>NOT(ISERROR(SEARCH(("fnd"),(AO38))))</formula>
    </cfRule>
  </conditionalFormatting>
  <conditionalFormatting sqref="AO53:AR54">
    <cfRule type="containsText" dxfId="2" priority="2233" operator="containsText" text="Str">
      <formula>NOT(ISERROR(SEARCH(("Str"),(AO53))))</formula>
    </cfRule>
  </conditionalFormatting>
  <conditionalFormatting sqref="AO53:AR54">
    <cfRule type="containsText" dxfId="3" priority="2234" operator="containsText" text="Ere">
      <formula>NOT(ISERROR(SEARCH(("Ere"),(AO53))))</formula>
    </cfRule>
  </conditionalFormatting>
  <conditionalFormatting sqref="AO53:AR54">
    <cfRule type="containsText" dxfId="1" priority="2235" operator="containsText" text="Ear">
      <formula>NOT(ISERROR(SEARCH(("Ear"),(AO53))))</formula>
    </cfRule>
  </conditionalFormatting>
  <conditionalFormatting sqref="AO53:AR54">
    <cfRule type="containsText" dxfId="0" priority="2236" operator="containsText" text="fnd">
      <formula>NOT(ISERROR(SEARCH(("fnd"),(AO53))))</formula>
    </cfRule>
  </conditionalFormatting>
  <conditionalFormatting sqref="AO70:AR70">
    <cfRule type="containsText" dxfId="2" priority="2237" operator="containsText" text="Str">
      <formula>NOT(ISERROR(SEARCH(("Str"),(AO70))))</formula>
    </cfRule>
  </conditionalFormatting>
  <conditionalFormatting sqref="AO70:AR70">
    <cfRule type="containsText" dxfId="3" priority="2238" operator="containsText" text="Ere">
      <formula>NOT(ISERROR(SEARCH(("Ere"),(AO70))))</formula>
    </cfRule>
  </conditionalFormatting>
  <conditionalFormatting sqref="AO70:AR70">
    <cfRule type="containsText" dxfId="1" priority="2239" operator="containsText" text="Ear">
      <formula>NOT(ISERROR(SEARCH(("Ear"),(AO70))))</formula>
    </cfRule>
  </conditionalFormatting>
  <conditionalFormatting sqref="AO70:AR70">
    <cfRule type="containsText" dxfId="0" priority="2240" operator="containsText" text="fnd">
      <formula>NOT(ISERROR(SEARCH(("fnd"),(AO70))))</formula>
    </cfRule>
  </conditionalFormatting>
  <conditionalFormatting sqref="AO86:AR86">
    <cfRule type="containsText" dxfId="2" priority="2241" operator="containsText" text="Str">
      <formula>NOT(ISERROR(SEARCH(("Str"),(AO86))))</formula>
    </cfRule>
  </conditionalFormatting>
  <conditionalFormatting sqref="AO86:AR86">
    <cfRule type="containsText" dxfId="3" priority="2242" operator="containsText" text="Ere">
      <formula>NOT(ISERROR(SEARCH(("Ere"),(AO86))))</formula>
    </cfRule>
  </conditionalFormatting>
  <conditionalFormatting sqref="AO86:AR86">
    <cfRule type="containsText" dxfId="1" priority="2243" operator="containsText" text="Ear">
      <formula>NOT(ISERROR(SEARCH(("Ear"),(AO86))))</formula>
    </cfRule>
  </conditionalFormatting>
  <conditionalFormatting sqref="AO86:AR86">
    <cfRule type="containsText" dxfId="0" priority="2244" operator="containsText" text="fnd">
      <formula>NOT(ISERROR(SEARCH(("fnd"),(AO86))))</formula>
    </cfRule>
  </conditionalFormatting>
  <conditionalFormatting sqref="AO126:AR126">
    <cfRule type="containsText" dxfId="2" priority="2245" operator="containsText" text="Str">
      <formula>NOT(ISERROR(SEARCH(("Str"),(AO126))))</formula>
    </cfRule>
  </conditionalFormatting>
  <conditionalFormatting sqref="AO126:AR126">
    <cfRule type="containsText" dxfId="3" priority="2246" operator="containsText" text="Ere">
      <formula>NOT(ISERROR(SEARCH(("Ere"),(AO126))))</formula>
    </cfRule>
  </conditionalFormatting>
  <conditionalFormatting sqref="AO126:AR126">
    <cfRule type="containsText" dxfId="1" priority="2247" operator="containsText" text="Ear">
      <formula>NOT(ISERROR(SEARCH(("Ear"),(AO126))))</formula>
    </cfRule>
  </conditionalFormatting>
  <conditionalFormatting sqref="AO126:AR126">
    <cfRule type="containsText" dxfId="0" priority="2248" operator="containsText" text="fnd">
      <formula>NOT(ISERROR(SEARCH(("fnd"),(AO126))))</formula>
    </cfRule>
  </conditionalFormatting>
  <conditionalFormatting sqref="AO134:AR134">
    <cfRule type="containsText" dxfId="2" priority="2249" operator="containsText" text="Str">
      <formula>NOT(ISERROR(SEARCH(("Str"),(AO134))))</formula>
    </cfRule>
  </conditionalFormatting>
  <conditionalFormatting sqref="AO134:AR134">
    <cfRule type="containsText" dxfId="3" priority="2250" operator="containsText" text="Ere">
      <formula>NOT(ISERROR(SEARCH(("Ere"),(AO134))))</formula>
    </cfRule>
  </conditionalFormatting>
  <conditionalFormatting sqref="AO134:AR134">
    <cfRule type="containsText" dxfId="1" priority="2251" operator="containsText" text="Ear">
      <formula>NOT(ISERROR(SEARCH(("Ear"),(AO134))))</formula>
    </cfRule>
  </conditionalFormatting>
  <conditionalFormatting sqref="AO134:AR134">
    <cfRule type="containsText" dxfId="0" priority="2252" operator="containsText" text="fnd">
      <formula>NOT(ISERROR(SEARCH(("fnd"),(AO134))))</formula>
    </cfRule>
  </conditionalFormatting>
  <conditionalFormatting sqref="AO142:AR142">
    <cfRule type="containsText" dxfId="2" priority="2253" operator="containsText" text="Str">
      <formula>NOT(ISERROR(SEARCH(("Str"),(AO142))))</formula>
    </cfRule>
  </conditionalFormatting>
  <conditionalFormatting sqref="AO142:AR142">
    <cfRule type="containsText" dxfId="3" priority="2254" operator="containsText" text="Ere">
      <formula>NOT(ISERROR(SEARCH(("Ere"),(AO142))))</formula>
    </cfRule>
  </conditionalFormatting>
  <conditionalFormatting sqref="AO142:AR142">
    <cfRule type="containsText" dxfId="1" priority="2255" operator="containsText" text="Ear">
      <formula>NOT(ISERROR(SEARCH(("Ear"),(AO142))))</formula>
    </cfRule>
  </conditionalFormatting>
  <conditionalFormatting sqref="AO142:AR142">
    <cfRule type="containsText" dxfId="0" priority="2256" operator="containsText" text="fnd">
      <formula>NOT(ISERROR(SEARCH(("fnd"),(AO142))))</formula>
    </cfRule>
  </conditionalFormatting>
  <conditionalFormatting sqref="AO158:AR158">
    <cfRule type="containsText" dxfId="2" priority="2257" operator="containsText" text="Str">
      <formula>NOT(ISERROR(SEARCH(("Str"),(AO158))))</formula>
    </cfRule>
  </conditionalFormatting>
  <conditionalFormatting sqref="AO158:AR158">
    <cfRule type="containsText" dxfId="3" priority="2258" operator="containsText" text="Ere">
      <formula>NOT(ISERROR(SEARCH(("Ere"),(AO158))))</formula>
    </cfRule>
  </conditionalFormatting>
  <conditionalFormatting sqref="AO158:AR158">
    <cfRule type="containsText" dxfId="1" priority="2259" operator="containsText" text="Ear">
      <formula>NOT(ISERROR(SEARCH(("Ear"),(AO158))))</formula>
    </cfRule>
  </conditionalFormatting>
  <conditionalFormatting sqref="AO158:AR158">
    <cfRule type="containsText" dxfId="0" priority="2260" operator="containsText" text="fnd">
      <formula>NOT(ISERROR(SEARCH(("fnd"),(AO158))))</formula>
    </cfRule>
  </conditionalFormatting>
  <conditionalFormatting sqref="AO182:AR182">
    <cfRule type="containsText" dxfId="2" priority="2261" operator="containsText" text="Str">
      <formula>NOT(ISERROR(SEARCH(("Str"),(AO182))))</formula>
    </cfRule>
  </conditionalFormatting>
  <conditionalFormatting sqref="AO182:AR182">
    <cfRule type="containsText" dxfId="3" priority="2262" operator="containsText" text="Ere">
      <formula>NOT(ISERROR(SEARCH(("Ere"),(AO182))))</formula>
    </cfRule>
  </conditionalFormatting>
  <conditionalFormatting sqref="AO182:AR182">
    <cfRule type="containsText" dxfId="1" priority="2263" operator="containsText" text="Ear">
      <formula>NOT(ISERROR(SEARCH(("Ear"),(AO182))))</formula>
    </cfRule>
  </conditionalFormatting>
  <conditionalFormatting sqref="AO182:AR182">
    <cfRule type="containsText" dxfId="0" priority="2264" operator="containsText" text="fnd">
      <formula>NOT(ISERROR(SEARCH(("fnd"),(AO182))))</formula>
    </cfRule>
  </conditionalFormatting>
  <conditionalFormatting sqref="AP102">
    <cfRule type="containsText" dxfId="2" priority="2265" operator="containsText" text="Str">
      <formula>NOT(ISERROR(SEARCH(("Str"),(AP102))))</formula>
    </cfRule>
  </conditionalFormatting>
  <conditionalFormatting sqref="AP102">
    <cfRule type="containsText" dxfId="3" priority="2266" operator="containsText" text="Ere">
      <formula>NOT(ISERROR(SEARCH(("Ere"),(AP102))))</formula>
    </cfRule>
  </conditionalFormatting>
  <conditionalFormatting sqref="AP102">
    <cfRule type="containsText" dxfId="1" priority="2267" operator="containsText" text="Ear">
      <formula>NOT(ISERROR(SEARCH(("Ear"),(AP102))))</formula>
    </cfRule>
  </conditionalFormatting>
  <conditionalFormatting sqref="AP102">
    <cfRule type="containsText" dxfId="0" priority="2268" operator="containsText" text="fnd">
      <formula>NOT(ISERROR(SEARCH(("fnd"),(AP102))))</formula>
    </cfRule>
  </conditionalFormatting>
  <conditionalFormatting sqref="AP14:AR14">
    <cfRule type="containsText" dxfId="2" priority="2269" operator="containsText" text="Str">
      <formula>NOT(ISERROR(SEARCH(("Str"),(AP14))))</formula>
    </cfRule>
  </conditionalFormatting>
  <conditionalFormatting sqref="AP14:AR14">
    <cfRule type="containsText" dxfId="3" priority="2270" operator="containsText" text="Ere">
      <formula>NOT(ISERROR(SEARCH(("Ere"),(AP14))))</formula>
    </cfRule>
  </conditionalFormatting>
  <conditionalFormatting sqref="AP14:AR14">
    <cfRule type="containsText" dxfId="1" priority="2271" operator="containsText" text="Ear">
      <formula>NOT(ISERROR(SEARCH(("Ear"),(AP14))))</formula>
    </cfRule>
  </conditionalFormatting>
  <conditionalFormatting sqref="AP14:AR14">
    <cfRule type="containsText" dxfId="0" priority="2272" operator="containsText" text="fnd">
      <formula>NOT(ISERROR(SEARCH(("fnd"),(AP14))))</formula>
    </cfRule>
  </conditionalFormatting>
  <conditionalFormatting sqref="AP22:AR22">
    <cfRule type="containsText" dxfId="2" priority="2273" operator="containsText" text="Str">
      <formula>NOT(ISERROR(SEARCH(("Str"),(AP22))))</formula>
    </cfRule>
  </conditionalFormatting>
  <conditionalFormatting sqref="AP22:AR22">
    <cfRule type="containsText" dxfId="3" priority="2274" operator="containsText" text="Ere">
      <formula>NOT(ISERROR(SEARCH(("Ere"),(AP22))))</formula>
    </cfRule>
  </conditionalFormatting>
  <conditionalFormatting sqref="AP22:AR22">
    <cfRule type="containsText" dxfId="1" priority="2275" operator="containsText" text="Ear">
      <formula>NOT(ISERROR(SEARCH(("Ear"),(AP22))))</formula>
    </cfRule>
  </conditionalFormatting>
  <conditionalFormatting sqref="AP22:AR22">
    <cfRule type="containsText" dxfId="0" priority="2276" operator="containsText" text="fnd">
      <formula>NOT(ISERROR(SEARCH(("fnd"),(AP22))))</formula>
    </cfRule>
  </conditionalFormatting>
  <conditionalFormatting sqref="AP62:AR62">
    <cfRule type="containsText" dxfId="2" priority="2277" operator="containsText" text="Str">
      <formula>NOT(ISERROR(SEARCH(("Str"),(AP62))))</formula>
    </cfRule>
  </conditionalFormatting>
  <conditionalFormatting sqref="AP62:AR62">
    <cfRule type="containsText" dxfId="3" priority="2278" operator="containsText" text="Ere">
      <formula>NOT(ISERROR(SEARCH(("Ere"),(AP62))))</formula>
    </cfRule>
  </conditionalFormatting>
  <conditionalFormatting sqref="AP62:AR62">
    <cfRule type="containsText" dxfId="1" priority="2279" operator="containsText" text="Ear">
      <formula>NOT(ISERROR(SEARCH(("Ear"),(AP62))))</formula>
    </cfRule>
  </conditionalFormatting>
  <conditionalFormatting sqref="AP62:AR62">
    <cfRule type="containsText" dxfId="0" priority="2280" operator="containsText" text="fnd">
      <formula>NOT(ISERROR(SEARCH(("fnd"),(AP62))))</formula>
    </cfRule>
  </conditionalFormatting>
  <conditionalFormatting sqref="AQ6">
    <cfRule type="containsText" dxfId="2" priority="2281" operator="containsText" text="Str">
      <formula>NOT(ISERROR(SEARCH(("Str"),(AQ6))))</formula>
    </cfRule>
  </conditionalFormatting>
  <conditionalFormatting sqref="AQ6">
    <cfRule type="containsText" dxfId="3" priority="2282" operator="containsText" text="Ere">
      <formula>NOT(ISERROR(SEARCH(("Ere"),(AQ6))))</formula>
    </cfRule>
  </conditionalFormatting>
  <conditionalFormatting sqref="AR5:AR6">
    <cfRule type="containsText" dxfId="2" priority="2283" operator="containsText" text="Str">
      <formula>NOT(ISERROR(SEARCH(("Str"),(AR5))))</formula>
    </cfRule>
  </conditionalFormatting>
  <conditionalFormatting sqref="AR5:AR6">
    <cfRule type="containsText" dxfId="3" priority="2284" operator="containsText" text="Ere">
      <formula>NOT(ISERROR(SEARCH(("Ere"),(AR5))))</formula>
    </cfRule>
  </conditionalFormatting>
  <conditionalFormatting sqref="AR5:AR6">
    <cfRule type="containsText" dxfId="1" priority="2285" operator="containsText" text="Ear">
      <formula>NOT(ISERROR(SEARCH(("Ear"),(AR5))))</formula>
    </cfRule>
  </conditionalFormatting>
  <conditionalFormatting sqref="AR5:AR6">
    <cfRule type="containsText" dxfId="0" priority="2286" operator="containsText" text="fnd">
      <formula>NOT(ISERROR(SEARCH(("fnd"),(AR5))))</formula>
    </cfRule>
  </conditionalFormatting>
  <conditionalFormatting sqref="AV2 BA2">
    <cfRule type="containsText" dxfId="2" priority="2287" operator="containsText" text="Str">
      <formula>NOT(ISERROR(SEARCH(("Str"),(AV2))))</formula>
    </cfRule>
  </conditionalFormatting>
  <conditionalFormatting sqref="AV2 BA2">
    <cfRule type="containsText" dxfId="3" priority="2288" operator="containsText" text="Ere">
      <formula>NOT(ISERROR(SEARCH(("Ere"),(AV2))))</formula>
    </cfRule>
  </conditionalFormatting>
  <conditionalFormatting sqref="AV2 BA2">
    <cfRule type="containsText" dxfId="1" priority="2289" operator="containsText" text="Ear">
      <formula>NOT(ISERROR(SEARCH(("Ear"),(AV2))))</formula>
    </cfRule>
  </conditionalFormatting>
  <conditionalFormatting sqref="AV2 BA2">
    <cfRule type="containsText" dxfId="0" priority="2290" operator="containsText" text="fnd">
      <formula>NOT(ISERROR(SEARCH(("fnd"),(AV2))))</formula>
    </cfRule>
  </conditionalFormatting>
  <conditionalFormatting sqref="AV3:BA3">
    <cfRule type="containsText" dxfId="2" priority="2291" operator="containsText" text="Str">
      <formula>NOT(ISERROR(SEARCH(("Str"),(AV3))))</formula>
    </cfRule>
  </conditionalFormatting>
  <conditionalFormatting sqref="AV3:BA3">
    <cfRule type="containsText" dxfId="3" priority="2292" operator="containsText" text="Ere">
      <formula>NOT(ISERROR(SEARCH(("Ere"),(AV3))))</formula>
    </cfRule>
  </conditionalFormatting>
  <conditionalFormatting sqref="AV3:BA3">
    <cfRule type="containsText" dxfId="1" priority="2293" operator="containsText" text="Ear">
      <formula>NOT(ISERROR(SEARCH(("Ear"),(AV3))))</formula>
    </cfRule>
  </conditionalFormatting>
  <conditionalFormatting sqref="AV3:BA3">
    <cfRule type="containsText" dxfId="0" priority="2294" operator="containsText" text="fnd">
      <formula>NOT(ISERROR(SEARCH(("fnd"),(AV3))))</formula>
    </cfRule>
  </conditionalFormatting>
  <conditionalFormatting sqref="AW27:AZ27">
    <cfRule type="containsText" dxfId="2" priority="2295" operator="containsText" text="Str">
      <formula>NOT(ISERROR(SEARCH(("Str"),(AW27))))</formula>
    </cfRule>
  </conditionalFormatting>
  <conditionalFormatting sqref="AW27:AZ27">
    <cfRule type="containsText" dxfId="3" priority="2296" operator="containsText" text="Ere">
      <formula>NOT(ISERROR(SEARCH(("Ere"),(AW27))))</formula>
    </cfRule>
  </conditionalFormatting>
  <conditionalFormatting sqref="AW27:AZ27">
    <cfRule type="containsText" dxfId="1" priority="2297" operator="containsText" text="Ear">
      <formula>NOT(ISERROR(SEARCH(("Ear"),(AW27))))</formula>
    </cfRule>
  </conditionalFormatting>
  <conditionalFormatting sqref="AW27:AZ27">
    <cfRule type="containsText" dxfId="0" priority="2298" operator="containsText" text="fnd">
      <formula>NOT(ISERROR(SEARCH(("fnd"),(AW27))))</formula>
    </cfRule>
  </conditionalFormatting>
  <printOptions/>
  <pageMargins bottom="0.19" footer="0.0" header="0.0" left="0.14" right="0.11" top="0.2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71"/>
    <col customWidth="1" min="4" max="4" width="10.29"/>
    <col customWidth="1" min="5" max="6" width="8.71"/>
    <col customWidth="1" min="7" max="7" width="13.0"/>
    <col customWidth="1" min="8" max="9" width="8.71"/>
    <col customWidth="1" min="10" max="10" width="10.71"/>
    <col customWidth="1" min="11" max="11" width="10.0"/>
    <col customWidth="1" min="12" max="12" width="12.29"/>
    <col customWidth="1" min="13" max="13" width="11.71"/>
    <col customWidth="1" min="14" max="14" width="8.71"/>
    <col customWidth="1" min="15" max="15" width="20.0"/>
    <col customWidth="1" min="16" max="16" width="8.71"/>
    <col customWidth="1" hidden="1" min="17" max="17" width="20.71"/>
    <col customWidth="1" min="18" max="19" width="16.57"/>
  </cols>
  <sheetData>
    <row r="1" ht="22.5" customHeight="1">
      <c r="A1" s="223" t="s">
        <v>418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55"/>
    </row>
    <row r="2" ht="22.5" customHeight="1">
      <c r="A2" s="224" t="s">
        <v>419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55"/>
    </row>
    <row r="3" ht="22.5" customHeight="1">
      <c r="A3" s="225" t="s">
        <v>420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55"/>
    </row>
    <row r="4" ht="22.5" customHeight="1">
      <c r="A4" s="30"/>
      <c r="N4" s="226" t="s">
        <v>421</v>
      </c>
      <c r="O4" s="227">
        <v>46160.0</v>
      </c>
      <c r="P4" s="2"/>
      <c r="Q4" s="2"/>
      <c r="R4" s="155"/>
    </row>
    <row r="5" ht="22.5" customHeight="1">
      <c r="A5" s="228" t="s">
        <v>386</v>
      </c>
      <c r="B5" s="13"/>
      <c r="C5" s="229"/>
      <c r="D5" s="230" t="s">
        <v>422</v>
      </c>
      <c r="E5" s="231" t="s">
        <v>423</v>
      </c>
      <c r="F5" s="230" t="s">
        <v>424</v>
      </c>
      <c r="G5" s="231" t="s">
        <v>425</v>
      </c>
      <c r="H5" s="230" t="s">
        <v>426</v>
      </c>
      <c r="I5" s="231" t="s">
        <v>427</v>
      </c>
      <c r="J5" s="232" t="s">
        <v>428</v>
      </c>
      <c r="K5" s="233" t="s">
        <v>429</v>
      </c>
      <c r="L5" s="232" t="s">
        <v>430</v>
      </c>
      <c r="M5" s="233" t="s">
        <v>431</v>
      </c>
      <c r="N5" s="230" t="s">
        <v>432</v>
      </c>
      <c r="O5" s="230" t="s">
        <v>433</v>
      </c>
      <c r="P5" s="230" t="s">
        <v>434</v>
      </c>
      <c r="Q5" s="231" t="s">
        <v>435</v>
      </c>
      <c r="R5" s="230" t="s">
        <v>391</v>
      </c>
    </row>
    <row r="6" ht="25.5" customHeight="1">
      <c r="A6" s="222"/>
      <c r="B6" s="152"/>
      <c r="C6" s="234"/>
      <c r="D6" s="235"/>
      <c r="E6" s="236"/>
      <c r="F6" s="235"/>
      <c r="G6" s="236"/>
      <c r="H6" s="235"/>
      <c r="I6" s="236"/>
      <c r="J6" s="235"/>
      <c r="K6" s="152"/>
      <c r="L6" s="235"/>
      <c r="M6" s="152"/>
      <c r="N6" s="235"/>
      <c r="O6" s="235"/>
      <c r="P6" s="235"/>
      <c r="Q6" s="236"/>
      <c r="R6" s="235"/>
    </row>
    <row r="7" ht="88.5" customHeight="1">
      <c r="A7" s="237" t="s">
        <v>436</v>
      </c>
      <c r="C7" s="177"/>
      <c r="D7" s="238">
        <v>309.0</v>
      </c>
      <c r="E7" s="239">
        <v>309.0</v>
      </c>
      <c r="F7" s="240">
        <v>306.0</v>
      </c>
      <c r="G7" s="241">
        <v>258.0</v>
      </c>
      <c r="H7" s="240">
        <v>0.0</v>
      </c>
      <c r="I7" s="242">
        <v>25.0</v>
      </c>
      <c r="J7" s="243"/>
      <c r="K7" s="244" t="str">
        <f t="shared" ref="K7:K9" si="1">M7-G7</f>
        <v>6</v>
      </c>
      <c r="L7" s="245" t="str">
        <f t="shared" ref="L7:L10" si="2">F7+H7</f>
        <v>306</v>
      </c>
      <c r="M7" s="246" t="str">
        <f>'VC-765kV MKTL'!AV3</f>
        <v>264</v>
      </c>
      <c r="N7" s="247" t="str">
        <f>E7-M7</f>
        <v>45</v>
      </c>
      <c r="O7" s="248" t="s">
        <v>437</v>
      </c>
      <c r="P7" s="249">
        <v>4.0</v>
      </c>
      <c r="Q7" s="250"/>
      <c r="R7" s="248"/>
      <c r="S7" s="23"/>
    </row>
    <row r="8" ht="35.25" customHeight="1">
      <c r="A8" s="251" t="s">
        <v>438</v>
      </c>
      <c r="B8" s="2"/>
      <c r="C8" s="252"/>
      <c r="D8" s="238">
        <v>309.0</v>
      </c>
      <c r="E8" s="239">
        <v>309.0</v>
      </c>
      <c r="F8" s="238">
        <v>262.0</v>
      </c>
      <c r="G8" s="253">
        <v>228.0</v>
      </c>
      <c r="H8" s="238">
        <v>25.0</v>
      </c>
      <c r="I8" s="254">
        <v>25.0</v>
      </c>
      <c r="J8" s="255"/>
      <c r="K8" s="255" t="str">
        <f t="shared" si="1"/>
        <v>4</v>
      </c>
      <c r="L8" s="256" t="str">
        <f t="shared" si="2"/>
        <v>287</v>
      </c>
      <c r="M8" s="246" t="str">
        <f>'VC-765kV MKTL'!AW3</f>
        <v>232</v>
      </c>
      <c r="N8" s="257" t="str">
        <f>D8-M8</f>
        <v>77</v>
      </c>
      <c r="O8" s="258"/>
      <c r="P8" s="249"/>
      <c r="Q8" s="259"/>
      <c r="R8" s="260"/>
      <c r="S8" s="23"/>
    </row>
    <row r="9" ht="51.0" customHeight="1">
      <c r="A9" s="251" t="s">
        <v>439</v>
      </c>
      <c r="B9" s="2"/>
      <c r="C9" s="155"/>
      <c r="D9" s="238">
        <v>309.0</v>
      </c>
      <c r="E9" s="261">
        <v>309.0</v>
      </c>
      <c r="F9" s="238">
        <v>270.0</v>
      </c>
      <c r="G9" s="238">
        <v>180.0</v>
      </c>
      <c r="H9" s="238">
        <v>20.0</v>
      </c>
      <c r="I9" s="261">
        <v>45.0</v>
      </c>
      <c r="J9" s="255"/>
      <c r="K9" s="255" t="str">
        <f t="shared" si="1"/>
        <v>18</v>
      </c>
      <c r="L9" s="256" t="str">
        <f t="shared" si="2"/>
        <v>290</v>
      </c>
      <c r="M9" s="255" t="str">
        <f>'VC-765kV MKTL'!AX3</f>
        <v>198</v>
      </c>
      <c r="N9" s="257" t="str">
        <f t="shared" ref="N9:N11" si="3">E9-M9</f>
        <v>111</v>
      </c>
      <c r="O9" s="262" t="s">
        <v>440</v>
      </c>
      <c r="P9" s="255">
        <v>8.0</v>
      </c>
      <c r="Q9" s="263"/>
      <c r="R9" s="264"/>
      <c r="S9" s="23"/>
    </row>
    <row r="10" ht="32.25" customHeight="1">
      <c r="A10" s="265" t="s">
        <v>441</v>
      </c>
      <c r="B10" s="136"/>
      <c r="C10" s="266" t="s">
        <v>442</v>
      </c>
      <c r="D10" s="267">
        <v>118.397</v>
      </c>
      <c r="E10" s="268">
        <v>118.397</v>
      </c>
      <c r="F10" s="269"/>
      <c r="G10" s="268"/>
      <c r="H10" s="270">
        <v>0.0</v>
      </c>
      <c r="I10" s="271"/>
      <c r="J10" s="272"/>
      <c r="K10" s="273"/>
      <c r="L10" s="274" t="str">
        <f t="shared" si="2"/>
        <v>0</v>
      </c>
      <c r="M10" s="275" t="str">
        <f t="shared" ref="M10:M11" si="5">K10+G10</f>
        <v>0</v>
      </c>
      <c r="N10" s="276" t="str">
        <f t="shared" si="3"/>
        <v>118.4</v>
      </c>
      <c r="O10" s="277"/>
      <c r="P10" s="278">
        <v>0.0</v>
      </c>
      <c r="Q10" s="197"/>
      <c r="R10" s="279"/>
      <c r="S10" s="23"/>
    </row>
    <row r="11" ht="33.0" customHeight="1">
      <c r="A11" s="222"/>
      <c r="B11" s="153"/>
      <c r="C11" s="266" t="s">
        <v>443</v>
      </c>
      <c r="D11" s="267" t="str">
        <f t="shared" ref="D11:E11" si="4">D10</f>
        <v>118.40</v>
      </c>
      <c r="E11" s="268" t="str">
        <f t="shared" si="4"/>
        <v>118.40</v>
      </c>
      <c r="F11" s="269"/>
      <c r="G11" s="268"/>
      <c r="H11" s="270">
        <v>0.0</v>
      </c>
      <c r="I11" s="271"/>
      <c r="J11" s="272"/>
      <c r="K11" s="273"/>
      <c r="L11" s="274" t="str">
        <f>L10</f>
        <v>0</v>
      </c>
      <c r="M11" s="275" t="str">
        <f t="shared" si="5"/>
        <v>0</v>
      </c>
      <c r="N11" s="276" t="str">
        <f t="shared" si="3"/>
        <v>118.4</v>
      </c>
      <c r="O11" s="277"/>
      <c r="P11" s="278">
        <v>0.0</v>
      </c>
      <c r="Q11" s="197"/>
      <c r="R11" s="279"/>
      <c r="S11" s="23"/>
    </row>
    <row r="12" ht="22.5" customHeight="1">
      <c r="S12" s="23"/>
    </row>
    <row r="13" ht="60.75" customHeight="1">
      <c r="B13" s="280" t="s">
        <v>444</v>
      </c>
      <c r="C13" s="281" t="s">
        <v>445</v>
      </c>
      <c r="D13" s="281" t="s">
        <v>446</v>
      </c>
      <c r="E13" s="281" t="s">
        <v>447</v>
      </c>
      <c r="F13" s="281" t="s">
        <v>389</v>
      </c>
      <c r="G13" s="282" t="s">
        <v>390</v>
      </c>
      <c r="M13" s="23"/>
      <c r="S13" s="23"/>
    </row>
    <row r="14" ht="36.75" customHeight="1">
      <c r="B14" s="283">
        <v>1.0</v>
      </c>
      <c r="C14" s="284" t="s">
        <v>392</v>
      </c>
      <c r="D14" s="285">
        <v>118.397</v>
      </c>
      <c r="E14" s="285">
        <v>118.397</v>
      </c>
      <c r="F14" s="285">
        <v>118.397</v>
      </c>
      <c r="G14" s="286" t="str">
        <f t="shared" ref="G14:G15" si="6">D14-F14</f>
        <v>0.000</v>
      </c>
      <c r="M14" s="23"/>
      <c r="S14" s="23"/>
    </row>
    <row r="15" ht="45.0" customHeight="1">
      <c r="B15" s="287">
        <v>2.0</v>
      </c>
      <c r="C15" s="288" t="s">
        <v>396</v>
      </c>
      <c r="D15" s="289">
        <v>118.397</v>
      </c>
      <c r="E15" s="290">
        <v>118.397</v>
      </c>
      <c r="F15" s="290">
        <v>118.397</v>
      </c>
      <c r="G15" s="291" t="str">
        <f t="shared" si="6"/>
        <v>0.000</v>
      </c>
      <c r="M15" s="23"/>
    </row>
    <row r="16" ht="22.5" customHeight="1">
      <c r="M16" s="23"/>
      <c r="O16" s="23"/>
    </row>
    <row r="17" ht="22.5" customHeight="1">
      <c r="M17" s="23"/>
      <c r="O17" s="23"/>
    </row>
    <row r="18" ht="22.5" customHeight="1">
      <c r="M18" s="23"/>
      <c r="O18" s="30"/>
    </row>
    <row r="19" ht="22.5" customHeight="1">
      <c r="M19" s="23"/>
      <c r="O19" s="30"/>
    </row>
    <row r="20" ht="22.5" customHeight="1">
      <c r="M20" s="23"/>
      <c r="O20" s="30"/>
    </row>
    <row r="21" ht="22.5" customHeight="1">
      <c r="M21" s="23"/>
      <c r="O21" s="30"/>
    </row>
    <row r="22" ht="22.5" customHeight="1">
      <c r="M22" s="23"/>
    </row>
    <row r="23" ht="22.5" customHeight="1">
      <c r="M23" s="23"/>
    </row>
    <row r="24" ht="22.5" customHeight="1">
      <c r="M24" s="23"/>
    </row>
    <row r="25" ht="22.5" customHeight="1">
      <c r="M25" s="23"/>
    </row>
    <row r="26" ht="22.5" customHeight="1">
      <c r="M26" s="23"/>
    </row>
    <row r="27" ht="22.5" customHeight="1">
      <c r="M27" s="23"/>
    </row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</sheetData>
  <mergeCells count="25">
    <mergeCell ref="A8:C8"/>
    <mergeCell ref="A7:C7"/>
    <mergeCell ref="H5:H6"/>
    <mergeCell ref="I5:I6"/>
    <mergeCell ref="J5:J6"/>
    <mergeCell ref="K5:K6"/>
    <mergeCell ref="L5:L6"/>
    <mergeCell ref="M5:M6"/>
    <mergeCell ref="A5:C6"/>
    <mergeCell ref="D5:D6"/>
    <mergeCell ref="E5:E6"/>
    <mergeCell ref="F5:F6"/>
    <mergeCell ref="G5:G6"/>
    <mergeCell ref="A1:R1"/>
    <mergeCell ref="A2:R2"/>
    <mergeCell ref="A3:R3"/>
    <mergeCell ref="A4:M4"/>
    <mergeCell ref="O4:R4"/>
    <mergeCell ref="A9:C9"/>
    <mergeCell ref="A10:B11"/>
    <mergeCell ref="N5:N6"/>
    <mergeCell ref="O5:O6"/>
    <mergeCell ref="P5:P6"/>
    <mergeCell ref="Q5:Q6"/>
    <mergeCell ref="R5:R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2.43"/>
    <col customWidth="1" min="3" max="3" width="11.29"/>
    <col customWidth="1" min="4" max="4" width="12.29"/>
    <col customWidth="1" min="5" max="5" width="13.43"/>
    <col customWidth="1" min="6" max="6" width="10.71"/>
    <col customWidth="1" min="7" max="11" width="8.71"/>
  </cols>
  <sheetData>
    <row r="1" ht="14.25" customHeight="1"/>
    <row r="2" ht="14.25" customHeight="1"/>
    <row r="3" ht="14.25" customHeight="1"/>
    <row r="4" ht="14.25" customHeight="1">
      <c r="A4" s="292"/>
      <c r="B4" s="292"/>
    </row>
    <row r="5" ht="14.25" customHeight="1"/>
    <row r="6" ht="14.25" customHeight="1"/>
    <row r="7" ht="14.25" customHeight="1">
      <c r="A7" s="293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1.71"/>
    <col customWidth="1" min="4" max="4" width="11.29"/>
    <col customWidth="1" min="5" max="5" width="10.71"/>
    <col customWidth="1" min="6" max="6" width="11.29"/>
    <col customWidth="1" min="7" max="11" width="8.71"/>
  </cols>
  <sheetData>
    <row r="1" ht="14.25" customHeight="1"/>
    <row r="2" ht="14.25" customHeight="1"/>
    <row r="3" ht="14.25" customHeight="1">
      <c r="A3" s="292"/>
      <c r="B3" s="292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7.29"/>
    <col customWidth="1" min="2" max="2" width="8.43"/>
    <col customWidth="1" min="3" max="3" width="10.43"/>
    <col customWidth="1" min="4" max="4" width="14.29"/>
    <col customWidth="1" min="5" max="5" width="15.71"/>
    <col customWidth="1" min="6" max="9" width="15.29"/>
    <col customWidth="1" min="10" max="10" width="29.29"/>
    <col customWidth="1" hidden="1" min="11" max="11" width="15.29"/>
    <col customWidth="1" min="12" max="13" width="9.29"/>
  </cols>
  <sheetData>
    <row r="1" ht="22.5" customHeight="1">
      <c r="A1" s="294" t="s">
        <v>455</v>
      </c>
      <c r="B1" s="295"/>
      <c r="C1" s="295"/>
      <c r="D1" s="295"/>
      <c r="E1" s="296"/>
      <c r="F1" s="297"/>
      <c r="G1" s="295"/>
      <c r="H1" s="295"/>
      <c r="I1" s="295"/>
      <c r="J1" s="295"/>
      <c r="K1" s="298"/>
      <c r="L1" s="23"/>
      <c r="M1" s="23"/>
    </row>
    <row r="2" ht="14.25" customHeight="1">
      <c r="A2" s="299" t="s">
        <v>456</v>
      </c>
      <c r="B2" s="52" t="s">
        <v>457</v>
      </c>
      <c r="C2" s="52" t="s">
        <v>408</v>
      </c>
      <c r="D2" s="300" t="s">
        <v>458</v>
      </c>
      <c r="E2" s="301" t="s">
        <v>459</v>
      </c>
      <c r="F2" s="302" t="s">
        <v>460</v>
      </c>
      <c r="G2" s="299" t="s">
        <v>461</v>
      </c>
      <c r="H2" s="303" t="s">
        <v>462</v>
      </c>
      <c r="I2" s="303" t="s">
        <v>463</v>
      </c>
      <c r="J2" s="299" t="s">
        <v>464</v>
      </c>
      <c r="K2" s="304" t="s">
        <v>465</v>
      </c>
      <c r="L2" s="23"/>
      <c r="M2" s="23"/>
    </row>
    <row r="3" ht="17.25" customHeight="1">
      <c r="A3" s="52">
        <v>1.0</v>
      </c>
      <c r="B3" s="305" t="s">
        <v>111</v>
      </c>
      <c r="C3" s="52" t="str">
        <f>VLOOKUP(B3,'CST Gantry To AP 68 Common Poin'!C:D,2,0)</f>
        <v>DA+0</v>
      </c>
      <c r="D3" s="305" t="s">
        <v>466</v>
      </c>
      <c r="E3" s="306" t="s">
        <v>453</v>
      </c>
      <c r="F3" s="307" t="s">
        <v>467</v>
      </c>
      <c r="G3" s="308">
        <v>45903.0</v>
      </c>
      <c r="H3" s="308"/>
      <c r="I3" s="308"/>
      <c r="J3" s="52" t="s">
        <v>468</v>
      </c>
      <c r="K3" s="309"/>
      <c r="L3" s="23"/>
      <c r="M3" s="23"/>
    </row>
    <row r="4" ht="14.25" customHeight="1">
      <c r="A4" s="52">
        <v>2.0</v>
      </c>
      <c r="B4" s="305" t="s">
        <v>87</v>
      </c>
      <c r="C4" s="52" t="str">
        <f>VLOOKUP(B4,'CST Gantry To AP 68 Common Poin'!C:D,2,0)</f>
        <v>DA+0</v>
      </c>
      <c r="D4" s="305" t="s">
        <v>466</v>
      </c>
      <c r="E4" s="306" t="s">
        <v>453</v>
      </c>
      <c r="F4" s="307" t="s">
        <v>467</v>
      </c>
      <c r="G4" s="52" t="s">
        <v>469</v>
      </c>
      <c r="H4" s="52"/>
      <c r="I4" s="52"/>
      <c r="J4" s="52" t="s">
        <v>470</v>
      </c>
      <c r="K4" s="309"/>
      <c r="L4" s="23"/>
      <c r="M4" s="23"/>
    </row>
    <row r="5" ht="14.25" customHeight="1">
      <c r="A5" s="52">
        <v>3.0</v>
      </c>
      <c r="B5" s="305" t="s">
        <v>58</v>
      </c>
      <c r="C5" s="52" t="str">
        <f>VLOOKUP(B5,'CST Gantry To AP 68 Common Poin'!C:D,2,0)</f>
        <v>DA+0</v>
      </c>
      <c r="D5" s="305" t="s">
        <v>466</v>
      </c>
      <c r="E5" s="306" t="s">
        <v>453</v>
      </c>
      <c r="F5" s="307" t="s">
        <v>471</v>
      </c>
      <c r="G5" s="52" t="s">
        <v>472</v>
      </c>
      <c r="H5" s="52"/>
      <c r="I5" s="52"/>
      <c r="J5" s="52" t="s">
        <v>473</v>
      </c>
      <c r="K5" s="309"/>
      <c r="L5" s="23"/>
      <c r="M5" s="23"/>
    </row>
    <row r="6" ht="14.25" customHeight="1">
      <c r="A6" s="52">
        <v>4.0</v>
      </c>
      <c r="B6" s="305" t="s">
        <v>83</v>
      </c>
      <c r="C6" s="52" t="str">
        <f>VLOOKUP(B6,'CST Gantry To AP 68 Common Poin'!C:D,2,0)</f>
        <v>DA+0</v>
      </c>
      <c r="D6" s="305" t="s">
        <v>466</v>
      </c>
      <c r="E6" s="306" t="s">
        <v>453</v>
      </c>
      <c r="F6" s="307" t="s">
        <v>471</v>
      </c>
      <c r="G6" s="52" t="s">
        <v>474</v>
      </c>
      <c r="H6" s="52"/>
      <c r="I6" s="52"/>
      <c r="J6" s="52" t="s">
        <v>475</v>
      </c>
      <c r="K6" s="309"/>
      <c r="L6" s="23"/>
      <c r="M6" s="23"/>
    </row>
    <row r="7" ht="14.25" customHeight="1">
      <c r="A7" s="52">
        <v>5.0</v>
      </c>
      <c r="B7" s="305" t="s">
        <v>78</v>
      </c>
      <c r="C7" s="52" t="str">
        <f>VLOOKUP(B7,'CST Gantry To AP 68 Common Poin'!C:D,2,0)</f>
        <v>DA+3</v>
      </c>
      <c r="D7" s="305" t="s">
        <v>466</v>
      </c>
      <c r="E7" s="306" t="s">
        <v>453</v>
      </c>
      <c r="F7" s="307" t="s">
        <v>476</v>
      </c>
      <c r="G7" s="52" t="s">
        <v>477</v>
      </c>
      <c r="H7" s="52"/>
      <c r="I7" s="52"/>
      <c r="J7" s="52" t="s">
        <v>478</v>
      </c>
      <c r="K7" s="309"/>
      <c r="L7" s="23"/>
      <c r="M7" s="23"/>
    </row>
    <row r="8" ht="14.25" customHeight="1">
      <c r="A8" s="52">
        <v>6.0</v>
      </c>
      <c r="B8" s="305" t="s">
        <v>99</v>
      </c>
      <c r="C8" s="52" t="str">
        <f>VLOOKUP(B8,'CST Gantry To AP 68 Common Poin'!C:D,2,0)</f>
        <v>DA+3</v>
      </c>
      <c r="D8" s="305" t="s">
        <v>466</v>
      </c>
      <c r="E8" s="306" t="s">
        <v>453</v>
      </c>
      <c r="F8" s="307" t="s">
        <v>476</v>
      </c>
      <c r="G8" s="52" t="s">
        <v>479</v>
      </c>
      <c r="H8" s="52"/>
      <c r="I8" s="52"/>
      <c r="J8" s="52" t="s">
        <v>480</v>
      </c>
      <c r="K8" s="309"/>
      <c r="L8" s="23"/>
      <c r="M8" s="23"/>
    </row>
    <row r="9" ht="14.25" customHeight="1">
      <c r="A9" s="52">
        <v>7.0</v>
      </c>
      <c r="B9" s="305" t="s">
        <v>129</v>
      </c>
      <c r="C9" s="52" t="str">
        <f>VLOOKUP(B9,'CST Gantry To AP 68 Common Poin'!C:D,2,0)</f>
        <v>DA(-)3</v>
      </c>
      <c r="D9" s="305" t="s">
        <v>466</v>
      </c>
      <c r="E9" s="306" t="s">
        <v>453</v>
      </c>
      <c r="F9" s="307" t="s">
        <v>481</v>
      </c>
      <c r="G9" s="52" t="s">
        <v>482</v>
      </c>
      <c r="H9" s="52"/>
      <c r="I9" s="52"/>
      <c r="J9" s="52" t="s">
        <v>468</v>
      </c>
      <c r="K9" s="309"/>
      <c r="L9" s="23"/>
      <c r="M9" s="23"/>
    </row>
    <row r="10" ht="14.25" customHeight="1">
      <c r="A10" s="52">
        <v>8.0</v>
      </c>
      <c r="B10" s="305" t="s">
        <v>108</v>
      </c>
      <c r="C10" s="52" t="str">
        <f>VLOOKUP(B10,'CST Gantry To AP 68 Common Poin'!C:D,2,0)</f>
        <v>DA+0</v>
      </c>
      <c r="D10" s="305" t="s">
        <v>466</v>
      </c>
      <c r="E10" s="306" t="s">
        <v>453</v>
      </c>
      <c r="F10" s="307" t="s">
        <v>481</v>
      </c>
      <c r="G10" s="52" t="s">
        <v>479</v>
      </c>
      <c r="H10" s="52"/>
      <c r="I10" s="52"/>
      <c r="J10" s="52" t="s">
        <v>483</v>
      </c>
      <c r="K10" s="309"/>
      <c r="L10" s="23"/>
      <c r="M10" s="23"/>
    </row>
    <row r="11" ht="14.25" customHeight="1">
      <c r="A11" s="52">
        <v>9.0</v>
      </c>
      <c r="B11" s="310" t="s">
        <v>59</v>
      </c>
      <c r="C11" s="52" t="str">
        <f>VLOOKUP(B11,'CST Gantry To AP 68 Common Poin'!C:D,2,0)</f>
        <v>DA+0</v>
      </c>
      <c r="D11" s="305" t="s">
        <v>466</v>
      </c>
      <c r="E11" s="306" t="s">
        <v>453</v>
      </c>
      <c r="F11" s="307" t="s">
        <v>471</v>
      </c>
      <c r="G11" s="307" t="s">
        <v>482</v>
      </c>
      <c r="H11" s="307"/>
      <c r="I11" s="307"/>
      <c r="J11" s="52" t="s">
        <v>473</v>
      </c>
      <c r="K11" s="309"/>
      <c r="L11" s="23"/>
      <c r="M11" s="23"/>
    </row>
    <row r="12" ht="14.25" customHeight="1">
      <c r="A12" s="52">
        <v>10.0</v>
      </c>
      <c r="B12" s="305" t="s">
        <v>89</v>
      </c>
      <c r="C12" s="52" t="str">
        <f>VLOOKUP(B12,'CST Gantry To AP 68 Common Poin'!C:D,2,0)</f>
        <v>DA(-)3</v>
      </c>
      <c r="D12" s="305" t="s">
        <v>466</v>
      </c>
      <c r="E12" s="306" t="s">
        <v>453</v>
      </c>
      <c r="F12" s="307" t="s">
        <v>484</v>
      </c>
      <c r="G12" s="52" t="s">
        <v>485</v>
      </c>
      <c r="H12" s="52"/>
      <c r="I12" s="52"/>
      <c r="J12" s="52" t="s">
        <v>470</v>
      </c>
      <c r="K12" s="309"/>
      <c r="L12" s="23"/>
      <c r="M12" s="23"/>
    </row>
    <row r="13" ht="14.25" customHeight="1">
      <c r="A13" s="52">
        <v>11.0</v>
      </c>
      <c r="B13" s="310" t="s">
        <v>102</v>
      </c>
      <c r="C13" s="52" t="str">
        <f>VLOOKUP(B13,'CST Gantry To AP 68 Common Poin'!C:D,2,0)</f>
        <v>DA(-)3</v>
      </c>
      <c r="D13" s="305" t="s">
        <v>466</v>
      </c>
      <c r="E13" s="306" t="s">
        <v>453</v>
      </c>
      <c r="F13" s="307" t="s">
        <v>486</v>
      </c>
      <c r="G13" s="307" t="s">
        <v>487</v>
      </c>
      <c r="H13" s="307"/>
      <c r="I13" s="307"/>
      <c r="J13" s="52" t="s">
        <v>480</v>
      </c>
      <c r="K13" s="309"/>
      <c r="L13" s="23"/>
      <c r="M13" s="23"/>
    </row>
    <row r="14" ht="14.25" customHeight="1">
      <c r="A14" s="52">
        <v>12.0</v>
      </c>
      <c r="B14" s="305" t="s">
        <v>120</v>
      </c>
      <c r="C14" s="52" t="str">
        <f>VLOOKUP(B14,'CST Gantry To AP 68 Common Poin'!C:D,2,0)</f>
        <v>DA(-)3</v>
      </c>
      <c r="D14" s="305" t="s">
        <v>466</v>
      </c>
      <c r="E14" s="306" t="s">
        <v>453</v>
      </c>
      <c r="F14" s="307" t="s">
        <v>484</v>
      </c>
      <c r="G14" s="307" t="s">
        <v>487</v>
      </c>
      <c r="H14" s="307"/>
      <c r="I14" s="307"/>
      <c r="J14" s="52" t="s">
        <v>468</v>
      </c>
      <c r="K14" s="309"/>
      <c r="L14" s="23"/>
      <c r="M14" s="23"/>
    </row>
    <row r="15" ht="14.25" customHeight="1">
      <c r="A15" s="52">
        <v>13.0</v>
      </c>
      <c r="B15" s="310" t="s">
        <v>60</v>
      </c>
      <c r="C15" s="52" t="str">
        <f>VLOOKUP(B15,'CST Gantry To AP 68 Common Poin'!C:D,2,0)</f>
        <v>DA+0</v>
      </c>
      <c r="D15" s="305" t="s">
        <v>466</v>
      </c>
      <c r="E15" s="306" t="s">
        <v>453</v>
      </c>
      <c r="F15" s="307" t="s">
        <v>482</v>
      </c>
      <c r="G15" s="52" t="s">
        <v>488</v>
      </c>
      <c r="H15" s="52"/>
      <c r="I15" s="52"/>
      <c r="J15" s="52" t="s">
        <v>473</v>
      </c>
      <c r="K15" s="309"/>
      <c r="L15" s="23"/>
      <c r="M15" s="23"/>
    </row>
    <row r="16" ht="14.25" customHeight="1">
      <c r="A16" s="52">
        <v>14.0</v>
      </c>
      <c r="B16" s="310" t="s">
        <v>138</v>
      </c>
      <c r="C16" s="52" t="str">
        <f>VLOOKUP(B16,'CST Gantry To AP 68 Common Poin'!C:D,2,0)</f>
        <v>DA+6</v>
      </c>
      <c r="D16" s="305" t="s">
        <v>466</v>
      </c>
      <c r="E16" s="306" t="s">
        <v>453</v>
      </c>
      <c r="F16" s="307" t="s">
        <v>469</v>
      </c>
      <c r="G16" s="52" t="s">
        <v>477</v>
      </c>
      <c r="H16" s="52"/>
      <c r="I16" s="52"/>
      <c r="J16" s="52" t="s">
        <v>483</v>
      </c>
      <c r="K16" s="309"/>
      <c r="L16" s="23"/>
      <c r="M16" s="23"/>
    </row>
    <row r="17" ht="14.25" customHeight="1">
      <c r="A17" s="52">
        <v>15.0</v>
      </c>
      <c r="B17" s="310" t="s">
        <v>79</v>
      </c>
      <c r="C17" s="52" t="str">
        <f>VLOOKUP(B17,'CST Gantry To AP 68 Common Poin'!C:D,2,0)</f>
        <v>DA(-)3</v>
      </c>
      <c r="D17" s="305" t="s">
        <v>466</v>
      </c>
      <c r="E17" s="306" t="s">
        <v>453</v>
      </c>
      <c r="F17" s="307" t="s">
        <v>489</v>
      </c>
      <c r="G17" s="52" t="s">
        <v>490</v>
      </c>
      <c r="H17" s="52"/>
      <c r="I17" s="52"/>
      <c r="J17" s="52" t="s">
        <v>478</v>
      </c>
      <c r="K17" s="309"/>
      <c r="L17" s="23"/>
      <c r="M17" s="23"/>
    </row>
    <row r="18" ht="14.25" customHeight="1">
      <c r="A18" s="52">
        <v>16.0</v>
      </c>
      <c r="B18" s="310" t="s">
        <v>92</v>
      </c>
      <c r="C18" s="52" t="str">
        <f>VLOOKUP(B18,'CST Gantry To AP 68 Common Poin'!C:D,2,0)</f>
        <v>DA+0</v>
      </c>
      <c r="D18" s="305" t="s">
        <v>466</v>
      </c>
      <c r="E18" s="306" t="s">
        <v>453</v>
      </c>
      <c r="F18" s="307" t="s">
        <v>491</v>
      </c>
      <c r="G18" s="52" t="s">
        <v>492</v>
      </c>
      <c r="H18" s="52"/>
      <c r="I18" s="52"/>
      <c r="J18" s="52" t="s">
        <v>493</v>
      </c>
      <c r="K18" s="309"/>
      <c r="L18" s="23"/>
      <c r="M18" s="23"/>
    </row>
    <row r="19" ht="14.25" customHeight="1">
      <c r="A19" s="52">
        <v>17.0</v>
      </c>
      <c r="B19" s="310" t="s">
        <v>121</v>
      </c>
      <c r="C19" s="52" t="str">
        <f>VLOOKUP(B19,'CST Gantry To AP 68 Common Poin'!C:D,2,0)</f>
        <v>DA+0</v>
      </c>
      <c r="D19" s="305" t="s">
        <v>466</v>
      </c>
      <c r="E19" s="306" t="s">
        <v>453</v>
      </c>
      <c r="F19" s="307" t="s">
        <v>487</v>
      </c>
      <c r="G19" s="52" t="s">
        <v>489</v>
      </c>
      <c r="H19" s="52"/>
      <c r="I19" s="52"/>
      <c r="J19" s="52" t="s">
        <v>468</v>
      </c>
      <c r="K19" s="309"/>
      <c r="L19" s="23"/>
      <c r="M19" s="23"/>
    </row>
    <row r="20" ht="14.25" customHeight="1">
      <c r="A20" s="52">
        <v>18.0</v>
      </c>
      <c r="B20" s="305" t="s">
        <v>65</v>
      </c>
      <c r="C20" s="52" t="str">
        <f>VLOOKUP(B20,'CST Gantry To AP 68 Common Poin'!C:D,2,0)</f>
        <v>DA+3</v>
      </c>
      <c r="D20" s="305" t="s">
        <v>466</v>
      </c>
      <c r="E20" s="306" t="s">
        <v>453</v>
      </c>
      <c r="F20" s="307" t="s">
        <v>488</v>
      </c>
      <c r="G20" s="52" t="s">
        <v>494</v>
      </c>
      <c r="H20" s="52"/>
      <c r="I20" s="52"/>
      <c r="J20" s="52" t="s">
        <v>473</v>
      </c>
      <c r="K20" s="309"/>
      <c r="L20" s="23"/>
      <c r="M20" s="23"/>
    </row>
    <row r="21" ht="14.25" customHeight="1">
      <c r="A21" s="52">
        <v>19.0</v>
      </c>
      <c r="B21" s="305" t="s">
        <v>130</v>
      </c>
      <c r="C21" s="52" t="str">
        <f>VLOOKUP(B21,'CST Gantry To AP 68 Common Poin'!C:D,2,0)</f>
        <v>DA(-)3</v>
      </c>
      <c r="D21" s="305" t="s">
        <v>466</v>
      </c>
      <c r="E21" s="306" t="s">
        <v>453</v>
      </c>
      <c r="F21" s="307" t="s">
        <v>477</v>
      </c>
      <c r="G21" s="52" t="s">
        <v>495</v>
      </c>
      <c r="H21" s="52"/>
      <c r="I21" s="52"/>
      <c r="J21" s="52" t="s">
        <v>483</v>
      </c>
      <c r="K21" s="309"/>
      <c r="L21" s="23"/>
      <c r="M21" s="23"/>
    </row>
    <row r="22" ht="14.25" customHeight="1">
      <c r="A22" s="52">
        <v>20.0</v>
      </c>
      <c r="B22" s="305" t="s">
        <v>93</v>
      </c>
      <c r="C22" s="52" t="str">
        <f>VLOOKUP(B22,'CST Gantry To AP 68 Common Poin'!C:D,2,0)</f>
        <v>DA+0</v>
      </c>
      <c r="D22" s="305" t="s">
        <v>466</v>
      </c>
      <c r="E22" s="306" t="s">
        <v>453</v>
      </c>
      <c r="F22" s="307" t="s">
        <v>492</v>
      </c>
      <c r="G22" s="52" t="s">
        <v>496</v>
      </c>
      <c r="H22" s="52"/>
      <c r="I22" s="52"/>
      <c r="J22" s="52" t="s">
        <v>480</v>
      </c>
      <c r="K22" s="309"/>
      <c r="L22" s="23"/>
      <c r="M22" s="23"/>
    </row>
    <row r="23" ht="14.25" customHeight="1">
      <c r="A23" s="52">
        <v>21.0</v>
      </c>
      <c r="B23" s="310" t="s">
        <v>119</v>
      </c>
      <c r="C23" s="52" t="str">
        <f>VLOOKUP(B23,'CST Gantry To AP 68 Common Poin'!C:D,2,0)</f>
        <v>DA+0</v>
      </c>
      <c r="D23" s="305" t="s">
        <v>466</v>
      </c>
      <c r="E23" s="306" t="s">
        <v>453</v>
      </c>
      <c r="F23" s="307" t="s">
        <v>497</v>
      </c>
      <c r="G23" s="52" t="s">
        <v>498</v>
      </c>
      <c r="H23" s="52"/>
      <c r="I23" s="52"/>
      <c r="J23" s="52" t="s">
        <v>468</v>
      </c>
      <c r="K23" s="309"/>
      <c r="L23" s="23"/>
      <c r="M23" s="23"/>
    </row>
    <row r="24" ht="14.25" customHeight="1">
      <c r="A24" s="52">
        <v>22.0</v>
      </c>
      <c r="B24" s="305" t="s">
        <v>73</v>
      </c>
      <c r="C24" s="52" t="str">
        <f>VLOOKUP(B24,'CST Gantry To AP 68 Common Poin'!C:D,2,0)</f>
        <v>DA+0</v>
      </c>
      <c r="D24" s="305" t="s">
        <v>466</v>
      </c>
      <c r="E24" s="306" t="s">
        <v>453</v>
      </c>
      <c r="F24" s="307" t="s">
        <v>485</v>
      </c>
      <c r="G24" s="52" t="s">
        <v>499</v>
      </c>
      <c r="H24" s="52"/>
      <c r="I24" s="52"/>
      <c r="J24" s="52" t="s">
        <v>473</v>
      </c>
      <c r="K24" s="309"/>
      <c r="L24" s="23"/>
      <c r="M24" s="23"/>
    </row>
    <row r="25" ht="14.25" customHeight="1">
      <c r="A25" s="52">
        <v>23.0</v>
      </c>
      <c r="B25" s="305" t="s">
        <v>86</v>
      </c>
      <c r="C25" s="52" t="str">
        <f>VLOOKUP(B25,'CST Gantry To AP 68 Common Poin'!C:D,2,0)</f>
        <v>DA(-)1.5</v>
      </c>
      <c r="D25" s="305" t="s">
        <v>466</v>
      </c>
      <c r="E25" s="306" t="s">
        <v>453</v>
      </c>
      <c r="F25" s="307" t="s">
        <v>497</v>
      </c>
      <c r="G25" s="52" t="s">
        <v>500</v>
      </c>
      <c r="H25" s="52"/>
      <c r="I25" s="52"/>
      <c r="J25" s="52" t="s">
        <v>470</v>
      </c>
      <c r="K25" s="309"/>
      <c r="L25" s="23"/>
      <c r="M25" s="23"/>
    </row>
    <row r="26" ht="14.25" customHeight="1">
      <c r="A26" s="52">
        <v>24.0</v>
      </c>
      <c r="B26" s="305" t="s">
        <v>123</v>
      </c>
      <c r="C26" s="52" t="str">
        <f>VLOOKUP(B26,'CST Gantry To AP 68 Common Poin'!C:D,2,0)</f>
        <v>DA+0</v>
      </c>
      <c r="D26" s="305" t="s">
        <v>466</v>
      </c>
      <c r="E26" s="306" t="s">
        <v>453</v>
      </c>
      <c r="F26" s="307" t="s">
        <v>489</v>
      </c>
      <c r="G26" s="52" t="s">
        <v>497</v>
      </c>
      <c r="H26" s="52"/>
      <c r="I26" s="52"/>
      <c r="J26" s="52" t="s">
        <v>468</v>
      </c>
      <c r="K26" s="309"/>
      <c r="L26" s="23"/>
      <c r="M26" s="23"/>
    </row>
    <row r="27" ht="14.25" customHeight="1">
      <c r="A27" s="52">
        <v>25.0</v>
      </c>
      <c r="B27" s="310" t="s">
        <v>151</v>
      </c>
      <c r="C27" s="52" t="str">
        <f>VLOOKUP(B27,'CST Gantry To AP 68 Common Poin'!C:D,2,0)</f>
        <v>DA+3</v>
      </c>
      <c r="D27" s="305" t="s">
        <v>466</v>
      </c>
      <c r="E27" s="306" t="s">
        <v>453</v>
      </c>
      <c r="F27" s="307" t="s">
        <v>497</v>
      </c>
      <c r="G27" s="52" t="s">
        <v>498</v>
      </c>
      <c r="H27" s="52"/>
      <c r="I27" s="52"/>
      <c r="J27" s="52" t="s">
        <v>483</v>
      </c>
      <c r="K27" s="309"/>
      <c r="L27" s="23"/>
      <c r="M27" s="23"/>
    </row>
    <row r="28" ht="14.25" customHeight="1">
      <c r="A28" s="52">
        <v>26.0</v>
      </c>
      <c r="B28" s="310" t="s">
        <v>94</v>
      </c>
      <c r="C28" s="52" t="str">
        <f>VLOOKUP(B28,'CST Gantry To AP 68 Common Poin'!C:D,2,0)</f>
        <v>DA(-)3</v>
      </c>
      <c r="D28" s="305" t="s">
        <v>466</v>
      </c>
      <c r="E28" s="306" t="s">
        <v>453</v>
      </c>
      <c r="F28" s="307" t="s">
        <v>501</v>
      </c>
      <c r="G28" s="52" t="s">
        <v>502</v>
      </c>
      <c r="H28" s="52"/>
      <c r="I28" s="52"/>
      <c r="J28" s="52" t="s">
        <v>478</v>
      </c>
      <c r="K28" s="309"/>
      <c r="L28" s="23"/>
      <c r="M28" s="23"/>
    </row>
    <row r="29" ht="14.25" customHeight="1">
      <c r="A29" s="52">
        <v>27.0</v>
      </c>
      <c r="B29" s="310" t="s">
        <v>152</v>
      </c>
      <c r="C29" s="52" t="str">
        <f>VLOOKUP(B29,'CST Gantry To AP 68 Common Poin'!C:D,2,0)</f>
        <v>DA+0</v>
      </c>
      <c r="D29" s="305" t="s">
        <v>466</v>
      </c>
      <c r="E29" s="306" t="s">
        <v>453</v>
      </c>
      <c r="F29" s="307" t="s">
        <v>503</v>
      </c>
      <c r="G29" s="52" t="s">
        <v>504</v>
      </c>
      <c r="H29" s="52"/>
      <c r="I29" s="52"/>
      <c r="J29" s="52" t="s">
        <v>505</v>
      </c>
      <c r="K29" s="309"/>
      <c r="L29" s="23"/>
      <c r="M29" s="23"/>
    </row>
    <row r="30" ht="14.25" customHeight="1">
      <c r="A30" s="52">
        <v>28.0</v>
      </c>
      <c r="B30" s="305" t="s">
        <v>63</v>
      </c>
      <c r="C30" s="52" t="str">
        <f>VLOOKUP(B30,'CST Gantry To AP 68 Common Poin'!C:D,2,0)</f>
        <v>DA+0</v>
      </c>
      <c r="D30" s="305" t="s">
        <v>466</v>
      </c>
      <c r="E30" s="306" t="s">
        <v>453</v>
      </c>
      <c r="F30" s="307" t="s">
        <v>506</v>
      </c>
      <c r="G30" s="52" t="s">
        <v>502</v>
      </c>
      <c r="H30" s="52"/>
      <c r="I30" s="52"/>
      <c r="J30" s="52" t="s">
        <v>505</v>
      </c>
      <c r="K30" s="309"/>
      <c r="L30" s="23"/>
      <c r="M30" s="23"/>
    </row>
    <row r="31" ht="14.25" customHeight="1">
      <c r="A31" s="52">
        <v>29.0</v>
      </c>
      <c r="B31" s="305" t="s">
        <v>62</v>
      </c>
      <c r="C31" s="52" t="str">
        <f>VLOOKUP(B31,'CST Gantry To AP 68 Common Poin'!C:D,2,0)</f>
        <v>DA(-)3</v>
      </c>
      <c r="D31" s="305" t="s">
        <v>466</v>
      </c>
      <c r="E31" s="306" t="s">
        <v>453</v>
      </c>
      <c r="F31" s="307" t="s">
        <v>507</v>
      </c>
      <c r="G31" s="52" t="s">
        <v>508</v>
      </c>
      <c r="H31" s="52"/>
      <c r="I31" s="52"/>
      <c r="J31" s="52" t="s">
        <v>505</v>
      </c>
      <c r="K31" s="309"/>
      <c r="L31" s="23"/>
      <c r="M31" s="23"/>
    </row>
    <row r="32" ht="14.25" customHeight="1">
      <c r="A32" s="52">
        <v>30.0</v>
      </c>
      <c r="B32" s="311" t="s">
        <v>61</v>
      </c>
      <c r="C32" s="52" t="str">
        <f>VLOOKUP(B32,'CST Gantry To AP 68 Common Poin'!C:D,2,0)</f>
        <v>DA+3</v>
      </c>
      <c r="D32" s="305" t="s">
        <v>466</v>
      </c>
      <c r="E32" s="306" t="s">
        <v>453</v>
      </c>
      <c r="F32" s="312" t="s">
        <v>509</v>
      </c>
      <c r="G32" s="312">
        <v>45955.0</v>
      </c>
      <c r="H32" s="312"/>
      <c r="I32" s="312"/>
      <c r="J32" s="52" t="s">
        <v>505</v>
      </c>
      <c r="K32" s="309"/>
      <c r="L32" s="23"/>
      <c r="M32" s="23"/>
    </row>
    <row r="33" ht="14.25" customHeight="1">
      <c r="A33" s="52">
        <v>31.0</v>
      </c>
      <c r="B33" s="311" t="s">
        <v>70</v>
      </c>
      <c r="C33" s="52" t="str">
        <f>VLOOKUP(B33,'CST Gantry To AP 68 Common Poin'!C:D,2,0)</f>
        <v>DA+0</v>
      </c>
      <c r="D33" s="305" t="s">
        <v>466</v>
      </c>
      <c r="E33" s="306" t="s">
        <v>453</v>
      </c>
      <c r="F33" s="313" t="s">
        <v>510</v>
      </c>
      <c r="G33" s="52" t="s">
        <v>511</v>
      </c>
      <c r="H33" s="52"/>
      <c r="I33" s="52"/>
      <c r="J33" s="52" t="s">
        <v>505</v>
      </c>
      <c r="K33" s="309"/>
      <c r="L33" s="23"/>
      <c r="M33" s="23"/>
    </row>
    <row r="34" ht="14.25" customHeight="1">
      <c r="A34" s="52">
        <v>32.0</v>
      </c>
      <c r="B34" s="310" t="s">
        <v>57</v>
      </c>
      <c r="C34" s="52" t="str">
        <f>VLOOKUP(B34,'CST Gantry To AP 68 Common Poin'!C:D,2,0)</f>
        <v>DA+3</v>
      </c>
      <c r="D34" s="305" t="s">
        <v>466</v>
      </c>
      <c r="E34" s="306" t="s">
        <v>453</v>
      </c>
      <c r="F34" s="307" t="s">
        <v>512</v>
      </c>
      <c r="G34" s="52" t="s">
        <v>513</v>
      </c>
      <c r="H34" s="52"/>
      <c r="I34" s="52"/>
      <c r="J34" s="52" t="s">
        <v>505</v>
      </c>
      <c r="K34" s="309"/>
      <c r="L34" s="23"/>
      <c r="M34" s="23"/>
    </row>
    <row r="35" ht="14.25" customHeight="1">
      <c r="A35" s="52">
        <v>33.0</v>
      </c>
      <c r="B35" s="305" t="s">
        <v>74</v>
      </c>
      <c r="C35" s="52" t="str">
        <f>VLOOKUP(B35,'CST Gantry To AP 68 Common Poin'!C:D,2,0)</f>
        <v>DA(-)3</v>
      </c>
      <c r="D35" s="305" t="s">
        <v>466</v>
      </c>
      <c r="E35" s="306" t="s">
        <v>453</v>
      </c>
      <c r="F35" s="307" t="s">
        <v>514</v>
      </c>
      <c r="G35" s="52" t="s">
        <v>515</v>
      </c>
      <c r="H35" s="52"/>
      <c r="I35" s="52"/>
      <c r="J35" s="52" t="s">
        <v>505</v>
      </c>
      <c r="K35" s="309"/>
      <c r="L35" s="23"/>
      <c r="M35" s="23"/>
    </row>
    <row r="36" ht="14.25" customHeight="1">
      <c r="A36" s="52">
        <v>34.0</v>
      </c>
      <c r="B36" s="310" t="s">
        <v>101</v>
      </c>
      <c r="C36" s="52" t="str">
        <f>VLOOKUP(B36,'CST Gantry To AP 68 Common Poin'!C:D,2,0)</f>
        <v>DA+6</v>
      </c>
      <c r="D36" s="305" t="s">
        <v>466</v>
      </c>
      <c r="E36" s="306" t="s">
        <v>453</v>
      </c>
      <c r="F36" s="307" t="s">
        <v>516</v>
      </c>
      <c r="G36" s="52" t="s">
        <v>517</v>
      </c>
      <c r="H36" s="52"/>
      <c r="I36" s="52"/>
      <c r="J36" s="52" t="s">
        <v>518</v>
      </c>
      <c r="K36" s="309"/>
      <c r="L36" s="23"/>
      <c r="M36" s="23"/>
    </row>
    <row r="37" ht="14.25" customHeight="1">
      <c r="A37" s="52">
        <v>35.0</v>
      </c>
      <c r="B37" s="305" t="s">
        <v>109</v>
      </c>
      <c r="C37" s="52" t="str">
        <f>VLOOKUP(B37,'CST Gantry To AP 68 Common Poin'!C:D,2,0)</f>
        <v>DA+0</v>
      </c>
      <c r="D37" s="305" t="s">
        <v>466</v>
      </c>
      <c r="E37" s="306" t="s">
        <v>453</v>
      </c>
      <c r="F37" s="307" t="s">
        <v>516</v>
      </c>
      <c r="G37" s="52" t="s">
        <v>519</v>
      </c>
      <c r="H37" s="52"/>
      <c r="I37" s="52"/>
      <c r="J37" s="52" t="s">
        <v>520</v>
      </c>
      <c r="K37" s="309"/>
      <c r="L37" s="23"/>
      <c r="M37" s="23"/>
    </row>
    <row r="38" ht="14.25" customHeight="1">
      <c r="A38" s="52">
        <v>36.0</v>
      </c>
      <c r="B38" s="310" t="s">
        <v>136</v>
      </c>
      <c r="C38" s="52" t="str">
        <f>VLOOKUP(B38,'CST Gantry To AP 68 Common Poin'!C:D,2,0)</f>
        <v>DA+3</v>
      </c>
      <c r="D38" s="305" t="s">
        <v>466</v>
      </c>
      <c r="E38" s="306" t="s">
        <v>453</v>
      </c>
      <c r="F38" s="307" t="s">
        <v>521</v>
      </c>
      <c r="G38" s="52" t="s">
        <v>522</v>
      </c>
      <c r="H38" s="52"/>
      <c r="I38" s="52" t="s">
        <v>523</v>
      </c>
      <c r="J38" s="52" t="s">
        <v>524</v>
      </c>
      <c r="K38" s="309">
        <v>44.0</v>
      </c>
      <c r="L38" s="23"/>
      <c r="M38" s="23"/>
    </row>
    <row r="39" ht="14.25" customHeight="1">
      <c r="A39" s="52">
        <v>37.0</v>
      </c>
      <c r="B39" s="305" t="s">
        <v>80</v>
      </c>
      <c r="C39" s="52" t="str">
        <f>VLOOKUP(B39,'CST Gantry To AP 68 Common Poin'!C:D,2,0)</f>
        <v>DA(-)3</v>
      </c>
      <c r="D39" s="305" t="s">
        <v>466</v>
      </c>
      <c r="E39" s="306" t="s">
        <v>453</v>
      </c>
      <c r="F39" s="307" t="s">
        <v>515</v>
      </c>
      <c r="G39" s="52" t="s">
        <v>525</v>
      </c>
      <c r="H39" s="52"/>
      <c r="I39" s="52"/>
      <c r="J39" s="52" t="s">
        <v>505</v>
      </c>
      <c r="K39" s="309"/>
      <c r="L39" s="23"/>
      <c r="M39" s="23"/>
    </row>
    <row r="40" ht="14.25" customHeight="1">
      <c r="A40" s="52">
        <v>38.0</v>
      </c>
      <c r="B40" s="305" t="s">
        <v>85</v>
      </c>
      <c r="C40" s="52" t="str">
        <f>VLOOKUP(B40,'CST Gantry To AP 68 Common Poin'!C:D,2,0)</f>
        <v>DB2+0</v>
      </c>
      <c r="D40" s="305" t="s">
        <v>466</v>
      </c>
      <c r="E40" s="306" t="s">
        <v>453</v>
      </c>
      <c r="F40" s="307" t="s">
        <v>525</v>
      </c>
      <c r="G40" s="52" t="s">
        <v>521</v>
      </c>
      <c r="H40" s="52"/>
      <c r="I40" s="52"/>
      <c r="J40" s="52" t="s">
        <v>505</v>
      </c>
      <c r="K40" s="309"/>
      <c r="L40" s="23"/>
      <c r="M40" s="23"/>
    </row>
    <row r="41" ht="14.25" customHeight="1">
      <c r="A41" s="52">
        <v>39.0</v>
      </c>
      <c r="B41" s="305" t="s">
        <v>30</v>
      </c>
      <c r="C41" s="52" t="str">
        <f>VLOOKUP(B41,'CST Gantry To AP 68 Common Poin'!C:D,2,0)</f>
        <v>DA(-)3</v>
      </c>
      <c r="D41" s="305" t="s">
        <v>466</v>
      </c>
      <c r="E41" s="306" t="s">
        <v>453</v>
      </c>
      <c r="F41" s="307" t="s">
        <v>526</v>
      </c>
      <c r="G41" s="52" t="s">
        <v>517</v>
      </c>
      <c r="H41" s="52"/>
      <c r="I41" s="52"/>
      <c r="J41" s="52" t="s">
        <v>473</v>
      </c>
      <c r="K41" s="309"/>
      <c r="L41" s="23"/>
      <c r="M41" s="23"/>
    </row>
    <row r="42" ht="14.25" customHeight="1">
      <c r="A42" s="52">
        <v>40.0</v>
      </c>
      <c r="B42" s="305" t="s">
        <v>38</v>
      </c>
      <c r="C42" s="52" t="str">
        <f>VLOOKUP(B42,'CST Gantry To AP 68 Common Poin'!C:D,2,0)</f>
        <v>DA+3</v>
      </c>
      <c r="D42" s="305" t="s">
        <v>466</v>
      </c>
      <c r="E42" s="306" t="s">
        <v>453</v>
      </c>
      <c r="F42" s="307" t="s">
        <v>527</v>
      </c>
      <c r="G42" s="52" t="s">
        <v>528</v>
      </c>
      <c r="H42" s="52"/>
      <c r="I42" s="52"/>
      <c r="J42" s="52" t="s">
        <v>473</v>
      </c>
      <c r="K42" s="309"/>
      <c r="L42" s="23"/>
      <c r="M42" s="23"/>
    </row>
    <row r="43" ht="14.25" customHeight="1">
      <c r="A43" s="52">
        <v>41.0</v>
      </c>
      <c r="B43" s="305" t="s">
        <v>106</v>
      </c>
      <c r="C43" s="52" t="str">
        <f>VLOOKUP(B43,'CST Gantry To AP 68 Common Poin'!C:D,2,0)</f>
        <v>DA+3</v>
      </c>
      <c r="D43" s="305" t="s">
        <v>466</v>
      </c>
      <c r="E43" s="306" t="s">
        <v>453</v>
      </c>
      <c r="F43" s="307" t="s">
        <v>527</v>
      </c>
      <c r="G43" s="52" t="s">
        <v>529</v>
      </c>
      <c r="H43" s="52"/>
      <c r="I43" s="52" t="s">
        <v>523</v>
      </c>
      <c r="J43" s="52" t="s">
        <v>520</v>
      </c>
      <c r="K43" s="309"/>
      <c r="L43" s="23"/>
      <c r="M43" s="23"/>
    </row>
    <row r="44" ht="14.25" customHeight="1">
      <c r="A44" s="52">
        <v>42.0</v>
      </c>
      <c r="B44" s="305" t="s">
        <v>100</v>
      </c>
      <c r="C44" s="52" t="str">
        <f>VLOOKUP(B44,'CST Gantry To AP 68 Common Poin'!C:D,2,0)</f>
        <v>DA+0</v>
      </c>
      <c r="D44" s="305" t="s">
        <v>466</v>
      </c>
      <c r="E44" s="306" t="s">
        <v>453</v>
      </c>
      <c r="F44" s="307" t="s">
        <v>521</v>
      </c>
      <c r="G44" s="52" t="s">
        <v>530</v>
      </c>
      <c r="H44" s="52"/>
      <c r="I44" s="52" t="s">
        <v>523</v>
      </c>
      <c r="J44" s="52" t="s">
        <v>518</v>
      </c>
      <c r="K44" s="309"/>
      <c r="L44" s="23"/>
      <c r="M44" s="23"/>
    </row>
    <row r="45" ht="14.25" customHeight="1">
      <c r="A45" s="52">
        <v>43.0</v>
      </c>
      <c r="B45" s="305" t="s">
        <v>54</v>
      </c>
      <c r="C45" s="52" t="str">
        <f>VLOOKUP(B45,'CST Gantry To AP 68 Common Poin'!C:D,2,0)</f>
        <v>DA+0</v>
      </c>
      <c r="D45" s="305" t="s">
        <v>466</v>
      </c>
      <c r="E45" s="306" t="s">
        <v>453</v>
      </c>
      <c r="F45" s="307" t="s">
        <v>531</v>
      </c>
      <c r="G45" s="52" t="s">
        <v>532</v>
      </c>
      <c r="H45" s="52"/>
      <c r="I45" s="52" t="s">
        <v>523</v>
      </c>
      <c r="J45" s="52" t="s">
        <v>505</v>
      </c>
      <c r="K45" s="309"/>
      <c r="L45" s="23"/>
      <c r="M45" s="23"/>
    </row>
    <row r="46" ht="14.25" customHeight="1">
      <c r="A46" s="52">
        <v>44.0</v>
      </c>
      <c r="B46" s="305" t="s">
        <v>40</v>
      </c>
      <c r="C46" s="52" t="str">
        <f>VLOOKUP(B46,'CST Gantry To AP 68 Common Poin'!C:D,2,0)</f>
        <v>DA+0</v>
      </c>
      <c r="D46" s="305" t="s">
        <v>466</v>
      </c>
      <c r="E46" s="306" t="s">
        <v>453</v>
      </c>
      <c r="F46" s="307" t="s">
        <v>533</v>
      </c>
      <c r="G46" s="52" t="s">
        <v>530</v>
      </c>
      <c r="H46" s="52"/>
      <c r="I46" s="52" t="s">
        <v>523</v>
      </c>
      <c r="J46" s="52" t="s">
        <v>473</v>
      </c>
      <c r="K46" s="309"/>
      <c r="L46" s="23"/>
      <c r="M46" s="23"/>
    </row>
    <row r="47" ht="14.25" customHeight="1">
      <c r="A47" s="52">
        <v>45.0</v>
      </c>
      <c r="B47" s="310" t="s">
        <v>98</v>
      </c>
      <c r="C47" s="52" t="str">
        <f>VLOOKUP(B47,'CST Gantry To AP 68 Common Poin'!C:D,2,0)</f>
        <v>DA+0</v>
      </c>
      <c r="D47" s="305" t="s">
        <v>466</v>
      </c>
      <c r="E47" s="306" t="s">
        <v>453</v>
      </c>
      <c r="F47" s="307" t="s">
        <v>534</v>
      </c>
      <c r="G47" s="52" t="s">
        <v>535</v>
      </c>
      <c r="H47" s="52"/>
      <c r="I47" s="52" t="s">
        <v>523</v>
      </c>
      <c r="J47" s="52" t="s">
        <v>518</v>
      </c>
      <c r="K47" s="309"/>
      <c r="L47" s="23"/>
      <c r="M47" s="23"/>
    </row>
    <row r="48" ht="14.25" customHeight="1">
      <c r="A48" s="52">
        <v>46.0</v>
      </c>
      <c r="B48" s="305" t="s">
        <v>105</v>
      </c>
      <c r="C48" s="52" t="str">
        <f>VLOOKUP(B48,'CST Gantry To AP 68 Common Poin'!C:D,2,0)</f>
        <v>DA+0</v>
      </c>
      <c r="D48" s="305" t="s">
        <v>466</v>
      </c>
      <c r="E48" s="306" t="s">
        <v>453</v>
      </c>
      <c r="F48" s="307" t="s">
        <v>529</v>
      </c>
      <c r="G48" s="52" t="s">
        <v>536</v>
      </c>
      <c r="H48" s="52"/>
      <c r="I48" s="52" t="s">
        <v>523</v>
      </c>
      <c r="J48" s="52" t="s">
        <v>520</v>
      </c>
      <c r="K48" s="309"/>
      <c r="L48" s="23"/>
      <c r="M48" s="23"/>
    </row>
    <row r="49" ht="14.25" customHeight="1">
      <c r="A49" s="52">
        <v>47.0</v>
      </c>
      <c r="B49" s="305" t="s">
        <v>42</v>
      </c>
      <c r="C49" s="52" t="str">
        <f>VLOOKUP(B49,'CST Gantry To AP 68 Common Poin'!C:D,2,0)</f>
        <v>DA(-)3</v>
      </c>
      <c r="D49" s="305" t="s">
        <v>466</v>
      </c>
      <c r="E49" s="306" t="s">
        <v>453</v>
      </c>
      <c r="F49" s="307" t="s">
        <v>537</v>
      </c>
      <c r="G49" s="52" t="s">
        <v>538</v>
      </c>
      <c r="H49" s="52"/>
      <c r="I49" s="52" t="s">
        <v>523</v>
      </c>
      <c r="J49" s="52" t="s">
        <v>473</v>
      </c>
      <c r="K49" s="309"/>
      <c r="L49" s="23"/>
      <c r="M49" s="23"/>
    </row>
    <row r="50" ht="14.25" customHeight="1">
      <c r="A50" s="52">
        <v>48.0</v>
      </c>
      <c r="B50" s="305" t="s">
        <v>53</v>
      </c>
      <c r="C50" s="52" t="str">
        <f>VLOOKUP(B50,'CST Gantry To AP 68 Common Poin'!C:D,2,0)</f>
        <v>DB1+0</v>
      </c>
      <c r="D50" s="305" t="s">
        <v>466</v>
      </c>
      <c r="E50" s="306" t="s">
        <v>453</v>
      </c>
      <c r="F50" s="307" t="s">
        <v>530</v>
      </c>
      <c r="G50" s="52" t="s">
        <v>539</v>
      </c>
      <c r="H50" s="52"/>
      <c r="I50" s="52" t="s">
        <v>523</v>
      </c>
      <c r="J50" s="52" t="s">
        <v>505</v>
      </c>
      <c r="K50" s="309"/>
      <c r="L50" s="23"/>
      <c r="M50" s="23"/>
    </row>
    <row r="51" ht="14.25" customHeight="1">
      <c r="A51" s="52">
        <v>49.0</v>
      </c>
      <c r="B51" s="310" t="s">
        <v>104</v>
      </c>
      <c r="C51" s="52" t="str">
        <f>VLOOKUP(B51,'CST Gantry To AP 68 Common Poin'!C:D,2,0)</f>
        <v>DA+0</v>
      </c>
      <c r="D51" s="305" t="s">
        <v>466</v>
      </c>
      <c r="E51" s="306" t="s">
        <v>453</v>
      </c>
      <c r="F51" s="307" t="s">
        <v>538</v>
      </c>
      <c r="G51" s="52" t="s">
        <v>540</v>
      </c>
      <c r="H51" s="52"/>
      <c r="I51" s="52" t="s">
        <v>523</v>
      </c>
      <c r="J51" s="52" t="s">
        <v>520</v>
      </c>
      <c r="K51" s="309"/>
      <c r="L51" s="23"/>
      <c r="M51" s="23"/>
    </row>
    <row r="52" ht="14.25" customHeight="1">
      <c r="A52" s="52">
        <v>50.0</v>
      </c>
      <c r="B52" s="52" t="s">
        <v>358</v>
      </c>
      <c r="C52" s="52" t="str">
        <f>VLOOKUP(B52,'CST Gantry To AP 68 Common Poin'!C:D,2,0)</f>
        <v>DA(-)3</v>
      </c>
      <c r="D52" s="305" t="s">
        <v>454</v>
      </c>
      <c r="E52" s="306" t="s">
        <v>453</v>
      </c>
      <c r="F52" s="307" t="s">
        <v>538</v>
      </c>
      <c r="G52" s="52" t="s">
        <v>541</v>
      </c>
      <c r="H52" s="52"/>
      <c r="I52" s="52" t="s">
        <v>523</v>
      </c>
      <c r="J52" s="52" t="s">
        <v>542</v>
      </c>
      <c r="K52" s="309"/>
      <c r="L52" s="23"/>
      <c r="M52" s="23"/>
    </row>
    <row r="53" ht="14.25" customHeight="1">
      <c r="A53" s="52">
        <v>51.0</v>
      </c>
      <c r="B53" s="305" t="s">
        <v>50</v>
      </c>
      <c r="C53" s="52" t="str">
        <f>VLOOKUP(B53,'CST Gantry To AP 68 Common Poin'!C:D,2,0)</f>
        <v>DA+0</v>
      </c>
      <c r="D53" s="305" t="s">
        <v>466</v>
      </c>
      <c r="E53" s="306" t="s">
        <v>453</v>
      </c>
      <c r="F53" s="307" t="s">
        <v>536</v>
      </c>
      <c r="G53" s="52" t="s">
        <v>539</v>
      </c>
      <c r="H53" s="52"/>
      <c r="I53" s="52" t="s">
        <v>523</v>
      </c>
      <c r="J53" s="52" t="s">
        <v>473</v>
      </c>
      <c r="K53" s="309"/>
      <c r="L53" s="23"/>
      <c r="M53" s="23"/>
    </row>
    <row r="54" ht="14.25" customHeight="1">
      <c r="A54" s="52">
        <v>52.0</v>
      </c>
      <c r="B54" s="305" t="s">
        <v>126</v>
      </c>
      <c r="C54" s="52" t="str">
        <f>VLOOKUP(B54,'CST Gantry To AP 68 Common Poin'!C:D,2,0)</f>
        <v>DA+6</v>
      </c>
      <c r="D54" s="305" t="s">
        <v>466</v>
      </c>
      <c r="E54" s="306" t="s">
        <v>453</v>
      </c>
      <c r="F54" s="307" t="s">
        <v>543</v>
      </c>
      <c r="G54" s="52" t="s">
        <v>544</v>
      </c>
      <c r="H54" s="52"/>
      <c r="I54" s="52" t="s">
        <v>545</v>
      </c>
      <c r="J54" s="52" t="s">
        <v>524</v>
      </c>
      <c r="K54" s="309"/>
      <c r="L54" s="23"/>
      <c r="M54" s="23"/>
    </row>
    <row r="55" ht="14.25" customHeight="1">
      <c r="A55" s="52">
        <v>53.0</v>
      </c>
      <c r="B55" s="305" t="s">
        <v>189</v>
      </c>
      <c r="C55" s="52" t="str">
        <f>VLOOKUP(B55,'CST Gantry To AP 68 Common Poin'!C:D,2,0)</f>
        <v>DA+1.5</v>
      </c>
      <c r="D55" s="305" t="s">
        <v>466</v>
      </c>
      <c r="E55" s="306" t="s">
        <v>453</v>
      </c>
      <c r="F55" s="307" t="s">
        <v>539</v>
      </c>
      <c r="G55" s="52" t="s">
        <v>546</v>
      </c>
      <c r="H55" s="52"/>
      <c r="I55" s="52" t="s">
        <v>523</v>
      </c>
      <c r="J55" s="52" t="s">
        <v>518</v>
      </c>
      <c r="K55" s="309"/>
      <c r="L55" s="23"/>
      <c r="M55" s="23"/>
    </row>
    <row r="56" ht="14.25" customHeight="1">
      <c r="A56" s="52">
        <v>54.0</v>
      </c>
      <c r="B56" s="305" t="s">
        <v>49</v>
      </c>
      <c r="C56" s="52" t="str">
        <f>VLOOKUP(B56,'CST Gantry To AP 68 Common Poin'!C:D,2,0)</f>
        <v>DA+0</v>
      </c>
      <c r="D56" s="305" t="s">
        <v>466</v>
      </c>
      <c r="E56" s="306" t="s">
        <v>453</v>
      </c>
      <c r="F56" s="307" t="s">
        <v>541</v>
      </c>
      <c r="G56" s="52" t="s">
        <v>547</v>
      </c>
      <c r="H56" s="52"/>
      <c r="I56" s="52" t="s">
        <v>523</v>
      </c>
      <c r="J56" s="52" t="s">
        <v>473</v>
      </c>
      <c r="K56" s="309"/>
      <c r="L56" s="23"/>
      <c r="M56" s="23"/>
    </row>
    <row r="57" ht="14.25" customHeight="1">
      <c r="A57" s="52">
        <v>55.0</v>
      </c>
      <c r="B57" s="305" t="s">
        <v>55</v>
      </c>
      <c r="C57" s="52" t="str">
        <f>VLOOKUP(B57,'CST Gantry To AP 68 Common Poin'!C:D,2,0)</f>
        <v>DA+3</v>
      </c>
      <c r="D57" s="305" t="s">
        <v>466</v>
      </c>
      <c r="E57" s="306" t="s">
        <v>453</v>
      </c>
      <c r="F57" s="307" t="s">
        <v>548</v>
      </c>
      <c r="G57" s="52" t="s">
        <v>549</v>
      </c>
      <c r="H57" s="52"/>
      <c r="I57" s="52" t="s">
        <v>523</v>
      </c>
      <c r="J57" s="52" t="s">
        <v>505</v>
      </c>
      <c r="K57" s="309"/>
      <c r="L57" s="23"/>
      <c r="M57" s="23"/>
    </row>
    <row r="58" ht="14.25" customHeight="1">
      <c r="A58" s="52">
        <v>56.0</v>
      </c>
      <c r="B58" s="305" t="s">
        <v>363</v>
      </c>
      <c r="C58" s="52" t="str">
        <f>VLOOKUP(B58,'CST Gantry To AP 68 Common Poin'!C:D,2,0)</f>
        <v>DB1+0</v>
      </c>
      <c r="D58" s="305" t="s">
        <v>454</v>
      </c>
      <c r="E58" s="306" t="s">
        <v>453</v>
      </c>
      <c r="F58" s="307" t="s">
        <v>540</v>
      </c>
      <c r="G58" s="52" t="s">
        <v>550</v>
      </c>
      <c r="H58" s="52"/>
      <c r="I58" s="52" t="s">
        <v>523</v>
      </c>
      <c r="J58" s="52" t="s">
        <v>542</v>
      </c>
      <c r="K58" s="309"/>
      <c r="L58" s="23"/>
      <c r="M58" s="23"/>
    </row>
    <row r="59" ht="14.25" customHeight="1">
      <c r="A59" s="52">
        <v>57.0</v>
      </c>
      <c r="B59" s="305" t="s">
        <v>107</v>
      </c>
      <c r="C59" s="52" t="str">
        <f>VLOOKUP(B59,'CST Gantry To AP 68 Common Poin'!C:D,2,0)</f>
        <v>DB1+0</v>
      </c>
      <c r="D59" s="305" t="s">
        <v>466</v>
      </c>
      <c r="E59" s="306" t="s">
        <v>453</v>
      </c>
      <c r="F59" s="307" t="s">
        <v>547</v>
      </c>
      <c r="G59" s="52" t="s">
        <v>551</v>
      </c>
      <c r="H59" s="52"/>
      <c r="I59" s="52" t="s">
        <v>523</v>
      </c>
      <c r="J59" s="52" t="s">
        <v>520</v>
      </c>
      <c r="K59" s="309"/>
      <c r="L59" s="23"/>
      <c r="M59" s="23"/>
    </row>
    <row r="60" ht="14.25" customHeight="1">
      <c r="A60" s="52">
        <v>58.0</v>
      </c>
      <c r="B60" s="305" t="s">
        <v>64</v>
      </c>
      <c r="C60" s="52" t="str">
        <f>VLOOKUP(B60,'CST Gantry To AP 68 Common Poin'!C:D,2,0)</f>
        <v>DB2+0</v>
      </c>
      <c r="D60" s="305" t="s">
        <v>466</v>
      </c>
      <c r="E60" s="306" t="s">
        <v>453</v>
      </c>
      <c r="F60" s="307" t="s">
        <v>549</v>
      </c>
      <c r="G60" s="52" t="s">
        <v>552</v>
      </c>
      <c r="H60" s="52"/>
      <c r="I60" s="52" t="s">
        <v>523</v>
      </c>
      <c r="J60" s="52" t="s">
        <v>473</v>
      </c>
      <c r="K60" s="309"/>
      <c r="L60" s="23"/>
      <c r="M60" s="23"/>
    </row>
    <row r="61" ht="14.25" customHeight="1">
      <c r="A61" s="52">
        <v>59.0</v>
      </c>
      <c r="B61" s="305" t="s">
        <v>56</v>
      </c>
      <c r="C61" s="52" t="str">
        <f>VLOOKUP(B61,'CST Gantry To AP 68 Common Poin'!C:D,2,0)</f>
        <v>DA+3</v>
      </c>
      <c r="D61" s="305" t="s">
        <v>466</v>
      </c>
      <c r="E61" s="306" t="s">
        <v>453</v>
      </c>
      <c r="F61" s="307" t="s">
        <v>546</v>
      </c>
      <c r="G61" s="52" t="s">
        <v>550</v>
      </c>
      <c r="H61" s="52"/>
      <c r="I61" s="52" t="s">
        <v>523</v>
      </c>
      <c r="J61" s="52" t="s">
        <v>505</v>
      </c>
      <c r="K61" s="309"/>
      <c r="L61" s="23"/>
      <c r="M61" s="23"/>
    </row>
    <row r="62" ht="14.25" customHeight="1">
      <c r="A62" s="52">
        <v>60.0</v>
      </c>
      <c r="B62" s="305" t="s">
        <v>190</v>
      </c>
      <c r="C62" s="52" t="str">
        <f>VLOOKUP(B62,'CST Gantry To AP 68 Common Poin'!C:D,2,0)</f>
        <v>DA+0</v>
      </c>
      <c r="D62" s="305" t="s">
        <v>466</v>
      </c>
      <c r="E62" s="306" t="s">
        <v>453</v>
      </c>
      <c r="F62" s="307" t="s">
        <v>553</v>
      </c>
      <c r="G62" s="52" t="s">
        <v>554</v>
      </c>
      <c r="H62" s="52"/>
      <c r="I62" s="52" t="s">
        <v>523</v>
      </c>
      <c r="J62" s="52" t="s">
        <v>518</v>
      </c>
      <c r="K62" s="309"/>
      <c r="L62" s="23"/>
      <c r="M62" s="23"/>
    </row>
    <row r="63" ht="14.25" customHeight="1">
      <c r="A63" s="52">
        <v>61.0</v>
      </c>
      <c r="B63" s="310" t="s">
        <v>71</v>
      </c>
      <c r="C63" s="52" t="str">
        <f>VLOOKUP(B63,'CST Gantry To AP 68 Common Poin'!C:D,2,0)</f>
        <v>DA+6</v>
      </c>
      <c r="D63" s="305" t="s">
        <v>466</v>
      </c>
      <c r="E63" s="306" t="s">
        <v>453</v>
      </c>
      <c r="F63" s="307" t="s">
        <v>554</v>
      </c>
      <c r="G63" s="52" t="s">
        <v>555</v>
      </c>
      <c r="H63" s="52"/>
      <c r="I63" s="52" t="s">
        <v>545</v>
      </c>
      <c r="J63" s="52" t="s">
        <v>473</v>
      </c>
      <c r="K63" s="309"/>
      <c r="L63" s="23"/>
      <c r="M63" s="23"/>
    </row>
    <row r="64" ht="14.25" customHeight="1">
      <c r="A64" s="52">
        <v>62.0</v>
      </c>
      <c r="B64" s="305" t="s">
        <v>46</v>
      </c>
      <c r="C64" s="52" t="str">
        <f>VLOOKUP(B64,'CST Gantry To AP 68 Common Poin'!C:D,2,0)</f>
        <v>DA+1.5</v>
      </c>
      <c r="D64" s="305" t="s">
        <v>466</v>
      </c>
      <c r="E64" s="306" t="s">
        <v>453</v>
      </c>
      <c r="F64" s="307" t="s">
        <v>554</v>
      </c>
      <c r="G64" s="52" t="s">
        <v>556</v>
      </c>
      <c r="H64" s="52"/>
      <c r="I64" s="52" t="s">
        <v>545</v>
      </c>
      <c r="J64" s="52" t="s">
        <v>505</v>
      </c>
      <c r="K64" s="309"/>
      <c r="L64" s="23"/>
      <c r="M64" s="23"/>
    </row>
    <row r="65" ht="14.25" customHeight="1">
      <c r="A65" s="52">
        <v>63.0</v>
      </c>
      <c r="B65" s="310" t="s">
        <v>122</v>
      </c>
      <c r="C65" s="52" t="str">
        <f>VLOOKUP(B65,'CST Gantry To AP 68 Common Poin'!C:D,2,0)</f>
        <v>DA+6</v>
      </c>
      <c r="D65" s="305" t="s">
        <v>466</v>
      </c>
      <c r="E65" s="306" t="s">
        <v>453</v>
      </c>
      <c r="F65" s="307" t="s">
        <v>557</v>
      </c>
      <c r="G65" s="52" t="s">
        <v>558</v>
      </c>
      <c r="H65" s="52"/>
      <c r="I65" s="52" t="s">
        <v>545</v>
      </c>
      <c r="J65" s="52" t="s">
        <v>520</v>
      </c>
      <c r="K65" s="309"/>
      <c r="L65" s="23"/>
      <c r="M65" s="23"/>
    </row>
    <row r="66" ht="14.25" customHeight="1">
      <c r="A66" s="52">
        <v>64.0</v>
      </c>
      <c r="B66" s="305" t="s">
        <v>353</v>
      </c>
      <c r="C66" s="52" t="str">
        <f>VLOOKUP(B66,'CST Gantry To AP 68 Common Poin'!C:D,2,0)</f>
        <v>DA+0</v>
      </c>
      <c r="D66" s="305" t="s">
        <v>454</v>
      </c>
      <c r="E66" s="306" t="s">
        <v>453</v>
      </c>
      <c r="F66" s="307" t="s">
        <v>551</v>
      </c>
      <c r="G66" s="52" t="s">
        <v>559</v>
      </c>
      <c r="H66" s="52"/>
      <c r="I66" s="52" t="s">
        <v>545</v>
      </c>
      <c r="J66" s="52" t="s">
        <v>542</v>
      </c>
      <c r="K66" s="309"/>
      <c r="L66" s="23"/>
      <c r="M66" s="23"/>
    </row>
    <row r="67" ht="14.25" customHeight="1">
      <c r="A67" s="52">
        <v>65.0</v>
      </c>
      <c r="B67" s="305" t="s">
        <v>192</v>
      </c>
      <c r="C67" s="52" t="str">
        <f>VLOOKUP(B67,'CST Gantry To AP 68 Common Poin'!C:D,2,0)</f>
        <v>DA+0</v>
      </c>
      <c r="D67" s="305" t="s">
        <v>466</v>
      </c>
      <c r="E67" s="306" t="s">
        <v>453</v>
      </c>
      <c r="F67" s="307" t="s">
        <v>551</v>
      </c>
      <c r="G67" s="52" t="s">
        <v>544</v>
      </c>
      <c r="H67" s="52"/>
      <c r="I67" s="52" t="s">
        <v>545</v>
      </c>
      <c r="J67" s="52" t="s">
        <v>518</v>
      </c>
      <c r="K67" s="309"/>
      <c r="L67" s="23"/>
      <c r="M67" s="23"/>
    </row>
    <row r="68" ht="14.25" customHeight="1">
      <c r="A68" s="52">
        <v>66.0</v>
      </c>
      <c r="B68" s="305" t="s">
        <v>52</v>
      </c>
      <c r="C68" s="52" t="str">
        <f>VLOOKUP(B68,'CST Gantry To AP 68 Common Poin'!C:D,2,0)</f>
        <v>DA+0</v>
      </c>
      <c r="D68" s="305" t="s">
        <v>466</v>
      </c>
      <c r="E68" s="306" t="s">
        <v>453</v>
      </c>
      <c r="F68" s="307" t="s">
        <v>555</v>
      </c>
      <c r="G68" s="52" t="s">
        <v>559</v>
      </c>
      <c r="H68" s="52"/>
      <c r="I68" s="52" t="s">
        <v>545</v>
      </c>
      <c r="J68" s="52" t="s">
        <v>505</v>
      </c>
      <c r="K68" s="309"/>
      <c r="L68" s="23"/>
      <c r="M68" s="23"/>
    </row>
    <row r="69" ht="14.25" customHeight="1">
      <c r="A69" s="52">
        <v>67.0</v>
      </c>
      <c r="B69" s="305" t="s">
        <v>75</v>
      </c>
      <c r="C69" s="52" t="str">
        <f>VLOOKUP(B69,'CST Gantry To AP 68 Common Poin'!C:D,2,0)</f>
        <v>DA+3</v>
      </c>
      <c r="D69" s="305" t="s">
        <v>466</v>
      </c>
      <c r="E69" s="306" t="s">
        <v>453</v>
      </c>
      <c r="F69" s="307" t="s">
        <v>560</v>
      </c>
      <c r="G69" s="52" t="s">
        <v>561</v>
      </c>
      <c r="H69" s="52"/>
      <c r="I69" s="52" t="s">
        <v>545</v>
      </c>
      <c r="J69" s="52" t="s">
        <v>473</v>
      </c>
      <c r="K69" s="309"/>
      <c r="L69" s="23"/>
      <c r="M69" s="23"/>
    </row>
    <row r="70" ht="14.25" customHeight="1">
      <c r="A70" s="52">
        <v>68.0</v>
      </c>
      <c r="B70" s="305" t="s">
        <v>191</v>
      </c>
      <c r="C70" s="52" t="str">
        <f>VLOOKUP(B70,'CST Gantry To AP 68 Common Poin'!C:D,2,0)</f>
        <v>DA+1.5</v>
      </c>
      <c r="D70" s="305" t="s">
        <v>466</v>
      </c>
      <c r="E70" s="306" t="s">
        <v>453</v>
      </c>
      <c r="F70" s="307" t="s">
        <v>562</v>
      </c>
      <c r="G70" s="52" t="s">
        <v>563</v>
      </c>
      <c r="H70" s="52"/>
      <c r="I70" s="52" t="s">
        <v>545</v>
      </c>
      <c r="J70" s="52" t="s">
        <v>520</v>
      </c>
      <c r="K70" s="309"/>
      <c r="L70" s="23"/>
      <c r="M70" s="23"/>
    </row>
    <row r="71" ht="14.25" customHeight="1">
      <c r="A71" s="52">
        <v>69.0</v>
      </c>
      <c r="B71" s="305" t="s">
        <v>91</v>
      </c>
      <c r="C71" s="52" t="str">
        <f>VLOOKUP(B71,'CST Gantry To AP 68 Common Poin'!C:D,2,0)</f>
        <v>DC1+0</v>
      </c>
      <c r="D71" s="305" t="s">
        <v>466</v>
      </c>
      <c r="E71" s="306" t="s">
        <v>453</v>
      </c>
      <c r="F71" s="307" t="s">
        <v>564</v>
      </c>
      <c r="G71" s="52" t="s">
        <v>565</v>
      </c>
      <c r="H71" s="52"/>
      <c r="I71" s="52" t="s">
        <v>545</v>
      </c>
      <c r="J71" s="52" t="s">
        <v>505</v>
      </c>
      <c r="K71" s="309"/>
      <c r="L71" s="23"/>
      <c r="M71" s="23"/>
    </row>
    <row r="72" ht="14.25" customHeight="1">
      <c r="A72" s="52">
        <v>70.0</v>
      </c>
      <c r="B72" s="305" t="s">
        <v>376</v>
      </c>
      <c r="C72" s="52" t="str">
        <f>VLOOKUP(B72,'CST Gantry To AP 68 Common Poin'!C:D,2,0)</f>
        <v>DB2+6</v>
      </c>
      <c r="D72" s="305" t="s">
        <v>454</v>
      </c>
      <c r="E72" s="306" t="s">
        <v>453</v>
      </c>
      <c r="F72" s="307" t="s">
        <v>558</v>
      </c>
      <c r="G72" s="52" t="s">
        <v>566</v>
      </c>
      <c r="H72" s="52"/>
      <c r="I72" s="52" t="s">
        <v>545</v>
      </c>
      <c r="J72" s="52" t="s">
        <v>542</v>
      </c>
      <c r="K72" s="309"/>
      <c r="L72" s="23"/>
      <c r="M72" s="23"/>
    </row>
    <row r="73" ht="14.25" customHeight="1">
      <c r="A73" s="52">
        <v>71.0</v>
      </c>
      <c r="B73" s="305" t="s">
        <v>81</v>
      </c>
      <c r="C73" s="52" t="str">
        <f>VLOOKUP(B73,'CST Gantry To AP 68 Common Poin'!C:D,2,0)</f>
        <v>DA+0</v>
      </c>
      <c r="D73" s="305" t="s">
        <v>466</v>
      </c>
      <c r="E73" s="306" t="s">
        <v>453</v>
      </c>
      <c r="F73" s="307" t="s">
        <v>564</v>
      </c>
      <c r="G73" s="52" t="s">
        <v>567</v>
      </c>
      <c r="H73" s="52"/>
      <c r="I73" s="52" t="s">
        <v>545</v>
      </c>
      <c r="J73" s="52" t="s">
        <v>473</v>
      </c>
      <c r="K73" s="309"/>
      <c r="L73" s="23"/>
      <c r="M73" s="23"/>
    </row>
    <row r="74" ht="14.25" customHeight="1">
      <c r="A74" s="52">
        <v>72.0</v>
      </c>
      <c r="B74" s="310" t="s">
        <v>118</v>
      </c>
      <c r="C74" s="52" t="str">
        <f>VLOOKUP(B74,'CST Gantry To AP 68 Common Poin'!C:D,2,0)</f>
        <v>DA(-)3</v>
      </c>
      <c r="D74" s="305" t="s">
        <v>466</v>
      </c>
      <c r="E74" s="306" t="s">
        <v>453</v>
      </c>
      <c r="F74" s="307" t="s">
        <v>567</v>
      </c>
      <c r="G74" s="52" t="s">
        <v>568</v>
      </c>
      <c r="H74" s="52"/>
      <c r="I74" s="52" t="s">
        <v>545</v>
      </c>
      <c r="J74" s="52" t="s">
        <v>520</v>
      </c>
      <c r="K74" s="309"/>
      <c r="L74" s="23"/>
      <c r="M74" s="23"/>
    </row>
    <row r="75" ht="14.25" customHeight="1">
      <c r="A75" s="52">
        <v>73.0</v>
      </c>
      <c r="B75" s="310" t="s">
        <v>82</v>
      </c>
      <c r="C75" s="52" t="str">
        <f>VLOOKUP(B75,'CST Gantry To AP 68 Common Poin'!C:D,2,0)</f>
        <v>DA+1.5</v>
      </c>
      <c r="D75" s="305" t="s">
        <v>466</v>
      </c>
      <c r="E75" s="306" t="s">
        <v>453</v>
      </c>
      <c r="F75" s="307" t="s">
        <v>569</v>
      </c>
      <c r="G75" s="52" t="s">
        <v>565</v>
      </c>
      <c r="H75" s="52"/>
      <c r="I75" s="52" t="s">
        <v>545</v>
      </c>
      <c r="J75" s="52" t="s">
        <v>473</v>
      </c>
      <c r="K75" s="309"/>
      <c r="L75" s="23"/>
      <c r="M75" s="23"/>
    </row>
    <row r="76" ht="14.25" customHeight="1">
      <c r="A76" s="52">
        <v>74.0</v>
      </c>
      <c r="B76" s="310" t="s">
        <v>290</v>
      </c>
      <c r="C76" s="52" t="str">
        <f>VLOOKUP(B76,'CST Gantry To AP 68 Common Poin'!C:D,2,0)</f>
        <v>DA(-)1.5</v>
      </c>
      <c r="D76" s="305" t="s">
        <v>454</v>
      </c>
      <c r="E76" s="306" t="s">
        <v>453</v>
      </c>
      <c r="F76" s="307" t="s">
        <v>565</v>
      </c>
      <c r="G76" s="52" t="s">
        <v>570</v>
      </c>
      <c r="H76" s="52"/>
      <c r="I76" s="52" t="s">
        <v>545</v>
      </c>
      <c r="J76" s="52" t="s">
        <v>505</v>
      </c>
      <c r="K76" s="309"/>
      <c r="L76" s="23"/>
      <c r="M76" s="23"/>
    </row>
    <row r="77" ht="14.25" customHeight="1">
      <c r="A77" s="52">
        <v>75.0</v>
      </c>
      <c r="B77" s="310" t="s">
        <v>125</v>
      </c>
      <c r="C77" s="52" t="str">
        <f>VLOOKUP(B77,'CST Gantry To AP 68 Common Poin'!C:D,2,0)</f>
        <v>DD45+0</v>
      </c>
      <c r="D77" s="305" t="s">
        <v>466</v>
      </c>
      <c r="E77" s="306" t="s">
        <v>453</v>
      </c>
      <c r="F77" s="307" t="s">
        <v>566</v>
      </c>
      <c r="G77" s="52" t="s">
        <v>571</v>
      </c>
      <c r="H77" s="52"/>
      <c r="I77" s="52" t="s">
        <v>572</v>
      </c>
      <c r="J77" s="52" t="s">
        <v>573</v>
      </c>
      <c r="K77" s="309"/>
      <c r="L77" s="23"/>
      <c r="M77" s="23"/>
    </row>
    <row r="78" ht="14.25" customHeight="1">
      <c r="A78" s="52">
        <v>76.0</v>
      </c>
      <c r="B78" s="305" t="s">
        <v>213</v>
      </c>
      <c r="C78" s="52" t="str">
        <f>VLOOKUP(B78,'CST Gantry To AP 68 Common Poin'!C:D,2,0)</f>
        <v>DA(-)3</v>
      </c>
      <c r="D78" s="305" t="s">
        <v>466</v>
      </c>
      <c r="E78" s="306" t="s">
        <v>453</v>
      </c>
      <c r="F78" s="307" t="s">
        <v>568</v>
      </c>
      <c r="G78" s="52" t="s">
        <v>566</v>
      </c>
      <c r="H78" s="52"/>
      <c r="I78" s="52" t="s">
        <v>545</v>
      </c>
      <c r="J78" s="52" t="s">
        <v>473</v>
      </c>
      <c r="K78" s="309"/>
      <c r="L78" s="23"/>
      <c r="M78" s="23"/>
    </row>
    <row r="79" ht="14.25" customHeight="1">
      <c r="A79" s="52">
        <v>77.0</v>
      </c>
      <c r="B79" s="305" t="s">
        <v>153</v>
      </c>
      <c r="C79" s="52" t="str">
        <f>VLOOKUP(B79,'CST Gantry To AP 68 Common Poin'!C:D,2,0)</f>
        <v>DA+6</v>
      </c>
      <c r="D79" s="305" t="s">
        <v>466</v>
      </c>
      <c r="E79" s="306" t="s">
        <v>453</v>
      </c>
      <c r="F79" s="307" t="s">
        <v>574</v>
      </c>
      <c r="G79" s="52" t="s">
        <v>575</v>
      </c>
      <c r="H79" s="52"/>
      <c r="I79" s="52" t="s">
        <v>545</v>
      </c>
      <c r="J79" s="52" t="s">
        <v>505</v>
      </c>
      <c r="K79" s="309"/>
      <c r="L79" s="23"/>
      <c r="M79" s="23"/>
    </row>
    <row r="80" ht="14.25" customHeight="1">
      <c r="A80" s="52">
        <v>78.0</v>
      </c>
      <c r="B80" s="310" t="s">
        <v>72</v>
      </c>
      <c r="C80" s="52" t="str">
        <f>VLOOKUP(B80,'CST Gantry To AP 68 Common Poin'!C:D,2,0)</f>
        <v>DB1+0</v>
      </c>
      <c r="D80" s="305" t="s">
        <v>466</v>
      </c>
      <c r="E80" s="306" t="s">
        <v>453</v>
      </c>
      <c r="F80" s="307" t="s">
        <v>574</v>
      </c>
      <c r="G80" s="52" t="s">
        <v>576</v>
      </c>
      <c r="H80" s="52"/>
      <c r="I80" s="52" t="s">
        <v>545</v>
      </c>
      <c r="J80" s="52" t="s">
        <v>473</v>
      </c>
      <c r="K80" s="309"/>
      <c r="L80" s="23"/>
      <c r="M80" s="23"/>
    </row>
    <row r="81" ht="14.25" customHeight="1">
      <c r="A81" s="52">
        <v>79.0</v>
      </c>
      <c r="B81" s="310" t="s">
        <v>117</v>
      </c>
      <c r="C81" s="52" t="str">
        <f>VLOOKUP(B81,'CST Gantry To AP 68 Common Poin'!C:D,2,0)</f>
        <v>DA+6</v>
      </c>
      <c r="D81" s="305" t="s">
        <v>466</v>
      </c>
      <c r="E81" s="306" t="s">
        <v>453</v>
      </c>
      <c r="F81" s="307" t="s">
        <v>574</v>
      </c>
      <c r="G81" s="52" t="s">
        <v>575</v>
      </c>
      <c r="H81" s="52"/>
      <c r="I81" s="52" t="s">
        <v>545</v>
      </c>
      <c r="J81" s="52" t="s">
        <v>518</v>
      </c>
      <c r="K81" s="309"/>
      <c r="L81" s="23"/>
      <c r="M81" s="23"/>
    </row>
    <row r="82" ht="14.25" customHeight="1">
      <c r="A82" s="52">
        <v>80.0</v>
      </c>
      <c r="B82" s="305" t="s">
        <v>187</v>
      </c>
      <c r="C82" s="52" t="str">
        <f>VLOOKUP(B82,'CST Gantry To AP 68 Common Poin'!C:D,2,0)</f>
        <v>DB1+9</v>
      </c>
      <c r="D82" s="305" t="s">
        <v>466</v>
      </c>
      <c r="E82" s="306" t="s">
        <v>453</v>
      </c>
      <c r="F82" s="307" t="s">
        <v>566</v>
      </c>
      <c r="G82" s="52" t="s">
        <v>571</v>
      </c>
      <c r="H82" s="52"/>
      <c r="I82" s="52" t="s">
        <v>572</v>
      </c>
      <c r="J82" s="52" t="s">
        <v>518</v>
      </c>
      <c r="K82" s="309"/>
      <c r="L82" s="23"/>
      <c r="M82" s="23"/>
    </row>
    <row r="83" ht="14.25" customHeight="1">
      <c r="A83" s="52">
        <v>81.0</v>
      </c>
      <c r="B83" s="305" t="s">
        <v>267</v>
      </c>
      <c r="C83" s="52" t="str">
        <f>VLOOKUP(B83,'CST Gantry To AP 68 Common Poin'!C:D,2,0)</f>
        <v>DD45+0</v>
      </c>
      <c r="D83" s="305" t="s">
        <v>577</v>
      </c>
      <c r="E83" s="306" t="s">
        <v>453</v>
      </c>
      <c r="F83" s="307" t="s">
        <v>575</v>
      </c>
      <c r="G83" s="52" t="s">
        <v>571</v>
      </c>
      <c r="H83" s="52"/>
      <c r="I83" s="52" t="s">
        <v>572</v>
      </c>
      <c r="J83" s="52" t="s">
        <v>578</v>
      </c>
      <c r="K83" s="309"/>
      <c r="L83" s="23"/>
      <c r="M83" s="23"/>
    </row>
    <row r="84" ht="14.25" customHeight="1">
      <c r="A84" s="52">
        <v>82.0</v>
      </c>
      <c r="B84" s="52" t="s">
        <v>349</v>
      </c>
      <c r="C84" s="52" t="str">
        <f>VLOOKUP(B84,'CST Gantry To AP 68 Common Poin'!C:D,2,0)</f>
        <v>DD45+0</v>
      </c>
      <c r="D84" s="305" t="s">
        <v>454</v>
      </c>
      <c r="E84" s="306" t="s">
        <v>453</v>
      </c>
      <c r="F84" s="307" t="s">
        <v>575</v>
      </c>
      <c r="G84" s="52" t="s">
        <v>579</v>
      </c>
      <c r="H84" s="52"/>
      <c r="I84" s="52" t="s">
        <v>572</v>
      </c>
      <c r="J84" s="52" t="s">
        <v>542</v>
      </c>
      <c r="K84" s="309"/>
      <c r="L84" s="23"/>
      <c r="M84" s="23"/>
    </row>
    <row r="85" ht="14.25" customHeight="1">
      <c r="A85" s="52">
        <v>83.0</v>
      </c>
      <c r="B85" s="52" t="s">
        <v>285</v>
      </c>
      <c r="C85" s="52" t="str">
        <f>VLOOKUP(B85,'CST Gantry To AP 68 Common Poin'!C:D,2,0)</f>
        <v>DA+6</v>
      </c>
      <c r="D85" s="305" t="s">
        <v>454</v>
      </c>
      <c r="E85" s="306" t="s">
        <v>453</v>
      </c>
      <c r="F85" s="307" t="s">
        <v>566</v>
      </c>
      <c r="G85" s="52" t="s">
        <v>580</v>
      </c>
      <c r="H85" s="52"/>
      <c r="I85" s="52" t="s">
        <v>545</v>
      </c>
      <c r="J85" s="52" t="s">
        <v>581</v>
      </c>
      <c r="K85" s="309"/>
      <c r="L85" s="23"/>
      <c r="M85" s="23"/>
    </row>
    <row r="86" ht="14.25" customHeight="1">
      <c r="A86" s="52">
        <v>84.0</v>
      </c>
      <c r="B86" s="310" t="s">
        <v>110</v>
      </c>
      <c r="C86" s="52" t="str">
        <f>VLOOKUP(B86,'CST Gantry To AP 68 Common Poin'!C:D,2,0)</f>
        <v>DA+9</v>
      </c>
      <c r="D86" s="305" t="s">
        <v>466</v>
      </c>
      <c r="E86" s="306" t="s">
        <v>453</v>
      </c>
      <c r="F86" s="307" t="s">
        <v>576</v>
      </c>
      <c r="G86" s="52" t="s">
        <v>582</v>
      </c>
      <c r="H86" s="52"/>
      <c r="I86" s="52" t="s">
        <v>572</v>
      </c>
      <c r="J86" s="52" t="s">
        <v>520</v>
      </c>
      <c r="K86" s="309"/>
      <c r="L86" s="23"/>
      <c r="M86" s="23"/>
    </row>
    <row r="87" ht="14.25" customHeight="1">
      <c r="A87" s="52">
        <v>85.0</v>
      </c>
      <c r="B87" s="52" t="s">
        <v>214</v>
      </c>
      <c r="C87" s="52" t="str">
        <f>VLOOKUP(B87,'CST Gantry To AP 68 Common Poin'!C:D,2,0)</f>
        <v>DA+0</v>
      </c>
      <c r="D87" s="305" t="s">
        <v>466</v>
      </c>
      <c r="E87" s="306" t="s">
        <v>453</v>
      </c>
      <c r="F87" s="307" t="s">
        <v>575</v>
      </c>
      <c r="G87" s="52" t="s">
        <v>580</v>
      </c>
      <c r="H87" s="52"/>
      <c r="I87" s="52" t="s">
        <v>545</v>
      </c>
      <c r="J87" s="52" t="s">
        <v>473</v>
      </c>
      <c r="K87" s="309"/>
      <c r="L87" s="23"/>
      <c r="M87" s="23"/>
    </row>
    <row r="88" ht="14.25" customHeight="1">
      <c r="A88" s="52">
        <v>86.0</v>
      </c>
      <c r="B88" s="305" t="s">
        <v>154</v>
      </c>
      <c r="C88" s="52" t="str">
        <f>VLOOKUP(B88,'CST Gantry To AP 68 Common Poin'!C:D,2,0)</f>
        <v>DA(-)1.5</v>
      </c>
      <c r="D88" s="305" t="s">
        <v>466</v>
      </c>
      <c r="E88" s="306" t="s">
        <v>453</v>
      </c>
      <c r="F88" s="307" t="s">
        <v>576</v>
      </c>
      <c r="G88" s="52" t="s">
        <v>583</v>
      </c>
      <c r="H88" s="52"/>
      <c r="I88" s="52" t="s">
        <v>572</v>
      </c>
      <c r="J88" s="52" t="s">
        <v>505</v>
      </c>
      <c r="K88" s="309"/>
      <c r="L88" s="23"/>
      <c r="M88" s="23"/>
    </row>
    <row r="89" ht="14.25" customHeight="1">
      <c r="A89" s="52">
        <v>87.0</v>
      </c>
      <c r="B89" s="52" t="s">
        <v>47</v>
      </c>
      <c r="C89" s="52" t="str">
        <f>VLOOKUP(B89,'CST Gantry To AP 68 Common Poin'!C:D,2,0)</f>
        <v>DC2+0</v>
      </c>
      <c r="D89" s="305" t="s">
        <v>466</v>
      </c>
      <c r="E89" s="306" t="s">
        <v>453</v>
      </c>
      <c r="F89" s="307" t="s">
        <v>584</v>
      </c>
      <c r="G89" s="52" t="s">
        <v>571</v>
      </c>
      <c r="H89" s="52"/>
      <c r="I89" s="52" t="s">
        <v>572</v>
      </c>
      <c r="J89" s="52" t="s">
        <v>473</v>
      </c>
      <c r="K89" s="309"/>
      <c r="L89" s="23"/>
      <c r="M89" s="23"/>
    </row>
    <row r="90" ht="14.25" customHeight="1">
      <c r="A90" s="52">
        <v>88.0</v>
      </c>
      <c r="B90" s="52" t="s">
        <v>288</v>
      </c>
      <c r="C90" s="52" t="str">
        <f>VLOOKUP(B90,'CST Gantry To AP 68 Common Poin'!C:D,2,0)</f>
        <v>DA(-)1.5</v>
      </c>
      <c r="D90" s="305" t="s">
        <v>454</v>
      </c>
      <c r="E90" s="306" t="s">
        <v>453</v>
      </c>
      <c r="F90" s="307" t="s">
        <v>584</v>
      </c>
      <c r="G90" s="52" t="s">
        <v>571</v>
      </c>
      <c r="H90" s="52"/>
      <c r="I90" s="52" t="s">
        <v>572</v>
      </c>
      <c r="J90" s="52" t="s">
        <v>581</v>
      </c>
      <c r="K90" s="309"/>
      <c r="L90" s="23"/>
      <c r="M90" s="23"/>
    </row>
    <row r="91" ht="14.25" customHeight="1">
      <c r="A91" s="52">
        <v>89.0</v>
      </c>
      <c r="B91" s="52" t="s">
        <v>205</v>
      </c>
      <c r="C91" s="52" t="str">
        <f>VLOOKUP(B91,'CST Gantry To AP 68 Common Poin'!C:D,2,0)</f>
        <v>DA+0</v>
      </c>
      <c r="D91" s="305" t="s">
        <v>466</v>
      </c>
      <c r="E91" s="306" t="s">
        <v>453</v>
      </c>
      <c r="F91" s="307" t="s">
        <v>583</v>
      </c>
      <c r="G91" s="52" t="s">
        <v>585</v>
      </c>
      <c r="H91" s="52"/>
      <c r="I91" s="52" t="s">
        <v>572</v>
      </c>
      <c r="J91" s="52" t="s">
        <v>473</v>
      </c>
      <c r="K91" s="309"/>
      <c r="L91" s="23"/>
      <c r="M91" s="23"/>
    </row>
    <row r="92" ht="14.25" customHeight="1">
      <c r="A92" s="52">
        <v>90.0</v>
      </c>
      <c r="B92" s="310" t="s">
        <v>155</v>
      </c>
      <c r="C92" s="52" t="str">
        <f>VLOOKUP(B92,'CST Gantry To AP 68 Common Poin'!C:D,2,0)</f>
        <v>DA+1.5</v>
      </c>
      <c r="D92" s="305" t="s">
        <v>466</v>
      </c>
      <c r="E92" s="306" t="s">
        <v>453</v>
      </c>
      <c r="F92" s="307" t="s">
        <v>586</v>
      </c>
      <c r="G92" s="52" t="s">
        <v>587</v>
      </c>
      <c r="H92" s="52"/>
      <c r="I92" s="52" t="s">
        <v>572</v>
      </c>
      <c r="J92" s="52" t="s">
        <v>505</v>
      </c>
      <c r="K92" s="309"/>
      <c r="L92" s="23"/>
      <c r="M92" s="23"/>
    </row>
    <row r="93" ht="14.25" customHeight="1">
      <c r="A93" s="52">
        <v>91.0</v>
      </c>
      <c r="B93" s="310" t="s">
        <v>160</v>
      </c>
      <c r="C93" s="52" t="str">
        <f>VLOOKUP(B93,'CST Gantry To AP 68 Common Poin'!C:D,2,0)</f>
        <v>DA+6</v>
      </c>
      <c r="D93" s="305" t="s">
        <v>466</v>
      </c>
      <c r="E93" s="306" t="s">
        <v>453</v>
      </c>
      <c r="F93" s="307" t="s">
        <v>582</v>
      </c>
      <c r="G93" s="52" t="s">
        <v>588</v>
      </c>
      <c r="H93" s="52"/>
      <c r="I93" s="52" t="s">
        <v>572</v>
      </c>
      <c r="J93" s="52" t="s">
        <v>589</v>
      </c>
      <c r="K93" s="309"/>
      <c r="L93" s="23"/>
      <c r="M93" s="23"/>
    </row>
    <row r="94" ht="14.25" customHeight="1">
      <c r="A94" s="52">
        <v>92.0</v>
      </c>
      <c r="B94" s="310" t="s">
        <v>97</v>
      </c>
      <c r="C94" s="52" t="str">
        <f>VLOOKUP(B94,'CST Gantry To AP 68 Common Poin'!C:D,2,0)</f>
        <v>DB2+0</v>
      </c>
      <c r="D94" s="305" t="s">
        <v>466</v>
      </c>
      <c r="E94" s="306" t="s">
        <v>453</v>
      </c>
      <c r="F94" s="307" t="s">
        <v>590</v>
      </c>
      <c r="G94" s="52" t="s">
        <v>591</v>
      </c>
      <c r="H94" s="52"/>
      <c r="I94" s="52" t="s">
        <v>572</v>
      </c>
      <c r="J94" s="52" t="s">
        <v>592</v>
      </c>
      <c r="K94" s="309"/>
      <c r="L94" s="23"/>
      <c r="M94" s="23"/>
    </row>
    <row r="95" ht="14.25" customHeight="1">
      <c r="A95" s="52">
        <v>93.0</v>
      </c>
      <c r="B95" s="52" t="s">
        <v>212</v>
      </c>
      <c r="C95" s="52" t="str">
        <f>VLOOKUP(B95,'CST Gantry To AP 68 Common Poin'!C:D,2,0)</f>
        <v>DD45+9</v>
      </c>
      <c r="D95" s="305" t="s">
        <v>466</v>
      </c>
      <c r="E95" s="306" t="s">
        <v>453</v>
      </c>
      <c r="F95" s="307" t="s">
        <v>590</v>
      </c>
      <c r="G95" s="52" t="s">
        <v>593</v>
      </c>
      <c r="H95" s="52"/>
      <c r="I95" s="52" t="s">
        <v>572</v>
      </c>
      <c r="J95" s="52" t="s">
        <v>473</v>
      </c>
      <c r="K95" s="309"/>
      <c r="L95" s="23"/>
      <c r="M95" s="23"/>
    </row>
    <row r="96" ht="14.25" customHeight="1">
      <c r="A96" s="52">
        <v>94.0</v>
      </c>
      <c r="B96" s="52" t="s">
        <v>76</v>
      </c>
      <c r="C96" s="52" t="str">
        <f>VLOOKUP(B96,'CST Gantry To AP 68 Common Poin'!C:D,2,0)</f>
        <v>DD60+25</v>
      </c>
      <c r="D96" s="305" t="s">
        <v>466</v>
      </c>
      <c r="E96" s="306" t="s">
        <v>453</v>
      </c>
      <c r="F96" s="307" t="s">
        <v>594</v>
      </c>
      <c r="G96" s="52" t="s">
        <v>595</v>
      </c>
      <c r="H96" s="52"/>
      <c r="I96" s="52" t="s">
        <v>596</v>
      </c>
      <c r="J96" s="52" t="s">
        <v>473</v>
      </c>
      <c r="K96" s="309"/>
      <c r="L96" s="23"/>
      <c r="M96" s="250"/>
    </row>
    <row r="97" ht="14.25" customHeight="1">
      <c r="A97" s="52">
        <v>95.0</v>
      </c>
      <c r="B97" s="52" t="s">
        <v>193</v>
      </c>
      <c r="C97" s="52" t="str">
        <f>VLOOKUP(B97,'CST Gantry To AP 68 Common Poin'!C:D,2,0)</f>
        <v>DA(-)1.5</v>
      </c>
      <c r="D97" s="305" t="s">
        <v>466</v>
      </c>
      <c r="E97" s="306" t="s">
        <v>453</v>
      </c>
      <c r="F97" s="307" t="s">
        <v>587</v>
      </c>
      <c r="G97" s="52" t="s">
        <v>591</v>
      </c>
      <c r="H97" s="52"/>
      <c r="I97" s="52" t="s">
        <v>572</v>
      </c>
      <c r="J97" s="52" t="s">
        <v>597</v>
      </c>
      <c r="K97" s="309"/>
      <c r="L97" s="23"/>
      <c r="M97" s="250"/>
    </row>
    <row r="98" ht="14.25" customHeight="1">
      <c r="A98" s="52">
        <v>96.0</v>
      </c>
      <c r="B98" s="52" t="s">
        <v>260</v>
      </c>
      <c r="C98" s="52" t="str">
        <f>VLOOKUP(B98,'CST Gantry To AP 68 Common Poin'!C:D,2,0)</f>
        <v>DC1+0</v>
      </c>
      <c r="D98" s="305" t="s">
        <v>577</v>
      </c>
      <c r="E98" s="306" t="s">
        <v>453</v>
      </c>
      <c r="F98" s="307" t="s">
        <v>587</v>
      </c>
      <c r="G98" s="52" t="s">
        <v>598</v>
      </c>
      <c r="H98" s="52"/>
      <c r="I98" s="52" t="s">
        <v>572</v>
      </c>
      <c r="J98" s="52" t="s">
        <v>578</v>
      </c>
      <c r="K98" s="309"/>
      <c r="L98" s="23"/>
      <c r="M98" s="250"/>
    </row>
    <row r="99" ht="14.25" customHeight="1">
      <c r="A99" s="52">
        <v>97.0</v>
      </c>
      <c r="B99" s="310" t="s">
        <v>48</v>
      </c>
      <c r="C99" s="52" t="str">
        <f>VLOOKUP(B99,'CST Gantry To AP 68 Common Poin'!C:D,2,0)</f>
        <v>DA+0</v>
      </c>
      <c r="D99" s="305" t="s">
        <v>466</v>
      </c>
      <c r="E99" s="306" t="s">
        <v>453</v>
      </c>
      <c r="F99" s="307" t="s">
        <v>587</v>
      </c>
      <c r="G99" s="52" t="s">
        <v>599</v>
      </c>
      <c r="H99" s="52"/>
      <c r="I99" s="52" t="s">
        <v>572</v>
      </c>
      <c r="J99" s="52" t="s">
        <v>473</v>
      </c>
      <c r="K99" s="309"/>
      <c r="L99" s="23"/>
      <c r="M99" s="250"/>
    </row>
    <row r="100" ht="14.25" customHeight="1">
      <c r="A100" s="52">
        <v>98.0</v>
      </c>
      <c r="B100" s="52" t="s">
        <v>282</v>
      </c>
      <c r="C100" s="52" t="str">
        <f>VLOOKUP(B100,'CST Gantry To AP 68 Common Poin'!C:D,2,0)</f>
        <v>DA+0</v>
      </c>
      <c r="D100" s="305" t="s">
        <v>577</v>
      </c>
      <c r="E100" s="306" t="s">
        <v>453</v>
      </c>
      <c r="F100" s="307" t="s">
        <v>590</v>
      </c>
      <c r="G100" s="52" t="s">
        <v>599</v>
      </c>
      <c r="H100" s="52"/>
      <c r="I100" s="52" t="s">
        <v>572</v>
      </c>
      <c r="J100" s="52" t="s">
        <v>581</v>
      </c>
      <c r="K100" s="309"/>
      <c r="L100" s="23"/>
      <c r="M100" s="250"/>
    </row>
    <row r="101" ht="14.25" customHeight="1">
      <c r="A101" s="52">
        <v>99.0</v>
      </c>
      <c r="B101" s="305" t="s">
        <v>156</v>
      </c>
      <c r="C101" s="52" t="str">
        <f>VLOOKUP(B101,'CST Gantry To AP 68 Common Poin'!C:D,2,0)</f>
        <v>DA+0</v>
      </c>
      <c r="D101" s="305" t="s">
        <v>466</v>
      </c>
      <c r="E101" s="306" t="s">
        <v>453</v>
      </c>
      <c r="F101" s="307" t="s">
        <v>600</v>
      </c>
      <c r="G101" s="52" t="s">
        <v>588</v>
      </c>
      <c r="H101" s="52"/>
      <c r="I101" s="52" t="s">
        <v>572</v>
      </c>
      <c r="J101" s="52" t="s">
        <v>505</v>
      </c>
      <c r="K101" s="309"/>
      <c r="L101" s="23"/>
      <c r="M101" s="250"/>
    </row>
    <row r="102" ht="14.25" customHeight="1">
      <c r="A102" s="52">
        <v>100.0</v>
      </c>
      <c r="B102" s="305" t="s">
        <v>360</v>
      </c>
      <c r="C102" s="52" t="str">
        <f>VLOOKUP(B102,'CST Gantry To AP 68 Common Poin'!C:D,2,0)</f>
        <v>DA(-)3</v>
      </c>
      <c r="D102" s="305" t="s">
        <v>454</v>
      </c>
      <c r="E102" s="306" t="s">
        <v>453</v>
      </c>
      <c r="F102" s="307" t="s">
        <v>600</v>
      </c>
      <c r="G102" s="52" t="s">
        <v>593</v>
      </c>
      <c r="H102" s="52"/>
      <c r="I102" s="52" t="s">
        <v>572</v>
      </c>
      <c r="J102" s="52" t="s">
        <v>542</v>
      </c>
      <c r="K102" s="309"/>
      <c r="L102" s="23"/>
      <c r="M102" s="250"/>
    </row>
    <row r="103" ht="14.25" customHeight="1">
      <c r="A103" s="52">
        <v>101.0</v>
      </c>
      <c r="B103" s="305" t="s">
        <v>41</v>
      </c>
      <c r="C103" s="52" t="str">
        <f>VLOOKUP(B103,'CST Gantry To AP 68 Common Poin'!C:D,2,0)</f>
        <v>DA+0</v>
      </c>
      <c r="D103" s="305" t="s">
        <v>466</v>
      </c>
      <c r="E103" s="306" t="s">
        <v>453</v>
      </c>
      <c r="F103" s="307" t="s">
        <v>588</v>
      </c>
      <c r="G103" s="52" t="s">
        <v>598</v>
      </c>
      <c r="H103" s="52"/>
      <c r="I103" s="52" t="s">
        <v>572</v>
      </c>
      <c r="J103" s="52" t="s">
        <v>473</v>
      </c>
      <c r="K103" s="309"/>
      <c r="L103" s="23"/>
      <c r="M103" s="250"/>
    </row>
    <row r="104" ht="14.25" customHeight="1">
      <c r="A104" s="52">
        <v>102.0</v>
      </c>
      <c r="B104" s="305" t="s">
        <v>297</v>
      </c>
      <c r="C104" s="52" t="str">
        <f>VLOOKUP(B104,'CST Gantry To AP 68 Common Poin'!C:D,2,0)</f>
        <v>DB1+0</v>
      </c>
      <c r="D104" s="305" t="s">
        <v>454</v>
      </c>
      <c r="E104" s="306" t="s">
        <v>453</v>
      </c>
      <c r="F104" s="307" t="s">
        <v>591</v>
      </c>
      <c r="G104" s="52" t="s">
        <v>601</v>
      </c>
      <c r="H104" s="52"/>
      <c r="I104" s="52" t="s">
        <v>572</v>
      </c>
      <c r="J104" s="52" t="s">
        <v>581</v>
      </c>
      <c r="K104" s="309"/>
      <c r="L104" s="23"/>
      <c r="M104" s="250"/>
    </row>
    <row r="105" ht="14.25" customHeight="1">
      <c r="A105" s="52">
        <v>103.0</v>
      </c>
      <c r="B105" s="305" t="s">
        <v>159</v>
      </c>
      <c r="C105" s="52" t="str">
        <f>VLOOKUP(B105,'CST Gantry To AP 68 Common Poin'!C:D,2,0)</f>
        <v>DA+1.5</v>
      </c>
      <c r="D105" s="305" t="s">
        <v>466</v>
      </c>
      <c r="E105" s="306" t="s">
        <v>453</v>
      </c>
      <c r="F105" s="307" t="s">
        <v>602</v>
      </c>
      <c r="G105" s="52" t="s">
        <v>603</v>
      </c>
      <c r="H105" s="52"/>
      <c r="I105" s="52" t="s">
        <v>572</v>
      </c>
      <c r="J105" s="52" t="s">
        <v>589</v>
      </c>
      <c r="K105" s="309"/>
      <c r="L105" s="23"/>
      <c r="M105" s="250"/>
    </row>
    <row r="106" ht="14.25" customHeight="1">
      <c r="A106" s="52">
        <v>104.0</v>
      </c>
      <c r="B106" s="305" t="s">
        <v>163</v>
      </c>
      <c r="C106" s="52" t="str">
        <f>VLOOKUP(B106,'CST Gantry To AP 68 Common Poin'!C:D,2,0)</f>
        <v>DB2+9</v>
      </c>
      <c r="D106" s="305" t="s">
        <v>466</v>
      </c>
      <c r="E106" s="306" t="s">
        <v>453</v>
      </c>
      <c r="F106" s="307" t="s">
        <v>602</v>
      </c>
      <c r="G106" s="52" t="s">
        <v>604</v>
      </c>
      <c r="H106" s="52"/>
      <c r="I106" s="52" t="s">
        <v>572</v>
      </c>
      <c r="J106" s="52" t="s">
        <v>505</v>
      </c>
      <c r="K106" s="309"/>
      <c r="L106" s="23"/>
      <c r="M106" s="250"/>
    </row>
    <row r="107" ht="14.25" customHeight="1">
      <c r="A107" s="52">
        <v>105.0</v>
      </c>
      <c r="B107" s="305" t="s">
        <v>323</v>
      </c>
      <c r="C107" s="52" t="str">
        <f>VLOOKUP(B107,'CST Gantry To AP 68 Common Poin'!C:D,2,0)</f>
        <v>DA+6</v>
      </c>
      <c r="D107" s="305" t="s">
        <v>454</v>
      </c>
      <c r="E107" s="306" t="s">
        <v>453</v>
      </c>
      <c r="F107" s="307" t="s">
        <v>602</v>
      </c>
      <c r="G107" s="52" t="s">
        <v>603</v>
      </c>
      <c r="H107" s="52"/>
      <c r="I107" s="52" t="s">
        <v>572</v>
      </c>
      <c r="J107" s="52" t="s">
        <v>592</v>
      </c>
      <c r="K107" s="309"/>
      <c r="L107" s="314"/>
      <c r="M107" s="250"/>
    </row>
    <row r="108" ht="14.25" customHeight="1">
      <c r="A108" s="52">
        <v>106.0</v>
      </c>
      <c r="B108" s="52" t="s">
        <v>194</v>
      </c>
      <c r="C108" s="52" t="str">
        <f>VLOOKUP(B108,'CST Gantry To AP 68 Common Poin'!C:D,2,0)</f>
        <v>DD45+9</v>
      </c>
      <c r="D108" s="305" t="s">
        <v>466</v>
      </c>
      <c r="E108" s="306" t="s">
        <v>453</v>
      </c>
      <c r="F108" s="307" t="s">
        <v>602</v>
      </c>
      <c r="G108" s="52" t="s">
        <v>605</v>
      </c>
      <c r="H108" s="52"/>
      <c r="I108" s="52" t="s">
        <v>572</v>
      </c>
      <c r="J108" s="52" t="s">
        <v>606</v>
      </c>
      <c r="K108" s="309"/>
      <c r="L108" s="23"/>
      <c r="M108" s="250"/>
    </row>
    <row r="109" ht="14.25" customHeight="1">
      <c r="A109" s="52">
        <v>107.0</v>
      </c>
      <c r="B109" s="52" t="s">
        <v>200</v>
      </c>
      <c r="C109" s="52" t="str">
        <f>VLOOKUP(B109,'CST Gantry To AP 68 Common Poin'!C:D,2,0)</f>
        <v>DC2+0</v>
      </c>
      <c r="D109" s="305" t="s">
        <v>466</v>
      </c>
      <c r="E109" s="306" t="s">
        <v>453</v>
      </c>
      <c r="F109" s="307" t="s">
        <v>598</v>
      </c>
      <c r="G109" s="52" t="s">
        <v>607</v>
      </c>
      <c r="H109" s="52"/>
      <c r="I109" s="52" t="s">
        <v>572</v>
      </c>
      <c r="J109" s="52" t="s">
        <v>608</v>
      </c>
      <c r="K109" s="309"/>
      <c r="L109" s="23"/>
      <c r="M109" s="250"/>
    </row>
    <row r="110" ht="14.25" customHeight="1">
      <c r="A110" s="52">
        <v>108.0</v>
      </c>
      <c r="B110" s="52" t="s">
        <v>362</v>
      </c>
      <c r="C110" s="52" t="str">
        <f>VLOOKUP(B110,'CST Gantry To AP 68 Common Poin'!C:D,2,0)</f>
        <v>DA+6</v>
      </c>
      <c r="D110" s="305" t="s">
        <v>454</v>
      </c>
      <c r="E110" s="306" t="s">
        <v>453</v>
      </c>
      <c r="F110" s="307" t="s">
        <v>598</v>
      </c>
      <c r="G110" s="52" t="s">
        <v>603</v>
      </c>
      <c r="H110" s="52"/>
      <c r="I110" s="52" t="s">
        <v>572</v>
      </c>
      <c r="J110" s="52" t="s">
        <v>542</v>
      </c>
      <c r="K110" s="309"/>
      <c r="L110" s="23"/>
      <c r="M110" s="250"/>
    </row>
    <row r="111" ht="14.25" customHeight="1">
      <c r="A111" s="52">
        <v>109.0</v>
      </c>
      <c r="B111" s="52" t="s">
        <v>236</v>
      </c>
      <c r="C111" s="52" t="str">
        <f>VLOOKUP(B111,'CST Gantry To AP 68 Common Poin'!C:D,2,0)</f>
        <v>DC1+0</v>
      </c>
      <c r="D111" s="305" t="s">
        <v>577</v>
      </c>
      <c r="E111" s="306" t="s">
        <v>453</v>
      </c>
      <c r="F111" s="307" t="s">
        <v>609</v>
      </c>
      <c r="G111" s="52" t="s">
        <v>604</v>
      </c>
      <c r="H111" s="52"/>
      <c r="I111" s="52" t="s">
        <v>572</v>
      </c>
      <c r="J111" s="52" t="s">
        <v>578</v>
      </c>
      <c r="K111" s="309"/>
      <c r="L111" s="314"/>
      <c r="M111" s="250"/>
    </row>
    <row r="112" ht="14.25" customHeight="1">
      <c r="A112" s="52">
        <v>110.0</v>
      </c>
      <c r="B112" s="305" t="s">
        <v>39</v>
      </c>
      <c r="C112" s="52" t="str">
        <f>VLOOKUP(B112,'CST Gantry To AP 68 Common Poin'!C:D,2,0)</f>
        <v>DA+1.5</v>
      </c>
      <c r="D112" s="305" t="s">
        <v>466</v>
      </c>
      <c r="E112" s="306" t="s">
        <v>453</v>
      </c>
      <c r="F112" s="307" t="s">
        <v>610</v>
      </c>
      <c r="G112" s="52" t="s">
        <v>601</v>
      </c>
      <c r="H112" s="52"/>
      <c r="I112" s="52" t="s">
        <v>572</v>
      </c>
      <c r="J112" s="52" t="s">
        <v>473</v>
      </c>
      <c r="K112" s="309"/>
      <c r="L112" s="23"/>
      <c r="M112" s="250"/>
    </row>
    <row r="113" ht="14.25" customHeight="1">
      <c r="A113" s="52">
        <v>111.0</v>
      </c>
      <c r="B113" s="52" t="s">
        <v>298</v>
      </c>
      <c r="C113" s="52" t="str">
        <f>VLOOKUP(B113,'CST Gantry To AP 68 Common Poin'!C:D,2,0)</f>
        <v>DA+6</v>
      </c>
      <c r="D113" s="305" t="s">
        <v>454</v>
      </c>
      <c r="E113" s="306" t="s">
        <v>453</v>
      </c>
      <c r="F113" s="307" t="s">
        <v>611</v>
      </c>
      <c r="G113" s="52" t="s">
        <v>605</v>
      </c>
      <c r="H113" s="52"/>
      <c r="I113" s="52" t="s">
        <v>572</v>
      </c>
      <c r="J113" s="52" t="s">
        <v>581</v>
      </c>
      <c r="K113" s="309"/>
      <c r="L113" s="23"/>
      <c r="M113" s="23"/>
    </row>
    <row r="114" ht="14.25" customHeight="1">
      <c r="A114" s="52">
        <v>112.0</v>
      </c>
      <c r="B114" s="305" t="s">
        <v>44</v>
      </c>
      <c r="C114" s="52" t="str">
        <f>VLOOKUP(B114,'CST Gantry To AP 68 Common Poin'!C:D,2,0)</f>
        <v>DA(-)1.5</v>
      </c>
      <c r="D114" s="305" t="s">
        <v>466</v>
      </c>
      <c r="E114" s="306" t="s">
        <v>453</v>
      </c>
      <c r="F114" s="307" t="s">
        <v>611</v>
      </c>
      <c r="G114" s="52" t="s">
        <v>604</v>
      </c>
      <c r="H114" s="52"/>
      <c r="I114" s="52" t="s">
        <v>572</v>
      </c>
      <c r="J114" s="52" t="s">
        <v>597</v>
      </c>
      <c r="K114" s="309"/>
      <c r="L114" s="23"/>
      <c r="M114" s="23"/>
    </row>
    <row r="115" ht="14.25" customHeight="1">
      <c r="A115" s="52">
        <v>113.0</v>
      </c>
      <c r="B115" s="52" t="s">
        <v>359</v>
      </c>
      <c r="C115" s="52" t="str">
        <f>VLOOKUP(B115,'CST Gantry To AP 68 Common Poin'!C:D,2,0)</f>
        <v>DA+1.5</v>
      </c>
      <c r="D115" s="305" t="s">
        <v>454</v>
      </c>
      <c r="E115" s="306" t="s">
        <v>453</v>
      </c>
      <c r="F115" s="307" t="s">
        <v>605</v>
      </c>
      <c r="G115" s="52" t="s">
        <v>612</v>
      </c>
      <c r="H115" s="52"/>
      <c r="I115" s="52" t="s">
        <v>596</v>
      </c>
      <c r="J115" s="52" t="s">
        <v>542</v>
      </c>
      <c r="K115" s="309"/>
      <c r="L115" s="23"/>
      <c r="M115" s="23"/>
    </row>
    <row r="116" ht="14.25" customHeight="1">
      <c r="A116" s="52">
        <v>114.0</v>
      </c>
      <c r="B116" s="52" t="s">
        <v>309</v>
      </c>
      <c r="C116" s="52" t="str">
        <f>VLOOKUP(B116,'CST Gantry To AP 68 Common Poin'!C:D,2,0)</f>
        <v>DC2+0</v>
      </c>
      <c r="D116" s="305" t="s">
        <v>454</v>
      </c>
      <c r="E116" s="306" t="s">
        <v>453</v>
      </c>
      <c r="F116" s="307" t="s">
        <v>604</v>
      </c>
      <c r="G116" s="52" t="s">
        <v>613</v>
      </c>
      <c r="H116" s="52"/>
      <c r="I116" s="52" t="s">
        <v>596</v>
      </c>
      <c r="J116" s="52" t="s">
        <v>592</v>
      </c>
      <c r="K116" s="309"/>
      <c r="L116" s="23"/>
      <c r="M116" s="23"/>
    </row>
    <row r="117" ht="14.25" customHeight="1">
      <c r="A117" s="52">
        <v>115.0</v>
      </c>
      <c r="B117" s="305" t="s">
        <v>222</v>
      </c>
      <c r="C117" s="52" t="str">
        <f>VLOOKUP(B117,'CST Gantry To AP 68 Common Poin'!C:D,2,0)</f>
        <v>DC1+0</v>
      </c>
      <c r="D117" s="305" t="s">
        <v>466</v>
      </c>
      <c r="E117" s="306" t="s">
        <v>453</v>
      </c>
      <c r="F117" s="307" t="s">
        <v>605</v>
      </c>
      <c r="G117" s="52" t="s">
        <v>612</v>
      </c>
      <c r="H117" s="52"/>
      <c r="I117" s="52" t="s">
        <v>596</v>
      </c>
      <c r="J117" s="52" t="s">
        <v>608</v>
      </c>
      <c r="K117" s="309"/>
      <c r="L117" s="23"/>
      <c r="M117" s="23"/>
    </row>
    <row r="118" ht="14.25" customHeight="1">
      <c r="A118" s="52">
        <v>116.0</v>
      </c>
      <c r="B118" s="52" t="s">
        <v>226</v>
      </c>
      <c r="C118" s="52" t="str">
        <f>VLOOKUP(B118,'CST Gantry To AP 68 Common Poin'!C:D,2,0)</f>
        <v>DA+0</v>
      </c>
      <c r="D118" s="305" t="s">
        <v>577</v>
      </c>
      <c r="E118" s="306" t="s">
        <v>453</v>
      </c>
      <c r="F118" s="307" t="s">
        <v>614</v>
      </c>
      <c r="G118" s="52" t="s">
        <v>612</v>
      </c>
      <c r="H118" s="52"/>
      <c r="I118" s="52" t="s">
        <v>596</v>
      </c>
      <c r="J118" s="52" t="s">
        <v>578</v>
      </c>
      <c r="K118" s="309"/>
      <c r="L118" s="23"/>
      <c r="M118" s="23"/>
    </row>
    <row r="119" ht="14.25" customHeight="1">
      <c r="A119" s="52">
        <v>117.0</v>
      </c>
      <c r="B119" s="305" t="s">
        <v>171</v>
      </c>
      <c r="C119" s="52" t="str">
        <f>VLOOKUP(B119,'CST Gantry To AP 68 Common Poin'!C:D,2,0)</f>
        <v>DB1+9</v>
      </c>
      <c r="D119" s="305" t="s">
        <v>466</v>
      </c>
      <c r="E119" s="306" t="s">
        <v>453</v>
      </c>
      <c r="F119" s="307" t="s">
        <v>614</v>
      </c>
      <c r="G119" s="52" t="s">
        <v>615</v>
      </c>
      <c r="H119" s="52"/>
      <c r="I119" s="52" t="s">
        <v>596</v>
      </c>
      <c r="J119" s="52" t="s">
        <v>505</v>
      </c>
      <c r="K119" s="309"/>
      <c r="L119" s="23"/>
      <c r="M119" s="23"/>
    </row>
    <row r="120" ht="14.25" customHeight="1">
      <c r="A120" s="52">
        <v>118.0</v>
      </c>
      <c r="B120" s="52" t="s">
        <v>303</v>
      </c>
      <c r="C120" s="52" t="str">
        <f>VLOOKUP(B120,'CST Gantry To AP 68 Common Poin'!C:D,2,0)</f>
        <v>DA+6</v>
      </c>
      <c r="D120" s="305" t="s">
        <v>454</v>
      </c>
      <c r="E120" s="306" t="s">
        <v>453</v>
      </c>
      <c r="F120" s="307" t="s">
        <v>616</v>
      </c>
      <c r="G120" s="52" t="s">
        <v>617</v>
      </c>
      <c r="H120" s="52"/>
      <c r="I120" s="52" t="s">
        <v>596</v>
      </c>
      <c r="J120" s="52" t="s">
        <v>581</v>
      </c>
      <c r="K120" s="309"/>
      <c r="L120" s="23"/>
      <c r="M120" s="23"/>
    </row>
    <row r="121" ht="14.25" customHeight="1">
      <c r="A121" s="52">
        <v>119.0</v>
      </c>
      <c r="B121" s="52" t="s">
        <v>195</v>
      </c>
      <c r="C121" s="52" t="str">
        <f>VLOOKUP(B121,'CST Gantry To AP 68 Common Poin'!C:D,2,0)</f>
        <v>DC1+3</v>
      </c>
      <c r="D121" s="305" t="s">
        <v>466</v>
      </c>
      <c r="E121" s="306" t="s">
        <v>453</v>
      </c>
      <c r="F121" s="307" t="s">
        <v>618</v>
      </c>
      <c r="G121" s="315" t="s">
        <v>619</v>
      </c>
      <c r="H121" s="315"/>
      <c r="I121" s="315" t="s">
        <v>620</v>
      </c>
      <c r="J121" s="52" t="s">
        <v>606</v>
      </c>
      <c r="K121" s="309"/>
      <c r="L121" s="23"/>
      <c r="M121" s="23"/>
    </row>
    <row r="122" ht="14.25" customHeight="1">
      <c r="A122" s="52">
        <v>120.0</v>
      </c>
      <c r="B122" s="52" t="s">
        <v>346</v>
      </c>
      <c r="C122" s="52" t="str">
        <f>VLOOKUP(B122,'CST Gantry To AP 68 Common Poin'!C:D,2,0)</f>
        <v>DA(-)3</v>
      </c>
      <c r="D122" s="305" t="s">
        <v>454</v>
      </c>
      <c r="E122" s="306" t="s">
        <v>453</v>
      </c>
      <c r="F122" s="307" t="s">
        <v>613</v>
      </c>
      <c r="G122" s="52" t="s">
        <v>621</v>
      </c>
      <c r="H122" s="52"/>
      <c r="I122" s="52" t="s">
        <v>596</v>
      </c>
      <c r="J122" s="52" t="s">
        <v>542</v>
      </c>
      <c r="K122" s="309"/>
      <c r="L122" s="23"/>
      <c r="M122" s="23"/>
    </row>
    <row r="123" ht="14.25" customHeight="1">
      <c r="A123" s="52">
        <v>121.0</v>
      </c>
      <c r="B123" s="52" t="s">
        <v>225</v>
      </c>
      <c r="C123" s="52" t="str">
        <f>VLOOKUP(B123,'CST Gantry To AP 68 Common Poin'!C:D,2,0)</f>
        <v>DA+0</v>
      </c>
      <c r="D123" s="305" t="s">
        <v>577</v>
      </c>
      <c r="E123" s="306" t="s">
        <v>453</v>
      </c>
      <c r="F123" s="307" t="s">
        <v>617</v>
      </c>
      <c r="G123" s="52" t="s">
        <v>615</v>
      </c>
      <c r="H123" s="52"/>
      <c r="I123" s="52" t="s">
        <v>596</v>
      </c>
      <c r="J123" s="52" t="s">
        <v>578</v>
      </c>
      <c r="K123" s="309"/>
      <c r="L123" s="23"/>
      <c r="M123" s="23"/>
    </row>
    <row r="124" ht="14.25" customHeight="1">
      <c r="A124" s="52">
        <v>122.0</v>
      </c>
      <c r="B124" s="52" t="s">
        <v>223</v>
      </c>
      <c r="C124" s="52" t="str">
        <f>VLOOKUP(B124,'CST Gantry To AP 68 Common Poin'!C:D,2,0)</f>
        <v>DA+3</v>
      </c>
      <c r="D124" s="305" t="s">
        <v>577</v>
      </c>
      <c r="E124" s="306" t="s">
        <v>453</v>
      </c>
      <c r="F124" s="307" t="s">
        <v>622</v>
      </c>
      <c r="G124" s="52" t="s">
        <v>595</v>
      </c>
      <c r="H124" s="52"/>
      <c r="I124" s="52" t="s">
        <v>596</v>
      </c>
      <c r="J124" s="52" t="s">
        <v>608</v>
      </c>
      <c r="K124" s="309"/>
      <c r="L124" s="23"/>
      <c r="M124" s="23"/>
    </row>
    <row r="125" ht="14.25" customHeight="1">
      <c r="A125" s="52">
        <v>123.0</v>
      </c>
      <c r="B125" s="52" t="s">
        <v>307</v>
      </c>
      <c r="C125" s="52" t="str">
        <f>VLOOKUP(B125,'CST Gantry To AP 68 Common Poin'!C:D,2,0)</f>
        <v>DA(-)3</v>
      </c>
      <c r="D125" s="305" t="s">
        <v>454</v>
      </c>
      <c r="E125" s="306" t="s">
        <v>453</v>
      </c>
      <c r="F125" s="307" t="s">
        <v>613</v>
      </c>
      <c r="G125" s="52" t="s">
        <v>595</v>
      </c>
      <c r="H125" s="52"/>
      <c r="I125" s="52" t="s">
        <v>596</v>
      </c>
      <c r="J125" s="52" t="s">
        <v>581</v>
      </c>
      <c r="K125" s="309"/>
      <c r="L125" s="23"/>
      <c r="M125" s="23"/>
    </row>
    <row r="126" ht="14.25" customHeight="1">
      <c r="A126" s="52">
        <v>124.0</v>
      </c>
      <c r="B126" s="52" t="s">
        <v>317</v>
      </c>
      <c r="C126" s="52" t="str">
        <f>VLOOKUP(B126,'CST Gantry To AP 68 Common Poin'!C:D,2,0)</f>
        <v>DB2+3</v>
      </c>
      <c r="D126" s="305" t="s">
        <v>454</v>
      </c>
      <c r="E126" s="306" t="s">
        <v>453</v>
      </c>
      <c r="F126" s="307" t="s">
        <v>615</v>
      </c>
      <c r="G126" s="52" t="s">
        <v>623</v>
      </c>
      <c r="H126" s="52"/>
      <c r="I126" s="52" t="s">
        <v>596</v>
      </c>
      <c r="J126" s="52" t="s">
        <v>592</v>
      </c>
      <c r="K126" s="309"/>
      <c r="L126" s="23"/>
      <c r="M126" s="23"/>
    </row>
    <row r="127" ht="14.25" customHeight="1">
      <c r="A127" s="52">
        <v>125.0</v>
      </c>
      <c r="B127" s="310" t="s">
        <v>173</v>
      </c>
      <c r="C127" s="52" t="str">
        <f>VLOOKUP(B127,'CST Gantry To AP 68 Common Poin'!C:D,2,0)</f>
        <v>DA+1.5</v>
      </c>
      <c r="D127" s="305" t="s">
        <v>466</v>
      </c>
      <c r="E127" s="306" t="s">
        <v>453</v>
      </c>
      <c r="F127" s="307" t="s">
        <v>621</v>
      </c>
      <c r="G127" s="52" t="s">
        <v>624</v>
      </c>
      <c r="H127" s="52"/>
      <c r="I127" s="52" t="s">
        <v>596</v>
      </c>
      <c r="J127" s="52" t="s">
        <v>505</v>
      </c>
      <c r="K127" s="309"/>
      <c r="L127" s="23"/>
      <c r="M127" s="23"/>
    </row>
    <row r="128" ht="14.25" customHeight="1">
      <c r="A128" s="52">
        <v>126.0</v>
      </c>
      <c r="B128" s="305" t="s">
        <v>239</v>
      </c>
      <c r="C128" s="52" t="str">
        <f>VLOOKUP(B128,'CST Gantry To AP 68 Common Poin'!C:D,2,0)</f>
        <v>DA+0</v>
      </c>
      <c r="D128" s="305" t="s">
        <v>577</v>
      </c>
      <c r="E128" s="306" t="s">
        <v>453</v>
      </c>
      <c r="F128" s="307" t="s">
        <v>621</v>
      </c>
      <c r="G128" s="52" t="s">
        <v>625</v>
      </c>
      <c r="H128" s="52"/>
      <c r="I128" s="52" t="s">
        <v>596</v>
      </c>
      <c r="J128" s="52" t="s">
        <v>578</v>
      </c>
      <c r="K128" s="309"/>
      <c r="L128" s="23"/>
      <c r="M128" s="23"/>
    </row>
    <row r="129" ht="14.25" customHeight="1">
      <c r="A129" s="52">
        <v>127.0</v>
      </c>
      <c r="B129" s="305" t="s">
        <v>306</v>
      </c>
      <c r="C129" s="52" t="str">
        <f>VLOOKUP(B129,'CST Gantry To AP 68 Common Poin'!C:D,2,0)</f>
        <v>DA+0</v>
      </c>
      <c r="D129" s="305" t="s">
        <v>454</v>
      </c>
      <c r="E129" s="306" t="s">
        <v>453</v>
      </c>
      <c r="F129" s="307" t="s">
        <v>626</v>
      </c>
      <c r="G129" s="52" t="s">
        <v>624</v>
      </c>
      <c r="H129" s="52"/>
      <c r="I129" s="52" t="s">
        <v>596</v>
      </c>
      <c r="J129" s="52" t="s">
        <v>581</v>
      </c>
      <c r="K129" s="309"/>
      <c r="L129" s="23"/>
      <c r="M129" s="23"/>
    </row>
    <row r="130" ht="14.25" customHeight="1">
      <c r="A130" s="52">
        <v>128.0</v>
      </c>
      <c r="B130" s="305" t="s">
        <v>224</v>
      </c>
      <c r="C130" s="52" t="str">
        <f>VLOOKUP(B130,'CST Gantry To AP 68 Common Poin'!C:D,2,0)</f>
        <v>DA+0</v>
      </c>
      <c r="D130" s="305" t="s">
        <v>577</v>
      </c>
      <c r="E130" s="306" t="s">
        <v>453</v>
      </c>
      <c r="F130" s="307" t="s">
        <v>621</v>
      </c>
      <c r="G130" s="52" t="s">
        <v>627</v>
      </c>
      <c r="H130" s="52"/>
      <c r="I130" s="52" t="s">
        <v>596</v>
      </c>
      <c r="J130" s="52" t="s">
        <v>608</v>
      </c>
      <c r="K130" s="309"/>
      <c r="L130" s="23"/>
      <c r="M130" s="23"/>
    </row>
    <row r="131" ht="14.25" customHeight="1">
      <c r="A131" s="52">
        <v>129.0</v>
      </c>
      <c r="B131" s="310" t="s">
        <v>84</v>
      </c>
      <c r="C131" s="52" t="str">
        <f>VLOOKUP(B131,'CST Gantry To AP 68 Common Poin'!C:D,2,0)</f>
        <v>DA+0</v>
      </c>
      <c r="D131" s="305" t="s">
        <v>466</v>
      </c>
      <c r="E131" s="306" t="s">
        <v>453</v>
      </c>
      <c r="F131" s="307" t="s">
        <v>621</v>
      </c>
      <c r="G131" s="52" t="s">
        <v>625</v>
      </c>
      <c r="H131" s="52"/>
      <c r="I131" s="52" t="s">
        <v>596</v>
      </c>
      <c r="J131" s="52" t="s">
        <v>473</v>
      </c>
      <c r="K131" s="309"/>
      <c r="L131" s="23"/>
      <c r="M131" s="23"/>
    </row>
    <row r="132" ht="14.25" customHeight="1">
      <c r="A132" s="52">
        <v>130.0</v>
      </c>
      <c r="B132" s="305" t="s">
        <v>368</v>
      </c>
      <c r="C132" s="52" t="str">
        <f>VLOOKUP(B132,'CST Gantry To AP 68 Common Poin'!C:D,2,0)</f>
        <v>DA+3</v>
      </c>
      <c r="D132" s="305" t="s">
        <v>454</v>
      </c>
      <c r="E132" s="306" t="s">
        <v>453</v>
      </c>
      <c r="F132" s="307" t="s">
        <v>627</v>
      </c>
      <c r="G132" s="52" t="s">
        <v>624</v>
      </c>
      <c r="H132" s="52"/>
      <c r="I132" s="52" t="s">
        <v>596</v>
      </c>
      <c r="J132" s="52" t="s">
        <v>542</v>
      </c>
      <c r="K132" s="309"/>
      <c r="L132" s="23"/>
      <c r="M132" s="23"/>
    </row>
    <row r="133" ht="14.25" customHeight="1">
      <c r="A133" s="52">
        <v>131.0</v>
      </c>
      <c r="B133" s="305" t="s">
        <v>211</v>
      </c>
      <c r="C133" s="52" t="str">
        <f>VLOOKUP(B133,'CST Gantry To AP 68 Common Poin'!C:D,2,0)</f>
        <v>DD45+12</v>
      </c>
      <c r="D133" s="305" t="s">
        <v>466</v>
      </c>
      <c r="E133" s="306" t="s">
        <v>453</v>
      </c>
      <c r="F133" s="307" t="s">
        <v>628</v>
      </c>
      <c r="G133" s="52" t="s">
        <v>629</v>
      </c>
      <c r="H133" s="52"/>
      <c r="I133" s="52" t="s">
        <v>596</v>
      </c>
      <c r="J133" s="52" t="s">
        <v>608</v>
      </c>
      <c r="K133" s="309"/>
      <c r="L133" s="23"/>
      <c r="M133" s="23"/>
    </row>
    <row r="134" ht="14.25" customHeight="1">
      <c r="A134" s="52">
        <v>132.0</v>
      </c>
      <c r="B134" s="305" t="s">
        <v>265</v>
      </c>
      <c r="C134" s="52" t="str">
        <f>VLOOKUP(B134,'CST Gantry To AP 68 Common Poin'!C:D,2,0)</f>
        <v>DC2+0</v>
      </c>
      <c r="D134" s="305" t="s">
        <v>577</v>
      </c>
      <c r="E134" s="306" t="s">
        <v>453</v>
      </c>
      <c r="F134" s="307" t="s">
        <v>624</v>
      </c>
      <c r="G134" s="52" t="s">
        <v>630</v>
      </c>
      <c r="H134" s="52"/>
      <c r="I134" s="52" t="s">
        <v>596</v>
      </c>
      <c r="J134" s="52" t="s">
        <v>578</v>
      </c>
      <c r="K134" s="309"/>
      <c r="L134" s="23"/>
      <c r="M134" s="23"/>
    </row>
    <row r="135" ht="14.25" customHeight="1">
      <c r="A135" s="52">
        <v>133.0</v>
      </c>
      <c r="B135" s="305" t="s">
        <v>124</v>
      </c>
      <c r="C135" s="52" t="str">
        <f>VLOOKUP(B135,'CST Gantry To AP 68 Common Poin'!C:D,2,0)</f>
        <v>DB2+3</v>
      </c>
      <c r="D135" s="305" t="s">
        <v>466</v>
      </c>
      <c r="E135" s="306" t="s">
        <v>453</v>
      </c>
      <c r="F135" s="307" t="s">
        <v>624</v>
      </c>
      <c r="G135" s="52" t="s">
        <v>630</v>
      </c>
      <c r="H135" s="52"/>
      <c r="I135" s="52" t="s">
        <v>596</v>
      </c>
      <c r="J135" s="52" t="s">
        <v>473</v>
      </c>
      <c r="K135" s="309"/>
      <c r="L135" s="23"/>
      <c r="M135" s="314"/>
    </row>
    <row r="136" ht="14.25" customHeight="1">
      <c r="A136" s="52">
        <v>134.0</v>
      </c>
      <c r="B136" s="305" t="s">
        <v>182</v>
      </c>
      <c r="C136" s="52" t="str">
        <f>VLOOKUP(B136,'CST Gantry To AP 68 Common Poin'!C:D,2,0)</f>
        <v>DA+0</v>
      </c>
      <c r="D136" s="305" t="s">
        <v>466</v>
      </c>
      <c r="E136" s="306" t="s">
        <v>453</v>
      </c>
      <c r="F136" s="307" t="s">
        <v>624</v>
      </c>
      <c r="G136" s="52" t="s">
        <v>631</v>
      </c>
      <c r="H136" s="52"/>
      <c r="I136" s="52" t="s">
        <v>596</v>
      </c>
      <c r="J136" s="52" t="s">
        <v>632</v>
      </c>
      <c r="K136" s="309"/>
      <c r="L136" s="23"/>
      <c r="M136" s="23"/>
    </row>
    <row r="137" ht="14.25" customHeight="1">
      <c r="A137" s="52">
        <v>135.0</v>
      </c>
      <c r="B137" s="305" t="s">
        <v>237</v>
      </c>
      <c r="C137" s="52" t="str">
        <f>VLOOKUP(B137,'CST Gantry To AP 68 Common Poin'!C:D,2,0)</f>
        <v>DA+3</v>
      </c>
      <c r="D137" s="305" t="s">
        <v>577</v>
      </c>
      <c r="E137" s="306" t="s">
        <v>453</v>
      </c>
      <c r="F137" s="307" t="s">
        <v>633</v>
      </c>
      <c r="G137" s="307">
        <v>46121.0</v>
      </c>
      <c r="H137" s="307" t="s">
        <v>596</v>
      </c>
      <c r="I137" s="307" t="s">
        <v>620</v>
      </c>
      <c r="J137" s="52" t="s">
        <v>634</v>
      </c>
      <c r="K137" s="309"/>
      <c r="L137" s="23"/>
      <c r="M137" s="23"/>
    </row>
    <row r="138" ht="14.25" customHeight="1">
      <c r="A138" s="52">
        <v>136.0</v>
      </c>
      <c r="B138" s="305" t="s">
        <v>174</v>
      </c>
      <c r="C138" s="52" t="str">
        <f>VLOOKUP(B138,'CST Gantry To AP 68 Common Poin'!C:D,2,0)</f>
        <v>DA(-)3</v>
      </c>
      <c r="D138" s="305" t="s">
        <v>466</v>
      </c>
      <c r="E138" s="306" t="s">
        <v>453</v>
      </c>
      <c r="F138" s="307" t="s">
        <v>635</v>
      </c>
      <c r="G138" s="315" t="s">
        <v>636</v>
      </c>
      <c r="H138" s="315"/>
      <c r="I138" s="315" t="s">
        <v>620</v>
      </c>
      <c r="J138" s="52" t="s">
        <v>505</v>
      </c>
      <c r="K138" s="309"/>
      <c r="L138" s="23"/>
      <c r="M138" s="23"/>
    </row>
    <row r="139" ht="14.25" customHeight="1">
      <c r="A139" s="52">
        <v>137.0</v>
      </c>
      <c r="B139" s="305" t="s">
        <v>369</v>
      </c>
      <c r="C139" s="52" t="str">
        <f>VLOOKUP(B139,'CST Gantry To AP 68 Common Poin'!C:D,2,0)</f>
        <v>DA(-)1.5</v>
      </c>
      <c r="D139" s="305" t="s">
        <v>454</v>
      </c>
      <c r="E139" s="306" t="s">
        <v>453</v>
      </c>
      <c r="F139" s="307" t="s">
        <v>637</v>
      </c>
      <c r="G139" s="52" t="s">
        <v>630</v>
      </c>
      <c r="H139" s="52"/>
      <c r="I139" s="52" t="s">
        <v>596</v>
      </c>
      <c r="J139" s="52" t="s">
        <v>542</v>
      </c>
      <c r="K139" s="309"/>
      <c r="L139" s="23"/>
      <c r="M139" s="23"/>
    </row>
    <row r="140" ht="14.25" customHeight="1">
      <c r="A140" s="52">
        <v>138.0</v>
      </c>
      <c r="B140" s="305" t="s">
        <v>294</v>
      </c>
      <c r="C140" s="52" t="str">
        <f>VLOOKUP(B140,'CST Gantry To AP 68 Common Poin'!C:D,2,0)</f>
        <v>DA+0</v>
      </c>
      <c r="D140" s="305" t="s">
        <v>454</v>
      </c>
      <c r="E140" s="306" t="s">
        <v>453</v>
      </c>
      <c r="F140" s="307" t="s">
        <v>635</v>
      </c>
      <c r="G140" s="52" t="s">
        <v>629</v>
      </c>
      <c r="H140" s="52"/>
      <c r="I140" s="52" t="s">
        <v>596</v>
      </c>
      <c r="J140" s="52" t="s">
        <v>581</v>
      </c>
      <c r="K140" s="309"/>
      <c r="L140" s="23"/>
      <c r="M140" s="23"/>
    </row>
    <row r="141" ht="14.25" customHeight="1">
      <c r="A141" s="52">
        <v>139.0</v>
      </c>
      <c r="B141" s="305" t="s">
        <v>179</v>
      </c>
      <c r="C141" s="52" t="str">
        <f>VLOOKUP(B141,'CST Gantry To AP 68 Common Poin'!C:D,2,0)</f>
        <v>DA+1.5</v>
      </c>
      <c r="D141" s="305" t="s">
        <v>466</v>
      </c>
      <c r="E141" s="306" t="s">
        <v>453</v>
      </c>
      <c r="F141" s="307" t="s">
        <v>635</v>
      </c>
      <c r="G141" s="52" t="s">
        <v>638</v>
      </c>
      <c r="H141" s="52"/>
      <c r="I141" s="315" t="s">
        <v>620</v>
      </c>
      <c r="J141" s="52" t="s">
        <v>639</v>
      </c>
      <c r="K141" s="309"/>
      <c r="L141" s="23"/>
      <c r="M141" s="23"/>
    </row>
    <row r="142" ht="14.25" customHeight="1">
      <c r="A142" s="52">
        <v>140.0</v>
      </c>
      <c r="B142" s="305" t="s">
        <v>181</v>
      </c>
      <c r="C142" s="52" t="str">
        <f>VLOOKUP(B142,'CST Gantry To AP 68 Common Poin'!C:D,2,0)</f>
        <v>DA+1.5</v>
      </c>
      <c r="D142" s="305" t="s">
        <v>466</v>
      </c>
      <c r="E142" s="306" t="s">
        <v>453</v>
      </c>
      <c r="F142" s="307" t="s">
        <v>623</v>
      </c>
      <c r="G142" s="52" t="s">
        <v>640</v>
      </c>
      <c r="H142" s="52"/>
      <c r="I142" s="315" t="s">
        <v>620</v>
      </c>
      <c r="J142" s="52" t="s">
        <v>632</v>
      </c>
      <c r="K142" s="309"/>
      <c r="L142" s="23"/>
      <c r="M142" s="23"/>
    </row>
    <row r="143" ht="14.25" customHeight="1">
      <c r="A143" s="52">
        <v>141.0</v>
      </c>
      <c r="B143" s="305" t="s">
        <v>88</v>
      </c>
      <c r="C143" s="52" t="str">
        <f>VLOOKUP(B143,'CST Gantry To AP 68 Common Poin'!C:D,2,0)</f>
        <v>DA+0</v>
      </c>
      <c r="D143" s="305" t="s">
        <v>466</v>
      </c>
      <c r="E143" s="306" t="s">
        <v>453</v>
      </c>
      <c r="F143" s="307" t="s">
        <v>623</v>
      </c>
      <c r="G143" s="52" t="s">
        <v>619</v>
      </c>
      <c r="H143" s="52"/>
      <c r="I143" s="315" t="s">
        <v>620</v>
      </c>
      <c r="J143" s="52" t="s">
        <v>473</v>
      </c>
      <c r="K143" s="309"/>
      <c r="L143" s="23"/>
      <c r="M143" s="23"/>
    </row>
    <row r="144" ht="14.25" customHeight="1">
      <c r="A144" s="52">
        <v>142.0</v>
      </c>
      <c r="B144" s="52" t="s">
        <v>263</v>
      </c>
      <c r="C144" s="52" t="str">
        <f>VLOOKUP(B144,'CST Gantry To AP 68 Common Poin'!C:D,2,0)</f>
        <v>DA+0</v>
      </c>
      <c r="D144" s="305" t="s">
        <v>577</v>
      </c>
      <c r="E144" s="306" t="s">
        <v>453</v>
      </c>
      <c r="F144" s="307" t="s">
        <v>629</v>
      </c>
      <c r="G144" s="52" t="s">
        <v>638</v>
      </c>
      <c r="H144" s="52"/>
      <c r="I144" s="315" t="s">
        <v>620</v>
      </c>
      <c r="J144" s="52" t="s">
        <v>578</v>
      </c>
      <c r="K144" s="309"/>
      <c r="L144" s="23"/>
      <c r="M144" s="23"/>
    </row>
    <row r="145" ht="14.25" customHeight="1">
      <c r="A145" s="52">
        <v>143.0</v>
      </c>
      <c r="B145" s="52" t="s">
        <v>367</v>
      </c>
      <c r="C145" s="52" t="str">
        <f>VLOOKUP(B145,'CST Gantry To AP 68 Common Poin'!C:D,2,0)</f>
        <v>DA(-)3</v>
      </c>
      <c r="D145" s="305" t="s">
        <v>454</v>
      </c>
      <c r="E145" s="306" t="s">
        <v>453</v>
      </c>
      <c r="F145" s="307" t="s">
        <v>629</v>
      </c>
      <c r="G145" s="52" t="s">
        <v>638</v>
      </c>
      <c r="H145" s="52"/>
      <c r="I145" s="315" t="s">
        <v>620</v>
      </c>
      <c r="J145" s="52" t="s">
        <v>542</v>
      </c>
      <c r="K145" s="309"/>
      <c r="L145" s="23"/>
      <c r="M145" s="23"/>
    </row>
    <row r="146" ht="14.25" customHeight="1">
      <c r="A146" s="52">
        <v>144.0</v>
      </c>
      <c r="B146" s="52" t="s">
        <v>320</v>
      </c>
      <c r="C146" s="52" t="str">
        <f>VLOOKUP(B146,'CST Gantry To AP 68 Common Poin'!C:D,2,0)</f>
        <v>DA+3</v>
      </c>
      <c r="D146" s="305" t="s">
        <v>454</v>
      </c>
      <c r="E146" s="306" t="s">
        <v>453</v>
      </c>
      <c r="F146" s="307" t="s">
        <v>636</v>
      </c>
      <c r="G146" s="307">
        <v>46119.0</v>
      </c>
      <c r="H146" s="307" t="s">
        <v>620</v>
      </c>
      <c r="I146" s="307" t="s">
        <v>620</v>
      </c>
      <c r="J146" s="52" t="s">
        <v>592</v>
      </c>
      <c r="K146" s="309"/>
      <c r="L146" s="23"/>
      <c r="M146" s="314"/>
    </row>
    <row r="147" ht="14.25" customHeight="1">
      <c r="A147" s="52">
        <v>145.0</v>
      </c>
      <c r="B147" s="52" t="s">
        <v>215</v>
      </c>
      <c r="C147" s="52" t="str">
        <f>VLOOKUP(B147,'CST Gantry To AP 68 Common Poin'!C:D,2,0)</f>
        <v>DA(-)3</v>
      </c>
      <c r="D147" s="305" t="s">
        <v>466</v>
      </c>
      <c r="E147" s="306" t="s">
        <v>453</v>
      </c>
      <c r="F147" s="307" t="s">
        <v>619</v>
      </c>
      <c r="G147" s="52" t="s">
        <v>640</v>
      </c>
      <c r="H147" s="307" t="s">
        <v>620</v>
      </c>
      <c r="I147" s="315" t="s">
        <v>620</v>
      </c>
      <c r="J147" s="52" t="s">
        <v>608</v>
      </c>
      <c r="K147" s="309"/>
      <c r="L147" s="23"/>
      <c r="M147" s="23"/>
    </row>
    <row r="148" ht="14.25" customHeight="1">
      <c r="A148" s="52">
        <v>146.0</v>
      </c>
      <c r="B148" s="52" t="s">
        <v>291</v>
      </c>
      <c r="C148" s="52" t="str">
        <f>VLOOKUP(B148,'CST Gantry To AP 68 Common Poin'!C:D,2,0)</f>
        <v>DA+0</v>
      </c>
      <c r="D148" s="305" t="s">
        <v>454</v>
      </c>
      <c r="E148" s="306" t="s">
        <v>453</v>
      </c>
      <c r="F148" s="307" t="s">
        <v>619</v>
      </c>
      <c r="G148" s="307">
        <v>46119.0</v>
      </c>
      <c r="H148" s="307" t="s">
        <v>620</v>
      </c>
      <c r="I148" s="307" t="s">
        <v>620</v>
      </c>
      <c r="J148" s="52" t="s">
        <v>581</v>
      </c>
      <c r="K148" s="309"/>
      <c r="L148" s="23"/>
      <c r="M148" s="23"/>
    </row>
    <row r="149" ht="14.25" customHeight="1">
      <c r="A149" s="52">
        <v>147.0</v>
      </c>
      <c r="B149" s="310" t="s">
        <v>175</v>
      </c>
      <c r="C149" s="52" t="str">
        <f>VLOOKUP(B149,'CST Gantry To AP 68 Common Poin'!C:D,2,0)</f>
        <v>DA(-)1.5</v>
      </c>
      <c r="D149" s="305" t="s">
        <v>466</v>
      </c>
      <c r="E149" s="306" t="s">
        <v>453</v>
      </c>
      <c r="F149" s="307" t="s">
        <v>641</v>
      </c>
      <c r="G149" s="307">
        <v>46121.0</v>
      </c>
      <c r="H149" s="307" t="s">
        <v>620</v>
      </c>
      <c r="I149" s="307" t="s">
        <v>620</v>
      </c>
      <c r="J149" s="52" t="s">
        <v>505</v>
      </c>
      <c r="K149" s="309"/>
      <c r="L149" s="23"/>
      <c r="M149" s="23"/>
    </row>
    <row r="150" ht="14.25" customHeight="1">
      <c r="A150" s="52">
        <v>148.0</v>
      </c>
      <c r="B150" s="305" t="s">
        <v>96</v>
      </c>
      <c r="C150" s="52" t="str">
        <f>VLOOKUP(B150,'CST Gantry To AP 68 Common Poin'!C:D,2,0)</f>
        <v>DA+0</v>
      </c>
      <c r="D150" s="305" t="s">
        <v>466</v>
      </c>
      <c r="E150" s="306" t="s">
        <v>453</v>
      </c>
      <c r="F150" s="307" t="s">
        <v>641</v>
      </c>
      <c r="G150" s="52" t="s">
        <v>642</v>
      </c>
      <c r="H150" s="307" t="s">
        <v>620</v>
      </c>
      <c r="I150" s="315" t="s">
        <v>620</v>
      </c>
      <c r="J150" s="52" t="s">
        <v>473</v>
      </c>
      <c r="K150" s="309"/>
      <c r="L150" s="23"/>
      <c r="M150" s="23"/>
    </row>
    <row r="151" ht="14.25" customHeight="1">
      <c r="A151" s="52">
        <v>149.0</v>
      </c>
      <c r="B151" s="305" t="s">
        <v>188</v>
      </c>
      <c r="C151" s="52" t="str">
        <f>VLOOKUP(B151,'CST Gantry To AP 68 Common Poin'!C:D,2,0)</f>
        <v>DA+1.5</v>
      </c>
      <c r="D151" s="305" t="s">
        <v>466</v>
      </c>
      <c r="E151" s="306" t="s">
        <v>453</v>
      </c>
      <c r="F151" s="307" t="s">
        <v>641</v>
      </c>
      <c r="G151" s="307">
        <v>46122.0</v>
      </c>
      <c r="H151" s="307" t="s">
        <v>620</v>
      </c>
      <c r="I151" s="307" t="s">
        <v>620</v>
      </c>
      <c r="J151" s="52" t="s">
        <v>606</v>
      </c>
      <c r="K151" s="309"/>
      <c r="L151" s="23"/>
      <c r="M151" s="23"/>
    </row>
    <row r="152" ht="14.25" customHeight="1">
      <c r="A152" s="52">
        <v>150.0</v>
      </c>
      <c r="B152" s="305" t="s">
        <v>178</v>
      </c>
      <c r="C152" s="52" t="str">
        <f>VLOOKUP(B152,'CST Gantry To AP 68 Common Poin'!C:D,2,0)</f>
        <v>DA+1.5</v>
      </c>
      <c r="D152" s="305" t="s">
        <v>466</v>
      </c>
      <c r="E152" s="306" t="s">
        <v>453</v>
      </c>
      <c r="F152" s="307" t="s">
        <v>642</v>
      </c>
      <c r="G152" s="307">
        <v>46125.0</v>
      </c>
      <c r="H152" s="307" t="s">
        <v>620</v>
      </c>
      <c r="I152" s="307" t="s">
        <v>620</v>
      </c>
      <c r="J152" s="52" t="s">
        <v>639</v>
      </c>
      <c r="K152" s="309"/>
      <c r="L152" s="23"/>
      <c r="M152" s="23"/>
    </row>
    <row r="153" ht="14.25" customHeight="1">
      <c r="A153" s="52">
        <v>151.0</v>
      </c>
      <c r="B153" s="305" t="s">
        <v>261</v>
      </c>
      <c r="C153" s="52" t="str">
        <f>VLOOKUP(B153,'CST Gantry To AP 68 Common Poin'!C:D,2,0)</f>
        <v>DA(-)3</v>
      </c>
      <c r="D153" s="305" t="s">
        <v>577</v>
      </c>
      <c r="E153" s="306" t="s">
        <v>453</v>
      </c>
      <c r="F153" s="307" t="s">
        <v>642</v>
      </c>
      <c r="G153" s="307">
        <v>46121.0</v>
      </c>
      <c r="H153" s="307" t="s">
        <v>620</v>
      </c>
      <c r="I153" s="307" t="s">
        <v>620</v>
      </c>
      <c r="J153" s="52" t="s">
        <v>578</v>
      </c>
      <c r="K153" s="309"/>
      <c r="L153" s="23"/>
      <c r="M153" s="23"/>
    </row>
    <row r="154" ht="14.25" customHeight="1">
      <c r="A154" s="52">
        <v>152.0</v>
      </c>
      <c r="B154" s="305" t="s">
        <v>372</v>
      </c>
      <c r="C154" s="52" t="str">
        <f>VLOOKUP(B154,'CST Gantry To AP 68 Common Poin'!C:D,2,0)</f>
        <v>DB2+6</v>
      </c>
      <c r="D154" s="305" t="s">
        <v>454</v>
      </c>
      <c r="E154" s="306" t="s">
        <v>453</v>
      </c>
      <c r="F154" s="307" t="s">
        <v>642</v>
      </c>
      <c r="G154" s="307">
        <v>46127.0</v>
      </c>
      <c r="H154" s="307" t="s">
        <v>620</v>
      </c>
      <c r="I154" s="307" t="s">
        <v>620</v>
      </c>
      <c r="J154" s="52" t="s">
        <v>542</v>
      </c>
      <c r="K154" s="309"/>
      <c r="L154" s="23"/>
      <c r="M154" s="23"/>
    </row>
    <row r="155" ht="14.25" customHeight="1">
      <c r="A155" s="52">
        <v>153.0</v>
      </c>
      <c r="B155" s="305" t="s">
        <v>180</v>
      </c>
      <c r="C155" s="52" t="str">
        <f>VLOOKUP(B155,'CST Gantry To AP 68 Common Poin'!C:D,2,0)</f>
        <v>DC1+0</v>
      </c>
      <c r="D155" s="305" t="s">
        <v>466</v>
      </c>
      <c r="E155" s="316" t="s">
        <v>449</v>
      </c>
      <c r="F155" s="307" t="s">
        <v>642</v>
      </c>
      <c r="G155" s="307">
        <v>46128.0</v>
      </c>
      <c r="H155" s="307" t="s">
        <v>620</v>
      </c>
      <c r="I155" s="307" t="s">
        <v>620</v>
      </c>
      <c r="J155" s="52" t="s">
        <v>632</v>
      </c>
      <c r="K155" s="309"/>
      <c r="L155" s="23"/>
      <c r="M155" s="23"/>
    </row>
    <row r="156" ht="14.25" customHeight="1">
      <c r="A156" s="52">
        <v>154.0</v>
      </c>
      <c r="B156" s="52" t="s">
        <v>206</v>
      </c>
      <c r="C156" s="52" t="str">
        <f>VLOOKUP(B156,'CST Gantry To AP 68 Common Poin'!C:D,2,0)</f>
        <v>DA+3</v>
      </c>
      <c r="D156" s="305" t="s">
        <v>466</v>
      </c>
      <c r="E156" s="306" t="s">
        <v>453</v>
      </c>
      <c r="F156" s="307" t="s">
        <v>642</v>
      </c>
      <c r="G156" s="307">
        <v>46121.0</v>
      </c>
      <c r="H156" s="307" t="s">
        <v>620</v>
      </c>
      <c r="I156" s="307" t="s">
        <v>620</v>
      </c>
      <c r="J156" s="52" t="s">
        <v>608</v>
      </c>
      <c r="K156" s="309"/>
      <c r="L156" s="23"/>
      <c r="M156" s="23"/>
    </row>
    <row r="157" ht="14.25" customHeight="1">
      <c r="A157" s="52">
        <v>155.0</v>
      </c>
      <c r="B157" s="305" t="s">
        <v>95</v>
      </c>
      <c r="C157" s="52" t="str">
        <f>VLOOKUP(B157,'CST Gantry To AP 68 Common Poin'!C:D,2,0)</f>
        <v>DA+3</v>
      </c>
      <c r="D157" s="305" t="s">
        <v>466</v>
      </c>
      <c r="E157" s="306" t="s">
        <v>453</v>
      </c>
      <c r="F157" s="307">
        <v>46120.0</v>
      </c>
      <c r="G157" s="307">
        <v>46123.0</v>
      </c>
      <c r="H157" s="307" t="s">
        <v>620</v>
      </c>
      <c r="I157" s="307" t="s">
        <v>620</v>
      </c>
      <c r="J157" s="52" t="s">
        <v>473</v>
      </c>
      <c r="K157" s="309"/>
      <c r="L157" s="23"/>
      <c r="M157" s="23"/>
    </row>
    <row r="158" ht="14.25" customHeight="1">
      <c r="A158" s="52">
        <v>156.0</v>
      </c>
      <c r="B158" s="52" t="s">
        <v>316</v>
      </c>
      <c r="C158" s="52" t="str">
        <f>VLOOKUP(B158,'CST Gantry To AP 68 Common Poin'!C:D,2,0)</f>
        <v>DA+1.5</v>
      </c>
      <c r="D158" s="305" t="s">
        <v>454</v>
      </c>
      <c r="E158" s="306" t="s">
        <v>453</v>
      </c>
      <c r="F158" s="307">
        <v>46121.0</v>
      </c>
      <c r="G158" s="307">
        <v>46126.0</v>
      </c>
      <c r="H158" s="307" t="s">
        <v>620</v>
      </c>
      <c r="I158" s="307" t="s">
        <v>620</v>
      </c>
      <c r="J158" s="52" t="s">
        <v>592</v>
      </c>
      <c r="K158" s="309"/>
      <c r="L158" s="23"/>
      <c r="M158" s="23"/>
    </row>
    <row r="159" ht="14.25" customHeight="1">
      <c r="A159" s="52">
        <v>157.0</v>
      </c>
      <c r="B159" s="52" t="s">
        <v>221</v>
      </c>
      <c r="C159" s="52" t="str">
        <f>VLOOKUP(B159,'CST Gantry To AP 68 Common Poin'!C:D,2,0)</f>
        <v>DA+6</v>
      </c>
      <c r="D159" s="305" t="s">
        <v>466</v>
      </c>
      <c r="E159" s="306" t="s">
        <v>453</v>
      </c>
      <c r="F159" s="307">
        <v>46120.0</v>
      </c>
      <c r="G159" s="307">
        <v>46141.0</v>
      </c>
      <c r="H159" s="307" t="s">
        <v>620</v>
      </c>
      <c r="I159" s="307" t="s">
        <v>620</v>
      </c>
      <c r="J159" s="52" t="s">
        <v>643</v>
      </c>
      <c r="K159" s="309"/>
      <c r="L159" s="23"/>
      <c r="M159" s="23"/>
    </row>
    <row r="160" ht="14.25" customHeight="1">
      <c r="A160" s="52">
        <v>158.0</v>
      </c>
      <c r="B160" s="305" t="s">
        <v>172</v>
      </c>
      <c r="C160" s="52" t="str">
        <f>VLOOKUP(B160,'CST Gantry To AP 68 Common Poin'!C:D,2,0)</f>
        <v>DA+0</v>
      </c>
      <c r="D160" s="305" t="s">
        <v>466</v>
      </c>
      <c r="E160" s="306" t="s">
        <v>453</v>
      </c>
      <c r="F160" s="307">
        <v>46123.0</v>
      </c>
      <c r="G160" s="307">
        <v>46126.0</v>
      </c>
      <c r="H160" s="307" t="s">
        <v>620</v>
      </c>
      <c r="I160" s="307" t="s">
        <v>620</v>
      </c>
      <c r="J160" s="52" t="s">
        <v>505</v>
      </c>
      <c r="K160" s="309"/>
      <c r="L160" s="23"/>
      <c r="M160" s="23"/>
    </row>
    <row r="161" ht="14.25" customHeight="1">
      <c r="A161" s="52">
        <v>159.0</v>
      </c>
      <c r="B161" s="52" t="s">
        <v>238</v>
      </c>
      <c r="C161" s="52" t="str">
        <f>VLOOKUP(B161,'CST Gantry To AP 68 Common Poin'!C:D,2,0)</f>
        <v>DA+0</v>
      </c>
      <c r="D161" s="305" t="s">
        <v>577</v>
      </c>
      <c r="E161" s="306" t="s">
        <v>453</v>
      </c>
      <c r="F161" s="307">
        <v>46124.0</v>
      </c>
      <c r="G161" s="307">
        <v>46133.0</v>
      </c>
      <c r="H161" s="307" t="s">
        <v>620</v>
      </c>
      <c r="I161" s="307" t="s">
        <v>620</v>
      </c>
      <c r="J161" s="52" t="s">
        <v>634</v>
      </c>
      <c r="K161" s="309"/>
      <c r="L161" s="23"/>
      <c r="M161" s="23"/>
    </row>
    <row r="162" ht="14.25" customHeight="1">
      <c r="A162" s="52">
        <v>160.0</v>
      </c>
      <c r="B162" s="52" t="s">
        <v>208</v>
      </c>
      <c r="C162" s="52" t="str">
        <f>VLOOKUP(B162,'CST Gantry To AP 68 Common Poin'!C:D,2,0)</f>
        <v>DA(-)1.5</v>
      </c>
      <c r="D162" s="305" t="s">
        <v>466</v>
      </c>
      <c r="E162" s="306" t="s">
        <v>453</v>
      </c>
      <c r="F162" s="307">
        <v>46122.0</v>
      </c>
      <c r="G162" s="307">
        <v>46125.0</v>
      </c>
      <c r="H162" s="307" t="s">
        <v>620</v>
      </c>
      <c r="I162" s="307" t="s">
        <v>620</v>
      </c>
      <c r="J162" s="52" t="s">
        <v>608</v>
      </c>
      <c r="K162" s="309"/>
      <c r="L162" s="23"/>
      <c r="M162" s="23"/>
    </row>
    <row r="163" ht="14.25" customHeight="1">
      <c r="A163" s="52">
        <v>161.0</v>
      </c>
      <c r="B163" s="52" t="s">
        <v>264</v>
      </c>
      <c r="C163" s="52" t="str">
        <f>VLOOKUP(B163,'CST Gantry To AP 68 Common Poin'!C:D,2,0)</f>
        <v>DA+1.5</v>
      </c>
      <c r="D163" s="305" t="s">
        <v>577</v>
      </c>
      <c r="E163" s="306" t="s">
        <v>453</v>
      </c>
      <c r="F163" s="307">
        <v>46122.0</v>
      </c>
      <c r="G163" s="307">
        <v>46127.0</v>
      </c>
      <c r="H163" s="307" t="s">
        <v>620</v>
      </c>
      <c r="I163" s="307" t="s">
        <v>620</v>
      </c>
      <c r="J163" s="52" t="s">
        <v>578</v>
      </c>
      <c r="K163" s="309"/>
      <c r="L163" s="23"/>
      <c r="M163" s="23"/>
    </row>
    <row r="164" ht="14.25" customHeight="1">
      <c r="A164" s="52">
        <v>162.0</v>
      </c>
      <c r="B164" s="52" t="s">
        <v>198</v>
      </c>
      <c r="C164" s="52" t="str">
        <f>VLOOKUP(B164,'CST Gantry To AP 68 Common Poin'!C:D,2,0)</f>
        <v>DA+6</v>
      </c>
      <c r="D164" s="305" t="s">
        <v>466</v>
      </c>
      <c r="E164" s="306" t="s">
        <v>453</v>
      </c>
      <c r="F164" s="307">
        <v>46124.0</v>
      </c>
      <c r="G164" s="307">
        <v>46130.0</v>
      </c>
      <c r="H164" s="307" t="s">
        <v>620</v>
      </c>
      <c r="I164" s="307" t="s">
        <v>620</v>
      </c>
      <c r="J164" s="52" t="s">
        <v>606</v>
      </c>
      <c r="K164" s="309"/>
      <c r="L164" s="23"/>
      <c r="M164" s="23"/>
    </row>
    <row r="165" ht="14.25" customHeight="1">
      <c r="A165" s="52">
        <v>163.0</v>
      </c>
      <c r="B165" s="310" t="s">
        <v>162</v>
      </c>
      <c r="C165" s="52" t="str">
        <f>VLOOKUP(B165,'CST Gantry To AP 68 Common Poin'!C:D,2,0)</f>
        <v>DA(-)3</v>
      </c>
      <c r="D165" s="305" t="s">
        <v>466</v>
      </c>
      <c r="E165" s="306" t="s">
        <v>453</v>
      </c>
      <c r="F165" s="307">
        <v>46125.0</v>
      </c>
      <c r="G165" s="307">
        <v>46133.0</v>
      </c>
      <c r="H165" s="307" t="s">
        <v>620</v>
      </c>
      <c r="I165" s="307" t="s">
        <v>620</v>
      </c>
      <c r="J165" s="52" t="s">
        <v>639</v>
      </c>
      <c r="K165" s="309"/>
      <c r="L165" s="23"/>
      <c r="M165" s="23"/>
    </row>
    <row r="166" ht="14.25" customHeight="1">
      <c r="A166" s="52">
        <v>164.0</v>
      </c>
      <c r="B166" s="52" t="s">
        <v>207</v>
      </c>
      <c r="C166" s="52" t="str">
        <f>VLOOKUP(B166,'CST Gantry To AP 68 Common Poin'!C:D,2,0)</f>
        <v>DA+6</v>
      </c>
      <c r="D166" s="305" t="s">
        <v>466</v>
      </c>
      <c r="E166" s="306" t="s">
        <v>453</v>
      </c>
      <c r="F166" s="307">
        <v>46125.0</v>
      </c>
      <c r="G166" s="307">
        <v>46128.0</v>
      </c>
      <c r="H166" s="307" t="s">
        <v>620</v>
      </c>
      <c r="I166" s="307" t="s">
        <v>620</v>
      </c>
      <c r="J166" s="52" t="s">
        <v>608</v>
      </c>
      <c r="K166" s="309"/>
      <c r="L166" s="23"/>
      <c r="M166" s="23"/>
    </row>
    <row r="167" ht="14.25" customHeight="1">
      <c r="A167" s="52">
        <v>165.0</v>
      </c>
      <c r="B167" s="52" t="s">
        <v>157</v>
      </c>
      <c r="C167" s="52" t="str">
        <f>VLOOKUP(B167,'CST Gantry To AP 68 Common Poin'!C:D,2,0)</f>
        <v>DC2+18</v>
      </c>
      <c r="D167" s="305" t="s">
        <v>466</v>
      </c>
      <c r="E167" s="306" t="s">
        <v>453</v>
      </c>
      <c r="F167" s="307">
        <v>46128.0</v>
      </c>
      <c r="G167" s="307">
        <v>46141.0</v>
      </c>
      <c r="H167" s="307" t="s">
        <v>620</v>
      </c>
      <c r="I167" s="307" t="s">
        <v>620</v>
      </c>
      <c r="J167" s="52" t="s">
        <v>644</v>
      </c>
      <c r="K167" s="309"/>
      <c r="L167" s="23"/>
      <c r="M167" s="23"/>
    </row>
    <row r="168" ht="14.25" customHeight="1">
      <c r="A168" s="52">
        <v>166.0</v>
      </c>
      <c r="B168" s="52" t="s">
        <v>324</v>
      </c>
      <c r="C168" s="52" t="str">
        <f>VLOOKUP(B168,'CST Gantry To AP 68 Common Poin'!C:D,2,0)</f>
        <v>DA+3</v>
      </c>
      <c r="D168" s="305" t="s">
        <v>454</v>
      </c>
      <c r="E168" s="306" t="s">
        <v>453</v>
      </c>
      <c r="F168" s="307">
        <v>46126.0</v>
      </c>
      <c r="G168" s="307">
        <v>46135.0</v>
      </c>
      <c r="H168" s="307" t="s">
        <v>620</v>
      </c>
      <c r="I168" s="307" t="s">
        <v>620</v>
      </c>
      <c r="J168" s="52" t="s">
        <v>645</v>
      </c>
      <c r="K168" s="309"/>
      <c r="L168" s="23"/>
      <c r="M168" s="23"/>
    </row>
    <row r="169" ht="14.25" customHeight="1">
      <c r="A169" s="52">
        <v>167.0</v>
      </c>
      <c r="B169" s="305" t="s">
        <v>43</v>
      </c>
      <c r="C169" s="52" t="str">
        <f>VLOOKUP(B169,'CST Gantry To AP 68 Common Poin'!C:D,2,0)</f>
        <v>DC2+0</v>
      </c>
      <c r="D169" s="305" t="s">
        <v>466</v>
      </c>
      <c r="E169" s="306" t="s">
        <v>453</v>
      </c>
      <c r="F169" s="307">
        <v>46124.0</v>
      </c>
      <c r="G169" s="307">
        <v>46130.0</v>
      </c>
      <c r="H169" s="307" t="s">
        <v>620</v>
      </c>
      <c r="I169" s="307" t="s">
        <v>620</v>
      </c>
      <c r="J169" s="52" t="s">
        <v>646</v>
      </c>
      <c r="K169" s="309"/>
      <c r="L169" s="23"/>
      <c r="M169" s="23"/>
    </row>
    <row r="170" ht="14.25" customHeight="1">
      <c r="A170" s="52">
        <v>168.0</v>
      </c>
      <c r="B170" s="52" t="s">
        <v>269</v>
      </c>
      <c r="C170" s="52" t="str">
        <f>VLOOKUP(B170,'CST Gantry To AP 68 Common Poin'!C:D,2,0)</f>
        <v>DA+3</v>
      </c>
      <c r="D170" s="305" t="s">
        <v>577</v>
      </c>
      <c r="E170" s="306" t="s">
        <v>453</v>
      </c>
      <c r="F170" s="307">
        <v>46128.0</v>
      </c>
      <c r="G170" s="307">
        <v>46134.0</v>
      </c>
      <c r="H170" s="307" t="s">
        <v>620</v>
      </c>
      <c r="I170" s="307" t="s">
        <v>620</v>
      </c>
      <c r="J170" s="52" t="s">
        <v>578</v>
      </c>
      <c r="K170" s="309"/>
      <c r="L170" s="23"/>
      <c r="M170" s="23"/>
    </row>
    <row r="171" ht="14.25" customHeight="1">
      <c r="A171" s="52">
        <v>169.0</v>
      </c>
      <c r="B171" s="52" t="s">
        <v>371</v>
      </c>
      <c r="C171" s="52" t="str">
        <f>VLOOKUP(B171,'CST Gantry To AP 68 Common Poin'!C:D,2,0)</f>
        <v>DA(-)3</v>
      </c>
      <c r="D171" s="305" t="s">
        <v>454</v>
      </c>
      <c r="E171" s="306" t="s">
        <v>453</v>
      </c>
      <c r="F171" s="307">
        <v>46129.0</v>
      </c>
      <c r="G171" s="307">
        <v>46134.0</v>
      </c>
      <c r="H171" s="307" t="s">
        <v>620</v>
      </c>
      <c r="I171" s="307" t="s">
        <v>620</v>
      </c>
      <c r="J171" s="52" t="s">
        <v>542</v>
      </c>
      <c r="K171" s="309"/>
      <c r="L171" s="23"/>
      <c r="M171" s="23"/>
    </row>
    <row r="172" ht="14.25" customHeight="1">
      <c r="A172" s="52">
        <v>170.0</v>
      </c>
      <c r="B172" s="52" t="s">
        <v>209</v>
      </c>
      <c r="C172" s="52" t="str">
        <f>VLOOKUP(B172,'CST Gantry To AP 68 Common Poin'!C:D,2,0)</f>
        <v>DA+3</v>
      </c>
      <c r="D172" s="305" t="s">
        <v>466</v>
      </c>
      <c r="E172" s="306" t="s">
        <v>453</v>
      </c>
      <c r="F172" s="307">
        <v>46130.0</v>
      </c>
      <c r="G172" s="307">
        <v>46133.0</v>
      </c>
      <c r="H172" s="307" t="s">
        <v>620</v>
      </c>
      <c r="I172" s="307" t="s">
        <v>620</v>
      </c>
      <c r="J172" s="52" t="s">
        <v>608</v>
      </c>
      <c r="K172" s="309"/>
      <c r="L172" s="23"/>
      <c r="M172" s="23"/>
    </row>
    <row r="173" ht="14.25" customHeight="1">
      <c r="A173" s="52">
        <v>171.0</v>
      </c>
      <c r="B173" s="310" t="s">
        <v>45</v>
      </c>
      <c r="C173" s="52" t="str">
        <f>VLOOKUP(B173,'CST Gantry To AP 68 Common Poin'!C:D,2,0)</f>
        <v>DA+1.5</v>
      </c>
      <c r="D173" s="317" t="s">
        <v>466</v>
      </c>
      <c r="E173" s="306" t="s">
        <v>453</v>
      </c>
      <c r="F173" s="307">
        <v>46131.0</v>
      </c>
      <c r="G173" s="307">
        <v>46134.0</v>
      </c>
      <c r="H173" s="307" t="s">
        <v>620</v>
      </c>
      <c r="I173" s="307" t="s">
        <v>620</v>
      </c>
      <c r="J173" s="52" t="s">
        <v>646</v>
      </c>
      <c r="K173" s="309"/>
      <c r="L173" s="23"/>
      <c r="M173" s="23"/>
    </row>
    <row r="174" ht="14.25" customHeight="1">
      <c r="A174" s="52">
        <v>172.0</v>
      </c>
      <c r="B174" s="52" t="s">
        <v>196</v>
      </c>
      <c r="C174" s="52" t="str">
        <f>VLOOKUP(B174,'CST Gantry To AP 68 Common Poin'!C:D,2,0)</f>
        <v>DA+3</v>
      </c>
      <c r="D174" s="317" t="s">
        <v>466</v>
      </c>
      <c r="E174" s="306" t="s">
        <v>453</v>
      </c>
      <c r="F174" s="307">
        <v>46131.0</v>
      </c>
      <c r="G174" s="307">
        <v>46140.0</v>
      </c>
      <c r="H174" s="307" t="s">
        <v>620</v>
      </c>
      <c r="I174" s="307" t="s">
        <v>620</v>
      </c>
      <c r="J174" s="52" t="s">
        <v>606</v>
      </c>
      <c r="K174" s="309"/>
      <c r="L174" s="23"/>
      <c r="M174" s="23"/>
    </row>
    <row r="175" ht="14.25" customHeight="1">
      <c r="A175" s="52">
        <v>173.0</v>
      </c>
      <c r="B175" s="52" t="s">
        <v>275</v>
      </c>
      <c r="C175" s="52" t="str">
        <f>VLOOKUP(B175,'CST Gantry To AP 68 Common Poin'!C:D,2,0)</f>
        <v>DA+0</v>
      </c>
      <c r="D175" s="52" t="s">
        <v>577</v>
      </c>
      <c r="E175" s="306" t="s">
        <v>453</v>
      </c>
      <c r="F175" s="307">
        <v>46133.0</v>
      </c>
      <c r="G175" s="307">
        <v>46138.0</v>
      </c>
      <c r="H175" s="307" t="s">
        <v>620</v>
      </c>
      <c r="I175" s="52" t="s">
        <v>620</v>
      </c>
      <c r="J175" s="52" t="s">
        <v>647</v>
      </c>
      <c r="K175" s="309"/>
      <c r="L175" s="23"/>
      <c r="M175" s="23"/>
    </row>
    <row r="176" ht="14.25" customHeight="1">
      <c r="A176" s="52">
        <v>174.0</v>
      </c>
      <c r="B176" s="52" t="s">
        <v>161</v>
      </c>
      <c r="C176" s="52" t="str">
        <f>VLOOKUP(B176,'CST Gantry To AP 68 Common Poin'!C:D,2,0)</f>
        <v>DA+6</v>
      </c>
      <c r="D176" s="305" t="s">
        <v>466</v>
      </c>
      <c r="E176" s="306" t="s">
        <v>453</v>
      </c>
      <c r="F176" s="307">
        <v>46134.0</v>
      </c>
      <c r="G176" s="307">
        <v>46142.0</v>
      </c>
      <c r="H176" s="307" t="s">
        <v>620</v>
      </c>
      <c r="I176" s="52" t="s">
        <v>620</v>
      </c>
      <c r="J176" s="52" t="s">
        <v>639</v>
      </c>
      <c r="K176" s="309"/>
      <c r="L176" s="23"/>
      <c r="M176" s="23"/>
    </row>
    <row r="177" ht="14.25" customHeight="1">
      <c r="A177" s="52">
        <v>175.0</v>
      </c>
      <c r="B177" s="52" t="s">
        <v>204</v>
      </c>
      <c r="C177" s="52" t="str">
        <f>VLOOKUP(B177,'CST Gantry To AP 68 Common Poin'!C:D,2,0)</f>
        <v>DA+0</v>
      </c>
      <c r="D177" s="317" t="s">
        <v>466</v>
      </c>
      <c r="E177" s="306" t="s">
        <v>453</v>
      </c>
      <c r="F177" s="307">
        <v>46134.0</v>
      </c>
      <c r="G177" s="307">
        <v>46137.0</v>
      </c>
      <c r="H177" s="307" t="s">
        <v>620</v>
      </c>
      <c r="I177" s="307" t="s">
        <v>620</v>
      </c>
      <c r="J177" s="52" t="s">
        <v>608</v>
      </c>
      <c r="K177" s="309"/>
      <c r="L177" s="23"/>
      <c r="M177" s="23"/>
    </row>
    <row r="178" ht="14.25" customHeight="1">
      <c r="A178" s="52">
        <v>176.0</v>
      </c>
      <c r="B178" s="318" t="s">
        <v>240</v>
      </c>
      <c r="C178" s="52" t="str">
        <f>VLOOKUP(B178,'CST Gantry To AP 68 Common Poin'!C:D,2,0)</f>
        <v>DD45+0</v>
      </c>
      <c r="D178" s="52" t="s">
        <v>577</v>
      </c>
      <c r="E178" s="296" t="s">
        <v>648</v>
      </c>
      <c r="F178" s="307">
        <v>46134.0</v>
      </c>
      <c r="G178" s="52">
        <v>19.0</v>
      </c>
      <c r="H178" s="307" t="s">
        <v>620</v>
      </c>
      <c r="I178" s="52"/>
      <c r="J178" s="52" t="s">
        <v>634</v>
      </c>
      <c r="K178" s="309"/>
      <c r="L178" s="23"/>
      <c r="M178" s="23"/>
    </row>
    <row r="179" ht="14.25" customHeight="1">
      <c r="A179" s="52">
        <v>177.0</v>
      </c>
      <c r="B179" s="310" t="s">
        <v>37</v>
      </c>
      <c r="C179" s="52" t="str">
        <f>VLOOKUP(B179,'CST Gantry To AP 68 Common Poin'!C:D,2,0)</f>
        <v>DA+0</v>
      </c>
      <c r="D179" s="317" t="s">
        <v>466</v>
      </c>
      <c r="E179" s="306" t="s">
        <v>453</v>
      </c>
      <c r="F179" s="307">
        <v>46135.0</v>
      </c>
      <c r="G179" s="307">
        <v>46138.0</v>
      </c>
      <c r="H179" s="307" t="s">
        <v>620</v>
      </c>
      <c r="I179" s="307" t="s">
        <v>620</v>
      </c>
      <c r="J179" s="52" t="s">
        <v>646</v>
      </c>
      <c r="K179" s="309"/>
      <c r="L179" s="23"/>
      <c r="M179" s="23"/>
    </row>
    <row r="180" ht="14.25" customHeight="1">
      <c r="A180" s="52">
        <v>178.0</v>
      </c>
      <c r="B180" s="52" t="s">
        <v>271</v>
      </c>
      <c r="C180" s="52" t="str">
        <f>VLOOKUP(B180,'CST Gantry To AP 68 Common Poin'!C:D,2,0)</f>
        <v>DA+3</v>
      </c>
      <c r="D180" s="52" t="s">
        <v>577</v>
      </c>
      <c r="E180" s="306" t="s">
        <v>453</v>
      </c>
      <c r="F180" s="307">
        <v>46135.0</v>
      </c>
      <c r="G180" s="307">
        <v>46140.0</v>
      </c>
      <c r="H180" s="52" t="s">
        <v>620</v>
      </c>
      <c r="I180" s="52" t="s">
        <v>620</v>
      </c>
      <c r="J180" s="52" t="s">
        <v>578</v>
      </c>
      <c r="K180" s="309"/>
      <c r="L180" s="23"/>
      <c r="M180" s="23"/>
    </row>
    <row r="181" ht="14.25" customHeight="1">
      <c r="A181" s="52">
        <v>179.0</v>
      </c>
      <c r="B181" s="52" t="s">
        <v>356</v>
      </c>
      <c r="C181" s="52" t="str">
        <f>VLOOKUP(B181,'CST Gantry To AP 68 Common Poin'!C:D,2,0)</f>
        <v>DA(-)3</v>
      </c>
      <c r="D181" s="305" t="s">
        <v>454</v>
      </c>
      <c r="E181" s="306" t="s">
        <v>453</v>
      </c>
      <c r="F181" s="307">
        <v>46135.0</v>
      </c>
      <c r="G181" s="307">
        <v>46140.0</v>
      </c>
      <c r="H181" s="52" t="s">
        <v>620</v>
      </c>
      <c r="I181" s="52" t="s">
        <v>620</v>
      </c>
      <c r="J181" s="52" t="s">
        <v>542</v>
      </c>
      <c r="K181" s="309"/>
      <c r="L181" s="23"/>
      <c r="M181" s="23"/>
    </row>
    <row r="182" ht="14.25" customHeight="1">
      <c r="A182" s="52">
        <v>180.0</v>
      </c>
      <c r="B182" s="52" t="s">
        <v>203</v>
      </c>
      <c r="C182" s="52" t="str">
        <f>VLOOKUP(B182,'CST Gantry To AP 68 Common Poin'!C:D,2,0)</f>
        <v>DA+0</v>
      </c>
      <c r="D182" s="317" t="s">
        <v>466</v>
      </c>
      <c r="E182" s="306" t="s">
        <v>453</v>
      </c>
      <c r="F182" s="307">
        <v>46138.0</v>
      </c>
      <c r="G182" s="307">
        <v>46140.0</v>
      </c>
      <c r="H182" s="52" t="s">
        <v>620</v>
      </c>
      <c r="I182" s="52" t="s">
        <v>620</v>
      </c>
      <c r="J182" s="52" t="s">
        <v>608</v>
      </c>
      <c r="K182" s="309"/>
      <c r="L182" s="23"/>
      <c r="M182" s="23"/>
    </row>
    <row r="183" ht="14.25" customHeight="1">
      <c r="A183" s="52">
        <v>181.0</v>
      </c>
      <c r="B183" s="52" t="s">
        <v>348</v>
      </c>
      <c r="C183" s="52" t="str">
        <f>VLOOKUP(B183,'CST Gantry To AP 68 Common Poin'!C:D,2,0)</f>
        <v>DA(-)3</v>
      </c>
      <c r="D183" s="305" t="s">
        <v>454</v>
      </c>
      <c r="E183" s="306" t="s">
        <v>453</v>
      </c>
      <c r="F183" s="307">
        <v>46138.0</v>
      </c>
      <c r="G183" s="307">
        <v>46142.0</v>
      </c>
      <c r="H183" s="52" t="s">
        <v>620</v>
      </c>
      <c r="I183" s="52" t="s">
        <v>620</v>
      </c>
      <c r="J183" s="52" t="s">
        <v>592</v>
      </c>
      <c r="K183" s="309"/>
      <c r="L183" s="23"/>
      <c r="M183" s="23"/>
    </row>
    <row r="184" ht="14.25" customHeight="1">
      <c r="A184" s="52">
        <v>182.0</v>
      </c>
      <c r="B184" s="319" t="s">
        <v>29</v>
      </c>
      <c r="C184" s="52" t="str">
        <f>VLOOKUP(B184,'CST Gantry To AP 68 Common Poin'!C:D,2,0)</f>
        <v>DB1+0</v>
      </c>
      <c r="D184" s="317" t="s">
        <v>466</v>
      </c>
      <c r="E184" s="306" t="s">
        <v>453</v>
      </c>
      <c r="F184" s="307">
        <v>46138.0</v>
      </c>
      <c r="G184" s="307">
        <v>46114.0</v>
      </c>
      <c r="H184" s="52" t="s">
        <v>620</v>
      </c>
      <c r="I184" s="52" t="s">
        <v>649</v>
      </c>
      <c r="J184" s="52" t="s">
        <v>646</v>
      </c>
      <c r="K184" s="309"/>
      <c r="L184" s="23"/>
      <c r="M184" s="23"/>
    </row>
    <row r="185" ht="14.25" customHeight="1">
      <c r="A185" s="52">
        <v>184.0</v>
      </c>
      <c r="B185" s="52" t="s">
        <v>177</v>
      </c>
      <c r="C185" s="52" t="str">
        <f>VLOOKUP(B185,'CST Gantry To AP 68 Common Poin'!C:D,2,0)</f>
        <v>DD45+18</v>
      </c>
      <c r="D185" s="317" t="s">
        <v>466</v>
      </c>
      <c r="E185" s="306" t="s">
        <v>453</v>
      </c>
      <c r="F185" s="307">
        <v>46142.0</v>
      </c>
      <c r="G185" s="307">
        <v>46156.0</v>
      </c>
      <c r="H185" s="52" t="s">
        <v>620</v>
      </c>
      <c r="I185" s="52" t="s">
        <v>649</v>
      </c>
      <c r="J185" s="52" t="s">
        <v>644</v>
      </c>
      <c r="K185" s="23"/>
      <c r="L185" s="23"/>
      <c r="M185" s="23"/>
    </row>
    <row r="186" ht="14.25" customHeight="1">
      <c r="A186" s="52">
        <v>185.0</v>
      </c>
      <c r="B186" s="52" t="s">
        <v>184</v>
      </c>
      <c r="C186" s="52" t="str">
        <f>VLOOKUP(B186,'CST Gantry To AP 68 Common Poin'!C:D,2,0)</f>
        <v>DD60+9</v>
      </c>
      <c r="D186" s="317" t="s">
        <v>466</v>
      </c>
      <c r="E186" s="306" t="s">
        <v>453</v>
      </c>
      <c r="F186" s="307">
        <v>46142.0</v>
      </c>
      <c r="G186" s="307">
        <v>46154.0</v>
      </c>
      <c r="H186" s="52" t="s">
        <v>620</v>
      </c>
      <c r="I186" s="52" t="s">
        <v>649</v>
      </c>
      <c r="J186" s="52" t="s">
        <v>606</v>
      </c>
      <c r="K186" s="23"/>
      <c r="L186" s="23"/>
      <c r="M186" s="23"/>
    </row>
    <row r="187" ht="14.25" customHeight="1">
      <c r="A187" s="52">
        <v>186.0</v>
      </c>
      <c r="B187" s="52" t="s">
        <v>210</v>
      </c>
      <c r="C187" s="52" t="str">
        <f>VLOOKUP(B187,'CST Gantry To AP 68 Common Poin'!C:D,2,0)</f>
        <v>DA+0</v>
      </c>
      <c r="D187" s="317" t="s">
        <v>466</v>
      </c>
      <c r="E187" s="306" t="s">
        <v>453</v>
      </c>
      <c r="F187" s="307">
        <v>46141.0</v>
      </c>
      <c r="G187" s="307">
        <v>46144.0</v>
      </c>
      <c r="H187" s="52" t="s">
        <v>620</v>
      </c>
      <c r="I187" s="52" t="s">
        <v>649</v>
      </c>
      <c r="J187" s="52" t="s">
        <v>608</v>
      </c>
      <c r="K187" s="23"/>
      <c r="L187" s="23"/>
      <c r="M187" s="23"/>
    </row>
    <row r="188" ht="14.25" customHeight="1">
      <c r="A188" s="52">
        <v>187.0</v>
      </c>
      <c r="B188" s="52" t="s">
        <v>216</v>
      </c>
      <c r="C188" s="52" t="str">
        <f>VLOOKUP(B188,'CST Gantry To AP 68 Common Poin'!C:D,2,0)</f>
        <v>DA+3</v>
      </c>
      <c r="D188" s="317" t="s">
        <v>466</v>
      </c>
      <c r="E188" s="306" t="s">
        <v>453</v>
      </c>
      <c r="F188" s="307">
        <v>46142.0</v>
      </c>
      <c r="G188" s="307">
        <v>46153.0</v>
      </c>
      <c r="H188" s="52" t="s">
        <v>620</v>
      </c>
      <c r="I188" s="52" t="s">
        <v>649</v>
      </c>
      <c r="J188" s="52" t="s">
        <v>643</v>
      </c>
      <c r="K188" s="23"/>
      <c r="L188" s="23"/>
      <c r="M188" s="23"/>
    </row>
    <row r="189" ht="14.25" customHeight="1">
      <c r="A189" s="52">
        <v>188.0</v>
      </c>
      <c r="B189" s="52" t="s">
        <v>270</v>
      </c>
      <c r="C189" s="52" t="str">
        <f>VLOOKUP(B189,'CST Gantry To AP 68 Common Poin'!C:D,2,0)</f>
        <v>DC1+0</v>
      </c>
      <c r="D189" s="52" t="s">
        <v>577</v>
      </c>
      <c r="E189" s="306" t="s">
        <v>453</v>
      </c>
      <c r="F189" s="307">
        <v>46141.0</v>
      </c>
      <c r="G189" s="307">
        <v>46150.0</v>
      </c>
      <c r="H189" s="52" t="s">
        <v>620</v>
      </c>
      <c r="I189" s="52" t="s">
        <v>649</v>
      </c>
      <c r="J189" s="52" t="s">
        <v>578</v>
      </c>
      <c r="K189" s="23"/>
      <c r="L189" s="23"/>
      <c r="M189" s="23"/>
    </row>
    <row r="190" ht="14.25" customHeight="1">
      <c r="A190" s="52">
        <v>189.0</v>
      </c>
      <c r="B190" s="52" t="s">
        <v>365</v>
      </c>
      <c r="C190" s="52" t="str">
        <f>VLOOKUP(B190,'CST Gantry To AP 68 Common Poin'!C:D,2,0)</f>
        <v>DA(-)1.5</v>
      </c>
      <c r="D190" s="305" t="s">
        <v>454</v>
      </c>
      <c r="E190" s="306" t="s">
        <v>453</v>
      </c>
      <c r="F190" s="307">
        <v>46142.0</v>
      </c>
      <c r="G190" s="307">
        <v>46148.0</v>
      </c>
      <c r="H190" s="52" t="s">
        <v>620</v>
      </c>
      <c r="I190" s="52" t="s">
        <v>649</v>
      </c>
      <c r="J190" s="52" t="s">
        <v>542</v>
      </c>
      <c r="K190" s="23"/>
      <c r="L190" s="23"/>
      <c r="M190" s="23"/>
    </row>
    <row r="191" ht="14.25" customHeight="1">
      <c r="A191" s="52">
        <v>190.0</v>
      </c>
      <c r="B191" s="52" t="s">
        <v>183</v>
      </c>
      <c r="C191" s="52" t="str">
        <f>VLOOKUP(B191,'CST Gantry To AP 68 Common Poin'!C:D,2,0)</f>
        <v>DD60+0</v>
      </c>
      <c r="D191" s="317" t="s">
        <v>466</v>
      </c>
      <c r="E191" s="306" t="s">
        <v>453</v>
      </c>
      <c r="F191" s="307">
        <v>46142.0</v>
      </c>
      <c r="G191" s="307">
        <v>46154.0</v>
      </c>
      <c r="H191" s="52" t="s">
        <v>620</v>
      </c>
      <c r="I191" s="52" t="s">
        <v>649</v>
      </c>
      <c r="J191" s="52" t="s">
        <v>639</v>
      </c>
      <c r="K191" s="23"/>
      <c r="L191" s="23"/>
      <c r="M191" s="23"/>
    </row>
    <row r="192" ht="14.25" customHeight="1">
      <c r="A192" s="52">
        <v>191.0</v>
      </c>
      <c r="B192" s="52" t="s">
        <v>219</v>
      </c>
      <c r="C192" s="52" t="str">
        <f>VLOOKUP(B192,'CST Gantry To AP 68 Common Poin'!C:D,2,0)</f>
        <v>DA(-)3</v>
      </c>
      <c r="D192" s="317" t="s">
        <v>466</v>
      </c>
      <c r="E192" s="306" t="s">
        <v>453</v>
      </c>
      <c r="F192" s="307">
        <v>46145.0</v>
      </c>
      <c r="G192" s="307">
        <v>46148.0</v>
      </c>
      <c r="H192" s="52" t="s">
        <v>649</v>
      </c>
      <c r="I192" s="52" t="s">
        <v>649</v>
      </c>
      <c r="J192" s="52" t="s">
        <v>608</v>
      </c>
      <c r="K192" s="23"/>
      <c r="L192" s="23"/>
      <c r="M192" s="23"/>
    </row>
    <row r="193" ht="14.25" customHeight="1">
      <c r="A193" s="52">
        <v>192.0</v>
      </c>
      <c r="B193" s="305" t="s">
        <v>301</v>
      </c>
      <c r="C193" s="52" t="str">
        <f>VLOOKUP(B193,'CST Gantry To AP 68 Common Poin'!C:D,2,0)</f>
        <v>DA+0</v>
      </c>
      <c r="D193" s="305" t="s">
        <v>454</v>
      </c>
      <c r="E193" s="306" t="s">
        <v>453</v>
      </c>
      <c r="F193" s="307">
        <v>46145.0</v>
      </c>
      <c r="G193" s="307">
        <v>46159.0</v>
      </c>
      <c r="H193" s="305" t="s">
        <v>649</v>
      </c>
      <c r="I193" s="305" t="s">
        <v>649</v>
      </c>
      <c r="J193" s="52" t="s">
        <v>592</v>
      </c>
      <c r="K193" s="23"/>
      <c r="L193" s="23"/>
      <c r="M193" s="23"/>
    </row>
    <row r="194" ht="14.25" customHeight="1">
      <c r="A194" s="52">
        <v>193.0</v>
      </c>
      <c r="B194" s="52" t="s">
        <v>133</v>
      </c>
      <c r="C194" s="52" t="s">
        <v>15</v>
      </c>
      <c r="D194" s="317" t="s">
        <v>466</v>
      </c>
      <c r="E194" s="306" t="s">
        <v>453</v>
      </c>
      <c r="F194" s="307">
        <v>46146.0</v>
      </c>
      <c r="G194" s="307">
        <v>46149.0</v>
      </c>
      <c r="H194" s="305" t="s">
        <v>649</v>
      </c>
      <c r="I194" s="52" t="s">
        <v>649</v>
      </c>
      <c r="J194" s="52" t="s">
        <v>646</v>
      </c>
      <c r="K194" s="23"/>
      <c r="L194" s="23"/>
      <c r="M194" s="23"/>
    </row>
    <row r="195" ht="14.25" customHeight="1">
      <c r="A195" s="52">
        <v>194.0</v>
      </c>
      <c r="B195" s="52" t="s">
        <v>220</v>
      </c>
      <c r="C195" s="52" t="s">
        <v>33</v>
      </c>
      <c r="D195" s="317" t="s">
        <v>466</v>
      </c>
      <c r="E195" s="306" t="s">
        <v>453</v>
      </c>
      <c r="F195" s="307">
        <v>46149.0</v>
      </c>
      <c r="G195" s="307">
        <v>46153.0</v>
      </c>
      <c r="H195" s="52" t="s">
        <v>649</v>
      </c>
      <c r="I195" s="52" t="s">
        <v>649</v>
      </c>
      <c r="J195" s="52" t="s">
        <v>650</v>
      </c>
      <c r="K195" s="23"/>
      <c r="L195" s="23"/>
      <c r="M195" s="23"/>
    </row>
    <row r="196" ht="14.25" customHeight="1">
      <c r="A196" s="52">
        <v>195.0</v>
      </c>
      <c r="B196" s="52" t="s">
        <v>374</v>
      </c>
      <c r="C196" s="52" t="s">
        <v>15</v>
      </c>
      <c r="D196" s="305" t="s">
        <v>454</v>
      </c>
      <c r="E196" s="306" t="s">
        <v>453</v>
      </c>
      <c r="F196" s="307">
        <v>46149.0</v>
      </c>
      <c r="G196" s="307">
        <v>46156.0</v>
      </c>
      <c r="H196" s="52" t="s">
        <v>649</v>
      </c>
      <c r="I196" s="52" t="s">
        <v>649</v>
      </c>
      <c r="J196" s="52" t="s">
        <v>542</v>
      </c>
      <c r="K196" s="23"/>
      <c r="L196" s="23"/>
      <c r="M196" s="23"/>
    </row>
    <row r="197" ht="14.25" customHeight="1">
      <c r="A197" s="52">
        <v>196.0</v>
      </c>
      <c r="B197" s="52" t="s">
        <v>134</v>
      </c>
      <c r="C197" s="52" t="s">
        <v>33</v>
      </c>
      <c r="D197" s="317" t="s">
        <v>466</v>
      </c>
      <c r="E197" s="306" t="s">
        <v>453</v>
      </c>
      <c r="F197" s="307">
        <v>46150.0</v>
      </c>
      <c r="G197" s="307">
        <v>46153.0</v>
      </c>
      <c r="H197" s="52" t="s">
        <v>649</v>
      </c>
      <c r="I197" s="52" t="s">
        <v>649</v>
      </c>
      <c r="J197" s="52" t="s">
        <v>646</v>
      </c>
      <c r="K197" s="23"/>
      <c r="L197" s="23"/>
      <c r="M197" s="23"/>
    </row>
    <row r="198" ht="14.25" customHeight="1">
      <c r="A198" s="52">
        <v>197.0</v>
      </c>
      <c r="B198" s="52" t="s">
        <v>273</v>
      </c>
      <c r="C198" s="52" t="s">
        <v>15</v>
      </c>
      <c r="D198" s="52" t="s">
        <v>577</v>
      </c>
      <c r="E198" s="306" t="s">
        <v>453</v>
      </c>
      <c r="F198" s="307">
        <v>46151.0</v>
      </c>
      <c r="G198" s="307">
        <v>46158.0</v>
      </c>
      <c r="H198" s="52" t="s">
        <v>649</v>
      </c>
      <c r="I198" s="52" t="s">
        <v>649</v>
      </c>
      <c r="J198" s="52" t="s">
        <v>578</v>
      </c>
      <c r="K198" s="23"/>
      <c r="L198" s="23"/>
      <c r="M198" s="23"/>
    </row>
    <row r="199" ht="14.25" customHeight="1">
      <c r="A199" s="52">
        <v>198.0</v>
      </c>
      <c r="B199" s="305" t="s">
        <v>144</v>
      </c>
      <c r="C199" s="305" t="s">
        <v>12</v>
      </c>
      <c r="D199" s="317" t="s">
        <v>466</v>
      </c>
      <c r="E199" s="306" t="s">
        <v>453</v>
      </c>
      <c r="F199" s="307">
        <v>46154.0</v>
      </c>
      <c r="G199" s="307">
        <v>46158.0</v>
      </c>
      <c r="H199" s="52" t="s">
        <v>649</v>
      </c>
      <c r="I199" s="52" t="s">
        <v>649</v>
      </c>
      <c r="J199" s="52" t="s">
        <v>646</v>
      </c>
      <c r="K199" s="23"/>
      <c r="L199" s="23"/>
      <c r="M199" s="23"/>
    </row>
    <row r="200" ht="14.25" customHeight="1">
      <c r="A200" s="52">
        <v>199.0</v>
      </c>
      <c r="B200" s="52" t="s">
        <v>227</v>
      </c>
      <c r="C200" s="305" t="s">
        <v>33</v>
      </c>
      <c r="D200" s="52" t="s">
        <v>577</v>
      </c>
      <c r="E200" s="306" t="s">
        <v>453</v>
      </c>
      <c r="F200" s="307">
        <v>46154.0</v>
      </c>
      <c r="G200" s="307">
        <v>46158.0</v>
      </c>
      <c r="H200" s="52" t="s">
        <v>649</v>
      </c>
      <c r="I200" s="52" t="s">
        <v>649</v>
      </c>
      <c r="J200" s="52" t="s">
        <v>650</v>
      </c>
      <c r="K200" s="23"/>
      <c r="L200" s="23"/>
      <c r="M200" s="23"/>
    </row>
    <row r="201" ht="14.25" customHeight="1">
      <c r="A201" s="52">
        <v>200.0</v>
      </c>
      <c r="B201" s="320" t="s">
        <v>197</v>
      </c>
      <c r="C201" s="321" t="s">
        <v>15</v>
      </c>
      <c r="D201" s="317" t="s">
        <v>466</v>
      </c>
      <c r="E201" s="306" t="s">
        <v>453</v>
      </c>
      <c r="F201" s="307">
        <v>46157.0</v>
      </c>
      <c r="G201" s="307">
        <v>46160.0</v>
      </c>
      <c r="H201" s="52" t="s">
        <v>649</v>
      </c>
      <c r="I201" s="52" t="s">
        <v>649</v>
      </c>
      <c r="J201" s="52" t="s">
        <v>606</v>
      </c>
      <c r="K201" s="23"/>
      <c r="L201" s="23"/>
      <c r="M201" s="23"/>
    </row>
    <row r="202" ht="14.25" customHeight="1">
      <c r="A202" s="52">
        <v>201.0</v>
      </c>
      <c r="B202" s="318" t="s">
        <v>176</v>
      </c>
      <c r="C202" s="321" t="s">
        <v>168</v>
      </c>
      <c r="D202" s="317" t="s">
        <v>466</v>
      </c>
      <c r="E202" s="296" t="s">
        <v>651</v>
      </c>
      <c r="F202" s="307">
        <v>46158.0</v>
      </c>
      <c r="G202" s="52"/>
      <c r="H202" s="52" t="s">
        <v>649</v>
      </c>
      <c r="I202" s="52"/>
      <c r="J202" s="52" t="s">
        <v>644</v>
      </c>
      <c r="K202" s="23"/>
      <c r="L202" s="23"/>
      <c r="M202" s="23"/>
    </row>
    <row r="203" ht="14.25" customHeight="1">
      <c r="A203" s="52">
        <v>202.0</v>
      </c>
      <c r="B203" s="318" t="s">
        <v>373</v>
      </c>
      <c r="C203" s="321" t="s">
        <v>15</v>
      </c>
      <c r="D203" s="305" t="s">
        <v>454</v>
      </c>
      <c r="E203" s="296" t="s">
        <v>652</v>
      </c>
      <c r="F203" s="307">
        <v>46157.0</v>
      </c>
      <c r="G203" s="52"/>
      <c r="H203" s="52" t="s">
        <v>649</v>
      </c>
      <c r="I203" s="52"/>
      <c r="J203" s="52" t="s">
        <v>542</v>
      </c>
      <c r="K203" s="23"/>
      <c r="L203" s="23"/>
      <c r="M203" s="23"/>
    </row>
    <row r="204" ht="14.25" customHeight="1">
      <c r="A204" s="52">
        <v>203.0</v>
      </c>
      <c r="B204" s="322" t="s">
        <v>140</v>
      </c>
      <c r="C204" s="321" t="s">
        <v>34</v>
      </c>
      <c r="D204" s="317" t="s">
        <v>466</v>
      </c>
      <c r="E204" s="296" t="s">
        <v>653</v>
      </c>
      <c r="F204" s="307">
        <v>46160.0</v>
      </c>
      <c r="G204" s="52"/>
      <c r="H204" s="52" t="s">
        <v>649</v>
      </c>
      <c r="I204" s="52"/>
      <c r="J204" s="52" t="s">
        <v>646</v>
      </c>
      <c r="K204" s="23"/>
      <c r="L204" s="23"/>
      <c r="M204" s="23"/>
    </row>
    <row r="205" ht="14.25" customHeight="1">
      <c r="A205" s="52">
        <v>204.0</v>
      </c>
      <c r="B205" s="318" t="s">
        <v>287</v>
      </c>
      <c r="C205" s="321" t="s">
        <v>33</v>
      </c>
      <c r="D205" s="305" t="s">
        <v>454</v>
      </c>
      <c r="E205" s="296" t="s">
        <v>654</v>
      </c>
      <c r="F205" s="307">
        <v>46160.0</v>
      </c>
      <c r="G205" s="52"/>
      <c r="H205" s="52" t="s">
        <v>649</v>
      </c>
      <c r="I205" s="52"/>
      <c r="J205" s="52" t="s">
        <v>650</v>
      </c>
      <c r="K205" s="23"/>
      <c r="L205" s="23"/>
      <c r="M205" s="23"/>
    </row>
    <row r="206" ht="14.25" customHeight="1">
      <c r="A206" s="52">
        <v>205.0</v>
      </c>
      <c r="B206" s="318" t="s">
        <v>272</v>
      </c>
      <c r="C206" s="321" t="s">
        <v>15</v>
      </c>
      <c r="D206" s="52" t="s">
        <v>577</v>
      </c>
      <c r="E206" s="296" t="s">
        <v>654</v>
      </c>
      <c r="F206" s="307">
        <v>46160.0</v>
      </c>
      <c r="G206" s="52"/>
      <c r="H206" s="52" t="s">
        <v>649</v>
      </c>
      <c r="I206" s="52"/>
      <c r="J206" s="52" t="s">
        <v>578</v>
      </c>
      <c r="K206" s="23"/>
      <c r="L206" s="23"/>
      <c r="M206" s="23"/>
    </row>
    <row r="207" ht="14.25" customHeight="1">
      <c r="A207" s="52">
        <v>206.0</v>
      </c>
      <c r="B207" s="318" t="s">
        <v>299</v>
      </c>
      <c r="C207" s="321" t="s">
        <v>33</v>
      </c>
      <c r="D207" s="305" t="s">
        <v>454</v>
      </c>
      <c r="E207" s="296" t="s">
        <v>655</v>
      </c>
      <c r="F207" s="307"/>
      <c r="G207" s="52"/>
      <c r="H207" s="52"/>
      <c r="I207" s="52"/>
      <c r="J207" s="52" t="s">
        <v>592</v>
      </c>
      <c r="K207" s="23"/>
      <c r="L207" s="23"/>
      <c r="M207" s="23"/>
    </row>
    <row r="208" ht="14.25" customHeight="1">
      <c r="A208" s="52">
        <v>207.0</v>
      </c>
      <c r="B208" s="318" t="s">
        <v>243</v>
      </c>
      <c r="C208" s="321" t="s">
        <v>35</v>
      </c>
      <c r="D208" s="52" t="s">
        <v>577</v>
      </c>
      <c r="E208" s="296" t="s">
        <v>656</v>
      </c>
      <c r="F208" s="307"/>
      <c r="G208" s="52"/>
      <c r="H208" s="52"/>
      <c r="I208" s="52"/>
      <c r="J208" s="52" t="s">
        <v>606</v>
      </c>
      <c r="K208" s="23"/>
      <c r="L208" s="23"/>
      <c r="M208" s="23"/>
    </row>
    <row r="209" ht="14.25" customHeight="1">
      <c r="A209" s="52"/>
      <c r="B209" s="52"/>
      <c r="C209" s="52"/>
      <c r="D209" s="52"/>
      <c r="E209" s="184"/>
      <c r="F209" s="307"/>
      <c r="G209" s="52"/>
      <c r="H209" s="52"/>
      <c r="I209" s="52"/>
      <c r="J209" s="52"/>
      <c r="K209" s="23"/>
      <c r="L209" s="23"/>
      <c r="M209" s="23"/>
    </row>
  </sheetData>
  <autoFilter ref="$A$2:$K$200"/>
  <printOptions/>
  <pageMargins bottom="0.75" footer="0.0" header="0.0" left="0.7" right="0.7" top="0.7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2" width="9.29"/>
    <col customWidth="1" min="3" max="3" width="15.43"/>
    <col customWidth="1" min="4" max="4" width="11.86"/>
    <col customWidth="1" min="5" max="5" width="14.29"/>
    <col customWidth="1" min="6" max="6" width="15.14"/>
    <col customWidth="1" min="7" max="7" width="14.29"/>
    <col customWidth="1" min="8" max="8" width="17.0"/>
    <col customWidth="1" min="9" max="9" width="13.0"/>
    <col customWidth="1" min="10" max="10" width="19.43"/>
    <col customWidth="1" min="11" max="11" width="17.71"/>
    <col customWidth="1" min="12" max="12" width="27.29"/>
    <col customWidth="1" hidden="1" min="13" max="13" width="18.57"/>
    <col customWidth="1" hidden="1" min="14" max="14" width="18.71"/>
    <col customWidth="1" hidden="1" min="15" max="15" width="17.57"/>
  </cols>
  <sheetData>
    <row r="1" ht="21.0" customHeight="1">
      <c r="A1" s="294" t="s">
        <v>657</v>
      </c>
      <c r="B1" s="294"/>
      <c r="C1" s="294"/>
      <c r="D1" s="294"/>
      <c r="E1" s="294"/>
      <c r="F1" s="323"/>
      <c r="G1" s="323"/>
      <c r="H1" s="294"/>
      <c r="I1" s="294"/>
      <c r="J1" s="294"/>
      <c r="K1" s="294"/>
      <c r="L1" s="294"/>
      <c r="M1" s="294"/>
      <c r="N1" s="294"/>
      <c r="O1" s="294"/>
    </row>
    <row r="2" ht="14.25" customHeight="1">
      <c r="A2" s="299" t="s">
        <v>456</v>
      </c>
      <c r="B2" s="299" t="s">
        <v>457</v>
      </c>
      <c r="C2" s="324" t="s">
        <v>458</v>
      </c>
      <c r="D2" s="299" t="s">
        <v>658</v>
      </c>
      <c r="E2" s="299" t="s">
        <v>659</v>
      </c>
      <c r="F2" s="303" t="s">
        <v>459</v>
      </c>
      <c r="G2" s="303" t="s">
        <v>660</v>
      </c>
      <c r="H2" s="299" t="s">
        <v>460</v>
      </c>
      <c r="I2" s="299" t="s">
        <v>461</v>
      </c>
      <c r="J2" s="299" t="s">
        <v>661</v>
      </c>
      <c r="K2" s="303" t="s">
        <v>662</v>
      </c>
      <c r="L2" s="299" t="s">
        <v>464</v>
      </c>
      <c r="M2" s="304" t="s">
        <v>465</v>
      </c>
      <c r="N2" s="299" t="s">
        <v>663</v>
      </c>
      <c r="O2" s="299" t="s">
        <v>664</v>
      </c>
    </row>
    <row r="3" ht="14.25" customHeight="1">
      <c r="A3" s="325">
        <v>1.0</v>
      </c>
      <c r="B3" s="325" t="s">
        <v>54</v>
      </c>
      <c r="C3" s="325" t="s">
        <v>466</v>
      </c>
      <c r="D3" s="325" t="s">
        <v>33</v>
      </c>
      <c r="E3" s="325" t="s">
        <v>665</v>
      </c>
      <c r="F3" s="326" t="s">
        <v>448</v>
      </c>
      <c r="G3" s="326"/>
      <c r="H3" s="52"/>
      <c r="I3" s="327">
        <v>45658.0</v>
      </c>
      <c r="J3" s="327"/>
      <c r="K3" s="327"/>
      <c r="L3" s="325" t="s">
        <v>666</v>
      </c>
      <c r="M3" s="309" t="s">
        <v>667</v>
      </c>
      <c r="N3" s="328" t="s">
        <v>453</v>
      </c>
      <c r="O3" s="52"/>
    </row>
    <row r="4" ht="14.25" customHeight="1">
      <c r="A4" s="325">
        <v>2.0</v>
      </c>
      <c r="B4" s="325" t="s">
        <v>56</v>
      </c>
      <c r="C4" s="325" t="s">
        <v>466</v>
      </c>
      <c r="D4" s="325" t="s">
        <v>34</v>
      </c>
      <c r="E4" s="325" t="s">
        <v>665</v>
      </c>
      <c r="F4" s="326" t="s">
        <v>448</v>
      </c>
      <c r="G4" s="326"/>
      <c r="H4" s="52"/>
      <c r="I4" s="327">
        <v>45658.0</v>
      </c>
      <c r="J4" s="327"/>
      <c r="K4" s="327"/>
      <c r="L4" s="325" t="s">
        <v>666</v>
      </c>
      <c r="M4" s="309" t="s">
        <v>667</v>
      </c>
      <c r="N4" s="328" t="s">
        <v>453</v>
      </c>
      <c r="O4" s="52"/>
    </row>
    <row r="5" ht="14.25" customHeight="1">
      <c r="A5" s="325">
        <v>3.0</v>
      </c>
      <c r="B5" s="325" t="s">
        <v>57</v>
      </c>
      <c r="C5" s="325" t="s">
        <v>466</v>
      </c>
      <c r="D5" s="325" t="s">
        <v>34</v>
      </c>
      <c r="E5" s="325" t="s">
        <v>665</v>
      </c>
      <c r="F5" s="326" t="s">
        <v>448</v>
      </c>
      <c r="G5" s="326"/>
      <c r="H5" s="52"/>
      <c r="I5" s="327">
        <v>45658.0</v>
      </c>
      <c r="J5" s="327"/>
      <c r="K5" s="327"/>
      <c r="L5" s="325" t="s">
        <v>666</v>
      </c>
      <c r="M5" s="309" t="s">
        <v>667</v>
      </c>
      <c r="N5" s="328" t="s">
        <v>453</v>
      </c>
      <c r="O5" s="52"/>
    </row>
    <row r="6" ht="14.25" customHeight="1">
      <c r="A6" s="325">
        <v>4.0</v>
      </c>
      <c r="B6" s="325" t="s">
        <v>59</v>
      </c>
      <c r="C6" s="325" t="s">
        <v>466</v>
      </c>
      <c r="D6" s="325" t="s">
        <v>33</v>
      </c>
      <c r="E6" s="325" t="s">
        <v>665</v>
      </c>
      <c r="F6" s="326" t="s">
        <v>448</v>
      </c>
      <c r="G6" s="326"/>
      <c r="H6" s="52"/>
      <c r="I6" s="327">
        <v>45658.0</v>
      </c>
      <c r="J6" s="327"/>
      <c r="K6" s="327"/>
      <c r="L6" s="325" t="s">
        <v>668</v>
      </c>
      <c r="M6" s="309" t="s">
        <v>667</v>
      </c>
      <c r="N6" s="328" t="s">
        <v>453</v>
      </c>
      <c r="O6" s="52"/>
    </row>
    <row r="7" ht="14.25" customHeight="1">
      <c r="A7" s="325">
        <v>5.0</v>
      </c>
      <c r="B7" s="325" t="s">
        <v>111</v>
      </c>
      <c r="C7" s="325" t="s">
        <v>466</v>
      </c>
      <c r="D7" s="325" t="s">
        <v>33</v>
      </c>
      <c r="E7" s="325" t="s">
        <v>665</v>
      </c>
      <c r="F7" s="326" t="s">
        <v>448</v>
      </c>
      <c r="G7" s="326"/>
      <c r="H7" s="52"/>
      <c r="I7" s="327">
        <v>45658.0</v>
      </c>
      <c r="J7" s="327"/>
      <c r="K7" s="327"/>
      <c r="L7" s="325" t="s">
        <v>666</v>
      </c>
      <c r="M7" s="309" t="s">
        <v>667</v>
      </c>
      <c r="N7" s="320"/>
      <c r="O7" s="52"/>
    </row>
    <row r="8" ht="14.25" customHeight="1">
      <c r="A8" s="325">
        <v>6.0</v>
      </c>
      <c r="B8" s="329" t="s">
        <v>58</v>
      </c>
      <c r="C8" s="325" t="s">
        <v>466</v>
      </c>
      <c r="D8" s="325" t="s">
        <v>33</v>
      </c>
      <c r="E8" s="325" t="s">
        <v>665</v>
      </c>
      <c r="F8" s="326" t="s">
        <v>448</v>
      </c>
      <c r="G8" s="326"/>
      <c r="H8" s="52"/>
      <c r="I8" s="327">
        <v>45689.0</v>
      </c>
      <c r="J8" s="327"/>
      <c r="K8" s="327"/>
      <c r="L8" s="325" t="s">
        <v>666</v>
      </c>
      <c r="M8" s="309" t="s">
        <v>667</v>
      </c>
      <c r="N8" s="328" t="s">
        <v>453</v>
      </c>
      <c r="O8" s="52"/>
    </row>
    <row r="9" ht="14.25" customHeight="1">
      <c r="A9" s="325">
        <v>7.0</v>
      </c>
      <c r="B9" s="329" t="s">
        <v>60</v>
      </c>
      <c r="C9" s="325" t="s">
        <v>466</v>
      </c>
      <c r="D9" s="325" t="s">
        <v>33</v>
      </c>
      <c r="E9" s="325" t="s">
        <v>669</v>
      </c>
      <c r="F9" s="326" t="s">
        <v>448</v>
      </c>
      <c r="G9" s="326"/>
      <c r="H9" s="52"/>
      <c r="I9" s="327">
        <v>45689.0</v>
      </c>
      <c r="J9" s="327"/>
      <c r="K9" s="327"/>
      <c r="L9" s="325" t="s">
        <v>668</v>
      </c>
      <c r="M9" s="309" t="s">
        <v>667</v>
      </c>
      <c r="N9" s="328" t="s">
        <v>453</v>
      </c>
      <c r="O9" s="52"/>
    </row>
    <row r="10" ht="14.25" customHeight="1">
      <c r="A10" s="325">
        <v>8.0</v>
      </c>
      <c r="B10" s="329" t="s">
        <v>61</v>
      </c>
      <c r="C10" s="325" t="s">
        <v>466</v>
      </c>
      <c r="D10" s="325" t="s">
        <v>34</v>
      </c>
      <c r="E10" s="325" t="s">
        <v>669</v>
      </c>
      <c r="F10" s="326" t="s">
        <v>448</v>
      </c>
      <c r="G10" s="326"/>
      <c r="H10" s="52"/>
      <c r="I10" s="327">
        <v>45689.0</v>
      </c>
      <c r="J10" s="327"/>
      <c r="K10" s="327"/>
      <c r="L10" s="325" t="s">
        <v>668</v>
      </c>
      <c r="M10" s="309" t="s">
        <v>667</v>
      </c>
      <c r="N10" s="328" t="s">
        <v>453</v>
      </c>
      <c r="O10" s="52"/>
    </row>
    <row r="11" ht="14.25" customHeight="1">
      <c r="A11" s="325">
        <v>9.0</v>
      </c>
      <c r="B11" s="325" t="s">
        <v>55</v>
      </c>
      <c r="C11" s="325" t="s">
        <v>466</v>
      </c>
      <c r="D11" s="325" t="s">
        <v>34</v>
      </c>
      <c r="E11" s="325" t="s">
        <v>665</v>
      </c>
      <c r="F11" s="326" t="s">
        <v>448</v>
      </c>
      <c r="G11" s="326"/>
      <c r="H11" s="52"/>
      <c r="I11" s="327">
        <v>45689.0</v>
      </c>
      <c r="J11" s="327"/>
      <c r="K11" s="327"/>
      <c r="L11" s="325" t="s">
        <v>666</v>
      </c>
      <c r="M11" s="309" t="s">
        <v>667</v>
      </c>
      <c r="N11" s="328" t="s">
        <v>453</v>
      </c>
      <c r="O11" s="52"/>
    </row>
    <row r="12" ht="14.25" customHeight="1">
      <c r="A12" s="325">
        <v>10.0</v>
      </c>
      <c r="B12" s="317" t="s">
        <v>108</v>
      </c>
      <c r="C12" s="325" t="s">
        <v>466</v>
      </c>
      <c r="D12" s="330" t="s">
        <v>33</v>
      </c>
      <c r="E12" s="325" t="s">
        <v>665</v>
      </c>
      <c r="F12" s="326" t="s">
        <v>448</v>
      </c>
      <c r="G12" s="326"/>
      <c r="H12" s="52"/>
      <c r="I12" s="327">
        <v>45689.0</v>
      </c>
      <c r="J12" s="327"/>
      <c r="K12" s="327"/>
      <c r="L12" s="325" t="s">
        <v>670</v>
      </c>
      <c r="M12" s="309" t="s">
        <v>667</v>
      </c>
      <c r="N12" s="328" t="s">
        <v>453</v>
      </c>
      <c r="O12" s="52"/>
    </row>
    <row r="13" ht="14.25" customHeight="1">
      <c r="A13" s="325">
        <v>11.0</v>
      </c>
      <c r="B13" s="317" t="s">
        <v>104</v>
      </c>
      <c r="C13" s="325" t="s">
        <v>466</v>
      </c>
      <c r="D13" s="330" t="s">
        <v>33</v>
      </c>
      <c r="E13" s="325" t="s">
        <v>665</v>
      </c>
      <c r="F13" s="326" t="s">
        <v>448</v>
      </c>
      <c r="G13" s="326"/>
      <c r="H13" s="52"/>
      <c r="I13" s="327">
        <v>45689.0</v>
      </c>
      <c r="J13" s="327"/>
      <c r="K13" s="327"/>
      <c r="L13" s="325" t="s">
        <v>670</v>
      </c>
      <c r="M13" s="309" t="s">
        <v>667</v>
      </c>
      <c r="N13" s="328" t="s">
        <v>453</v>
      </c>
      <c r="O13" s="52"/>
    </row>
    <row r="14" ht="14.25" customHeight="1">
      <c r="A14" s="325">
        <v>12.0</v>
      </c>
      <c r="B14" s="317" t="s">
        <v>50</v>
      </c>
      <c r="C14" s="325" t="s">
        <v>466</v>
      </c>
      <c r="D14" s="330" t="s">
        <v>33</v>
      </c>
      <c r="E14" s="325" t="s">
        <v>665</v>
      </c>
      <c r="F14" s="326" t="s">
        <v>448</v>
      </c>
      <c r="G14" s="326"/>
      <c r="H14" s="52"/>
      <c r="I14" s="327">
        <v>45689.0</v>
      </c>
      <c r="J14" s="327"/>
      <c r="K14" s="327"/>
      <c r="L14" s="325" t="s">
        <v>668</v>
      </c>
      <c r="M14" s="309" t="s">
        <v>667</v>
      </c>
      <c r="N14" s="328" t="s">
        <v>453</v>
      </c>
      <c r="O14" s="52"/>
    </row>
    <row r="15" ht="14.25" customHeight="1">
      <c r="A15" s="325">
        <v>13.0</v>
      </c>
      <c r="B15" s="317" t="s">
        <v>71</v>
      </c>
      <c r="C15" s="325" t="s">
        <v>466</v>
      </c>
      <c r="D15" s="330" t="s">
        <v>12</v>
      </c>
      <c r="E15" s="330" t="s">
        <v>665</v>
      </c>
      <c r="F15" s="326" t="s">
        <v>448</v>
      </c>
      <c r="G15" s="326"/>
      <c r="H15" s="52"/>
      <c r="I15" s="327">
        <v>45689.0</v>
      </c>
      <c r="J15" s="327"/>
      <c r="K15" s="327"/>
      <c r="L15" s="325" t="s">
        <v>666</v>
      </c>
      <c r="M15" s="309" t="s">
        <v>667</v>
      </c>
      <c r="N15" s="320"/>
      <c r="O15" s="52"/>
    </row>
    <row r="16" ht="14.25" customHeight="1">
      <c r="A16" s="325">
        <v>14.0</v>
      </c>
      <c r="B16" s="317" t="s">
        <v>105</v>
      </c>
      <c r="C16" s="325" t="s">
        <v>466</v>
      </c>
      <c r="D16" s="330" t="s">
        <v>33</v>
      </c>
      <c r="E16" s="325" t="s">
        <v>665</v>
      </c>
      <c r="F16" s="326" t="s">
        <v>448</v>
      </c>
      <c r="G16" s="326"/>
      <c r="H16" s="52"/>
      <c r="I16" s="327">
        <v>45689.0</v>
      </c>
      <c r="J16" s="327"/>
      <c r="K16" s="327"/>
      <c r="L16" s="325" t="s">
        <v>670</v>
      </c>
      <c r="M16" s="309" t="s">
        <v>667</v>
      </c>
      <c r="N16" s="328" t="s">
        <v>453</v>
      </c>
      <c r="O16" s="52"/>
    </row>
    <row r="17" ht="14.25" customHeight="1">
      <c r="A17" s="325">
        <v>15.0</v>
      </c>
      <c r="B17" s="317" t="s">
        <v>86</v>
      </c>
      <c r="C17" s="325" t="s">
        <v>466</v>
      </c>
      <c r="D17" s="330" t="s">
        <v>671</v>
      </c>
      <c r="E17" s="330" t="s">
        <v>665</v>
      </c>
      <c r="F17" s="326" t="s">
        <v>448</v>
      </c>
      <c r="G17" s="326"/>
      <c r="H17" s="52"/>
      <c r="I17" s="327">
        <v>45689.0</v>
      </c>
      <c r="J17" s="327"/>
      <c r="K17" s="327"/>
      <c r="L17" s="325" t="s">
        <v>672</v>
      </c>
      <c r="M17" s="309" t="s">
        <v>667</v>
      </c>
      <c r="N17" s="328" t="s">
        <v>453</v>
      </c>
      <c r="O17" s="52"/>
    </row>
    <row r="18" ht="14.25" customHeight="1">
      <c r="A18" s="325">
        <v>16.0</v>
      </c>
      <c r="B18" s="325" t="s">
        <v>99</v>
      </c>
      <c r="C18" s="325" t="s">
        <v>466</v>
      </c>
      <c r="D18" s="330" t="s">
        <v>34</v>
      </c>
      <c r="E18" s="330" t="s">
        <v>665</v>
      </c>
      <c r="F18" s="326" t="s">
        <v>448</v>
      </c>
      <c r="G18" s="326"/>
      <c r="H18" s="52"/>
      <c r="I18" s="327">
        <v>45689.0</v>
      </c>
      <c r="J18" s="327"/>
      <c r="K18" s="327"/>
      <c r="L18" s="325" t="s">
        <v>673</v>
      </c>
      <c r="M18" s="309" t="s">
        <v>667</v>
      </c>
      <c r="N18" s="328" t="s">
        <v>453</v>
      </c>
      <c r="O18" s="52"/>
    </row>
    <row r="19" ht="14.25" customHeight="1">
      <c r="A19" s="325">
        <v>17.0</v>
      </c>
      <c r="B19" s="325" t="s">
        <v>106</v>
      </c>
      <c r="C19" s="325" t="s">
        <v>466</v>
      </c>
      <c r="D19" s="325" t="s">
        <v>34</v>
      </c>
      <c r="E19" s="330" t="s">
        <v>665</v>
      </c>
      <c r="F19" s="326" t="s">
        <v>448</v>
      </c>
      <c r="G19" s="326"/>
      <c r="H19" s="52"/>
      <c r="I19" s="327">
        <v>45689.0</v>
      </c>
      <c r="J19" s="327"/>
      <c r="K19" s="327"/>
      <c r="L19" s="325" t="s">
        <v>670</v>
      </c>
      <c r="M19" s="309" t="s">
        <v>667</v>
      </c>
      <c r="N19" s="328" t="s">
        <v>453</v>
      </c>
      <c r="O19" s="52"/>
    </row>
    <row r="20" ht="14.25" customHeight="1">
      <c r="A20" s="325">
        <v>18.0</v>
      </c>
      <c r="B20" s="325" t="s">
        <v>70</v>
      </c>
      <c r="C20" s="325" t="s">
        <v>466</v>
      </c>
      <c r="D20" s="325" t="s">
        <v>33</v>
      </c>
      <c r="E20" s="325" t="s">
        <v>665</v>
      </c>
      <c r="F20" s="326" t="s">
        <v>448</v>
      </c>
      <c r="G20" s="326"/>
      <c r="H20" s="52"/>
      <c r="I20" s="327">
        <v>45689.0</v>
      </c>
      <c r="J20" s="327"/>
      <c r="K20" s="327"/>
      <c r="L20" s="325" t="s">
        <v>666</v>
      </c>
      <c r="M20" s="309" t="s">
        <v>667</v>
      </c>
      <c r="N20" s="328" t="s">
        <v>453</v>
      </c>
      <c r="O20" s="52"/>
    </row>
    <row r="21" ht="14.25" customHeight="1">
      <c r="A21" s="325">
        <v>19.0</v>
      </c>
      <c r="B21" s="325" t="s">
        <v>87</v>
      </c>
      <c r="C21" s="325" t="s">
        <v>466</v>
      </c>
      <c r="D21" s="325" t="s">
        <v>33</v>
      </c>
      <c r="E21" s="325" t="s">
        <v>665</v>
      </c>
      <c r="F21" s="326" t="s">
        <v>448</v>
      </c>
      <c r="G21" s="326"/>
      <c r="H21" s="52"/>
      <c r="I21" s="327">
        <v>45689.0</v>
      </c>
      <c r="J21" s="327"/>
      <c r="K21" s="327"/>
      <c r="L21" s="325" t="s">
        <v>672</v>
      </c>
      <c r="M21" s="309" t="s">
        <v>667</v>
      </c>
      <c r="N21" s="328" t="s">
        <v>453</v>
      </c>
      <c r="O21" s="52"/>
    </row>
    <row r="22" ht="14.25" customHeight="1">
      <c r="A22" s="325">
        <v>20.0</v>
      </c>
      <c r="B22" s="325" t="s">
        <v>52</v>
      </c>
      <c r="C22" s="325" t="s">
        <v>466</v>
      </c>
      <c r="D22" s="325" t="s">
        <v>33</v>
      </c>
      <c r="E22" s="325" t="s">
        <v>665</v>
      </c>
      <c r="F22" s="326" t="s">
        <v>448</v>
      </c>
      <c r="G22" s="326"/>
      <c r="H22" s="52"/>
      <c r="I22" s="327">
        <v>45717.0</v>
      </c>
      <c r="J22" s="327"/>
      <c r="K22" s="327"/>
      <c r="L22" s="325" t="s">
        <v>668</v>
      </c>
      <c r="M22" s="309" t="s">
        <v>667</v>
      </c>
      <c r="N22" s="328" t="s">
        <v>453</v>
      </c>
      <c r="O22" s="52"/>
    </row>
    <row r="23" ht="14.25" customHeight="1">
      <c r="A23" s="325">
        <v>21.0</v>
      </c>
      <c r="B23" s="325" t="s">
        <v>101</v>
      </c>
      <c r="C23" s="325" t="s">
        <v>466</v>
      </c>
      <c r="D23" s="325" t="s">
        <v>12</v>
      </c>
      <c r="E23" s="330" t="s">
        <v>665</v>
      </c>
      <c r="F23" s="326" t="s">
        <v>448</v>
      </c>
      <c r="G23" s="326"/>
      <c r="H23" s="52"/>
      <c r="I23" s="327">
        <v>45717.0</v>
      </c>
      <c r="J23" s="327"/>
      <c r="K23" s="327"/>
      <c r="L23" s="325" t="s">
        <v>673</v>
      </c>
      <c r="M23" s="309" t="s">
        <v>667</v>
      </c>
      <c r="N23" s="328" t="s">
        <v>453</v>
      </c>
      <c r="O23" s="52"/>
    </row>
    <row r="24" ht="14.25" customHeight="1">
      <c r="A24" s="325">
        <v>22.0</v>
      </c>
      <c r="B24" s="325" t="s">
        <v>109</v>
      </c>
      <c r="C24" s="325" t="s">
        <v>466</v>
      </c>
      <c r="D24" s="325" t="s">
        <v>674</v>
      </c>
      <c r="E24" s="330" t="s">
        <v>675</v>
      </c>
      <c r="F24" s="326" t="s">
        <v>448</v>
      </c>
      <c r="G24" s="326"/>
      <c r="H24" s="52"/>
      <c r="I24" s="327">
        <v>45717.0</v>
      </c>
      <c r="J24" s="327"/>
      <c r="K24" s="327"/>
      <c r="L24" s="325" t="s">
        <v>670</v>
      </c>
      <c r="M24" s="309" t="s">
        <v>667</v>
      </c>
      <c r="N24" s="328" t="s">
        <v>453</v>
      </c>
      <c r="O24" s="52"/>
    </row>
    <row r="25" ht="14.25" customHeight="1">
      <c r="A25" s="325">
        <v>23.0</v>
      </c>
      <c r="B25" s="325" t="s">
        <v>89</v>
      </c>
      <c r="C25" s="325" t="s">
        <v>466</v>
      </c>
      <c r="D25" s="325" t="s">
        <v>674</v>
      </c>
      <c r="E25" s="330" t="s">
        <v>665</v>
      </c>
      <c r="F25" s="326" t="s">
        <v>448</v>
      </c>
      <c r="G25" s="326"/>
      <c r="H25" s="52"/>
      <c r="I25" s="327">
        <v>45717.0</v>
      </c>
      <c r="J25" s="327"/>
      <c r="K25" s="327"/>
      <c r="L25" s="325" t="s">
        <v>672</v>
      </c>
      <c r="M25" s="309" t="s">
        <v>667</v>
      </c>
      <c r="N25" s="320"/>
      <c r="O25" s="52"/>
    </row>
    <row r="26" ht="14.25" customHeight="1">
      <c r="A26" s="325">
        <v>24.0</v>
      </c>
      <c r="B26" s="325" t="s">
        <v>120</v>
      </c>
      <c r="C26" s="325" t="s">
        <v>466</v>
      </c>
      <c r="D26" s="325" t="s">
        <v>674</v>
      </c>
      <c r="E26" s="330" t="s">
        <v>665</v>
      </c>
      <c r="F26" s="326" t="s">
        <v>448</v>
      </c>
      <c r="G26" s="326"/>
      <c r="H26" s="52"/>
      <c r="I26" s="327">
        <v>45717.0</v>
      </c>
      <c r="J26" s="327"/>
      <c r="K26" s="327"/>
      <c r="L26" s="325" t="s">
        <v>670</v>
      </c>
      <c r="M26" s="309" t="s">
        <v>667</v>
      </c>
      <c r="N26" s="328" t="s">
        <v>453</v>
      </c>
      <c r="O26" s="52"/>
    </row>
    <row r="27" ht="14.25" customHeight="1">
      <c r="A27" s="325">
        <v>25.0</v>
      </c>
      <c r="B27" s="325" t="s">
        <v>49</v>
      </c>
      <c r="C27" s="325" t="s">
        <v>466</v>
      </c>
      <c r="D27" s="325" t="s">
        <v>33</v>
      </c>
      <c r="E27" s="325" t="s">
        <v>665</v>
      </c>
      <c r="F27" s="326" t="s">
        <v>448</v>
      </c>
      <c r="G27" s="326"/>
      <c r="H27" s="52"/>
      <c r="I27" s="327">
        <v>45717.0</v>
      </c>
      <c r="J27" s="327"/>
      <c r="K27" s="327"/>
      <c r="L27" s="325" t="s">
        <v>668</v>
      </c>
      <c r="M27" s="309" t="s">
        <v>667</v>
      </c>
      <c r="N27" s="328" t="s">
        <v>453</v>
      </c>
      <c r="O27" s="52"/>
    </row>
    <row r="28" ht="14.25" customHeight="1">
      <c r="A28" s="325">
        <v>26.0</v>
      </c>
      <c r="B28" s="325" t="s">
        <v>88</v>
      </c>
      <c r="C28" s="325" t="s">
        <v>466</v>
      </c>
      <c r="D28" s="325" t="s">
        <v>33</v>
      </c>
      <c r="E28" s="325" t="s">
        <v>665</v>
      </c>
      <c r="F28" s="326" t="s">
        <v>448</v>
      </c>
      <c r="G28" s="326"/>
      <c r="H28" s="52"/>
      <c r="I28" s="327">
        <v>45717.0</v>
      </c>
      <c r="J28" s="327"/>
      <c r="K28" s="327"/>
      <c r="L28" s="325" t="s">
        <v>672</v>
      </c>
      <c r="M28" s="309" t="s">
        <v>667</v>
      </c>
      <c r="N28" s="320"/>
      <c r="O28" s="52"/>
    </row>
    <row r="29" ht="14.25" customHeight="1">
      <c r="A29" s="325">
        <v>27.0</v>
      </c>
      <c r="B29" s="325" t="s">
        <v>74</v>
      </c>
      <c r="C29" s="325" t="s">
        <v>466</v>
      </c>
      <c r="D29" s="325" t="s">
        <v>15</v>
      </c>
      <c r="E29" s="325" t="s">
        <v>665</v>
      </c>
      <c r="F29" s="326" t="s">
        <v>448</v>
      </c>
      <c r="G29" s="326"/>
      <c r="H29" s="52"/>
      <c r="I29" s="327">
        <v>45717.0</v>
      </c>
      <c r="J29" s="327"/>
      <c r="K29" s="327"/>
      <c r="L29" s="325" t="s">
        <v>666</v>
      </c>
      <c r="M29" s="309" t="s">
        <v>667</v>
      </c>
      <c r="N29" s="320"/>
      <c r="O29" s="52"/>
    </row>
    <row r="30" ht="14.25" customHeight="1">
      <c r="A30" s="325">
        <v>28.0</v>
      </c>
      <c r="B30" s="325" t="s">
        <v>98</v>
      </c>
      <c r="C30" s="325" t="s">
        <v>466</v>
      </c>
      <c r="D30" s="325" t="s">
        <v>33</v>
      </c>
      <c r="E30" s="330" t="s">
        <v>675</v>
      </c>
      <c r="F30" s="326" t="s">
        <v>448</v>
      </c>
      <c r="G30" s="326"/>
      <c r="H30" s="52"/>
      <c r="I30" s="327">
        <v>45717.0</v>
      </c>
      <c r="J30" s="327"/>
      <c r="K30" s="327"/>
      <c r="L30" s="325" t="s">
        <v>673</v>
      </c>
      <c r="M30" s="309" t="s">
        <v>667</v>
      </c>
      <c r="N30" s="320"/>
      <c r="O30" s="52"/>
    </row>
    <row r="31" ht="14.25" customHeight="1">
      <c r="A31" s="325">
        <v>29.0</v>
      </c>
      <c r="B31" s="325" t="s">
        <v>102</v>
      </c>
      <c r="C31" s="325" t="s">
        <v>466</v>
      </c>
      <c r="D31" s="325" t="s">
        <v>15</v>
      </c>
      <c r="E31" s="330" t="s">
        <v>675</v>
      </c>
      <c r="F31" s="326" t="s">
        <v>448</v>
      </c>
      <c r="G31" s="326"/>
      <c r="H31" s="52"/>
      <c r="I31" s="327">
        <v>45717.0</v>
      </c>
      <c r="J31" s="327"/>
      <c r="K31" s="327"/>
      <c r="L31" s="325" t="s">
        <v>670</v>
      </c>
      <c r="M31" s="309" t="s">
        <v>667</v>
      </c>
      <c r="N31" s="328" t="s">
        <v>453</v>
      </c>
      <c r="O31" s="52"/>
    </row>
    <row r="32" ht="14.25" customHeight="1">
      <c r="A32" s="325">
        <v>30.0</v>
      </c>
      <c r="B32" s="325" t="s">
        <v>90</v>
      </c>
      <c r="C32" s="325" t="s">
        <v>466</v>
      </c>
      <c r="D32" s="325" t="s">
        <v>33</v>
      </c>
      <c r="E32" s="325" t="s">
        <v>665</v>
      </c>
      <c r="F32" s="326" t="s">
        <v>448</v>
      </c>
      <c r="G32" s="326"/>
      <c r="H32" s="52"/>
      <c r="I32" s="327">
        <v>45717.0</v>
      </c>
      <c r="J32" s="327"/>
      <c r="K32" s="327"/>
      <c r="L32" s="325" t="s">
        <v>672</v>
      </c>
      <c r="M32" s="309" t="s">
        <v>667</v>
      </c>
      <c r="N32" s="320"/>
      <c r="O32" s="52"/>
    </row>
    <row r="33" ht="14.25" customHeight="1">
      <c r="A33" s="325">
        <v>31.0</v>
      </c>
      <c r="B33" s="325" t="s">
        <v>73</v>
      </c>
      <c r="C33" s="325" t="s">
        <v>466</v>
      </c>
      <c r="D33" s="325" t="s">
        <v>33</v>
      </c>
      <c r="E33" s="325" t="s">
        <v>665</v>
      </c>
      <c r="F33" s="326" t="s">
        <v>448</v>
      </c>
      <c r="G33" s="326"/>
      <c r="H33" s="52"/>
      <c r="I33" s="327">
        <v>45717.0</v>
      </c>
      <c r="J33" s="327"/>
      <c r="K33" s="327"/>
      <c r="L33" s="325" t="s">
        <v>666</v>
      </c>
      <c r="M33" s="309" t="s">
        <v>667</v>
      </c>
      <c r="N33" s="320"/>
      <c r="O33" s="52"/>
    </row>
    <row r="34" ht="14.25" customHeight="1">
      <c r="A34" s="325">
        <v>32.0</v>
      </c>
      <c r="B34" s="325" t="s">
        <v>110</v>
      </c>
      <c r="C34" s="325" t="s">
        <v>466</v>
      </c>
      <c r="D34" s="325" t="s">
        <v>14</v>
      </c>
      <c r="E34" s="325" t="s">
        <v>675</v>
      </c>
      <c r="F34" s="326" t="s">
        <v>448</v>
      </c>
      <c r="G34" s="326"/>
      <c r="H34" s="52"/>
      <c r="I34" s="327">
        <v>45717.0</v>
      </c>
      <c r="J34" s="327"/>
      <c r="K34" s="327"/>
      <c r="L34" s="325" t="s">
        <v>670</v>
      </c>
      <c r="M34" s="309" t="s">
        <v>667</v>
      </c>
      <c r="N34" s="328" t="s">
        <v>453</v>
      </c>
      <c r="O34" s="52"/>
    </row>
    <row r="35" ht="14.25" customHeight="1">
      <c r="A35" s="325">
        <v>33.0</v>
      </c>
      <c r="B35" s="325" t="s">
        <v>100</v>
      </c>
      <c r="C35" s="325" t="s">
        <v>466</v>
      </c>
      <c r="D35" s="325" t="s">
        <v>33</v>
      </c>
      <c r="E35" s="325" t="s">
        <v>665</v>
      </c>
      <c r="F35" s="326" t="s">
        <v>448</v>
      </c>
      <c r="G35" s="326"/>
      <c r="H35" s="52"/>
      <c r="I35" s="327">
        <v>45717.0</v>
      </c>
      <c r="J35" s="327"/>
      <c r="K35" s="327"/>
      <c r="L35" s="325" t="s">
        <v>673</v>
      </c>
      <c r="M35" s="309" t="s">
        <v>667</v>
      </c>
      <c r="N35" s="328" t="s">
        <v>453</v>
      </c>
      <c r="O35" s="52"/>
    </row>
    <row r="36" ht="14.25" customHeight="1">
      <c r="A36" s="325">
        <v>34.0</v>
      </c>
      <c r="B36" s="325" t="s">
        <v>92</v>
      </c>
      <c r="C36" s="325" t="s">
        <v>466</v>
      </c>
      <c r="D36" s="325" t="s">
        <v>33</v>
      </c>
      <c r="E36" s="325" t="s">
        <v>665</v>
      </c>
      <c r="F36" s="326" t="s">
        <v>448</v>
      </c>
      <c r="G36" s="326"/>
      <c r="H36" s="52"/>
      <c r="I36" s="327">
        <v>45717.0</v>
      </c>
      <c r="J36" s="327"/>
      <c r="K36" s="327"/>
      <c r="L36" s="325" t="s">
        <v>672</v>
      </c>
      <c r="M36" s="309" t="s">
        <v>667</v>
      </c>
      <c r="N36" s="320"/>
      <c r="O36" s="52"/>
    </row>
    <row r="37" ht="14.25" customHeight="1">
      <c r="A37" s="325">
        <v>35.0</v>
      </c>
      <c r="B37" s="325" t="s">
        <v>119</v>
      </c>
      <c r="C37" s="325" t="s">
        <v>466</v>
      </c>
      <c r="D37" s="325" t="s">
        <v>33</v>
      </c>
      <c r="E37" s="325" t="s">
        <v>665</v>
      </c>
      <c r="F37" s="326" t="s">
        <v>448</v>
      </c>
      <c r="G37" s="326"/>
      <c r="H37" s="52"/>
      <c r="I37" s="327">
        <v>45717.0</v>
      </c>
      <c r="J37" s="327"/>
      <c r="K37" s="327"/>
      <c r="L37" s="325" t="s">
        <v>670</v>
      </c>
      <c r="M37" s="309" t="s">
        <v>667</v>
      </c>
      <c r="N37" s="328" t="s">
        <v>453</v>
      </c>
      <c r="O37" s="52"/>
    </row>
    <row r="38" ht="14.25" customHeight="1">
      <c r="A38" s="325">
        <v>36.0</v>
      </c>
      <c r="B38" s="325" t="s">
        <v>79</v>
      </c>
      <c r="C38" s="325" t="s">
        <v>466</v>
      </c>
      <c r="D38" s="325" t="s">
        <v>674</v>
      </c>
      <c r="E38" s="330" t="s">
        <v>665</v>
      </c>
      <c r="F38" s="326" t="s">
        <v>448</v>
      </c>
      <c r="G38" s="326"/>
      <c r="H38" s="52"/>
      <c r="I38" s="327">
        <v>45717.0</v>
      </c>
      <c r="J38" s="327"/>
      <c r="K38" s="327"/>
      <c r="L38" s="325" t="s">
        <v>668</v>
      </c>
      <c r="M38" s="309" t="s">
        <v>667</v>
      </c>
      <c r="N38" s="328" t="s">
        <v>453</v>
      </c>
      <c r="O38" s="52"/>
    </row>
    <row r="39" ht="14.25" customHeight="1">
      <c r="A39" s="325">
        <v>37.0</v>
      </c>
      <c r="B39" s="325" t="s">
        <v>94</v>
      </c>
      <c r="C39" s="325" t="s">
        <v>466</v>
      </c>
      <c r="D39" s="325" t="s">
        <v>15</v>
      </c>
      <c r="E39" s="325" t="s">
        <v>665</v>
      </c>
      <c r="F39" s="326" t="s">
        <v>448</v>
      </c>
      <c r="G39" s="326"/>
      <c r="H39" s="52"/>
      <c r="I39" s="327">
        <v>45717.0</v>
      </c>
      <c r="J39" s="327"/>
      <c r="K39" s="327"/>
      <c r="L39" s="325" t="s">
        <v>672</v>
      </c>
      <c r="M39" s="309" t="s">
        <v>667</v>
      </c>
      <c r="N39" s="320"/>
      <c r="O39" s="52"/>
    </row>
    <row r="40" ht="14.25" customHeight="1">
      <c r="A40" s="325">
        <v>38.0</v>
      </c>
      <c r="B40" s="325" t="s">
        <v>82</v>
      </c>
      <c r="C40" s="325" t="s">
        <v>466</v>
      </c>
      <c r="D40" s="325" t="s">
        <v>35</v>
      </c>
      <c r="E40" s="330" t="s">
        <v>665</v>
      </c>
      <c r="F40" s="326" t="s">
        <v>448</v>
      </c>
      <c r="G40" s="326"/>
      <c r="H40" s="52"/>
      <c r="I40" s="327">
        <v>45717.0</v>
      </c>
      <c r="J40" s="327"/>
      <c r="K40" s="327"/>
      <c r="L40" s="325" t="s">
        <v>673</v>
      </c>
      <c r="M40" s="309" t="s">
        <v>667</v>
      </c>
      <c r="N40" s="320"/>
      <c r="O40" s="52"/>
    </row>
    <row r="41" ht="14.25" customHeight="1">
      <c r="A41" s="325">
        <v>39.0</v>
      </c>
      <c r="B41" s="325" t="s">
        <v>95</v>
      </c>
      <c r="C41" s="325" t="s">
        <v>466</v>
      </c>
      <c r="D41" s="325" t="s">
        <v>34</v>
      </c>
      <c r="E41" s="330" t="s">
        <v>665</v>
      </c>
      <c r="F41" s="326" t="s">
        <v>448</v>
      </c>
      <c r="G41" s="326"/>
      <c r="H41" s="52"/>
      <c r="I41" s="327">
        <v>45717.0</v>
      </c>
      <c r="J41" s="327"/>
      <c r="K41" s="327"/>
      <c r="L41" s="325" t="s">
        <v>672</v>
      </c>
      <c r="M41" s="309" t="s">
        <v>667</v>
      </c>
      <c r="N41" s="320"/>
      <c r="O41" s="52"/>
    </row>
    <row r="42" ht="14.25" customHeight="1">
      <c r="A42" s="325">
        <v>40.0</v>
      </c>
      <c r="B42" s="325" t="s">
        <v>118</v>
      </c>
      <c r="C42" s="325" t="s">
        <v>466</v>
      </c>
      <c r="D42" s="325" t="s">
        <v>674</v>
      </c>
      <c r="E42" s="330" t="s">
        <v>665</v>
      </c>
      <c r="F42" s="326" t="s">
        <v>448</v>
      </c>
      <c r="G42" s="326"/>
      <c r="H42" s="52"/>
      <c r="I42" s="327">
        <v>45717.0</v>
      </c>
      <c r="J42" s="327"/>
      <c r="K42" s="327"/>
      <c r="L42" s="325" t="s">
        <v>670</v>
      </c>
      <c r="M42" s="309" t="s">
        <v>667</v>
      </c>
      <c r="N42" s="328" t="s">
        <v>453</v>
      </c>
      <c r="O42" s="52"/>
    </row>
    <row r="43" ht="14.25" customHeight="1">
      <c r="A43" s="325">
        <v>41.0</v>
      </c>
      <c r="B43" s="325" t="s">
        <v>78</v>
      </c>
      <c r="C43" s="325" t="s">
        <v>466</v>
      </c>
      <c r="D43" s="325" t="s">
        <v>34</v>
      </c>
      <c r="E43" s="330" t="s">
        <v>665</v>
      </c>
      <c r="F43" s="326" t="s">
        <v>448</v>
      </c>
      <c r="G43" s="326"/>
      <c r="H43" s="52"/>
      <c r="I43" s="327">
        <v>45717.0</v>
      </c>
      <c r="J43" s="327"/>
      <c r="K43" s="327"/>
      <c r="L43" s="325" t="s">
        <v>668</v>
      </c>
      <c r="M43" s="309" t="s">
        <v>667</v>
      </c>
      <c r="N43" s="328" t="s">
        <v>453</v>
      </c>
      <c r="O43" s="52"/>
    </row>
    <row r="44" ht="14.25" customHeight="1">
      <c r="A44" s="325">
        <v>42.0</v>
      </c>
      <c r="B44" s="325" t="s">
        <v>83</v>
      </c>
      <c r="C44" s="325" t="s">
        <v>466</v>
      </c>
      <c r="D44" s="325" t="s">
        <v>33</v>
      </c>
      <c r="E44" s="325" t="s">
        <v>665</v>
      </c>
      <c r="F44" s="326" t="s">
        <v>448</v>
      </c>
      <c r="G44" s="326"/>
      <c r="H44" s="52"/>
      <c r="I44" s="327">
        <v>45717.0</v>
      </c>
      <c r="J44" s="327"/>
      <c r="K44" s="327"/>
      <c r="L44" s="325" t="s">
        <v>673</v>
      </c>
      <c r="M44" s="309" t="s">
        <v>667</v>
      </c>
      <c r="N44" s="320"/>
      <c r="O44" s="52"/>
    </row>
    <row r="45" ht="14.25" customHeight="1">
      <c r="A45" s="325">
        <v>43.0</v>
      </c>
      <c r="B45" s="325" t="s">
        <v>93</v>
      </c>
      <c r="C45" s="325" t="s">
        <v>466</v>
      </c>
      <c r="D45" s="325" t="s">
        <v>33</v>
      </c>
      <c r="E45" s="325" t="s">
        <v>665</v>
      </c>
      <c r="F45" s="326" t="s">
        <v>448</v>
      </c>
      <c r="G45" s="326"/>
      <c r="H45" s="52"/>
      <c r="I45" s="327">
        <v>45717.0</v>
      </c>
      <c r="J45" s="327"/>
      <c r="K45" s="327"/>
      <c r="L45" s="325" t="s">
        <v>672</v>
      </c>
      <c r="M45" s="309" t="s">
        <v>667</v>
      </c>
      <c r="N45" s="320"/>
      <c r="O45" s="52"/>
    </row>
    <row r="46" ht="14.25" customHeight="1">
      <c r="A46" s="325">
        <v>44.0</v>
      </c>
      <c r="B46" s="325" t="s">
        <v>121</v>
      </c>
      <c r="C46" s="325" t="s">
        <v>466</v>
      </c>
      <c r="D46" s="325" t="s">
        <v>33</v>
      </c>
      <c r="E46" s="325" t="s">
        <v>665</v>
      </c>
      <c r="F46" s="326" t="s">
        <v>448</v>
      </c>
      <c r="G46" s="326"/>
      <c r="H46" s="52"/>
      <c r="I46" s="327">
        <v>45717.0</v>
      </c>
      <c r="J46" s="327"/>
      <c r="K46" s="327"/>
      <c r="L46" s="325" t="s">
        <v>670</v>
      </c>
      <c r="M46" s="309" t="s">
        <v>667</v>
      </c>
      <c r="N46" s="328" t="s">
        <v>453</v>
      </c>
      <c r="O46" s="52"/>
    </row>
    <row r="47" ht="14.25" customHeight="1">
      <c r="A47" s="325">
        <v>45.0</v>
      </c>
      <c r="B47" s="325" t="s">
        <v>117</v>
      </c>
      <c r="C47" s="325" t="s">
        <v>466</v>
      </c>
      <c r="D47" s="325" t="s">
        <v>12</v>
      </c>
      <c r="E47" s="330" t="s">
        <v>665</v>
      </c>
      <c r="F47" s="326" t="s">
        <v>448</v>
      </c>
      <c r="G47" s="326"/>
      <c r="H47" s="52"/>
      <c r="I47" s="327">
        <v>45717.0</v>
      </c>
      <c r="J47" s="327"/>
      <c r="K47" s="327"/>
      <c r="L47" s="325" t="s">
        <v>670</v>
      </c>
      <c r="M47" s="309" t="s">
        <v>667</v>
      </c>
      <c r="N47" s="328" t="s">
        <v>453</v>
      </c>
      <c r="O47" s="52"/>
    </row>
    <row r="48" ht="14.25" customHeight="1">
      <c r="A48" s="325">
        <v>46.0</v>
      </c>
      <c r="B48" s="325" t="s">
        <v>80</v>
      </c>
      <c r="C48" s="325" t="s">
        <v>466</v>
      </c>
      <c r="D48" s="325" t="s">
        <v>15</v>
      </c>
      <c r="E48" s="325" t="s">
        <v>665</v>
      </c>
      <c r="F48" s="326" t="s">
        <v>448</v>
      </c>
      <c r="G48" s="326"/>
      <c r="H48" s="52"/>
      <c r="I48" s="327">
        <v>45717.0</v>
      </c>
      <c r="J48" s="327"/>
      <c r="K48" s="327"/>
      <c r="L48" s="325" t="s">
        <v>668</v>
      </c>
      <c r="M48" s="309" t="s">
        <v>667</v>
      </c>
      <c r="N48" s="328" t="s">
        <v>453</v>
      </c>
      <c r="O48" s="52"/>
    </row>
    <row r="49" ht="14.25" customHeight="1">
      <c r="A49" s="325">
        <v>47.0</v>
      </c>
      <c r="B49" s="325" t="s">
        <v>81</v>
      </c>
      <c r="C49" s="325" t="s">
        <v>466</v>
      </c>
      <c r="D49" s="325" t="s">
        <v>33</v>
      </c>
      <c r="E49" s="325" t="s">
        <v>665</v>
      </c>
      <c r="F49" s="326" t="s">
        <v>448</v>
      </c>
      <c r="G49" s="326"/>
      <c r="H49" s="52"/>
      <c r="I49" s="327">
        <v>45717.0</v>
      </c>
      <c r="J49" s="327"/>
      <c r="K49" s="327"/>
      <c r="L49" s="325" t="s">
        <v>673</v>
      </c>
      <c r="M49" s="309" t="s">
        <v>667</v>
      </c>
      <c r="N49" s="320"/>
      <c r="O49" s="52"/>
    </row>
    <row r="50" ht="14.25" customHeight="1">
      <c r="A50" s="325">
        <v>48.0</v>
      </c>
      <c r="B50" s="325" t="s">
        <v>123</v>
      </c>
      <c r="C50" s="325" t="s">
        <v>466</v>
      </c>
      <c r="D50" s="325" t="s">
        <v>33</v>
      </c>
      <c r="E50" s="325" t="s">
        <v>665</v>
      </c>
      <c r="F50" s="326" t="s">
        <v>448</v>
      </c>
      <c r="G50" s="326"/>
      <c r="H50" s="52"/>
      <c r="I50" s="327">
        <v>45717.0</v>
      </c>
      <c r="J50" s="327"/>
      <c r="K50" s="327"/>
      <c r="L50" s="325" t="s">
        <v>670</v>
      </c>
      <c r="M50" s="309" t="s">
        <v>667</v>
      </c>
      <c r="N50" s="328" t="s">
        <v>453</v>
      </c>
      <c r="O50" s="52"/>
    </row>
    <row r="51" ht="14.25" customHeight="1">
      <c r="A51" s="325">
        <v>49.0</v>
      </c>
      <c r="B51" s="325" t="s">
        <v>122</v>
      </c>
      <c r="C51" s="325" t="s">
        <v>466</v>
      </c>
      <c r="D51" s="325" t="s">
        <v>12</v>
      </c>
      <c r="E51" s="325" t="s">
        <v>675</v>
      </c>
      <c r="F51" s="326" t="s">
        <v>448</v>
      </c>
      <c r="G51" s="326"/>
      <c r="H51" s="52"/>
      <c r="I51" s="327">
        <v>45717.0</v>
      </c>
      <c r="J51" s="327"/>
      <c r="K51" s="327"/>
      <c r="L51" s="325" t="s">
        <v>670</v>
      </c>
      <c r="M51" s="309" t="s">
        <v>667</v>
      </c>
      <c r="N51" s="328" t="s">
        <v>453</v>
      </c>
      <c r="O51" s="52"/>
    </row>
    <row r="52" ht="14.25" customHeight="1">
      <c r="A52" s="325">
        <v>50.0</v>
      </c>
      <c r="B52" s="325" t="s">
        <v>144</v>
      </c>
      <c r="C52" s="325" t="s">
        <v>466</v>
      </c>
      <c r="D52" s="325" t="s">
        <v>12</v>
      </c>
      <c r="E52" s="330" t="s">
        <v>665</v>
      </c>
      <c r="F52" s="326" t="s">
        <v>448</v>
      </c>
      <c r="G52" s="326"/>
      <c r="H52" s="52"/>
      <c r="I52" s="327">
        <v>45717.0</v>
      </c>
      <c r="J52" s="327"/>
      <c r="K52" s="327"/>
      <c r="L52" s="325" t="s">
        <v>670</v>
      </c>
      <c r="M52" s="309" t="s">
        <v>667</v>
      </c>
      <c r="N52" s="328" t="s">
        <v>453</v>
      </c>
      <c r="O52" s="52"/>
    </row>
    <row r="53" ht="14.25" customHeight="1">
      <c r="A53" s="325">
        <v>51.0</v>
      </c>
      <c r="B53" s="325" t="s">
        <v>142</v>
      </c>
      <c r="C53" s="325" t="s">
        <v>466</v>
      </c>
      <c r="D53" s="325" t="s">
        <v>33</v>
      </c>
      <c r="E53" s="325" t="s">
        <v>665</v>
      </c>
      <c r="F53" s="326" t="s">
        <v>448</v>
      </c>
      <c r="G53" s="326"/>
      <c r="H53" s="52"/>
      <c r="I53" s="327">
        <v>45717.0</v>
      </c>
      <c r="J53" s="327"/>
      <c r="K53" s="327"/>
      <c r="L53" s="325" t="s">
        <v>670</v>
      </c>
      <c r="M53" s="309" t="s">
        <v>667</v>
      </c>
      <c r="N53" s="328" t="s">
        <v>453</v>
      </c>
      <c r="O53" s="52"/>
    </row>
    <row r="54" ht="14.25" customHeight="1">
      <c r="A54" s="325">
        <v>52.0</v>
      </c>
      <c r="B54" s="325" t="s">
        <v>226</v>
      </c>
      <c r="C54" s="325" t="s">
        <v>577</v>
      </c>
      <c r="D54" s="325" t="s">
        <v>33</v>
      </c>
      <c r="E54" s="325" t="s">
        <v>665</v>
      </c>
      <c r="F54" s="326" t="s">
        <v>448</v>
      </c>
      <c r="G54" s="326"/>
      <c r="H54" s="52"/>
      <c r="I54" s="327">
        <v>45717.0</v>
      </c>
      <c r="J54" s="327"/>
      <c r="K54" s="327"/>
      <c r="L54" s="325" t="s">
        <v>673</v>
      </c>
      <c r="M54" s="309" t="s">
        <v>667</v>
      </c>
      <c r="N54" s="328" t="s">
        <v>453</v>
      </c>
      <c r="O54" s="52"/>
    </row>
    <row r="55" ht="14.25" customHeight="1">
      <c r="A55" s="325">
        <v>53.0</v>
      </c>
      <c r="B55" s="325" t="s">
        <v>229</v>
      </c>
      <c r="C55" s="325" t="s">
        <v>577</v>
      </c>
      <c r="D55" s="325" t="s">
        <v>33</v>
      </c>
      <c r="E55" s="325" t="s">
        <v>665</v>
      </c>
      <c r="F55" s="326" t="s">
        <v>448</v>
      </c>
      <c r="G55" s="326"/>
      <c r="H55" s="52"/>
      <c r="I55" s="327">
        <v>45748.0</v>
      </c>
      <c r="J55" s="327"/>
      <c r="K55" s="327"/>
      <c r="L55" s="325" t="s">
        <v>668</v>
      </c>
      <c r="M55" s="309" t="s">
        <v>667</v>
      </c>
      <c r="N55" s="328" t="s">
        <v>453</v>
      </c>
      <c r="O55" s="52"/>
    </row>
    <row r="56" ht="14.25" customHeight="1">
      <c r="A56" s="325">
        <v>54.0</v>
      </c>
      <c r="B56" s="325" t="s">
        <v>151</v>
      </c>
      <c r="C56" s="325" t="s">
        <v>466</v>
      </c>
      <c r="D56" s="325" t="s">
        <v>34</v>
      </c>
      <c r="E56" s="330" t="s">
        <v>665</v>
      </c>
      <c r="F56" s="326" t="s">
        <v>448</v>
      </c>
      <c r="G56" s="326"/>
      <c r="H56" s="52"/>
      <c r="I56" s="327">
        <v>45748.0</v>
      </c>
      <c r="J56" s="327"/>
      <c r="K56" s="327"/>
      <c r="L56" s="325" t="s">
        <v>670</v>
      </c>
      <c r="M56" s="309" t="s">
        <v>667</v>
      </c>
      <c r="N56" s="328" t="s">
        <v>453</v>
      </c>
      <c r="O56" s="52"/>
    </row>
    <row r="57" ht="14.25" customHeight="1">
      <c r="A57" s="325">
        <v>55.0</v>
      </c>
      <c r="B57" s="325" t="s">
        <v>143</v>
      </c>
      <c r="C57" s="325" t="s">
        <v>466</v>
      </c>
      <c r="D57" s="325" t="s">
        <v>33</v>
      </c>
      <c r="E57" s="325" t="s">
        <v>665</v>
      </c>
      <c r="F57" s="326" t="s">
        <v>448</v>
      </c>
      <c r="G57" s="326"/>
      <c r="H57" s="52"/>
      <c r="I57" s="327">
        <v>45748.0</v>
      </c>
      <c r="J57" s="327"/>
      <c r="K57" s="327"/>
      <c r="L57" s="325" t="s">
        <v>670</v>
      </c>
      <c r="M57" s="309" t="s">
        <v>667</v>
      </c>
      <c r="N57" s="328" t="s">
        <v>453</v>
      </c>
      <c r="O57" s="52"/>
    </row>
    <row r="58" ht="14.25" customHeight="1">
      <c r="A58" s="325">
        <v>56.0</v>
      </c>
      <c r="B58" s="325" t="s">
        <v>224</v>
      </c>
      <c r="C58" s="325" t="s">
        <v>577</v>
      </c>
      <c r="D58" s="325" t="s">
        <v>33</v>
      </c>
      <c r="E58" s="325" t="s">
        <v>665</v>
      </c>
      <c r="F58" s="326" t="s">
        <v>448</v>
      </c>
      <c r="G58" s="326"/>
      <c r="H58" s="52"/>
      <c r="I58" s="327">
        <v>45748.0</v>
      </c>
      <c r="J58" s="327"/>
      <c r="K58" s="327"/>
      <c r="L58" s="325" t="s">
        <v>673</v>
      </c>
      <c r="M58" s="309" t="s">
        <v>667</v>
      </c>
      <c r="N58" s="328" t="s">
        <v>453</v>
      </c>
      <c r="O58" s="52"/>
    </row>
    <row r="59" ht="14.25" customHeight="1">
      <c r="A59" s="325">
        <v>57.0</v>
      </c>
      <c r="B59" s="325" t="s">
        <v>225</v>
      </c>
      <c r="C59" s="325" t="s">
        <v>577</v>
      </c>
      <c r="D59" s="325" t="s">
        <v>33</v>
      </c>
      <c r="E59" s="325" t="s">
        <v>665</v>
      </c>
      <c r="F59" s="326" t="s">
        <v>448</v>
      </c>
      <c r="G59" s="326"/>
      <c r="H59" s="52"/>
      <c r="I59" s="327">
        <v>45748.0</v>
      </c>
      <c r="J59" s="327"/>
      <c r="K59" s="327"/>
      <c r="L59" s="325" t="s">
        <v>673</v>
      </c>
      <c r="M59" s="309" t="s">
        <v>667</v>
      </c>
      <c r="N59" s="328" t="s">
        <v>453</v>
      </c>
      <c r="O59" s="52"/>
    </row>
    <row r="60" ht="14.25" customHeight="1">
      <c r="A60" s="325">
        <v>58.0</v>
      </c>
      <c r="B60" s="325" t="s">
        <v>227</v>
      </c>
      <c r="C60" s="325" t="s">
        <v>577</v>
      </c>
      <c r="D60" s="325" t="s">
        <v>33</v>
      </c>
      <c r="E60" s="325" t="s">
        <v>665</v>
      </c>
      <c r="F60" s="326" t="s">
        <v>448</v>
      </c>
      <c r="G60" s="326"/>
      <c r="H60" s="52"/>
      <c r="I60" s="327">
        <v>45748.0</v>
      </c>
      <c r="J60" s="327"/>
      <c r="K60" s="327"/>
      <c r="L60" s="325" t="s">
        <v>668</v>
      </c>
      <c r="M60" s="309" t="s">
        <v>667</v>
      </c>
      <c r="N60" s="328" t="s">
        <v>453</v>
      </c>
      <c r="O60" s="52"/>
    </row>
    <row r="61" ht="14.25" customHeight="1">
      <c r="A61" s="325">
        <v>59.0</v>
      </c>
      <c r="B61" s="325" t="s">
        <v>154</v>
      </c>
      <c r="C61" s="325" t="s">
        <v>466</v>
      </c>
      <c r="D61" s="325" t="s">
        <v>11</v>
      </c>
      <c r="E61" s="325" t="s">
        <v>665</v>
      </c>
      <c r="F61" s="326" t="s">
        <v>448</v>
      </c>
      <c r="G61" s="326"/>
      <c r="H61" s="52"/>
      <c r="I61" s="327">
        <v>45748.0</v>
      </c>
      <c r="J61" s="327"/>
      <c r="K61" s="327"/>
      <c r="L61" s="325" t="s">
        <v>670</v>
      </c>
      <c r="M61" s="309" t="s">
        <v>667</v>
      </c>
      <c r="N61" s="328" t="s">
        <v>453</v>
      </c>
      <c r="O61" s="52"/>
    </row>
    <row r="62" ht="14.25" customHeight="1">
      <c r="A62" s="325">
        <v>60.0</v>
      </c>
      <c r="B62" s="329" t="s">
        <v>152</v>
      </c>
      <c r="C62" s="325" t="s">
        <v>466</v>
      </c>
      <c r="D62" s="325" t="s">
        <v>33</v>
      </c>
      <c r="E62" s="325" t="s">
        <v>665</v>
      </c>
      <c r="F62" s="326" t="s">
        <v>448</v>
      </c>
      <c r="G62" s="326"/>
      <c r="H62" s="52"/>
      <c r="I62" s="327">
        <v>45748.0</v>
      </c>
      <c r="J62" s="327"/>
      <c r="K62" s="327"/>
      <c r="L62" s="325" t="s">
        <v>670</v>
      </c>
      <c r="M62" s="309" t="s">
        <v>667</v>
      </c>
      <c r="N62" s="320"/>
      <c r="O62" s="52"/>
    </row>
    <row r="63" ht="14.25" customHeight="1">
      <c r="A63" s="325">
        <v>61.0</v>
      </c>
      <c r="B63" s="317" t="s">
        <v>133</v>
      </c>
      <c r="C63" s="325" t="s">
        <v>466</v>
      </c>
      <c r="D63" s="325" t="s">
        <v>15</v>
      </c>
      <c r="E63" s="325" t="s">
        <v>669</v>
      </c>
      <c r="F63" s="326" t="s">
        <v>448</v>
      </c>
      <c r="G63" s="326"/>
      <c r="H63" s="52"/>
      <c r="I63" s="327">
        <v>45748.0</v>
      </c>
      <c r="J63" s="327"/>
      <c r="K63" s="327"/>
      <c r="L63" s="325" t="s">
        <v>676</v>
      </c>
      <c r="M63" s="309" t="s">
        <v>667</v>
      </c>
      <c r="N63" s="320"/>
      <c r="O63" s="52"/>
    </row>
    <row r="64" ht="14.25" customHeight="1">
      <c r="A64" s="325">
        <v>62.0</v>
      </c>
      <c r="B64" s="329" t="s">
        <v>153</v>
      </c>
      <c r="C64" s="325" t="s">
        <v>466</v>
      </c>
      <c r="D64" s="325" t="s">
        <v>12</v>
      </c>
      <c r="E64" s="325" t="s">
        <v>665</v>
      </c>
      <c r="F64" s="326" t="s">
        <v>448</v>
      </c>
      <c r="G64" s="326"/>
      <c r="H64" s="52"/>
      <c r="I64" s="327">
        <v>45748.0</v>
      </c>
      <c r="J64" s="327"/>
      <c r="K64" s="327"/>
      <c r="L64" s="325" t="s">
        <v>670</v>
      </c>
      <c r="M64" s="309" t="s">
        <v>667</v>
      </c>
      <c r="N64" s="328" t="s">
        <v>453</v>
      </c>
      <c r="O64" s="52"/>
    </row>
    <row r="65" ht="14.25" customHeight="1">
      <c r="A65" s="325">
        <v>63.0</v>
      </c>
      <c r="B65" s="325" t="s">
        <v>223</v>
      </c>
      <c r="C65" s="325" t="s">
        <v>577</v>
      </c>
      <c r="D65" s="325" t="s">
        <v>34</v>
      </c>
      <c r="E65" s="325" t="s">
        <v>669</v>
      </c>
      <c r="F65" s="326" t="s">
        <v>448</v>
      </c>
      <c r="G65" s="326"/>
      <c r="H65" s="52"/>
      <c r="I65" s="327">
        <v>45748.0</v>
      </c>
      <c r="J65" s="327"/>
      <c r="K65" s="327"/>
      <c r="L65" s="325" t="s">
        <v>673</v>
      </c>
      <c r="M65" s="309" t="s">
        <v>667</v>
      </c>
      <c r="N65" s="328" t="s">
        <v>453</v>
      </c>
      <c r="O65" s="52"/>
    </row>
    <row r="66" ht="14.25" customHeight="1">
      <c r="A66" s="325">
        <v>64.0</v>
      </c>
      <c r="B66" s="329" t="s">
        <v>155</v>
      </c>
      <c r="C66" s="325" t="s">
        <v>466</v>
      </c>
      <c r="D66" s="325" t="s">
        <v>35</v>
      </c>
      <c r="E66" s="325" t="s">
        <v>665</v>
      </c>
      <c r="F66" s="326" t="s">
        <v>448</v>
      </c>
      <c r="G66" s="326"/>
      <c r="H66" s="52"/>
      <c r="I66" s="327">
        <v>45748.0</v>
      </c>
      <c r="J66" s="327"/>
      <c r="K66" s="327"/>
      <c r="L66" s="325" t="s">
        <v>670</v>
      </c>
      <c r="M66" s="309" t="s">
        <v>667</v>
      </c>
      <c r="N66" s="328" t="s">
        <v>453</v>
      </c>
      <c r="O66" s="52"/>
    </row>
    <row r="67" ht="14.25" customHeight="1">
      <c r="A67" s="325">
        <v>65.0</v>
      </c>
      <c r="B67" s="325" t="s">
        <v>237</v>
      </c>
      <c r="C67" s="325" t="s">
        <v>577</v>
      </c>
      <c r="D67" s="325" t="s">
        <v>34</v>
      </c>
      <c r="E67" s="325" t="s">
        <v>665</v>
      </c>
      <c r="F67" s="326" t="s">
        <v>448</v>
      </c>
      <c r="G67" s="326"/>
      <c r="H67" s="52"/>
      <c r="I67" s="327">
        <v>45748.0</v>
      </c>
      <c r="J67" s="327"/>
      <c r="K67" s="327"/>
      <c r="L67" s="325" t="s">
        <v>668</v>
      </c>
      <c r="M67" s="309" t="s">
        <v>667</v>
      </c>
      <c r="N67" s="328" t="s">
        <v>453</v>
      </c>
      <c r="O67" s="52"/>
    </row>
    <row r="68" ht="14.25" customHeight="1">
      <c r="A68" s="325">
        <v>66.0</v>
      </c>
      <c r="B68" s="329" t="s">
        <v>156</v>
      </c>
      <c r="C68" s="325" t="s">
        <v>466</v>
      </c>
      <c r="D68" s="325" t="s">
        <v>33</v>
      </c>
      <c r="E68" s="325" t="s">
        <v>665</v>
      </c>
      <c r="F68" s="326" t="s">
        <v>448</v>
      </c>
      <c r="G68" s="326"/>
      <c r="H68" s="52"/>
      <c r="I68" s="327">
        <v>45748.0</v>
      </c>
      <c r="J68" s="327"/>
      <c r="K68" s="327"/>
      <c r="L68" s="325" t="s">
        <v>670</v>
      </c>
      <c r="M68" s="309" t="s">
        <v>667</v>
      </c>
      <c r="N68" s="328" t="s">
        <v>453</v>
      </c>
      <c r="O68" s="52"/>
    </row>
    <row r="69" ht="14.25" customHeight="1">
      <c r="A69" s="325">
        <v>67.0</v>
      </c>
      <c r="B69" s="329" t="s">
        <v>150</v>
      </c>
      <c r="C69" s="325" t="s">
        <v>466</v>
      </c>
      <c r="D69" s="325" t="s">
        <v>15</v>
      </c>
      <c r="E69" s="325" t="s">
        <v>665</v>
      </c>
      <c r="F69" s="326" t="s">
        <v>448</v>
      </c>
      <c r="G69" s="326"/>
      <c r="H69" s="52"/>
      <c r="I69" s="327">
        <v>45748.0</v>
      </c>
      <c r="J69" s="327"/>
      <c r="K69" s="327"/>
      <c r="L69" s="325" t="s">
        <v>670</v>
      </c>
      <c r="M69" s="309" t="s">
        <v>667</v>
      </c>
      <c r="N69" s="328" t="s">
        <v>453</v>
      </c>
      <c r="O69" s="52"/>
    </row>
    <row r="70" ht="14.25" customHeight="1">
      <c r="A70" s="325">
        <v>68.0</v>
      </c>
      <c r="B70" s="329" t="s">
        <v>134</v>
      </c>
      <c r="C70" s="325" t="s">
        <v>466</v>
      </c>
      <c r="D70" s="325" t="s">
        <v>33</v>
      </c>
      <c r="E70" s="325" t="s">
        <v>669</v>
      </c>
      <c r="F70" s="326" t="s">
        <v>448</v>
      </c>
      <c r="G70" s="326"/>
      <c r="H70" s="52"/>
      <c r="I70" s="327">
        <v>45748.0</v>
      </c>
      <c r="J70" s="327"/>
      <c r="K70" s="327"/>
      <c r="L70" s="325" t="s">
        <v>676</v>
      </c>
      <c r="M70" s="309" t="s">
        <v>667</v>
      </c>
      <c r="N70" s="320"/>
      <c r="O70" s="52"/>
    </row>
    <row r="71" ht="14.25" customHeight="1">
      <c r="A71" s="325">
        <v>69.0</v>
      </c>
      <c r="B71" s="317" t="s">
        <v>241</v>
      </c>
      <c r="C71" s="325" t="s">
        <v>577</v>
      </c>
      <c r="D71" s="325" t="s">
        <v>12</v>
      </c>
      <c r="E71" s="325" t="s">
        <v>665</v>
      </c>
      <c r="F71" s="326" t="s">
        <v>448</v>
      </c>
      <c r="G71" s="326"/>
      <c r="H71" s="52"/>
      <c r="I71" s="327">
        <v>45748.0</v>
      </c>
      <c r="J71" s="327"/>
      <c r="K71" s="327"/>
      <c r="L71" s="325" t="s">
        <v>673</v>
      </c>
      <c r="M71" s="309" t="s">
        <v>667</v>
      </c>
      <c r="N71" s="328" t="s">
        <v>453</v>
      </c>
      <c r="O71" s="52"/>
    </row>
    <row r="72" ht="14.25" customHeight="1">
      <c r="A72" s="325">
        <v>70.0</v>
      </c>
      <c r="B72" s="325" t="s">
        <v>145</v>
      </c>
      <c r="C72" s="325" t="s">
        <v>466</v>
      </c>
      <c r="D72" s="325" t="s">
        <v>15</v>
      </c>
      <c r="E72" s="325" t="s">
        <v>665</v>
      </c>
      <c r="F72" s="326" t="s">
        <v>448</v>
      </c>
      <c r="G72" s="326"/>
      <c r="H72" s="52"/>
      <c r="I72" s="327">
        <v>45748.0</v>
      </c>
      <c r="J72" s="327"/>
      <c r="K72" s="327"/>
      <c r="L72" s="325" t="s">
        <v>670</v>
      </c>
      <c r="M72" s="309" t="s">
        <v>667</v>
      </c>
      <c r="N72" s="328" t="s">
        <v>453</v>
      </c>
      <c r="O72" s="52"/>
    </row>
    <row r="73" ht="14.25" customHeight="1">
      <c r="A73" s="325">
        <v>71.0</v>
      </c>
      <c r="B73" s="325" t="s">
        <v>258</v>
      </c>
      <c r="C73" s="325" t="s">
        <v>577</v>
      </c>
      <c r="D73" s="325" t="s">
        <v>34</v>
      </c>
      <c r="E73" s="325" t="s">
        <v>665</v>
      </c>
      <c r="F73" s="326" t="s">
        <v>448</v>
      </c>
      <c r="G73" s="326"/>
      <c r="H73" s="52"/>
      <c r="I73" s="327">
        <v>45748.0</v>
      </c>
      <c r="J73" s="327"/>
      <c r="K73" s="327"/>
      <c r="L73" s="325" t="s">
        <v>672</v>
      </c>
      <c r="M73" s="309" t="s">
        <v>667</v>
      </c>
      <c r="N73" s="328" t="s">
        <v>453</v>
      </c>
      <c r="O73" s="52"/>
    </row>
    <row r="74" ht="14.25" customHeight="1">
      <c r="A74" s="325">
        <v>72.0</v>
      </c>
      <c r="B74" s="325" t="s">
        <v>238</v>
      </c>
      <c r="C74" s="325" t="s">
        <v>577</v>
      </c>
      <c r="D74" s="325" t="s">
        <v>33</v>
      </c>
      <c r="E74" s="325" t="s">
        <v>665</v>
      </c>
      <c r="F74" s="326" t="s">
        <v>448</v>
      </c>
      <c r="G74" s="326"/>
      <c r="H74" s="52"/>
      <c r="I74" s="327">
        <v>45748.0</v>
      </c>
      <c r="J74" s="327"/>
      <c r="K74" s="327"/>
      <c r="L74" s="325" t="s">
        <v>668</v>
      </c>
      <c r="M74" s="309" t="s">
        <v>667</v>
      </c>
      <c r="N74" s="328" t="s">
        <v>453</v>
      </c>
      <c r="O74" s="52"/>
    </row>
    <row r="75" ht="14.25" customHeight="1">
      <c r="A75" s="325">
        <v>73.0</v>
      </c>
      <c r="B75" s="329" t="s">
        <v>159</v>
      </c>
      <c r="C75" s="325" t="s">
        <v>466</v>
      </c>
      <c r="D75" s="325" t="s">
        <v>35</v>
      </c>
      <c r="E75" s="325" t="s">
        <v>665</v>
      </c>
      <c r="F75" s="326" t="s">
        <v>448</v>
      </c>
      <c r="G75" s="326"/>
      <c r="H75" s="52"/>
      <c r="I75" s="327">
        <v>45748.0</v>
      </c>
      <c r="J75" s="327"/>
      <c r="K75" s="327"/>
      <c r="L75" s="325" t="s">
        <v>670</v>
      </c>
      <c r="M75" s="309" t="s">
        <v>667</v>
      </c>
      <c r="N75" s="328" t="s">
        <v>453</v>
      </c>
      <c r="O75" s="52"/>
    </row>
    <row r="76" ht="14.25" customHeight="1">
      <c r="A76" s="325">
        <v>74.0</v>
      </c>
      <c r="B76" s="317" t="s">
        <v>62</v>
      </c>
      <c r="C76" s="325" t="s">
        <v>466</v>
      </c>
      <c r="D76" s="325" t="s">
        <v>674</v>
      </c>
      <c r="E76" s="325" t="s">
        <v>669</v>
      </c>
      <c r="F76" s="326" t="s">
        <v>448</v>
      </c>
      <c r="G76" s="326"/>
      <c r="H76" s="52"/>
      <c r="I76" s="327">
        <v>45748.0</v>
      </c>
      <c r="J76" s="327"/>
      <c r="K76" s="327"/>
      <c r="L76" s="325" t="s">
        <v>666</v>
      </c>
      <c r="M76" s="309" t="s">
        <v>667</v>
      </c>
      <c r="N76" s="320"/>
      <c r="O76" s="52"/>
    </row>
    <row r="77" ht="14.25" customHeight="1">
      <c r="A77" s="325">
        <v>75.0</v>
      </c>
      <c r="B77" s="329" t="s">
        <v>160</v>
      </c>
      <c r="C77" s="325" t="s">
        <v>466</v>
      </c>
      <c r="D77" s="325" t="s">
        <v>12</v>
      </c>
      <c r="E77" s="325" t="s">
        <v>665</v>
      </c>
      <c r="F77" s="326" t="s">
        <v>448</v>
      </c>
      <c r="G77" s="326"/>
      <c r="H77" s="52"/>
      <c r="I77" s="327">
        <v>45748.0</v>
      </c>
      <c r="J77" s="327"/>
      <c r="K77" s="327"/>
      <c r="L77" s="325" t="s">
        <v>670</v>
      </c>
      <c r="M77" s="309" t="s">
        <v>667</v>
      </c>
      <c r="N77" s="328" t="s">
        <v>453</v>
      </c>
      <c r="O77" s="52"/>
    </row>
    <row r="78" ht="14.25" customHeight="1">
      <c r="A78" s="325">
        <v>76.0</v>
      </c>
      <c r="B78" s="317" t="s">
        <v>259</v>
      </c>
      <c r="C78" s="325" t="s">
        <v>577</v>
      </c>
      <c r="D78" s="325" t="s">
        <v>33</v>
      </c>
      <c r="E78" s="325" t="s">
        <v>665</v>
      </c>
      <c r="F78" s="326" t="s">
        <v>448</v>
      </c>
      <c r="G78" s="326"/>
      <c r="H78" s="52"/>
      <c r="I78" s="327">
        <v>45748.0</v>
      </c>
      <c r="J78" s="327"/>
      <c r="K78" s="327"/>
      <c r="L78" s="325" t="s">
        <v>672</v>
      </c>
      <c r="M78" s="309" t="s">
        <v>667</v>
      </c>
      <c r="N78" s="328" t="s">
        <v>453</v>
      </c>
      <c r="O78" s="52"/>
    </row>
    <row r="79" ht="14.25" customHeight="1">
      <c r="A79" s="325">
        <v>77.0</v>
      </c>
      <c r="B79" s="317" t="s">
        <v>242</v>
      </c>
      <c r="C79" s="325" t="s">
        <v>577</v>
      </c>
      <c r="D79" s="325" t="s">
        <v>11</v>
      </c>
      <c r="E79" s="325" t="s">
        <v>665</v>
      </c>
      <c r="F79" s="326" t="s">
        <v>448</v>
      </c>
      <c r="G79" s="326"/>
      <c r="H79" s="52"/>
      <c r="I79" s="327">
        <v>45748.0</v>
      </c>
      <c r="J79" s="327"/>
      <c r="K79" s="327"/>
      <c r="L79" s="325" t="s">
        <v>673</v>
      </c>
      <c r="M79" s="309" t="s">
        <v>667</v>
      </c>
      <c r="N79" s="328" t="s">
        <v>453</v>
      </c>
      <c r="O79" s="52"/>
    </row>
    <row r="80" ht="14.25" customHeight="1">
      <c r="A80" s="325">
        <v>78.0</v>
      </c>
      <c r="B80" s="317" t="s">
        <v>239</v>
      </c>
      <c r="C80" s="325" t="s">
        <v>577</v>
      </c>
      <c r="D80" s="325" t="s">
        <v>33</v>
      </c>
      <c r="E80" s="325" t="s">
        <v>665</v>
      </c>
      <c r="F80" s="326" t="s">
        <v>448</v>
      </c>
      <c r="G80" s="326"/>
      <c r="H80" s="52"/>
      <c r="I80" s="327">
        <v>45748.0</v>
      </c>
      <c r="J80" s="327"/>
      <c r="K80" s="327"/>
      <c r="L80" s="325" t="s">
        <v>668</v>
      </c>
      <c r="M80" s="309" t="s">
        <v>667</v>
      </c>
      <c r="N80" s="328" t="s">
        <v>453</v>
      </c>
      <c r="O80" s="52"/>
    </row>
    <row r="81" ht="14.25" customHeight="1">
      <c r="A81" s="325">
        <v>79.0</v>
      </c>
      <c r="B81" s="317" t="s">
        <v>135</v>
      </c>
      <c r="C81" s="325" t="s">
        <v>466</v>
      </c>
      <c r="D81" s="325" t="s">
        <v>33</v>
      </c>
      <c r="E81" s="325" t="s">
        <v>665</v>
      </c>
      <c r="F81" s="326" t="s">
        <v>448</v>
      </c>
      <c r="G81" s="326"/>
      <c r="H81" s="52"/>
      <c r="I81" s="327">
        <v>45748.0</v>
      </c>
      <c r="J81" s="327"/>
      <c r="K81" s="327"/>
      <c r="L81" s="325" t="s">
        <v>676</v>
      </c>
      <c r="M81" s="309" t="s">
        <v>667</v>
      </c>
      <c r="N81" s="320"/>
      <c r="O81" s="52"/>
    </row>
    <row r="82" ht="14.25" customHeight="1">
      <c r="A82" s="325">
        <v>80.0</v>
      </c>
      <c r="B82" s="329" t="s">
        <v>65</v>
      </c>
      <c r="C82" s="325" t="s">
        <v>466</v>
      </c>
      <c r="D82" s="325" t="s">
        <v>34</v>
      </c>
      <c r="E82" s="325" t="s">
        <v>665</v>
      </c>
      <c r="F82" s="326" t="s">
        <v>448</v>
      </c>
      <c r="G82" s="326"/>
      <c r="H82" s="52"/>
      <c r="I82" s="327">
        <v>45748.0</v>
      </c>
      <c r="J82" s="327"/>
      <c r="K82" s="327"/>
      <c r="L82" s="325" t="s">
        <v>677</v>
      </c>
      <c r="M82" s="309" t="s">
        <v>667</v>
      </c>
      <c r="N82" s="320"/>
      <c r="O82" s="52"/>
    </row>
    <row r="83" ht="14.25" customHeight="1">
      <c r="A83" s="325">
        <v>81.0</v>
      </c>
      <c r="B83" s="329" t="s">
        <v>161</v>
      </c>
      <c r="C83" s="325" t="s">
        <v>466</v>
      </c>
      <c r="D83" s="325" t="s">
        <v>12</v>
      </c>
      <c r="E83" s="325" t="s">
        <v>675</v>
      </c>
      <c r="F83" s="326" t="s">
        <v>448</v>
      </c>
      <c r="G83" s="326"/>
      <c r="H83" s="52"/>
      <c r="I83" s="327">
        <v>45748.0</v>
      </c>
      <c r="J83" s="327"/>
      <c r="K83" s="327"/>
      <c r="L83" s="325" t="s">
        <v>670</v>
      </c>
      <c r="M83" s="309" t="s">
        <v>667</v>
      </c>
      <c r="N83" s="328" t="s">
        <v>453</v>
      </c>
      <c r="O83" s="52"/>
    </row>
    <row r="84" ht="14.25" customHeight="1">
      <c r="A84" s="325">
        <v>82.0</v>
      </c>
      <c r="B84" s="317" t="s">
        <v>162</v>
      </c>
      <c r="C84" s="325" t="s">
        <v>466</v>
      </c>
      <c r="D84" s="325" t="s">
        <v>15</v>
      </c>
      <c r="E84" s="325" t="s">
        <v>665</v>
      </c>
      <c r="F84" s="326" t="s">
        <v>448</v>
      </c>
      <c r="G84" s="326"/>
      <c r="H84" s="52"/>
      <c r="I84" s="327">
        <v>45748.0</v>
      </c>
      <c r="J84" s="327"/>
      <c r="K84" s="327"/>
      <c r="L84" s="325" t="s">
        <v>670</v>
      </c>
      <c r="M84" s="309" t="s">
        <v>667</v>
      </c>
      <c r="N84" s="328" t="s">
        <v>453</v>
      </c>
      <c r="O84" s="52"/>
    </row>
    <row r="85" ht="14.25" customHeight="1">
      <c r="A85" s="325">
        <v>83.0</v>
      </c>
      <c r="B85" s="329" t="s">
        <v>172</v>
      </c>
      <c r="C85" s="325" t="s">
        <v>466</v>
      </c>
      <c r="D85" s="325" t="s">
        <v>33</v>
      </c>
      <c r="E85" s="325" t="s">
        <v>675</v>
      </c>
      <c r="F85" s="326" t="s">
        <v>448</v>
      </c>
      <c r="G85" s="326"/>
      <c r="H85" s="52"/>
      <c r="I85" s="327">
        <v>45748.0</v>
      </c>
      <c r="J85" s="327"/>
      <c r="K85" s="327"/>
      <c r="L85" s="325" t="s">
        <v>670</v>
      </c>
      <c r="M85" s="309" t="s">
        <v>667</v>
      </c>
      <c r="N85" s="328" t="s">
        <v>453</v>
      </c>
      <c r="O85" s="52"/>
    </row>
    <row r="86" ht="14.25" customHeight="1">
      <c r="A86" s="325">
        <v>84.0</v>
      </c>
      <c r="B86" s="317" t="s">
        <v>175</v>
      </c>
      <c r="C86" s="325" t="s">
        <v>466</v>
      </c>
      <c r="D86" s="325" t="s">
        <v>11</v>
      </c>
      <c r="E86" s="325" t="s">
        <v>665</v>
      </c>
      <c r="F86" s="326" t="s">
        <v>448</v>
      </c>
      <c r="G86" s="326"/>
      <c r="H86" s="52"/>
      <c r="I86" s="327">
        <v>45748.0</v>
      </c>
      <c r="J86" s="327"/>
      <c r="K86" s="327"/>
      <c r="L86" s="325" t="s">
        <v>670</v>
      </c>
      <c r="M86" s="309" t="s">
        <v>667</v>
      </c>
      <c r="N86" s="328" t="s">
        <v>453</v>
      </c>
      <c r="O86" s="52"/>
    </row>
    <row r="87" ht="14.25" customHeight="1">
      <c r="A87" s="325">
        <v>85.0</v>
      </c>
      <c r="B87" s="317" t="s">
        <v>63</v>
      </c>
      <c r="C87" s="317" t="s">
        <v>466</v>
      </c>
      <c r="D87" s="325" t="s">
        <v>33</v>
      </c>
      <c r="E87" s="325" t="s">
        <v>669</v>
      </c>
      <c r="F87" s="326" t="s">
        <v>448</v>
      </c>
      <c r="G87" s="326"/>
      <c r="H87" s="52"/>
      <c r="I87" s="327">
        <v>45748.0</v>
      </c>
      <c r="J87" s="327"/>
      <c r="K87" s="327"/>
      <c r="L87" s="325" t="s">
        <v>666</v>
      </c>
      <c r="M87" s="309" t="s">
        <v>667</v>
      </c>
      <c r="N87" s="320"/>
      <c r="O87" s="52"/>
    </row>
    <row r="88" ht="14.25" customHeight="1">
      <c r="A88" s="325">
        <v>86.0</v>
      </c>
      <c r="B88" s="317" t="s">
        <v>245</v>
      </c>
      <c r="C88" s="325" t="s">
        <v>577</v>
      </c>
      <c r="D88" s="325" t="s">
        <v>33</v>
      </c>
      <c r="E88" s="325" t="s">
        <v>665</v>
      </c>
      <c r="F88" s="326" t="s">
        <v>448</v>
      </c>
      <c r="G88" s="326"/>
      <c r="H88" s="52"/>
      <c r="I88" s="327">
        <v>45748.0</v>
      </c>
      <c r="J88" s="327"/>
      <c r="K88" s="327"/>
      <c r="L88" s="325" t="s">
        <v>673</v>
      </c>
      <c r="M88" s="309" t="s">
        <v>667</v>
      </c>
      <c r="N88" s="328" t="s">
        <v>453</v>
      </c>
      <c r="O88" s="52"/>
    </row>
    <row r="89" ht="14.25" customHeight="1">
      <c r="A89" s="325">
        <v>87.0</v>
      </c>
      <c r="B89" s="317" t="s">
        <v>230</v>
      </c>
      <c r="C89" s="325" t="s">
        <v>577</v>
      </c>
      <c r="D89" s="325" t="s">
        <v>34</v>
      </c>
      <c r="E89" s="325" t="s">
        <v>665</v>
      </c>
      <c r="F89" s="326" t="s">
        <v>448</v>
      </c>
      <c r="G89" s="326"/>
      <c r="H89" s="52"/>
      <c r="I89" s="327">
        <v>45748.0</v>
      </c>
      <c r="J89" s="327"/>
      <c r="K89" s="327"/>
      <c r="L89" s="325" t="s">
        <v>668</v>
      </c>
      <c r="M89" s="309" t="s">
        <v>667</v>
      </c>
      <c r="N89" s="328" t="s">
        <v>453</v>
      </c>
      <c r="O89" s="52"/>
    </row>
    <row r="90" ht="14.25" customHeight="1">
      <c r="A90" s="325">
        <v>88.0</v>
      </c>
      <c r="B90" s="317" t="s">
        <v>210</v>
      </c>
      <c r="C90" s="325" t="s">
        <v>466</v>
      </c>
      <c r="D90" s="325" t="s">
        <v>33</v>
      </c>
      <c r="E90" s="325" t="s">
        <v>675</v>
      </c>
      <c r="F90" s="326" t="s">
        <v>448</v>
      </c>
      <c r="G90" s="326"/>
      <c r="H90" s="52"/>
      <c r="I90" s="327">
        <v>45748.0</v>
      </c>
      <c r="J90" s="327"/>
      <c r="K90" s="327"/>
      <c r="L90" s="325" t="s">
        <v>672</v>
      </c>
      <c r="M90" s="309" t="s">
        <v>667</v>
      </c>
      <c r="N90" s="328" t="s">
        <v>453</v>
      </c>
      <c r="O90" s="52"/>
    </row>
    <row r="91" ht="14.25" customHeight="1">
      <c r="A91" s="325">
        <v>89.0</v>
      </c>
      <c r="B91" s="317" t="s">
        <v>174</v>
      </c>
      <c r="C91" s="325" t="s">
        <v>466</v>
      </c>
      <c r="D91" s="325" t="s">
        <v>15</v>
      </c>
      <c r="E91" s="325" t="s">
        <v>665</v>
      </c>
      <c r="F91" s="326" t="s">
        <v>448</v>
      </c>
      <c r="G91" s="326"/>
      <c r="H91" s="52"/>
      <c r="I91" s="327">
        <v>45748.0</v>
      </c>
      <c r="J91" s="327"/>
      <c r="K91" s="327"/>
      <c r="L91" s="325" t="s">
        <v>670</v>
      </c>
      <c r="M91" s="309" t="s">
        <v>667</v>
      </c>
      <c r="N91" s="328" t="s">
        <v>453</v>
      </c>
      <c r="O91" s="52"/>
    </row>
    <row r="92" ht="14.25" customHeight="1">
      <c r="A92" s="325">
        <v>90.0</v>
      </c>
      <c r="B92" s="317" t="s">
        <v>136</v>
      </c>
      <c r="C92" s="325" t="s">
        <v>466</v>
      </c>
      <c r="D92" s="325" t="s">
        <v>34</v>
      </c>
      <c r="E92" s="325" t="s">
        <v>665</v>
      </c>
      <c r="F92" s="326" t="s">
        <v>448</v>
      </c>
      <c r="G92" s="326"/>
      <c r="H92" s="52"/>
      <c r="I92" s="327">
        <v>45748.0</v>
      </c>
      <c r="J92" s="327"/>
      <c r="K92" s="327"/>
      <c r="L92" s="325" t="s">
        <v>676</v>
      </c>
      <c r="M92" s="309" t="s">
        <v>667</v>
      </c>
      <c r="N92" s="320"/>
      <c r="O92" s="52"/>
    </row>
    <row r="93" ht="14.25" customHeight="1">
      <c r="A93" s="325">
        <v>91.0</v>
      </c>
      <c r="B93" s="317" t="s">
        <v>209</v>
      </c>
      <c r="C93" s="325" t="s">
        <v>466</v>
      </c>
      <c r="D93" s="325" t="s">
        <v>34</v>
      </c>
      <c r="E93" s="325" t="s">
        <v>665</v>
      </c>
      <c r="F93" s="326" t="s">
        <v>448</v>
      </c>
      <c r="G93" s="326"/>
      <c r="H93" s="52"/>
      <c r="I93" s="327">
        <v>45748.0</v>
      </c>
      <c r="J93" s="327"/>
      <c r="K93" s="327"/>
      <c r="L93" s="325" t="s">
        <v>672</v>
      </c>
      <c r="M93" s="309" t="s">
        <v>667</v>
      </c>
      <c r="N93" s="328" t="s">
        <v>453</v>
      </c>
      <c r="O93" s="52"/>
    </row>
    <row r="94" ht="14.25" customHeight="1">
      <c r="A94" s="325">
        <v>92.0</v>
      </c>
      <c r="B94" s="317" t="s">
        <v>253</v>
      </c>
      <c r="C94" s="325" t="s">
        <v>577</v>
      </c>
      <c r="D94" s="325" t="s">
        <v>34</v>
      </c>
      <c r="E94" s="325" t="s">
        <v>665</v>
      </c>
      <c r="F94" s="326" t="s">
        <v>448</v>
      </c>
      <c r="G94" s="326"/>
      <c r="H94" s="52"/>
      <c r="I94" s="327">
        <v>45748.0</v>
      </c>
      <c r="J94" s="327"/>
      <c r="K94" s="327"/>
      <c r="L94" s="325" t="s">
        <v>678</v>
      </c>
      <c r="M94" s="309" t="s">
        <v>667</v>
      </c>
      <c r="N94" s="328" t="s">
        <v>453</v>
      </c>
      <c r="O94" s="52"/>
    </row>
    <row r="95" ht="14.25" customHeight="1">
      <c r="A95" s="325">
        <v>93.0</v>
      </c>
      <c r="B95" s="317" t="s">
        <v>37</v>
      </c>
      <c r="C95" s="317" t="s">
        <v>466</v>
      </c>
      <c r="D95" s="325" t="s">
        <v>33</v>
      </c>
      <c r="E95" s="325" t="s">
        <v>669</v>
      </c>
      <c r="F95" s="326" t="s">
        <v>448</v>
      </c>
      <c r="G95" s="326"/>
      <c r="H95" s="52"/>
      <c r="I95" s="327">
        <v>45748.0</v>
      </c>
      <c r="J95" s="327"/>
      <c r="K95" s="327"/>
      <c r="L95" s="325" t="s">
        <v>677</v>
      </c>
      <c r="M95" s="309" t="s">
        <v>667</v>
      </c>
      <c r="N95" s="328" t="s">
        <v>453</v>
      </c>
      <c r="O95" s="52"/>
    </row>
    <row r="96" ht="14.25" customHeight="1">
      <c r="A96" s="325">
        <v>94.0</v>
      </c>
      <c r="B96" s="317" t="s">
        <v>178</v>
      </c>
      <c r="C96" s="325" t="s">
        <v>466</v>
      </c>
      <c r="D96" s="325" t="s">
        <v>35</v>
      </c>
      <c r="E96" s="325" t="s">
        <v>665</v>
      </c>
      <c r="F96" s="326" t="s">
        <v>448</v>
      </c>
      <c r="G96" s="326"/>
      <c r="H96" s="52"/>
      <c r="I96" s="327">
        <v>45748.0</v>
      </c>
      <c r="J96" s="327"/>
      <c r="K96" s="327"/>
      <c r="L96" s="325" t="s">
        <v>670</v>
      </c>
      <c r="M96" s="309" t="s">
        <v>667</v>
      </c>
      <c r="N96" s="320"/>
      <c r="O96" s="52"/>
    </row>
    <row r="97" ht="14.25" customHeight="1">
      <c r="A97" s="325">
        <v>95.0</v>
      </c>
      <c r="B97" s="329" t="s">
        <v>138</v>
      </c>
      <c r="C97" s="325" t="s">
        <v>466</v>
      </c>
      <c r="D97" s="325" t="s">
        <v>12</v>
      </c>
      <c r="E97" s="325" t="s">
        <v>665</v>
      </c>
      <c r="F97" s="326" t="s">
        <v>448</v>
      </c>
      <c r="G97" s="326"/>
      <c r="H97" s="52"/>
      <c r="I97" s="327">
        <v>45748.0</v>
      </c>
      <c r="J97" s="327"/>
      <c r="K97" s="327"/>
      <c r="L97" s="325" t="s">
        <v>676</v>
      </c>
      <c r="M97" s="309" t="s">
        <v>667</v>
      </c>
      <c r="N97" s="320"/>
      <c r="O97" s="52"/>
    </row>
    <row r="98" ht="14.25" customHeight="1">
      <c r="A98" s="325">
        <v>96.0</v>
      </c>
      <c r="B98" s="317" t="s">
        <v>48</v>
      </c>
      <c r="C98" s="317" t="s">
        <v>466</v>
      </c>
      <c r="D98" s="325" t="s">
        <v>33</v>
      </c>
      <c r="E98" s="325" t="s">
        <v>665</v>
      </c>
      <c r="F98" s="326" t="s">
        <v>448</v>
      </c>
      <c r="G98" s="326"/>
      <c r="H98" s="52"/>
      <c r="I98" s="327">
        <v>45748.0</v>
      </c>
      <c r="J98" s="327"/>
      <c r="K98" s="327"/>
      <c r="L98" s="325" t="s">
        <v>666</v>
      </c>
      <c r="M98" s="309" t="s">
        <v>667</v>
      </c>
      <c r="N98" s="328" t="s">
        <v>453</v>
      </c>
      <c r="O98" s="52"/>
    </row>
    <row r="99" ht="14.25" customHeight="1">
      <c r="A99" s="325">
        <v>97.0</v>
      </c>
      <c r="B99" s="317" t="s">
        <v>204</v>
      </c>
      <c r="C99" s="325" t="s">
        <v>466</v>
      </c>
      <c r="D99" s="325" t="s">
        <v>33</v>
      </c>
      <c r="E99" s="325" t="s">
        <v>665</v>
      </c>
      <c r="F99" s="326" t="s">
        <v>448</v>
      </c>
      <c r="G99" s="326"/>
      <c r="H99" s="52"/>
      <c r="I99" s="327">
        <v>45748.0</v>
      </c>
      <c r="J99" s="327"/>
      <c r="K99" s="327"/>
      <c r="L99" s="325" t="s">
        <v>668</v>
      </c>
      <c r="M99" s="309" t="s">
        <v>667</v>
      </c>
      <c r="N99" s="328" t="s">
        <v>453</v>
      </c>
      <c r="O99" s="52"/>
    </row>
    <row r="100" ht="14.25" customHeight="1">
      <c r="A100" s="325">
        <v>98.0</v>
      </c>
      <c r="B100" s="317" t="s">
        <v>208</v>
      </c>
      <c r="C100" s="325" t="s">
        <v>466</v>
      </c>
      <c r="D100" s="325" t="s">
        <v>11</v>
      </c>
      <c r="E100" s="325" t="s">
        <v>665</v>
      </c>
      <c r="F100" s="326" t="s">
        <v>448</v>
      </c>
      <c r="G100" s="326"/>
      <c r="H100" s="52"/>
      <c r="I100" s="327">
        <v>45748.0</v>
      </c>
      <c r="J100" s="327"/>
      <c r="K100" s="327"/>
      <c r="L100" s="325" t="s">
        <v>672</v>
      </c>
      <c r="M100" s="309" t="s">
        <v>667</v>
      </c>
      <c r="N100" s="328" t="s">
        <v>453</v>
      </c>
      <c r="O100" s="52"/>
    </row>
    <row r="101" ht="14.25" customHeight="1">
      <c r="A101" s="325">
        <v>99.0</v>
      </c>
      <c r="B101" s="317" t="s">
        <v>197</v>
      </c>
      <c r="C101" s="325" t="s">
        <v>466</v>
      </c>
      <c r="D101" s="325" t="s">
        <v>15</v>
      </c>
      <c r="E101" s="325" t="s">
        <v>669</v>
      </c>
      <c r="F101" s="326" t="s">
        <v>448</v>
      </c>
      <c r="G101" s="326"/>
      <c r="H101" s="52"/>
      <c r="I101" s="327">
        <v>45748.0</v>
      </c>
      <c r="J101" s="327"/>
      <c r="K101" s="327"/>
      <c r="L101" s="325" t="s">
        <v>678</v>
      </c>
      <c r="M101" s="309" t="s">
        <v>667</v>
      </c>
      <c r="N101" s="320"/>
      <c r="O101" s="52"/>
    </row>
    <row r="102" ht="14.25" customHeight="1">
      <c r="A102" s="325">
        <v>100.0</v>
      </c>
      <c r="B102" s="317" t="s">
        <v>179</v>
      </c>
      <c r="C102" s="325" t="s">
        <v>466</v>
      </c>
      <c r="D102" s="325" t="s">
        <v>35</v>
      </c>
      <c r="E102" s="325" t="s">
        <v>665</v>
      </c>
      <c r="F102" s="326" t="s">
        <v>448</v>
      </c>
      <c r="G102" s="326"/>
      <c r="H102" s="52"/>
      <c r="I102" s="327">
        <v>45748.0</v>
      </c>
      <c r="J102" s="327"/>
      <c r="K102" s="327"/>
      <c r="L102" s="325" t="s">
        <v>670</v>
      </c>
      <c r="M102" s="309" t="s">
        <v>667</v>
      </c>
      <c r="N102" s="320"/>
      <c r="O102" s="52"/>
    </row>
    <row r="103" ht="14.25" customHeight="1">
      <c r="A103" s="325">
        <v>101.0</v>
      </c>
      <c r="B103" s="52" t="s">
        <v>205</v>
      </c>
      <c r="C103" s="325" t="s">
        <v>466</v>
      </c>
      <c r="D103" s="52" t="s">
        <v>33</v>
      </c>
      <c r="E103" s="52" t="s">
        <v>665</v>
      </c>
      <c r="F103" s="326" t="s">
        <v>448</v>
      </c>
      <c r="G103" s="326"/>
      <c r="H103" s="52" t="s">
        <v>679</v>
      </c>
      <c r="I103" s="331" t="s">
        <v>680</v>
      </c>
      <c r="J103" s="332"/>
      <c r="K103" s="332"/>
      <c r="L103" s="52" t="s">
        <v>681</v>
      </c>
      <c r="M103" s="309" t="s">
        <v>667</v>
      </c>
      <c r="N103" s="320"/>
      <c r="O103" s="52"/>
    </row>
    <row r="104" ht="14.25" customHeight="1">
      <c r="A104" s="325">
        <v>102.0</v>
      </c>
      <c r="B104" s="305" t="s">
        <v>30</v>
      </c>
      <c r="C104" s="317" t="s">
        <v>466</v>
      </c>
      <c r="D104" s="52" t="s">
        <v>15</v>
      </c>
      <c r="E104" s="52" t="s">
        <v>665</v>
      </c>
      <c r="F104" s="326" t="s">
        <v>448</v>
      </c>
      <c r="G104" s="326"/>
      <c r="H104" s="52" t="s">
        <v>682</v>
      </c>
      <c r="I104" s="307">
        <v>45721.0</v>
      </c>
      <c r="J104" s="307"/>
      <c r="K104" s="307"/>
      <c r="L104" s="52" t="s">
        <v>683</v>
      </c>
      <c r="M104" s="309" t="s">
        <v>667</v>
      </c>
      <c r="N104" s="328" t="s">
        <v>453</v>
      </c>
      <c r="O104" s="52"/>
    </row>
    <row r="105" ht="14.25" customHeight="1">
      <c r="A105" s="325">
        <v>103.0</v>
      </c>
      <c r="B105" s="305" t="s">
        <v>173</v>
      </c>
      <c r="C105" s="325" t="s">
        <v>466</v>
      </c>
      <c r="D105" s="52" t="s">
        <v>35</v>
      </c>
      <c r="E105" s="52" t="s">
        <v>665</v>
      </c>
      <c r="F105" s="326" t="s">
        <v>448</v>
      </c>
      <c r="G105" s="326"/>
      <c r="H105" s="52" t="s">
        <v>682</v>
      </c>
      <c r="I105" s="307">
        <v>45721.0</v>
      </c>
      <c r="J105" s="307"/>
      <c r="K105" s="307"/>
      <c r="L105" s="52" t="s">
        <v>684</v>
      </c>
      <c r="M105" s="309" t="s">
        <v>667</v>
      </c>
      <c r="N105" s="328" t="s">
        <v>453</v>
      </c>
      <c r="O105" s="52"/>
    </row>
    <row r="106" ht="14.25" customHeight="1">
      <c r="A106" s="325">
        <v>104.0</v>
      </c>
      <c r="B106" s="305" t="s">
        <v>140</v>
      </c>
      <c r="C106" s="325" t="s">
        <v>466</v>
      </c>
      <c r="D106" s="52" t="s">
        <v>34</v>
      </c>
      <c r="E106" s="52" t="s">
        <v>665</v>
      </c>
      <c r="F106" s="326" t="s">
        <v>448</v>
      </c>
      <c r="G106" s="326"/>
      <c r="H106" s="310" t="s">
        <v>685</v>
      </c>
      <c r="I106" s="307">
        <v>45752.0</v>
      </c>
      <c r="J106" s="307"/>
      <c r="K106" s="307"/>
      <c r="L106" s="325" t="s">
        <v>676</v>
      </c>
      <c r="M106" s="309" t="s">
        <v>667</v>
      </c>
      <c r="N106" s="320"/>
      <c r="O106" s="52"/>
    </row>
    <row r="107" ht="14.25" customHeight="1">
      <c r="A107" s="325">
        <v>105.0</v>
      </c>
      <c r="B107" s="305" t="s">
        <v>181</v>
      </c>
      <c r="C107" s="325" t="s">
        <v>466</v>
      </c>
      <c r="D107" s="52" t="s">
        <v>35</v>
      </c>
      <c r="E107" s="52" t="s">
        <v>665</v>
      </c>
      <c r="F107" s="326" t="s">
        <v>448</v>
      </c>
      <c r="G107" s="326"/>
      <c r="H107" s="310" t="s">
        <v>686</v>
      </c>
      <c r="I107" s="307">
        <v>45782.0</v>
      </c>
      <c r="J107" s="307"/>
      <c r="K107" s="307"/>
      <c r="L107" s="52" t="s">
        <v>684</v>
      </c>
      <c r="M107" s="309" t="s">
        <v>667</v>
      </c>
      <c r="N107" s="328" t="s">
        <v>453</v>
      </c>
      <c r="O107" s="52"/>
    </row>
    <row r="108" ht="14.25" customHeight="1">
      <c r="A108" s="325">
        <v>106.0</v>
      </c>
      <c r="B108" s="52" t="s">
        <v>196</v>
      </c>
      <c r="C108" s="325" t="s">
        <v>466</v>
      </c>
      <c r="D108" s="52" t="s">
        <v>34</v>
      </c>
      <c r="E108" s="52" t="s">
        <v>675</v>
      </c>
      <c r="F108" s="326" t="s">
        <v>448</v>
      </c>
      <c r="G108" s="326"/>
      <c r="H108" s="307" t="s">
        <v>687</v>
      </c>
      <c r="I108" s="307">
        <v>45782.0</v>
      </c>
      <c r="J108" s="307"/>
      <c r="K108" s="307"/>
      <c r="L108" s="52" t="s">
        <v>688</v>
      </c>
      <c r="M108" s="309" t="s">
        <v>667</v>
      </c>
      <c r="N108" s="328" t="s">
        <v>453</v>
      </c>
      <c r="O108" s="52"/>
    </row>
    <row r="109" ht="14.25" customHeight="1">
      <c r="A109" s="325">
        <v>107.0</v>
      </c>
      <c r="B109" s="52" t="s">
        <v>206</v>
      </c>
      <c r="C109" s="325" t="s">
        <v>466</v>
      </c>
      <c r="D109" s="52" t="s">
        <v>34</v>
      </c>
      <c r="E109" s="52" t="s">
        <v>665</v>
      </c>
      <c r="F109" s="326" t="s">
        <v>448</v>
      </c>
      <c r="G109" s="326"/>
      <c r="H109" s="52" t="s">
        <v>679</v>
      </c>
      <c r="I109" s="307">
        <v>45782.0</v>
      </c>
      <c r="J109" s="307"/>
      <c r="K109" s="307"/>
      <c r="L109" s="52" t="s">
        <v>681</v>
      </c>
      <c r="M109" s="309" t="s">
        <v>667</v>
      </c>
      <c r="N109" s="320"/>
      <c r="O109" s="52"/>
    </row>
    <row r="110" ht="14.25" customHeight="1">
      <c r="A110" s="325">
        <v>108.0</v>
      </c>
      <c r="B110" s="52" t="s">
        <v>207</v>
      </c>
      <c r="C110" s="325" t="s">
        <v>466</v>
      </c>
      <c r="D110" s="52" t="s">
        <v>12</v>
      </c>
      <c r="E110" s="52" t="s">
        <v>669</v>
      </c>
      <c r="F110" s="326" t="s">
        <v>448</v>
      </c>
      <c r="G110" s="326"/>
      <c r="H110" s="52" t="s">
        <v>689</v>
      </c>
      <c r="I110" s="307">
        <v>45782.0</v>
      </c>
      <c r="J110" s="307"/>
      <c r="K110" s="307"/>
      <c r="L110" s="52" t="s">
        <v>690</v>
      </c>
      <c r="M110" s="309" t="s">
        <v>667</v>
      </c>
      <c r="N110" s="328" t="s">
        <v>453</v>
      </c>
      <c r="O110" s="52"/>
    </row>
    <row r="111" ht="14.25" customHeight="1">
      <c r="A111" s="325">
        <v>109.0</v>
      </c>
      <c r="B111" s="305" t="s">
        <v>40</v>
      </c>
      <c r="C111" s="317" t="s">
        <v>466</v>
      </c>
      <c r="D111" s="52" t="s">
        <v>33</v>
      </c>
      <c r="E111" s="52" t="s">
        <v>669</v>
      </c>
      <c r="F111" s="326" t="s">
        <v>448</v>
      </c>
      <c r="G111" s="326"/>
      <c r="H111" s="52"/>
      <c r="I111" s="307">
        <v>45783.0</v>
      </c>
      <c r="J111" s="307"/>
      <c r="K111" s="307"/>
      <c r="L111" s="52" t="s">
        <v>683</v>
      </c>
      <c r="M111" s="309" t="s">
        <v>667</v>
      </c>
      <c r="N111" s="320"/>
      <c r="O111" s="52"/>
    </row>
    <row r="112" ht="14.25" customHeight="1">
      <c r="A112" s="325">
        <v>110.0</v>
      </c>
      <c r="B112" s="305" t="s">
        <v>46</v>
      </c>
      <c r="C112" s="317" t="s">
        <v>466</v>
      </c>
      <c r="D112" s="52" t="s">
        <v>35</v>
      </c>
      <c r="E112" s="52" t="s">
        <v>665</v>
      </c>
      <c r="F112" s="326" t="s">
        <v>448</v>
      </c>
      <c r="G112" s="326"/>
      <c r="H112" s="52"/>
      <c r="I112" s="307">
        <v>45784.0</v>
      </c>
      <c r="J112" s="307"/>
      <c r="K112" s="307"/>
      <c r="L112" s="325" t="s">
        <v>666</v>
      </c>
      <c r="M112" s="309" t="s">
        <v>667</v>
      </c>
      <c r="N112" s="320"/>
      <c r="O112" s="52"/>
    </row>
    <row r="113" ht="14.25" customHeight="1">
      <c r="A113" s="325">
        <v>111.0</v>
      </c>
      <c r="B113" s="305" t="s">
        <v>129</v>
      </c>
      <c r="C113" s="325" t="s">
        <v>466</v>
      </c>
      <c r="D113" s="52" t="s">
        <v>15</v>
      </c>
      <c r="E113" s="52" t="s">
        <v>665</v>
      </c>
      <c r="F113" s="326" t="s">
        <v>448</v>
      </c>
      <c r="G113" s="326"/>
      <c r="H113" s="52"/>
      <c r="I113" s="307">
        <v>45785.0</v>
      </c>
      <c r="J113" s="307"/>
      <c r="K113" s="307"/>
      <c r="L113" s="325" t="s">
        <v>676</v>
      </c>
      <c r="M113" s="309" t="s">
        <v>667</v>
      </c>
      <c r="N113" s="328" t="s">
        <v>453</v>
      </c>
      <c r="O113" s="52"/>
    </row>
    <row r="114" ht="14.25" customHeight="1">
      <c r="A114" s="325">
        <v>112.0</v>
      </c>
      <c r="B114" s="52" t="s">
        <v>198</v>
      </c>
      <c r="C114" s="325" t="s">
        <v>466</v>
      </c>
      <c r="D114" s="52" t="s">
        <v>12</v>
      </c>
      <c r="E114" s="52" t="s">
        <v>675</v>
      </c>
      <c r="F114" s="326" t="s">
        <v>448</v>
      </c>
      <c r="G114" s="326"/>
      <c r="H114" s="52"/>
      <c r="I114" s="307">
        <v>45785.0</v>
      </c>
      <c r="J114" s="307"/>
      <c r="K114" s="307"/>
      <c r="L114" s="325" t="s">
        <v>678</v>
      </c>
      <c r="M114" s="309" t="s">
        <v>667</v>
      </c>
      <c r="N114" s="328" t="s">
        <v>453</v>
      </c>
      <c r="O114" s="52"/>
    </row>
    <row r="115" ht="14.25" customHeight="1">
      <c r="A115" s="325">
        <v>113.0</v>
      </c>
      <c r="B115" s="305" t="s">
        <v>189</v>
      </c>
      <c r="C115" s="325" t="s">
        <v>466</v>
      </c>
      <c r="D115" s="52" t="s">
        <v>35</v>
      </c>
      <c r="E115" s="52" t="s">
        <v>665</v>
      </c>
      <c r="F115" s="326" t="s">
        <v>448</v>
      </c>
      <c r="G115" s="326"/>
      <c r="H115" s="52"/>
      <c r="I115" s="307">
        <v>45785.0</v>
      </c>
      <c r="J115" s="307"/>
      <c r="K115" s="307"/>
      <c r="L115" s="52" t="s">
        <v>684</v>
      </c>
      <c r="M115" s="309" t="s">
        <v>667</v>
      </c>
      <c r="N115" s="328" t="s">
        <v>453</v>
      </c>
      <c r="O115" s="52"/>
    </row>
    <row r="116" ht="14.25" customHeight="1">
      <c r="A116" s="325">
        <v>114.0</v>
      </c>
      <c r="B116" s="52" t="s">
        <v>203</v>
      </c>
      <c r="C116" s="325" t="s">
        <v>466</v>
      </c>
      <c r="D116" s="52" t="s">
        <v>33</v>
      </c>
      <c r="E116" s="52" t="s">
        <v>665</v>
      </c>
      <c r="F116" s="326" t="s">
        <v>448</v>
      </c>
      <c r="G116" s="326"/>
      <c r="H116" s="52"/>
      <c r="I116" s="307">
        <v>45786.0</v>
      </c>
      <c r="J116" s="307"/>
      <c r="K116" s="307"/>
      <c r="L116" s="52" t="s">
        <v>690</v>
      </c>
      <c r="M116" s="309" t="s">
        <v>667</v>
      </c>
      <c r="N116" s="328" t="s">
        <v>453</v>
      </c>
      <c r="O116" s="52"/>
    </row>
    <row r="117" ht="14.25" customHeight="1">
      <c r="A117" s="325">
        <v>115.0</v>
      </c>
      <c r="B117" s="305" t="s">
        <v>38</v>
      </c>
      <c r="C117" s="317" t="s">
        <v>466</v>
      </c>
      <c r="D117" s="52" t="s">
        <v>34</v>
      </c>
      <c r="E117" s="52" t="s">
        <v>669</v>
      </c>
      <c r="F117" s="326" t="s">
        <v>448</v>
      </c>
      <c r="G117" s="326"/>
      <c r="H117" s="52"/>
      <c r="I117" s="307">
        <v>45786.0</v>
      </c>
      <c r="J117" s="307"/>
      <c r="K117" s="307"/>
      <c r="L117" s="52" t="s">
        <v>683</v>
      </c>
      <c r="M117" s="309" t="s">
        <v>667</v>
      </c>
      <c r="N117" s="328" t="s">
        <v>453</v>
      </c>
      <c r="O117" s="52"/>
    </row>
    <row r="118" ht="14.25" customHeight="1">
      <c r="A118" s="325">
        <v>116.0</v>
      </c>
      <c r="B118" s="52" t="s">
        <v>190</v>
      </c>
      <c r="C118" s="325" t="s">
        <v>466</v>
      </c>
      <c r="D118" s="52" t="s">
        <v>33</v>
      </c>
      <c r="E118" s="52" t="s">
        <v>665</v>
      </c>
      <c r="F118" s="326" t="s">
        <v>448</v>
      </c>
      <c r="G118" s="326"/>
      <c r="H118" s="52"/>
      <c r="I118" s="307">
        <v>45787.0</v>
      </c>
      <c r="J118" s="307"/>
      <c r="K118" s="307"/>
      <c r="L118" s="52" t="s">
        <v>684</v>
      </c>
      <c r="M118" s="309" t="s">
        <v>667</v>
      </c>
      <c r="N118" s="328" t="s">
        <v>453</v>
      </c>
      <c r="O118" s="52"/>
    </row>
    <row r="119" ht="14.25" customHeight="1">
      <c r="A119" s="325">
        <v>117.0</v>
      </c>
      <c r="B119" s="52" t="s">
        <v>216</v>
      </c>
      <c r="C119" s="325" t="s">
        <v>466</v>
      </c>
      <c r="D119" s="52" t="s">
        <v>34</v>
      </c>
      <c r="E119" s="52" t="s">
        <v>665</v>
      </c>
      <c r="F119" s="326" t="s">
        <v>448</v>
      </c>
      <c r="G119" s="326"/>
      <c r="H119" s="52"/>
      <c r="I119" s="307">
        <v>45788.0</v>
      </c>
      <c r="J119" s="307"/>
      <c r="K119" s="307"/>
      <c r="L119" s="52" t="s">
        <v>681</v>
      </c>
      <c r="M119" s="309" t="s">
        <v>667</v>
      </c>
      <c r="N119" s="328" t="s">
        <v>453</v>
      </c>
      <c r="O119" s="52"/>
    </row>
    <row r="120" ht="14.25" customHeight="1">
      <c r="A120" s="325">
        <v>118.0</v>
      </c>
      <c r="B120" s="305" t="s">
        <v>130</v>
      </c>
      <c r="C120" s="325" t="s">
        <v>466</v>
      </c>
      <c r="D120" s="52" t="s">
        <v>15</v>
      </c>
      <c r="E120" s="52" t="s">
        <v>665</v>
      </c>
      <c r="F120" s="326" t="s">
        <v>448</v>
      </c>
      <c r="G120" s="326"/>
      <c r="H120" s="52"/>
      <c r="I120" s="307">
        <v>45789.0</v>
      </c>
      <c r="J120" s="307"/>
      <c r="K120" s="307"/>
      <c r="L120" s="52" t="s">
        <v>691</v>
      </c>
      <c r="M120" s="309" t="s">
        <v>667</v>
      </c>
      <c r="N120" s="328" t="s">
        <v>453</v>
      </c>
      <c r="O120" s="52"/>
    </row>
    <row r="121" ht="14.25" customHeight="1">
      <c r="A121" s="325">
        <v>119.0</v>
      </c>
      <c r="B121" s="305" t="s">
        <v>39</v>
      </c>
      <c r="C121" s="317" t="s">
        <v>466</v>
      </c>
      <c r="D121" s="52" t="s">
        <v>35</v>
      </c>
      <c r="E121" s="52" t="s">
        <v>669</v>
      </c>
      <c r="F121" s="326" t="s">
        <v>448</v>
      </c>
      <c r="G121" s="326"/>
      <c r="H121" s="52"/>
      <c r="I121" s="307">
        <v>45790.0</v>
      </c>
      <c r="J121" s="307"/>
      <c r="K121" s="307"/>
      <c r="L121" s="52" t="s">
        <v>683</v>
      </c>
      <c r="M121" s="309" t="s">
        <v>667</v>
      </c>
      <c r="N121" s="328" t="s">
        <v>453</v>
      </c>
      <c r="O121" s="52"/>
    </row>
    <row r="122" ht="14.25" customHeight="1">
      <c r="A122" s="325">
        <v>120.0</v>
      </c>
      <c r="B122" s="52" t="s">
        <v>215</v>
      </c>
      <c r="C122" s="325" t="s">
        <v>466</v>
      </c>
      <c r="D122" s="52" t="s">
        <v>15</v>
      </c>
      <c r="E122" s="52" t="s">
        <v>665</v>
      </c>
      <c r="F122" s="326" t="s">
        <v>448</v>
      </c>
      <c r="G122" s="326"/>
      <c r="H122" s="52"/>
      <c r="I122" s="307">
        <v>45790.0</v>
      </c>
      <c r="J122" s="307"/>
      <c r="K122" s="307"/>
      <c r="L122" s="52" t="s">
        <v>681</v>
      </c>
      <c r="M122" s="309" t="s">
        <v>667</v>
      </c>
      <c r="N122" s="328" t="s">
        <v>453</v>
      </c>
      <c r="O122" s="52"/>
    </row>
    <row r="123" ht="14.25" customHeight="1">
      <c r="A123" s="325">
        <v>121.0</v>
      </c>
      <c r="B123" s="52" t="s">
        <v>191</v>
      </c>
      <c r="C123" s="325" t="s">
        <v>466</v>
      </c>
      <c r="D123" s="52" t="s">
        <v>35</v>
      </c>
      <c r="E123" s="52" t="s">
        <v>665</v>
      </c>
      <c r="F123" s="326" t="s">
        <v>448</v>
      </c>
      <c r="G123" s="326"/>
      <c r="H123" s="52"/>
      <c r="I123" s="307">
        <v>45792.0</v>
      </c>
      <c r="J123" s="307"/>
      <c r="K123" s="307"/>
      <c r="L123" s="52" t="s">
        <v>684</v>
      </c>
      <c r="M123" s="309" t="s">
        <v>667</v>
      </c>
      <c r="N123" s="328" t="s">
        <v>453</v>
      </c>
      <c r="O123" s="52"/>
    </row>
    <row r="124" ht="14.25" customHeight="1">
      <c r="A124" s="325">
        <v>122.0</v>
      </c>
      <c r="B124" s="305" t="s">
        <v>44</v>
      </c>
      <c r="C124" s="317" t="s">
        <v>466</v>
      </c>
      <c r="D124" s="52" t="s">
        <v>11</v>
      </c>
      <c r="E124" s="52" t="s">
        <v>665</v>
      </c>
      <c r="F124" s="326" t="s">
        <v>448</v>
      </c>
      <c r="G124" s="326"/>
      <c r="H124" s="307">
        <v>45792.0</v>
      </c>
      <c r="I124" s="307">
        <v>45793.0</v>
      </c>
      <c r="J124" s="307"/>
      <c r="K124" s="307"/>
      <c r="L124" s="325" t="s">
        <v>666</v>
      </c>
      <c r="M124" s="309" t="s">
        <v>667</v>
      </c>
      <c r="N124" s="328" t="s">
        <v>453</v>
      </c>
      <c r="O124" s="52"/>
    </row>
    <row r="125" ht="14.25" customHeight="1">
      <c r="A125" s="325">
        <v>123.0</v>
      </c>
      <c r="B125" s="52" t="s">
        <v>213</v>
      </c>
      <c r="C125" s="325" t="s">
        <v>466</v>
      </c>
      <c r="D125" s="52" t="s">
        <v>15</v>
      </c>
      <c r="E125" s="52" t="s">
        <v>665</v>
      </c>
      <c r="F125" s="326" t="s">
        <v>448</v>
      </c>
      <c r="G125" s="326"/>
      <c r="H125" s="52"/>
      <c r="I125" s="307">
        <v>45794.0</v>
      </c>
      <c r="J125" s="307"/>
      <c r="K125" s="307"/>
      <c r="L125" s="52" t="s">
        <v>681</v>
      </c>
      <c r="M125" s="309" t="s">
        <v>667</v>
      </c>
      <c r="N125" s="328" t="s">
        <v>453</v>
      </c>
      <c r="O125" s="52"/>
    </row>
    <row r="126" ht="14.25" customHeight="1">
      <c r="A126" s="325">
        <v>124.0</v>
      </c>
      <c r="B126" s="52" t="s">
        <v>220</v>
      </c>
      <c r="C126" s="325" t="s">
        <v>466</v>
      </c>
      <c r="D126" s="52" t="s">
        <v>33</v>
      </c>
      <c r="E126" s="52" t="s">
        <v>669</v>
      </c>
      <c r="F126" s="326" t="s">
        <v>448</v>
      </c>
      <c r="G126" s="326"/>
      <c r="H126" s="307">
        <v>45791.0</v>
      </c>
      <c r="I126" s="307">
        <v>45796.0</v>
      </c>
      <c r="J126" s="307"/>
      <c r="K126" s="307"/>
      <c r="L126" s="52" t="s">
        <v>690</v>
      </c>
      <c r="M126" s="309" t="s">
        <v>667</v>
      </c>
      <c r="N126" s="328" t="s">
        <v>453</v>
      </c>
      <c r="O126" s="52"/>
    </row>
    <row r="127" ht="14.25" customHeight="1">
      <c r="A127" s="325">
        <v>125.0</v>
      </c>
      <c r="B127" s="305" t="s">
        <v>282</v>
      </c>
      <c r="C127" s="325" t="s">
        <v>577</v>
      </c>
      <c r="D127" s="52" t="s">
        <v>33</v>
      </c>
      <c r="E127" s="52" t="s">
        <v>665</v>
      </c>
      <c r="F127" s="326" t="s">
        <v>448</v>
      </c>
      <c r="G127" s="326"/>
      <c r="H127" s="52" t="s">
        <v>692</v>
      </c>
      <c r="I127" s="52" t="s">
        <v>693</v>
      </c>
      <c r="J127" s="52"/>
      <c r="K127" s="52"/>
      <c r="L127" s="325" t="s">
        <v>678</v>
      </c>
      <c r="M127" s="309" t="s">
        <v>667</v>
      </c>
      <c r="N127" s="328" t="s">
        <v>453</v>
      </c>
      <c r="O127" s="52"/>
    </row>
    <row r="128" ht="14.25" customHeight="1">
      <c r="A128" s="325">
        <v>126.0</v>
      </c>
      <c r="B128" s="305" t="s">
        <v>298</v>
      </c>
      <c r="C128" s="305" t="s">
        <v>454</v>
      </c>
      <c r="D128" s="52" t="s">
        <v>12</v>
      </c>
      <c r="E128" s="52" t="s">
        <v>665</v>
      </c>
      <c r="F128" s="326" t="s">
        <v>448</v>
      </c>
      <c r="G128" s="326"/>
      <c r="H128" s="307" t="s">
        <v>694</v>
      </c>
      <c r="I128" s="52" t="s">
        <v>693</v>
      </c>
      <c r="J128" s="52"/>
      <c r="K128" s="52"/>
      <c r="L128" s="52" t="s">
        <v>683</v>
      </c>
      <c r="M128" s="309" t="s">
        <v>667</v>
      </c>
      <c r="N128" s="328" t="s">
        <v>453</v>
      </c>
      <c r="O128" s="52"/>
    </row>
    <row r="129" ht="14.25" customHeight="1">
      <c r="A129" s="325">
        <v>127.0</v>
      </c>
      <c r="B129" s="305" t="s">
        <v>193</v>
      </c>
      <c r="C129" s="325" t="s">
        <v>466</v>
      </c>
      <c r="D129" s="52" t="s">
        <v>695</v>
      </c>
      <c r="E129" s="52" t="s">
        <v>665</v>
      </c>
      <c r="F129" s="326" t="s">
        <v>448</v>
      </c>
      <c r="G129" s="326"/>
      <c r="H129" s="333" t="s">
        <v>696</v>
      </c>
      <c r="I129" s="307" t="s">
        <v>697</v>
      </c>
      <c r="J129" s="307"/>
      <c r="K129" s="307"/>
      <c r="L129" s="52" t="s">
        <v>684</v>
      </c>
      <c r="M129" s="309" t="s">
        <v>667</v>
      </c>
      <c r="N129" s="328" t="s">
        <v>453</v>
      </c>
      <c r="O129" s="52"/>
    </row>
    <row r="130" ht="14.25" customHeight="1">
      <c r="A130" s="325">
        <v>128.0</v>
      </c>
      <c r="B130" s="52" t="s">
        <v>192</v>
      </c>
      <c r="C130" s="325" t="s">
        <v>466</v>
      </c>
      <c r="D130" s="52" t="s">
        <v>33</v>
      </c>
      <c r="E130" s="52" t="s">
        <v>665</v>
      </c>
      <c r="F130" s="326" t="s">
        <v>448</v>
      </c>
      <c r="G130" s="326"/>
      <c r="H130" s="52" t="s">
        <v>698</v>
      </c>
      <c r="I130" s="52" t="s">
        <v>699</v>
      </c>
      <c r="J130" s="52"/>
      <c r="K130" s="52"/>
      <c r="L130" s="52" t="s">
        <v>684</v>
      </c>
      <c r="M130" s="309" t="s">
        <v>667</v>
      </c>
      <c r="N130" s="328" t="s">
        <v>453</v>
      </c>
      <c r="O130" s="52"/>
    </row>
    <row r="131" ht="14.25" customHeight="1">
      <c r="A131" s="325">
        <v>129.0</v>
      </c>
      <c r="B131" s="52" t="s">
        <v>307</v>
      </c>
      <c r="C131" s="305" t="s">
        <v>454</v>
      </c>
      <c r="D131" s="52" t="s">
        <v>15</v>
      </c>
      <c r="E131" s="52" t="s">
        <v>665</v>
      </c>
      <c r="F131" s="326" t="s">
        <v>448</v>
      </c>
      <c r="G131" s="326"/>
      <c r="H131" s="52" t="s">
        <v>692</v>
      </c>
      <c r="I131" s="52" t="s">
        <v>700</v>
      </c>
      <c r="J131" s="52"/>
      <c r="K131" s="52"/>
      <c r="L131" s="52" t="s">
        <v>691</v>
      </c>
      <c r="M131" s="309" t="s">
        <v>667</v>
      </c>
      <c r="N131" s="328" t="s">
        <v>453</v>
      </c>
      <c r="O131" s="52"/>
    </row>
    <row r="132" ht="14.25" customHeight="1">
      <c r="A132" s="325">
        <v>130.0</v>
      </c>
      <c r="B132" s="52" t="s">
        <v>285</v>
      </c>
      <c r="C132" s="305" t="s">
        <v>454</v>
      </c>
      <c r="D132" s="52" t="s">
        <v>12</v>
      </c>
      <c r="E132" s="52" t="s">
        <v>665</v>
      </c>
      <c r="F132" s="326" t="s">
        <v>448</v>
      </c>
      <c r="G132" s="326"/>
      <c r="H132" s="52" t="s">
        <v>693</v>
      </c>
      <c r="I132" s="307" t="s">
        <v>701</v>
      </c>
      <c r="J132" s="307"/>
      <c r="K132" s="307"/>
      <c r="L132" s="325" t="s">
        <v>678</v>
      </c>
      <c r="M132" s="309" t="s">
        <v>667</v>
      </c>
      <c r="N132" s="328" t="s">
        <v>453</v>
      </c>
      <c r="O132" s="52"/>
    </row>
    <row r="133" ht="14.25" customHeight="1">
      <c r="A133" s="325">
        <v>131.0</v>
      </c>
      <c r="B133" s="305" t="s">
        <v>42</v>
      </c>
      <c r="C133" s="317" t="s">
        <v>466</v>
      </c>
      <c r="D133" s="52" t="s">
        <v>15</v>
      </c>
      <c r="E133" s="52" t="s">
        <v>669</v>
      </c>
      <c r="F133" s="326" t="s">
        <v>448</v>
      </c>
      <c r="G133" s="326"/>
      <c r="H133" s="52" t="s">
        <v>693</v>
      </c>
      <c r="I133" s="307" t="s">
        <v>701</v>
      </c>
      <c r="J133" s="307"/>
      <c r="K133" s="307"/>
      <c r="L133" s="52" t="s">
        <v>681</v>
      </c>
      <c r="M133" s="309" t="s">
        <v>667</v>
      </c>
      <c r="N133" s="320"/>
      <c r="O133" s="52"/>
    </row>
    <row r="134" ht="14.25" customHeight="1">
      <c r="A134" s="325">
        <v>132.0</v>
      </c>
      <c r="B134" s="52" t="s">
        <v>219</v>
      </c>
      <c r="C134" s="325" t="s">
        <v>466</v>
      </c>
      <c r="D134" s="52" t="s">
        <v>15</v>
      </c>
      <c r="E134" s="52" t="s">
        <v>665</v>
      </c>
      <c r="F134" s="326" t="s">
        <v>448</v>
      </c>
      <c r="G134" s="326"/>
      <c r="H134" s="52" t="s">
        <v>702</v>
      </c>
      <c r="I134" s="52" t="s">
        <v>703</v>
      </c>
      <c r="J134" s="52"/>
      <c r="K134" s="52"/>
      <c r="L134" s="52" t="s">
        <v>690</v>
      </c>
      <c r="M134" s="309" t="s">
        <v>667</v>
      </c>
      <c r="N134" s="328" t="s">
        <v>453</v>
      </c>
      <c r="O134" s="52"/>
    </row>
    <row r="135" ht="14.25" customHeight="1">
      <c r="A135" s="325">
        <v>133.0</v>
      </c>
      <c r="B135" s="52" t="s">
        <v>300</v>
      </c>
      <c r="C135" s="305" t="s">
        <v>454</v>
      </c>
      <c r="D135" s="52" t="s">
        <v>34</v>
      </c>
      <c r="E135" s="52" t="s">
        <v>669</v>
      </c>
      <c r="F135" s="326" t="s">
        <v>448</v>
      </c>
      <c r="G135" s="326"/>
      <c r="H135" s="52" t="s">
        <v>702</v>
      </c>
      <c r="I135" s="52" t="s">
        <v>703</v>
      </c>
      <c r="J135" s="52"/>
      <c r="K135" s="52"/>
      <c r="L135" s="52" t="s">
        <v>683</v>
      </c>
      <c r="M135" s="309" t="s">
        <v>667</v>
      </c>
      <c r="N135" s="328" t="s">
        <v>453</v>
      </c>
      <c r="O135" s="52"/>
    </row>
    <row r="136" ht="14.25" customHeight="1">
      <c r="A136" s="325">
        <v>134.0</v>
      </c>
      <c r="B136" s="52" t="s">
        <v>306</v>
      </c>
      <c r="C136" s="305" t="s">
        <v>454</v>
      </c>
      <c r="D136" s="52" t="s">
        <v>33</v>
      </c>
      <c r="E136" s="52" t="s">
        <v>665</v>
      </c>
      <c r="F136" s="326" t="s">
        <v>448</v>
      </c>
      <c r="G136" s="326"/>
      <c r="H136" s="52" t="s">
        <v>704</v>
      </c>
      <c r="I136" s="52" t="s">
        <v>705</v>
      </c>
      <c r="J136" s="52"/>
      <c r="K136" s="52"/>
      <c r="L136" s="52" t="s">
        <v>691</v>
      </c>
      <c r="M136" s="309" t="s">
        <v>667</v>
      </c>
      <c r="N136" s="328" t="s">
        <v>453</v>
      </c>
      <c r="O136" s="52"/>
    </row>
    <row r="137" ht="14.25" customHeight="1">
      <c r="A137" s="325">
        <v>135.0</v>
      </c>
      <c r="B137" s="52" t="s">
        <v>188</v>
      </c>
      <c r="C137" s="325" t="s">
        <v>466</v>
      </c>
      <c r="D137" s="52" t="s">
        <v>706</v>
      </c>
      <c r="E137" s="52" t="s">
        <v>665</v>
      </c>
      <c r="F137" s="326" t="s">
        <v>448</v>
      </c>
      <c r="G137" s="326"/>
      <c r="H137" s="52" t="s">
        <v>707</v>
      </c>
      <c r="I137" s="52" t="s">
        <v>708</v>
      </c>
      <c r="J137" s="52"/>
      <c r="K137" s="52"/>
      <c r="L137" s="52" t="s">
        <v>684</v>
      </c>
      <c r="M137" s="309" t="s">
        <v>667</v>
      </c>
      <c r="N137" s="328" t="s">
        <v>453</v>
      </c>
      <c r="O137" s="52"/>
    </row>
    <row r="138" ht="14.25" customHeight="1">
      <c r="A138" s="325">
        <v>136.0</v>
      </c>
      <c r="B138" s="305" t="s">
        <v>41</v>
      </c>
      <c r="C138" s="317" t="s">
        <v>466</v>
      </c>
      <c r="D138" s="52" t="s">
        <v>709</v>
      </c>
      <c r="E138" s="52" t="s">
        <v>669</v>
      </c>
      <c r="F138" s="326" t="s">
        <v>448</v>
      </c>
      <c r="G138" s="326"/>
      <c r="H138" s="52" t="s">
        <v>707</v>
      </c>
      <c r="I138" s="52" t="s">
        <v>708</v>
      </c>
      <c r="J138" s="52"/>
      <c r="K138" s="52"/>
      <c r="L138" s="52" t="s">
        <v>681</v>
      </c>
      <c r="M138" s="309" t="s">
        <v>667</v>
      </c>
      <c r="N138" s="320"/>
      <c r="O138" s="52"/>
    </row>
    <row r="139" ht="14.25" customHeight="1">
      <c r="A139" s="325">
        <v>137.0</v>
      </c>
      <c r="B139" s="305" t="s">
        <v>299</v>
      </c>
      <c r="C139" s="305" t="s">
        <v>454</v>
      </c>
      <c r="D139" s="52" t="s">
        <v>33</v>
      </c>
      <c r="E139" s="52" t="s">
        <v>665</v>
      </c>
      <c r="F139" s="326" t="s">
        <v>448</v>
      </c>
      <c r="G139" s="326"/>
      <c r="H139" s="52"/>
      <c r="I139" s="307">
        <v>45803.0</v>
      </c>
      <c r="J139" s="307"/>
      <c r="K139" s="307"/>
      <c r="L139" s="52" t="s">
        <v>683</v>
      </c>
      <c r="M139" s="309" t="s">
        <v>667</v>
      </c>
      <c r="N139" s="328" t="s">
        <v>453</v>
      </c>
      <c r="O139" s="52"/>
    </row>
    <row r="140" ht="14.25" customHeight="1">
      <c r="A140" s="325">
        <v>138.0</v>
      </c>
      <c r="B140" s="52" t="s">
        <v>278</v>
      </c>
      <c r="C140" s="325" t="s">
        <v>577</v>
      </c>
      <c r="D140" s="52" t="s">
        <v>710</v>
      </c>
      <c r="E140" s="52" t="s">
        <v>665</v>
      </c>
      <c r="F140" s="326" t="s">
        <v>448</v>
      </c>
      <c r="G140" s="326"/>
      <c r="H140" s="52" t="s">
        <v>707</v>
      </c>
      <c r="I140" s="52" t="s">
        <v>711</v>
      </c>
      <c r="J140" s="52"/>
      <c r="K140" s="52"/>
      <c r="L140" s="325" t="s">
        <v>678</v>
      </c>
      <c r="M140" s="309" t="s">
        <v>667</v>
      </c>
      <c r="N140" s="328" t="s">
        <v>453</v>
      </c>
      <c r="O140" s="52"/>
    </row>
    <row r="141" ht="14.25" customHeight="1">
      <c r="A141" s="325">
        <v>139.0</v>
      </c>
      <c r="B141" s="305" t="s">
        <v>308</v>
      </c>
      <c r="C141" s="305" t="s">
        <v>454</v>
      </c>
      <c r="D141" s="52" t="s">
        <v>15</v>
      </c>
      <c r="E141" s="52" t="s">
        <v>665</v>
      </c>
      <c r="F141" s="326" t="s">
        <v>448</v>
      </c>
      <c r="G141" s="326"/>
      <c r="H141" s="52"/>
      <c r="I141" s="52" t="s">
        <v>712</v>
      </c>
      <c r="J141" s="52"/>
      <c r="K141" s="52"/>
      <c r="L141" s="52" t="s">
        <v>691</v>
      </c>
      <c r="M141" s="309" t="s">
        <v>667</v>
      </c>
      <c r="N141" s="328" t="s">
        <v>453</v>
      </c>
      <c r="O141" s="52"/>
    </row>
    <row r="142" ht="14.25" customHeight="1">
      <c r="A142" s="325">
        <v>140.0</v>
      </c>
      <c r="B142" s="305" t="s">
        <v>85</v>
      </c>
      <c r="C142" s="325" t="s">
        <v>466</v>
      </c>
      <c r="D142" s="52" t="s">
        <v>51</v>
      </c>
      <c r="E142" s="52" t="s">
        <v>665</v>
      </c>
      <c r="F142" s="326" t="s">
        <v>448</v>
      </c>
      <c r="G142" s="326"/>
      <c r="H142" s="52"/>
      <c r="I142" s="52" t="s">
        <v>713</v>
      </c>
      <c r="J142" s="52"/>
      <c r="K142" s="52"/>
      <c r="L142" s="52" t="s">
        <v>681</v>
      </c>
      <c r="M142" s="309" t="s">
        <v>667</v>
      </c>
      <c r="N142" s="328" t="s">
        <v>453</v>
      </c>
      <c r="O142" s="52"/>
    </row>
    <row r="143" ht="14.25" customHeight="1">
      <c r="A143" s="325">
        <v>141.0</v>
      </c>
      <c r="B143" s="305" t="s">
        <v>221</v>
      </c>
      <c r="C143" s="325" t="s">
        <v>466</v>
      </c>
      <c r="D143" s="52" t="s">
        <v>12</v>
      </c>
      <c r="E143" s="52" t="s">
        <v>669</v>
      </c>
      <c r="F143" s="326" t="s">
        <v>448</v>
      </c>
      <c r="G143" s="326"/>
      <c r="H143" s="52"/>
      <c r="I143" s="307">
        <v>45806.0</v>
      </c>
      <c r="J143" s="307"/>
      <c r="K143" s="307"/>
      <c r="L143" s="52" t="s">
        <v>690</v>
      </c>
      <c r="M143" s="309" t="s">
        <v>667</v>
      </c>
      <c r="N143" s="328" t="s">
        <v>453</v>
      </c>
      <c r="O143" s="52"/>
    </row>
    <row r="144" ht="14.25" customHeight="1">
      <c r="A144" s="325">
        <v>142.0</v>
      </c>
      <c r="B144" s="52" t="s">
        <v>288</v>
      </c>
      <c r="C144" s="305" t="s">
        <v>454</v>
      </c>
      <c r="D144" s="52" t="s">
        <v>11</v>
      </c>
      <c r="E144" s="52" t="s">
        <v>714</v>
      </c>
      <c r="F144" s="326" t="s">
        <v>448</v>
      </c>
      <c r="G144" s="326"/>
      <c r="H144" s="52"/>
      <c r="I144" s="307">
        <v>45806.0</v>
      </c>
      <c r="J144" s="307"/>
      <c r="K144" s="307"/>
      <c r="L144" s="325" t="s">
        <v>678</v>
      </c>
      <c r="M144" s="309" t="s">
        <v>667</v>
      </c>
      <c r="N144" s="328" t="s">
        <v>453</v>
      </c>
      <c r="O144" s="52"/>
    </row>
    <row r="145" ht="14.25" customHeight="1">
      <c r="A145" s="325">
        <v>143.0</v>
      </c>
      <c r="B145" s="52" t="s">
        <v>374</v>
      </c>
      <c r="C145" s="305" t="s">
        <v>454</v>
      </c>
      <c r="D145" s="52" t="s">
        <v>15</v>
      </c>
      <c r="E145" s="52" t="s">
        <v>669</v>
      </c>
      <c r="F145" s="326" t="s">
        <v>448</v>
      </c>
      <c r="G145" s="326"/>
      <c r="H145" s="52" t="s">
        <v>715</v>
      </c>
      <c r="I145" s="52" t="s">
        <v>716</v>
      </c>
      <c r="J145" s="52"/>
      <c r="K145" s="52"/>
      <c r="L145" s="52" t="s">
        <v>717</v>
      </c>
      <c r="M145" s="309" t="s">
        <v>667</v>
      </c>
      <c r="N145" s="320"/>
      <c r="O145" s="52"/>
    </row>
    <row r="146" ht="14.25" customHeight="1">
      <c r="A146" s="325">
        <v>144.0</v>
      </c>
      <c r="B146" s="325" t="s">
        <v>292</v>
      </c>
      <c r="C146" s="305" t="s">
        <v>454</v>
      </c>
      <c r="D146" s="325" t="s">
        <v>34</v>
      </c>
      <c r="E146" s="325" t="s">
        <v>665</v>
      </c>
      <c r="F146" s="326" t="s">
        <v>448</v>
      </c>
      <c r="G146" s="326"/>
      <c r="H146" s="52" t="s">
        <v>712</v>
      </c>
      <c r="I146" s="52" t="s">
        <v>718</v>
      </c>
      <c r="J146" s="52"/>
      <c r="K146" s="52"/>
      <c r="L146" s="52" t="s">
        <v>719</v>
      </c>
      <c r="M146" s="309" t="s">
        <v>720</v>
      </c>
      <c r="N146" s="328" t="s">
        <v>453</v>
      </c>
      <c r="O146" s="52"/>
    </row>
    <row r="147" ht="14.25" customHeight="1">
      <c r="A147" s="325">
        <v>145.0</v>
      </c>
      <c r="B147" s="325" t="s">
        <v>301</v>
      </c>
      <c r="C147" s="305" t="s">
        <v>454</v>
      </c>
      <c r="D147" s="325" t="s">
        <v>33</v>
      </c>
      <c r="E147" s="325" t="s">
        <v>669</v>
      </c>
      <c r="F147" s="326" t="s">
        <v>448</v>
      </c>
      <c r="G147" s="326"/>
      <c r="H147" s="52" t="s">
        <v>721</v>
      </c>
      <c r="I147" s="52" t="s">
        <v>718</v>
      </c>
      <c r="J147" s="52"/>
      <c r="K147" s="52"/>
      <c r="L147" s="52" t="s">
        <v>691</v>
      </c>
      <c r="M147" s="309" t="s">
        <v>720</v>
      </c>
      <c r="N147" s="52"/>
      <c r="O147" s="52"/>
    </row>
    <row r="148" ht="14.25" customHeight="1">
      <c r="A148" s="325">
        <v>146.0</v>
      </c>
      <c r="B148" s="329" t="s">
        <v>214</v>
      </c>
      <c r="C148" s="325" t="s">
        <v>466</v>
      </c>
      <c r="D148" s="325" t="s">
        <v>33</v>
      </c>
      <c r="E148" s="325" t="s">
        <v>665</v>
      </c>
      <c r="F148" s="326" t="s">
        <v>448</v>
      </c>
      <c r="G148" s="326"/>
      <c r="H148" s="52" t="s">
        <v>721</v>
      </c>
      <c r="I148" s="52" t="s">
        <v>722</v>
      </c>
      <c r="J148" s="52"/>
      <c r="K148" s="52"/>
      <c r="L148" s="52" t="s">
        <v>690</v>
      </c>
      <c r="M148" s="309" t="s">
        <v>720</v>
      </c>
      <c r="N148" s="328" t="s">
        <v>453</v>
      </c>
      <c r="O148" s="52"/>
    </row>
    <row r="149" ht="14.25" customHeight="1">
      <c r="A149" s="325">
        <v>147.0</v>
      </c>
      <c r="B149" s="305" t="s">
        <v>280</v>
      </c>
      <c r="C149" s="325" t="s">
        <v>577</v>
      </c>
      <c r="D149" s="325" t="s">
        <v>34</v>
      </c>
      <c r="E149" s="325" t="s">
        <v>665</v>
      </c>
      <c r="F149" s="326" t="s">
        <v>448</v>
      </c>
      <c r="G149" s="326"/>
      <c r="H149" s="52" t="s">
        <v>718</v>
      </c>
      <c r="I149" s="307" t="s">
        <v>723</v>
      </c>
      <c r="J149" s="307"/>
      <c r="K149" s="307"/>
      <c r="L149" s="325" t="s">
        <v>678</v>
      </c>
      <c r="M149" s="309" t="s">
        <v>720</v>
      </c>
      <c r="N149" s="328" t="s">
        <v>453</v>
      </c>
      <c r="O149" s="52"/>
    </row>
    <row r="150" ht="14.25" customHeight="1">
      <c r="A150" s="325">
        <v>148.0</v>
      </c>
      <c r="B150" s="52" t="s">
        <v>294</v>
      </c>
      <c r="C150" s="305" t="s">
        <v>454</v>
      </c>
      <c r="D150" s="52" t="s">
        <v>33</v>
      </c>
      <c r="E150" s="325" t="s">
        <v>665</v>
      </c>
      <c r="F150" s="326" t="s">
        <v>448</v>
      </c>
      <c r="G150" s="326"/>
      <c r="H150" s="52" t="s">
        <v>718</v>
      </c>
      <c r="I150" s="307" t="s">
        <v>724</v>
      </c>
      <c r="J150" s="307"/>
      <c r="K150" s="307"/>
      <c r="L150" s="52" t="s">
        <v>725</v>
      </c>
      <c r="M150" s="309" t="s">
        <v>720</v>
      </c>
      <c r="N150" s="52"/>
      <c r="O150" s="52"/>
    </row>
    <row r="151" ht="14.25" customHeight="1">
      <c r="A151" s="325">
        <v>149.0</v>
      </c>
      <c r="B151" s="52" t="s">
        <v>302</v>
      </c>
      <c r="C151" s="305" t="s">
        <v>454</v>
      </c>
      <c r="D151" s="52" t="s">
        <v>33</v>
      </c>
      <c r="E151" s="52" t="s">
        <v>669</v>
      </c>
      <c r="F151" s="326" t="s">
        <v>448</v>
      </c>
      <c r="G151" s="326"/>
      <c r="H151" s="52" t="s">
        <v>722</v>
      </c>
      <c r="I151" s="307">
        <v>45814.0</v>
      </c>
      <c r="J151" s="307"/>
      <c r="K151" s="307"/>
      <c r="L151" s="52" t="s">
        <v>691</v>
      </c>
      <c r="M151" s="309" t="s">
        <v>720</v>
      </c>
      <c r="N151" s="52"/>
      <c r="O151" s="52"/>
    </row>
    <row r="152" ht="14.25" customHeight="1">
      <c r="A152" s="325">
        <v>150.0</v>
      </c>
      <c r="B152" s="52" t="s">
        <v>373</v>
      </c>
      <c r="C152" s="305" t="s">
        <v>454</v>
      </c>
      <c r="D152" s="52" t="s">
        <v>15</v>
      </c>
      <c r="E152" s="52" t="s">
        <v>665</v>
      </c>
      <c r="F152" s="326" t="s">
        <v>448</v>
      </c>
      <c r="G152" s="326"/>
      <c r="H152" s="52" t="s">
        <v>722</v>
      </c>
      <c r="I152" s="307">
        <v>45844.0</v>
      </c>
      <c r="J152" s="307"/>
      <c r="K152" s="307"/>
      <c r="L152" s="52" t="s">
        <v>717</v>
      </c>
      <c r="M152" s="309" t="s">
        <v>720</v>
      </c>
      <c r="N152" s="52"/>
      <c r="O152" s="52"/>
    </row>
    <row r="153" ht="14.25" customHeight="1">
      <c r="A153" s="325">
        <v>151.0</v>
      </c>
      <c r="B153" s="52" t="s">
        <v>244</v>
      </c>
      <c r="C153" s="325" t="s">
        <v>577</v>
      </c>
      <c r="D153" s="52" t="s">
        <v>34</v>
      </c>
      <c r="E153" s="52" t="s">
        <v>665</v>
      </c>
      <c r="F153" s="326" t="s">
        <v>448</v>
      </c>
      <c r="G153" s="326"/>
      <c r="H153" s="52" t="s">
        <v>722</v>
      </c>
      <c r="I153" s="307">
        <v>45875.0</v>
      </c>
      <c r="J153" s="307"/>
      <c r="K153" s="307"/>
      <c r="L153" s="325" t="s">
        <v>678</v>
      </c>
      <c r="M153" s="309" t="s">
        <v>720</v>
      </c>
      <c r="N153" s="328" t="s">
        <v>453</v>
      </c>
      <c r="O153" s="52"/>
    </row>
    <row r="154" ht="14.25" customHeight="1">
      <c r="A154" s="325">
        <v>152.0</v>
      </c>
      <c r="B154" s="52" t="s">
        <v>296</v>
      </c>
      <c r="C154" s="305" t="s">
        <v>454</v>
      </c>
      <c r="D154" s="52" t="s">
        <v>34</v>
      </c>
      <c r="E154" s="52" t="s">
        <v>669</v>
      </c>
      <c r="F154" s="326" t="s">
        <v>448</v>
      </c>
      <c r="G154" s="326"/>
      <c r="H154" s="52" t="s">
        <v>723</v>
      </c>
      <c r="I154" s="307">
        <v>45818.0</v>
      </c>
      <c r="J154" s="307"/>
      <c r="K154" s="307"/>
      <c r="L154" s="52" t="s">
        <v>683</v>
      </c>
      <c r="M154" s="309" t="s">
        <v>720</v>
      </c>
      <c r="N154" s="52"/>
      <c r="O154" s="52"/>
    </row>
    <row r="155" ht="14.25" customHeight="1">
      <c r="A155" s="325">
        <v>153.0</v>
      </c>
      <c r="B155" s="52" t="s">
        <v>281</v>
      </c>
      <c r="C155" s="325" t="s">
        <v>577</v>
      </c>
      <c r="D155" s="52" t="s">
        <v>33</v>
      </c>
      <c r="E155" s="52" t="s">
        <v>714</v>
      </c>
      <c r="F155" s="326" t="s">
        <v>448</v>
      </c>
      <c r="G155" s="326"/>
      <c r="H155" s="52" t="s">
        <v>726</v>
      </c>
      <c r="I155" s="307">
        <v>45967.0</v>
      </c>
      <c r="J155" s="307"/>
      <c r="K155" s="307" t="s">
        <v>727</v>
      </c>
      <c r="L155" s="325" t="s">
        <v>678</v>
      </c>
      <c r="M155" s="309" t="s">
        <v>720</v>
      </c>
      <c r="N155" s="328" t="s">
        <v>453</v>
      </c>
      <c r="O155" s="52"/>
    </row>
    <row r="156" ht="14.25" customHeight="1">
      <c r="A156" s="325">
        <v>154.0</v>
      </c>
      <c r="B156" s="52" t="s">
        <v>371</v>
      </c>
      <c r="C156" s="305" t="s">
        <v>454</v>
      </c>
      <c r="D156" s="52" t="s">
        <v>15</v>
      </c>
      <c r="E156" s="52" t="s">
        <v>665</v>
      </c>
      <c r="F156" s="326" t="s">
        <v>448</v>
      </c>
      <c r="G156" s="326"/>
      <c r="H156" s="52" t="s">
        <v>718</v>
      </c>
      <c r="I156" s="307">
        <v>45967.0</v>
      </c>
      <c r="J156" s="307"/>
      <c r="K156" s="307" t="s">
        <v>727</v>
      </c>
      <c r="L156" s="52" t="s">
        <v>717</v>
      </c>
      <c r="M156" s="309" t="s">
        <v>720</v>
      </c>
      <c r="N156" s="328" t="s">
        <v>453</v>
      </c>
      <c r="O156" s="52"/>
    </row>
    <row r="157" ht="14.25" customHeight="1">
      <c r="A157" s="325">
        <v>155.0</v>
      </c>
      <c r="B157" s="52" t="s">
        <v>303</v>
      </c>
      <c r="C157" s="305" t="s">
        <v>454</v>
      </c>
      <c r="D157" s="52" t="s">
        <v>728</v>
      </c>
      <c r="E157" s="52" t="s">
        <v>665</v>
      </c>
      <c r="F157" s="326" t="s">
        <v>448</v>
      </c>
      <c r="G157" s="326"/>
      <c r="H157" s="52" t="s">
        <v>729</v>
      </c>
      <c r="I157" s="307" t="s">
        <v>730</v>
      </c>
      <c r="J157" s="307"/>
      <c r="K157" s="307"/>
      <c r="L157" s="52" t="s">
        <v>691</v>
      </c>
      <c r="M157" s="309" t="s">
        <v>720</v>
      </c>
      <c r="N157" s="328" t="s">
        <v>453</v>
      </c>
      <c r="O157" s="52"/>
    </row>
    <row r="158" ht="14.25" customHeight="1">
      <c r="A158" s="325">
        <v>156.0</v>
      </c>
      <c r="B158" s="52" t="s">
        <v>297</v>
      </c>
      <c r="C158" s="305" t="s">
        <v>454</v>
      </c>
      <c r="D158" s="52" t="s">
        <v>16</v>
      </c>
      <c r="E158" s="52" t="s">
        <v>665</v>
      </c>
      <c r="F158" s="326" t="s">
        <v>448</v>
      </c>
      <c r="G158" s="326"/>
      <c r="H158" s="307">
        <v>45936.0</v>
      </c>
      <c r="I158" s="307" t="s">
        <v>731</v>
      </c>
      <c r="J158" s="307"/>
      <c r="K158" s="307"/>
      <c r="L158" s="52" t="s">
        <v>725</v>
      </c>
      <c r="M158" s="309" t="s">
        <v>720</v>
      </c>
      <c r="N158" s="52"/>
      <c r="O158" s="52"/>
    </row>
    <row r="159" ht="14.25" customHeight="1">
      <c r="A159" s="325">
        <v>157.0</v>
      </c>
      <c r="B159" s="52" t="s">
        <v>368</v>
      </c>
      <c r="C159" s="305" t="s">
        <v>454</v>
      </c>
      <c r="D159" s="52" t="s">
        <v>34</v>
      </c>
      <c r="E159" s="52" t="s">
        <v>665</v>
      </c>
      <c r="F159" s="326" t="s">
        <v>448</v>
      </c>
      <c r="G159" s="326"/>
      <c r="H159" s="52"/>
      <c r="I159" s="52" t="s">
        <v>732</v>
      </c>
      <c r="J159" s="52"/>
      <c r="K159" s="52"/>
      <c r="L159" s="52" t="s">
        <v>717</v>
      </c>
      <c r="M159" s="309"/>
      <c r="N159" s="52"/>
      <c r="O159" s="52"/>
    </row>
    <row r="160" ht="14.25" customHeight="1">
      <c r="A160" s="325">
        <v>158.0</v>
      </c>
      <c r="B160" s="52" t="s">
        <v>352</v>
      </c>
      <c r="C160" s="305" t="s">
        <v>454</v>
      </c>
      <c r="D160" s="52" t="s">
        <v>11</v>
      </c>
      <c r="E160" s="305" t="s">
        <v>665</v>
      </c>
      <c r="F160" s="326" t="s">
        <v>448</v>
      </c>
      <c r="G160" s="326"/>
      <c r="H160" s="52" t="s">
        <v>733</v>
      </c>
      <c r="I160" s="307" t="s">
        <v>734</v>
      </c>
      <c r="J160" s="307"/>
      <c r="K160" s="307"/>
      <c r="L160" s="52" t="s">
        <v>690</v>
      </c>
      <c r="M160" s="309" t="s">
        <v>720</v>
      </c>
      <c r="N160" s="52"/>
      <c r="O160" s="52"/>
    </row>
    <row r="161" ht="14.25" customHeight="1">
      <c r="A161" s="325">
        <v>159.0</v>
      </c>
      <c r="B161" s="305" t="s">
        <v>240</v>
      </c>
      <c r="C161" s="325" t="s">
        <v>577</v>
      </c>
      <c r="D161" s="52" t="s">
        <v>114</v>
      </c>
      <c r="E161" s="52" t="s">
        <v>665</v>
      </c>
      <c r="F161" s="326" t="s">
        <v>448</v>
      </c>
      <c r="G161" s="326"/>
      <c r="H161" s="52" t="s">
        <v>735</v>
      </c>
      <c r="I161" s="307" t="s">
        <v>736</v>
      </c>
      <c r="J161" s="307"/>
      <c r="K161" s="307"/>
      <c r="L161" s="325" t="s">
        <v>678</v>
      </c>
      <c r="M161" s="309" t="s">
        <v>720</v>
      </c>
      <c r="N161" s="52"/>
      <c r="O161" s="52"/>
    </row>
    <row r="162" ht="14.25" customHeight="1">
      <c r="A162" s="325">
        <v>160.0</v>
      </c>
      <c r="B162" s="52" t="s">
        <v>353</v>
      </c>
      <c r="C162" s="305" t="s">
        <v>454</v>
      </c>
      <c r="D162" s="52" t="s">
        <v>33</v>
      </c>
      <c r="E162" s="52" t="s">
        <v>665</v>
      </c>
      <c r="F162" s="326" t="s">
        <v>448</v>
      </c>
      <c r="G162" s="326"/>
      <c r="H162" s="307" t="s">
        <v>737</v>
      </c>
      <c r="I162" s="307">
        <v>45831.0</v>
      </c>
      <c r="J162" s="307"/>
      <c r="K162" s="307"/>
      <c r="L162" s="52" t="s">
        <v>690</v>
      </c>
      <c r="M162" s="309" t="s">
        <v>738</v>
      </c>
      <c r="N162" s="52"/>
      <c r="O162" s="52"/>
    </row>
    <row r="163" ht="14.25" customHeight="1">
      <c r="A163" s="325">
        <v>161.0</v>
      </c>
      <c r="B163" s="52" t="s">
        <v>370</v>
      </c>
      <c r="C163" s="305" t="s">
        <v>454</v>
      </c>
      <c r="D163" s="52" t="s">
        <v>12</v>
      </c>
      <c r="E163" s="52" t="s">
        <v>665</v>
      </c>
      <c r="F163" s="326" t="s">
        <v>448</v>
      </c>
      <c r="G163" s="326"/>
      <c r="H163" s="52" t="s">
        <v>733</v>
      </c>
      <c r="I163" s="307" t="s">
        <v>739</v>
      </c>
      <c r="J163" s="307"/>
      <c r="K163" s="307"/>
      <c r="L163" s="52" t="s">
        <v>717</v>
      </c>
      <c r="M163" s="309" t="s">
        <v>738</v>
      </c>
      <c r="N163" s="52"/>
      <c r="O163" s="52"/>
    </row>
    <row r="164" ht="14.25" customHeight="1">
      <c r="A164" s="325">
        <v>162.0</v>
      </c>
      <c r="B164" s="52" t="s">
        <v>354</v>
      </c>
      <c r="C164" s="305" t="s">
        <v>454</v>
      </c>
      <c r="D164" s="52" t="s">
        <v>33</v>
      </c>
      <c r="E164" s="52" t="s">
        <v>665</v>
      </c>
      <c r="F164" s="326" t="s">
        <v>448</v>
      </c>
      <c r="G164" s="326"/>
      <c r="H164" s="307" t="s">
        <v>731</v>
      </c>
      <c r="I164" s="52" t="s">
        <v>740</v>
      </c>
      <c r="J164" s="52"/>
      <c r="K164" s="52"/>
      <c r="L164" s="52" t="s">
        <v>690</v>
      </c>
      <c r="M164" s="309" t="s">
        <v>738</v>
      </c>
      <c r="N164" s="52"/>
      <c r="O164" s="52"/>
    </row>
    <row r="165" ht="14.25" customHeight="1">
      <c r="A165" s="325">
        <v>163.0</v>
      </c>
      <c r="B165" s="52" t="s">
        <v>360</v>
      </c>
      <c r="C165" s="305" t="s">
        <v>454</v>
      </c>
      <c r="D165" s="52" t="s">
        <v>15</v>
      </c>
      <c r="E165" s="52" t="s">
        <v>665</v>
      </c>
      <c r="F165" s="326" t="s">
        <v>448</v>
      </c>
      <c r="G165" s="326"/>
      <c r="H165" s="52"/>
      <c r="I165" s="307">
        <v>45845.0</v>
      </c>
      <c r="J165" s="307"/>
      <c r="K165" s="307"/>
      <c r="L165" s="52" t="s">
        <v>717</v>
      </c>
      <c r="M165" s="309"/>
      <c r="N165" s="52"/>
      <c r="O165" s="52"/>
    </row>
    <row r="166" ht="18.0" customHeight="1">
      <c r="A166" s="325">
        <v>164.0</v>
      </c>
      <c r="B166" s="52" t="s">
        <v>358</v>
      </c>
      <c r="C166" s="305" t="s">
        <v>454</v>
      </c>
      <c r="D166" s="52" t="s">
        <v>15</v>
      </c>
      <c r="E166" s="52" t="s">
        <v>665</v>
      </c>
      <c r="F166" s="326" t="s">
        <v>448</v>
      </c>
      <c r="G166" s="326"/>
      <c r="H166" s="52"/>
      <c r="I166" s="52" t="s">
        <v>741</v>
      </c>
      <c r="J166" s="52"/>
      <c r="K166" s="52"/>
      <c r="L166" s="52" t="s">
        <v>717</v>
      </c>
      <c r="M166" s="309"/>
      <c r="N166" s="52"/>
      <c r="O166" s="52"/>
    </row>
    <row r="167" ht="14.25" customHeight="1">
      <c r="A167" s="325">
        <v>165.0</v>
      </c>
      <c r="B167" s="52" t="s">
        <v>346</v>
      </c>
      <c r="C167" s="305" t="s">
        <v>454</v>
      </c>
      <c r="D167" s="52" t="s">
        <v>15</v>
      </c>
      <c r="E167" s="52" t="s">
        <v>714</v>
      </c>
      <c r="F167" s="326" t="s">
        <v>449</v>
      </c>
      <c r="G167" s="326"/>
      <c r="H167" s="52" t="s">
        <v>742</v>
      </c>
      <c r="I167" s="52" t="s">
        <v>743</v>
      </c>
      <c r="J167" s="52"/>
      <c r="K167" s="52"/>
      <c r="L167" s="320" t="s">
        <v>690</v>
      </c>
      <c r="M167" s="309"/>
      <c r="N167" s="52"/>
      <c r="O167" s="52"/>
    </row>
    <row r="168" ht="14.25" customHeight="1">
      <c r="A168" s="325">
        <v>166.0</v>
      </c>
      <c r="B168" s="52" t="s">
        <v>347</v>
      </c>
      <c r="C168" s="305" t="s">
        <v>454</v>
      </c>
      <c r="D168" s="52" t="s">
        <v>15</v>
      </c>
      <c r="E168" s="52" t="s">
        <v>714</v>
      </c>
      <c r="F168" s="326" t="s">
        <v>449</v>
      </c>
      <c r="G168" s="326"/>
      <c r="H168" s="307" t="s">
        <v>744</v>
      </c>
      <c r="I168" s="52" t="s">
        <v>745</v>
      </c>
      <c r="J168" s="52"/>
      <c r="K168" s="52"/>
      <c r="L168" s="320" t="s">
        <v>690</v>
      </c>
      <c r="M168" s="309"/>
      <c r="N168" s="52"/>
      <c r="O168" s="52"/>
    </row>
    <row r="169" ht="14.25" customHeight="1">
      <c r="A169" s="325">
        <v>167.0</v>
      </c>
      <c r="B169" s="52" t="s">
        <v>362</v>
      </c>
      <c r="C169" s="305" t="s">
        <v>454</v>
      </c>
      <c r="D169" s="52" t="s">
        <v>12</v>
      </c>
      <c r="E169" s="52" t="s">
        <v>714</v>
      </c>
      <c r="F169" s="326" t="s">
        <v>449</v>
      </c>
      <c r="G169" s="326"/>
      <c r="H169" s="52"/>
      <c r="I169" s="52" t="s">
        <v>746</v>
      </c>
      <c r="J169" s="52"/>
      <c r="K169" s="52"/>
      <c r="L169" s="52" t="s">
        <v>717</v>
      </c>
      <c r="M169" s="309"/>
      <c r="N169" s="52"/>
      <c r="O169" s="52"/>
    </row>
    <row r="170" ht="14.25" customHeight="1">
      <c r="A170" s="325">
        <v>168.0</v>
      </c>
      <c r="B170" s="305" t="s">
        <v>47</v>
      </c>
      <c r="C170" s="317" t="s">
        <v>466</v>
      </c>
      <c r="D170" s="52" t="s">
        <v>747</v>
      </c>
      <c r="E170" s="52" t="s">
        <v>669</v>
      </c>
      <c r="F170" s="326" t="s">
        <v>449</v>
      </c>
      <c r="G170" s="326"/>
      <c r="H170" s="52" t="s">
        <v>745</v>
      </c>
      <c r="I170" s="52" t="s">
        <v>748</v>
      </c>
      <c r="J170" s="52"/>
      <c r="K170" s="52"/>
      <c r="L170" s="52" t="s">
        <v>690</v>
      </c>
      <c r="M170" s="309"/>
      <c r="N170" s="52"/>
      <c r="O170" s="52"/>
    </row>
    <row r="171" ht="14.25" customHeight="1">
      <c r="A171" s="325">
        <v>169.0</v>
      </c>
      <c r="B171" s="305" t="s">
        <v>132</v>
      </c>
      <c r="C171" s="325" t="s">
        <v>466</v>
      </c>
      <c r="D171" s="52" t="s">
        <v>747</v>
      </c>
      <c r="E171" s="52" t="s">
        <v>675</v>
      </c>
      <c r="F171" s="326" t="s">
        <v>449</v>
      </c>
      <c r="G171" s="326"/>
      <c r="H171" s="52" t="s">
        <v>749</v>
      </c>
      <c r="I171" s="52" t="s">
        <v>750</v>
      </c>
      <c r="J171" s="52"/>
      <c r="K171" s="52"/>
      <c r="L171" s="52" t="s">
        <v>751</v>
      </c>
      <c r="M171" s="309"/>
      <c r="N171" s="52"/>
      <c r="O171" s="52"/>
    </row>
    <row r="172" ht="15.75" customHeight="1">
      <c r="A172" s="325">
        <v>170.0</v>
      </c>
      <c r="B172" s="52" t="s">
        <v>267</v>
      </c>
      <c r="C172" s="325" t="s">
        <v>577</v>
      </c>
      <c r="D172" s="52" t="s">
        <v>114</v>
      </c>
      <c r="E172" s="52" t="s">
        <v>665</v>
      </c>
      <c r="F172" s="326" t="s">
        <v>449</v>
      </c>
      <c r="G172" s="326"/>
      <c r="H172" s="52" t="s">
        <v>752</v>
      </c>
      <c r="I172" s="52" t="s">
        <v>750</v>
      </c>
      <c r="J172" s="52"/>
      <c r="K172" s="52"/>
      <c r="L172" s="52" t="s">
        <v>717</v>
      </c>
      <c r="M172" s="309"/>
      <c r="N172" s="52"/>
      <c r="O172" s="52"/>
    </row>
    <row r="173" ht="14.25" customHeight="1">
      <c r="A173" s="325">
        <v>171.0</v>
      </c>
      <c r="B173" s="305" t="s">
        <v>261</v>
      </c>
      <c r="C173" s="325" t="s">
        <v>577</v>
      </c>
      <c r="D173" s="52" t="s">
        <v>33</v>
      </c>
      <c r="E173" s="52" t="s">
        <v>714</v>
      </c>
      <c r="F173" s="326" t="s">
        <v>449</v>
      </c>
      <c r="G173" s="326"/>
      <c r="H173" s="52" t="s">
        <v>753</v>
      </c>
      <c r="I173" s="52" t="s">
        <v>754</v>
      </c>
      <c r="J173" s="52"/>
      <c r="K173" s="52"/>
      <c r="L173" s="52" t="s">
        <v>755</v>
      </c>
      <c r="M173" s="309"/>
      <c r="N173" s="52"/>
      <c r="O173" s="52"/>
    </row>
    <row r="174" ht="14.25" customHeight="1">
      <c r="A174" s="325">
        <v>172.0</v>
      </c>
      <c r="B174" s="305" t="s">
        <v>97</v>
      </c>
      <c r="C174" s="325" t="s">
        <v>466</v>
      </c>
      <c r="D174" s="52" t="s">
        <v>51</v>
      </c>
      <c r="E174" s="52" t="s">
        <v>675</v>
      </c>
      <c r="F174" s="326" t="s">
        <v>449</v>
      </c>
      <c r="G174" s="326"/>
      <c r="H174" s="52" t="s">
        <v>756</v>
      </c>
      <c r="I174" s="52" t="s">
        <v>757</v>
      </c>
      <c r="J174" s="52"/>
      <c r="K174" s="52"/>
      <c r="L174" s="52" t="s">
        <v>758</v>
      </c>
      <c r="M174" s="309"/>
      <c r="N174" s="52"/>
      <c r="O174" s="52"/>
    </row>
    <row r="175" ht="14.25" customHeight="1">
      <c r="A175" s="325">
        <v>173.0</v>
      </c>
      <c r="B175" s="52" t="s">
        <v>270</v>
      </c>
      <c r="C175" s="325" t="s">
        <v>577</v>
      </c>
      <c r="D175" s="52" t="s">
        <v>759</v>
      </c>
      <c r="E175" s="52" t="s">
        <v>760</v>
      </c>
      <c r="F175" s="326" t="s">
        <v>449</v>
      </c>
      <c r="G175" s="326"/>
      <c r="H175" s="52" t="s">
        <v>750</v>
      </c>
      <c r="I175" s="52" t="s">
        <v>482</v>
      </c>
      <c r="J175" s="52"/>
      <c r="K175" s="52"/>
      <c r="L175" s="52" t="s">
        <v>717</v>
      </c>
      <c r="M175" s="309"/>
      <c r="N175" s="52"/>
      <c r="O175" s="52"/>
    </row>
    <row r="176" ht="14.25" customHeight="1">
      <c r="A176" s="325">
        <v>174.0</v>
      </c>
      <c r="B176" s="52" t="s">
        <v>263</v>
      </c>
      <c r="C176" s="325" t="s">
        <v>577</v>
      </c>
      <c r="D176" s="52" t="s">
        <v>33</v>
      </c>
      <c r="E176" s="52" t="s">
        <v>665</v>
      </c>
      <c r="F176" s="326" t="s">
        <v>449</v>
      </c>
      <c r="G176" s="326"/>
      <c r="H176" s="52" t="s">
        <v>761</v>
      </c>
      <c r="I176" s="52" t="s">
        <v>491</v>
      </c>
      <c r="J176" s="52"/>
      <c r="K176" s="52"/>
      <c r="L176" s="52" t="s">
        <v>755</v>
      </c>
      <c r="M176" s="309"/>
      <c r="N176" s="52"/>
      <c r="O176" s="52"/>
    </row>
    <row r="177" ht="14.25" customHeight="1">
      <c r="A177" s="325">
        <v>175.0</v>
      </c>
      <c r="B177" s="52" t="s">
        <v>194</v>
      </c>
      <c r="C177" s="325" t="s">
        <v>466</v>
      </c>
      <c r="D177" s="52" t="s">
        <v>114</v>
      </c>
      <c r="E177" s="52" t="s">
        <v>675</v>
      </c>
      <c r="F177" s="326" t="s">
        <v>449</v>
      </c>
      <c r="G177" s="326"/>
      <c r="H177" s="52" t="s">
        <v>762</v>
      </c>
      <c r="I177" s="52" t="s">
        <v>763</v>
      </c>
      <c r="J177" s="52"/>
      <c r="K177" s="52"/>
      <c r="L177" s="52" t="s">
        <v>758</v>
      </c>
      <c r="M177" s="309"/>
      <c r="N177" s="52"/>
      <c r="O177" s="52"/>
    </row>
    <row r="178" ht="14.25" customHeight="1">
      <c r="A178" s="325">
        <v>176.0</v>
      </c>
      <c r="B178" s="319" t="s">
        <v>72</v>
      </c>
      <c r="C178" s="325" t="s">
        <v>466</v>
      </c>
      <c r="D178" s="52" t="s">
        <v>16</v>
      </c>
      <c r="E178" s="52" t="s">
        <v>675</v>
      </c>
      <c r="F178" s="326" t="s">
        <v>449</v>
      </c>
      <c r="G178" s="326"/>
      <c r="H178" s="52" t="s">
        <v>762</v>
      </c>
      <c r="I178" s="52" t="s">
        <v>500</v>
      </c>
      <c r="J178" s="52"/>
      <c r="K178" s="52"/>
      <c r="L178" s="52" t="s">
        <v>690</v>
      </c>
      <c r="M178" s="309"/>
      <c r="N178" s="52"/>
      <c r="O178" s="52"/>
    </row>
    <row r="179" ht="14.25" customHeight="1">
      <c r="A179" s="325">
        <v>177.0</v>
      </c>
      <c r="B179" s="52" t="s">
        <v>195</v>
      </c>
      <c r="C179" s="325" t="s">
        <v>466</v>
      </c>
      <c r="D179" s="52" t="s">
        <v>186</v>
      </c>
      <c r="E179" s="334" t="s">
        <v>675</v>
      </c>
      <c r="F179" s="326" t="s">
        <v>449</v>
      </c>
      <c r="G179" s="326"/>
      <c r="H179" s="52" t="s">
        <v>764</v>
      </c>
      <c r="I179" s="52" t="s">
        <v>482</v>
      </c>
      <c r="J179" s="52"/>
      <c r="K179" s="52"/>
      <c r="L179" s="52" t="s">
        <v>751</v>
      </c>
      <c r="M179" s="309"/>
      <c r="N179" s="52"/>
      <c r="O179" s="52"/>
    </row>
    <row r="180" ht="14.25" customHeight="1">
      <c r="A180" s="325">
        <v>178.0</v>
      </c>
      <c r="B180" s="305" t="s">
        <v>264</v>
      </c>
      <c r="C180" s="325" t="s">
        <v>577</v>
      </c>
      <c r="D180" s="52" t="s">
        <v>35</v>
      </c>
      <c r="E180" s="334" t="s">
        <v>675</v>
      </c>
      <c r="F180" s="326" t="s">
        <v>449</v>
      </c>
      <c r="G180" s="326"/>
      <c r="H180" s="52" t="s">
        <v>763</v>
      </c>
      <c r="I180" s="52" t="s">
        <v>496</v>
      </c>
      <c r="J180" s="52"/>
      <c r="K180" s="52"/>
      <c r="L180" s="52" t="s">
        <v>755</v>
      </c>
      <c r="M180" s="309"/>
      <c r="N180" s="52"/>
      <c r="O180" s="52"/>
    </row>
    <row r="181" ht="14.25" customHeight="1">
      <c r="A181" s="325">
        <v>179.0</v>
      </c>
      <c r="B181" s="305" t="s">
        <v>269</v>
      </c>
      <c r="C181" s="325" t="s">
        <v>577</v>
      </c>
      <c r="D181" s="52" t="s">
        <v>34</v>
      </c>
      <c r="E181" s="52" t="s">
        <v>675</v>
      </c>
      <c r="F181" s="326" t="s">
        <v>449</v>
      </c>
      <c r="G181" s="326"/>
      <c r="H181" s="52" t="s">
        <v>487</v>
      </c>
      <c r="I181" s="52" t="s">
        <v>500</v>
      </c>
      <c r="J181" s="52"/>
      <c r="K181" s="52"/>
      <c r="L181" s="52" t="s">
        <v>765</v>
      </c>
      <c r="M181" s="309"/>
      <c r="N181" s="52"/>
      <c r="O181" s="52"/>
    </row>
    <row r="182" ht="14.25" customHeight="1">
      <c r="A182" s="325">
        <v>180.0</v>
      </c>
      <c r="B182" s="52" t="s">
        <v>271</v>
      </c>
      <c r="C182" s="325" t="s">
        <v>577</v>
      </c>
      <c r="D182" s="52" t="s">
        <v>34</v>
      </c>
      <c r="E182" s="52" t="s">
        <v>665</v>
      </c>
      <c r="F182" s="326" t="s">
        <v>449</v>
      </c>
      <c r="G182" s="326"/>
      <c r="H182" s="52" t="s">
        <v>763</v>
      </c>
      <c r="I182" s="52" t="s">
        <v>504</v>
      </c>
      <c r="J182" s="52"/>
      <c r="K182" s="52"/>
      <c r="L182" s="52" t="s">
        <v>766</v>
      </c>
      <c r="M182" s="309"/>
      <c r="N182" s="52"/>
      <c r="O182" s="52"/>
    </row>
    <row r="183" ht="14.25" customHeight="1">
      <c r="A183" s="325">
        <v>181.0</v>
      </c>
      <c r="B183" s="305" t="s">
        <v>84</v>
      </c>
      <c r="C183" s="325" t="s">
        <v>466</v>
      </c>
      <c r="D183" s="52" t="s">
        <v>33</v>
      </c>
      <c r="E183" s="52" t="s">
        <v>675</v>
      </c>
      <c r="F183" s="326" t="s">
        <v>449</v>
      </c>
      <c r="G183" s="326"/>
      <c r="H183" s="52" t="s">
        <v>763</v>
      </c>
      <c r="I183" s="52" t="s">
        <v>495</v>
      </c>
      <c r="J183" s="52"/>
      <c r="K183" s="52"/>
      <c r="L183" s="52" t="s">
        <v>751</v>
      </c>
      <c r="M183" s="309"/>
      <c r="N183" s="52"/>
      <c r="O183" s="52"/>
    </row>
    <row r="184" ht="14.25" customHeight="1">
      <c r="A184" s="325">
        <v>182.0</v>
      </c>
      <c r="B184" s="305" t="s">
        <v>75</v>
      </c>
      <c r="C184" s="325" t="s">
        <v>466</v>
      </c>
      <c r="D184" s="52" t="s">
        <v>34</v>
      </c>
      <c r="E184" s="52" t="s">
        <v>675</v>
      </c>
      <c r="F184" s="326" t="s">
        <v>449</v>
      </c>
      <c r="G184" s="326"/>
      <c r="H184" s="52" t="s">
        <v>485</v>
      </c>
      <c r="I184" s="52" t="s">
        <v>497</v>
      </c>
      <c r="J184" s="52"/>
      <c r="K184" s="52"/>
      <c r="L184" s="52" t="s">
        <v>751</v>
      </c>
      <c r="M184" s="309"/>
      <c r="N184" s="52"/>
      <c r="O184" s="52"/>
    </row>
    <row r="185" ht="14.25" customHeight="1">
      <c r="A185" s="325">
        <v>183.0</v>
      </c>
      <c r="B185" s="305" t="s">
        <v>96</v>
      </c>
      <c r="C185" s="325" t="s">
        <v>466</v>
      </c>
      <c r="D185" s="52" t="s">
        <v>33</v>
      </c>
      <c r="E185" s="52" t="s">
        <v>675</v>
      </c>
      <c r="F185" s="326" t="s">
        <v>449</v>
      </c>
      <c r="G185" s="326"/>
      <c r="H185" s="52" t="s">
        <v>497</v>
      </c>
      <c r="I185" s="52" t="s">
        <v>498</v>
      </c>
      <c r="J185" s="52"/>
      <c r="K185" s="52"/>
      <c r="L185" s="52" t="s">
        <v>767</v>
      </c>
      <c r="M185" s="309"/>
      <c r="N185" s="52"/>
      <c r="O185" s="52"/>
    </row>
    <row r="186" ht="14.25" customHeight="1">
      <c r="A186" s="325">
        <v>184.0</v>
      </c>
      <c r="B186" s="305" t="s">
        <v>53</v>
      </c>
      <c r="C186" s="317" t="s">
        <v>466</v>
      </c>
      <c r="D186" s="305" t="s">
        <v>16</v>
      </c>
      <c r="E186" s="52" t="s">
        <v>675</v>
      </c>
      <c r="F186" s="326" t="s">
        <v>449</v>
      </c>
      <c r="G186" s="326"/>
      <c r="H186" s="52" t="s">
        <v>768</v>
      </c>
      <c r="I186" s="52" t="s">
        <v>769</v>
      </c>
      <c r="J186" s="52"/>
      <c r="K186" s="52"/>
      <c r="L186" s="52" t="s">
        <v>767</v>
      </c>
      <c r="M186" s="309"/>
      <c r="N186" s="52"/>
      <c r="O186" s="52"/>
    </row>
    <row r="187" ht="14.25" customHeight="1">
      <c r="A187" s="325">
        <v>185.0</v>
      </c>
      <c r="B187" s="305" t="s">
        <v>64</v>
      </c>
      <c r="C187" s="317" t="s">
        <v>466</v>
      </c>
      <c r="D187" s="52" t="s">
        <v>51</v>
      </c>
      <c r="E187" s="52" t="s">
        <v>665</v>
      </c>
      <c r="F187" s="326" t="s">
        <v>449</v>
      </c>
      <c r="G187" s="326"/>
      <c r="H187" s="52" t="s">
        <v>769</v>
      </c>
      <c r="I187" s="52" t="s">
        <v>770</v>
      </c>
      <c r="J187" s="52"/>
      <c r="K187" s="52"/>
      <c r="L187" s="52" t="s">
        <v>767</v>
      </c>
      <c r="M187" s="309"/>
      <c r="N187" s="52"/>
      <c r="O187" s="52"/>
    </row>
    <row r="188" ht="14.25" customHeight="1">
      <c r="A188" s="325">
        <v>186.0</v>
      </c>
      <c r="B188" s="305" t="s">
        <v>265</v>
      </c>
      <c r="C188" s="325" t="s">
        <v>577</v>
      </c>
      <c r="D188" s="52" t="s">
        <v>747</v>
      </c>
      <c r="E188" s="52" t="s">
        <v>665</v>
      </c>
      <c r="F188" s="326" t="s">
        <v>449</v>
      </c>
      <c r="G188" s="326"/>
      <c r="H188" s="52" t="s">
        <v>771</v>
      </c>
      <c r="I188" s="52" t="s">
        <v>513</v>
      </c>
      <c r="J188" s="52"/>
      <c r="K188" s="52"/>
      <c r="L188" s="52" t="s">
        <v>755</v>
      </c>
      <c r="M188" s="309"/>
      <c r="N188" s="52"/>
      <c r="O188" s="52"/>
    </row>
    <row r="189" ht="14.25" customHeight="1">
      <c r="A189" s="325">
        <v>187.0</v>
      </c>
      <c r="B189" s="52" t="s">
        <v>272</v>
      </c>
      <c r="C189" s="325" t="s">
        <v>577</v>
      </c>
      <c r="D189" s="305" t="s">
        <v>15</v>
      </c>
      <c r="E189" s="52" t="s">
        <v>675</v>
      </c>
      <c r="F189" s="326" t="s">
        <v>449</v>
      </c>
      <c r="G189" s="326"/>
      <c r="H189" s="52" t="s">
        <v>503</v>
      </c>
      <c r="I189" s="52" t="s">
        <v>772</v>
      </c>
      <c r="J189" s="52"/>
      <c r="K189" s="52"/>
      <c r="L189" s="52" t="s">
        <v>766</v>
      </c>
      <c r="M189" s="309"/>
      <c r="N189" s="52"/>
      <c r="O189" s="52"/>
    </row>
    <row r="190" ht="14.25" customHeight="1">
      <c r="A190" s="325">
        <v>188.0</v>
      </c>
      <c r="B190" s="305" t="s">
        <v>363</v>
      </c>
      <c r="C190" s="305" t="s">
        <v>454</v>
      </c>
      <c r="D190" s="305" t="s">
        <v>16</v>
      </c>
      <c r="E190" s="52" t="s">
        <v>669</v>
      </c>
      <c r="F190" s="326" t="s">
        <v>449</v>
      </c>
      <c r="G190" s="326"/>
      <c r="H190" s="52" t="s">
        <v>503</v>
      </c>
      <c r="I190" s="52" t="s">
        <v>512</v>
      </c>
      <c r="J190" s="52"/>
      <c r="K190" s="52"/>
      <c r="L190" s="52" t="s">
        <v>773</v>
      </c>
      <c r="M190" s="309"/>
      <c r="N190" s="52"/>
      <c r="O190" s="52"/>
    </row>
    <row r="191" ht="14.25" customHeight="1">
      <c r="A191" s="325">
        <v>189.0</v>
      </c>
      <c r="B191" s="52" t="s">
        <v>273</v>
      </c>
      <c r="C191" s="325" t="s">
        <v>577</v>
      </c>
      <c r="D191" s="305" t="s">
        <v>15</v>
      </c>
      <c r="E191" s="52" t="s">
        <v>675</v>
      </c>
      <c r="F191" s="326" t="s">
        <v>449</v>
      </c>
      <c r="G191" s="326"/>
      <c r="H191" s="52" t="s">
        <v>504</v>
      </c>
      <c r="I191" s="52" t="s">
        <v>510</v>
      </c>
      <c r="J191" s="52"/>
      <c r="K191" s="52"/>
      <c r="L191" s="52" t="s">
        <v>765</v>
      </c>
      <c r="M191" s="309"/>
      <c r="N191" s="52"/>
      <c r="O191" s="52"/>
    </row>
    <row r="192" ht="14.25" customHeight="1">
      <c r="A192" s="325">
        <v>190.0</v>
      </c>
      <c r="B192" s="305" t="s">
        <v>275</v>
      </c>
      <c r="C192" s="325" t="s">
        <v>577</v>
      </c>
      <c r="D192" s="52" t="s">
        <v>33</v>
      </c>
      <c r="E192" s="52" t="s">
        <v>675</v>
      </c>
      <c r="F192" s="326" t="s">
        <v>449</v>
      </c>
      <c r="G192" s="326"/>
      <c r="H192" s="52" t="s">
        <v>769</v>
      </c>
      <c r="I192" s="52" t="s">
        <v>514</v>
      </c>
      <c r="J192" s="52"/>
      <c r="K192" s="52"/>
      <c r="L192" s="52" t="s">
        <v>765</v>
      </c>
      <c r="M192" s="309"/>
      <c r="N192" s="52"/>
      <c r="O192" s="52"/>
    </row>
    <row r="193" ht="14.25" customHeight="1">
      <c r="A193" s="325">
        <v>191.0</v>
      </c>
      <c r="B193" s="305" t="s">
        <v>276</v>
      </c>
      <c r="C193" s="325" t="s">
        <v>577</v>
      </c>
      <c r="D193" s="52" t="s">
        <v>12</v>
      </c>
      <c r="E193" s="52" t="s">
        <v>675</v>
      </c>
      <c r="F193" s="326" t="s">
        <v>449</v>
      </c>
      <c r="G193" s="326"/>
      <c r="H193" s="52" t="s">
        <v>769</v>
      </c>
      <c r="I193" s="52" t="s">
        <v>774</v>
      </c>
      <c r="J193" s="52"/>
      <c r="K193" s="52"/>
      <c r="L193" s="52" t="s">
        <v>766</v>
      </c>
      <c r="M193" s="309"/>
      <c r="N193" s="52"/>
      <c r="O193" s="52"/>
    </row>
    <row r="194" ht="14.25" customHeight="1">
      <c r="A194" s="325">
        <v>192.0</v>
      </c>
      <c r="B194" s="305" t="s">
        <v>365</v>
      </c>
      <c r="C194" s="305" t="s">
        <v>454</v>
      </c>
      <c r="D194" s="52" t="s">
        <v>33</v>
      </c>
      <c r="E194" s="52" t="s">
        <v>675</v>
      </c>
      <c r="F194" s="326" t="s">
        <v>449</v>
      </c>
      <c r="G194" s="326"/>
      <c r="H194" s="52" t="s">
        <v>769</v>
      </c>
      <c r="I194" s="52" t="s">
        <v>774</v>
      </c>
      <c r="J194" s="52"/>
      <c r="K194" s="52"/>
      <c r="L194" s="52" t="s">
        <v>775</v>
      </c>
      <c r="M194" s="309"/>
      <c r="N194" s="52"/>
      <c r="O194" s="52"/>
    </row>
    <row r="195" ht="14.25" customHeight="1">
      <c r="A195" s="325">
        <v>193.0</v>
      </c>
      <c r="B195" s="305" t="s">
        <v>277</v>
      </c>
      <c r="C195" s="325" t="s">
        <v>577</v>
      </c>
      <c r="D195" s="52" t="s">
        <v>33</v>
      </c>
      <c r="E195" s="52" t="s">
        <v>675</v>
      </c>
      <c r="F195" s="326" t="s">
        <v>449</v>
      </c>
      <c r="G195" s="326"/>
      <c r="H195" s="52" t="s">
        <v>507</v>
      </c>
      <c r="I195" s="52" t="s">
        <v>516</v>
      </c>
      <c r="J195" s="52"/>
      <c r="K195" s="52"/>
      <c r="L195" s="52" t="s">
        <v>755</v>
      </c>
      <c r="M195" s="309"/>
      <c r="N195" s="52"/>
      <c r="O195" s="52"/>
    </row>
    <row r="196" ht="14.25" customHeight="1">
      <c r="A196" s="325">
        <v>194.0</v>
      </c>
      <c r="B196" s="305" t="s">
        <v>107</v>
      </c>
      <c r="C196" s="325" t="s">
        <v>466</v>
      </c>
      <c r="D196" s="52" t="s">
        <v>16</v>
      </c>
      <c r="E196" s="52" t="s">
        <v>665</v>
      </c>
      <c r="F196" s="326" t="s">
        <v>449</v>
      </c>
      <c r="G196" s="326"/>
      <c r="H196" s="52" t="s">
        <v>776</v>
      </c>
      <c r="I196" s="52" t="s">
        <v>777</v>
      </c>
      <c r="J196" s="52"/>
      <c r="K196" s="52"/>
      <c r="L196" s="52" t="s">
        <v>767</v>
      </c>
      <c r="M196" s="309"/>
      <c r="N196" s="52"/>
      <c r="O196" s="52"/>
    </row>
    <row r="197" ht="14.25" customHeight="1">
      <c r="A197" s="325">
        <v>195.0</v>
      </c>
      <c r="B197" s="305" t="s">
        <v>126</v>
      </c>
      <c r="C197" s="325" t="s">
        <v>466</v>
      </c>
      <c r="D197" s="52" t="s">
        <v>12</v>
      </c>
      <c r="E197" s="52" t="s">
        <v>778</v>
      </c>
      <c r="F197" s="326" t="s">
        <v>449</v>
      </c>
      <c r="G197" s="326"/>
      <c r="H197" s="52" t="s">
        <v>779</v>
      </c>
      <c r="I197" s="52" t="s">
        <v>774</v>
      </c>
      <c r="J197" s="52"/>
      <c r="K197" s="52"/>
      <c r="L197" s="52" t="s">
        <v>767</v>
      </c>
      <c r="M197" s="309"/>
      <c r="N197" s="52"/>
      <c r="O197" s="52"/>
    </row>
    <row r="198" ht="14.25" customHeight="1">
      <c r="A198" s="325">
        <v>196.0</v>
      </c>
      <c r="B198" s="305" t="s">
        <v>359</v>
      </c>
      <c r="C198" s="305" t="s">
        <v>454</v>
      </c>
      <c r="D198" s="52" t="s">
        <v>35</v>
      </c>
      <c r="E198" s="52" t="s">
        <v>665</v>
      </c>
      <c r="F198" s="326" t="s">
        <v>449</v>
      </c>
      <c r="G198" s="326"/>
      <c r="H198" s="52" t="s">
        <v>780</v>
      </c>
      <c r="I198" s="52" t="s">
        <v>516</v>
      </c>
      <c r="J198" s="52"/>
      <c r="K198" s="52"/>
      <c r="L198" s="52" t="s">
        <v>690</v>
      </c>
      <c r="M198" s="309"/>
      <c r="N198" s="52"/>
      <c r="O198" s="52"/>
    </row>
    <row r="199" ht="14.25" customHeight="1">
      <c r="A199" s="325">
        <v>197.0</v>
      </c>
      <c r="B199" s="305" t="s">
        <v>369</v>
      </c>
      <c r="C199" s="305" t="s">
        <v>454</v>
      </c>
      <c r="D199" s="305" t="s">
        <v>11</v>
      </c>
      <c r="E199" s="52" t="s">
        <v>675</v>
      </c>
      <c r="F199" s="326" t="s">
        <v>449</v>
      </c>
      <c r="G199" s="326"/>
      <c r="H199" s="52" t="s">
        <v>512</v>
      </c>
      <c r="I199" s="52" t="s">
        <v>526</v>
      </c>
      <c r="J199" s="52"/>
      <c r="K199" s="52"/>
      <c r="L199" s="52" t="s">
        <v>781</v>
      </c>
      <c r="M199" s="309"/>
      <c r="N199" s="52"/>
      <c r="O199" s="52"/>
    </row>
    <row r="200" ht="14.25" customHeight="1">
      <c r="A200" s="325">
        <v>198.0</v>
      </c>
      <c r="B200" s="305" t="s">
        <v>343</v>
      </c>
      <c r="C200" s="305" t="s">
        <v>454</v>
      </c>
      <c r="D200" s="305" t="s">
        <v>12</v>
      </c>
      <c r="E200" s="52"/>
      <c r="F200" s="335" t="s">
        <v>450</v>
      </c>
      <c r="G200" s="335"/>
      <c r="H200" s="52" t="s">
        <v>519</v>
      </c>
      <c r="I200" s="52"/>
      <c r="J200" s="52"/>
      <c r="K200" s="52"/>
      <c r="L200" s="52" t="s">
        <v>765</v>
      </c>
      <c r="M200" s="309"/>
      <c r="N200" s="52"/>
      <c r="O200" s="52"/>
    </row>
    <row r="201" ht="14.25" customHeight="1">
      <c r="A201" s="325">
        <v>199.0</v>
      </c>
      <c r="B201" s="305" t="s">
        <v>349</v>
      </c>
      <c r="C201" s="305" t="s">
        <v>454</v>
      </c>
      <c r="D201" s="305" t="s">
        <v>114</v>
      </c>
      <c r="E201" s="52" t="s">
        <v>665</v>
      </c>
      <c r="F201" s="326" t="s">
        <v>449</v>
      </c>
      <c r="G201" s="326"/>
      <c r="H201" s="52" t="s">
        <v>782</v>
      </c>
      <c r="I201" s="52" t="s">
        <v>783</v>
      </c>
      <c r="J201" s="52"/>
      <c r="K201" s="52"/>
      <c r="L201" s="52" t="s">
        <v>690</v>
      </c>
      <c r="M201" s="309"/>
      <c r="N201" s="52"/>
      <c r="O201" s="52"/>
    </row>
    <row r="202" ht="14.25" customHeight="1">
      <c r="A202" s="325">
        <v>200.0</v>
      </c>
      <c r="B202" s="305" t="s">
        <v>350</v>
      </c>
      <c r="C202" s="305" t="s">
        <v>454</v>
      </c>
      <c r="D202" s="52" t="s">
        <v>12</v>
      </c>
      <c r="E202" s="52" t="s">
        <v>675</v>
      </c>
      <c r="F202" s="326" t="s">
        <v>449</v>
      </c>
      <c r="G202" s="326"/>
      <c r="H202" s="52" t="s">
        <v>784</v>
      </c>
      <c r="I202" s="52" t="s">
        <v>785</v>
      </c>
      <c r="J202" s="52"/>
      <c r="K202" s="52"/>
      <c r="L202" s="52" t="s">
        <v>690</v>
      </c>
      <c r="M202" s="309"/>
      <c r="N202" s="52"/>
      <c r="O202" s="52"/>
    </row>
    <row r="203" ht="14.25" customHeight="1">
      <c r="A203" s="325">
        <v>201.0</v>
      </c>
      <c r="B203" s="52" t="s">
        <v>124</v>
      </c>
      <c r="C203" s="325" t="s">
        <v>466</v>
      </c>
      <c r="D203" s="52" t="s">
        <v>113</v>
      </c>
      <c r="E203" s="52" t="s">
        <v>665</v>
      </c>
      <c r="F203" s="326" t="s">
        <v>449</v>
      </c>
      <c r="G203" s="326"/>
      <c r="H203" s="52" t="s">
        <v>785</v>
      </c>
      <c r="I203" s="52" t="s">
        <v>512</v>
      </c>
      <c r="J203" s="52"/>
      <c r="K203" s="52"/>
      <c r="L203" s="52" t="s">
        <v>767</v>
      </c>
      <c r="M203" s="309"/>
      <c r="N203" s="52"/>
      <c r="O203" s="52"/>
    </row>
    <row r="204" ht="14.25" customHeight="1">
      <c r="A204" s="325">
        <v>202.0</v>
      </c>
      <c r="B204" s="305" t="s">
        <v>348</v>
      </c>
      <c r="C204" s="305" t="s">
        <v>454</v>
      </c>
      <c r="D204" s="52" t="s">
        <v>15</v>
      </c>
      <c r="E204" s="52" t="s">
        <v>665</v>
      </c>
      <c r="F204" s="326" t="s">
        <v>449</v>
      </c>
      <c r="G204" s="326"/>
      <c r="H204" s="52" t="s">
        <v>785</v>
      </c>
      <c r="I204" s="52" t="s">
        <v>514</v>
      </c>
      <c r="J204" s="52"/>
      <c r="K204" s="52"/>
      <c r="L204" s="52" t="s">
        <v>690</v>
      </c>
      <c r="M204" s="309"/>
      <c r="N204" s="52"/>
      <c r="O204" s="52"/>
    </row>
    <row r="205" ht="14.25" customHeight="1">
      <c r="A205" s="325">
        <v>203.0</v>
      </c>
      <c r="B205" s="305" t="s">
        <v>125</v>
      </c>
      <c r="C205" s="325" t="s">
        <v>466</v>
      </c>
      <c r="D205" s="52" t="s">
        <v>12</v>
      </c>
      <c r="E205" s="52" t="s">
        <v>675</v>
      </c>
      <c r="F205" s="326" t="s">
        <v>449</v>
      </c>
      <c r="G205" s="326"/>
      <c r="H205" s="52" t="s">
        <v>512</v>
      </c>
      <c r="I205" s="52" t="s">
        <v>786</v>
      </c>
      <c r="J205" s="52"/>
      <c r="K205" s="52"/>
      <c r="L205" s="52" t="s">
        <v>767</v>
      </c>
      <c r="M205" s="309"/>
      <c r="N205" s="52"/>
      <c r="O205" s="52"/>
    </row>
    <row r="206" ht="14.25" customHeight="1">
      <c r="A206" s="325">
        <v>204.0</v>
      </c>
      <c r="B206" s="305" t="s">
        <v>356</v>
      </c>
      <c r="C206" s="305" t="s">
        <v>454</v>
      </c>
      <c r="D206" s="52" t="s">
        <v>15</v>
      </c>
      <c r="E206" s="52" t="s">
        <v>665</v>
      </c>
      <c r="F206" s="326" t="s">
        <v>449</v>
      </c>
      <c r="G206" s="326"/>
      <c r="H206" s="52" t="s">
        <v>779</v>
      </c>
      <c r="I206" s="52" t="s">
        <v>787</v>
      </c>
      <c r="J206" s="52"/>
      <c r="K206" s="52"/>
      <c r="L206" s="52" t="s">
        <v>788</v>
      </c>
      <c r="M206" s="309"/>
      <c r="N206" s="52"/>
      <c r="O206" s="52"/>
    </row>
    <row r="207" ht="14.25" customHeight="1">
      <c r="A207" s="325">
        <v>205.0</v>
      </c>
      <c r="B207" s="52" t="s">
        <v>366</v>
      </c>
      <c r="C207" s="305" t="s">
        <v>454</v>
      </c>
      <c r="D207" s="52" t="s">
        <v>12</v>
      </c>
      <c r="E207" s="52" t="s">
        <v>675</v>
      </c>
      <c r="F207" s="326" t="s">
        <v>449</v>
      </c>
      <c r="G207" s="326"/>
      <c r="H207" s="52" t="s">
        <v>513</v>
      </c>
      <c r="I207" s="52" t="s">
        <v>789</v>
      </c>
      <c r="J207" s="52"/>
      <c r="K207" s="52"/>
      <c r="L207" s="52" t="s">
        <v>790</v>
      </c>
      <c r="M207" s="309"/>
      <c r="N207" s="52"/>
      <c r="O207" s="52"/>
    </row>
    <row r="208" ht="14.25" customHeight="1">
      <c r="A208" s="325">
        <v>206.0</v>
      </c>
      <c r="B208" s="52" t="s">
        <v>367</v>
      </c>
      <c r="C208" s="305" t="s">
        <v>454</v>
      </c>
      <c r="D208" s="52" t="s">
        <v>15</v>
      </c>
      <c r="E208" s="52" t="s">
        <v>675</v>
      </c>
      <c r="F208" s="326" t="s">
        <v>449</v>
      </c>
      <c r="G208" s="326"/>
      <c r="H208" s="52" t="s">
        <v>514</v>
      </c>
      <c r="I208" s="52" t="s">
        <v>791</v>
      </c>
      <c r="J208" s="52"/>
      <c r="K208" s="52"/>
      <c r="L208" s="52" t="s">
        <v>773</v>
      </c>
      <c r="M208" s="309"/>
      <c r="N208" s="52"/>
      <c r="O208" s="52"/>
    </row>
    <row r="209" ht="14.25" customHeight="1">
      <c r="A209" s="325">
        <v>207.0</v>
      </c>
      <c r="B209" s="52" t="s">
        <v>351</v>
      </c>
      <c r="C209" s="305" t="s">
        <v>454</v>
      </c>
      <c r="D209" s="52" t="s">
        <v>747</v>
      </c>
      <c r="E209" s="52" t="s">
        <v>665</v>
      </c>
      <c r="F209" s="326" t="s">
        <v>449</v>
      </c>
      <c r="G209" s="326"/>
      <c r="H209" s="52" t="s">
        <v>516</v>
      </c>
      <c r="I209" s="52" t="s">
        <v>792</v>
      </c>
      <c r="J209" s="52" t="s">
        <v>727</v>
      </c>
      <c r="K209" s="52" t="s">
        <v>523</v>
      </c>
      <c r="L209" s="52" t="s">
        <v>690</v>
      </c>
      <c r="M209" s="309"/>
      <c r="N209" s="52"/>
      <c r="O209" s="52"/>
    </row>
    <row r="210" ht="14.25" customHeight="1">
      <c r="A210" s="325">
        <v>208.0</v>
      </c>
      <c r="B210" s="52" t="s">
        <v>260</v>
      </c>
      <c r="C210" s="325" t="s">
        <v>577</v>
      </c>
      <c r="D210" s="52" t="s">
        <v>759</v>
      </c>
      <c r="E210" s="52" t="s">
        <v>665</v>
      </c>
      <c r="F210" s="326" t="s">
        <v>449</v>
      </c>
      <c r="G210" s="326"/>
      <c r="H210" s="52" t="s">
        <v>793</v>
      </c>
      <c r="I210" s="52" t="s">
        <v>794</v>
      </c>
      <c r="J210" s="52"/>
      <c r="K210" s="52"/>
      <c r="L210" s="52" t="s">
        <v>766</v>
      </c>
      <c r="M210" s="309"/>
      <c r="N210" s="52"/>
      <c r="O210" s="52"/>
    </row>
    <row r="211" ht="14.25" customHeight="1">
      <c r="A211" s="325">
        <v>209.0</v>
      </c>
      <c r="B211" s="52" t="s">
        <v>372</v>
      </c>
      <c r="C211" s="305" t="s">
        <v>454</v>
      </c>
      <c r="D211" s="52" t="s">
        <v>250</v>
      </c>
      <c r="E211" s="52" t="s">
        <v>665</v>
      </c>
      <c r="F211" s="326" t="s">
        <v>449</v>
      </c>
      <c r="G211" s="326"/>
      <c r="H211" s="52" t="s">
        <v>516</v>
      </c>
      <c r="I211" s="52" t="s">
        <v>529</v>
      </c>
      <c r="J211" s="52" t="s">
        <v>727</v>
      </c>
      <c r="K211" s="52" t="s">
        <v>523</v>
      </c>
      <c r="L211" s="52" t="s">
        <v>765</v>
      </c>
      <c r="M211" s="309"/>
      <c r="N211" s="52"/>
      <c r="O211" s="52"/>
    </row>
    <row r="212" ht="14.25" customHeight="1">
      <c r="A212" s="325">
        <v>210.0</v>
      </c>
      <c r="B212" s="52" t="s">
        <v>236</v>
      </c>
      <c r="C212" s="325" t="s">
        <v>577</v>
      </c>
      <c r="D212" s="52" t="s">
        <v>759</v>
      </c>
      <c r="E212" s="52" t="s">
        <v>778</v>
      </c>
      <c r="F212" s="326" t="s">
        <v>449</v>
      </c>
      <c r="G212" s="326"/>
      <c r="H212" s="52" t="s">
        <v>795</v>
      </c>
      <c r="I212" s="52" t="s">
        <v>534</v>
      </c>
      <c r="J212" s="52" t="s">
        <v>727</v>
      </c>
      <c r="K212" s="52" t="s">
        <v>523</v>
      </c>
      <c r="L212" s="52" t="s">
        <v>755</v>
      </c>
      <c r="M212" s="309"/>
      <c r="N212" s="52"/>
      <c r="O212" s="52"/>
    </row>
    <row r="213" ht="14.25" customHeight="1">
      <c r="A213" s="325">
        <v>211.0</v>
      </c>
      <c r="B213" s="305" t="s">
        <v>43</v>
      </c>
      <c r="C213" s="317" t="s">
        <v>466</v>
      </c>
      <c r="D213" s="52" t="s">
        <v>747</v>
      </c>
      <c r="E213" s="52" t="s">
        <v>778</v>
      </c>
      <c r="F213" s="326" t="s">
        <v>449</v>
      </c>
      <c r="G213" s="326"/>
      <c r="H213" s="52" t="s">
        <v>516</v>
      </c>
      <c r="I213" s="52" t="s">
        <v>794</v>
      </c>
      <c r="J213" s="52"/>
      <c r="K213" s="52"/>
      <c r="L213" s="52" t="s">
        <v>767</v>
      </c>
      <c r="M213" s="309"/>
      <c r="N213" s="52"/>
      <c r="O213" s="52"/>
    </row>
    <row r="214" ht="14.25" customHeight="1">
      <c r="A214" s="325">
        <v>212.0</v>
      </c>
      <c r="B214" s="52" t="s">
        <v>139</v>
      </c>
      <c r="C214" s="325" t="s">
        <v>466</v>
      </c>
      <c r="D214" s="52" t="s">
        <v>10</v>
      </c>
      <c r="E214" s="52" t="s">
        <v>665</v>
      </c>
      <c r="F214" s="326" t="s">
        <v>449</v>
      </c>
      <c r="G214" s="326"/>
      <c r="H214" s="52" t="s">
        <v>786</v>
      </c>
      <c r="I214" s="52" t="s">
        <v>796</v>
      </c>
      <c r="J214" s="52"/>
      <c r="K214" s="52"/>
      <c r="L214" s="52" t="s">
        <v>767</v>
      </c>
      <c r="M214" s="309"/>
      <c r="N214" s="52"/>
      <c r="O214" s="52"/>
    </row>
    <row r="215" ht="14.25" customHeight="1">
      <c r="A215" s="325">
        <v>213.0</v>
      </c>
      <c r="B215" s="52" t="s">
        <v>324</v>
      </c>
      <c r="C215" s="305" t="s">
        <v>454</v>
      </c>
      <c r="D215" s="52" t="s">
        <v>34</v>
      </c>
      <c r="E215" s="52" t="s">
        <v>665</v>
      </c>
      <c r="F215" s="326" t="s">
        <v>449</v>
      </c>
      <c r="G215" s="326"/>
      <c r="H215" s="52" t="s">
        <v>797</v>
      </c>
      <c r="I215" s="52" t="s">
        <v>791</v>
      </c>
      <c r="J215" s="52"/>
      <c r="K215" s="52"/>
      <c r="L215" s="52" t="s">
        <v>798</v>
      </c>
      <c r="M215" s="309"/>
      <c r="N215" s="52"/>
      <c r="O215" s="52"/>
    </row>
    <row r="216" ht="14.25" customHeight="1">
      <c r="A216" s="325">
        <v>214.0</v>
      </c>
      <c r="B216" s="305" t="s">
        <v>45</v>
      </c>
      <c r="C216" s="317" t="s">
        <v>466</v>
      </c>
      <c r="D216" s="52" t="s">
        <v>35</v>
      </c>
      <c r="E216" s="52" t="s">
        <v>675</v>
      </c>
      <c r="F216" s="326" t="s">
        <v>449</v>
      </c>
      <c r="G216" s="326"/>
      <c r="H216" s="52" t="s">
        <v>799</v>
      </c>
      <c r="I216" s="52" t="s">
        <v>519</v>
      </c>
      <c r="J216" s="52"/>
      <c r="K216" s="52"/>
      <c r="L216" s="52" t="s">
        <v>767</v>
      </c>
      <c r="M216" s="309"/>
      <c r="N216" s="52"/>
      <c r="O216" s="52"/>
    </row>
    <row r="217" ht="14.25" customHeight="1">
      <c r="A217" s="325">
        <v>215.0</v>
      </c>
      <c r="B217" s="305" t="s">
        <v>323</v>
      </c>
      <c r="C217" s="305" t="s">
        <v>454</v>
      </c>
      <c r="D217" s="52" t="s">
        <v>12</v>
      </c>
      <c r="E217" s="52" t="s">
        <v>675</v>
      </c>
      <c r="F217" s="326" t="s">
        <v>449</v>
      </c>
      <c r="G217" s="326"/>
      <c r="H217" s="52" t="s">
        <v>529</v>
      </c>
      <c r="I217" s="52" t="s">
        <v>539</v>
      </c>
      <c r="J217" s="52" t="s">
        <v>523</v>
      </c>
      <c r="K217" s="52" t="s">
        <v>523</v>
      </c>
      <c r="L217" s="52" t="s">
        <v>798</v>
      </c>
      <c r="M217" s="309"/>
      <c r="N217" s="52"/>
      <c r="O217" s="52"/>
    </row>
    <row r="218" ht="14.25" customHeight="1">
      <c r="A218" s="325">
        <v>216.0</v>
      </c>
      <c r="B218" s="305" t="s">
        <v>91</v>
      </c>
      <c r="C218" s="325" t="s">
        <v>466</v>
      </c>
      <c r="D218" s="52" t="s">
        <v>13</v>
      </c>
      <c r="E218" s="52" t="s">
        <v>665</v>
      </c>
      <c r="F218" s="326" t="s">
        <v>449</v>
      </c>
      <c r="G218" s="326"/>
      <c r="H218" s="52" t="s">
        <v>517</v>
      </c>
      <c r="I218" s="52" t="s">
        <v>533</v>
      </c>
      <c r="J218" s="52" t="s">
        <v>727</v>
      </c>
      <c r="K218" s="52" t="s">
        <v>523</v>
      </c>
      <c r="L218" s="52" t="s">
        <v>767</v>
      </c>
      <c r="M218" s="309"/>
      <c r="N218" s="52"/>
      <c r="O218" s="52"/>
    </row>
    <row r="219" ht="14.25" customHeight="1">
      <c r="A219" s="325">
        <v>217.0</v>
      </c>
      <c r="B219" s="52" t="s">
        <v>316</v>
      </c>
      <c r="C219" s="305" t="s">
        <v>454</v>
      </c>
      <c r="D219" s="52" t="s">
        <v>35</v>
      </c>
      <c r="E219" s="52" t="s">
        <v>665</v>
      </c>
      <c r="F219" s="326" t="s">
        <v>449</v>
      </c>
      <c r="G219" s="326"/>
      <c r="H219" s="52" t="s">
        <v>787</v>
      </c>
      <c r="I219" s="52" t="s">
        <v>532</v>
      </c>
      <c r="J219" s="52" t="s">
        <v>727</v>
      </c>
      <c r="K219" s="52" t="s">
        <v>523</v>
      </c>
      <c r="L219" s="52" t="s">
        <v>798</v>
      </c>
      <c r="M219" s="309"/>
      <c r="N219" s="52"/>
      <c r="O219" s="52"/>
    </row>
    <row r="220" ht="14.25" customHeight="1">
      <c r="A220" s="325">
        <v>218.0</v>
      </c>
      <c r="B220" s="305" t="s">
        <v>317</v>
      </c>
      <c r="C220" s="305" t="s">
        <v>454</v>
      </c>
      <c r="D220" s="52" t="s">
        <v>113</v>
      </c>
      <c r="E220" s="52" t="s">
        <v>665</v>
      </c>
      <c r="F220" s="326" t="s">
        <v>449</v>
      </c>
      <c r="G220" s="326"/>
      <c r="H220" s="52" t="s">
        <v>521</v>
      </c>
      <c r="I220" s="52" t="s">
        <v>800</v>
      </c>
      <c r="J220" s="52" t="s">
        <v>727</v>
      </c>
      <c r="K220" s="52" t="s">
        <v>523</v>
      </c>
      <c r="L220" s="52" t="s">
        <v>690</v>
      </c>
      <c r="M220" s="309"/>
      <c r="N220" s="52"/>
      <c r="O220" s="52"/>
    </row>
    <row r="221" ht="14.25" customHeight="1">
      <c r="A221" s="325">
        <v>219.0</v>
      </c>
      <c r="B221" s="305" t="s">
        <v>376</v>
      </c>
      <c r="C221" s="305" t="s">
        <v>454</v>
      </c>
      <c r="D221" s="52" t="s">
        <v>250</v>
      </c>
      <c r="E221" s="52" t="s">
        <v>669</v>
      </c>
      <c r="F221" s="326" t="s">
        <v>449</v>
      </c>
      <c r="G221" s="326"/>
      <c r="H221" s="52" t="s">
        <v>521</v>
      </c>
      <c r="I221" s="52" t="s">
        <v>801</v>
      </c>
      <c r="J221" s="52" t="s">
        <v>727</v>
      </c>
      <c r="K221" s="52" t="s">
        <v>523</v>
      </c>
      <c r="L221" s="52" t="s">
        <v>766</v>
      </c>
      <c r="M221" s="309"/>
      <c r="N221" s="52"/>
      <c r="O221" s="52"/>
    </row>
    <row r="222" ht="14.25" customHeight="1">
      <c r="A222" s="325">
        <v>220.0</v>
      </c>
      <c r="B222" s="305" t="s">
        <v>187</v>
      </c>
      <c r="C222" s="325" t="s">
        <v>466</v>
      </c>
      <c r="D222" s="52" t="s">
        <v>167</v>
      </c>
      <c r="E222" s="52" t="s">
        <v>675</v>
      </c>
      <c r="F222" s="326" t="s">
        <v>449</v>
      </c>
      <c r="G222" s="326"/>
      <c r="H222" s="52" t="s">
        <v>796</v>
      </c>
      <c r="I222" s="52" t="s">
        <v>534</v>
      </c>
      <c r="J222" s="52" t="s">
        <v>727</v>
      </c>
      <c r="K222" s="52" t="s">
        <v>523</v>
      </c>
      <c r="L222" s="52" t="s">
        <v>767</v>
      </c>
      <c r="M222" s="309"/>
      <c r="N222" s="52"/>
      <c r="O222" s="52"/>
    </row>
    <row r="223" ht="14.25" customHeight="1">
      <c r="A223" s="325">
        <v>221.0</v>
      </c>
      <c r="B223" s="305" t="s">
        <v>290</v>
      </c>
      <c r="C223" s="305" t="s">
        <v>454</v>
      </c>
      <c r="D223" s="52" t="s">
        <v>11</v>
      </c>
      <c r="E223" s="52" t="s">
        <v>665</v>
      </c>
      <c r="F223" s="326" t="s">
        <v>449</v>
      </c>
      <c r="G223" s="326"/>
      <c r="H223" s="52" t="s">
        <v>796</v>
      </c>
      <c r="I223" s="52" t="s">
        <v>522</v>
      </c>
      <c r="J223" s="52" t="s">
        <v>727</v>
      </c>
      <c r="K223" s="52" t="s">
        <v>523</v>
      </c>
      <c r="L223" s="52" t="s">
        <v>766</v>
      </c>
      <c r="M223" s="309"/>
      <c r="N223" s="52"/>
      <c r="O223" s="52"/>
    </row>
    <row r="224" ht="14.25" customHeight="1">
      <c r="A224" s="325">
        <v>222.0</v>
      </c>
      <c r="B224" s="305" t="s">
        <v>76</v>
      </c>
      <c r="C224" s="325" t="s">
        <v>466</v>
      </c>
      <c r="D224" s="52" t="s">
        <v>69</v>
      </c>
      <c r="E224" s="52" t="s">
        <v>675</v>
      </c>
      <c r="F224" s="326" t="s">
        <v>449</v>
      </c>
      <c r="G224" s="326"/>
      <c r="H224" s="52" t="s">
        <v>533</v>
      </c>
      <c r="I224" s="52" t="s">
        <v>522</v>
      </c>
      <c r="J224" s="52" t="s">
        <v>523</v>
      </c>
      <c r="K224" s="52" t="s">
        <v>523</v>
      </c>
      <c r="L224" s="52" t="s">
        <v>802</v>
      </c>
      <c r="M224" s="309"/>
      <c r="N224" s="52"/>
      <c r="O224" s="52"/>
    </row>
    <row r="225" ht="14.25" customHeight="1">
      <c r="A225" s="325">
        <v>223.0</v>
      </c>
      <c r="B225" s="52" t="s">
        <v>327</v>
      </c>
      <c r="C225" s="305" t="s">
        <v>454</v>
      </c>
      <c r="D225" s="52" t="s">
        <v>315</v>
      </c>
      <c r="E225" s="52" t="s">
        <v>675</v>
      </c>
      <c r="F225" s="326" t="s">
        <v>449</v>
      </c>
      <c r="G225" s="326"/>
      <c r="H225" s="52" t="s">
        <v>530</v>
      </c>
      <c r="I225" s="52" t="s">
        <v>540</v>
      </c>
      <c r="J225" s="52" t="s">
        <v>523</v>
      </c>
      <c r="K225" s="52" t="s">
        <v>523</v>
      </c>
      <c r="L225" s="52" t="s">
        <v>765</v>
      </c>
      <c r="M225" s="309"/>
      <c r="N225" s="52"/>
      <c r="O225" s="52"/>
    </row>
    <row r="226" ht="14.25" customHeight="1">
      <c r="A226" s="325">
        <v>224.0</v>
      </c>
      <c r="B226" s="52" t="s">
        <v>222</v>
      </c>
      <c r="C226" s="325" t="s">
        <v>466</v>
      </c>
      <c r="D226" s="52" t="s">
        <v>13</v>
      </c>
      <c r="E226" s="52" t="s">
        <v>669</v>
      </c>
      <c r="F226" s="326" t="s">
        <v>449</v>
      </c>
      <c r="G226" s="326"/>
      <c r="H226" s="52" t="s">
        <v>537</v>
      </c>
      <c r="I226" s="52" t="s">
        <v>803</v>
      </c>
      <c r="J226" s="52" t="s">
        <v>523</v>
      </c>
      <c r="K226" s="52" t="s">
        <v>523</v>
      </c>
      <c r="L226" s="52" t="s">
        <v>790</v>
      </c>
      <c r="M226" s="309"/>
      <c r="N226" s="52"/>
      <c r="O226" s="52"/>
    </row>
    <row r="227" ht="14.25" customHeight="1">
      <c r="A227" s="325">
        <v>225.0</v>
      </c>
      <c r="B227" s="52" t="s">
        <v>320</v>
      </c>
      <c r="C227" s="305" t="s">
        <v>454</v>
      </c>
      <c r="D227" s="52" t="s">
        <v>34</v>
      </c>
      <c r="E227" s="52" t="s">
        <v>665</v>
      </c>
      <c r="F227" s="326" t="s">
        <v>449</v>
      </c>
      <c r="G227" s="326"/>
      <c r="H227" s="52" t="s">
        <v>804</v>
      </c>
      <c r="I227" s="52" t="s">
        <v>547</v>
      </c>
      <c r="J227" s="52" t="s">
        <v>523</v>
      </c>
      <c r="K227" s="52" t="s">
        <v>523</v>
      </c>
      <c r="L227" s="52" t="s">
        <v>805</v>
      </c>
      <c r="M227" s="309"/>
      <c r="N227" s="52"/>
      <c r="O227" s="52"/>
    </row>
    <row r="228" ht="14.25" customHeight="1">
      <c r="A228" s="325">
        <v>226.0</v>
      </c>
      <c r="B228" s="52" t="s">
        <v>309</v>
      </c>
      <c r="C228" s="305" t="s">
        <v>454</v>
      </c>
      <c r="D228" s="52" t="s">
        <v>36</v>
      </c>
      <c r="E228" s="52" t="s">
        <v>665</v>
      </c>
      <c r="F228" s="326" t="s">
        <v>449</v>
      </c>
      <c r="G228" s="326"/>
      <c r="H228" s="52" t="s">
        <v>535</v>
      </c>
      <c r="I228" s="52" t="s">
        <v>559</v>
      </c>
      <c r="J228" s="52" t="s">
        <v>523</v>
      </c>
      <c r="K228" s="52" t="s">
        <v>545</v>
      </c>
      <c r="L228" s="52" t="s">
        <v>690</v>
      </c>
      <c r="M228" s="309"/>
      <c r="N228" s="52"/>
      <c r="O228" s="52"/>
    </row>
    <row r="229" ht="14.25" customHeight="1">
      <c r="A229" s="325">
        <v>227.0</v>
      </c>
      <c r="B229" s="305" t="s">
        <v>177</v>
      </c>
      <c r="C229" s="325" t="s">
        <v>466</v>
      </c>
      <c r="D229" s="52" t="s">
        <v>169</v>
      </c>
      <c r="E229" s="52" t="s">
        <v>665</v>
      </c>
      <c r="F229" s="326" t="s">
        <v>449</v>
      </c>
      <c r="G229" s="326"/>
      <c r="H229" s="52" t="s">
        <v>804</v>
      </c>
      <c r="I229" s="52" t="s">
        <v>539</v>
      </c>
      <c r="J229" s="52" t="s">
        <v>523</v>
      </c>
      <c r="K229" s="52" t="s">
        <v>523</v>
      </c>
      <c r="L229" s="52" t="s">
        <v>806</v>
      </c>
      <c r="M229" s="309"/>
      <c r="N229" s="52"/>
      <c r="O229" s="52"/>
    </row>
    <row r="230" ht="14.25" customHeight="1">
      <c r="A230" s="325">
        <v>228.0</v>
      </c>
      <c r="B230" s="305" t="s">
        <v>157</v>
      </c>
      <c r="C230" s="325" t="s">
        <v>466</v>
      </c>
      <c r="D230" s="52" t="s">
        <v>147</v>
      </c>
      <c r="E230" s="52" t="s">
        <v>675</v>
      </c>
      <c r="F230" s="326" t="s">
        <v>449</v>
      </c>
      <c r="G230" s="326"/>
      <c r="H230" s="52" t="s">
        <v>804</v>
      </c>
      <c r="I230" s="52" t="s">
        <v>549</v>
      </c>
      <c r="J230" s="52" t="s">
        <v>523</v>
      </c>
      <c r="K230" s="52" t="s">
        <v>523</v>
      </c>
      <c r="L230" s="52" t="s">
        <v>802</v>
      </c>
      <c r="M230" s="309"/>
      <c r="N230" s="52"/>
      <c r="O230" s="52"/>
    </row>
    <row r="231" ht="14.25" customHeight="1">
      <c r="A231" s="325">
        <v>229.0</v>
      </c>
      <c r="B231" s="52" t="s">
        <v>212</v>
      </c>
      <c r="C231" s="325" t="s">
        <v>466</v>
      </c>
      <c r="D231" s="52" t="s">
        <v>115</v>
      </c>
      <c r="E231" s="52" t="s">
        <v>665</v>
      </c>
      <c r="F231" s="326" t="s">
        <v>449</v>
      </c>
      <c r="G231" s="326"/>
      <c r="H231" s="52" t="s">
        <v>539</v>
      </c>
      <c r="I231" s="52" t="s">
        <v>807</v>
      </c>
      <c r="J231" s="52" t="s">
        <v>523</v>
      </c>
      <c r="K231" s="52" t="s">
        <v>523</v>
      </c>
      <c r="L231" s="52" t="s">
        <v>765</v>
      </c>
      <c r="M231" s="309"/>
      <c r="N231" s="52"/>
      <c r="O231" s="52"/>
    </row>
    <row r="232" ht="14.25" customHeight="1">
      <c r="A232" s="325">
        <v>230.0</v>
      </c>
      <c r="B232" s="305" t="s">
        <v>163</v>
      </c>
      <c r="C232" s="325" t="s">
        <v>466</v>
      </c>
      <c r="D232" s="52" t="s">
        <v>149</v>
      </c>
      <c r="E232" s="52" t="s">
        <v>675</v>
      </c>
      <c r="F232" s="326" t="s">
        <v>449</v>
      </c>
      <c r="G232" s="326"/>
      <c r="H232" s="52" t="s">
        <v>541</v>
      </c>
      <c r="I232" s="52" t="s">
        <v>808</v>
      </c>
      <c r="J232" s="52" t="s">
        <v>523</v>
      </c>
      <c r="K232" s="52" t="s">
        <v>523</v>
      </c>
      <c r="L232" s="52" t="s">
        <v>806</v>
      </c>
      <c r="M232" s="309"/>
      <c r="N232" s="52"/>
      <c r="O232" s="52"/>
    </row>
    <row r="233" ht="14.25" customHeight="1">
      <c r="A233" s="325">
        <v>231.0</v>
      </c>
      <c r="B233" s="305" t="s">
        <v>182</v>
      </c>
      <c r="C233" s="325" t="s">
        <v>466</v>
      </c>
      <c r="D233" s="52" t="s">
        <v>33</v>
      </c>
      <c r="E233" s="52" t="s">
        <v>675</v>
      </c>
      <c r="F233" s="326" t="s">
        <v>449</v>
      </c>
      <c r="G233" s="326"/>
      <c r="H233" s="52" t="s">
        <v>546</v>
      </c>
      <c r="I233" s="52" t="s">
        <v>554</v>
      </c>
      <c r="J233" s="52" t="s">
        <v>523</v>
      </c>
      <c r="K233" s="52" t="s">
        <v>523</v>
      </c>
      <c r="L233" s="52" t="s">
        <v>806</v>
      </c>
      <c r="M233" s="309"/>
      <c r="N233" s="52"/>
      <c r="O233" s="52"/>
    </row>
    <row r="234" ht="14.25" customHeight="1">
      <c r="A234" s="325">
        <v>232.0</v>
      </c>
      <c r="B234" s="305" t="s">
        <v>200</v>
      </c>
      <c r="C234" s="325" t="s">
        <v>466</v>
      </c>
      <c r="D234" s="52" t="s">
        <v>36</v>
      </c>
      <c r="E234" s="52" t="s">
        <v>669</v>
      </c>
      <c r="F234" s="326" t="s">
        <v>449</v>
      </c>
      <c r="G234" s="326"/>
      <c r="H234" s="52" t="s">
        <v>559</v>
      </c>
      <c r="I234" s="52" t="s">
        <v>574</v>
      </c>
      <c r="J234" s="52" t="s">
        <v>545</v>
      </c>
      <c r="K234" s="52" t="s">
        <v>545</v>
      </c>
      <c r="L234" s="52" t="s">
        <v>806</v>
      </c>
      <c r="M234" s="309"/>
      <c r="N234" s="52"/>
      <c r="O234" s="52"/>
    </row>
    <row r="235" ht="14.25" customHeight="1">
      <c r="A235" s="325">
        <v>233.0</v>
      </c>
      <c r="B235" s="305" t="s">
        <v>289</v>
      </c>
      <c r="C235" s="305" t="s">
        <v>454</v>
      </c>
      <c r="D235" s="52" t="s">
        <v>34</v>
      </c>
      <c r="E235" s="52" t="s">
        <v>669</v>
      </c>
      <c r="F235" s="326" t="s">
        <v>449</v>
      </c>
      <c r="G235" s="326"/>
      <c r="H235" s="52" t="s">
        <v>801</v>
      </c>
      <c r="I235" s="52" t="s">
        <v>809</v>
      </c>
      <c r="J235" s="52" t="s">
        <v>523</v>
      </c>
      <c r="K235" s="52" t="s">
        <v>545</v>
      </c>
      <c r="L235" s="52" t="s">
        <v>790</v>
      </c>
      <c r="M235" s="309"/>
      <c r="N235" s="52"/>
      <c r="O235" s="52"/>
    </row>
    <row r="236" ht="14.25" customHeight="1">
      <c r="A236" s="325">
        <v>234.0</v>
      </c>
      <c r="B236" s="305" t="s">
        <v>180</v>
      </c>
      <c r="C236" s="325" t="s">
        <v>466</v>
      </c>
      <c r="D236" s="52" t="s">
        <v>13</v>
      </c>
      <c r="E236" s="52" t="s">
        <v>665</v>
      </c>
      <c r="F236" s="326" t="s">
        <v>449</v>
      </c>
      <c r="G236" s="326"/>
      <c r="H236" s="52" t="s">
        <v>810</v>
      </c>
      <c r="I236" s="52" t="s">
        <v>811</v>
      </c>
      <c r="J236" s="52" t="s">
        <v>545</v>
      </c>
      <c r="K236" s="52" t="s">
        <v>545</v>
      </c>
      <c r="L236" s="52" t="s">
        <v>806</v>
      </c>
      <c r="M236" s="309"/>
      <c r="N236" s="52"/>
      <c r="O236" s="52"/>
    </row>
    <row r="237" ht="14.25" customHeight="1">
      <c r="A237" s="325">
        <v>235.0</v>
      </c>
      <c r="B237" s="305" t="s">
        <v>287</v>
      </c>
      <c r="C237" s="305" t="s">
        <v>454</v>
      </c>
      <c r="D237" s="52" t="s">
        <v>33</v>
      </c>
      <c r="E237" s="52" t="s">
        <v>665</v>
      </c>
      <c r="F237" s="326" t="s">
        <v>449</v>
      </c>
      <c r="G237" s="326"/>
      <c r="H237" s="52" t="s">
        <v>563</v>
      </c>
      <c r="I237" s="52" t="s">
        <v>570</v>
      </c>
      <c r="J237" s="52" t="s">
        <v>545</v>
      </c>
      <c r="K237" s="52" t="s">
        <v>545</v>
      </c>
      <c r="L237" s="52" t="s">
        <v>790</v>
      </c>
      <c r="M237" s="309"/>
      <c r="N237" s="52"/>
      <c r="O237" s="52"/>
    </row>
    <row r="238" ht="14.25" customHeight="1">
      <c r="A238" s="325">
        <v>236.0</v>
      </c>
      <c r="B238" s="305" t="s">
        <v>291</v>
      </c>
      <c r="C238" s="305" t="s">
        <v>454</v>
      </c>
      <c r="D238" s="52" t="s">
        <v>33</v>
      </c>
      <c r="E238" s="52" t="s">
        <v>665</v>
      </c>
      <c r="F238" s="326" t="s">
        <v>449</v>
      </c>
      <c r="G238" s="326"/>
      <c r="H238" s="52" t="s">
        <v>570</v>
      </c>
      <c r="I238" s="52" t="s">
        <v>583</v>
      </c>
      <c r="J238" s="52" t="s">
        <v>545</v>
      </c>
      <c r="K238" s="52" t="s">
        <v>572</v>
      </c>
      <c r="L238" s="52" t="s">
        <v>790</v>
      </c>
      <c r="M238" s="309"/>
      <c r="N238" s="52"/>
      <c r="O238" s="52"/>
    </row>
    <row r="239" ht="14.25" customHeight="1">
      <c r="A239" s="325">
        <v>237.0</v>
      </c>
      <c r="B239" s="52" t="s">
        <v>158</v>
      </c>
      <c r="C239" s="325" t="s">
        <v>466</v>
      </c>
      <c r="D239" s="52" t="s">
        <v>148</v>
      </c>
      <c r="E239" s="52" t="s">
        <v>665</v>
      </c>
      <c r="F239" s="326" t="s">
        <v>449</v>
      </c>
      <c r="G239" s="326"/>
      <c r="H239" s="52" t="s">
        <v>576</v>
      </c>
      <c r="I239" s="52" t="s">
        <v>571</v>
      </c>
      <c r="J239" s="52" t="s">
        <v>545</v>
      </c>
      <c r="K239" s="52" t="s">
        <v>572</v>
      </c>
      <c r="L239" s="52" t="s">
        <v>806</v>
      </c>
      <c r="M239" s="309"/>
      <c r="N239" s="52"/>
      <c r="O239" s="52"/>
    </row>
    <row r="240" ht="14.25" customHeight="1">
      <c r="A240" s="325">
        <v>238.0</v>
      </c>
      <c r="B240" s="305" t="s">
        <v>171</v>
      </c>
      <c r="C240" s="325" t="s">
        <v>466</v>
      </c>
      <c r="D240" s="52" t="s">
        <v>167</v>
      </c>
      <c r="E240" s="52" t="s">
        <v>675</v>
      </c>
      <c r="F240" s="326" t="s">
        <v>449</v>
      </c>
      <c r="G240" s="326"/>
      <c r="H240" s="52" t="s">
        <v>571</v>
      </c>
      <c r="I240" s="52" t="s">
        <v>599</v>
      </c>
      <c r="J240" s="52" t="s">
        <v>572</v>
      </c>
      <c r="K240" s="52" t="s">
        <v>572</v>
      </c>
      <c r="L240" s="52" t="s">
        <v>806</v>
      </c>
      <c r="M240" s="309"/>
      <c r="N240" s="52"/>
      <c r="O240" s="52"/>
    </row>
    <row r="241" ht="14.25" customHeight="1">
      <c r="A241" s="325">
        <v>239.0</v>
      </c>
      <c r="B241" s="305" t="s">
        <v>211</v>
      </c>
      <c r="C241" s="325" t="s">
        <v>466</v>
      </c>
      <c r="D241" s="52" t="s">
        <v>202</v>
      </c>
      <c r="E241" s="52" t="s">
        <v>665</v>
      </c>
      <c r="F241" s="326" t="s">
        <v>449</v>
      </c>
      <c r="G241" s="326"/>
      <c r="H241" s="52" t="s">
        <v>812</v>
      </c>
      <c r="I241" s="52" t="s">
        <v>603</v>
      </c>
      <c r="J241" s="52" t="s">
        <v>572</v>
      </c>
      <c r="K241" s="52" t="s">
        <v>572</v>
      </c>
      <c r="L241" s="52" t="s">
        <v>813</v>
      </c>
      <c r="M241" s="309"/>
      <c r="N241" s="52"/>
      <c r="O241" s="52"/>
    </row>
    <row r="242" ht="14.25" customHeight="1">
      <c r="A242" s="325">
        <v>240.0</v>
      </c>
      <c r="B242" s="305" t="s">
        <v>183</v>
      </c>
      <c r="C242" s="325" t="s">
        <v>466</v>
      </c>
      <c r="D242" s="52" t="s">
        <v>9</v>
      </c>
      <c r="E242" s="52" t="s">
        <v>675</v>
      </c>
      <c r="F242" s="326" t="s">
        <v>449</v>
      </c>
      <c r="G242" s="326"/>
      <c r="H242" s="52" t="s">
        <v>599</v>
      </c>
      <c r="I242" s="52" t="s">
        <v>611</v>
      </c>
      <c r="J242" s="52" t="s">
        <v>572</v>
      </c>
      <c r="K242" s="52" t="s">
        <v>572</v>
      </c>
      <c r="L242" s="52" t="s">
        <v>806</v>
      </c>
      <c r="M242" s="309"/>
      <c r="N242" s="52"/>
      <c r="O242" s="52"/>
    </row>
    <row r="243" ht="14.25" customHeight="1">
      <c r="A243" s="325">
        <v>241.0</v>
      </c>
      <c r="B243" s="305" t="s">
        <v>184</v>
      </c>
      <c r="C243" s="325" t="s">
        <v>466</v>
      </c>
      <c r="D243" s="52" t="s">
        <v>36</v>
      </c>
      <c r="E243" s="52" t="s">
        <v>665</v>
      </c>
      <c r="F243" s="326" t="s">
        <v>449</v>
      </c>
      <c r="G243" s="326"/>
      <c r="H243" s="52" t="s">
        <v>601</v>
      </c>
      <c r="I243" s="52" t="s">
        <v>605</v>
      </c>
      <c r="J243" s="52" t="s">
        <v>572</v>
      </c>
      <c r="K243" s="52" t="s">
        <v>572</v>
      </c>
      <c r="L243" s="52" t="s">
        <v>806</v>
      </c>
      <c r="M243" s="309"/>
      <c r="N243" s="52"/>
      <c r="O243" s="52"/>
    </row>
    <row r="244" ht="14.25" customHeight="1">
      <c r="A244" s="325">
        <v>242.0</v>
      </c>
      <c r="B244" s="305" t="s">
        <v>318</v>
      </c>
      <c r="C244" s="305" t="s">
        <v>454</v>
      </c>
      <c r="D244" s="52" t="s">
        <v>312</v>
      </c>
      <c r="E244" s="52" t="s">
        <v>665</v>
      </c>
      <c r="F244" s="326" t="s">
        <v>449</v>
      </c>
      <c r="G244" s="326"/>
      <c r="H244" s="52" t="s">
        <v>605</v>
      </c>
      <c r="I244" s="52" t="s">
        <v>814</v>
      </c>
      <c r="J244" s="52" t="s">
        <v>572</v>
      </c>
      <c r="K244" s="52" t="s">
        <v>596</v>
      </c>
      <c r="L244" s="52" t="s">
        <v>813</v>
      </c>
      <c r="M244" s="309"/>
      <c r="N244" s="52"/>
      <c r="O244" s="52"/>
    </row>
    <row r="245" ht="14.25" customHeight="1">
      <c r="A245" s="325">
        <v>243.0</v>
      </c>
      <c r="B245" s="305" t="s">
        <v>228</v>
      </c>
      <c r="C245" s="325" t="s">
        <v>577</v>
      </c>
      <c r="D245" s="52" t="s">
        <v>36</v>
      </c>
      <c r="E245" s="52" t="s">
        <v>665</v>
      </c>
      <c r="F245" s="326" t="s">
        <v>449</v>
      </c>
      <c r="G245" s="326"/>
      <c r="H245" s="52" t="s">
        <v>607</v>
      </c>
      <c r="I245" s="52" t="s">
        <v>625</v>
      </c>
      <c r="J245" s="52" t="s">
        <v>572</v>
      </c>
      <c r="K245" s="52" t="s">
        <v>596</v>
      </c>
      <c r="L245" s="52" t="s">
        <v>690</v>
      </c>
      <c r="M245" s="309"/>
      <c r="N245" s="52"/>
      <c r="O245" s="52"/>
    </row>
    <row r="246" ht="14.25" customHeight="1">
      <c r="A246" s="325">
        <v>244.0</v>
      </c>
      <c r="B246" s="52" t="s">
        <v>247</v>
      </c>
      <c r="C246" s="325" t="s">
        <v>577</v>
      </c>
      <c r="D246" s="52" t="s">
        <v>12</v>
      </c>
      <c r="E246" s="52" t="s">
        <v>665</v>
      </c>
      <c r="F246" s="326" t="s">
        <v>449</v>
      </c>
      <c r="G246" s="326"/>
      <c r="H246" s="52" t="s">
        <v>622</v>
      </c>
      <c r="I246" s="52" t="s">
        <v>637</v>
      </c>
      <c r="J246" s="52" t="s">
        <v>596</v>
      </c>
      <c r="K246" s="52" t="s">
        <v>596</v>
      </c>
      <c r="L246" s="52" t="s">
        <v>815</v>
      </c>
      <c r="M246" s="309"/>
      <c r="N246" s="52"/>
      <c r="O246" s="52"/>
    </row>
    <row r="247" ht="14.25" customHeight="1">
      <c r="A247" s="325">
        <v>245.0</v>
      </c>
      <c r="B247" s="52" t="s">
        <v>319</v>
      </c>
      <c r="C247" s="305" t="s">
        <v>454</v>
      </c>
      <c r="D247" s="25" t="s">
        <v>313</v>
      </c>
      <c r="E247" s="52" t="s">
        <v>665</v>
      </c>
      <c r="F247" s="326" t="s">
        <v>449</v>
      </c>
      <c r="G247" s="326"/>
      <c r="H247" s="52" t="s">
        <v>621</v>
      </c>
      <c r="I247" s="52" t="s">
        <v>623</v>
      </c>
      <c r="J247" s="52" t="s">
        <v>596</v>
      </c>
      <c r="K247" s="52" t="s">
        <v>596</v>
      </c>
      <c r="L247" s="52" t="s">
        <v>813</v>
      </c>
      <c r="M247" s="309"/>
      <c r="N247" s="52"/>
      <c r="O247" s="52"/>
    </row>
    <row r="248" ht="15.75" customHeight="1">
      <c r="A248" s="325">
        <v>246.0</v>
      </c>
      <c r="B248" s="52" t="s">
        <v>286</v>
      </c>
      <c r="C248" s="305" t="s">
        <v>454</v>
      </c>
      <c r="D248" s="321" t="s">
        <v>16</v>
      </c>
      <c r="E248" s="52" t="s">
        <v>778</v>
      </c>
      <c r="F248" s="326" t="s">
        <v>449</v>
      </c>
      <c r="G248" s="326"/>
      <c r="H248" s="52" t="s">
        <v>615</v>
      </c>
      <c r="I248" s="52" t="s">
        <v>640</v>
      </c>
      <c r="J248" s="52" t="s">
        <v>596</v>
      </c>
      <c r="K248" s="52" t="s">
        <v>620</v>
      </c>
      <c r="L248" s="52" t="s">
        <v>790</v>
      </c>
      <c r="M248" s="309"/>
      <c r="N248" s="52"/>
      <c r="O248" s="52"/>
    </row>
    <row r="249" ht="14.25" customHeight="1">
      <c r="A249" s="325">
        <v>247.0</v>
      </c>
      <c r="B249" s="52" t="s">
        <v>243</v>
      </c>
      <c r="C249" s="325" t="s">
        <v>577</v>
      </c>
      <c r="D249" s="122" t="s">
        <v>35</v>
      </c>
      <c r="E249" s="52" t="s">
        <v>669</v>
      </c>
      <c r="F249" s="326" t="s">
        <v>449</v>
      </c>
      <c r="G249" s="326"/>
      <c r="H249" s="52" t="s">
        <v>618</v>
      </c>
      <c r="I249" s="307">
        <v>46122.0</v>
      </c>
      <c r="J249" s="52" t="s">
        <v>596</v>
      </c>
      <c r="K249" s="52" t="s">
        <v>620</v>
      </c>
      <c r="L249" s="52" t="s">
        <v>815</v>
      </c>
      <c r="M249" s="309"/>
      <c r="N249" s="52"/>
      <c r="O249" s="52"/>
    </row>
    <row r="250" ht="14.25" customHeight="1">
      <c r="A250" s="325">
        <v>248.0</v>
      </c>
      <c r="B250" s="52" t="s">
        <v>355</v>
      </c>
      <c r="C250" s="305" t="s">
        <v>454</v>
      </c>
      <c r="D250" s="321" t="s">
        <v>11</v>
      </c>
      <c r="E250" s="52" t="s">
        <v>665</v>
      </c>
      <c r="F250" s="326" t="s">
        <v>449</v>
      </c>
      <c r="G250" s="326"/>
      <c r="H250" s="52" t="s">
        <v>618</v>
      </c>
      <c r="I250" s="52" t="s">
        <v>640</v>
      </c>
      <c r="J250" s="52" t="s">
        <v>596</v>
      </c>
      <c r="K250" s="52" t="s">
        <v>620</v>
      </c>
      <c r="L250" s="52" t="s">
        <v>765</v>
      </c>
      <c r="M250" s="309"/>
      <c r="N250" s="52"/>
      <c r="O250" s="52"/>
    </row>
    <row r="251" ht="14.25" customHeight="1">
      <c r="A251" s="325">
        <v>249.0</v>
      </c>
      <c r="B251" s="52" t="s">
        <v>234</v>
      </c>
      <c r="C251" s="325" t="s">
        <v>577</v>
      </c>
      <c r="D251" s="122" t="s">
        <v>33</v>
      </c>
      <c r="E251" s="52" t="s">
        <v>665</v>
      </c>
      <c r="F251" s="326" t="s">
        <v>449</v>
      </c>
      <c r="G251" s="326"/>
      <c r="H251" s="52" t="s">
        <v>628</v>
      </c>
      <c r="I251" s="52" t="s">
        <v>629</v>
      </c>
      <c r="J251" s="52" t="s">
        <v>596</v>
      </c>
      <c r="K251" s="52" t="s">
        <v>596</v>
      </c>
      <c r="L251" s="52" t="s">
        <v>690</v>
      </c>
      <c r="M251" s="309"/>
      <c r="N251" s="52"/>
      <c r="O251" s="52"/>
    </row>
    <row r="252" ht="14.25" customHeight="1">
      <c r="A252" s="325">
        <v>250.0</v>
      </c>
      <c r="B252" s="52" t="s">
        <v>235</v>
      </c>
      <c r="C252" s="325" t="s">
        <v>577</v>
      </c>
      <c r="D252" s="122" t="s">
        <v>34</v>
      </c>
      <c r="E252" s="52" t="s">
        <v>669</v>
      </c>
      <c r="F252" s="326" t="s">
        <v>449</v>
      </c>
      <c r="G252" s="326"/>
      <c r="H252" s="52" t="s">
        <v>637</v>
      </c>
      <c r="I252" s="307">
        <v>46120.0</v>
      </c>
      <c r="J252" s="52" t="s">
        <v>596</v>
      </c>
      <c r="K252" s="52" t="s">
        <v>620</v>
      </c>
      <c r="L252" s="52" t="s">
        <v>690</v>
      </c>
      <c r="M252" s="309"/>
      <c r="N252" s="52"/>
      <c r="O252" s="52"/>
    </row>
    <row r="253" ht="14.25" customHeight="1">
      <c r="A253" s="325">
        <v>251.0</v>
      </c>
      <c r="B253" s="305" t="s">
        <v>176</v>
      </c>
      <c r="C253" s="325" t="s">
        <v>466</v>
      </c>
      <c r="D253" s="321" t="s">
        <v>168</v>
      </c>
      <c r="E253" s="52" t="s">
        <v>665</v>
      </c>
      <c r="F253" s="326" t="s">
        <v>449</v>
      </c>
      <c r="G253" s="326"/>
      <c r="H253" s="52" t="s">
        <v>816</v>
      </c>
      <c r="I253" s="52" t="s">
        <v>638</v>
      </c>
      <c r="J253" s="52" t="s">
        <v>596</v>
      </c>
      <c r="K253" s="52" t="s">
        <v>620</v>
      </c>
      <c r="L253" s="52" t="s">
        <v>806</v>
      </c>
      <c r="M253" s="309"/>
      <c r="N253" s="52"/>
      <c r="O253" s="52"/>
    </row>
    <row r="254" ht="14.25" customHeight="1">
      <c r="A254" s="325">
        <v>252.0</v>
      </c>
      <c r="B254" s="52" t="s">
        <v>321</v>
      </c>
      <c r="C254" s="305" t="s">
        <v>454</v>
      </c>
      <c r="D254" s="336" t="s">
        <v>147</v>
      </c>
      <c r="E254" s="52" t="s">
        <v>665</v>
      </c>
      <c r="F254" s="326" t="s">
        <v>449</v>
      </c>
      <c r="G254" s="326"/>
      <c r="H254" s="52" t="s">
        <v>629</v>
      </c>
      <c r="I254" s="307">
        <v>46130.0</v>
      </c>
      <c r="J254" s="52" t="s">
        <v>620</v>
      </c>
      <c r="K254" s="52" t="s">
        <v>620</v>
      </c>
      <c r="L254" s="52" t="s">
        <v>813</v>
      </c>
      <c r="M254" s="309"/>
      <c r="N254" s="52"/>
      <c r="O254" s="52"/>
    </row>
    <row r="255" ht="14.25" customHeight="1">
      <c r="A255" s="325">
        <v>253.0</v>
      </c>
      <c r="B255" s="52" t="s">
        <v>199</v>
      </c>
      <c r="C255" s="325" t="s">
        <v>466</v>
      </c>
      <c r="D255" s="336" t="s">
        <v>113</v>
      </c>
      <c r="E255" s="52" t="s">
        <v>778</v>
      </c>
      <c r="F255" s="326" t="s">
        <v>449</v>
      </c>
      <c r="G255" s="326"/>
      <c r="H255" s="337" t="s">
        <v>636</v>
      </c>
      <c r="I255" s="307">
        <v>46121.0</v>
      </c>
      <c r="J255" s="52" t="s">
        <v>620</v>
      </c>
      <c r="K255" s="52" t="s">
        <v>620</v>
      </c>
      <c r="L255" s="52" t="s">
        <v>806</v>
      </c>
      <c r="M255" s="309"/>
      <c r="N255" s="52"/>
      <c r="O255" s="52"/>
    </row>
    <row r="256" ht="14.25" customHeight="1">
      <c r="A256" s="325">
        <v>254.0</v>
      </c>
      <c r="B256" s="318" t="s">
        <v>284</v>
      </c>
      <c r="C256" s="305" t="s">
        <v>577</v>
      </c>
      <c r="D256" s="321" t="s">
        <v>34</v>
      </c>
      <c r="E256" s="52"/>
      <c r="F256" s="338" t="s">
        <v>451</v>
      </c>
      <c r="G256" s="318"/>
      <c r="H256" s="337">
        <v>46126.0</v>
      </c>
      <c r="I256" s="52"/>
      <c r="J256" s="52" t="s">
        <v>620</v>
      </c>
      <c r="K256" s="52"/>
      <c r="L256" s="52" t="s">
        <v>690</v>
      </c>
      <c r="M256" s="309"/>
      <c r="N256" s="52"/>
      <c r="O256" s="52"/>
    </row>
    <row r="257" ht="14.25" customHeight="1">
      <c r="A257" s="325">
        <v>255.0</v>
      </c>
      <c r="B257" s="52" t="s">
        <v>29</v>
      </c>
      <c r="C257" s="317" t="s">
        <v>466</v>
      </c>
      <c r="D257" s="321" t="s">
        <v>16</v>
      </c>
      <c r="E257" s="52" t="s">
        <v>669</v>
      </c>
      <c r="F257" s="326" t="s">
        <v>449</v>
      </c>
      <c r="G257" s="326"/>
      <c r="H257" s="307">
        <v>46122.0</v>
      </c>
      <c r="I257" s="307">
        <v>46126.0</v>
      </c>
      <c r="J257" s="52" t="s">
        <v>620</v>
      </c>
      <c r="K257" s="52" t="s">
        <v>620</v>
      </c>
      <c r="L257" s="52" t="s">
        <v>806</v>
      </c>
      <c r="M257" s="309"/>
      <c r="N257" s="52"/>
      <c r="O257" s="52"/>
    </row>
    <row r="258" ht="14.25" customHeight="1">
      <c r="A258" s="325">
        <v>256.0</v>
      </c>
      <c r="B258" s="52" t="s">
        <v>304</v>
      </c>
      <c r="C258" s="305" t="s">
        <v>454</v>
      </c>
      <c r="D258" s="321" t="s">
        <v>147</v>
      </c>
      <c r="E258" s="52" t="s">
        <v>665</v>
      </c>
      <c r="F258" s="326" t="s">
        <v>449</v>
      </c>
      <c r="G258" s="326"/>
      <c r="H258" s="307">
        <v>46122.0</v>
      </c>
      <c r="I258" s="307">
        <v>46147.0</v>
      </c>
      <c r="J258" s="52" t="s">
        <v>620</v>
      </c>
      <c r="K258" s="52" t="s">
        <v>649</v>
      </c>
      <c r="L258" s="52" t="s">
        <v>790</v>
      </c>
      <c r="M258" s="309"/>
      <c r="N258" s="52"/>
      <c r="O258" s="52"/>
    </row>
    <row r="259" ht="14.25" customHeight="1">
      <c r="A259" s="325">
        <v>257.0</v>
      </c>
      <c r="B259" s="52" t="s">
        <v>231</v>
      </c>
      <c r="C259" s="52" t="s">
        <v>577</v>
      </c>
      <c r="D259" s="321" t="s">
        <v>34</v>
      </c>
      <c r="E259" s="52" t="s">
        <v>665</v>
      </c>
      <c r="F259" s="326" t="s">
        <v>449</v>
      </c>
      <c r="G259" s="326"/>
      <c r="H259" s="307">
        <v>46122.0</v>
      </c>
      <c r="I259" s="307">
        <v>46137.0</v>
      </c>
      <c r="J259" s="52" t="s">
        <v>620</v>
      </c>
      <c r="K259" s="52" t="s">
        <v>620</v>
      </c>
      <c r="L259" s="52" t="s">
        <v>690</v>
      </c>
      <c r="M259" s="309"/>
      <c r="N259" s="52"/>
      <c r="O259" s="52"/>
    </row>
    <row r="260" ht="14.25" customHeight="1">
      <c r="A260" s="325">
        <v>258.0</v>
      </c>
      <c r="B260" s="52" t="s">
        <v>262</v>
      </c>
      <c r="C260" s="305" t="s">
        <v>577</v>
      </c>
      <c r="D260" s="321" t="s">
        <v>33</v>
      </c>
      <c r="E260" s="52" t="s">
        <v>665</v>
      </c>
      <c r="F260" s="326" t="s">
        <v>449</v>
      </c>
      <c r="G260" s="326"/>
      <c r="H260" s="337">
        <v>46126.0</v>
      </c>
      <c r="I260" s="307">
        <v>46146.0</v>
      </c>
      <c r="J260" s="52" t="s">
        <v>620</v>
      </c>
      <c r="K260" s="52" t="s">
        <v>649</v>
      </c>
      <c r="L260" s="52" t="s">
        <v>690</v>
      </c>
      <c r="M260" s="309"/>
      <c r="N260" s="52"/>
      <c r="O260" s="52"/>
    </row>
    <row r="261" ht="14.25" customHeight="1">
      <c r="A261" s="325">
        <v>259.0</v>
      </c>
      <c r="B261" s="310" t="s">
        <v>28</v>
      </c>
      <c r="C261" s="317" t="s">
        <v>466</v>
      </c>
      <c r="D261" s="321" t="s">
        <v>12</v>
      </c>
      <c r="E261" s="52" t="s">
        <v>665</v>
      </c>
      <c r="F261" s="326" t="s">
        <v>449</v>
      </c>
      <c r="G261" s="326"/>
      <c r="H261" s="307">
        <v>46122.0</v>
      </c>
      <c r="I261" s="307">
        <v>46128.0</v>
      </c>
      <c r="J261" s="52" t="s">
        <v>620</v>
      </c>
      <c r="K261" s="52" t="s">
        <v>620</v>
      </c>
      <c r="L261" s="52" t="s">
        <v>806</v>
      </c>
      <c r="M261" s="309"/>
      <c r="N261" s="52"/>
      <c r="O261" s="52"/>
    </row>
    <row r="262" ht="14.25" customHeight="1">
      <c r="A262" s="325">
        <v>260.0</v>
      </c>
      <c r="B262" s="52" t="s">
        <v>283</v>
      </c>
      <c r="C262" s="305" t="s">
        <v>577</v>
      </c>
      <c r="D262" s="321" t="s">
        <v>33</v>
      </c>
      <c r="E262" s="52"/>
      <c r="F262" s="326" t="s">
        <v>449</v>
      </c>
      <c r="G262" s="326"/>
      <c r="H262" s="307">
        <v>46147.0</v>
      </c>
      <c r="I262" s="307">
        <v>46156.0</v>
      </c>
      <c r="J262" s="52" t="s">
        <v>649</v>
      </c>
      <c r="K262" s="52" t="s">
        <v>649</v>
      </c>
      <c r="L262" s="52" t="s">
        <v>690</v>
      </c>
      <c r="M262" s="309"/>
      <c r="N262" s="52"/>
      <c r="O262" s="52"/>
    </row>
    <row r="263" ht="14.25" customHeight="1">
      <c r="A263" s="52">
        <v>261.0</v>
      </c>
      <c r="B263" s="310" t="s">
        <v>25</v>
      </c>
      <c r="C263" s="317" t="s">
        <v>466</v>
      </c>
      <c r="D263" s="52" t="s">
        <v>15</v>
      </c>
      <c r="E263" s="52" t="s">
        <v>665</v>
      </c>
      <c r="F263" s="326" t="s">
        <v>449</v>
      </c>
      <c r="G263" s="326"/>
      <c r="H263" s="307">
        <v>46128.0</v>
      </c>
      <c r="I263" s="307">
        <v>46132.0</v>
      </c>
      <c r="J263" s="52" t="s">
        <v>620</v>
      </c>
      <c r="K263" s="52" t="s">
        <v>620</v>
      </c>
      <c r="L263" s="52" t="s">
        <v>806</v>
      </c>
      <c r="M263" s="309"/>
      <c r="N263" s="52"/>
      <c r="O263" s="52"/>
    </row>
    <row r="264" ht="14.25" customHeight="1">
      <c r="A264" s="52">
        <v>262.0</v>
      </c>
      <c r="B264" s="310" t="s">
        <v>26</v>
      </c>
      <c r="C264" s="317" t="s">
        <v>466</v>
      </c>
      <c r="D264" s="52" t="s">
        <v>12</v>
      </c>
      <c r="E264" s="52" t="s">
        <v>665</v>
      </c>
      <c r="F264" s="326" t="s">
        <v>449</v>
      </c>
      <c r="G264" s="326"/>
      <c r="H264" s="307">
        <v>46128.0</v>
      </c>
      <c r="I264" s="307">
        <v>46130.0</v>
      </c>
      <c r="J264" s="52" t="s">
        <v>620</v>
      </c>
      <c r="K264" s="52" t="s">
        <v>620</v>
      </c>
      <c r="L264" s="52" t="s">
        <v>806</v>
      </c>
      <c r="M264" s="309"/>
      <c r="N264" s="52"/>
      <c r="O264" s="52"/>
    </row>
    <row r="265" ht="14.25" customHeight="1">
      <c r="A265" s="52">
        <v>263.0</v>
      </c>
      <c r="B265" s="310" t="s">
        <v>20</v>
      </c>
      <c r="C265" s="317" t="s">
        <v>466</v>
      </c>
      <c r="D265" s="52" t="s">
        <v>11</v>
      </c>
      <c r="E265" s="52" t="s">
        <v>714</v>
      </c>
      <c r="F265" s="326" t="s">
        <v>449</v>
      </c>
      <c r="G265" s="326"/>
      <c r="H265" s="307">
        <v>46139.0</v>
      </c>
      <c r="I265" s="307">
        <v>46141.0</v>
      </c>
      <c r="J265" s="52" t="s">
        <v>620</v>
      </c>
      <c r="K265" s="52" t="s">
        <v>620</v>
      </c>
      <c r="L265" s="52" t="s">
        <v>806</v>
      </c>
      <c r="M265" s="309"/>
      <c r="N265" s="52"/>
      <c r="O265" s="52"/>
    </row>
    <row r="266" ht="14.25" customHeight="1">
      <c r="A266" s="52">
        <v>264.0</v>
      </c>
      <c r="B266" s="319" t="s">
        <v>22</v>
      </c>
      <c r="C266" s="317" t="s">
        <v>466</v>
      </c>
      <c r="D266" s="52" t="s">
        <v>13</v>
      </c>
      <c r="E266" s="52" t="s">
        <v>714</v>
      </c>
      <c r="F266" s="326" t="s">
        <v>449</v>
      </c>
      <c r="G266" s="326"/>
      <c r="H266" s="307">
        <v>46143.0</v>
      </c>
      <c r="I266" s="307">
        <v>46148.0</v>
      </c>
      <c r="J266" s="52" t="s">
        <v>649</v>
      </c>
      <c r="K266" s="52" t="s">
        <v>649</v>
      </c>
      <c r="L266" s="52" t="s">
        <v>806</v>
      </c>
      <c r="M266" s="23"/>
      <c r="N266" s="23"/>
      <c r="O266" s="23"/>
    </row>
    <row r="267" ht="14.25" customHeight="1">
      <c r="A267" s="52">
        <v>265.0</v>
      </c>
      <c r="B267" s="310" t="s">
        <v>27</v>
      </c>
      <c r="C267" s="317" t="s">
        <v>466</v>
      </c>
      <c r="D267" s="52" t="s">
        <v>15</v>
      </c>
      <c r="E267" s="52" t="s">
        <v>714</v>
      </c>
      <c r="F267" s="326" t="s">
        <v>449</v>
      </c>
      <c r="G267" s="326"/>
      <c r="H267" s="307">
        <v>46140.0</v>
      </c>
      <c r="I267" s="307">
        <v>46144.0</v>
      </c>
      <c r="J267" s="52" t="s">
        <v>620</v>
      </c>
      <c r="K267" s="52" t="s">
        <v>649</v>
      </c>
      <c r="L267" s="52" t="s">
        <v>806</v>
      </c>
      <c r="M267" s="23"/>
      <c r="N267" s="23"/>
      <c r="O267" s="23"/>
    </row>
    <row r="268" ht="14.25" customHeight="1">
      <c r="A268" s="52">
        <v>266.0</v>
      </c>
      <c r="B268" s="318" t="s">
        <v>305</v>
      </c>
      <c r="C268" s="305" t="s">
        <v>454</v>
      </c>
      <c r="D268" s="52" t="s">
        <v>115</v>
      </c>
      <c r="E268" s="52"/>
      <c r="F268" s="339" t="s">
        <v>817</v>
      </c>
      <c r="G268" s="339"/>
      <c r="H268" s="307">
        <v>46150.0</v>
      </c>
      <c r="I268" s="52"/>
      <c r="J268" s="52" t="s">
        <v>649</v>
      </c>
      <c r="K268" s="52"/>
      <c r="L268" s="52" t="s">
        <v>818</v>
      </c>
      <c r="M268" s="23"/>
      <c r="N268" s="23"/>
      <c r="O268" s="23"/>
    </row>
    <row r="269" ht="14.25" customHeight="1">
      <c r="A269" s="52">
        <v>267.0</v>
      </c>
      <c r="B269" s="319" t="s">
        <v>19</v>
      </c>
      <c r="C269" s="317" t="s">
        <v>466</v>
      </c>
      <c r="D269" s="52" t="s">
        <v>10</v>
      </c>
      <c r="E269" s="52"/>
      <c r="F269" s="326" t="s">
        <v>449</v>
      </c>
      <c r="G269" s="326"/>
      <c r="H269" s="307">
        <v>46149.0</v>
      </c>
      <c r="I269" s="307">
        <v>46154.0</v>
      </c>
      <c r="J269" s="52" t="s">
        <v>649</v>
      </c>
      <c r="K269" s="52" t="s">
        <v>649</v>
      </c>
      <c r="L269" s="52" t="s">
        <v>819</v>
      </c>
      <c r="M269" s="23"/>
      <c r="N269" s="23"/>
      <c r="O269" s="23"/>
    </row>
    <row r="270" ht="84.0" customHeight="1">
      <c r="A270" s="52">
        <v>268.0</v>
      </c>
      <c r="B270" s="340" t="s">
        <v>18</v>
      </c>
      <c r="C270" s="317" t="s">
        <v>466</v>
      </c>
      <c r="D270" s="52" t="s">
        <v>9</v>
      </c>
      <c r="E270" s="52"/>
      <c r="F270" s="341" t="s">
        <v>820</v>
      </c>
      <c r="G270" s="339"/>
      <c r="H270" s="307">
        <v>46155.0</v>
      </c>
      <c r="I270" s="52"/>
      <c r="J270" s="52" t="s">
        <v>649</v>
      </c>
      <c r="K270" s="52"/>
      <c r="L270" s="52" t="s">
        <v>819</v>
      </c>
      <c r="M270" s="23"/>
      <c r="N270" s="23"/>
      <c r="O270" s="23"/>
    </row>
    <row r="271" ht="14.25" customHeight="1">
      <c r="A271" s="52">
        <v>269.0</v>
      </c>
      <c r="B271" s="318" t="s">
        <v>345</v>
      </c>
      <c r="C271" s="305" t="s">
        <v>454</v>
      </c>
      <c r="D271" s="321" t="s">
        <v>148</v>
      </c>
      <c r="E271" s="52"/>
      <c r="F271" s="339" t="s">
        <v>821</v>
      </c>
      <c r="G271" s="339"/>
      <c r="H271" s="307">
        <v>46154.0</v>
      </c>
      <c r="I271" s="52"/>
      <c r="J271" s="52"/>
      <c r="K271" s="52"/>
      <c r="L271" s="52" t="s">
        <v>813</v>
      </c>
      <c r="M271" s="23"/>
      <c r="N271" s="23"/>
      <c r="O271" s="23"/>
    </row>
    <row r="272" ht="14.25" customHeight="1">
      <c r="A272" s="52">
        <v>270.0</v>
      </c>
      <c r="B272" s="318" t="s">
        <v>274</v>
      </c>
      <c r="C272" s="305" t="s">
        <v>577</v>
      </c>
      <c r="D272" s="321" t="s">
        <v>186</v>
      </c>
      <c r="E272" s="52"/>
      <c r="F272" s="339" t="s">
        <v>822</v>
      </c>
      <c r="G272" s="339"/>
      <c r="H272" s="307">
        <v>46158.0</v>
      </c>
      <c r="I272" s="52"/>
      <c r="J272" s="52"/>
      <c r="K272" s="52"/>
      <c r="L272" s="52" t="s">
        <v>815</v>
      </c>
      <c r="M272" s="23"/>
      <c r="N272" s="23"/>
      <c r="O272" s="23"/>
    </row>
    <row r="273" ht="14.25" customHeight="1">
      <c r="A273" s="52">
        <v>271.0</v>
      </c>
      <c r="B273" s="340" t="s">
        <v>21</v>
      </c>
      <c r="C273" s="317" t="s">
        <v>466</v>
      </c>
      <c r="D273" s="321" t="s">
        <v>12</v>
      </c>
      <c r="E273" s="52"/>
      <c r="F273" s="339" t="s">
        <v>822</v>
      </c>
      <c r="G273" s="339"/>
      <c r="H273" s="307">
        <v>46158.0</v>
      </c>
      <c r="I273" s="52"/>
      <c r="J273" s="52"/>
      <c r="K273" s="52"/>
      <c r="L273" s="52" t="s">
        <v>819</v>
      </c>
      <c r="M273" s="23"/>
      <c r="N273" s="23"/>
      <c r="O273" s="23"/>
    </row>
    <row r="274" ht="14.25" customHeight="1">
      <c r="A274" s="52">
        <v>272.0</v>
      </c>
      <c r="B274" s="318" t="s">
        <v>279</v>
      </c>
      <c r="C274" s="305" t="s">
        <v>577</v>
      </c>
      <c r="D274" s="321" t="s">
        <v>34</v>
      </c>
      <c r="E274" s="52"/>
      <c r="F274" s="339" t="s">
        <v>823</v>
      </c>
      <c r="G274" s="300"/>
      <c r="H274" s="52"/>
      <c r="I274" s="52"/>
      <c r="J274" s="52"/>
      <c r="K274" s="52"/>
      <c r="L274" s="52"/>
      <c r="M274" s="23"/>
      <c r="N274" s="23"/>
      <c r="O274" s="23"/>
    </row>
    <row r="275" ht="14.25" customHeight="1">
      <c r="A275" s="52"/>
      <c r="B275" s="52"/>
      <c r="C275" s="52"/>
      <c r="D275" s="52"/>
      <c r="E275" s="52"/>
      <c r="F275" s="300"/>
      <c r="G275" s="300"/>
      <c r="H275" s="52"/>
      <c r="I275" s="52"/>
      <c r="J275" s="52"/>
      <c r="K275" s="52"/>
      <c r="L275" s="52"/>
      <c r="M275" s="23"/>
      <c r="N275" s="23"/>
      <c r="O275" s="23"/>
    </row>
    <row r="276" ht="14.25" customHeight="1">
      <c r="A276" s="52"/>
      <c r="B276" s="52"/>
      <c r="C276" s="52"/>
      <c r="D276" s="52"/>
      <c r="E276" s="52"/>
      <c r="F276" s="300"/>
      <c r="G276" s="300"/>
      <c r="H276" s="52"/>
      <c r="I276" s="52"/>
      <c r="J276" s="52"/>
      <c r="K276" s="52"/>
      <c r="L276" s="52"/>
      <c r="M276" s="23"/>
      <c r="N276" s="23"/>
      <c r="O276" s="23"/>
    </row>
  </sheetData>
  <autoFilter ref="$A$2:$O$271"/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4" width="23.29"/>
    <col customWidth="1" min="15" max="15" width="21.57"/>
  </cols>
  <sheetData>
    <row r="1" ht="14.25" customHeight="1"/>
    <row r="2" ht="14.25" customHeight="1">
      <c r="A2" s="342" t="s">
        <v>385</v>
      </c>
      <c r="B2" s="343" t="s">
        <v>824</v>
      </c>
      <c r="C2" s="343" t="s">
        <v>825</v>
      </c>
      <c r="D2" s="343" t="s">
        <v>826</v>
      </c>
      <c r="E2" s="343" t="s">
        <v>827</v>
      </c>
      <c r="F2" s="343" t="s">
        <v>828</v>
      </c>
      <c r="G2" s="343" t="s">
        <v>829</v>
      </c>
      <c r="H2" s="343" t="s">
        <v>830</v>
      </c>
      <c r="I2" s="343" t="s">
        <v>831</v>
      </c>
      <c r="J2" s="343" t="s">
        <v>832</v>
      </c>
      <c r="K2" s="343" t="s">
        <v>833</v>
      </c>
      <c r="L2" s="343" t="s">
        <v>834</v>
      </c>
      <c r="M2" s="343" t="s">
        <v>835</v>
      </c>
      <c r="N2" s="343" t="s">
        <v>391</v>
      </c>
    </row>
    <row r="3" ht="38.25" customHeight="1">
      <c r="A3" s="344">
        <v>1.0</v>
      </c>
      <c r="B3" s="345" t="s">
        <v>295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55"/>
    </row>
    <row r="4" ht="66.75" customHeight="1">
      <c r="A4" s="346" t="s">
        <v>836</v>
      </c>
      <c r="B4" s="347" t="s">
        <v>837</v>
      </c>
      <c r="C4" s="347">
        <v>2.0</v>
      </c>
      <c r="D4" s="347" t="s">
        <v>838</v>
      </c>
      <c r="E4" s="347" t="s">
        <v>839</v>
      </c>
      <c r="F4" s="347" t="s">
        <v>840</v>
      </c>
      <c r="G4" s="347" t="s">
        <v>841</v>
      </c>
      <c r="H4" s="347" t="s">
        <v>700</v>
      </c>
      <c r="I4" s="347" t="s">
        <v>842</v>
      </c>
      <c r="J4" s="347" t="s">
        <v>843</v>
      </c>
      <c r="K4" s="348" t="s">
        <v>844</v>
      </c>
      <c r="L4" s="349" t="s">
        <v>845</v>
      </c>
      <c r="M4" s="350" t="s">
        <v>846</v>
      </c>
      <c r="N4" s="347"/>
      <c r="O4" s="351"/>
    </row>
    <row r="5" ht="63.75" customHeight="1">
      <c r="A5" s="348" t="s">
        <v>847</v>
      </c>
      <c r="B5" s="348" t="s">
        <v>848</v>
      </c>
      <c r="C5" s="352">
        <v>2.0</v>
      </c>
      <c r="D5" s="350" t="s">
        <v>849</v>
      </c>
      <c r="E5" s="353" t="s">
        <v>850</v>
      </c>
      <c r="F5" s="354" t="s">
        <v>840</v>
      </c>
      <c r="G5" s="355" t="s">
        <v>841</v>
      </c>
      <c r="H5" s="355" t="s">
        <v>851</v>
      </c>
      <c r="I5" s="355" t="s">
        <v>852</v>
      </c>
      <c r="J5" s="350" t="s">
        <v>853</v>
      </c>
      <c r="K5" s="348" t="s">
        <v>854</v>
      </c>
      <c r="L5" s="356"/>
      <c r="M5" s="356"/>
      <c r="N5" s="355"/>
      <c r="O5" s="351"/>
    </row>
    <row r="6" ht="63.75" customHeight="1">
      <c r="A6" s="348" t="s">
        <v>855</v>
      </c>
      <c r="B6" s="348" t="s">
        <v>856</v>
      </c>
      <c r="C6" s="348">
        <v>2.0</v>
      </c>
      <c r="D6" s="356"/>
      <c r="E6" s="348" t="s">
        <v>857</v>
      </c>
      <c r="F6" s="348" t="s">
        <v>840</v>
      </c>
      <c r="G6" s="348" t="s">
        <v>841</v>
      </c>
      <c r="H6" s="348" t="s">
        <v>858</v>
      </c>
      <c r="I6" s="348" t="s">
        <v>852</v>
      </c>
      <c r="J6" s="356"/>
      <c r="K6" s="348" t="s">
        <v>854</v>
      </c>
      <c r="L6" s="356"/>
      <c r="M6" s="356"/>
      <c r="N6" s="348"/>
      <c r="O6" s="351"/>
    </row>
    <row r="7" ht="61.5" customHeight="1">
      <c r="A7" s="348" t="s">
        <v>859</v>
      </c>
      <c r="B7" s="348" t="s">
        <v>860</v>
      </c>
      <c r="C7" s="348">
        <v>2.0</v>
      </c>
      <c r="D7" s="356"/>
      <c r="E7" s="348" t="s">
        <v>861</v>
      </c>
      <c r="F7" s="348" t="s">
        <v>840</v>
      </c>
      <c r="G7" s="348" t="s">
        <v>841</v>
      </c>
      <c r="H7" s="348" t="s">
        <v>851</v>
      </c>
      <c r="I7" s="348" t="s">
        <v>852</v>
      </c>
      <c r="J7" s="356"/>
      <c r="K7" s="348" t="s">
        <v>854</v>
      </c>
      <c r="L7" s="356"/>
      <c r="M7" s="356"/>
      <c r="N7" s="348"/>
      <c r="O7" s="351"/>
    </row>
    <row r="8" ht="60.75" customHeight="1">
      <c r="A8" s="348" t="s">
        <v>862</v>
      </c>
      <c r="B8" s="348" t="s">
        <v>863</v>
      </c>
      <c r="C8" s="348">
        <v>2.0</v>
      </c>
      <c r="D8" s="356"/>
      <c r="E8" s="348" t="s">
        <v>864</v>
      </c>
      <c r="F8" s="348" t="s">
        <v>840</v>
      </c>
      <c r="G8" s="348" t="s">
        <v>841</v>
      </c>
      <c r="H8" s="348" t="s">
        <v>851</v>
      </c>
      <c r="I8" s="348" t="s">
        <v>852</v>
      </c>
      <c r="J8" s="235"/>
      <c r="K8" s="348" t="s">
        <v>854</v>
      </c>
      <c r="L8" s="235"/>
      <c r="M8" s="235"/>
      <c r="N8" s="348"/>
      <c r="O8" s="351"/>
    </row>
    <row r="9" ht="60.75" customHeight="1">
      <c r="A9" s="348" t="s">
        <v>865</v>
      </c>
      <c r="B9" s="348" t="s">
        <v>866</v>
      </c>
      <c r="C9" s="348">
        <v>2.0</v>
      </c>
      <c r="D9" s="356"/>
      <c r="E9" s="348" t="s">
        <v>867</v>
      </c>
      <c r="F9" s="348" t="s">
        <v>840</v>
      </c>
      <c r="G9" s="348" t="s">
        <v>841</v>
      </c>
      <c r="H9" s="348" t="s">
        <v>868</v>
      </c>
      <c r="I9" s="348" t="s">
        <v>869</v>
      </c>
      <c r="J9" s="348" t="s">
        <v>870</v>
      </c>
      <c r="K9" s="348" t="s">
        <v>870</v>
      </c>
      <c r="L9" s="348" t="s">
        <v>870</v>
      </c>
      <c r="M9" s="352" t="s">
        <v>870</v>
      </c>
      <c r="N9" s="348"/>
      <c r="O9" s="351"/>
    </row>
    <row r="10" ht="62.25" customHeight="1">
      <c r="A10" s="348" t="s">
        <v>871</v>
      </c>
      <c r="B10" s="357" t="s">
        <v>872</v>
      </c>
      <c r="C10" s="357">
        <v>2.0</v>
      </c>
      <c r="D10" s="235"/>
      <c r="E10" s="357" t="s">
        <v>873</v>
      </c>
      <c r="F10" s="357" t="s">
        <v>840</v>
      </c>
      <c r="G10" s="357" t="s">
        <v>841</v>
      </c>
      <c r="H10" s="357" t="s">
        <v>851</v>
      </c>
      <c r="I10" s="357" t="s">
        <v>874</v>
      </c>
      <c r="J10" s="357" t="s">
        <v>870</v>
      </c>
      <c r="K10" s="357" t="s">
        <v>870</v>
      </c>
      <c r="L10" s="348" t="s">
        <v>870</v>
      </c>
      <c r="M10" s="352" t="s">
        <v>870</v>
      </c>
      <c r="N10" s="357"/>
      <c r="O10" s="351"/>
    </row>
    <row r="11" ht="64.5" customHeight="1">
      <c r="A11" s="348" t="s">
        <v>875</v>
      </c>
      <c r="B11" s="352" t="s">
        <v>876</v>
      </c>
      <c r="C11" s="352">
        <v>2.0</v>
      </c>
      <c r="D11" s="352" t="s">
        <v>877</v>
      </c>
      <c r="E11" s="348" t="s">
        <v>878</v>
      </c>
      <c r="F11" s="352" t="s">
        <v>840</v>
      </c>
      <c r="G11" s="352" t="s">
        <v>841</v>
      </c>
      <c r="H11" s="352" t="s">
        <v>700</v>
      </c>
      <c r="I11" s="352" t="s">
        <v>879</v>
      </c>
      <c r="J11" s="352" t="s">
        <v>880</v>
      </c>
      <c r="K11" s="352" t="s">
        <v>879</v>
      </c>
      <c r="L11" s="358" t="s">
        <v>845</v>
      </c>
      <c r="M11" s="359" t="s">
        <v>846</v>
      </c>
      <c r="N11" s="352"/>
      <c r="O11" s="351"/>
    </row>
    <row r="12" ht="64.5" customHeight="1">
      <c r="A12" s="348" t="s">
        <v>881</v>
      </c>
      <c r="B12" s="348" t="s">
        <v>882</v>
      </c>
      <c r="C12" s="348">
        <v>2.0</v>
      </c>
      <c r="D12" s="348" t="s">
        <v>883</v>
      </c>
      <c r="E12" s="348" t="s">
        <v>884</v>
      </c>
      <c r="F12" s="348" t="s">
        <v>840</v>
      </c>
      <c r="G12" s="348" t="s">
        <v>841</v>
      </c>
      <c r="H12" s="348" t="s">
        <v>851</v>
      </c>
      <c r="I12" s="357" t="s">
        <v>874</v>
      </c>
      <c r="J12" s="352" t="s">
        <v>885</v>
      </c>
      <c r="K12" s="352"/>
      <c r="L12" s="358" t="s">
        <v>845</v>
      </c>
      <c r="M12" s="359" t="s">
        <v>846</v>
      </c>
      <c r="N12" s="348"/>
      <c r="O12" s="351"/>
    </row>
    <row r="13" ht="39.75" customHeight="1">
      <c r="A13" s="344">
        <v>2.0</v>
      </c>
      <c r="B13" s="345" t="s">
        <v>886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55"/>
      <c r="O13" s="351"/>
    </row>
    <row r="14" ht="61.5" customHeight="1">
      <c r="A14" s="360" t="s">
        <v>836</v>
      </c>
      <c r="B14" s="361" t="s">
        <v>887</v>
      </c>
      <c r="C14" s="361">
        <v>2.0</v>
      </c>
      <c r="D14" s="361" t="s">
        <v>888</v>
      </c>
      <c r="E14" s="347" t="s">
        <v>889</v>
      </c>
      <c r="F14" s="361" t="s">
        <v>840</v>
      </c>
      <c r="G14" s="361" t="s">
        <v>841</v>
      </c>
      <c r="H14" s="361" t="s">
        <v>722</v>
      </c>
      <c r="I14" s="361" t="s">
        <v>890</v>
      </c>
      <c r="J14" s="361" t="s">
        <v>891</v>
      </c>
      <c r="K14" s="361" t="s">
        <v>892</v>
      </c>
      <c r="L14" s="361" t="s">
        <v>845</v>
      </c>
      <c r="M14" s="359" t="s">
        <v>846</v>
      </c>
      <c r="N14" s="347"/>
      <c r="O14" s="351"/>
    </row>
    <row r="15" ht="61.5" customHeight="1">
      <c r="A15" s="352" t="s">
        <v>847</v>
      </c>
      <c r="B15" s="348" t="s">
        <v>893</v>
      </c>
      <c r="C15" s="348">
        <v>2.0</v>
      </c>
      <c r="D15" s="352" t="s">
        <v>888</v>
      </c>
      <c r="E15" s="348" t="s">
        <v>894</v>
      </c>
      <c r="F15" s="348" t="s">
        <v>840</v>
      </c>
      <c r="G15" s="348" t="s">
        <v>841</v>
      </c>
      <c r="H15" s="348" t="s">
        <v>722</v>
      </c>
      <c r="I15" s="348" t="s">
        <v>895</v>
      </c>
      <c r="J15" s="348" t="s">
        <v>891</v>
      </c>
      <c r="K15" s="348" t="s">
        <v>870</v>
      </c>
      <c r="L15" s="348" t="s">
        <v>845</v>
      </c>
      <c r="M15" s="359" t="s">
        <v>846</v>
      </c>
      <c r="N15" s="348"/>
      <c r="O15" s="351"/>
    </row>
    <row r="16" ht="61.5" customHeight="1">
      <c r="A16" s="362" t="s">
        <v>855</v>
      </c>
      <c r="B16" s="348" t="s">
        <v>896</v>
      </c>
      <c r="C16" s="348">
        <v>2.0</v>
      </c>
      <c r="D16" s="361" t="s">
        <v>888</v>
      </c>
      <c r="E16" s="348" t="s">
        <v>897</v>
      </c>
      <c r="F16" s="348" t="s">
        <v>840</v>
      </c>
      <c r="G16" s="348" t="s">
        <v>841</v>
      </c>
      <c r="H16" s="348" t="s">
        <v>722</v>
      </c>
      <c r="I16" s="348" t="s">
        <v>874</v>
      </c>
      <c r="J16" s="348" t="s">
        <v>891</v>
      </c>
      <c r="K16" s="348" t="s">
        <v>870</v>
      </c>
      <c r="L16" s="348" t="s">
        <v>845</v>
      </c>
      <c r="M16" s="359" t="s">
        <v>846</v>
      </c>
      <c r="N16" s="348"/>
      <c r="O16" s="351"/>
    </row>
    <row r="17" ht="42.0" customHeight="1">
      <c r="A17" s="344">
        <v>3.0</v>
      </c>
      <c r="B17" s="345" t="s">
        <v>898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55"/>
      <c r="O17" s="351"/>
    </row>
    <row r="18" ht="59.25" customHeight="1">
      <c r="A18" s="362" t="s">
        <v>836</v>
      </c>
      <c r="B18" s="363" t="s">
        <v>899</v>
      </c>
      <c r="C18" s="363">
        <v>2.0</v>
      </c>
      <c r="D18" s="363" t="s">
        <v>900</v>
      </c>
      <c r="E18" s="353" t="s">
        <v>901</v>
      </c>
      <c r="F18" s="354" t="s">
        <v>840</v>
      </c>
      <c r="G18" s="355" t="s">
        <v>841</v>
      </c>
      <c r="H18" s="355" t="s">
        <v>902</v>
      </c>
      <c r="I18" s="355" t="s">
        <v>903</v>
      </c>
      <c r="J18" s="355" t="s">
        <v>891</v>
      </c>
      <c r="K18" s="364" t="s">
        <v>904</v>
      </c>
      <c r="L18" s="355" t="s">
        <v>845</v>
      </c>
      <c r="M18" s="359" t="s">
        <v>846</v>
      </c>
      <c r="N18" s="355"/>
      <c r="O18" s="351"/>
    </row>
    <row r="19" ht="14.25" customHeight="1">
      <c r="A19" s="362"/>
      <c r="B19" s="365" t="s">
        <v>905</v>
      </c>
      <c r="C19" s="363" t="str">
        <f>SUM(C4:C18)</f>
        <v>26</v>
      </c>
      <c r="D19" s="366"/>
      <c r="E19" s="359"/>
      <c r="F19" s="367"/>
      <c r="G19" s="367"/>
      <c r="H19" s="367"/>
      <c r="I19" s="367"/>
      <c r="J19" s="367"/>
      <c r="K19" s="367"/>
      <c r="L19" s="367"/>
      <c r="M19" s="367"/>
      <c r="N19" s="367"/>
      <c r="O19" s="22"/>
    </row>
    <row r="20" ht="14.25" customHeight="1">
      <c r="A20" s="362"/>
      <c r="B20" s="366"/>
      <c r="C20" s="366"/>
      <c r="D20" s="366"/>
      <c r="E20" s="366"/>
      <c r="F20" s="366"/>
      <c r="G20" s="366"/>
      <c r="H20" s="366"/>
      <c r="I20" s="366"/>
      <c r="J20" s="366"/>
      <c r="K20" s="366"/>
      <c r="L20" s="366"/>
      <c r="M20" s="366"/>
      <c r="N20" s="366"/>
      <c r="O20" s="22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7">
    <mergeCell ref="B17:N17"/>
    <mergeCell ref="B3:N3"/>
    <mergeCell ref="L4:L8"/>
    <mergeCell ref="M4:M8"/>
    <mergeCell ref="D5:D10"/>
    <mergeCell ref="J5:J8"/>
    <mergeCell ref="B13:N13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71"/>
    <col customWidth="1" min="2" max="2" width="14.0"/>
    <col customWidth="1" min="3" max="3" width="20.57"/>
    <col customWidth="1" min="4" max="4" width="23.57"/>
    <col customWidth="1" min="5" max="5" width="22.71"/>
    <col customWidth="1" min="6" max="6" width="24.71"/>
    <col customWidth="1" hidden="1" min="7" max="7" width="19.29"/>
    <col customWidth="1" hidden="1" min="8" max="8" width="22.71"/>
    <col customWidth="1" hidden="1" min="9" max="9" width="14.29"/>
    <col customWidth="1" min="10" max="25" width="8.71"/>
  </cols>
  <sheetData>
    <row r="1" ht="14.25" customHeight="1">
      <c r="A1" s="368" t="s">
        <v>663</v>
      </c>
      <c r="B1" s="94"/>
      <c r="C1" s="94"/>
      <c r="D1" s="94"/>
      <c r="E1" s="94"/>
      <c r="F1" s="94"/>
      <c r="G1" s="94"/>
      <c r="H1" s="94"/>
      <c r="I1" s="95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14.25" customHeight="1">
      <c r="A2" s="369" t="s">
        <v>456</v>
      </c>
      <c r="B2" s="369" t="s">
        <v>906</v>
      </c>
      <c r="C2" s="369" t="s">
        <v>907</v>
      </c>
      <c r="D2" s="369" t="s">
        <v>908</v>
      </c>
      <c r="E2" s="369" t="s">
        <v>909</v>
      </c>
      <c r="F2" s="369" t="s">
        <v>910</v>
      </c>
      <c r="G2" s="369" t="s">
        <v>911</v>
      </c>
      <c r="H2" s="369" t="s">
        <v>912</v>
      </c>
      <c r="I2" s="369" t="s">
        <v>913</v>
      </c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</row>
    <row r="3" ht="14.25" customHeight="1">
      <c r="A3" s="334">
        <v>1.0</v>
      </c>
      <c r="B3" s="370" t="s">
        <v>54</v>
      </c>
      <c r="C3" s="52" t="s">
        <v>33</v>
      </c>
      <c r="D3" s="371" t="s">
        <v>448</v>
      </c>
      <c r="E3" s="94"/>
      <c r="F3" s="95"/>
      <c r="G3" s="372" t="s">
        <v>914</v>
      </c>
      <c r="H3" s="370" t="s">
        <v>914</v>
      </c>
      <c r="I3" s="370" t="s">
        <v>915</v>
      </c>
      <c r="J3" s="30"/>
      <c r="K3" s="373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</row>
    <row r="4" ht="14.25" customHeight="1">
      <c r="A4" s="334">
        <v>2.0</v>
      </c>
      <c r="B4" s="370" t="s">
        <v>55</v>
      </c>
      <c r="C4" s="52" t="s">
        <v>34</v>
      </c>
      <c r="D4" s="371" t="s">
        <v>448</v>
      </c>
      <c r="E4" s="94"/>
      <c r="F4" s="95"/>
      <c r="G4" s="372" t="s">
        <v>914</v>
      </c>
      <c r="H4" s="370" t="s">
        <v>914</v>
      </c>
      <c r="I4" s="370" t="s">
        <v>915</v>
      </c>
      <c r="J4" s="30"/>
      <c r="K4" s="373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</row>
    <row r="5" ht="14.25" customHeight="1">
      <c r="A5" s="334">
        <v>3.0</v>
      </c>
      <c r="B5" s="370" t="s">
        <v>56</v>
      </c>
      <c r="C5" s="52" t="s">
        <v>34</v>
      </c>
      <c r="D5" s="371" t="s">
        <v>448</v>
      </c>
      <c r="E5" s="94"/>
      <c r="F5" s="95"/>
      <c r="G5" s="372" t="s">
        <v>914</v>
      </c>
      <c r="H5" s="370" t="s">
        <v>914</v>
      </c>
      <c r="I5" s="370" t="s">
        <v>915</v>
      </c>
      <c r="J5" s="30"/>
      <c r="K5" s="373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</row>
    <row r="6" ht="14.25" customHeight="1">
      <c r="A6" s="334">
        <v>4.0</v>
      </c>
      <c r="B6" s="374" t="s">
        <v>129</v>
      </c>
      <c r="C6" s="52" t="s">
        <v>15</v>
      </c>
      <c r="D6" s="371" t="s">
        <v>448</v>
      </c>
      <c r="E6" s="94"/>
      <c r="F6" s="95"/>
      <c r="G6" s="372" t="s">
        <v>914</v>
      </c>
      <c r="H6" s="370" t="s">
        <v>914</v>
      </c>
      <c r="I6" s="370" t="s">
        <v>916</v>
      </c>
      <c r="J6" s="30"/>
      <c r="K6" s="373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</row>
    <row r="7" ht="14.25" customHeight="1">
      <c r="A7" s="334">
        <v>5.0</v>
      </c>
      <c r="B7" s="370" t="s">
        <v>130</v>
      </c>
      <c r="C7" s="52" t="s">
        <v>15</v>
      </c>
      <c r="D7" s="371" t="s">
        <v>448</v>
      </c>
      <c r="E7" s="94"/>
      <c r="F7" s="95"/>
      <c r="G7" s="372" t="s">
        <v>914</v>
      </c>
      <c r="H7" s="370" t="s">
        <v>914</v>
      </c>
      <c r="I7" s="370" t="s">
        <v>916</v>
      </c>
      <c r="J7" s="30"/>
      <c r="K7" s="373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</row>
    <row r="8" ht="14.25" customHeight="1">
      <c r="A8" s="334">
        <v>6.0</v>
      </c>
      <c r="B8" s="370" t="s">
        <v>38</v>
      </c>
      <c r="C8" s="52" t="s">
        <v>34</v>
      </c>
      <c r="D8" s="371" t="s">
        <v>448</v>
      </c>
      <c r="E8" s="94"/>
      <c r="F8" s="95"/>
      <c r="G8" s="375" t="s">
        <v>692</v>
      </c>
      <c r="H8" s="334" t="s">
        <v>692</v>
      </c>
      <c r="I8" s="334" t="s">
        <v>917</v>
      </c>
      <c r="J8" s="30"/>
      <c r="K8" s="376"/>
      <c r="L8" s="30"/>
      <c r="M8" s="376"/>
      <c r="N8" s="377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</row>
    <row r="9" ht="14.25" customHeight="1">
      <c r="A9" s="334">
        <v>7.0</v>
      </c>
      <c r="B9" s="370" t="s">
        <v>39</v>
      </c>
      <c r="C9" s="52" t="s">
        <v>706</v>
      </c>
      <c r="D9" s="371" t="s">
        <v>448</v>
      </c>
      <c r="E9" s="94"/>
      <c r="F9" s="95"/>
      <c r="G9" s="375" t="s">
        <v>692</v>
      </c>
      <c r="H9" s="334" t="s">
        <v>692</v>
      </c>
      <c r="I9" s="52" t="s">
        <v>917</v>
      </c>
      <c r="J9" s="30"/>
      <c r="K9" s="376"/>
      <c r="L9" s="30"/>
      <c r="M9" s="376"/>
      <c r="N9" s="377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</row>
    <row r="10" ht="14.25" customHeight="1">
      <c r="A10" s="334">
        <v>8.0</v>
      </c>
      <c r="B10" s="370" t="s">
        <v>44</v>
      </c>
      <c r="C10" s="52" t="s">
        <v>695</v>
      </c>
      <c r="D10" s="371" t="s">
        <v>448</v>
      </c>
      <c r="E10" s="94"/>
      <c r="F10" s="95"/>
      <c r="G10" s="375" t="s">
        <v>918</v>
      </c>
      <c r="H10" s="334" t="s">
        <v>918</v>
      </c>
      <c r="I10" s="334"/>
      <c r="J10" s="30"/>
      <c r="K10" s="373"/>
      <c r="L10" s="30"/>
      <c r="M10" s="378"/>
      <c r="N10" s="379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</row>
    <row r="11" ht="14.25" customHeight="1">
      <c r="A11" s="334">
        <v>9.0</v>
      </c>
      <c r="B11" s="334" t="s">
        <v>213</v>
      </c>
      <c r="C11" s="52" t="s">
        <v>15</v>
      </c>
      <c r="D11" s="371" t="s">
        <v>448</v>
      </c>
      <c r="E11" s="94"/>
      <c r="F11" s="95"/>
      <c r="G11" s="309" t="s">
        <v>704</v>
      </c>
      <c r="H11" s="52" t="s">
        <v>704</v>
      </c>
      <c r="I11" s="334"/>
      <c r="J11" s="30"/>
      <c r="K11" s="373"/>
      <c r="L11" s="30"/>
      <c r="M11" s="376"/>
      <c r="N11" s="377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 ht="14.25" customHeight="1">
      <c r="A12" s="334">
        <v>10.0</v>
      </c>
      <c r="B12" s="334" t="s">
        <v>215</v>
      </c>
      <c r="C12" s="52" t="s">
        <v>15</v>
      </c>
      <c r="D12" s="371" t="s">
        <v>448</v>
      </c>
      <c r="E12" s="94"/>
      <c r="F12" s="95"/>
      <c r="G12" s="309" t="s">
        <v>704</v>
      </c>
      <c r="H12" s="52" t="s">
        <v>704</v>
      </c>
      <c r="I12" s="334"/>
      <c r="J12" s="30"/>
      <c r="K12" s="373"/>
      <c r="L12" s="30"/>
      <c r="M12" s="380"/>
      <c r="N12" s="381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</row>
    <row r="13" ht="14.25" customHeight="1">
      <c r="A13" s="334">
        <v>11.0</v>
      </c>
      <c r="B13" s="370" t="s">
        <v>110</v>
      </c>
      <c r="C13" s="334" t="s">
        <v>14</v>
      </c>
      <c r="D13" s="371" t="s">
        <v>448</v>
      </c>
      <c r="E13" s="94"/>
      <c r="F13" s="95"/>
      <c r="G13" s="309" t="s">
        <v>919</v>
      </c>
      <c r="H13" s="52" t="s">
        <v>919</v>
      </c>
      <c r="I13" s="52"/>
      <c r="J13" s="30"/>
      <c r="K13" s="376"/>
      <c r="L13" s="30"/>
      <c r="M13" s="380"/>
      <c r="N13" s="381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 ht="15.0" customHeight="1">
      <c r="A14" s="334">
        <v>12.0</v>
      </c>
      <c r="B14" s="374" t="s">
        <v>118</v>
      </c>
      <c r="C14" s="334" t="s">
        <v>15</v>
      </c>
      <c r="D14" s="371" t="s">
        <v>448</v>
      </c>
      <c r="E14" s="94"/>
      <c r="F14" s="95"/>
      <c r="G14" s="375" t="s">
        <v>919</v>
      </c>
      <c r="H14" s="334" t="s">
        <v>919</v>
      </c>
      <c r="I14" s="334"/>
      <c r="J14" s="30"/>
      <c r="K14" s="373"/>
      <c r="L14" s="30"/>
      <c r="M14" s="380"/>
      <c r="N14" s="381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</row>
    <row r="15" ht="15.0" customHeight="1">
      <c r="A15" s="334">
        <v>13.0</v>
      </c>
      <c r="B15" s="374" t="s">
        <v>119</v>
      </c>
      <c r="C15" s="334" t="s">
        <v>33</v>
      </c>
      <c r="D15" s="371" t="s">
        <v>448</v>
      </c>
      <c r="E15" s="94"/>
      <c r="F15" s="95"/>
      <c r="G15" s="375" t="s">
        <v>919</v>
      </c>
      <c r="H15" s="334" t="s">
        <v>919</v>
      </c>
      <c r="I15" s="334"/>
      <c r="J15" s="30"/>
      <c r="K15" s="378"/>
      <c r="L15" s="30"/>
      <c r="M15" s="382"/>
      <c r="N15" s="383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</row>
    <row r="16" ht="15.0" customHeight="1">
      <c r="A16" s="334">
        <v>14.0</v>
      </c>
      <c r="B16" s="374" t="s">
        <v>120</v>
      </c>
      <c r="C16" s="334" t="s">
        <v>15</v>
      </c>
      <c r="D16" s="371" t="s">
        <v>448</v>
      </c>
      <c r="E16" s="94"/>
      <c r="F16" s="95"/>
      <c r="G16" s="375" t="s">
        <v>919</v>
      </c>
      <c r="H16" s="334" t="s">
        <v>919</v>
      </c>
      <c r="I16" s="334"/>
      <c r="J16" s="30"/>
      <c r="K16" s="378"/>
      <c r="L16" s="30"/>
      <c r="M16" s="382"/>
      <c r="N16" s="383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</row>
    <row r="17" ht="15.0" customHeight="1">
      <c r="A17" s="334">
        <v>15.0</v>
      </c>
      <c r="B17" s="374" t="s">
        <v>121</v>
      </c>
      <c r="C17" s="334" t="s">
        <v>33</v>
      </c>
      <c r="D17" s="371" t="s">
        <v>448</v>
      </c>
      <c r="E17" s="94"/>
      <c r="F17" s="95"/>
      <c r="G17" s="375" t="s">
        <v>919</v>
      </c>
      <c r="H17" s="334" t="s">
        <v>919</v>
      </c>
      <c r="I17" s="334"/>
      <c r="J17" s="30"/>
      <c r="K17" s="378"/>
      <c r="L17" s="30"/>
      <c r="M17" s="380"/>
      <c r="N17" s="381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</row>
    <row r="18" ht="14.25" customHeight="1">
      <c r="A18" s="334">
        <v>16.0</v>
      </c>
      <c r="B18" s="384" t="s">
        <v>371</v>
      </c>
      <c r="C18" s="52" t="s">
        <v>15</v>
      </c>
      <c r="D18" s="371" t="s">
        <v>448</v>
      </c>
      <c r="E18" s="94"/>
      <c r="F18" s="95"/>
      <c r="G18" s="375" t="s">
        <v>920</v>
      </c>
      <c r="H18" s="334" t="s">
        <v>920</v>
      </c>
      <c r="I18" s="334"/>
      <c r="J18" s="30"/>
      <c r="K18" s="378"/>
      <c r="L18" s="30"/>
      <c r="M18" s="385"/>
      <c r="N18" s="386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</row>
    <row r="19" ht="14.25" customHeight="1">
      <c r="A19" s="334">
        <v>17.0</v>
      </c>
      <c r="B19" s="384" t="s">
        <v>303</v>
      </c>
      <c r="C19" s="334" t="s">
        <v>12</v>
      </c>
      <c r="D19" s="371" t="s">
        <v>448</v>
      </c>
      <c r="E19" s="94"/>
      <c r="F19" s="95"/>
      <c r="G19" s="375" t="s">
        <v>732</v>
      </c>
      <c r="H19" s="334" t="s">
        <v>732</v>
      </c>
      <c r="I19" s="334" t="s">
        <v>916</v>
      </c>
      <c r="J19" s="30"/>
      <c r="K19" s="378"/>
      <c r="L19" s="30"/>
      <c r="M19" s="385"/>
      <c r="N19" s="386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</row>
    <row r="20" ht="14.25" customHeight="1">
      <c r="A20" s="334">
        <v>18.0</v>
      </c>
      <c r="B20" s="384" t="s">
        <v>297</v>
      </c>
      <c r="C20" s="334" t="s">
        <v>16</v>
      </c>
      <c r="D20" s="371" t="s">
        <v>448</v>
      </c>
      <c r="E20" s="94"/>
      <c r="F20" s="95"/>
      <c r="G20" s="375" t="s">
        <v>732</v>
      </c>
      <c r="H20" s="334" t="s">
        <v>732</v>
      </c>
      <c r="I20" s="334" t="s">
        <v>917</v>
      </c>
      <c r="J20" s="30"/>
      <c r="K20" s="378"/>
      <c r="L20" s="30"/>
      <c r="M20" s="385"/>
      <c r="N20" s="386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</row>
    <row r="21" ht="14.25" customHeight="1">
      <c r="A21" s="334">
        <v>19.0</v>
      </c>
      <c r="B21" s="384" t="s">
        <v>368</v>
      </c>
      <c r="C21" s="334" t="s">
        <v>34</v>
      </c>
      <c r="D21" s="371" t="s">
        <v>448</v>
      </c>
      <c r="E21" s="94"/>
      <c r="F21" s="95"/>
      <c r="G21" s="387">
        <v>45827.0</v>
      </c>
      <c r="H21" s="312">
        <v>45827.0</v>
      </c>
      <c r="I21" s="334" t="s">
        <v>921</v>
      </c>
      <c r="J21" s="30"/>
      <c r="K21" s="378"/>
      <c r="L21" s="30"/>
      <c r="M21" s="376"/>
      <c r="N21" s="377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</row>
    <row r="22" ht="14.25" customHeight="1">
      <c r="A22" s="334">
        <v>20.0</v>
      </c>
      <c r="B22" s="384" t="s">
        <v>352</v>
      </c>
      <c r="C22" s="52" t="s">
        <v>695</v>
      </c>
      <c r="D22" s="371" t="s">
        <v>448</v>
      </c>
      <c r="E22" s="94"/>
      <c r="F22" s="95"/>
      <c r="G22" s="375" t="s">
        <v>922</v>
      </c>
      <c r="H22" s="334" t="s">
        <v>922</v>
      </c>
      <c r="I22" s="334"/>
      <c r="J22" s="30"/>
      <c r="K22" s="378"/>
      <c r="L22" s="30"/>
      <c r="M22" s="376"/>
      <c r="N22" s="377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</row>
    <row r="23" ht="14.25" customHeight="1">
      <c r="A23" s="334">
        <v>21.0</v>
      </c>
      <c r="B23" s="384" t="s">
        <v>353</v>
      </c>
      <c r="C23" s="52" t="s">
        <v>33</v>
      </c>
      <c r="D23" s="371" t="s">
        <v>448</v>
      </c>
      <c r="E23" s="94"/>
      <c r="F23" s="95"/>
      <c r="G23" s="375" t="s">
        <v>742</v>
      </c>
      <c r="H23" s="334" t="s">
        <v>742</v>
      </c>
      <c r="I23" s="334"/>
      <c r="J23" s="30"/>
      <c r="K23" s="378"/>
      <c r="L23" s="30"/>
      <c r="M23" s="382"/>
      <c r="N23" s="383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</row>
    <row r="24" ht="14.25" customHeight="1">
      <c r="A24" s="334">
        <v>22.0</v>
      </c>
      <c r="B24" s="384" t="s">
        <v>360</v>
      </c>
      <c r="C24" s="52" t="s">
        <v>15</v>
      </c>
      <c r="D24" s="371" t="s">
        <v>448</v>
      </c>
      <c r="E24" s="94"/>
      <c r="F24" s="95"/>
      <c r="G24" s="375" t="s">
        <v>923</v>
      </c>
      <c r="H24" s="334" t="s">
        <v>923</v>
      </c>
      <c r="I24" s="334"/>
      <c r="J24" s="30"/>
      <c r="K24" s="378"/>
      <c r="L24" s="30"/>
      <c r="M24" s="385"/>
      <c r="N24" s="386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</row>
    <row r="25" ht="14.25" customHeight="1">
      <c r="A25" s="334">
        <v>23.0</v>
      </c>
      <c r="B25" s="384" t="s">
        <v>346</v>
      </c>
      <c r="C25" s="52" t="s">
        <v>15</v>
      </c>
      <c r="D25" s="371" t="s">
        <v>448</v>
      </c>
      <c r="E25" s="94"/>
      <c r="F25" s="95"/>
      <c r="G25" s="375" t="s">
        <v>924</v>
      </c>
      <c r="H25" s="334" t="s">
        <v>924</v>
      </c>
      <c r="I25" s="334"/>
      <c r="J25" s="30"/>
      <c r="K25" s="378"/>
      <c r="L25" s="30"/>
      <c r="M25" s="376"/>
      <c r="N25" s="377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</row>
    <row r="26" ht="14.25" customHeight="1">
      <c r="A26" s="334">
        <v>24.0</v>
      </c>
      <c r="B26" s="384" t="s">
        <v>358</v>
      </c>
      <c r="C26" s="52" t="s">
        <v>15</v>
      </c>
      <c r="D26" s="371" t="s">
        <v>448</v>
      </c>
      <c r="E26" s="94"/>
      <c r="F26" s="95"/>
      <c r="G26" s="375" t="s">
        <v>925</v>
      </c>
      <c r="H26" s="334" t="s">
        <v>925</v>
      </c>
      <c r="I26" s="334"/>
      <c r="J26" s="30"/>
      <c r="K26" s="378"/>
      <c r="L26" s="30"/>
      <c r="M26" s="376"/>
      <c r="N26" s="377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</row>
    <row r="27" ht="14.25" customHeight="1">
      <c r="A27" s="334">
        <v>25.0</v>
      </c>
      <c r="B27" s="334" t="s">
        <v>132</v>
      </c>
      <c r="C27" s="334" t="s">
        <v>36</v>
      </c>
      <c r="D27" s="371" t="s">
        <v>448</v>
      </c>
      <c r="E27" s="94"/>
      <c r="F27" s="95"/>
      <c r="G27" s="375" t="s">
        <v>926</v>
      </c>
      <c r="H27" s="334" t="s">
        <v>926</v>
      </c>
      <c r="I27" s="52" t="s">
        <v>927</v>
      </c>
      <c r="J27" s="30"/>
      <c r="K27" s="378"/>
      <c r="L27" s="30"/>
      <c r="M27" s="376"/>
      <c r="N27" s="377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</row>
    <row r="28" ht="14.25" customHeight="1">
      <c r="A28" s="334">
        <v>26.0</v>
      </c>
      <c r="B28" s="320" t="s">
        <v>267</v>
      </c>
      <c r="C28" s="52" t="s">
        <v>114</v>
      </c>
      <c r="D28" s="371" t="s">
        <v>448</v>
      </c>
      <c r="E28" s="94"/>
      <c r="F28" s="95"/>
      <c r="G28" s="375" t="s">
        <v>928</v>
      </c>
      <c r="H28" s="334" t="s">
        <v>928</v>
      </c>
      <c r="I28" s="334"/>
      <c r="J28" s="30"/>
      <c r="K28" s="378"/>
      <c r="L28" s="30"/>
      <c r="M28" s="388"/>
      <c r="N28" s="389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ht="14.25" customHeight="1">
      <c r="A29" s="334">
        <v>27.0</v>
      </c>
      <c r="B29" s="334" t="s">
        <v>97</v>
      </c>
      <c r="C29" s="334" t="s">
        <v>51</v>
      </c>
      <c r="D29" s="371" t="s">
        <v>448</v>
      </c>
      <c r="E29" s="94"/>
      <c r="F29" s="95"/>
      <c r="G29" s="375" t="s">
        <v>761</v>
      </c>
      <c r="H29" s="334" t="s">
        <v>761</v>
      </c>
      <c r="I29" s="334"/>
      <c r="J29" s="30"/>
      <c r="K29" s="378"/>
      <c r="L29" s="30"/>
      <c r="M29" s="388"/>
      <c r="N29" s="389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</row>
    <row r="30" ht="14.25" customHeight="1">
      <c r="A30" s="334">
        <v>28.0</v>
      </c>
      <c r="B30" s="390" t="s">
        <v>30</v>
      </c>
      <c r="C30" s="52" t="s">
        <v>15</v>
      </c>
      <c r="D30" s="371" t="s">
        <v>448</v>
      </c>
      <c r="E30" s="94"/>
      <c r="F30" s="95"/>
      <c r="G30" s="375"/>
      <c r="H30" s="334"/>
      <c r="I30" s="334"/>
      <c r="J30" s="30"/>
      <c r="K30" s="376"/>
      <c r="L30" s="30"/>
      <c r="M30" s="376"/>
      <c r="N30" s="377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</row>
    <row r="31" ht="14.25" customHeight="1">
      <c r="A31" s="334">
        <v>29.0</v>
      </c>
      <c r="B31" s="370" t="s">
        <v>37</v>
      </c>
      <c r="C31" s="52" t="s">
        <v>33</v>
      </c>
      <c r="D31" s="371" t="s">
        <v>448</v>
      </c>
      <c r="E31" s="94"/>
      <c r="F31" s="95"/>
      <c r="G31" s="375"/>
      <c r="H31" s="334"/>
      <c r="I31" s="334"/>
      <c r="J31" s="30"/>
      <c r="K31" s="376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2" ht="14.25" customHeight="1">
      <c r="A32" s="334">
        <v>30.0</v>
      </c>
      <c r="B32" s="391" t="s">
        <v>48</v>
      </c>
      <c r="C32" s="52" t="s">
        <v>33</v>
      </c>
      <c r="D32" s="371" t="s">
        <v>448</v>
      </c>
      <c r="E32" s="94"/>
      <c r="F32" s="95"/>
      <c r="G32" s="375"/>
      <c r="H32" s="334"/>
      <c r="I32" s="334"/>
      <c r="J32" s="30"/>
      <c r="K32" s="376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ht="14.25" customHeight="1">
      <c r="A33" s="334">
        <v>31.0</v>
      </c>
      <c r="B33" s="370" t="s">
        <v>49</v>
      </c>
      <c r="C33" s="52" t="s">
        <v>33</v>
      </c>
      <c r="D33" s="371" t="s">
        <v>448</v>
      </c>
      <c r="E33" s="94"/>
      <c r="F33" s="95"/>
      <c r="G33" s="375"/>
      <c r="H33" s="334"/>
      <c r="I33" s="334"/>
      <c r="J33" s="30"/>
      <c r="K33" s="376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14.25" customHeight="1">
      <c r="A34" s="334">
        <v>32.0</v>
      </c>
      <c r="B34" s="370" t="s">
        <v>50</v>
      </c>
      <c r="C34" s="52" t="s">
        <v>33</v>
      </c>
      <c r="D34" s="371" t="s">
        <v>448</v>
      </c>
      <c r="E34" s="94"/>
      <c r="F34" s="95"/>
      <c r="G34" s="375"/>
      <c r="H34" s="334"/>
      <c r="I34" s="334"/>
      <c r="J34" s="30"/>
      <c r="K34" s="376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14.25" customHeight="1">
      <c r="A35" s="334">
        <v>33.0</v>
      </c>
      <c r="B35" s="370" t="s">
        <v>52</v>
      </c>
      <c r="C35" s="52" t="s">
        <v>33</v>
      </c>
      <c r="D35" s="371" t="s">
        <v>448</v>
      </c>
      <c r="E35" s="94"/>
      <c r="F35" s="95"/>
      <c r="G35" s="375"/>
      <c r="H35" s="334"/>
      <c r="I35" s="334"/>
      <c r="J35" s="30"/>
      <c r="K35" s="376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14.25" customHeight="1">
      <c r="A36" s="334">
        <v>34.0</v>
      </c>
      <c r="B36" s="370" t="s">
        <v>57</v>
      </c>
      <c r="C36" s="334" t="s">
        <v>34</v>
      </c>
      <c r="D36" s="371" t="s">
        <v>448</v>
      </c>
      <c r="E36" s="94"/>
      <c r="F36" s="95"/>
      <c r="G36" s="375"/>
      <c r="H36" s="334"/>
      <c r="I36" s="334"/>
      <c r="J36" s="30"/>
      <c r="K36" s="376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14.25" customHeight="1">
      <c r="A37" s="334">
        <v>35.0</v>
      </c>
      <c r="B37" s="370" t="s">
        <v>58</v>
      </c>
      <c r="C37" s="52" t="s">
        <v>33</v>
      </c>
      <c r="D37" s="371" t="s">
        <v>448</v>
      </c>
      <c r="E37" s="94"/>
      <c r="F37" s="95"/>
      <c r="G37" s="375"/>
      <c r="H37" s="334"/>
      <c r="I37" s="334"/>
      <c r="J37" s="30"/>
      <c r="K37" s="376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14.25" customHeight="1">
      <c r="A38" s="334">
        <v>36.0</v>
      </c>
      <c r="B38" s="370" t="s">
        <v>59</v>
      </c>
      <c r="C38" s="52" t="s">
        <v>33</v>
      </c>
      <c r="D38" s="371" t="s">
        <v>448</v>
      </c>
      <c r="E38" s="94"/>
      <c r="F38" s="95"/>
      <c r="G38" s="375"/>
      <c r="H38" s="334"/>
      <c r="I38" s="334"/>
      <c r="J38" s="30"/>
      <c r="K38" s="376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14.25" customHeight="1">
      <c r="A39" s="334">
        <v>37.0</v>
      </c>
      <c r="B39" s="370" t="s">
        <v>60</v>
      </c>
      <c r="C39" s="52" t="s">
        <v>33</v>
      </c>
      <c r="D39" s="371" t="s">
        <v>448</v>
      </c>
      <c r="E39" s="94"/>
      <c r="F39" s="95"/>
      <c r="G39" s="375"/>
      <c r="H39" s="334"/>
      <c r="I39" s="334"/>
      <c r="J39" s="30"/>
      <c r="K39" s="376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14.25" customHeight="1">
      <c r="A40" s="334">
        <v>38.0</v>
      </c>
      <c r="B40" s="370" t="s">
        <v>61</v>
      </c>
      <c r="C40" s="334" t="s">
        <v>34</v>
      </c>
      <c r="D40" s="371" t="s">
        <v>448</v>
      </c>
      <c r="E40" s="94"/>
      <c r="F40" s="95"/>
      <c r="G40" s="375"/>
      <c r="H40" s="334"/>
      <c r="I40" s="334"/>
      <c r="J40" s="30"/>
      <c r="K40" s="392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14.25" customHeight="1">
      <c r="A41" s="334">
        <v>39.0</v>
      </c>
      <c r="B41" s="370" t="s">
        <v>70</v>
      </c>
      <c r="C41" s="52" t="s">
        <v>33</v>
      </c>
      <c r="D41" s="371" t="s">
        <v>448</v>
      </c>
      <c r="E41" s="94"/>
      <c r="F41" s="95"/>
      <c r="G41" s="375"/>
      <c r="H41" s="334"/>
      <c r="I41" s="334"/>
      <c r="J41" s="30"/>
      <c r="K41" s="392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14.25" customHeight="1">
      <c r="A42" s="334">
        <v>40.0</v>
      </c>
      <c r="B42" s="370" t="s">
        <v>78</v>
      </c>
      <c r="C42" s="334" t="s">
        <v>34</v>
      </c>
      <c r="D42" s="371" t="s">
        <v>448</v>
      </c>
      <c r="E42" s="94"/>
      <c r="F42" s="95"/>
      <c r="G42" s="375"/>
      <c r="H42" s="334"/>
      <c r="I42" s="334"/>
      <c r="J42" s="30"/>
      <c r="K42" s="392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14.25" customHeight="1">
      <c r="A43" s="334">
        <v>41.0</v>
      </c>
      <c r="B43" s="370" t="s">
        <v>79</v>
      </c>
      <c r="C43" s="52" t="s">
        <v>15</v>
      </c>
      <c r="D43" s="371" t="s">
        <v>448</v>
      </c>
      <c r="E43" s="94"/>
      <c r="F43" s="95"/>
      <c r="G43" s="375"/>
      <c r="H43" s="334"/>
      <c r="I43" s="334"/>
      <c r="J43" s="30"/>
      <c r="K43" s="38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ht="14.25" customHeight="1">
      <c r="A44" s="334">
        <v>42.0</v>
      </c>
      <c r="B44" s="370" t="s">
        <v>80</v>
      </c>
      <c r="C44" s="52" t="s">
        <v>15</v>
      </c>
      <c r="D44" s="371" t="s">
        <v>448</v>
      </c>
      <c r="E44" s="94"/>
      <c r="F44" s="95"/>
      <c r="G44" s="375"/>
      <c r="H44" s="334"/>
      <c r="I44" s="334"/>
      <c r="J44" s="30"/>
      <c r="K44" s="38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ht="14.25" customHeight="1">
      <c r="A45" s="334">
        <v>43.0</v>
      </c>
      <c r="B45" s="370" t="s">
        <v>85</v>
      </c>
      <c r="C45" s="334" t="s">
        <v>51</v>
      </c>
      <c r="D45" s="371" t="s">
        <v>448</v>
      </c>
      <c r="E45" s="94"/>
      <c r="F45" s="95"/>
      <c r="G45" s="375"/>
      <c r="H45" s="334"/>
      <c r="I45" s="334"/>
      <c r="J45" s="30"/>
      <c r="K45" s="38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ht="14.25" customHeight="1">
      <c r="A46" s="334">
        <v>44.0</v>
      </c>
      <c r="B46" s="370" t="s">
        <v>86</v>
      </c>
      <c r="C46" s="52" t="s">
        <v>695</v>
      </c>
      <c r="D46" s="371" t="s">
        <v>448</v>
      </c>
      <c r="E46" s="94"/>
      <c r="F46" s="95"/>
      <c r="G46" s="375"/>
      <c r="H46" s="334"/>
      <c r="I46" s="334"/>
      <c r="J46" s="30"/>
      <c r="K46" s="376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14.25" customHeight="1">
      <c r="A47" s="334">
        <v>45.0</v>
      </c>
      <c r="B47" s="370" t="s">
        <v>87</v>
      </c>
      <c r="C47" s="52" t="s">
        <v>33</v>
      </c>
      <c r="D47" s="371" t="s">
        <v>448</v>
      </c>
      <c r="E47" s="94"/>
      <c r="F47" s="95"/>
      <c r="G47" s="375"/>
      <c r="H47" s="334"/>
      <c r="I47" s="334"/>
      <c r="J47" s="30"/>
      <c r="K47" s="392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14.25" customHeight="1">
      <c r="A48" s="334">
        <v>46.0</v>
      </c>
      <c r="B48" s="370" t="s">
        <v>99</v>
      </c>
      <c r="C48" s="334" t="s">
        <v>34</v>
      </c>
      <c r="D48" s="371" t="s">
        <v>448</v>
      </c>
      <c r="E48" s="94"/>
      <c r="F48" s="95"/>
      <c r="G48" s="375"/>
      <c r="H48" s="334"/>
      <c r="I48" s="334"/>
      <c r="J48" s="30"/>
      <c r="K48" s="392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14.25" customHeight="1">
      <c r="A49" s="334">
        <v>47.0</v>
      </c>
      <c r="B49" s="370" t="s">
        <v>100</v>
      </c>
      <c r="C49" s="52" t="s">
        <v>33</v>
      </c>
      <c r="D49" s="371" t="s">
        <v>448</v>
      </c>
      <c r="E49" s="94"/>
      <c r="F49" s="95"/>
      <c r="G49" s="375"/>
      <c r="H49" s="334"/>
      <c r="I49" s="334"/>
      <c r="J49" s="30"/>
      <c r="K49" s="392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14.25" customHeight="1">
      <c r="A50" s="334">
        <v>48.0</v>
      </c>
      <c r="B50" s="370" t="s">
        <v>101</v>
      </c>
      <c r="C50" s="334" t="s">
        <v>12</v>
      </c>
      <c r="D50" s="371" t="s">
        <v>448</v>
      </c>
      <c r="E50" s="94"/>
      <c r="F50" s="95"/>
      <c r="G50" s="375"/>
      <c r="H50" s="334"/>
      <c r="I50" s="334"/>
      <c r="J50" s="30"/>
      <c r="K50" s="38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14.25" customHeight="1">
      <c r="A51" s="334">
        <v>49.0</v>
      </c>
      <c r="B51" s="370" t="s">
        <v>102</v>
      </c>
      <c r="C51" s="52" t="s">
        <v>15</v>
      </c>
      <c r="D51" s="371" t="s">
        <v>448</v>
      </c>
      <c r="E51" s="94"/>
      <c r="F51" s="95"/>
      <c r="G51" s="375"/>
      <c r="H51" s="334"/>
      <c r="I51" s="334"/>
      <c r="J51" s="30"/>
      <c r="K51" s="38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14.25" customHeight="1">
      <c r="A52" s="334">
        <v>50.0</v>
      </c>
      <c r="B52" s="370" t="s">
        <v>104</v>
      </c>
      <c r="C52" s="52" t="s">
        <v>33</v>
      </c>
      <c r="D52" s="371" t="s">
        <v>448</v>
      </c>
      <c r="E52" s="94"/>
      <c r="F52" s="95"/>
      <c r="G52" s="375"/>
      <c r="H52" s="334"/>
      <c r="I52" s="334"/>
      <c r="J52" s="30"/>
      <c r="K52" s="38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14.25" customHeight="1">
      <c r="A53" s="334">
        <v>51.0</v>
      </c>
      <c r="B53" s="370" t="s">
        <v>105</v>
      </c>
      <c r="C53" s="52" t="s">
        <v>33</v>
      </c>
      <c r="D53" s="371" t="s">
        <v>448</v>
      </c>
      <c r="E53" s="94"/>
      <c r="F53" s="95"/>
      <c r="G53" s="375"/>
      <c r="H53" s="334"/>
      <c r="I53" s="334"/>
      <c r="J53" s="30"/>
      <c r="K53" s="392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14.25" customHeight="1">
      <c r="A54" s="334">
        <v>52.0</v>
      </c>
      <c r="B54" s="370" t="s">
        <v>106</v>
      </c>
      <c r="C54" s="334" t="s">
        <v>34</v>
      </c>
      <c r="D54" s="371" t="s">
        <v>448</v>
      </c>
      <c r="E54" s="94"/>
      <c r="F54" s="95"/>
      <c r="G54" s="375"/>
      <c r="H54" s="334"/>
      <c r="I54" s="334"/>
      <c r="J54" s="30"/>
      <c r="K54" s="382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14.25" customHeight="1">
      <c r="A55" s="334">
        <v>53.0</v>
      </c>
      <c r="B55" s="370" t="s">
        <v>108</v>
      </c>
      <c r="C55" s="52" t="s">
        <v>33</v>
      </c>
      <c r="D55" s="371" t="s">
        <v>448</v>
      </c>
      <c r="E55" s="94"/>
      <c r="F55" s="95"/>
      <c r="G55" s="375"/>
      <c r="H55" s="334"/>
      <c r="I55" s="334"/>
      <c r="J55" s="30"/>
      <c r="K55" s="382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14.25" customHeight="1">
      <c r="A56" s="334">
        <v>54.0</v>
      </c>
      <c r="B56" s="370" t="s">
        <v>109</v>
      </c>
      <c r="C56" s="52" t="s">
        <v>33</v>
      </c>
      <c r="D56" s="371" t="s">
        <v>448</v>
      </c>
      <c r="E56" s="94"/>
      <c r="F56" s="95"/>
      <c r="G56" s="375"/>
      <c r="H56" s="334"/>
      <c r="I56" s="334"/>
      <c r="J56" s="30"/>
      <c r="K56" s="382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14.25" customHeight="1">
      <c r="A57" s="334">
        <v>55.0</v>
      </c>
      <c r="B57" s="370" t="s">
        <v>117</v>
      </c>
      <c r="C57" s="334" t="s">
        <v>12</v>
      </c>
      <c r="D57" s="371" t="s">
        <v>448</v>
      </c>
      <c r="E57" s="94"/>
      <c r="F57" s="95"/>
      <c r="G57" s="375"/>
      <c r="H57" s="334"/>
      <c r="I57" s="334"/>
      <c r="J57" s="30"/>
      <c r="K57" s="382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14.25" customHeight="1">
      <c r="A58" s="334">
        <v>56.0</v>
      </c>
      <c r="B58" s="370" t="s">
        <v>122</v>
      </c>
      <c r="C58" s="334" t="s">
        <v>12</v>
      </c>
      <c r="D58" s="371" t="s">
        <v>448</v>
      </c>
      <c r="E58" s="94"/>
      <c r="F58" s="95"/>
      <c r="G58" s="375"/>
      <c r="H58" s="334"/>
      <c r="I58" s="334"/>
      <c r="J58" s="30"/>
      <c r="K58" s="376"/>
      <c r="L58" s="30"/>
      <c r="M58" s="30"/>
      <c r="N58" s="30"/>
      <c r="O58" s="86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14.25" customHeight="1">
      <c r="A59" s="334">
        <v>57.0</v>
      </c>
      <c r="B59" s="370" t="s">
        <v>123</v>
      </c>
      <c r="C59" s="52" t="s">
        <v>33</v>
      </c>
      <c r="D59" s="371" t="s">
        <v>448</v>
      </c>
      <c r="E59" s="94"/>
      <c r="F59" s="95"/>
      <c r="G59" s="375"/>
      <c r="H59" s="334"/>
      <c r="I59" s="334"/>
      <c r="J59" s="30"/>
      <c r="K59" s="376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14.25" customHeight="1">
      <c r="A60" s="334">
        <v>58.0</v>
      </c>
      <c r="B60" s="370" t="s">
        <v>142</v>
      </c>
      <c r="C60" s="52" t="s">
        <v>33</v>
      </c>
      <c r="D60" s="371" t="s">
        <v>448</v>
      </c>
      <c r="E60" s="94"/>
      <c r="F60" s="95"/>
      <c r="G60" s="375"/>
      <c r="H60" s="334"/>
      <c r="I60" s="334"/>
      <c r="J60" s="30"/>
      <c r="K60" s="382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14.25" customHeight="1">
      <c r="A61" s="334">
        <v>59.0</v>
      </c>
      <c r="B61" s="370" t="s">
        <v>143</v>
      </c>
      <c r="C61" s="52" t="s">
        <v>33</v>
      </c>
      <c r="D61" s="371" t="s">
        <v>448</v>
      </c>
      <c r="E61" s="94"/>
      <c r="F61" s="95"/>
      <c r="G61" s="375"/>
      <c r="H61" s="334"/>
      <c r="I61" s="334"/>
      <c r="J61" s="30"/>
      <c r="K61" s="392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14.25" customHeight="1">
      <c r="A62" s="334">
        <v>60.0</v>
      </c>
      <c r="B62" s="370" t="s">
        <v>144</v>
      </c>
      <c r="C62" s="334" t="s">
        <v>12</v>
      </c>
      <c r="D62" s="371" t="s">
        <v>448</v>
      </c>
      <c r="E62" s="94"/>
      <c r="F62" s="95"/>
      <c r="G62" s="375"/>
      <c r="H62" s="334"/>
      <c r="I62" s="334"/>
      <c r="J62" s="30"/>
      <c r="K62" s="392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14.25" customHeight="1">
      <c r="A63" s="334">
        <v>61.0</v>
      </c>
      <c r="B63" s="370" t="s">
        <v>145</v>
      </c>
      <c r="C63" s="52" t="s">
        <v>15</v>
      </c>
      <c r="D63" s="371" t="s">
        <v>448</v>
      </c>
      <c r="E63" s="94"/>
      <c r="F63" s="95"/>
      <c r="G63" s="375"/>
      <c r="H63" s="334"/>
      <c r="I63" s="334"/>
      <c r="J63" s="30"/>
      <c r="K63" s="392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14.25" customHeight="1">
      <c r="A64" s="334">
        <v>62.0</v>
      </c>
      <c r="B64" s="370" t="s">
        <v>150</v>
      </c>
      <c r="C64" s="52" t="s">
        <v>15</v>
      </c>
      <c r="D64" s="371" t="s">
        <v>448</v>
      </c>
      <c r="E64" s="94"/>
      <c r="F64" s="95"/>
      <c r="G64" s="375"/>
      <c r="H64" s="334"/>
      <c r="I64" s="334"/>
      <c r="J64" s="30"/>
      <c r="K64" s="392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14.25" customHeight="1">
      <c r="A65" s="334">
        <v>63.0</v>
      </c>
      <c r="B65" s="370" t="s">
        <v>151</v>
      </c>
      <c r="C65" s="334" t="s">
        <v>34</v>
      </c>
      <c r="D65" s="371" t="s">
        <v>448</v>
      </c>
      <c r="E65" s="94"/>
      <c r="F65" s="95"/>
      <c r="G65" s="375"/>
      <c r="H65" s="334"/>
      <c r="I65" s="334"/>
      <c r="J65" s="30"/>
      <c r="K65" s="38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14.25" customHeight="1">
      <c r="A66" s="334">
        <v>64.0</v>
      </c>
      <c r="B66" s="370" t="s">
        <v>153</v>
      </c>
      <c r="C66" s="334" t="s">
        <v>12</v>
      </c>
      <c r="D66" s="371" t="s">
        <v>448</v>
      </c>
      <c r="E66" s="94"/>
      <c r="F66" s="95"/>
      <c r="G66" s="375"/>
      <c r="H66" s="334"/>
      <c r="I66" s="334"/>
      <c r="J66" s="30"/>
      <c r="K66" s="392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14.25" customHeight="1">
      <c r="A67" s="334">
        <v>65.0</v>
      </c>
      <c r="B67" s="370" t="s">
        <v>154</v>
      </c>
      <c r="C67" s="52" t="s">
        <v>695</v>
      </c>
      <c r="D67" s="371" t="s">
        <v>448</v>
      </c>
      <c r="E67" s="94"/>
      <c r="F67" s="95"/>
      <c r="G67" s="375"/>
      <c r="H67" s="334"/>
      <c r="I67" s="334"/>
      <c r="J67" s="30"/>
      <c r="K67" s="392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14.25" customHeight="1">
      <c r="A68" s="334">
        <v>66.0</v>
      </c>
      <c r="B68" s="370" t="s">
        <v>155</v>
      </c>
      <c r="C68" s="52" t="s">
        <v>706</v>
      </c>
      <c r="D68" s="371" t="s">
        <v>448</v>
      </c>
      <c r="E68" s="94"/>
      <c r="F68" s="95"/>
      <c r="G68" s="375"/>
      <c r="H68" s="334"/>
      <c r="I68" s="334"/>
      <c r="J68" s="30"/>
      <c r="K68" s="392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14.25" customHeight="1">
      <c r="A69" s="334">
        <v>67.0</v>
      </c>
      <c r="B69" s="370" t="s">
        <v>156</v>
      </c>
      <c r="C69" s="52" t="s">
        <v>33</v>
      </c>
      <c r="D69" s="371" t="s">
        <v>448</v>
      </c>
      <c r="E69" s="94"/>
      <c r="F69" s="95"/>
      <c r="G69" s="375"/>
      <c r="H69" s="334"/>
      <c r="I69" s="334"/>
      <c r="J69" s="30"/>
      <c r="K69" s="392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14.25" customHeight="1">
      <c r="A70" s="334">
        <v>68.0</v>
      </c>
      <c r="B70" s="370" t="s">
        <v>159</v>
      </c>
      <c r="C70" s="52" t="s">
        <v>706</v>
      </c>
      <c r="D70" s="371" t="s">
        <v>448</v>
      </c>
      <c r="E70" s="94"/>
      <c r="F70" s="95"/>
      <c r="G70" s="375"/>
      <c r="H70" s="334"/>
      <c r="I70" s="334"/>
      <c r="J70" s="30"/>
      <c r="K70" s="378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14.25" customHeight="1">
      <c r="A71" s="334">
        <v>69.0</v>
      </c>
      <c r="B71" s="370" t="s">
        <v>160</v>
      </c>
      <c r="C71" s="334" t="s">
        <v>12</v>
      </c>
      <c r="D71" s="371" t="s">
        <v>448</v>
      </c>
      <c r="E71" s="94"/>
      <c r="F71" s="95"/>
      <c r="G71" s="375"/>
      <c r="H71" s="334"/>
      <c r="I71" s="334"/>
      <c r="J71" s="30"/>
      <c r="K71" s="385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14.25" customHeight="1">
      <c r="A72" s="334">
        <v>70.0</v>
      </c>
      <c r="B72" s="370" t="s">
        <v>161</v>
      </c>
      <c r="C72" s="334" t="s">
        <v>12</v>
      </c>
      <c r="D72" s="371" t="s">
        <v>448</v>
      </c>
      <c r="E72" s="94"/>
      <c r="F72" s="95"/>
      <c r="G72" s="375"/>
      <c r="H72" s="334"/>
      <c r="I72" s="334"/>
      <c r="J72" s="30"/>
      <c r="K72" s="385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14.25" customHeight="1">
      <c r="A73" s="334">
        <v>71.0</v>
      </c>
      <c r="B73" s="370" t="s">
        <v>162</v>
      </c>
      <c r="C73" s="52" t="s">
        <v>15</v>
      </c>
      <c r="D73" s="371" t="s">
        <v>448</v>
      </c>
      <c r="E73" s="94"/>
      <c r="F73" s="95"/>
      <c r="G73" s="375"/>
      <c r="H73" s="334"/>
      <c r="I73" s="334"/>
      <c r="J73" s="30"/>
      <c r="K73" s="376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14.25" customHeight="1">
      <c r="A74" s="334">
        <v>72.0</v>
      </c>
      <c r="B74" s="370" t="s">
        <v>172</v>
      </c>
      <c r="C74" s="52" t="s">
        <v>33</v>
      </c>
      <c r="D74" s="371" t="s">
        <v>448</v>
      </c>
      <c r="E74" s="94"/>
      <c r="F74" s="95"/>
      <c r="G74" s="375"/>
      <c r="H74" s="334"/>
      <c r="I74" s="334"/>
      <c r="J74" s="30"/>
      <c r="K74" s="385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14.25" customHeight="1">
      <c r="A75" s="334">
        <v>73.0</v>
      </c>
      <c r="B75" s="370" t="s">
        <v>173</v>
      </c>
      <c r="C75" s="52" t="s">
        <v>706</v>
      </c>
      <c r="D75" s="371" t="s">
        <v>448</v>
      </c>
      <c r="E75" s="94"/>
      <c r="F75" s="95"/>
      <c r="G75" s="375"/>
      <c r="H75" s="334"/>
      <c r="I75" s="334"/>
      <c r="J75" s="30"/>
      <c r="K75" s="385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14.25" customHeight="1">
      <c r="A76" s="334">
        <v>74.0</v>
      </c>
      <c r="B76" s="370" t="s">
        <v>174</v>
      </c>
      <c r="C76" s="52" t="s">
        <v>15</v>
      </c>
      <c r="D76" s="371" t="s">
        <v>448</v>
      </c>
      <c r="E76" s="94"/>
      <c r="F76" s="95"/>
      <c r="G76" s="375"/>
      <c r="H76" s="334"/>
      <c r="I76" s="334"/>
      <c r="J76" s="30"/>
      <c r="K76" s="378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14.25" customHeight="1">
      <c r="A77" s="334">
        <v>75.0</v>
      </c>
      <c r="B77" s="370" t="s">
        <v>175</v>
      </c>
      <c r="C77" s="52" t="s">
        <v>695</v>
      </c>
      <c r="D77" s="371" t="s">
        <v>448</v>
      </c>
      <c r="E77" s="94"/>
      <c r="F77" s="95"/>
      <c r="G77" s="375"/>
      <c r="H77" s="334"/>
      <c r="I77" s="334"/>
      <c r="J77" s="30"/>
      <c r="K77" s="378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14.25" customHeight="1">
      <c r="A78" s="334">
        <v>76.0</v>
      </c>
      <c r="B78" s="370" t="s">
        <v>179</v>
      </c>
      <c r="C78" s="52" t="s">
        <v>706</v>
      </c>
      <c r="D78" s="371" t="s">
        <v>448</v>
      </c>
      <c r="E78" s="94"/>
      <c r="F78" s="95"/>
      <c r="G78" s="375"/>
      <c r="H78" s="334"/>
      <c r="I78" s="334"/>
      <c r="J78" s="30"/>
      <c r="K78" s="378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14.25" customHeight="1">
      <c r="A79" s="334">
        <v>77.0</v>
      </c>
      <c r="B79" s="370" t="s">
        <v>181</v>
      </c>
      <c r="C79" s="52" t="s">
        <v>706</v>
      </c>
      <c r="D79" s="371" t="s">
        <v>448</v>
      </c>
      <c r="E79" s="94"/>
      <c r="F79" s="95"/>
      <c r="G79" s="375"/>
      <c r="H79" s="334"/>
      <c r="I79" s="334"/>
      <c r="J79" s="30"/>
      <c r="K79" s="385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14.25" customHeight="1">
      <c r="A80" s="334">
        <v>78.0</v>
      </c>
      <c r="B80" s="370" t="s">
        <v>188</v>
      </c>
      <c r="C80" s="52" t="s">
        <v>706</v>
      </c>
      <c r="D80" s="371" t="s">
        <v>448</v>
      </c>
      <c r="E80" s="94"/>
      <c r="F80" s="95"/>
      <c r="G80" s="375"/>
      <c r="H80" s="334"/>
      <c r="I80" s="334"/>
      <c r="J80" s="30"/>
      <c r="K80" s="385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14.25" customHeight="1">
      <c r="A81" s="334">
        <v>79.0</v>
      </c>
      <c r="B81" s="370" t="s">
        <v>189</v>
      </c>
      <c r="C81" s="52" t="s">
        <v>706</v>
      </c>
      <c r="D81" s="371" t="s">
        <v>448</v>
      </c>
      <c r="E81" s="94"/>
      <c r="F81" s="95"/>
      <c r="G81" s="375"/>
      <c r="H81" s="334"/>
      <c r="I81" s="334"/>
      <c r="J81" s="30"/>
      <c r="K81" s="385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14.25" customHeight="1">
      <c r="A82" s="334">
        <v>80.0</v>
      </c>
      <c r="B82" s="370" t="s">
        <v>190</v>
      </c>
      <c r="C82" s="52" t="s">
        <v>33</v>
      </c>
      <c r="D82" s="371" t="s">
        <v>448</v>
      </c>
      <c r="E82" s="94"/>
      <c r="F82" s="95"/>
      <c r="G82" s="375"/>
      <c r="H82" s="334"/>
      <c r="I82" s="334"/>
      <c r="J82" s="30"/>
      <c r="K82" s="385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14.25" customHeight="1">
      <c r="A83" s="334">
        <v>81.0</v>
      </c>
      <c r="B83" s="370" t="s">
        <v>191</v>
      </c>
      <c r="C83" s="52" t="s">
        <v>706</v>
      </c>
      <c r="D83" s="371" t="s">
        <v>448</v>
      </c>
      <c r="E83" s="94"/>
      <c r="F83" s="95"/>
      <c r="G83" s="375"/>
      <c r="H83" s="334"/>
      <c r="I83" s="334"/>
      <c r="J83" s="30"/>
      <c r="K83" s="385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14.25" customHeight="1">
      <c r="A84" s="334">
        <v>82.0</v>
      </c>
      <c r="B84" s="370" t="s">
        <v>192</v>
      </c>
      <c r="C84" s="52" t="s">
        <v>33</v>
      </c>
      <c r="D84" s="371" t="s">
        <v>448</v>
      </c>
      <c r="E84" s="94"/>
      <c r="F84" s="95"/>
      <c r="G84" s="375"/>
      <c r="H84" s="334"/>
      <c r="I84" s="334"/>
      <c r="J84" s="30"/>
      <c r="K84" s="385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14.25" customHeight="1">
      <c r="A85" s="334">
        <v>83.0</v>
      </c>
      <c r="B85" s="370" t="s">
        <v>193</v>
      </c>
      <c r="C85" s="52" t="s">
        <v>695</v>
      </c>
      <c r="D85" s="371" t="s">
        <v>448</v>
      </c>
      <c r="E85" s="94"/>
      <c r="F85" s="95"/>
      <c r="G85" s="375"/>
      <c r="H85" s="334"/>
      <c r="I85" s="334"/>
      <c r="J85" s="30"/>
      <c r="K85" s="385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14.25" customHeight="1">
      <c r="A86" s="334">
        <v>84.0</v>
      </c>
      <c r="B86" s="370" t="s">
        <v>196</v>
      </c>
      <c r="C86" s="334" t="s">
        <v>34</v>
      </c>
      <c r="D86" s="371" t="s">
        <v>448</v>
      </c>
      <c r="E86" s="94"/>
      <c r="F86" s="95"/>
      <c r="G86" s="375"/>
      <c r="H86" s="334"/>
      <c r="I86" s="334"/>
      <c r="J86" s="30"/>
      <c r="K86" s="392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14.25" customHeight="1">
      <c r="A87" s="334">
        <v>85.0</v>
      </c>
      <c r="B87" s="370" t="s">
        <v>198</v>
      </c>
      <c r="C87" s="334" t="s">
        <v>12</v>
      </c>
      <c r="D87" s="371" t="s">
        <v>448</v>
      </c>
      <c r="E87" s="94"/>
      <c r="F87" s="95"/>
      <c r="G87" s="375"/>
      <c r="H87" s="334"/>
      <c r="I87" s="334"/>
      <c r="J87" s="30"/>
      <c r="K87" s="392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14.25" customHeight="1">
      <c r="A88" s="334">
        <v>86.0</v>
      </c>
      <c r="B88" s="370" t="s">
        <v>203</v>
      </c>
      <c r="C88" s="52" t="s">
        <v>33</v>
      </c>
      <c r="D88" s="371" t="s">
        <v>448</v>
      </c>
      <c r="E88" s="94"/>
      <c r="F88" s="95"/>
      <c r="G88" s="375"/>
      <c r="H88" s="334"/>
      <c r="I88" s="334"/>
      <c r="J88" s="30"/>
      <c r="K88" s="376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14.25" customHeight="1">
      <c r="A89" s="334">
        <v>87.0</v>
      </c>
      <c r="B89" s="370" t="s">
        <v>204</v>
      </c>
      <c r="C89" s="52" t="s">
        <v>33</v>
      </c>
      <c r="D89" s="371" t="s">
        <v>448</v>
      </c>
      <c r="E89" s="94"/>
      <c r="F89" s="95"/>
      <c r="G89" s="375"/>
      <c r="H89" s="334"/>
      <c r="I89" s="334"/>
      <c r="J89" s="30"/>
      <c r="K89" s="376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14.25" customHeight="1">
      <c r="A90" s="334">
        <v>88.0</v>
      </c>
      <c r="B90" s="370" t="s">
        <v>207</v>
      </c>
      <c r="C90" s="334" t="s">
        <v>12</v>
      </c>
      <c r="D90" s="371" t="s">
        <v>448</v>
      </c>
      <c r="E90" s="94"/>
      <c r="F90" s="95"/>
      <c r="G90" s="375"/>
      <c r="H90" s="334"/>
      <c r="I90" s="334"/>
      <c r="J90" s="30"/>
      <c r="K90" s="376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14.25" customHeight="1">
      <c r="A91" s="334">
        <v>89.0</v>
      </c>
      <c r="B91" s="370" t="s">
        <v>208</v>
      </c>
      <c r="C91" s="52" t="s">
        <v>695</v>
      </c>
      <c r="D91" s="371" t="s">
        <v>448</v>
      </c>
      <c r="E91" s="94"/>
      <c r="F91" s="95"/>
      <c r="G91" s="375"/>
      <c r="H91" s="334"/>
      <c r="I91" s="334"/>
      <c r="J91" s="30"/>
      <c r="K91" s="382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14.25" customHeight="1">
      <c r="A92" s="334">
        <v>90.0</v>
      </c>
      <c r="B92" s="370" t="s">
        <v>209</v>
      </c>
      <c r="C92" s="334" t="s">
        <v>34</v>
      </c>
      <c r="D92" s="371" t="s">
        <v>448</v>
      </c>
      <c r="E92" s="94"/>
      <c r="F92" s="95"/>
      <c r="G92" s="375"/>
      <c r="H92" s="334"/>
      <c r="I92" s="334"/>
      <c r="J92" s="30"/>
      <c r="K92" s="382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14.25" customHeight="1">
      <c r="A93" s="334">
        <v>91.0</v>
      </c>
      <c r="B93" s="370" t="s">
        <v>210</v>
      </c>
      <c r="C93" s="52" t="s">
        <v>33</v>
      </c>
      <c r="D93" s="371" t="s">
        <v>448</v>
      </c>
      <c r="E93" s="94"/>
      <c r="F93" s="95"/>
      <c r="G93" s="375"/>
      <c r="H93" s="334"/>
      <c r="I93" s="334"/>
      <c r="J93" s="30"/>
      <c r="K93" s="382"/>
      <c r="L93" s="393"/>
      <c r="M93" s="393"/>
      <c r="N93" s="393"/>
      <c r="O93" s="393"/>
      <c r="P93" s="393"/>
      <c r="Q93" s="393"/>
      <c r="R93" s="393"/>
      <c r="S93" s="393"/>
      <c r="T93" s="393"/>
      <c r="U93" s="393"/>
      <c r="V93" s="393"/>
      <c r="W93" s="393"/>
      <c r="X93" s="393"/>
      <c r="Y93" s="393"/>
    </row>
    <row r="94" ht="14.25" customHeight="1">
      <c r="A94" s="334">
        <v>92.0</v>
      </c>
      <c r="B94" s="370" t="s">
        <v>214</v>
      </c>
      <c r="C94" s="52" t="s">
        <v>33</v>
      </c>
      <c r="D94" s="371" t="s">
        <v>448</v>
      </c>
      <c r="E94" s="94"/>
      <c r="F94" s="95"/>
      <c r="G94" s="375"/>
      <c r="H94" s="334"/>
      <c r="I94" s="334"/>
      <c r="J94" s="30"/>
      <c r="K94" s="385"/>
      <c r="L94" s="393"/>
      <c r="M94" s="393"/>
      <c r="N94" s="393"/>
      <c r="O94" s="393"/>
      <c r="P94" s="393"/>
      <c r="Q94" s="393"/>
      <c r="R94" s="393"/>
      <c r="S94" s="393"/>
      <c r="T94" s="393"/>
      <c r="U94" s="393"/>
      <c r="V94" s="393"/>
      <c r="W94" s="393"/>
      <c r="X94" s="393"/>
      <c r="Y94" s="393"/>
    </row>
    <row r="95" ht="14.25" customHeight="1">
      <c r="A95" s="334">
        <v>93.0</v>
      </c>
      <c r="B95" s="370" t="s">
        <v>216</v>
      </c>
      <c r="C95" s="52" t="s">
        <v>33</v>
      </c>
      <c r="D95" s="371" t="s">
        <v>448</v>
      </c>
      <c r="E95" s="94"/>
      <c r="F95" s="95"/>
      <c r="G95" s="375"/>
      <c r="H95" s="334"/>
      <c r="I95" s="334"/>
      <c r="J95" s="30"/>
      <c r="K95" s="382"/>
      <c r="L95" s="393"/>
      <c r="M95" s="393"/>
      <c r="N95" s="393"/>
      <c r="O95" s="393"/>
      <c r="P95" s="393"/>
      <c r="Q95" s="393"/>
      <c r="R95" s="393"/>
      <c r="S95" s="393"/>
      <c r="T95" s="393"/>
      <c r="U95" s="393"/>
      <c r="V95" s="393"/>
      <c r="W95" s="393"/>
      <c r="X95" s="393"/>
      <c r="Y95" s="393"/>
    </row>
    <row r="96" ht="14.25" customHeight="1">
      <c r="A96" s="334">
        <v>94.0</v>
      </c>
      <c r="B96" s="370" t="s">
        <v>219</v>
      </c>
      <c r="C96" s="52" t="s">
        <v>15</v>
      </c>
      <c r="D96" s="371" t="s">
        <v>448</v>
      </c>
      <c r="E96" s="94"/>
      <c r="F96" s="95"/>
      <c r="G96" s="375"/>
      <c r="H96" s="334"/>
      <c r="I96" s="334"/>
      <c r="J96" s="30"/>
      <c r="K96" s="376"/>
      <c r="L96" s="393"/>
      <c r="M96" s="393"/>
      <c r="N96" s="393"/>
      <c r="O96" s="393"/>
      <c r="P96" s="393"/>
      <c r="Q96" s="393"/>
      <c r="R96" s="393"/>
      <c r="S96" s="393"/>
      <c r="T96" s="393"/>
      <c r="U96" s="393"/>
      <c r="V96" s="393"/>
      <c r="W96" s="393"/>
      <c r="X96" s="393"/>
      <c r="Y96" s="393"/>
    </row>
    <row r="97" ht="14.25" customHeight="1">
      <c r="A97" s="334">
        <v>95.0</v>
      </c>
      <c r="B97" s="370" t="s">
        <v>220</v>
      </c>
      <c r="C97" s="52" t="s">
        <v>33</v>
      </c>
      <c r="D97" s="371" t="s">
        <v>448</v>
      </c>
      <c r="E97" s="94"/>
      <c r="F97" s="95"/>
      <c r="G97" s="375"/>
      <c r="H97" s="334"/>
      <c r="I97" s="334"/>
      <c r="J97" s="30"/>
      <c r="K97" s="376"/>
      <c r="L97" s="393"/>
      <c r="M97" s="393"/>
      <c r="N97" s="393"/>
      <c r="O97" s="393"/>
      <c r="P97" s="393"/>
      <c r="Q97" s="393"/>
      <c r="R97" s="393"/>
      <c r="S97" s="393"/>
      <c r="T97" s="393"/>
      <c r="U97" s="393"/>
      <c r="V97" s="393"/>
      <c r="W97" s="393"/>
      <c r="X97" s="393"/>
      <c r="Y97" s="393"/>
    </row>
    <row r="98" ht="14.25" customHeight="1">
      <c r="A98" s="334">
        <v>96.0</v>
      </c>
      <c r="B98" s="370" t="s">
        <v>221</v>
      </c>
      <c r="C98" s="334" t="s">
        <v>12</v>
      </c>
      <c r="D98" s="371" t="s">
        <v>448</v>
      </c>
      <c r="E98" s="94"/>
      <c r="F98" s="95"/>
      <c r="G98" s="375"/>
      <c r="H98" s="334"/>
      <c r="I98" s="334"/>
      <c r="J98" s="30"/>
      <c r="K98" s="385"/>
      <c r="L98" s="393"/>
      <c r="M98" s="393"/>
      <c r="N98" s="393"/>
      <c r="O98" s="393"/>
      <c r="P98" s="393"/>
      <c r="Q98" s="393"/>
      <c r="R98" s="393"/>
      <c r="S98" s="393"/>
      <c r="T98" s="393"/>
      <c r="U98" s="393"/>
      <c r="V98" s="393"/>
      <c r="W98" s="393"/>
      <c r="X98" s="393"/>
      <c r="Y98" s="393"/>
    </row>
    <row r="99" ht="14.25" customHeight="1">
      <c r="A99" s="334">
        <v>97.0</v>
      </c>
      <c r="B99" s="370" t="s">
        <v>223</v>
      </c>
      <c r="C99" s="334" t="s">
        <v>34</v>
      </c>
      <c r="D99" s="371" t="s">
        <v>448</v>
      </c>
      <c r="E99" s="94"/>
      <c r="F99" s="95"/>
      <c r="G99" s="375"/>
      <c r="H99" s="334"/>
      <c r="I99" s="334"/>
      <c r="J99" s="30"/>
      <c r="K99" s="376"/>
      <c r="L99" s="393"/>
      <c r="M99" s="393"/>
      <c r="N99" s="393"/>
      <c r="O99" s="393"/>
      <c r="P99" s="393"/>
      <c r="Q99" s="393"/>
      <c r="R99" s="393"/>
      <c r="S99" s="393"/>
      <c r="T99" s="393"/>
      <c r="U99" s="393"/>
      <c r="V99" s="393"/>
      <c r="W99" s="393"/>
      <c r="X99" s="393"/>
      <c r="Y99" s="393"/>
    </row>
    <row r="100" ht="14.25" customHeight="1">
      <c r="A100" s="334">
        <v>98.0</v>
      </c>
      <c r="B100" s="370" t="s">
        <v>225</v>
      </c>
      <c r="C100" s="52" t="s">
        <v>33</v>
      </c>
      <c r="D100" s="371" t="s">
        <v>448</v>
      </c>
      <c r="E100" s="94"/>
      <c r="F100" s="95"/>
      <c r="G100" s="375"/>
      <c r="H100" s="334"/>
      <c r="I100" s="334"/>
      <c r="J100" s="30"/>
      <c r="K100" s="376"/>
      <c r="L100" s="393"/>
      <c r="M100" s="393"/>
      <c r="N100" s="393"/>
      <c r="O100" s="393"/>
      <c r="P100" s="393"/>
      <c r="Q100" s="393"/>
      <c r="R100" s="393"/>
      <c r="S100" s="393"/>
      <c r="T100" s="393"/>
      <c r="U100" s="393"/>
      <c r="V100" s="393"/>
      <c r="W100" s="393"/>
      <c r="X100" s="393"/>
      <c r="Y100" s="393"/>
    </row>
    <row r="101" ht="14.25" customHeight="1">
      <c r="A101" s="334">
        <v>99.0</v>
      </c>
      <c r="B101" s="370" t="s">
        <v>226</v>
      </c>
      <c r="C101" s="52" t="s">
        <v>33</v>
      </c>
      <c r="D101" s="371" t="s">
        <v>448</v>
      </c>
      <c r="E101" s="94"/>
      <c r="F101" s="95"/>
      <c r="G101" s="375"/>
      <c r="H101" s="334"/>
      <c r="I101" s="334"/>
      <c r="J101" s="30"/>
      <c r="K101" s="376"/>
      <c r="L101" s="393"/>
      <c r="M101" s="393"/>
      <c r="N101" s="393"/>
      <c r="O101" s="393"/>
      <c r="P101" s="393"/>
      <c r="Q101" s="393"/>
      <c r="R101" s="393"/>
      <c r="S101" s="393"/>
      <c r="T101" s="393"/>
      <c r="U101" s="393"/>
      <c r="V101" s="393"/>
      <c r="W101" s="393"/>
      <c r="X101" s="393"/>
      <c r="Y101" s="393"/>
    </row>
    <row r="102" ht="14.25" customHeight="1">
      <c r="A102" s="334">
        <v>100.0</v>
      </c>
      <c r="B102" s="370" t="s">
        <v>227</v>
      </c>
      <c r="C102" s="52" t="s">
        <v>33</v>
      </c>
      <c r="D102" s="371" t="s">
        <v>448</v>
      </c>
      <c r="E102" s="94"/>
      <c r="F102" s="95"/>
      <c r="G102" s="375"/>
      <c r="H102" s="334"/>
      <c r="I102" s="334"/>
      <c r="J102" s="30"/>
      <c r="K102" s="376"/>
      <c r="L102" s="393"/>
      <c r="M102" s="393"/>
      <c r="N102" s="393"/>
      <c r="O102" s="393"/>
      <c r="P102" s="393"/>
      <c r="Q102" s="393"/>
      <c r="R102" s="393"/>
      <c r="S102" s="393"/>
      <c r="T102" s="393"/>
      <c r="U102" s="393"/>
      <c r="V102" s="393"/>
      <c r="W102" s="393"/>
      <c r="X102" s="393"/>
      <c r="Y102" s="393"/>
    </row>
    <row r="103" ht="14.25" customHeight="1">
      <c r="A103" s="334">
        <v>101.0</v>
      </c>
      <c r="B103" s="370" t="s">
        <v>229</v>
      </c>
      <c r="C103" s="52" t="s">
        <v>33</v>
      </c>
      <c r="D103" s="371" t="s">
        <v>448</v>
      </c>
      <c r="E103" s="94"/>
      <c r="F103" s="95"/>
      <c r="G103" s="375"/>
      <c r="H103" s="334"/>
      <c r="I103" s="334"/>
      <c r="J103" s="30"/>
      <c r="K103" s="376"/>
      <c r="L103" s="393"/>
      <c r="M103" s="393"/>
      <c r="N103" s="393"/>
      <c r="O103" s="393"/>
      <c r="P103" s="393"/>
      <c r="Q103" s="393"/>
      <c r="R103" s="393"/>
      <c r="S103" s="393"/>
      <c r="T103" s="393"/>
      <c r="U103" s="393"/>
      <c r="V103" s="393"/>
      <c r="W103" s="393"/>
      <c r="X103" s="393"/>
      <c r="Y103" s="393"/>
    </row>
    <row r="104" ht="14.25" customHeight="1">
      <c r="A104" s="334">
        <v>102.0</v>
      </c>
      <c r="B104" s="370" t="s">
        <v>230</v>
      </c>
      <c r="C104" s="334" t="s">
        <v>34</v>
      </c>
      <c r="D104" s="371" t="s">
        <v>448</v>
      </c>
      <c r="E104" s="94"/>
      <c r="F104" s="95"/>
      <c r="G104" s="375"/>
      <c r="H104" s="334"/>
      <c r="I104" s="334"/>
      <c r="J104" s="30"/>
      <c r="K104" s="376"/>
      <c r="L104" s="393"/>
      <c r="M104" s="393"/>
      <c r="N104" s="393"/>
      <c r="O104" s="393"/>
      <c r="P104" s="393"/>
      <c r="Q104" s="393"/>
      <c r="R104" s="393"/>
      <c r="S104" s="393"/>
      <c r="T104" s="393"/>
      <c r="U104" s="393"/>
      <c r="V104" s="393"/>
      <c r="W104" s="393"/>
      <c r="X104" s="393"/>
      <c r="Y104" s="393"/>
    </row>
    <row r="105" ht="14.25" customHeight="1">
      <c r="A105" s="334">
        <v>103.0</v>
      </c>
      <c r="B105" s="370" t="s">
        <v>237</v>
      </c>
      <c r="C105" s="334" t="s">
        <v>34</v>
      </c>
      <c r="D105" s="371" t="s">
        <v>448</v>
      </c>
      <c r="E105" s="94"/>
      <c r="F105" s="95"/>
      <c r="G105" s="375"/>
      <c r="H105" s="334"/>
      <c r="I105" s="334"/>
      <c r="J105" s="30"/>
      <c r="K105" s="376"/>
      <c r="L105" s="393"/>
      <c r="M105" s="393"/>
      <c r="N105" s="393"/>
      <c r="O105" s="393"/>
      <c r="P105" s="393"/>
      <c r="Q105" s="393"/>
      <c r="R105" s="393"/>
      <c r="S105" s="393"/>
      <c r="T105" s="393"/>
      <c r="U105" s="393"/>
      <c r="V105" s="393"/>
      <c r="W105" s="393"/>
      <c r="X105" s="393"/>
      <c r="Y105" s="393"/>
    </row>
    <row r="106" ht="14.25" customHeight="1">
      <c r="A106" s="334">
        <v>104.0</v>
      </c>
      <c r="B106" s="370" t="s">
        <v>238</v>
      </c>
      <c r="C106" s="52" t="s">
        <v>33</v>
      </c>
      <c r="D106" s="371" t="s">
        <v>448</v>
      </c>
      <c r="E106" s="94"/>
      <c r="F106" s="95"/>
      <c r="G106" s="375"/>
      <c r="H106" s="334"/>
      <c r="I106" s="334"/>
      <c r="J106" s="30"/>
      <c r="K106" s="376"/>
      <c r="L106" s="393"/>
      <c r="M106" s="393"/>
      <c r="N106" s="393"/>
      <c r="O106" s="393"/>
      <c r="P106" s="393"/>
      <c r="Q106" s="393"/>
      <c r="R106" s="393"/>
      <c r="S106" s="393"/>
      <c r="T106" s="393"/>
      <c r="U106" s="393"/>
      <c r="V106" s="393"/>
      <c r="W106" s="393"/>
      <c r="X106" s="393"/>
      <c r="Y106" s="393"/>
    </row>
    <row r="107" ht="14.25" customHeight="1">
      <c r="A107" s="334">
        <v>105.0</v>
      </c>
      <c r="B107" s="370" t="s">
        <v>239</v>
      </c>
      <c r="C107" s="52" t="s">
        <v>33</v>
      </c>
      <c r="D107" s="371" t="s">
        <v>448</v>
      </c>
      <c r="E107" s="94"/>
      <c r="F107" s="95"/>
      <c r="G107" s="375"/>
      <c r="H107" s="334"/>
      <c r="I107" s="334"/>
      <c r="J107" s="30"/>
      <c r="K107" s="376"/>
      <c r="L107" s="393"/>
      <c r="M107" s="393"/>
      <c r="N107" s="393"/>
      <c r="O107" s="393"/>
      <c r="P107" s="393"/>
      <c r="Q107" s="393"/>
      <c r="R107" s="393"/>
      <c r="S107" s="393"/>
      <c r="T107" s="393"/>
      <c r="U107" s="393"/>
      <c r="V107" s="393"/>
      <c r="W107" s="393"/>
      <c r="X107" s="393"/>
      <c r="Y107" s="393"/>
    </row>
    <row r="108" ht="14.25" customHeight="1">
      <c r="A108" s="334">
        <v>106.0</v>
      </c>
      <c r="B108" s="370" t="s">
        <v>241</v>
      </c>
      <c r="C108" s="334" t="s">
        <v>12</v>
      </c>
      <c r="D108" s="371" t="s">
        <v>448</v>
      </c>
      <c r="E108" s="94"/>
      <c r="F108" s="95"/>
      <c r="G108" s="375"/>
      <c r="H108" s="334"/>
      <c r="I108" s="334"/>
      <c r="J108" s="30"/>
      <c r="K108" s="376"/>
      <c r="L108" s="393"/>
      <c r="M108" s="393"/>
      <c r="N108" s="393"/>
      <c r="O108" s="393"/>
      <c r="P108" s="393"/>
      <c r="Q108" s="393"/>
      <c r="R108" s="393"/>
      <c r="S108" s="393"/>
      <c r="T108" s="393"/>
      <c r="U108" s="393"/>
      <c r="V108" s="393"/>
      <c r="W108" s="393"/>
      <c r="X108" s="393"/>
      <c r="Y108" s="393"/>
    </row>
    <row r="109" ht="14.25" customHeight="1">
      <c r="A109" s="334">
        <v>107.0</v>
      </c>
      <c r="B109" s="370" t="s">
        <v>244</v>
      </c>
      <c r="C109" s="334" t="s">
        <v>34</v>
      </c>
      <c r="D109" s="371" t="s">
        <v>448</v>
      </c>
      <c r="E109" s="94"/>
      <c r="F109" s="95"/>
      <c r="G109" s="375"/>
      <c r="H109" s="334"/>
      <c r="I109" s="334"/>
      <c r="J109" s="30"/>
      <c r="K109" s="376"/>
      <c r="L109" s="393"/>
      <c r="M109" s="393"/>
      <c r="N109" s="393"/>
      <c r="O109" s="393"/>
      <c r="P109" s="393"/>
      <c r="Q109" s="393"/>
      <c r="R109" s="393"/>
      <c r="S109" s="393"/>
      <c r="T109" s="393"/>
      <c r="U109" s="393"/>
      <c r="V109" s="393"/>
      <c r="W109" s="393"/>
      <c r="X109" s="393"/>
      <c r="Y109" s="393"/>
    </row>
    <row r="110" ht="14.25" customHeight="1">
      <c r="A110" s="334">
        <v>108.0</v>
      </c>
      <c r="B110" s="370" t="s">
        <v>242</v>
      </c>
      <c r="C110" s="52" t="s">
        <v>695</v>
      </c>
      <c r="D110" s="371" t="s">
        <v>448</v>
      </c>
      <c r="E110" s="94"/>
      <c r="F110" s="95"/>
      <c r="G110" s="375"/>
      <c r="H110" s="334"/>
      <c r="I110" s="334"/>
      <c r="J110" s="30"/>
      <c r="K110" s="388"/>
      <c r="L110" s="393"/>
      <c r="M110" s="393"/>
      <c r="N110" s="393"/>
      <c r="O110" s="393"/>
      <c r="P110" s="393"/>
      <c r="Q110" s="393"/>
      <c r="R110" s="393"/>
      <c r="S110" s="393"/>
      <c r="T110" s="393"/>
      <c r="U110" s="393"/>
      <c r="V110" s="393"/>
      <c r="W110" s="393"/>
      <c r="X110" s="393"/>
      <c r="Y110" s="393"/>
    </row>
    <row r="111" ht="14.25" customHeight="1">
      <c r="A111" s="334">
        <v>109.0</v>
      </c>
      <c r="B111" s="370" t="s">
        <v>245</v>
      </c>
      <c r="C111" s="52" t="s">
        <v>33</v>
      </c>
      <c r="D111" s="371" t="s">
        <v>448</v>
      </c>
      <c r="E111" s="94"/>
      <c r="F111" s="95"/>
      <c r="G111" s="375"/>
      <c r="H111" s="334"/>
      <c r="I111" s="334"/>
      <c r="J111" s="30"/>
      <c r="K111" s="376"/>
      <c r="L111" s="393"/>
      <c r="M111" s="393"/>
      <c r="N111" s="393"/>
      <c r="O111" s="393"/>
      <c r="P111" s="393"/>
      <c r="Q111" s="393"/>
      <c r="R111" s="393"/>
      <c r="S111" s="393"/>
      <c r="T111" s="393"/>
      <c r="U111" s="393"/>
      <c r="V111" s="393"/>
      <c r="W111" s="393"/>
      <c r="X111" s="393"/>
      <c r="Y111" s="393"/>
    </row>
    <row r="112" ht="14.25" customHeight="1">
      <c r="A112" s="334">
        <v>110.0</v>
      </c>
      <c r="B112" s="370" t="s">
        <v>253</v>
      </c>
      <c r="C112" s="334" t="s">
        <v>34</v>
      </c>
      <c r="D112" s="371" t="s">
        <v>448</v>
      </c>
      <c r="E112" s="94"/>
      <c r="F112" s="95"/>
      <c r="G112" s="375"/>
      <c r="H112" s="334"/>
      <c r="I112" s="334"/>
      <c r="J112" s="30"/>
      <c r="K112" s="376"/>
      <c r="L112" s="393"/>
      <c r="M112" s="393"/>
      <c r="N112" s="393"/>
      <c r="O112" s="393"/>
      <c r="P112" s="393"/>
      <c r="Q112" s="393"/>
      <c r="R112" s="393"/>
      <c r="S112" s="393"/>
      <c r="T112" s="393"/>
      <c r="U112" s="393"/>
      <c r="V112" s="393"/>
      <c r="W112" s="393"/>
      <c r="X112" s="393"/>
      <c r="Y112" s="393"/>
    </row>
    <row r="113" ht="14.25" customHeight="1">
      <c r="A113" s="334">
        <v>111.0</v>
      </c>
      <c r="B113" s="370" t="s">
        <v>258</v>
      </c>
      <c r="C113" s="334" t="s">
        <v>34</v>
      </c>
      <c r="D113" s="371" t="s">
        <v>448</v>
      </c>
      <c r="E113" s="94"/>
      <c r="F113" s="95"/>
      <c r="G113" s="375"/>
      <c r="H113" s="334"/>
      <c r="I113" s="334"/>
      <c r="J113" s="30"/>
      <c r="K113" s="376"/>
      <c r="L113" s="393"/>
      <c r="M113" s="393"/>
      <c r="N113" s="393"/>
      <c r="O113" s="393"/>
      <c r="P113" s="393"/>
      <c r="Q113" s="393"/>
      <c r="R113" s="393"/>
      <c r="S113" s="393"/>
      <c r="T113" s="393"/>
      <c r="U113" s="393"/>
      <c r="V113" s="393"/>
      <c r="W113" s="393"/>
      <c r="X113" s="393"/>
      <c r="Y113" s="393"/>
    </row>
    <row r="114" ht="14.25" customHeight="1">
      <c r="A114" s="334">
        <v>112.0</v>
      </c>
      <c r="B114" s="370" t="s">
        <v>259</v>
      </c>
      <c r="C114" s="52" t="s">
        <v>33</v>
      </c>
      <c r="D114" s="371" t="s">
        <v>448</v>
      </c>
      <c r="E114" s="94"/>
      <c r="F114" s="95"/>
      <c r="G114" s="375"/>
      <c r="H114" s="334"/>
      <c r="I114" s="334"/>
      <c r="J114" s="30"/>
      <c r="K114" s="376"/>
      <c r="L114" s="393"/>
      <c r="M114" s="393"/>
      <c r="N114" s="393"/>
      <c r="O114" s="393"/>
      <c r="P114" s="393"/>
      <c r="Q114" s="393"/>
      <c r="R114" s="393"/>
      <c r="S114" s="393"/>
      <c r="T114" s="393"/>
      <c r="U114" s="393"/>
      <c r="V114" s="393"/>
      <c r="W114" s="393"/>
      <c r="X114" s="393"/>
      <c r="Y114" s="393"/>
    </row>
    <row r="115" ht="14.25" customHeight="1">
      <c r="A115" s="334">
        <v>113.0</v>
      </c>
      <c r="B115" s="370" t="s">
        <v>280</v>
      </c>
      <c r="C115" s="334" t="s">
        <v>34</v>
      </c>
      <c r="D115" s="371" t="s">
        <v>448</v>
      </c>
      <c r="E115" s="94"/>
      <c r="F115" s="95"/>
      <c r="G115" s="375"/>
      <c r="H115" s="334"/>
      <c r="I115" s="334"/>
      <c r="J115" s="30"/>
      <c r="K115" s="388"/>
      <c r="L115" s="393"/>
      <c r="M115" s="393"/>
      <c r="N115" s="393"/>
      <c r="O115" s="393"/>
      <c r="P115" s="393"/>
      <c r="Q115" s="393"/>
      <c r="R115" s="393"/>
      <c r="S115" s="393"/>
      <c r="T115" s="393"/>
      <c r="U115" s="393"/>
      <c r="V115" s="393"/>
      <c r="W115" s="393"/>
      <c r="X115" s="393"/>
      <c r="Y115" s="393"/>
    </row>
    <row r="116" ht="14.25" customHeight="1">
      <c r="A116" s="334">
        <v>114.0</v>
      </c>
      <c r="B116" s="370" t="s">
        <v>278</v>
      </c>
      <c r="C116" s="334" t="s">
        <v>34</v>
      </c>
      <c r="D116" s="371" t="s">
        <v>448</v>
      </c>
      <c r="E116" s="94"/>
      <c r="F116" s="95"/>
      <c r="G116" s="375"/>
      <c r="H116" s="334"/>
      <c r="I116" s="334"/>
      <c r="J116" s="30"/>
      <c r="K116" s="388"/>
      <c r="L116" s="393"/>
      <c r="M116" s="393"/>
      <c r="N116" s="393"/>
      <c r="O116" s="393"/>
      <c r="P116" s="393"/>
      <c r="Q116" s="393"/>
      <c r="R116" s="393"/>
      <c r="S116" s="393"/>
      <c r="T116" s="393"/>
      <c r="U116" s="393"/>
      <c r="V116" s="393"/>
      <c r="W116" s="393"/>
      <c r="X116" s="393"/>
      <c r="Y116" s="393"/>
    </row>
    <row r="117" ht="14.25" customHeight="1">
      <c r="A117" s="334">
        <v>115.0</v>
      </c>
      <c r="B117" s="370" t="s">
        <v>281</v>
      </c>
      <c r="C117" s="52" t="s">
        <v>33</v>
      </c>
      <c r="D117" s="371" t="s">
        <v>448</v>
      </c>
      <c r="E117" s="94"/>
      <c r="F117" s="95"/>
      <c r="G117" s="375"/>
      <c r="H117" s="334"/>
      <c r="I117" s="334"/>
      <c r="J117" s="30"/>
      <c r="K117" s="376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14.25" customHeight="1">
      <c r="A118" s="334">
        <v>116.0</v>
      </c>
      <c r="B118" s="370" t="s">
        <v>282</v>
      </c>
      <c r="C118" s="52" t="s">
        <v>33</v>
      </c>
      <c r="D118" s="371" t="s">
        <v>448</v>
      </c>
      <c r="E118" s="94"/>
      <c r="F118" s="95"/>
      <c r="G118" s="375"/>
      <c r="H118" s="334"/>
      <c r="I118" s="334"/>
      <c r="J118" s="30"/>
      <c r="K118" s="376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14.25" customHeight="1">
      <c r="A119" s="334">
        <v>117.0</v>
      </c>
      <c r="B119" s="370" t="s">
        <v>285</v>
      </c>
      <c r="C119" s="334" t="s">
        <v>12</v>
      </c>
      <c r="D119" s="371" t="s">
        <v>448</v>
      </c>
      <c r="E119" s="94"/>
      <c r="F119" s="95"/>
      <c r="G119" s="375"/>
      <c r="H119" s="334"/>
      <c r="I119" s="334"/>
      <c r="J119" s="30"/>
      <c r="K119" s="376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14.25" customHeight="1">
      <c r="A120" s="334">
        <v>118.0</v>
      </c>
      <c r="B120" s="370" t="s">
        <v>288</v>
      </c>
      <c r="C120" s="52" t="s">
        <v>695</v>
      </c>
      <c r="D120" s="371" t="s">
        <v>448</v>
      </c>
      <c r="E120" s="94"/>
      <c r="F120" s="95"/>
      <c r="G120" s="375"/>
      <c r="H120" s="334"/>
      <c r="I120" s="334"/>
      <c r="J120" s="30"/>
      <c r="K120" s="376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14.25" customHeight="1">
      <c r="A121" s="334">
        <v>119.0</v>
      </c>
      <c r="B121" s="370" t="s">
        <v>292</v>
      </c>
      <c r="C121" s="334" t="s">
        <v>34</v>
      </c>
      <c r="D121" s="371" t="s">
        <v>448</v>
      </c>
      <c r="E121" s="94"/>
      <c r="F121" s="95"/>
      <c r="G121" s="375"/>
      <c r="H121" s="334"/>
      <c r="I121" s="334"/>
      <c r="J121" s="30"/>
      <c r="K121" s="376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14.25" customHeight="1">
      <c r="A122" s="334">
        <v>120.0</v>
      </c>
      <c r="B122" s="370" t="s">
        <v>294</v>
      </c>
      <c r="C122" s="52" t="s">
        <v>33</v>
      </c>
      <c r="D122" s="371" t="s">
        <v>448</v>
      </c>
      <c r="E122" s="94"/>
      <c r="F122" s="95"/>
      <c r="G122" s="375"/>
      <c r="H122" s="334"/>
      <c r="I122" s="334"/>
      <c r="J122" s="30"/>
      <c r="K122" s="376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14.25" customHeight="1">
      <c r="A123" s="334">
        <v>121.0</v>
      </c>
      <c r="B123" s="370" t="s">
        <v>296</v>
      </c>
      <c r="C123" s="334" t="s">
        <v>34</v>
      </c>
      <c r="D123" s="371" t="s">
        <v>448</v>
      </c>
      <c r="E123" s="94"/>
      <c r="F123" s="95"/>
      <c r="G123" s="375"/>
      <c r="H123" s="334"/>
      <c r="I123" s="334"/>
      <c r="J123" s="30"/>
      <c r="K123" s="376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</row>
    <row r="124" ht="14.25" customHeight="1">
      <c r="A124" s="334">
        <v>122.0</v>
      </c>
      <c r="B124" s="370" t="s">
        <v>298</v>
      </c>
      <c r="C124" s="334" t="s">
        <v>12</v>
      </c>
      <c r="D124" s="371" t="s">
        <v>448</v>
      </c>
      <c r="E124" s="94"/>
      <c r="F124" s="95"/>
      <c r="G124" s="375"/>
      <c r="H124" s="334"/>
      <c r="I124" s="334"/>
      <c r="J124" s="30"/>
      <c r="K124" s="376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</row>
    <row r="125" ht="14.25" customHeight="1">
      <c r="A125" s="334">
        <v>123.0</v>
      </c>
      <c r="B125" s="370" t="s">
        <v>299</v>
      </c>
      <c r="C125" s="52" t="s">
        <v>33</v>
      </c>
      <c r="D125" s="371" t="s">
        <v>448</v>
      </c>
      <c r="E125" s="94"/>
      <c r="F125" s="95"/>
      <c r="G125" s="375"/>
      <c r="H125" s="334"/>
      <c r="I125" s="334"/>
      <c r="J125" s="30"/>
      <c r="K125" s="376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</row>
    <row r="126" ht="14.25" customHeight="1">
      <c r="A126" s="334">
        <v>124.0</v>
      </c>
      <c r="B126" s="370" t="s">
        <v>300</v>
      </c>
      <c r="C126" s="334" t="s">
        <v>34</v>
      </c>
      <c r="D126" s="371" t="s">
        <v>448</v>
      </c>
      <c r="E126" s="94"/>
      <c r="F126" s="95"/>
      <c r="G126" s="375"/>
      <c r="H126" s="334"/>
      <c r="I126" s="334"/>
      <c r="J126" s="30"/>
      <c r="K126" s="376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</row>
    <row r="127" ht="14.25" customHeight="1">
      <c r="A127" s="334">
        <v>125.0</v>
      </c>
      <c r="B127" s="370" t="s">
        <v>306</v>
      </c>
      <c r="C127" s="52" t="s">
        <v>33</v>
      </c>
      <c r="D127" s="371" t="s">
        <v>448</v>
      </c>
      <c r="E127" s="94"/>
      <c r="F127" s="95"/>
      <c r="G127" s="375"/>
      <c r="H127" s="334"/>
      <c r="I127" s="334"/>
      <c r="J127" s="30"/>
      <c r="K127" s="376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</row>
    <row r="128" ht="14.25" customHeight="1">
      <c r="A128" s="334">
        <v>126.0</v>
      </c>
      <c r="B128" s="370" t="s">
        <v>307</v>
      </c>
      <c r="C128" s="52" t="s">
        <v>15</v>
      </c>
      <c r="D128" s="371" t="s">
        <v>448</v>
      </c>
      <c r="E128" s="94"/>
      <c r="F128" s="95"/>
      <c r="G128" s="375"/>
      <c r="H128" s="334"/>
      <c r="I128" s="334"/>
      <c r="J128" s="30"/>
      <c r="K128" s="394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</row>
    <row r="129" ht="14.25" customHeight="1">
      <c r="A129" s="334">
        <v>127.0</v>
      </c>
      <c r="B129" s="370" t="s">
        <v>308</v>
      </c>
      <c r="C129" s="52" t="s">
        <v>15</v>
      </c>
      <c r="D129" s="371" t="s">
        <v>448</v>
      </c>
      <c r="E129" s="94"/>
      <c r="F129" s="95"/>
      <c r="G129" s="375"/>
      <c r="H129" s="334"/>
      <c r="I129" s="334"/>
      <c r="J129" s="30"/>
      <c r="K129" s="394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14.25" customHeight="1">
      <c r="A130" s="334">
        <v>128.0</v>
      </c>
      <c r="B130" s="370" t="s">
        <v>347</v>
      </c>
      <c r="C130" s="52" t="s">
        <v>15</v>
      </c>
      <c r="D130" s="371" t="s">
        <v>448</v>
      </c>
      <c r="E130" s="94"/>
      <c r="F130" s="95"/>
      <c r="G130" s="375"/>
      <c r="H130" s="334"/>
      <c r="I130" s="334"/>
      <c r="J130" s="30"/>
      <c r="K130" s="376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14.25" customHeight="1">
      <c r="A131" s="334">
        <v>129.0</v>
      </c>
      <c r="B131" s="370" t="s">
        <v>354</v>
      </c>
      <c r="C131" s="334" t="s">
        <v>12</v>
      </c>
      <c r="D131" s="371" t="s">
        <v>448</v>
      </c>
      <c r="E131" s="94"/>
      <c r="F131" s="95"/>
      <c r="G131" s="375"/>
      <c r="H131" s="334"/>
      <c r="I131" s="334"/>
      <c r="J131" s="30"/>
      <c r="K131" s="376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14.25" customHeight="1">
      <c r="A132" s="334">
        <v>130.0</v>
      </c>
      <c r="B132" s="370" t="s">
        <v>362</v>
      </c>
      <c r="C132" s="334" t="s">
        <v>12</v>
      </c>
      <c r="D132" s="371" t="s">
        <v>448</v>
      </c>
      <c r="E132" s="94"/>
      <c r="F132" s="95"/>
      <c r="G132" s="375"/>
      <c r="H132" s="334"/>
      <c r="I132" s="334"/>
      <c r="J132" s="30"/>
      <c r="K132" s="392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</row>
    <row r="133" ht="14.25" customHeight="1">
      <c r="A133" s="334">
        <v>131.0</v>
      </c>
      <c r="B133" s="370" t="s">
        <v>373</v>
      </c>
      <c r="C133" s="52" t="s">
        <v>15</v>
      </c>
      <c r="D133" s="371" t="s">
        <v>448</v>
      </c>
      <c r="E133" s="94"/>
      <c r="F133" s="95"/>
      <c r="G133" s="375"/>
      <c r="H133" s="334"/>
      <c r="I133" s="334"/>
      <c r="J133" s="30"/>
      <c r="K133" s="392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</row>
    <row r="134" ht="14.25" customHeight="1">
      <c r="A134" s="334">
        <v>132.0</v>
      </c>
      <c r="B134" s="370" t="s">
        <v>261</v>
      </c>
      <c r="C134" s="52" t="s">
        <v>15</v>
      </c>
      <c r="D134" s="371" t="s">
        <v>448</v>
      </c>
      <c r="E134" s="94"/>
      <c r="F134" s="95"/>
      <c r="G134" s="375"/>
      <c r="H134" s="334"/>
      <c r="I134" s="334"/>
      <c r="J134" s="30"/>
      <c r="K134" s="392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14.25" customHeight="1">
      <c r="A135" s="334">
        <v>133.0</v>
      </c>
      <c r="B135" s="370" t="s">
        <v>263</v>
      </c>
      <c r="C135" s="52" t="s">
        <v>33</v>
      </c>
      <c r="D135" s="371" t="s">
        <v>448</v>
      </c>
      <c r="E135" s="94"/>
      <c r="F135" s="95"/>
      <c r="G135" s="375"/>
      <c r="H135" s="334"/>
      <c r="I135" s="334"/>
      <c r="J135" s="30"/>
      <c r="K135" s="376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</row>
    <row r="136" ht="14.25" customHeight="1">
      <c r="A136" s="334">
        <v>134.0</v>
      </c>
      <c r="B136" s="370" t="s">
        <v>194</v>
      </c>
      <c r="C136" s="370" t="s">
        <v>115</v>
      </c>
      <c r="D136" s="371" t="s">
        <v>448</v>
      </c>
      <c r="E136" s="94"/>
      <c r="F136" s="95"/>
      <c r="G136" s="30"/>
      <c r="H136" s="30"/>
      <c r="I136" s="30"/>
      <c r="J136" s="30"/>
      <c r="K136" s="392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</row>
    <row r="137" ht="14.25" customHeight="1">
      <c r="A137" s="334">
        <v>135.0</v>
      </c>
      <c r="B137" s="374" t="s">
        <v>84</v>
      </c>
      <c r="C137" s="334" t="s">
        <v>33</v>
      </c>
      <c r="D137" s="371" t="s">
        <v>448</v>
      </c>
      <c r="E137" s="94"/>
      <c r="F137" s="95"/>
      <c r="G137" s="30"/>
      <c r="H137" s="30"/>
      <c r="I137" s="30"/>
      <c r="J137" s="30"/>
      <c r="K137" s="395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</row>
    <row r="138" ht="14.25" customHeight="1">
      <c r="A138" s="334">
        <v>136.0</v>
      </c>
      <c r="B138" s="370" t="s">
        <v>75</v>
      </c>
      <c r="C138" s="334" t="s">
        <v>34</v>
      </c>
      <c r="D138" s="371" t="s">
        <v>448</v>
      </c>
      <c r="E138" s="94"/>
      <c r="F138" s="95"/>
      <c r="G138" s="30"/>
      <c r="H138" s="30"/>
      <c r="I138" s="30"/>
      <c r="J138" s="30"/>
      <c r="K138" s="395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</row>
    <row r="139" ht="14.25" customHeight="1">
      <c r="A139" s="334">
        <v>137.0</v>
      </c>
      <c r="B139" s="334" t="s">
        <v>195</v>
      </c>
      <c r="C139" s="334" t="s">
        <v>186</v>
      </c>
      <c r="D139" s="371" t="s">
        <v>448</v>
      </c>
      <c r="E139" s="94"/>
      <c r="F139" s="95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</row>
    <row r="140" ht="14.25" customHeight="1">
      <c r="A140" s="334">
        <v>138.0</v>
      </c>
      <c r="B140" s="370" t="s">
        <v>47</v>
      </c>
      <c r="C140" s="334" t="s">
        <v>36</v>
      </c>
      <c r="D140" s="371" t="s">
        <v>448</v>
      </c>
      <c r="E140" s="94"/>
      <c r="F140" s="95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</row>
    <row r="141" ht="14.25" customHeight="1">
      <c r="A141" s="334">
        <v>139.0</v>
      </c>
      <c r="B141" s="370" t="s">
        <v>62</v>
      </c>
      <c r="C141" s="334" t="s">
        <v>15</v>
      </c>
      <c r="D141" s="371" t="s">
        <v>448</v>
      </c>
      <c r="E141" s="94"/>
      <c r="F141" s="95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</row>
    <row r="142" ht="14.25" customHeight="1">
      <c r="A142" s="334">
        <v>140.0</v>
      </c>
      <c r="B142" s="370" t="s">
        <v>269</v>
      </c>
      <c r="C142" s="334" t="s">
        <v>15</v>
      </c>
      <c r="D142" s="371" t="s">
        <v>448</v>
      </c>
      <c r="E142" s="94"/>
      <c r="F142" s="95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</row>
    <row r="143" ht="14.25" customHeight="1">
      <c r="A143" s="334">
        <v>141.0</v>
      </c>
      <c r="B143" s="370" t="s">
        <v>53</v>
      </c>
      <c r="C143" s="334" t="s">
        <v>16</v>
      </c>
      <c r="D143" s="371" t="s">
        <v>448</v>
      </c>
      <c r="E143" s="94"/>
      <c r="F143" s="95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</row>
    <row r="144" ht="14.25" customHeight="1">
      <c r="A144" s="334">
        <v>142.0</v>
      </c>
      <c r="B144" s="370" t="s">
        <v>96</v>
      </c>
      <c r="C144" s="334" t="s">
        <v>33</v>
      </c>
      <c r="D144" s="371" t="s">
        <v>448</v>
      </c>
      <c r="E144" s="94"/>
      <c r="F144" s="95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</row>
    <row r="145" ht="14.25" customHeight="1">
      <c r="A145" s="334">
        <v>143.0</v>
      </c>
      <c r="B145" s="334" t="s">
        <v>271</v>
      </c>
      <c r="C145" s="334" t="s">
        <v>34</v>
      </c>
      <c r="D145" s="371" t="s">
        <v>448</v>
      </c>
      <c r="E145" s="94"/>
      <c r="F145" s="95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</row>
    <row r="146" ht="14.25" customHeight="1">
      <c r="A146" s="334">
        <v>144.0</v>
      </c>
      <c r="B146" s="370" t="s">
        <v>72</v>
      </c>
      <c r="C146" s="334" t="s">
        <v>16</v>
      </c>
      <c r="D146" s="371" t="s">
        <v>448</v>
      </c>
      <c r="E146" s="94"/>
      <c r="F146" s="95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ht="14.25" customHeight="1">
      <c r="A147" s="334">
        <v>145.0</v>
      </c>
      <c r="B147" s="334" t="s">
        <v>270</v>
      </c>
      <c r="C147" s="334" t="s">
        <v>13</v>
      </c>
      <c r="D147" s="371" t="s">
        <v>448</v>
      </c>
      <c r="E147" s="94"/>
      <c r="F147" s="95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14.25" customHeight="1">
      <c r="A148" s="334">
        <v>146.0</v>
      </c>
      <c r="B148" s="334" t="s">
        <v>349</v>
      </c>
      <c r="C148" s="334" t="s">
        <v>114</v>
      </c>
      <c r="D148" s="371" t="s">
        <v>448</v>
      </c>
      <c r="E148" s="94"/>
      <c r="F148" s="95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ht="14.25" customHeight="1">
      <c r="A149" s="334">
        <v>147.0</v>
      </c>
      <c r="B149" s="374" t="s">
        <v>135</v>
      </c>
      <c r="C149" s="334" t="s">
        <v>929</v>
      </c>
      <c r="D149" s="371" t="s">
        <v>448</v>
      </c>
      <c r="E149" s="94"/>
      <c r="F149" s="95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ht="14.25" customHeight="1">
      <c r="A150" s="334">
        <v>148.0</v>
      </c>
      <c r="B150" s="370" t="s">
        <v>136</v>
      </c>
      <c r="C150" s="334" t="s">
        <v>930</v>
      </c>
      <c r="D150" s="371" t="s">
        <v>448</v>
      </c>
      <c r="E150" s="94"/>
      <c r="F150" s="95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ht="14.25" customHeight="1">
      <c r="A151" s="334">
        <v>149.0</v>
      </c>
      <c r="B151" s="370" t="s">
        <v>64</v>
      </c>
      <c r="C151" s="334" t="s">
        <v>931</v>
      </c>
      <c r="D151" s="371" t="s">
        <v>448</v>
      </c>
      <c r="E151" s="94"/>
      <c r="F151" s="95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  <row r="152" ht="14.25" customHeight="1">
      <c r="A152" s="334">
        <v>150.0</v>
      </c>
      <c r="B152" s="370" t="s">
        <v>65</v>
      </c>
      <c r="C152" s="334" t="s">
        <v>930</v>
      </c>
      <c r="D152" s="371" t="s">
        <v>448</v>
      </c>
      <c r="E152" s="94"/>
      <c r="F152" s="95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</row>
    <row r="153" ht="14.25" customHeight="1">
      <c r="A153" s="334">
        <v>151.0</v>
      </c>
      <c r="B153" s="370" t="s">
        <v>73</v>
      </c>
      <c r="C153" s="334" t="s">
        <v>929</v>
      </c>
      <c r="D153" s="371" t="s">
        <v>448</v>
      </c>
      <c r="E153" s="94"/>
      <c r="F153" s="95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</row>
    <row r="154" ht="14.25" customHeight="1">
      <c r="A154" s="334">
        <v>152.0</v>
      </c>
      <c r="B154" s="370" t="s">
        <v>74</v>
      </c>
      <c r="C154" s="334" t="s">
        <v>15</v>
      </c>
      <c r="D154" s="371" t="s">
        <v>448</v>
      </c>
      <c r="E154" s="94"/>
      <c r="F154" s="95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</row>
    <row r="155" ht="14.25" customHeight="1">
      <c r="A155" s="334">
        <v>153.0</v>
      </c>
      <c r="B155" s="334" t="s">
        <v>264</v>
      </c>
      <c r="C155" s="334" t="s">
        <v>35</v>
      </c>
      <c r="D155" s="371" t="s">
        <v>448</v>
      </c>
      <c r="E155" s="94"/>
      <c r="F155" s="95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</row>
    <row r="156" ht="14.25" customHeight="1">
      <c r="A156" s="334">
        <v>154.0</v>
      </c>
      <c r="B156" s="334" t="s">
        <v>273</v>
      </c>
      <c r="C156" s="334" t="s">
        <v>15</v>
      </c>
      <c r="D156" s="371" t="s">
        <v>448</v>
      </c>
      <c r="E156" s="94"/>
      <c r="F156" s="95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</row>
    <row r="157" ht="14.25" customHeight="1">
      <c r="A157" s="334">
        <v>155.0</v>
      </c>
      <c r="B157" s="334" t="s">
        <v>124</v>
      </c>
      <c r="C157" s="334" t="s">
        <v>113</v>
      </c>
      <c r="D157" s="371" t="s">
        <v>448</v>
      </c>
      <c r="E157" s="94"/>
      <c r="F157" s="95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</row>
    <row r="158" ht="14.25" customHeight="1">
      <c r="A158" s="334">
        <v>156.0</v>
      </c>
      <c r="B158" s="374" t="s">
        <v>71</v>
      </c>
      <c r="C158" s="334" t="s">
        <v>12</v>
      </c>
      <c r="D158" s="371" t="s">
        <v>448</v>
      </c>
      <c r="E158" s="94"/>
      <c r="F158" s="95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</row>
    <row r="159" ht="14.25" customHeight="1">
      <c r="A159" s="334">
        <v>157.0</v>
      </c>
      <c r="B159" s="370" t="s">
        <v>111</v>
      </c>
      <c r="C159" s="334" t="s">
        <v>33</v>
      </c>
      <c r="D159" s="371" t="s">
        <v>448</v>
      </c>
      <c r="E159" s="94"/>
      <c r="F159" s="95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</row>
    <row r="160" ht="14.25" customHeight="1">
      <c r="A160" s="334">
        <v>158.0</v>
      </c>
      <c r="B160" s="370" t="s">
        <v>272</v>
      </c>
      <c r="C160" s="334" t="s">
        <v>33</v>
      </c>
      <c r="D160" s="371" t="s">
        <v>448</v>
      </c>
      <c r="E160" s="94"/>
      <c r="F160" s="95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</row>
    <row r="161" ht="14.25" customHeight="1">
      <c r="A161" s="334">
        <v>159.0</v>
      </c>
      <c r="B161" s="370" t="s">
        <v>363</v>
      </c>
      <c r="C161" s="334" t="s">
        <v>16</v>
      </c>
      <c r="D161" s="371" t="s">
        <v>448</v>
      </c>
      <c r="E161" s="94"/>
      <c r="F161" s="95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</row>
    <row r="162" ht="14.25" customHeight="1">
      <c r="A162" s="334">
        <v>160.0</v>
      </c>
      <c r="B162" s="370" t="s">
        <v>107</v>
      </c>
      <c r="C162" s="334" t="s">
        <v>16</v>
      </c>
      <c r="D162" s="371" t="s">
        <v>448</v>
      </c>
      <c r="E162" s="94"/>
      <c r="F162" s="95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</row>
    <row r="163" ht="14.25" customHeight="1">
      <c r="A163" s="334">
        <v>161.0</v>
      </c>
      <c r="B163" s="334" t="s">
        <v>348</v>
      </c>
      <c r="C163" s="334" t="s">
        <v>15</v>
      </c>
      <c r="D163" s="371" t="s">
        <v>448</v>
      </c>
      <c r="E163" s="94"/>
      <c r="F163" s="95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</row>
    <row r="164" ht="14.25" customHeight="1">
      <c r="A164" s="334">
        <v>162.0</v>
      </c>
      <c r="B164" s="334" t="s">
        <v>350</v>
      </c>
      <c r="C164" s="334" t="s">
        <v>12</v>
      </c>
      <c r="D164" s="371" t="s">
        <v>448</v>
      </c>
      <c r="E164" s="94"/>
      <c r="F164" s="95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</row>
    <row r="165" ht="14.25" customHeight="1">
      <c r="A165" s="334">
        <v>163.0</v>
      </c>
      <c r="B165" s="370" t="s">
        <v>275</v>
      </c>
      <c r="C165" s="334" t="s">
        <v>33</v>
      </c>
      <c r="D165" s="371" t="s">
        <v>448</v>
      </c>
      <c r="E165" s="94"/>
      <c r="F165" s="95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</row>
    <row r="166" ht="14.25" customHeight="1">
      <c r="A166" s="334">
        <v>164.0</v>
      </c>
      <c r="B166" s="370" t="s">
        <v>277</v>
      </c>
      <c r="C166" s="334" t="s">
        <v>33</v>
      </c>
      <c r="D166" s="371" t="s">
        <v>448</v>
      </c>
      <c r="E166" s="94"/>
      <c r="F166" s="95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</row>
    <row r="167" ht="14.25" customHeight="1">
      <c r="A167" s="334">
        <v>165.0</v>
      </c>
      <c r="B167" s="370" t="s">
        <v>359</v>
      </c>
      <c r="C167" s="334" t="s">
        <v>35</v>
      </c>
      <c r="D167" s="371" t="s">
        <v>448</v>
      </c>
      <c r="E167" s="94"/>
      <c r="F167" s="95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</row>
    <row r="168" ht="14.25" customHeight="1">
      <c r="A168" s="334">
        <v>166.0</v>
      </c>
      <c r="B168" s="370" t="s">
        <v>125</v>
      </c>
      <c r="C168" s="334" t="s">
        <v>114</v>
      </c>
      <c r="D168" s="371" t="s">
        <v>448</v>
      </c>
      <c r="E168" s="94"/>
      <c r="F168" s="95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</row>
    <row r="169" ht="14.25" customHeight="1">
      <c r="A169" s="334">
        <v>167.0</v>
      </c>
      <c r="B169" s="370" t="s">
        <v>366</v>
      </c>
      <c r="C169" s="334" t="s">
        <v>12</v>
      </c>
      <c r="D169" s="371" t="s">
        <v>448</v>
      </c>
      <c r="E169" s="94"/>
      <c r="F169" s="95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</row>
    <row r="170" ht="14.25" customHeight="1">
      <c r="A170" s="334">
        <v>168.0</v>
      </c>
      <c r="B170" s="370" t="s">
        <v>260</v>
      </c>
      <c r="C170" s="334" t="s">
        <v>13</v>
      </c>
      <c r="D170" s="371" t="s">
        <v>448</v>
      </c>
      <c r="E170" s="94"/>
      <c r="F170" s="95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</row>
    <row r="171" ht="14.25" customHeight="1">
      <c r="A171" s="334">
        <v>169.0</v>
      </c>
      <c r="B171" s="370" t="s">
        <v>356</v>
      </c>
      <c r="C171" s="334" t="s">
        <v>15</v>
      </c>
      <c r="D171" s="371" t="s">
        <v>448</v>
      </c>
      <c r="E171" s="94"/>
      <c r="F171" s="95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</row>
    <row r="172" ht="14.25" customHeight="1">
      <c r="A172" s="334">
        <v>170.0</v>
      </c>
      <c r="B172" s="370" t="s">
        <v>367</v>
      </c>
      <c r="C172" s="334" t="s">
        <v>15</v>
      </c>
      <c r="D172" s="371" t="s">
        <v>448</v>
      </c>
      <c r="E172" s="94"/>
      <c r="F172" s="95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</row>
    <row r="173" ht="14.25" customHeight="1">
      <c r="A173" s="334">
        <v>171.0</v>
      </c>
      <c r="B173" s="370" t="s">
        <v>43</v>
      </c>
      <c r="C173" s="334" t="s">
        <v>36</v>
      </c>
      <c r="D173" s="371" t="s">
        <v>448</v>
      </c>
      <c r="E173" s="94"/>
      <c r="F173" s="95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</row>
    <row r="174" ht="14.25" customHeight="1">
      <c r="A174" s="334">
        <v>172.0</v>
      </c>
      <c r="B174" s="370" t="s">
        <v>139</v>
      </c>
      <c r="C174" s="334" t="s">
        <v>10</v>
      </c>
      <c r="D174" s="371" t="s">
        <v>448</v>
      </c>
      <c r="E174" s="94"/>
      <c r="F174" s="95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</row>
    <row r="175" ht="14.25" customHeight="1">
      <c r="A175" s="334">
        <v>173.0</v>
      </c>
      <c r="B175" s="370" t="s">
        <v>351</v>
      </c>
      <c r="C175" s="334" t="s">
        <v>36</v>
      </c>
      <c r="D175" s="371" t="s">
        <v>448</v>
      </c>
      <c r="E175" s="94"/>
      <c r="F175" s="95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</row>
    <row r="176" ht="14.25" customHeight="1">
      <c r="A176" s="334">
        <v>174.0</v>
      </c>
      <c r="B176" s="334" t="s">
        <v>316</v>
      </c>
      <c r="C176" s="334" t="s">
        <v>35</v>
      </c>
      <c r="D176" s="371" t="s">
        <v>448</v>
      </c>
      <c r="E176" s="94"/>
      <c r="F176" s="95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</row>
    <row r="177" ht="14.25" customHeight="1">
      <c r="A177" s="334">
        <v>175.0</v>
      </c>
      <c r="B177" s="334" t="s">
        <v>372</v>
      </c>
      <c r="C177" s="334" t="s">
        <v>250</v>
      </c>
      <c r="D177" s="371" t="s">
        <v>448</v>
      </c>
      <c r="E177" s="94"/>
      <c r="F177" s="95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</row>
    <row r="178" ht="14.25" customHeight="1">
      <c r="A178" s="334">
        <v>176.0</v>
      </c>
      <c r="B178" s="334" t="s">
        <v>236</v>
      </c>
      <c r="C178" s="334" t="s">
        <v>13</v>
      </c>
      <c r="D178" s="371" t="s">
        <v>448</v>
      </c>
      <c r="E178" s="94"/>
      <c r="F178" s="95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</row>
    <row r="179" ht="14.25" customHeight="1">
      <c r="A179" s="334">
        <v>177.0</v>
      </c>
      <c r="B179" s="370" t="s">
        <v>317</v>
      </c>
      <c r="C179" s="334" t="s">
        <v>113</v>
      </c>
      <c r="D179" s="371" t="s">
        <v>448</v>
      </c>
      <c r="E179" s="94"/>
      <c r="F179" s="95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</row>
    <row r="180" ht="14.25" customHeight="1">
      <c r="A180" s="334">
        <v>178.0</v>
      </c>
      <c r="B180" s="370" t="s">
        <v>323</v>
      </c>
      <c r="C180" s="334" t="s">
        <v>12</v>
      </c>
      <c r="D180" s="371" t="s">
        <v>448</v>
      </c>
      <c r="E180" s="94"/>
      <c r="F180" s="95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</row>
    <row r="181" ht="14.25" customHeight="1">
      <c r="A181" s="334">
        <v>179.0</v>
      </c>
      <c r="B181" s="370" t="s">
        <v>327</v>
      </c>
      <c r="C181" s="334" t="s">
        <v>315</v>
      </c>
      <c r="D181" s="371" t="s">
        <v>448</v>
      </c>
      <c r="E181" s="94"/>
      <c r="F181" s="95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</row>
    <row r="182" ht="14.25" customHeight="1">
      <c r="A182" s="334">
        <v>180.0</v>
      </c>
      <c r="B182" s="334" t="s">
        <v>157</v>
      </c>
      <c r="C182" s="334" t="s">
        <v>147</v>
      </c>
      <c r="D182" s="371" t="s">
        <v>448</v>
      </c>
      <c r="E182" s="94"/>
      <c r="F182" s="95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</row>
    <row r="183" ht="14.25" customHeight="1">
      <c r="A183" s="334">
        <v>181.0</v>
      </c>
      <c r="B183" s="334" t="s">
        <v>163</v>
      </c>
      <c r="C183" s="334" t="s">
        <v>149</v>
      </c>
      <c r="D183" s="371" t="s">
        <v>448</v>
      </c>
      <c r="E183" s="94"/>
      <c r="F183" s="95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</row>
    <row r="184" ht="14.25" customHeight="1">
      <c r="A184" s="334">
        <v>182.0</v>
      </c>
      <c r="B184" s="334" t="s">
        <v>91</v>
      </c>
      <c r="C184" s="334" t="s">
        <v>13</v>
      </c>
      <c r="D184" s="371" t="s">
        <v>448</v>
      </c>
      <c r="E184" s="94"/>
      <c r="F184" s="95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</row>
    <row r="185" ht="14.25" customHeight="1">
      <c r="A185" s="334">
        <v>183.0</v>
      </c>
      <c r="B185" s="334" t="s">
        <v>187</v>
      </c>
      <c r="C185" s="334" t="s">
        <v>167</v>
      </c>
      <c r="D185" s="371" t="s">
        <v>448</v>
      </c>
      <c r="E185" s="94"/>
      <c r="F185" s="95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</row>
    <row r="186" ht="14.25" customHeight="1">
      <c r="A186" s="334">
        <v>184.0</v>
      </c>
      <c r="B186" s="334" t="s">
        <v>76</v>
      </c>
      <c r="C186" s="334" t="s">
        <v>69</v>
      </c>
      <c r="D186" s="371" t="s">
        <v>448</v>
      </c>
      <c r="E186" s="94"/>
      <c r="F186" s="95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</row>
    <row r="187" ht="14.25" customHeight="1">
      <c r="A187" s="334">
        <v>185.0</v>
      </c>
      <c r="B187" s="334" t="s">
        <v>177</v>
      </c>
      <c r="C187" s="334" t="s">
        <v>169</v>
      </c>
      <c r="D187" s="371" t="s">
        <v>448</v>
      </c>
      <c r="E187" s="94"/>
      <c r="F187" s="95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</row>
    <row r="188" ht="14.25" customHeight="1">
      <c r="A188" s="334">
        <v>186.0</v>
      </c>
      <c r="B188" s="334" t="s">
        <v>290</v>
      </c>
      <c r="C188" s="334" t="s">
        <v>11</v>
      </c>
      <c r="D188" s="371" t="s">
        <v>448</v>
      </c>
      <c r="E188" s="94"/>
      <c r="F188" s="95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</row>
    <row r="189" ht="14.25" customHeight="1">
      <c r="A189" s="334">
        <v>187.0</v>
      </c>
      <c r="B189" s="334" t="s">
        <v>222</v>
      </c>
      <c r="C189" s="334" t="s">
        <v>13</v>
      </c>
      <c r="D189" s="371" t="s">
        <v>448</v>
      </c>
      <c r="E189" s="94"/>
      <c r="F189" s="95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</row>
    <row r="190" ht="14.25" customHeight="1">
      <c r="A190" s="334">
        <v>188.0</v>
      </c>
      <c r="B190" s="334" t="s">
        <v>320</v>
      </c>
      <c r="C190" s="334" t="s">
        <v>34</v>
      </c>
      <c r="D190" s="371" t="s">
        <v>448</v>
      </c>
      <c r="E190" s="94"/>
      <c r="F190" s="95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</row>
    <row r="191" ht="14.25" customHeight="1">
      <c r="A191" s="334">
        <v>189.0</v>
      </c>
      <c r="B191" s="370" t="s">
        <v>182</v>
      </c>
      <c r="C191" s="334" t="s">
        <v>33</v>
      </c>
      <c r="D191" s="371" t="s">
        <v>448</v>
      </c>
      <c r="E191" s="94"/>
      <c r="F191" s="95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</row>
    <row r="192" ht="14.25" customHeight="1">
      <c r="A192" s="334">
        <v>190.0</v>
      </c>
      <c r="B192" s="370" t="s">
        <v>289</v>
      </c>
      <c r="C192" s="334" t="s">
        <v>34</v>
      </c>
      <c r="D192" s="371" t="s">
        <v>448</v>
      </c>
      <c r="E192" s="94"/>
      <c r="F192" s="95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</row>
    <row r="193" ht="14.25" customHeight="1">
      <c r="A193" s="334">
        <v>191.0</v>
      </c>
      <c r="B193" s="370" t="s">
        <v>212</v>
      </c>
      <c r="C193" s="334" t="s">
        <v>115</v>
      </c>
      <c r="D193" s="371" t="s">
        <v>448</v>
      </c>
      <c r="E193" s="94"/>
      <c r="F193" s="95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</row>
    <row r="194" ht="14.25" customHeight="1">
      <c r="A194" s="334">
        <v>192.0</v>
      </c>
      <c r="B194" s="370" t="s">
        <v>46</v>
      </c>
      <c r="C194" s="334" t="s">
        <v>35</v>
      </c>
      <c r="D194" s="371" t="s">
        <v>448</v>
      </c>
      <c r="E194" s="94"/>
      <c r="F194" s="95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</row>
    <row r="195" ht="14.25" customHeight="1">
      <c r="A195" s="334">
        <v>193.0</v>
      </c>
      <c r="B195" s="370" t="s">
        <v>45</v>
      </c>
      <c r="C195" s="334" t="s">
        <v>35</v>
      </c>
      <c r="D195" s="371" t="s">
        <v>448</v>
      </c>
      <c r="E195" s="94"/>
      <c r="F195" s="95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</row>
    <row r="196" ht="14.25" customHeight="1">
      <c r="A196" s="334">
        <v>194.0</v>
      </c>
      <c r="B196" s="370" t="s">
        <v>126</v>
      </c>
      <c r="C196" s="334" t="s">
        <v>12</v>
      </c>
      <c r="D196" s="371" t="s">
        <v>448</v>
      </c>
      <c r="E196" s="94"/>
      <c r="F196" s="95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</row>
    <row r="197" ht="14.25" customHeight="1">
      <c r="A197" s="334">
        <v>195.0</v>
      </c>
      <c r="B197" s="334" t="s">
        <v>200</v>
      </c>
      <c r="C197" s="334" t="s">
        <v>36</v>
      </c>
      <c r="D197" s="371" t="s">
        <v>448</v>
      </c>
      <c r="E197" s="94"/>
      <c r="F197" s="95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</row>
    <row r="198" ht="14.25" customHeight="1">
      <c r="A198" s="334">
        <v>196.0</v>
      </c>
      <c r="B198" s="334" t="s">
        <v>180</v>
      </c>
      <c r="C198" s="334" t="s">
        <v>13</v>
      </c>
      <c r="D198" s="371" t="s">
        <v>448</v>
      </c>
      <c r="E198" s="94"/>
      <c r="F198" s="95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</row>
    <row r="199" ht="14.25" customHeight="1">
      <c r="A199" s="334">
        <v>199.0</v>
      </c>
      <c r="B199" s="334" t="s">
        <v>309</v>
      </c>
      <c r="C199" s="334" t="s">
        <v>36</v>
      </c>
      <c r="D199" s="371" t="s">
        <v>448</v>
      </c>
      <c r="E199" s="94"/>
      <c r="F199" s="95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</row>
    <row r="200" ht="14.25" customHeight="1">
      <c r="A200" s="334">
        <v>200.0</v>
      </c>
      <c r="B200" s="334" t="s">
        <v>287</v>
      </c>
      <c r="C200" s="334" t="s">
        <v>932</v>
      </c>
      <c r="D200" s="371" t="s">
        <v>448</v>
      </c>
      <c r="E200" s="94"/>
      <c r="F200" s="95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</row>
    <row r="201" ht="14.25" customHeight="1">
      <c r="A201" s="334">
        <v>201.0</v>
      </c>
      <c r="B201" s="334" t="s">
        <v>291</v>
      </c>
      <c r="C201" s="334" t="s">
        <v>33</v>
      </c>
      <c r="D201" s="371" t="s">
        <v>448</v>
      </c>
      <c r="E201" s="94"/>
      <c r="F201" s="95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</row>
    <row r="202" ht="14.25" customHeight="1">
      <c r="A202" s="334">
        <v>202.0</v>
      </c>
      <c r="B202" s="334" t="s">
        <v>211</v>
      </c>
      <c r="C202" s="334" t="s">
        <v>202</v>
      </c>
      <c r="D202" s="371" t="s">
        <v>448</v>
      </c>
      <c r="E202" s="94"/>
      <c r="F202" s="95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</row>
    <row r="203" ht="14.25" customHeight="1">
      <c r="A203" s="334">
        <v>203.0</v>
      </c>
      <c r="B203" s="334" t="s">
        <v>183</v>
      </c>
      <c r="C203" s="334" t="s">
        <v>9</v>
      </c>
      <c r="D203" s="371" t="s">
        <v>448</v>
      </c>
      <c r="E203" s="94"/>
      <c r="F203" s="95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</row>
    <row r="204" ht="14.25" customHeight="1">
      <c r="A204" s="334">
        <v>204.0</v>
      </c>
      <c r="B204" s="334" t="s">
        <v>184</v>
      </c>
      <c r="C204" s="334" t="s">
        <v>36</v>
      </c>
      <c r="D204" s="371" t="s">
        <v>448</v>
      </c>
      <c r="E204" s="94"/>
      <c r="F204" s="95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</row>
    <row r="205" ht="14.25" customHeight="1">
      <c r="A205" s="334">
        <v>205.0</v>
      </c>
      <c r="B205" s="334" t="s">
        <v>318</v>
      </c>
      <c r="C205" s="334" t="s">
        <v>312</v>
      </c>
      <c r="D205" s="371" t="s">
        <v>448</v>
      </c>
      <c r="E205" s="94"/>
      <c r="F205" s="95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</row>
    <row r="206" ht="14.25" customHeight="1">
      <c r="A206" s="334">
        <v>206.0</v>
      </c>
      <c r="B206" s="334" t="s">
        <v>228</v>
      </c>
      <c r="C206" s="334" t="s">
        <v>36</v>
      </c>
      <c r="D206" s="371" t="s">
        <v>448</v>
      </c>
      <c r="E206" s="94"/>
      <c r="F206" s="95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</row>
    <row r="207" ht="14.25" customHeight="1">
      <c r="A207" s="334">
        <v>207.0</v>
      </c>
      <c r="B207" s="374" t="s">
        <v>40</v>
      </c>
      <c r="C207" s="334" t="s">
        <v>33</v>
      </c>
      <c r="D207" s="371" t="s">
        <v>448</v>
      </c>
      <c r="E207" s="94"/>
      <c r="F207" s="95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</row>
    <row r="208" ht="14.25" customHeight="1">
      <c r="A208" s="334">
        <v>208.0</v>
      </c>
      <c r="B208" s="334" t="s">
        <v>247</v>
      </c>
      <c r="C208" s="334" t="s">
        <v>12</v>
      </c>
      <c r="D208" s="371" t="s">
        <v>448</v>
      </c>
      <c r="E208" s="94"/>
      <c r="F208" s="95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</row>
    <row r="209" ht="14.25" customHeight="1">
      <c r="A209" s="334">
        <v>209.0</v>
      </c>
      <c r="B209" s="370" t="s">
        <v>176</v>
      </c>
      <c r="C209" s="334" t="s">
        <v>168</v>
      </c>
      <c r="D209" s="371" t="s">
        <v>448</v>
      </c>
      <c r="E209" s="94"/>
      <c r="F209" s="95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</row>
    <row r="210" ht="14.25" customHeight="1">
      <c r="A210" s="334">
        <v>210.0</v>
      </c>
      <c r="B210" s="334" t="s">
        <v>286</v>
      </c>
      <c r="C210" s="334" t="s">
        <v>16</v>
      </c>
      <c r="D210" s="371" t="s">
        <v>448</v>
      </c>
      <c r="E210" s="94"/>
      <c r="F210" s="95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</row>
    <row r="211" ht="14.25" customHeight="1">
      <c r="A211" s="334">
        <v>211.0</v>
      </c>
      <c r="B211" s="374" t="s">
        <v>92</v>
      </c>
      <c r="C211" s="334" t="s">
        <v>33</v>
      </c>
      <c r="D211" s="371" t="s">
        <v>448</v>
      </c>
      <c r="E211" s="94"/>
      <c r="F211" s="95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</row>
    <row r="212" ht="14.25" customHeight="1">
      <c r="A212" s="334">
        <v>212.0</v>
      </c>
      <c r="B212" s="370" t="s">
        <v>89</v>
      </c>
      <c r="C212" s="334" t="s">
        <v>15</v>
      </c>
      <c r="D212" s="371" t="s">
        <v>448</v>
      </c>
      <c r="E212" s="94"/>
      <c r="F212" s="95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</row>
    <row r="213" ht="14.25" customHeight="1">
      <c r="A213" s="334">
        <v>213.0</v>
      </c>
      <c r="B213" s="370" t="s">
        <v>93</v>
      </c>
      <c r="C213" s="334" t="s">
        <v>33</v>
      </c>
      <c r="D213" s="371" t="s">
        <v>448</v>
      </c>
      <c r="E213" s="94"/>
      <c r="F213" s="95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</row>
    <row r="214" ht="14.25" customHeight="1">
      <c r="A214" s="334">
        <v>214.0</v>
      </c>
      <c r="B214" s="370" t="s">
        <v>94</v>
      </c>
      <c r="C214" s="334" t="s">
        <v>15</v>
      </c>
      <c r="D214" s="371" t="s">
        <v>448</v>
      </c>
      <c r="E214" s="94"/>
      <c r="F214" s="95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</row>
    <row r="215" ht="14.25" customHeight="1">
      <c r="A215" s="334">
        <v>215.0</v>
      </c>
      <c r="B215" s="334" t="s">
        <v>199</v>
      </c>
      <c r="C215" s="334" t="s">
        <v>113</v>
      </c>
      <c r="D215" s="371" t="s">
        <v>448</v>
      </c>
      <c r="E215" s="94"/>
      <c r="F215" s="95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</row>
    <row r="216" ht="14.25" customHeight="1">
      <c r="A216" s="334">
        <v>216.0</v>
      </c>
      <c r="B216" s="370" t="s">
        <v>88</v>
      </c>
      <c r="C216" s="334" t="s">
        <v>33</v>
      </c>
      <c r="D216" s="371" t="s">
        <v>448</v>
      </c>
      <c r="E216" s="94"/>
      <c r="F216" s="95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</row>
    <row r="217" ht="14.25" customHeight="1">
      <c r="A217" s="334">
        <v>217.0</v>
      </c>
      <c r="B217" s="370" t="s">
        <v>90</v>
      </c>
      <c r="C217" s="334" t="s">
        <v>33</v>
      </c>
      <c r="D217" s="371" t="s">
        <v>448</v>
      </c>
      <c r="E217" s="94"/>
      <c r="F217" s="95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</row>
    <row r="218" ht="14.25" customHeight="1">
      <c r="A218" s="334">
        <v>218.0</v>
      </c>
      <c r="B218" s="334" t="s">
        <v>243</v>
      </c>
      <c r="C218" s="334" t="s">
        <v>35</v>
      </c>
      <c r="D218" s="371" t="s">
        <v>448</v>
      </c>
      <c r="E218" s="94"/>
      <c r="F218" s="95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</row>
    <row r="219" ht="14.25" customHeight="1">
      <c r="A219" s="334">
        <v>219.0</v>
      </c>
      <c r="B219" s="396" t="s">
        <v>63</v>
      </c>
      <c r="C219" s="397" t="s">
        <v>33</v>
      </c>
      <c r="D219" s="371" t="s">
        <v>448</v>
      </c>
      <c r="E219" s="94"/>
      <c r="F219" s="95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</row>
    <row r="220" ht="14.25" customHeight="1">
      <c r="A220" s="334">
        <v>220.0</v>
      </c>
      <c r="B220" s="398" t="s">
        <v>81</v>
      </c>
      <c r="C220" s="399" t="s">
        <v>33</v>
      </c>
      <c r="D220" s="371" t="s">
        <v>448</v>
      </c>
      <c r="E220" s="94"/>
      <c r="F220" s="95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</row>
    <row r="221" ht="14.25" customHeight="1">
      <c r="A221" s="334">
        <v>221.0</v>
      </c>
      <c r="B221" s="398" t="s">
        <v>82</v>
      </c>
      <c r="C221" s="399" t="s">
        <v>35</v>
      </c>
      <c r="D221" s="371" t="s">
        <v>448</v>
      </c>
      <c r="E221" s="94"/>
      <c r="F221" s="95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</row>
    <row r="222" ht="14.25" customHeight="1">
      <c r="A222" s="334">
        <v>222.0</v>
      </c>
      <c r="B222" s="398" t="s">
        <v>83</v>
      </c>
      <c r="C222" s="399" t="s">
        <v>33</v>
      </c>
      <c r="D222" s="371" t="s">
        <v>448</v>
      </c>
      <c r="E222" s="94"/>
      <c r="F222" s="95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</row>
    <row r="223" ht="14.25" customHeight="1">
      <c r="A223" s="334">
        <v>223.0</v>
      </c>
      <c r="B223" s="400" t="s">
        <v>152</v>
      </c>
      <c r="C223" s="397" t="s">
        <v>33</v>
      </c>
      <c r="D223" s="371" t="s">
        <v>448</v>
      </c>
      <c r="E223" s="94"/>
      <c r="F223" s="95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</row>
    <row r="224" ht="14.25" customHeight="1">
      <c r="A224" s="334">
        <v>224.0</v>
      </c>
      <c r="B224" s="401" t="s">
        <v>158</v>
      </c>
      <c r="C224" s="402" t="s">
        <v>148</v>
      </c>
      <c r="D224" s="371" t="s">
        <v>448</v>
      </c>
      <c r="E224" s="94"/>
      <c r="F224" s="95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</row>
    <row r="225" ht="14.25" customHeight="1">
      <c r="A225" s="334">
        <v>225.0</v>
      </c>
      <c r="B225" s="401" t="s">
        <v>171</v>
      </c>
      <c r="C225" s="402" t="s">
        <v>167</v>
      </c>
      <c r="D225" s="371" t="s">
        <v>448</v>
      </c>
      <c r="E225" s="94"/>
      <c r="F225" s="95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</row>
    <row r="226" ht="14.25" customHeight="1">
      <c r="A226" s="334">
        <v>226.0</v>
      </c>
      <c r="B226" s="400" t="s">
        <v>178</v>
      </c>
      <c r="C226" s="397" t="s">
        <v>35</v>
      </c>
      <c r="D226" s="371" t="s">
        <v>448</v>
      </c>
      <c r="E226" s="94"/>
      <c r="F226" s="95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</row>
    <row r="227" ht="14.25" customHeight="1">
      <c r="A227" s="334">
        <v>227.0</v>
      </c>
      <c r="B227" s="374" t="s">
        <v>26</v>
      </c>
      <c r="C227" s="334" t="s">
        <v>12</v>
      </c>
      <c r="D227" s="371" t="s">
        <v>448</v>
      </c>
      <c r="E227" s="94"/>
      <c r="F227" s="95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</row>
    <row r="228" ht="14.25" customHeight="1">
      <c r="A228" s="334">
        <v>228.0</v>
      </c>
      <c r="B228" s="334" t="s">
        <v>231</v>
      </c>
      <c r="C228" s="334" t="s">
        <v>34</v>
      </c>
      <c r="D228" s="371" t="s">
        <v>448</v>
      </c>
      <c r="E228" s="94"/>
      <c r="F228" s="95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</row>
    <row r="229" ht="14.25" customHeight="1">
      <c r="A229" s="334">
        <v>229.0</v>
      </c>
      <c r="B229" s="374" t="s">
        <v>20</v>
      </c>
      <c r="C229" s="334" t="s">
        <v>11</v>
      </c>
      <c r="D229" s="371" t="s">
        <v>448</v>
      </c>
      <c r="E229" s="94"/>
      <c r="F229" s="95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</row>
    <row r="230" ht="14.25" customHeight="1">
      <c r="A230" s="334">
        <v>230.0</v>
      </c>
      <c r="B230" s="374" t="s">
        <v>25</v>
      </c>
      <c r="C230" s="334" t="s">
        <v>15</v>
      </c>
      <c r="D230" s="371" t="s">
        <v>448</v>
      </c>
      <c r="E230" s="94"/>
      <c r="F230" s="95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</row>
    <row r="231" ht="14.25" customHeight="1">
      <c r="A231" s="334">
        <v>231.0</v>
      </c>
      <c r="B231" s="334" t="s">
        <v>262</v>
      </c>
      <c r="C231" s="334" t="s">
        <v>33</v>
      </c>
      <c r="D231" s="371" t="s">
        <v>448</v>
      </c>
      <c r="E231" s="94"/>
      <c r="F231" s="95"/>
      <c r="G231" s="30"/>
      <c r="H231" s="403">
        <v>46147.0</v>
      </c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</row>
    <row r="232" ht="14.25" customHeight="1">
      <c r="A232" s="334">
        <v>232.0</v>
      </c>
      <c r="B232" s="334" t="s">
        <v>304</v>
      </c>
      <c r="C232" s="334" t="s">
        <v>147</v>
      </c>
      <c r="D232" s="371" t="s">
        <v>448</v>
      </c>
      <c r="E232" s="94"/>
      <c r="F232" s="95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</row>
    <row r="233" ht="14.25" customHeight="1">
      <c r="A233" s="334">
        <v>233.0</v>
      </c>
      <c r="B233" s="404" t="s">
        <v>22</v>
      </c>
      <c r="C233" s="405" t="s">
        <v>13</v>
      </c>
      <c r="D233" s="371" t="s">
        <v>448</v>
      </c>
      <c r="E233" s="94"/>
      <c r="F233" s="95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</row>
  </sheetData>
  <autoFilter ref="$A$2:$F$226"/>
  <mergeCells count="232">
    <mergeCell ref="D157:F157"/>
    <mergeCell ref="D159:F159"/>
    <mergeCell ref="D158:F158"/>
    <mergeCell ref="D171:F171"/>
    <mergeCell ref="D170:F170"/>
    <mergeCell ref="D188:F188"/>
    <mergeCell ref="D193:F193"/>
    <mergeCell ref="D166:F166"/>
    <mergeCell ref="D160:F160"/>
    <mergeCell ref="D161:F161"/>
    <mergeCell ref="D180:F180"/>
    <mergeCell ref="D178:F178"/>
    <mergeCell ref="D176:F176"/>
    <mergeCell ref="D177:F177"/>
    <mergeCell ref="D175:F175"/>
    <mergeCell ref="D174:F174"/>
    <mergeCell ref="D173:F173"/>
    <mergeCell ref="D169:F169"/>
    <mergeCell ref="D172:F172"/>
    <mergeCell ref="D181:F181"/>
    <mergeCell ref="D179:F179"/>
    <mergeCell ref="D162:F162"/>
    <mergeCell ref="D163:F163"/>
    <mergeCell ref="D164:F164"/>
    <mergeCell ref="D165:F165"/>
    <mergeCell ref="D192:F192"/>
    <mergeCell ref="D191:F191"/>
    <mergeCell ref="D187:F187"/>
    <mergeCell ref="D189:F189"/>
    <mergeCell ref="D190:F190"/>
    <mergeCell ref="D198:F198"/>
    <mergeCell ref="D147:F147"/>
    <mergeCell ref="D156:F156"/>
    <mergeCell ref="D152:F152"/>
    <mergeCell ref="D153:F153"/>
    <mergeCell ref="D154:F154"/>
    <mergeCell ref="D155:F155"/>
    <mergeCell ref="D201:F201"/>
    <mergeCell ref="D202:F202"/>
    <mergeCell ref="D137:F137"/>
    <mergeCell ref="D138:F138"/>
    <mergeCell ref="D139:F139"/>
    <mergeCell ref="D182:F182"/>
    <mergeCell ref="D168:F168"/>
    <mergeCell ref="D167:F167"/>
    <mergeCell ref="D203:F203"/>
    <mergeCell ref="D222:F222"/>
    <mergeCell ref="D223:F223"/>
    <mergeCell ref="D224:F224"/>
    <mergeCell ref="D225:F225"/>
    <mergeCell ref="D229:F229"/>
    <mergeCell ref="D228:F228"/>
    <mergeCell ref="D230:F230"/>
    <mergeCell ref="D231:F231"/>
    <mergeCell ref="D233:F233"/>
    <mergeCell ref="D232:F232"/>
    <mergeCell ref="D219:F219"/>
    <mergeCell ref="D220:F220"/>
    <mergeCell ref="D221:F221"/>
    <mergeCell ref="D226:F226"/>
    <mergeCell ref="D227:F227"/>
    <mergeCell ref="D194:F194"/>
    <mergeCell ref="D195:F195"/>
    <mergeCell ref="D196:F196"/>
    <mergeCell ref="D197:F197"/>
    <mergeCell ref="D199:F199"/>
    <mergeCell ref="D200:F200"/>
    <mergeCell ref="D210:F210"/>
    <mergeCell ref="D204:F204"/>
    <mergeCell ref="D205:F205"/>
    <mergeCell ref="D206:F206"/>
    <mergeCell ref="D207:F207"/>
    <mergeCell ref="D208:F208"/>
    <mergeCell ref="D209:F209"/>
    <mergeCell ref="D218:F218"/>
    <mergeCell ref="D215:F215"/>
    <mergeCell ref="D216:F216"/>
    <mergeCell ref="D217:F217"/>
    <mergeCell ref="D211:F211"/>
    <mergeCell ref="D212:F212"/>
    <mergeCell ref="D213:F213"/>
    <mergeCell ref="D214:F214"/>
    <mergeCell ref="D123:F123"/>
    <mergeCell ref="D122:F122"/>
    <mergeCell ref="D117:F117"/>
    <mergeCell ref="D118:F118"/>
    <mergeCell ref="D111:F111"/>
    <mergeCell ref="D115:F115"/>
    <mergeCell ref="D116:F116"/>
    <mergeCell ref="D107:F107"/>
    <mergeCell ref="D108:F108"/>
    <mergeCell ref="D109:F109"/>
    <mergeCell ref="D120:F120"/>
    <mergeCell ref="D121:F121"/>
    <mergeCell ref="D82:F82"/>
    <mergeCell ref="D83:F83"/>
    <mergeCell ref="D81:F81"/>
    <mergeCell ref="D84:F84"/>
    <mergeCell ref="D85:F85"/>
    <mergeCell ref="D86:F86"/>
    <mergeCell ref="D102:F102"/>
    <mergeCell ref="D103:F103"/>
    <mergeCell ref="D104:F104"/>
    <mergeCell ref="D105:F105"/>
    <mergeCell ref="D106:F106"/>
    <mergeCell ref="D92:F92"/>
    <mergeCell ref="D93:F93"/>
    <mergeCell ref="D98:F98"/>
    <mergeCell ref="D99:F99"/>
    <mergeCell ref="D97:F97"/>
    <mergeCell ref="D100:F100"/>
    <mergeCell ref="D101:F101"/>
    <mergeCell ref="D53:F53"/>
    <mergeCell ref="D54:F54"/>
    <mergeCell ref="D55:F55"/>
    <mergeCell ref="D48:F48"/>
    <mergeCell ref="D49:F49"/>
    <mergeCell ref="D57:F57"/>
    <mergeCell ref="D56:F56"/>
    <mergeCell ref="D58:F58"/>
    <mergeCell ref="D59:F59"/>
    <mergeCell ref="D60:F60"/>
    <mergeCell ref="D61:F61"/>
    <mergeCell ref="D70:F70"/>
    <mergeCell ref="D67:F67"/>
    <mergeCell ref="D66:F66"/>
    <mergeCell ref="D40:F40"/>
    <mergeCell ref="D41:F41"/>
    <mergeCell ref="D42:F42"/>
    <mergeCell ref="D43:F43"/>
    <mergeCell ref="D39:F39"/>
    <mergeCell ref="D45:F45"/>
    <mergeCell ref="D51:F51"/>
    <mergeCell ref="D52:F52"/>
    <mergeCell ref="D46:F46"/>
    <mergeCell ref="D47:F47"/>
    <mergeCell ref="D50:F50"/>
    <mergeCell ref="D44:F44"/>
    <mergeCell ref="D10:F10"/>
    <mergeCell ref="D11:F11"/>
    <mergeCell ref="D12:F12"/>
    <mergeCell ref="D13:F13"/>
    <mergeCell ref="D14:F14"/>
    <mergeCell ref="D15:F15"/>
    <mergeCell ref="D16:F16"/>
    <mergeCell ref="D23:F23"/>
    <mergeCell ref="D24:F24"/>
    <mergeCell ref="D25:F25"/>
    <mergeCell ref="D26:F26"/>
    <mergeCell ref="D17:F17"/>
    <mergeCell ref="D27:F27"/>
    <mergeCell ref="D18:F18"/>
    <mergeCell ref="D19:F19"/>
    <mergeCell ref="D20:F20"/>
    <mergeCell ref="D21:F21"/>
    <mergeCell ref="D22:F22"/>
    <mergeCell ref="D35:F35"/>
    <mergeCell ref="D36:F36"/>
    <mergeCell ref="D37:F37"/>
    <mergeCell ref="D38:F38"/>
    <mergeCell ref="D62:F62"/>
    <mergeCell ref="D63:F63"/>
    <mergeCell ref="D30:F30"/>
    <mergeCell ref="D28:F28"/>
    <mergeCell ref="D29:F29"/>
    <mergeCell ref="D34:F34"/>
    <mergeCell ref="D33:F33"/>
    <mergeCell ref="D119:F119"/>
    <mergeCell ref="D112:F112"/>
    <mergeCell ref="D113:F113"/>
    <mergeCell ref="D114:F114"/>
    <mergeCell ref="D124:F124"/>
    <mergeCell ref="D125:F125"/>
    <mergeCell ref="D126:F126"/>
    <mergeCell ref="D127:F127"/>
    <mergeCell ref="D128:F128"/>
    <mergeCell ref="D77:F77"/>
    <mergeCell ref="D80:F80"/>
    <mergeCell ref="D69:F69"/>
    <mergeCell ref="D68:F68"/>
    <mergeCell ref="D71:F71"/>
    <mergeCell ref="D72:F72"/>
    <mergeCell ref="D73:F73"/>
    <mergeCell ref="D74:F74"/>
    <mergeCell ref="D75:F75"/>
    <mergeCell ref="D76:F76"/>
    <mergeCell ref="D64:F64"/>
    <mergeCell ref="D65:F65"/>
    <mergeCell ref="A1:I1"/>
    <mergeCell ref="D3:F3"/>
    <mergeCell ref="D4:F4"/>
    <mergeCell ref="D5:F5"/>
    <mergeCell ref="D6:F6"/>
    <mergeCell ref="D8:F8"/>
    <mergeCell ref="D9:F9"/>
    <mergeCell ref="D7:F7"/>
    <mergeCell ref="D31:F31"/>
    <mergeCell ref="D32:F32"/>
    <mergeCell ref="D90:F90"/>
    <mergeCell ref="D91:F91"/>
    <mergeCell ref="D78:F78"/>
    <mergeCell ref="D79:F79"/>
    <mergeCell ref="D94:F94"/>
    <mergeCell ref="D95:F95"/>
    <mergeCell ref="D96:F96"/>
    <mergeCell ref="D110:F110"/>
    <mergeCell ref="D87:F87"/>
    <mergeCell ref="D150:F150"/>
    <mergeCell ref="D151:F151"/>
    <mergeCell ref="D145:F145"/>
    <mergeCell ref="D146:F146"/>
    <mergeCell ref="D140:F140"/>
    <mergeCell ref="D149:F149"/>
    <mergeCell ref="D143:F143"/>
    <mergeCell ref="D141:F141"/>
    <mergeCell ref="D142:F142"/>
    <mergeCell ref="D148:F148"/>
    <mergeCell ref="D144:F144"/>
    <mergeCell ref="D183:F183"/>
    <mergeCell ref="D184:F184"/>
    <mergeCell ref="D135:F135"/>
    <mergeCell ref="D136:F136"/>
    <mergeCell ref="D130:F130"/>
    <mergeCell ref="D131:F131"/>
    <mergeCell ref="D132:F132"/>
    <mergeCell ref="D133:F133"/>
    <mergeCell ref="D134:F134"/>
    <mergeCell ref="D129:F129"/>
    <mergeCell ref="D185:F185"/>
    <mergeCell ref="D186:F186"/>
    <mergeCell ref="D88:F88"/>
    <mergeCell ref="D89:F89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3.14"/>
    <col customWidth="1" min="2" max="2" width="14.57"/>
    <col customWidth="1" min="3" max="3" width="13.29"/>
    <col customWidth="1" min="4" max="4" width="11.0"/>
    <col customWidth="1" min="5" max="5" width="13.0"/>
    <col customWidth="1" min="6" max="6" width="11.57"/>
    <col customWidth="1" min="7" max="7" width="11.43"/>
    <col customWidth="1" min="8" max="8" width="8.71"/>
    <col customWidth="1" min="9" max="9" width="9.57"/>
    <col customWidth="1" min="10" max="10" width="11.57"/>
    <col customWidth="1" min="11" max="11" width="13.71"/>
    <col customWidth="1" min="12" max="12" width="9.57"/>
    <col customWidth="1" min="13" max="13" width="30.29"/>
    <col customWidth="1" min="14" max="14" width="45.71"/>
    <col customWidth="1" min="15" max="15" width="6.29"/>
    <col customWidth="1" min="16" max="16" width="1.43"/>
    <col customWidth="1" hidden="1" min="17" max="17" width="29.43"/>
  </cols>
  <sheetData>
    <row r="1" ht="30.0" customHeight="1">
      <c r="A1" s="406"/>
      <c r="B1" s="407" t="s">
        <v>933</v>
      </c>
      <c r="C1" s="408" t="s">
        <v>934</v>
      </c>
      <c r="D1" s="409" t="s">
        <v>1</v>
      </c>
      <c r="E1" s="410">
        <v>46160.0</v>
      </c>
      <c r="F1" s="95"/>
      <c r="G1" s="411" t="s">
        <v>935</v>
      </c>
      <c r="H1" s="412" t="s">
        <v>936</v>
      </c>
      <c r="I1" s="95"/>
      <c r="J1" s="411" t="s">
        <v>937</v>
      </c>
      <c r="K1" s="413" t="s">
        <v>938</v>
      </c>
      <c r="L1" s="414"/>
      <c r="M1" s="412"/>
      <c r="N1" s="95"/>
      <c r="O1" s="415"/>
      <c r="P1" s="416"/>
      <c r="Q1" s="417" t="s">
        <v>939</v>
      </c>
    </row>
    <row r="2" ht="30.0" customHeight="1">
      <c r="A2" s="418"/>
      <c r="B2" s="419" t="s">
        <v>940</v>
      </c>
      <c r="C2" s="420" t="s">
        <v>941</v>
      </c>
      <c r="D2" s="94"/>
      <c r="E2" s="94"/>
      <c r="F2" s="95"/>
      <c r="G2" s="411" t="s">
        <v>942</v>
      </c>
      <c r="H2" s="412" t="s">
        <v>943</v>
      </c>
      <c r="I2" s="94"/>
      <c r="J2" s="94"/>
      <c r="K2" s="95"/>
      <c r="L2" s="411" t="s">
        <v>944</v>
      </c>
      <c r="M2" s="412" t="s">
        <v>945</v>
      </c>
      <c r="N2" s="95"/>
      <c r="O2" s="415"/>
      <c r="P2" s="416"/>
      <c r="Q2" s="421" t="s">
        <v>946</v>
      </c>
    </row>
    <row r="3" ht="14.25" customHeight="1">
      <c r="A3" s="175"/>
      <c r="B3" s="419" t="s">
        <v>947</v>
      </c>
      <c r="C3" s="420" t="s">
        <v>948</v>
      </c>
      <c r="D3" s="94"/>
      <c r="E3" s="94"/>
      <c r="F3" s="95"/>
      <c r="G3" s="411" t="s">
        <v>949</v>
      </c>
      <c r="H3" s="422" t="s">
        <v>950</v>
      </c>
      <c r="I3" s="95"/>
      <c r="J3" s="411" t="s">
        <v>951</v>
      </c>
      <c r="K3" s="423" t="s">
        <v>952</v>
      </c>
      <c r="L3" s="419" t="s">
        <v>953</v>
      </c>
      <c r="M3" s="424" t="s">
        <v>954</v>
      </c>
      <c r="N3" s="95"/>
      <c r="O3" s="415"/>
      <c r="P3" s="416"/>
      <c r="Q3" s="425" t="s">
        <v>955</v>
      </c>
    </row>
    <row r="4" ht="14.25" customHeight="1">
      <c r="A4" s="409" t="s">
        <v>956</v>
      </c>
      <c r="B4" s="409" t="s">
        <v>386</v>
      </c>
      <c r="C4" s="409" t="s">
        <v>957</v>
      </c>
      <c r="D4" s="409" t="s">
        <v>958</v>
      </c>
      <c r="E4" s="409" t="s">
        <v>959</v>
      </c>
      <c r="F4" s="409" t="s">
        <v>960</v>
      </c>
      <c r="G4" s="409" t="s">
        <v>961</v>
      </c>
      <c r="H4" s="409" t="s">
        <v>962</v>
      </c>
      <c r="I4" s="409" t="s">
        <v>963</v>
      </c>
      <c r="J4" s="409" t="s">
        <v>964</v>
      </c>
      <c r="K4" s="409" t="s">
        <v>390</v>
      </c>
      <c r="L4" s="409" t="s">
        <v>965</v>
      </c>
      <c r="M4" s="409" t="s">
        <v>391</v>
      </c>
      <c r="N4" s="409" t="s">
        <v>966</v>
      </c>
      <c r="O4" s="426" t="s">
        <v>967</v>
      </c>
      <c r="P4" s="427"/>
      <c r="Q4" s="425" t="s">
        <v>968</v>
      </c>
    </row>
    <row r="5" ht="14.25" customHeight="1">
      <c r="A5" s="428">
        <v>1.0</v>
      </c>
      <c r="B5" s="429" t="s">
        <v>969</v>
      </c>
      <c r="C5" s="430">
        <v>118.397</v>
      </c>
      <c r="D5" s="431">
        <v>118.397</v>
      </c>
      <c r="E5" s="431" t="str">
        <f t="shared" ref="E5:E12" si="1">C5-D5</f>
        <v>0.0</v>
      </c>
      <c r="F5" s="430" t="str">
        <f>E5</f>
        <v>0</v>
      </c>
      <c r="G5" s="430"/>
      <c r="H5" s="430"/>
      <c r="I5" s="431"/>
      <c r="J5" s="430" t="str">
        <f t="shared" ref="J5:J12" si="2">D5+H5</f>
        <v>118</v>
      </c>
      <c r="K5" s="430" t="str">
        <f t="shared" ref="K5:K9" si="3">C5-J5</f>
        <v>0</v>
      </c>
      <c r="L5" s="430" t="s">
        <v>870</v>
      </c>
      <c r="M5" s="432"/>
      <c r="N5" s="433"/>
      <c r="O5" s="434" t="str">
        <f t="shared" ref="O5:O12" si="4">(J5/C5)</f>
        <v>100%</v>
      </c>
      <c r="P5" s="435"/>
      <c r="Q5" s="425" t="s">
        <v>970</v>
      </c>
    </row>
    <row r="6" ht="14.25" customHeight="1">
      <c r="A6" s="428">
        <v>2.0</v>
      </c>
      <c r="B6" s="436" t="s">
        <v>971</v>
      </c>
      <c r="C6" s="428">
        <v>306.0</v>
      </c>
      <c r="D6" s="428">
        <v>258.0</v>
      </c>
      <c r="E6" s="428" t="str">
        <f t="shared" si="1"/>
        <v>48</v>
      </c>
      <c r="F6" s="428">
        <v>25.0</v>
      </c>
      <c r="G6" s="428"/>
      <c r="H6" s="428" t="str">
        <f>SUMMARY!K7</f>
        <v>6</v>
      </c>
      <c r="I6" s="428">
        <v>3.0</v>
      </c>
      <c r="J6" s="428" t="str">
        <f t="shared" si="2"/>
        <v>264</v>
      </c>
      <c r="K6" s="428" t="str">
        <f t="shared" si="3"/>
        <v>42</v>
      </c>
      <c r="L6" s="428">
        <v>3.0</v>
      </c>
      <c r="M6" s="436" t="s">
        <v>972</v>
      </c>
      <c r="N6" s="437" t="s">
        <v>973</v>
      </c>
      <c r="O6" s="434" t="str">
        <f t="shared" si="4"/>
        <v>86%</v>
      </c>
      <c r="P6" s="438"/>
      <c r="Q6" s="425" t="s">
        <v>974</v>
      </c>
    </row>
    <row r="7" ht="14.25" customHeight="1">
      <c r="A7" s="428">
        <v>3.0</v>
      </c>
      <c r="B7" s="436" t="s">
        <v>975</v>
      </c>
      <c r="C7" s="428">
        <v>306.0</v>
      </c>
      <c r="D7" s="428">
        <v>228.0</v>
      </c>
      <c r="E7" s="428" t="str">
        <f t="shared" si="1"/>
        <v>78</v>
      </c>
      <c r="F7" s="428">
        <v>0.0</v>
      </c>
      <c r="G7" s="428"/>
      <c r="H7" s="428" t="str">
        <f>SUMMARY!K8</f>
        <v>4</v>
      </c>
      <c r="I7" s="428">
        <v>1.0</v>
      </c>
      <c r="J7" s="428" t="str">
        <f t="shared" si="2"/>
        <v>232</v>
      </c>
      <c r="K7" s="428" t="str">
        <f t="shared" si="3"/>
        <v>74</v>
      </c>
      <c r="L7" s="428"/>
      <c r="M7" s="436" t="s">
        <v>976</v>
      </c>
      <c r="N7" s="439"/>
      <c r="O7" s="434" t="str">
        <f t="shared" si="4"/>
        <v>76%</v>
      </c>
      <c r="P7" s="435"/>
      <c r="Q7" s="425" t="s">
        <v>977</v>
      </c>
    </row>
    <row r="8" ht="14.25" customHeight="1">
      <c r="A8" s="428">
        <v>4.0</v>
      </c>
      <c r="B8" s="436" t="s">
        <v>978</v>
      </c>
      <c r="C8" s="428">
        <v>290.0</v>
      </c>
      <c r="D8" s="428">
        <v>180.0</v>
      </c>
      <c r="E8" s="428" t="str">
        <f t="shared" si="1"/>
        <v>110</v>
      </c>
      <c r="F8" s="428">
        <v>45.0</v>
      </c>
      <c r="G8" s="428"/>
      <c r="H8" s="428" t="str">
        <f>SUMMARY!K9</f>
        <v>18</v>
      </c>
      <c r="I8" s="428">
        <v>10.0</v>
      </c>
      <c r="J8" s="428" t="str">
        <f t="shared" si="2"/>
        <v>198</v>
      </c>
      <c r="K8" s="428" t="str">
        <f t="shared" si="3"/>
        <v>92</v>
      </c>
      <c r="L8" s="428">
        <v>10.0</v>
      </c>
      <c r="M8" s="436" t="s">
        <v>979</v>
      </c>
      <c r="N8" s="440"/>
      <c r="O8" s="434" t="str">
        <f t="shared" si="4"/>
        <v>68%</v>
      </c>
      <c r="P8" s="435"/>
      <c r="Q8" s="425" t="s">
        <v>980</v>
      </c>
    </row>
    <row r="9" ht="14.25" customHeight="1">
      <c r="A9" s="428">
        <v>5.0</v>
      </c>
      <c r="B9" s="436" t="s">
        <v>981</v>
      </c>
      <c r="C9" s="428">
        <v>290.0</v>
      </c>
      <c r="D9" s="428"/>
      <c r="E9" s="428" t="str">
        <f t="shared" si="1"/>
        <v>290</v>
      </c>
      <c r="F9" s="428">
        <v>45.0</v>
      </c>
      <c r="G9" s="428"/>
      <c r="H9" s="428"/>
      <c r="I9" s="428"/>
      <c r="J9" s="428" t="str">
        <f t="shared" si="2"/>
        <v>0</v>
      </c>
      <c r="K9" s="428" t="str">
        <f t="shared" si="3"/>
        <v>290</v>
      </c>
      <c r="L9" s="428"/>
      <c r="M9" s="436" t="s">
        <v>982</v>
      </c>
      <c r="N9" s="439"/>
      <c r="O9" s="434" t="str">
        <f t="shared" si="4"/>
        <v>0%</v>
      </c>
      <c r="P9" s="435"/>
      <c r="Q9" s="425" t="s">
        <v>983</v>
      </c>
    </row>
    <row r="10" ht="14.25" customHeight="1">
      <c r="A10" s="428">
        <v>6.0</v>
      </c>
      <c r="B10" s="436" t="s">
        <v>984</v>
      </c>
      <c r="C10" s="428">
        <v>12.0</v>
      </c>
      <c r="D10" s="428"/>
      <c r="E10" s="428" t="str">
        <f t="shared" si="1"/>
        <v>12</v>
      </c>
      <c r="F10" s="428">
        <v>12.364</v>
      </c>
      <c r="G10" s="441"/>
      <c r="H10" s="441"/>
      <c r="I10" s="441"/>
      <c r="J10" s="428" t="str">
        <f t="shared" si="2"/>
        <v>0</v>
      </c>
      <c r="K10" s="441" t="str">
        <f t="shared" ref="K10:K12" si="5">+E10-H10</f>
        <v>12.0</v>
      </c>
      <c r="L10" s="442"/>
      <c r="M10" s="436" t="s">
        <v>985</v>
      </c>
      <c r="N10" s="443"/>
      <c r="O10" s="434" t="str">
        <f t="shared" si="4"/>
        <v>0%</v>
      </c>
      <c r="P10" s="435"/>
      <c r="Q10" s="425" t="s">
        <v>986</v>
      </c>
    </row>
    <row r="11" ht="14.25" customHeight="1">
      <c r="A11" s="428">
        <v>7.0</v>
      </c>
      <c r="B11" s="436" t="s">
        <v>987</v>
      </c>
      <c r="C11" s="428" t="str">
        <f t="shared" ref="C11:C12" si="6">C10</f>
        <v>12</v>
      </c>
      <c r="D11" s="428"/>
      <c r="E11" s="428" t="str">
        <f t="shared" si="1"/>
        <v>12</v>
      </c>
      <c r="F11" s="428"/>
      <c r="G11" s="441"/>
      <c r="H11" s="441"/>
      <c r="I11" s="441"/>
      <c r="J11" s="428" t="str">
        <f t="shared" si="2"/>
        <v>0</v>
      </c>
      <c r="K11" s="441" t="str">
        <f t="shared" si="5"/>
        <v>12.0</v>
      </c>
      <c r="L11" s="442"/>
      <c r="M11" s="436" t="s">
        <v>988</v>
      </c>
      <c r="N11" s="444"/>
      <c r="O11" s="434" t="str">
        <f t="shared" si="4"/>
        <v>0%</v>
      </c>
      <c r="P11" s="435"/>
      <c r="Q11" s="425" t="s">
        <v>989</v>
      </c>
    </row>
    <row r="12" ht="14.25" customHeight="1">
      <c r="A12" s="428">
        <v>8.0</v>
      </c>
      <c r="B12" s="436" t="s">
        <v>990</v>
      </c>
      <c r="C12" s="428" t="str">
        <f t="shared" si="6"/>
        <v>12</v>
      </c>
      <c r="D12" s="428"/>
      <c r="E12" s="428" t="str">
        <f t="shared" si="1"/>
        <v>12</v>
      </c>
      <c r="F12" s="428"/>
      <c r="G12" s="445"/>
      <c r="H12" s="445"/>
      <c r="I12" s="445"/>
      <c r="J12" s="441" t="str">
        <f t="shared" si="2"/>
        <v>0.0</v>
      </c>
      <c r="K12" s="428" t="str">
        <f t="shared" si="5"/>
        <v>12</v>
      </c>
      <c r="L12" s="428"/>
      <c r="M12" s="436" t="s">
        <v>991</v>
      </c>
      <c r="N12" s="439"/>
      <c r="O12" s="434" t="str">
        <f t="shared" si="4"/>
        <v>0%</v>
      </c>
      <c r="P12" s="435"/>
      <c r="Q12" s="425" t="s">
        <v>992</v>
      </c>
    </row>
    <row r="13" ht="14.25" customHeight="1">
      <c r="A13" s="44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415"/>
      <c r="P13" s="416"/>
      <c r="Q13" s="425" t="s">
        <v>993</v>
      </c>
    </row>
    <row r="14" ht="14.25" hidden="1" customHeight="1">
      <c r="A14" s="447" t="s">
        <v>994</v>
      </c>
      <c r="B14" s="448"/>
      <c r="C14" s="448"/>
      <c r="D14" s="448"/>
      <c r="E14" s="448"/>
      <c r="F14" s="448"/>
      <c r="G14" s="449"/>
      <c r="H14" s="450"/>
      <c r="I14" s="451"/>
      <c r="J14" s="416"/>
      <c r="K14" s="416"/>
      <c r="L14" s="416"/>
      <c r="M14" s="416"/>
      <c r="N14" s="416"/>
      <c r="O14" s="415"/>
      <c r="P14" s="416"/>
      <c r="Q14" s="425" t="s">
        <v>995</v>
      </c>
    </row>
    <row r="15" ht="14.25" hidden="1" customHeight="1">
      <c r="A15" s="452"/>
      <c r="B15" s="453"/>
      <c r="C15" s="453"/>
      <c r="D15" s="453"/>
      <c r="E15" s="453"/>
      <c r="F15" s="453"/>
      <c r="G15" s="454"/>
      <c r="H15" s="416"/>
      <c r="I15" s="416"/>
      <c r="J15" s="416"/>
      <c r="K15" s="455"/>
      <c r="L15" s="416"/>
      <c r="M15" s="451"/>
      <c r="N15" s="416"/>
      <c r="O15" s="415"/>
      <c r="P15" s="416"/>
      <c r="Q15" s="425" t="s">
        <v>996</v>
      </c>
    </row>
    <row r="16" ht="14.25" hidden="1" customHeight="1">
      <c r="A16" s="456" t="s">
        <v>997</v>
      </c>
      <c r="B16" s="453"/>
      <c r="C16" s="453"/>
      <c r="D16" s="453"/>
      <c r="E16" s="453"/>
      <c r="F16" s="453"/>
      <c r="G16" s="454"/>
      <c r="H16" s="416"/>
      <c r="I16" s="457"/>
      <c r="J16" s="416"/>
      <c r="K16" s="416"/>
      <c r="L16" s="416"/>
      <c r="M16" s="416"/>
      <c r="N16" s="416"/>
      <c r="O16" s="415"/>
      <c r="P16" s="416"/>
      <c r="Q16" s="458" t="s">
        <v>998</v>
      </c>
    </row>
    <row r="17" ht="46.5" hidden="1" customHeight="1">
      <c r="A17" s="459" t="s">
        <v>999</v>
      </c>
      <c r="B17" s="459" t="s">
        <v>1000</v>
      </c>
      <c r="C17" s="460" t="s">
        <v>1001</v>
      </c>
      <c r="D17" s="461" t="s">
        <v>1002</v>
      </c>
      <c r="E17" s="462" t="s">
        <v>233</v>
      </c>
      <c r="F17" s="463" t="s">
        <v>391</v>
      </c>
      <c r="G17" s="462"/>
      <c r="H17" s="416"/>
      <c r="I17" s="416"/>
      <c r="J17" s="416"/>
      <c r="K17" s="416"/>
      <c r="L17" s="416"/>
      <c r="M17" s="416"/>
      <c r="N17" s="416"/>
      <c r="O17" s="415"/>
      <c r="P17" s="416"/>
      <c r="Q17" s="464"/>
    </row>
    <row r="18" ht="14.25" hidden="1" customHeight="1">
      <c r="A18" s="465" t="str">
        <f>E6</f>
        <v>48</v>
      </c>
      <c r="B18" s="465" t="str">
        <f t="shared" ref="B18:C18" si="7">H6</f>
        <v>6</v>
      </c>
      <c r="C18" s="466" t="str">
        <f t="shared" si="7"/>
        <v>3</v>
      </c>
      <c r="D18" s="466"/>
      <c r="E18" s="467" t="str">
        <f>A18-B18-C18-D18</f>
        <v>39</v>
      </c>
      <c r="F18" s="468"/>
      <c r="G18" s="469"/>
      <c r="H18" s="416"/>
      <c r="I18" s="416"/>
      <c r="J18" s="416"/>
      <c r="K18" s="416"/>
      <c r="L18" s="416"/>
      <c r="M18" s="416"/>
      <c r="N18" s="416"/>
      <c r="O18" s="415"/>
      <c r="P18" s="416"/>
      <c r="Q18" s="464"/>
    </row>
    <row r="19" ht="14.25" hidden="1" customHeight="1">
      <c r="A19" s="465"/>
      <c r="B19" s="465"/>
      <c r="C19" s="466"/>
      <c r="D19" s="470"/>
      <c r="E19" s="467"/>
      <c r="F19" s="468"/>
      <c r="G19" s="469"/>
      <c r="H19" s="416"/>
      <c r="I19" s="416"/>
      <c r="J19" s="416"/>
      <c r="K19" s="416"/>
      <c r="L19" s="416"/>
      <c r="M19" s="416"/>
      <c r="N19" s="416"/>
      <c r="O19" s="415"/>
      <c r="P19" s="416"/>
      <c r="Q19" s="464"/>
    </row>
    <row r="20" ht="14.25" hidden="1" customHeight="1">
      <c r="A20" s="456" t="s">
        <v>1003</v>
      </c>
      <c r="B20" s="453"/>
      <c r="C20" s="453"/>
      <c r="D20" s="453"/>
      <c r="E20" s="453"/>
      <c r="F20" s="453"/>
      <c r="G20" s="454"/>
      <c r="H20" s="416"/>
      <c r="I20" s="416"/>
      <c r="J20" s="416"/>
      <c r="K20" s="416"/>
      <c r="L20" s="416"/>
      <c r="M20" s="416"/>
      <c r="N20" s="416"/>
      <c r="O20" s="415"/>
      <c r="P20" s="416"/>
      <c r="Q20" s="471"/>
    </row>
    <row r="21" ht="45.75" hidden="1" customHeight="1">
      <c r="A21" s="459" t="s">
        <v>999</v>
      </c>
      <c r="B21" s="459" t="s">
        <v>1000</v>
      </c>
      <c r="C21" s="460" t="s">
        <v>1001</v>
      </c>
      <c r="D21" s="461" t="s">
        <v>1002</v>
      </c>
      <c r="E21" s="462" t="s">
        <v>233</v>
      </c>
      <c r="F21" s="463" t="s">
        <v>1004</v>
      </c>
      <c r="G21" s="463" t="s">
        <v>391</v>
      </c>
      <c r="H21" s="416"/>
      <c r="I21" s="416"/>
      <c r="J21" s="416"/>
      <c r="K21" s="416"/>
      <c r="L21" s="416"/>
      <c r="M21" s="416"/>
      <c r="N21" s="416"/>
      <c r="O21" s="415"/>
      <c r="P21" s="416"/>
      <c r="Q21" s="471"/>
    </row>
    <row r="22" ht="14.25" hidden="1" customHeight="1">
      <c r="A22" s="465" t="str">
        <f>E8</f>
        <v>110</v>
      </c>
      <c r="B22" s="465" t="str">
        <f t="shared" ref="B22:C22" si="8">H8</f>
        <v>18</v>
      </c>
      <c r="C22" s="467" t="str">
        <f t="shared" si="8"/>
        <v>10</v>
      </c>
      <c r="D22" s="467"/>
      <c r="E22" s="467" t="str">
        <f>'[3]Page Chart'!X4</f>
        <v>#REF!</v>
      </c>
      <c r="F22" s="472" t="str">
        <f>E18</f>
        <v>39</v>
      </c>
      <c r="G22" s="468"/>
      <c r="H22" s="416"/>
      <c r="I22" s="416"/>
      <c r="J22" s="416"/>
      <c r="K22" s="416"/>
      <c r="L22" s="416"/>
      <c r="M22" s="416"/>
      <c r="N22" s="416"/>
      <c r="O22" s="415"/>
      <c r="P22" s="416"/>
      <c r="Q22" s="471"/>
    </row>
    <row r="23" ht="14.25" hidden="1" customHeight="1">
      <c r="A23" s="465"/>
      <c r="B23" s="465"/>
      <c r="C23" s="467"/>
      <c r="D23" s="467"/>
      <c r="E23" s="467"/>
      <c r="F23" s="472"/>
      <c r="G23" s="468"/>
      <c r="H23" s="416"/>
      <c r="I23" s="416"/>
      <c r="J23" s="416"/>
      <c r="K23" s="416"/>
      <c r="L23" s="416"/>
      <c r="M23" s="416"/>
      <c r="N23" s="416"/>
      <c r="O23" s="415"/>
      <c r="P23" s="416"/>
      <c r="Q23" s="471"/>
    </row>
    <row r="24" ht="14.25" hidden="1" customHeight="1">
      <c r="A24" s="473" t="s">
        <v>1005</v>
      </c>
      <c r="B24" s="453"/>
      <c r="C24" s="453"/>
      <c r="D24" s="453"/>
      <c r="E24" s="453"/>
      <c r="F24" s="453"/>
      <c r="G24" s="454"/>
      <c r="H24" s="416"/>
      <c r="I24" s="416"/>
      <c r="J24" s="416"/>
      <c r="K24" s="416"/>
      <c r="L24" s="416"/>
      <c r="M24" s="416"/>
      <c r="N24" s="416"/>
      <c r="O24" s="415"/>
      <c r="P24" s="416"/>
      <c r="Q24" s="471"/>
    </row>
    <row r="25" ht="14.25" hidden="1" customHeight="1">
      <c r="A25" s="474" t="s">
        <v>1006</v>
      </c>
      <c r="B25" s="474" t="s">
        <v>1000</v>
      </c>
      <c r="C25" s="475" t="s">
        <v>1001</v>
      </c>
      <c r="D25" s="461" t="s">
        <v>1002</v>
      </c>
      <c r="E25" s="462" t="s">
        <v>233</v>
      </c>
      <c r="F25" s="476" t="s">
        <v>1007</v>
      </c>
      <c r="G25" s="463" t="s">
        <v>1008</v>
      </c>
      <c r="H25" s="416"/>
      <c r="I25" s="416"/>
      <c r="J25" s="416"/>
      <c r="K25" s="416"/>
      <c r="L25" s="416"/>
      <c r="M25" s="416"/>
      <c r="N25" s="416"/>
      <c r="O25" s="415"/>
      <c r="P25" s="416"/>
      <c r="Q25" s="471"/>
    </row>
    <row r="26" ht="14.25" hidden="1" customHeight="1">
      <c r="A26" s="477" t="str">
        <f>E10</f>
        <v>12.00</v>
      </c>
      <c r="B26" s="477" t="str">
        <f t="shared" ref="B26:C26" si="9">H10</f>
        <v/>
      </c>
      <c r="C26" s="478" t="str">
        <f t="shared" si="9"/>
        <v/>
      </c>
      <c r="D26" s="479"/>
      <c r="E26" s="480"/>
      <c r="F26" s="481"/>
      <c r="G26" s="482"/>
      <c r="H26" s="416"/>
      <c r="I26" s="416"/>
      <c r="J26" s="416"/>
      <c r="K26" s="416"/>
      <c r="L26" s="416"/>
      <c r="M26" s="416"/>
      <c r="N26" s="416"/>
      <c r="O26" s="415"/>
      <c r="P26" s="416"/>
      <c r="Q26" s="471"/>
    </row>
    <row r="27" ht="14.25" hidden="1" customHeight="1">
      <c r="A27" s="435"/>
      <c r="B27" s="483"/>
      <c r="C27" s="435"/>
      <c r="D27" s="435"/>
      <c r="E27" s="435"/>
      <c r="F27" s="416"/>
      <c r="G27" s="416"/>
      <c r="H27" s="416"/>
      <c r="I27" s="416"/>
      <c r="J27" s="416"/>
      <c r="K27" s="416"/>
      <c r="L27" s="416"/>
      <c r="M27" s="416"/>
      <c r="N27" s="416"/>
      <c r="O27" s="415"/>
      <c r="P27" s="416"/>
      <c r="Q27" s="471"/>
    </row>
    <row r="28" ht="14.25" hidden="1" customHeight="1">
      <c r="A28" s="435"/>
      <c r="B28" s="483"/>
      <c r="C28" s="435"/>
      <c r="D28" s="435"/>
      <c r="E28" s="435"/>
      <c r="F28" s="416"/>
      <c r="G28" s="416"/>
      <c r="H28" s="416"/>
      <c r="I28" s="416"/>
      <c r="J28" s="416"/>
      <c r="K28" s="416"/>
      <c r="L28" s="416"/>
      <c r="M28" s="416"/>
      <c r="N28" s="416"/>
      <c r="O28" s="415"/>
      <c r="P28" s="416"/>
      <c r="Q28" s="471"/>
    </row>
    <row r="29" ht="14.25" customHeight="1">
      <c r="A29" s="435"/>
      <c r="B29" s="483"/>
      <c r="C29" s="435"/>
      <c r="D29" s="435"/>
      <c r="E29" s="435"/>
      <c r="F29" s="416"/>
      <c r="G29" s="416"/>
      <c r="H29" s="416"/>
      <c r="I29" s="416"/>
      <c r="J29" s="416"/>
      <c r="K29" s="416"/>
      <c r="L29" s="416"/>
      <c r="M29" s="416"/>
      <c r="N29" s="416"/>
      <c r="O29" s="415"/>
      <c r="P29" s="416"/>
      <c r="Q29" s="471"/>
    </row>
    <row r="30" ht="19.5" customHeight="1">
      <c r="A30" s="484" t="s">
        <v>1009</v>
      </c>
      <c r="B30" s="485" t="s">
        <v>1010</v>
      </c>
      <c r="C30" s="486" t="s">
        <v>1011</v>
      </c>
      <c r="D30" s="486" t="s">
        <v>1012</v>
      </c>
      <c r="E30" s="487" t="s">
        <v>1013</v>
      </c>
      <c r="F30" s="488" t="s">
        <v>1014</v>
      </c>
      <c r="G30" s="489" t="s">
        <v>1015</v>
      </c>
      <c r="H30" s="490" t="s">
        <v>1016</v>
      </c>
      <c r="I30" s="491" t="s">
        <v>1017</v>
      </c>
      <c r="J30" s="491" t="s">
        <v>1018</v>
      </c>
      <c r="K30" s="492" t="s">
        <v>391</v>
      </c>
      <c r="L30" s="416"/>
      <c r="M30" s="416"/>
      <c r="N30" s="416"/>
      <c r="O30" s="415"/>
      <c r="P30" s="416"/>
      <c r="Q30" s="471"/>
    </row>
    <row r="31" ht="14.25" customHeight="1">
      <c r="A31" s="493" t="s">
        <v>19</v>
      </c>
      <c r="B31" s="494" t="s">
        <v>1019</v>
      </c>
      <c r="C31" s="495" t="s">
        <v>1020</v>
      </c>
      <c r="D31" s="495" t="s">
        <v>1020</v>
      </c>
      <c r="E31" s="496" t="s">
        <v>1021</v>
      </c>
      <c r="F31" s="497" t="s">
        <v>819</v>
      </c>
      <c r="G31" s="498">
        <v>15.0</v>
      </c>
      <c r="H31" s="499">
        <v>7.863971676E9</v>
      </c>
      <c r="I31" s="500">
        <v>46149.0</v>
      </c>
      <c r="J31" s="500">
        <v>46333.0</v>
      </c>
      <c r="K31" s="492"/>
      <c r="L31" s="416"/>
      <c r="M31" s="416"/>
      <c r="N31" s="416"/>
      <c r="O31" s="415"/>
      <c r="P31" s="416"/>
      <c r="Q31" s="471"/>
    </row>
    <row r="32" ht="14.25" customHeight="1">
      <c r="A32" s="493" t="s">
        <v>283</v>
      </c>
      <c r="B32" s="495" t="s">
        <v>1022</v>
      </c>
      <c r="C32" s="501" t="s">
        <v>1022</v>
      </c>
      <c r="D32" s="501" t="s">
        <v>1022</v>
      </c>
      <c r="E32" s="496" t="s">
        <v>1022</v>
      </c>
      <c r="F32" s="502" t="s">
        <v>668</v>
      </c>
      <c r="G32" s="492"/>
      <c r="H32" s="492"/>
      <c r="I32" s="492"/>
      <c r="J32" s="492"/>
      <c r="K32" s="492"/>
      <c r="L32" s="416"/>
      <c r="M32" s="416"/>
      <c r="N32" s="416"/>
      <c r="O32" s="415"/>
      <c r="P32" s="416"/>
      <c r="Q32" s="471"/>
    </row>
    <row r="33" ht="14.25" customHeight="1">
      <c r="A33" s="503" t="s">
        <v>1023</v>
      </c>
      <c r="B33" s="504" t="s">
        <v>1022</v>
      </c>
      <c r="C33" s="505" t="s">
        <v>1022</v>
      </c>
      <c r="D33" s="505" t="s">
        <v>1022</v>
      </c>
      <c r="E33" s="506" t="s">
        <v>1022</v>
      </c>
      <c r="F33" s="497" t="s">
        <v>1024</v>
      </c>
      <c r="G33" s="507"/>
      <c r="H33" s="507"/>
      <c r="I33" s="507"/>
      <c r="J33" s="508"/>
      <c r="K33" s="507"/>
      <c r="L33" s="435"/>
      <c r="M33" s="435"/>
      <c r="N33" s="435"/>
      <c r="O33" s="415"/>
      <c r="P33" s="416"/>
      <c r="Q33" s="471"/>
    </row>
    <row r="34" ht="14.25" customHeight="1">
      <c r="A34" s="509"/>
      <c r="B34" s="509"/>
      <c r="C34" s="509"/>
      <c r="D34" s="435"/>
      <c r="E34" s="435"/>
      <c r="F34" s="509"/>
      <c r="G34" s="435"/>
      <c r="H34" s="435"/>
      <c r="I34" s="510"/>
      <c r="J34" s="483"/>
      <c r="K34" s="435"/>
      <c r="L34" s="435"/>
      <c r="M34" s="435"/>
      <c r="N34" s="435"/>
      <c r="O34" s="415"/>
      <c r="P34" s="416"/>
      <c r="Q34" s="471"/>
    </row>
    <row r="35" ht="21.75" customHeight="1">
      <c r="A35" s="511" t="s">
        <v>1025</v>
      </c>
      <c r="B35" s="512" t="s">
        <v>1026</v>
      </c>
      <c r="C35" s="512" t="s">
        <v>1027</v>
      </c>
      <c r="D35" s="512" t="s">
        <v>1028</v>
      </c>
      <c r="E35" s="501" t="s">
        <v>1015</v>
      </c>
      <c r="F35" s="513" t="s">
        <v>1016</v>
      </c>
      <c r="G35" s="514" t="s">
        <v>1017</v>
      </c>
      <c r="H35" s="514" t="s">
        <v>1018</v>
      </c>
      <c r="I35" s="494" t="s">
        <v>1029</v>
      </c>
      <c r="J35" s="494" t="s">
        <v>1030</v>
      </c>
      <c r="K35" s="507" t="s">
        <v>391</v>
      </c>
      <c r="L35" s="435"/>
      <c r="M35" s="435"/>
      <c r="N35" s="435"/>
      <c r="O35" s="415"/>
      <c r="P35" s="416"/>
      <c r="Q35" s="471"/>
    </row>
    <row r="36" ht="18.0" customHeight="1">
      <c r="A36" s="515" t="s">
        <v>134</v>
      </c>
      <c r="B36" s="516">
        <v>36.159756</v>
      </c>
      <c r="C36" s="517" t="s">
        <v>1031</v>
      </c>
      <c r="D36" s="518" t="s">
        <v>646</v>
      </c>
      <c r="E36" s="519">
        <v>25.0</v>
      </c>
      <c r="F36" s="507"/>
      <c r="G36" s="515"/>
      <c r="H36" s="507"/>
      <c r="I36" s="507"/>
      <c r="J36" s="507"/>
      <c r="K36" s="507" t="s">
        <v>1032</v>
      </c>
      <c r="L36" s="435"/>
      <c r="M36" s="435"/>
      <c r="N36" s="435"/>
      <c r="O36" s="415"/>
      <c r="P36" s="416"/>
      <c r="Q36" s="471"/>
    </row>
    <row r="37" ht="14.25" customHeight="1">
      <c r="A37" s="515" t="s">
        <v>177</v>
      </c>
      <c r="B37" s="516">
        <v>125.849596</v>
      </c>
      <c r="C37" s="515" t="s">
        <v>1033</v>
      </c>
      <c r="D37" s="515"/>
      <c r="E37" s="519">
        <v>25.0</v>
      </c>
      <c r="F37" s="507"/>
      <c r="G37" s="515"/>
      <c r="H37" s="507"/>
      <c r="I37" s="507"/>
      <c r="J37" s="520" t="str">
        <f>67243.564/1000</f>
        <v>67.244</v>
      </c>
      <c r="K37" s="507"/>
      <c r="L37" s="435"/>
      <c r="M37" s="435"/>
      <c r="N37" s="435"/>
      <c r="O37" s="415"/>
      <c r="P37" s="416"/>
      <c r="Q37" s="471"/>
    </row>
    <row r="38" ht="14.25" customHeight="1">
      <c r="A38" s="509"/>
      <c r="B38" s="509"/>
      <c r="C38" s="509"/>
      <c r="D38" s="509"/>
      <c r="E38" s="435"/>
      <c r="F38" s="435"/>
      <c r="G38" s="509"/>
      <c r="H38" s="435"/>
      <c r="I38" s="435"/>
      <c r="J38" s="435"/>
      <c r="K38" s="435"/>
      <c r="L38" s="435"/>
      <c r="M38" s="435"/>
      <c r="N38" s="435"/>
      <c r="O38" s="415"/>
      <c r="P38" s="416"/>
      <c r="Q38" s="471"/>
    </row>
    <row r="39" ht="14.25" customHeight="1">
      <c r="A39" s="509"/>
      <c r="B39" s="509"/>
      <c r="C39" s="509"/>
      <c r="D39" s="435"/>
      <c r="E39" s="435"/>
      <c r="F39" s="509"/>
      <c r="G39" s="435"/>
      <c r="H39" s="435"/>
      <c r="I39" s="435"/>
      <c r="J39" s="483"/>
      <c r="K39" s="435"/>
      <c r="L39" s="435"/>
      <c r="M39" s="435"/>
      <c r="N39" s="435"/>
      <c r="O39" s="415"/>
      <c r="P39" s="416"/>
      <c r="Q39" s="471"/>
    </row>
    <row r="40" ht="14.25" customHeight="1">
      <c r="A40" s="509"/>
      <c r="B40" s="509"/>
      <c r="C40" s="509"/>
      <c r="D40" s="435"/>
      <c r="E40" s="435"/>
      <c r="F40" s="509"/>
      <c r="G40" s="435"/>
      <c r="H40" s="435"/>
      <c r="I40" s="435"/>
      <c r="J40" s="483"/>
      <c r="K40" s="435"/>
      <c r="L40" s="435"/>
      <c r="M40" s="435"/>
      <c r="N40" s="435"/>
      <c r="O40" s="415"/>
      <c r="P40" s="416"/>
      <c r="Q40" s="471"/>
    </row>
    <row r="41" ht="14.25" customHeight="1">
      <c r="A41" s="509"/>
      <c r="B41" s="509"/>
      <c r="C41" s="509"/>
      <c r="D41" s="435"/>
      <c r="E41" s="435"/>
      <c r="F41" s="509"/>
      <c r="G41" s="435"/>
      <c r="H41" s="435"/>
      <c r="I41" s="435"/>
      <c r="J41" s="483"/>
      <c r="K41" s="435"/>
      <c r="L41" s="435"/>
      <c r="M41" s="435"/>
      <c r="N41" s="435"/>
      <c r="O41" s="415"/>
      <c r="P41" s="416"/>
      <c r="Q41" s="471"/>
    </row>
    <row r="42" ht="14.25" customHeight="1">
      <c r="A42" s="509"/>
      <c r="B42" s="509"/>
      <c r="C42" s="509"/>
      <c r="D42" s="435"/>
      <c r="E42" s="435"/>
      <c r="F42" s="509"/>
      <c r="G42" s="435"/>
      <c r="H42" s="435"/>
      <c r="I42" s="435"/>
      <c r="J42" s="483"/>
      <c r="K42" s="435"/>
      <c r="L42" s="435"/>
      <c r="M42" s="435"/>
      <c r="N42" s="435"/>
      <c r="O42" s="415"/>
      <c r="P42" s="416"/>
      <c r="Q42" s="471"/>
    </row>
    <row r="43" ht="14.25" customHeight="1">
      <c r="A43" s="509"/>
      <c r="B43" s="509"/>
      <c r="C43" s="509"/>
      <c r="D43" s="435"/>
      <c r="E43" s="435"/>
      <c r="F43" s="509"/>
      <c r="G43" s="435"/>
      <c r="H43" s="435"/>
      <c r="I43" s="435"/>
      <c r="J43" s="483"/>
      <c r="K43" s="435"/>
      <c r="L43" s="435"/>
      <c r="M43" s="435"/>
      <c r="N43" s="435"/>
      <c r="O43" s="415"/>
      <c r="P43" s="416"/>
      <c r="Q43" s="471"/>
    </row>
    <row r="44" ht="14.25" customHeight="1">
      <c r="A44" s="509"/>
      <c r="B44" s="509"/>
      <c r="C44" s="509"/>
      <c r="D44" s="435"/>
      <c r="E44" s="435"/>
      <c r="F44" s="509"/>
      <c r="G44" s="435"/>
      <c r="H44" s="435"/>
      <c r="I44" s="435"/>
      <c r="J44" s="483"/>
      <c r="K44" s="435"/>
      <c r="L44" s="435"/>
      <c r="M44" s="435"/>
      <c r="N44" s="435"/>
      <c r="O44" s="415"/>
      <c r="P44" s="416"/>
      <c r="Q44" s="471"/>
    </row>
    <row r="45" ht="14.25" customHeight="1">
      <c r="A45" s="509"/>
      <c r="B45" s="509"/>
      <c r="C45" s="509"/>
      <c r="D45" s="435"/>
      <c r="E45" s="435"/>
      <c r="F45" s="509"/>
      <c r="G45" s="435"/>
      <c r="H45" s="435"/>
      <c r="I45" s="435"/>
      <c r="J45" s="483"/>
      <c r="K45" s="435"/>
      <c r="L45" s="435"/>
      <c r="M45" s="435"/>
      <c r="N45" s="435"/>
      <c r="O45" s="415"/>
      <c r="P45" s="416"/>
      <c r="Q45" s="471"/>
    </row>
    <row r="46" ht="14.25" customHeight="1">
      <c r="A46" s="509"/>
      <c r="B46" s="509"/>
      <c r="C46" s="509"/>
      <c r="D46" s="435"/>
      <c r="E46" s="435"/>
      <c r="F46" s="509"/>
      <c r="G46" s="435"/>
      <c r="H46" s="435"/>
      <c r="I46" s="435"/>
      <c r="J46" s="483"/>
      <c r="K46" s="435"/>
      <c r="L46" s="435"/>
      <c r="M46" s="435"/>
      <c r="N46" s="435"/>
      <c r="O46" s="415"/>
      <c r="P46" s="416"/>
      <c r="Q46" s="471"/>
    </row>
    <row r="47" ht="14.25" customHeight="1">
      <c r="A47" s="509"/>
      <c r="B47" s="509"/>
      <c r="C47" s="509"/>
      <c r="D47" s="435"/>
      <c r="E47" s="435"/>
      <c r="F47" s="509"/>
      <c r="G47" s="435"/>
      <c r="H47" s="435"/>
      <c r="I47" s="435"/>
      <c r="J47" s="483"/>
      <c r="K47" s="435"/>
      <c r="L47" s="435"/>
      <c r="M47" s="435"/>
      <c r="N47" s="435"/>
      <c r="O47" s="415"/>
      <c r="P47" s="416"/>
      <c r="Q47" s="471"/>
    </row>
    <row r="48" ht="14.25" customHeight="1">
      <c r="A48" s="509"/>
      <c r="B48" s="509"/>
      <c r="C48" s="509"/>
      <c r="D48" s="435"/>
      <c r="E48" s="435"/>
      <c r="F48" s="509"/>
      <c r="G48" s="435"/>
      <c r="H48" s="435"/>
      <c r="I48" s="435"/>
      <c r="J48" s="483"/>
      <c r="K48" s="435"/>
      <c r="L48" s="435"/>
      <c r="M48" s="435"/>
      <c r="N48" s="435"/>
      <c r="O48" s="415"/>
      <c r="P48" s="416"/>
      <c r="Q48" s="471"/>
    </row>
    <row r="49" ht="14.25" customHeight="1">
      <c r="A49" s="509"/>
      <c r="B49" s="509"/>
      <c r="C49" s="509"/>
      <c r="D49" s="435"/>
      <c r="E49" s="435"/>
      <c r="F49" s="509"/>
      <c r="G49" s="435"/>
      <c r="H49" s="435"/>
      <c r="I49" s="435"/>
      <c r="J49" s="483"/>
      <c r="K49" s="435"/>
      <c r="L49" s="435"/>
      <c r="M49" s="435"/>
      <c r="N49" s="435"/>
      <c r="O49" s="415"/>
      <c r="P49" s="416"/>
      <c r="Q49" s="471"/>
    </row>
    <row r="50" ht="14.25" customHeight="1">
      <c r="A50" s="509"/>
      <c r="B50" s="509"/>
      <c r="C50" s="509"/>
      <c r="D50" s="435"/>
      <c r="E50" s="435"/>
      <c r="F50" s="509"/>
      <c r="G50" s="435"/>
      <c r="H50" s="435"/>
      <c r="I50" s="435"/>
      <c r="J50" s="483"/>
      <c r="K50" s="435"/>
      <c r="L50" s="435"/>
      <c r="M50" s="435"/>
      <c r="N50" s="435"/>
      <c r="O50" s="415"/>
      <c r="P50" s="416"/>
      <c r="Q50" s="471"/>
    </row>
    <row r="51" ht="14.25" customHeight="1">
      <c r="A51" s="509"/>
      <c r="B51" s="509"/>
      <c r="C51" s="509"/>
      <c r="D51" s="435"/>
      <c r="E51" s="435"/>
      <c r="F51" s="509"/>
      <c r="G51" s="435"/>
      <c r="H51" s="435"/>
      <c r="I51" s="435"/>
      <c r="J51" s="483"/>
      <c r="K51" s="435"/>
      <c r="L51" s="435"/>
      <c r="M51" s="435"/>
      <c r="N51" s="435"/>
      <c r="O51" s="415"/>
      <c r="P51" s="416"/>
      <c r="Q51" s="471"/>
    </row>
    <row r="52" ht="14.25" customHeight="1">
      <c r="A52" s="509"/>
      <c r="B52" s="509"/>
      <c r="C52" s="509"/>
      <c r="D52" s="435"/>
      <c r="E52" s="435"/>
      <c r="F52" s="509"/>
      <c r="G52" s="435"/>
      <c r="H52" s="435"/>
      <c r="I52" s="435"/>
      <c r="J52" s="483"/>
      <c r="K52" s="435"/>
      <c r="L52" s="435"/>
      <c r="M52" s="435"/>
      <c r="N52" s="435"/>
      <c r="O52" s="415"/>
      <c r="P52" s="416"/>
      <c r="Q52" s="471"/>
    </row>
    <row r="53" ht="14.25" customHeight="1">
      <c r="A53" s="509"/>
      <c r="B53" s="509"/>
      <c r="C53" s="509"/>
      <c r="D53" s="435"/>
      <c r="E53" s="435"/>
      <c r="F53" s="509"/>
      <c r="G53" s="435"/>
      <c r="H53" s="435"/>
      <c r="I53" s="435"/>
      <c r="J53" s="483"/>
      <c r="K53" s="435"/>
      <c r="L53" s="435"/>
      <c r="M53" s="435"/>
      <c r="N53" s="435"/>
      <c r="O53" s="415"/>
      <c r="P53" s="416"/>
      <c r="Q53" s="471"/>
    </row>
    <row r="54" ht="14.25" customHeight="1">
      <c r="A54" s="509"/>
      <c r="B54" s="509"/>
      <c r="C54" s="509"/>
      <c r="D54" s="435"/>
      <c r="E54" s="435"/>
      <c r="F54" s="509"/>
      <c r="G54" s="435"/>
      <c r="H54" s="435"/>
      <c r="I54" s="435"/>
      <c r="J54" s="483"/>
      <c r="K54" s="435"/>
      <c r="L54" s="435"/>
      <c r="M54" s="435"/>
      <c r="N54" s="435"/>
      <c r="O54" s="415"/>
      <c r="P54" s="416"/>
      <c r="Q54" s="471"/>
    </row>
    <row r="55" ht="14.25" customHeight="1">
      <c r="A55" s="509"/>
      <c r="B55" s="509"/>
      <c r="C55" s="509"/>
      <c r="D55" s="435"/>
      <c r="E55" s="435"/>
      <c r="F55" s="509"/>
      <c r="G55" s="435"/>
      <c r="H55" s="435"/>
      <c r="I55" s="435"/>
      <c r="J55" s="483"/>
      <c r="K55" s="435"/>
      <c r="L55" s="435"/>
      <c r="M55" s="435"/>
      <c r="N55" s="435"/>
      <c r="O55" s="415"/>
      <c r="P55" s="416"/>
      <c r="Q55" s="471"/>
    </row>
    <row r="56" ht="14.25" customHeight="1">
      <c r="A56" s="509"/>
      <c r="B56" s="509"/>
      <c r="C56" s="509"/>
      <c r="D56" s="435"/>
      <c r="E56" s="435"/>
      <c r="F56" s="509"/>
      <c r="G56" s="435"/>
      <c r="H56" s="435"/>
      <c r="I56" s="435"/>
      <c r="J56" s="483"/>
      <c r="K56" s="435"/>
      <c r="L56" s="435"/>
      <c r="M56" s="435"/>
      <c r="N56" s="435"/>
      <c r="O56" s="415"/>
      <c r="P56" s="416"/>
      <c r="Q56" s="471"/>
    </row>
    <row r="57" ht="14.25" customHeight="1">
      <c r="A57" s="509"/>
      <c r="B57" s="509"/>
      <c r="C57" s="509"/>
      <c r="D57" s="435"/>
      <c r="E57" s="435"/>
      <c r="F57" s="509"/>
      <c r="G57" s="435"/>
      <c r="H57" s="435"/>
      <c r="I57" s="435"/>
      <c r="J57" s="483"/>
      <c r="K57" s="435"/>
      <c r="L57" s="435"/>
      <c r="M57" s="435"/>
      <c r="N57" s="435"/>
      <c r="O57" s="415"/>
      <c r="P57" s="416"/>
      <c r="Q57" s="471"/>
    </row>
    <row r="58" ht="14.25" customHeight="1">
      <c r="A58" s="509"/>
      <c r="B58" s="509"/>
      <c r="C58" s="509"/>
      <c r="D58" s="435"/>
      <c r="E58" s="435"/>
      <c r="F58" s="509"/>
      <c r="G58" s="435"/>
      <c r="H58" s="435"/>
      <c r="I58" s="435"/>
      <c r="J58" s="483"/>
      <c r="K58" s="435"/>
      <c r="L58" s="435"/>
      <c r="M58" s="435"/>
      <c r="N58" s="435"/>
      <c r="O58" s="415"/>
      <c r="P58" s="416"/>
      <c r="Q58" s="471"/>
    </row>
    <row r="59" ht="14.25" customHeight="1">
      <c r="A59" s="509"/>
      <c r="B59" s="509"/>
      <c r="C59" s="509"/>
      <c r="D59" s="435"/>
      <c r="E59" s="435"/>
      <c r="F59" s="509"/>
      <c r="G59" s="435"/>
      <c r="H59" s="435"/>
      <c r="I59" s="435"/>
      <c r="J59" s="483"/>
      <c r="K59" s="435"/>
      <c r="L59" s="435"/>
      <c r="M59" s="435"/>
      <c r="N59" s="435"/>
      <c r="O59" s="415"/>
      <c r="P59" s="416"/>
      <c r="Q59" s="471"/>
    </row>
    <row r="60" ht="14.25" customHeight="1">
      <c r="A60" s="509"/>
      <c r="B60" s="509"/>
      <c r="C60" s="509"/>
      <c r="D60" s="435"/>
      <c r="E60" s="435"/>
      <c r="F60" s="509"/>
      <c r="G60" s="435"/>
      <c r="H60" s="435"/>
      <c r="I60" s="435"/>
      <c r="J60" s="483"/>
      <c r="K60" s="435"/>
      <c r="L60" s="435"/>
      <c r="M60" s="435"/>
      <c r="N60" s="435"/>
      <c r="O60" s="415"/>
      <c r="P60" s="416"/>
      <c r="Q60" s="471"/>
    </row>
    <row r="61" ht="14.25" customHeight="1">
      <c r="A61" s="509"/>
      <c r="B61" s="509"/>
      <c r="C61" s="509"/>
      <c r="D61" s="435"/>
      <c r="E61" s="435"/>
      <c r="F61" s="509"/>
      <c r="G61" s="435"/>
      <c r="H61" s="435"/>
      <c r="I61" s="435"/>
      <c r="J61" s="483"/>
      <c r="K61" s="435"/>
      <c r="L61" s="435"/>
      <c r="M61" s="435"/>
      <c r="N61" s="435"/>
      <c r="O61" s="415"/>
      <c r="P61" s="416"/>
      <c r="Q61" s="471"/>
    </row>
    <row r="62" ht="14.25" customHeight="1">
      <c r="A62" s="509"/>
      <c r="B62" s="509"/>
      <c r="C62" s="509"/>
      <c r="D62" s="435"/>
      <c r="E62" s="435"/>
      <c r="F62" s="509"/>
      <c r="G62" s="435"/>
      <c r="H62" s="435"/>
      <c r="I62" s="435"/>
      <c r="J62" s="483"/>
      <c r="K62" s="435"/>
      <c r="L62" s="435"/>
      <c r="M62" s="435"/>
      <c r="N62" s="435"/>
      <c r="O62" s="415"/>
      <c r="P62" s="416"/>
      <c r="Q62" s="471"/>
    </row>
    <row r="63" ht="14.25" customHeight="1">
      <c r="A63" s="509"/>
      <c r="B63" s="509"/>
      <c r="C63" s="509"/>
      <c r="D63" s="435"/>
      <c r="E63" s="435"/>
      <c r="F63" s="509"/>
      <c r="G63" s="435"/>
      <c r="H63" s="435"/>
      <c r="I63" s="435"/>
      <c r="J63" s="483"/>
      <c r="K63" s="435"/>
      <c r="L63" s="435"/>
      <c r="M63" s="435"/>
      <c r="N63" s="435"/>
      <c r="O63" s="415"/>
      <c r="P63" s="416"/>
      <c r="Q63" s="471"/>
    </row>
    <row r="64" ht="14.25" customHeight="1">
      <c r="A64" s="509"/>
      <c r="B64" s="509"/>
      <c r="C64" s="509"/>
      <c r="D64" s="435"/>
      <c r="E64" s="435"/>
      <c r="F64" s="509"/>
      <c r="G64" s="435"/>
      <c r="H64" s="435"/>
      <c r="I64" s="435"/>
      <c r="J64" s="483"/>
      <c r="K64" s="435"/>
      <c r="L64" s="435"/>
      <c r="M64" s="435"/>
      <c r="N64" s="435"/>
      <c r="O64" s="415"/>
      <c r="P64" s="416"/>
      <c r="Q64" s="471"/>
    </row>
    <row r="65" ht="14.25" customHeight="1">
      <c r="A65" s="509"/>
      <c r="B65" s="509"/>
      <c r="C65" s="509"/>
      <c r="D65" s="435"/>
      <c r="E65" s="435"/>
      <c r="F65" s="509"/>
      <c r="G65" s="435"/>
      <c r="H65" s="435"/>
      <c r="I65" s="435"/>
      <c r="J65" s="483"/>
      <c r="K65" s="435"/>
      <c r="L65" s="435"/>
      <c r="M65" s="435"/>
      <c r="N65" s="435"/>
      <c r="O65" s="415"/>
      <c r="P65" s="416"/>
      <c r="Q65" s="471"/>
    </row>
    <row r="66" ht="14.25" customHeight="1">
      <c r="A66" s="509"/>
      <c r="B66" s="509"/>
      <c r="C66" s="509"/>
      <c r="D66" s="435"/>
      <c r="E66" s="435"/>
      <c r="F66" s="509"/>
      <c r="G66" s="435"/>
      <c r="H66" s="435"/>
      <c r="I66" s="435"/>
      <c r="J66" s="483"/>
      <c r="K66" s="435"/>
      <c r="L66" s="435"/>
      <c r="M66" s="435"/>
      <c r="N66" s="435"/>
      <c r="O66" s="415"/>
      <c r="P66" s="416"/>
      <c r="Q66" s="471"/>
    </row>
    <row r="67" ht="14.25" customHeight="1">
      <c r="A67" s="509"/>
      <c r="B67" s="509"/>
      <c r="C67" s="509"/>
      <c r="D67" s="435"/>
      <c r="E67" s="435"/>
      <c r="F67" s="509"/>
      <c r="G67" s="435"/>
      <c r="H67" s="435"/>
      <c r="I67" s="435"/>
      <c r="J67" s="483"/>
      <c r="K67" s="435"/>
      <c r="L67" s="435"/>
      <c r="M67" s="435"/>
      <c r="N67" s="435"/>
      <c r="O67" s="415"/>
      <c r="P67" s="416"/>
      <c r="Q67" s="471"/>
    </row>
    <row r="68" ht="14.25" customHeight="1">
      <c r="A68" s="509"/>
      <c r="B68" s="509"/>
      <c r="C68" s="509"/>
      <c r="D68" s="435"/>
      <c r="E68" s="435"/>
      <c r="F68" s="509"/>
      <c r="G68" s="435"/>
      <c r="H68" s="435"/>
      <c r="I68" s="435"/>
      <c r="J68" s="483"/>
      <c r="K68" s="435"/>
      <c r="L68" s="435"/>
      <c r="M68" s="435"/>
      <c r="N68" s="435"/>
      <c r="O68" s="415"/>
      <c r="P68" s="416"/>
      <c r="Q68" s="471"/>
    </row>
    <row r="69" ht="14.25" customHeight="1">
      <c r="A69" s="509"/>
      <c r="B69" s="509"/>
      <c r="C69" s="509"/>
      <c r="D69" s="435"/>
      <c r="E69" s="435"/>
      <c r="F69" s="509"/>
      <c r="G69" s="435"/>
      <c r="H69" s="435"/>
      <c r="I69" s="435"/>
      <c r="J69" s="483"/>
      <c r="K69" s="435"/>
      <c r="L69" s="435"/>
      <c r="M69" s="435"/>
      <c r="N69" s="435"/>
      <c r="O69" s="415"/>
      <c r="P69" s="416"/>
      <c r="Q69" s="471"/>
    </row>
    <row r="70" ht="14.25" customHeight="1">
      <c r="A70" s="509"/>
      <c r="B70" s="509"/>
      <c r="C70" s="509"/>
      <c r="D70" s="435"/>
      <c r="E70" s="435"/>
      <c r="F70" s="509"/>
      <c r="G70" s="435"/>
      <c r="H70" s="435"/>
      <c r="I70" s="435"/>
      <c r="J70" s="483"/>
      <c r="K70" s="435"/>
      <c r="L70" s="435"/>
      <c r="M70" s="435"/>
      <c r="N70" s="435"/>
      <c r="O70" s="415"/>
      <c r="P70" s="416"/>
      <c r="Q70" s="471"/>
    </row>
    <row r="71" ht="14.25" customHeight="1">
      <c r="A71" s="509"/>
      <c r="B71" s="509"/>
      <c r="C71" s="509"/>
      <c r="D71" s="435"/>
      <c r="E71" s="435"/>
      <c r="F71" s="509"/>
      <c r="G71" s="435"/>
      <c r="H71" s="435"/>
      <c r="I71" s="435"/>
      <c r="J71" s="483"/>
      <c r="K71" s="435"/>
      <c r="L71" s="435"/>
      <c r="M71" s="435"/>
      <c r="N71" s="435"/>
      <c r="O71" s="415"/>
      <c r="P71" s="416"/>
      <c r="Q71" s="471"/>
    </row>
    <row r="72" ht="14.25" customHeight="1">
      <c r="A72" s="509"/>
      <c r="B72" s="509"/>
      <c r="C72" s="509"/>
      <c r="D72" s="435"/>
      <c r="E72" s="435"/>
      <c r="F72" s="509"/>
      <c r="G72" s="435"/>
      <c r="H72" s="435"/>
      <c r="I72" s="435"/>
      <c r="J72" s="483"/>
      <c r="K72" s="435"/>
      <c r="L72" s="435"/>
      <c r="M72" s="435"/>
      <c r="N72" s="435"/>
      <c r="O72" s="415"/>
      <c r="P72" s="416"/>
      <c r="Q72" s="471"/>
    </row>
    <row r="73" ht="14.25" customHeight="1">
      <c r="A73" s="509"/>
      <c r="B73" s="509"/>
      <c r="C73" s="509"/>
      <c r="D73" s="435"/>
      <c r="E73" s="435"/>
      <c r="F73" s="509"/>
      <c r="G73" s="435"/>
      <c r="H73" s="435"/>
      <c r="I73" s="435"/>
      <c r="J73" s="483"/>
      <c r="K73" s="435"/>
      <c r="L73" s="435"/>
      <c r="M73" s="435"/>
      <c r="N73" s="435"/>
      <c r="O73" s="415"/>
      <c r="P73" s="416"/>
      <c r="Q73" s="471"/>
    </row>
    <row r="74" ht="14.25" customHeight="1">
      <c r="A74" s="509"/>
      <c r="B74" s="509"/>
      <c r="C74" s="509"/>
      <c r="D74" s="435"/>
      <c r="E74" s="435"/>
      <c r="F74" s="509"/>
      <c r="G74" s="435"/>
      <c r="H74" s="435"/>
      <c r="I74" s="435"/>
      <c r="J74" s="483"/>
      <c r="K74" s="435"/>
      <c r="L74" s="435"/>
      <c r="M74" s="435"/>
      <c r="N74" s="435"/>
      <c r="O74" s="415"/>
      <c r="P74" s="416"/>
      <c r="Q74" s="471"/>
    </row>
    <row r="75" ht="14.25" customHeight="1">
      <c r="A75" s="509"/>
      <c r="B75" s="509"/>
      <c r="C75" s="509"/>
      <c r="D75" s="435"/>
      <c r="E75" s="435"/>
      <c r="F75" s="509"/>
      <c r="G75" s="435"/>
      <c r="H75" s="435"/>
      <c r="I75" s="435"/>
      <c r="J75" s="483"/>
      <c r="K75" s="435"/>
      <c r="L75" s="435"/>
      <c r="M75" s="435"/>
      <c r="N75" s="435"/>
      <c r="O75" s="415"/>
      <c r="P75" s="416"/>
      <c r="Q75" s="471"/>
    </row>
    <row r="76" ht="14.25" customHeight="1">
      <c r="A76" s="509"/>
      <c r="B76" s="509"/>
      <c r="C76" s="509"/>
      <c r="D76" s="435"/>
      <c r="E76" s="435"/>
      <c r="F76" s="509"/>
      <c r="G76" s="435"/>
      <c r="H76" s="435"/>
      <c r="I76" s="435"/>
      <c r="J76" s="483"/>
      <c r="K76" s="435"/>
      <c r="L76" s="435"/>
      <c r="M76" s="435"/>
      <c r="N76" s="435"/>
      <c r="O76" s="415"/>
      <c r="P76" s="416"/>
      <c r="Q76" s="471"/>
    </row>
    <row r="77" ht="14.25" customHeight="1">
      <c r="A77" s="509"/>
      <c r="B77" s="509"/>
      <c r="C77" s="509"/>
      <c r="D77" s="435"/>
      <c r="E77" s="435"/>
      <c r="F77" s="509"/>
      <c r="G77" s="435"/>
      <c r="H77" s="435"/>
      <c r="I77" s="435"/>
      <c r="J77" s="483"/>
      <c r="K77" s="435"/>
      <c r="L77" s="435"/>
      <c r="M77" s="435"/>
      <c r="N77" s="435"/>
      <c r="O77" s="415"/>
      <c r="P77" s="416"/>
      <c r="Q77" s="471"/>
    </row>
    <row r="78" ht="14.25" customHeight="1">
      <c r="A78" s="509"/>
      <c r="B78" s="509"/>
      <c r="C78" s="509"/>
      <c r="D78" s="435"/>
      <c r="E78" s="435"/>
      <c r="F78" s="509"/>
      <c r="G78" s="435"/>
      <c r="H78" s="435"/>
      <c r="I78" s="435"/>
      <c r="J78" s="483"/>
      <c r="K78" s="435"/>
      <c r="L78" s="435"/>
      <c r="M78" s="435"/>
      <c r="N78" s="435"/>
      <c r="O78" s="415"/>
      <c r="P78" s="416"/>
      <c r="Q78" s="471"/>
    </row>
    <row r="79" ht="14.25" customHeight="1">
      <c r="A79" s="509"/>
      <c r="B79" s="509"/>
      <c r="C79" s="509"/>
      <c r="D79" s="435"/>
      <c r="E79" s="435"/>
      <c r="F79" s="509"/>
      <c r="G79" s="435"/>
      <c r="H79" s="435"/>
      <c r="I79" s="435"/>
      <c r="J79" s="483"/>
      <c r="K79" s="435"/>
      <c r="L79" s="435"/>
      <c r="M79" s="435"/>
      <c r="N79" s="435"/>
      <c r="O79" s="415"/>
      <c r="P79" s="416"/>
      <c r="Q79" s="471"/>
    </row>
    <row r="80" ht="14.25" customHeight="1">
      <c r="A80" s="509"/>
      <c r="B80" s="509"/>
      <c r="C80" s="509"/>
      <c r="D80" s="435"/>
      <c r="E80" s="435"/>
      <c r="F80" s="509"/>
      <c r="G80" s="435"/>
      <c r="H80" s="435"/>
      <c r="I80" s="435"/>
      <c r="J80" s="483"/>
      <c r="K80" s="435"/>
      <c r="L80" s="435"/>
      <c r="M80" s="435"/>
      <c r="N80" s="435"/>
      <c r="O80" s="415"/>
      <c r="P80" s="416"/>
      <c r="Q80" s="471"/>
    </row>
    <row r="81" ht="14.25" customHeight="1">
      <c r="A81" s="509"/>
      <c r="B81" s="509"/>
      <c r="C81" s="509"/>
      <c r="D81" s="435"/>
      <c r="E81" s="435"/>
      <c r="F81" s="509"/>
      <c r="G81" s="435"/>
      <c r="H81" s="435"/>
      <c r="I81" s="435"/>
      <c r="J81" s="483"/>
      <c r="K81" s="435"/>
      <c r="L81" s="435"/>
      <c r="M81" s="435"/>
      <c r="N81" s="435"/>
      <c r="O81" s="415"/>
      <c r="P81" s="416"/>
      <c r="Q81" s="471"/>
    </row>
    <row r="82" ht="14.25" customHeight="1">
      <c r="A82" s="509"/>
      <c r="B82" s="509"/>
      <c r="C82" s="509"/>
      <c r="D82" s="435"/>
      <c r="E82" s="435"/>
      <c r="F82" s="509"/>
      <c r="G82" s="435"/>
      <c r="H82" s="435"/>
      <c r="I82" s="435"/>
      <c r="J82" s="483"/>
      <c r="K82" s="435"/>
      <c r="L82" s="435"/>
      <c r="M82" s="435"/>
      <c r="N82" s="435"/>
      <c r="O82" s="415"/>
      <c r="P82" s="416"/>
      <c r="Q82" s="471"/>
    </row>
    <row r="83" ht="14.25" customHeight="1">
      <c r="A83" s="509"/>
      <c r="B83" s="509"/>
      <c r="C83" s="509"/>
      <c r="D83" s="435"/>
      <c r="E83" s="435"/>
      <c r="F83" s="509"/>
      <c r="G83" s="435"/>
      <c r="H83" s="435"/>
      <c r="I83" s="435"/>
      <c r="J83" s="483"/>
      <c r="K83" s="435"/>
      <c r="L83" s="435"/>
      <c r="M83" s="435"/>
      <c r="N83" s="435"/>
      <c r="O83" s="415"/>
      <c r="P83" s="416"/>
      <c r="Q83" s="471"/>
    </row>
    <row r="84" ht="14.25" customHeight="1">
      <c r="A84" s="509"/>
      <c r="B84" s="509"/>
      <c r="C84" s="509"/>
      <c r="D84" s="435"/>
      <c r="E84" s="435"/>
      <c r="F84" s="509"/>
      <c r="G84" s="435"/>
      <c r="H84" s="435"/>
      <c r="I84" s="435"/>
      <c r="J84" s="483"/>
      <c r="K84" s="435"/>
      <c r="L84" s="435"/>
      <c r="M84" s="435"/>
      <c r="N84" s="435"/>
      <c r="O84" s="415"/>
      <c r="P84" s="416"/>
      <c r="Q84" s="471"/>
    </row>
    <row r="85" ht="14.25" customHeight="1">
      <c r="A85" s="509"/>
      <c r="B85" s="509"/>
      <c r="C85" s="509"/>
      <c r="D85" s="435"/>
      <c r="E85" s="435"/>
      <c r="F85" s="509"/>
      <c r="G85" s="435"/>
      <c r="H85" s="435"/>
      <c r="I85" s="435"/>
      <c r="J85" s="483"/>
      <c r="K85" s="435"/>
      <c r="L85" s="435"/>
      <c r="M85" s="435"/>
      <c r="N85" s="435"/>
      <c r="O85" s="415"/>
      <c r="P85" s="416"/>
      <c r="Q85" s="471"/>
    </row>
    <row r="86" ht="14.25" customHeight="1">
      <c r="A86" s="509"/>
      <c r="B86" s="509"/>
      <c r="C86" s="509"/>
      <c r="D86" s="435"/>
      <c r="E86" s="435"/>
      <c r="F86" s="509"/>
      <c r="G86" s="435"/>
      <c r="H86" s="435"/>
      <c r="I86" s="435"/>
      <c r="J86" s="483"/>
      <c r="K86" s="435"/>
      <c r="L86" s="435"/>
      <c r="M86" s="435"/>
      <c r="N86" s="435"/>
      <c r="O86" s="415"/>
      <c r="P86" s="416"/>
      <c r="Q86" s="471"/>
    </row>
    <row r="87" ht="14.25" customHeight="1">
      <c r="A87" s="509"/>
      <c r="B87" s="509"/>
      <c r="C87" s="509"/>
      <c r="D87" s="435"/>
      <c r="E87" s="435"/>
      <c r="F87" s="509"/>
      <c r="G87" s="435"/>
      <c r="H87" s="435"/>
      <c r="I87" s="435"/>
      <c r="J87" s="483"/>
      <c r="K87" s="435"/>
      <c r="L87" s="435"/>
      <c r="M87" s="435"/>
      <c r="N87" s="435"/>
      <c r="O87" s="415"/>
      <c r="P87" s="416"/>
      <c r="Q87" s="471"/>
    </row>
    <row r="88" ht="14.25" customHeight="1">
      <c r="A88" s="509"/>
      <c r="B88" s="509"/>
      <c r="C88" s="509"/>
      <c r="D88" s="435"/>
      <c r="E88" s="435"/>
      <c r="F88" s="509"/>
      <c r="G88" s="435"/>
      <c r="H88" s="435"/>
      <c r="I88" s="435"/>
      <c r="J88" s="483"/>
      <c r="K88" s="435"/>
      <c r="L88" s="435"/>
      <c r="M88" s="435"/>
      <c r="N88" s="435"/>
      <c r="O88" s="415"/>
      <c r="P88" s="416"/>
      <c r="Q88" s="471"/>
    </row>
    <row r="89" ht="14.25" customHeight="1">
      <c r="A89" s="509"/>
      <c r="B89" s="509"/>
      <c r="C89" s="509"/>
      <c r="D89" s="435"/>
      <c r="E89" s="435"/>
      <c r="F89" s="509"/>
      <c r="G89" s="435"/>
      <c r="H89" s="435"/>
      <c r="I89" s="435"/>
      <c r="J89" s="483"/>
      <c r="K89" s="435"/>
      <c r="L89" s="435"/>
      <c r="M89" s="435"/>
      <c r="N89" s="435"/>
      <c r="O89" s="415"/>
      <c r="P89" s="416"/>
      <c r="Q89" s="471"/>
    </row>
    <row r="90" ht="14.25" customHeight="1">
      <c r="A90" s="509"/>
      <c r="B90" s="509"/>
      <c r="C90" s="509"/>
      <c r="D90" s="435"/>
      <c r="E90" s="435"/>
      <c r="F90" s="509"/>
      <c r="G90" s="435"/>
      <c r="H90" s="435"/>
      <c r="I90" s="435"/>
      <c r="J90" s="483"/>
      <c r="K90" s="435"/>
      <c r="L90" s="435"/>
      <c r="M90" s="435"/>
      <c r="N90" s="435"/>
      <c r="O90" s="415"/>
      <c r="P90" s="416"/>
      <c r="Q90" s="471"/>
    </row>
    <row r="91" ht="14.25" customHeight="1">
      <c r="A91" s="509"/>
      <c r="B91" s="509"/>
      <c r="C91" s="509"/>
      <c r="D91" s="435"/>
      <c r="E91" s="435"/>
      <c r="F91" s="509"/>
      <c r="G91" s="435"/>
      <c r="H91" s="435"/>
      <c r="I91" s="435"/>
      <c r="J91" s="483"/>
      <c r="K91" s="435"/>
      <c r="L91" s="435"/>
      <c r="M91" s="435"/>
      <c r="N91" s="435"/>
      <c r="O91" s="415"/>
      <c r="P91" s="416"/>
      <c r="Q91" s="471"/>
    </row>
    <row r="92" ht="14.25" customHeight="1">
      <c r="A92" s="509"/>
      <c r="B92" s="509"/>
      <c r="C92" s="509"/>
      <c r="D92" s="435"/>
      <c r="E92" s="435"/>
      <c r="F92" s="509"/>
      <c r="G92" s="435"/>
      <c r="H92" s="435"/>
      <c r="I92" s="435"/>
      <c r="J92" s="483"/>
      <c r="K92" s="435"/>
      <c r="L92" s="435"/>
      <c r="M92" s="435"/>
      <c r="N92" s="435"/>
      <c r="O92" s="415"/>
      <c r="P92" s="416"/>
      <c r="Q92" s="471"/>
    </row>
    <row r="93" ht="14.25" customHeight="1">
      <c r="A93" s="509"/>
      <c r="B93" s="509"/>
      <c r="C93" s="509"/>
      <c r="D93" s="435"/>
      <c r="E93" s="435"/>
      <c r="F93" s="509"/>
      <c r="G93" s="435"/>
      <c r="H93" s="435"/>
      <c r="I93" s="435"/>
      <c r="J93" s="483"/>
      <c r="K93" s="435"/>
      <c r="L93" s="435"/>
      <c r="M93" s="435"/>
      <c r="N93" s="435"/>
      <c r="O93" s="415"/>
      <c r="P93" s="416"/>
      <c r="Q93" s="471"/>
    </row>
    <row r="94" ht="14.25" customHeight="1">
      <c r="A94" s="509"/>
      <c r="B94" s="509"/>
      <c r="C94" s="509"/>
      <c r="D94" s="435"/>
      <c r="E94" s="435"/>
      <c r="F94" s="509"/>
      <c r="G94" s="435"/>
      <c r="H94" s="435"/>
      <c r="I94" s="435"/>
      <c r="J94" s="483"/>
      <c r="K94" s="435"/>
      <c r="L94" s="435"/>
      <c r="M94" s="435"/>
      <c r="N94" s="435"/>
      <c r="O94" s="415"/>
      <c r="P94" s="416"/>
      <c r="Q94" s="471"/>
    </row>
    <row r="95" ht="14.25" customHeight="1">
      <c r="A95" s="509"/>
      <c r="B95" s="509"/>
      <c r="C95" s="509"/>
      <c r="D95" s="435"/>
      <c r="E95" s="435"/>
      <c r="F95" s="509"/>
      <c r="G95" s="435"/>
      <c r="H95" s="435"/>
      <c r="I95" s="435"/>
      <c r="J95" s="483"/>
      <c r="K95" s="435"/>
      <c r="L95" s="435"/>
      <c r="M95" s="435"/>
      <c r="N95" s="435"/>
      <c r="O95" s="415"/>
      <c r="P95" s="416"/>
      <c r="Q95" s="471"/>
    </row>
    <row r="96" ht="14.25" customHeight="1">
      <c r="A96" s="509"/>
      <c r="B96" s="509"/>
      <c r="C96" s="509"/>
      <c r="D96" s="435"/>
      <c r="E96" s="435"/>
      <c r="F96" s="509"/>
      <c r="G96" s="435"/>
      <c r="H96" s="435"/>
      <c r="I96" s="435"/>
      <c r="J96" s="483"/>
      <c r="K96" s="435"/>
      <c r="L96" s="435"/>
      <c r="M96" s="435"/>
      <c r="N96" s="435"/>
      <c r="O96" s="415"/>
      <c r="P96" s="416"/>
      <c r="Q96" s="471"/>
    </row>
    <row r="97" ht="14.25" customHeight="1">
      <c r="A97" s="509"/>
      <c r="B97" s="509"/>
      <c r="C97" s="509"/>
      <c r="D97" s="435"/>
      <c r="E97" s="435"/>
      <c r="F97" s="509"/>
      <c r="G97" s="435"/>
      <c r="H97" s="435"/>
      <c r="I97" s="435"/>
      <c r="J97" s="483"/>
      <c r="K97" s="435"/>
      <c r="L97" s="435"/>
      <c r="M97" s="435"/>
      <c r="N97" s="435"/>
      <c r="O97" s="415"/>
      <c r="P97" s="416"/>
      <c r="Q97" s="471"/>
    </row>
    <row r="98" ht="14.25" customHeight="1">
      <c r="A98" s="509"/>
      <c r="B98" s="509"/>
      <c r="C98" s="509"/>
      <c r="D98" s="435"/>
      <c r="E98" s="435"/>
      <c r="F98" s="509"/>
      <c r="G98" s="435"/>
      <c r="H98" s="435"/>
      <c r="I98" s="435"/>
      <c r="J98" s="483"/>
      <c r="K98" s="435"/>
      <c r="L98" s="435"/>
      <c r="M98" s="435"/>
      <c r="N98" s="435"/>
      <c r="O98" s="415"/>
      <c r="P98" s="416"/>
      <c r="Q98" s="471"/>
    </row>
    <row r="99" ht="14.25" customHeight="1">
      <c r="A99" s="509"/>
      <c r="B99" s="509"/>
      <c r="C99" s="509"/>
      <c r="D99" s="435"/>
      <c r="E99" s="435"/>
      <c r="F99" s="509"/>
      <c r="G99" s="435"/>
      <c r="H99" s="435"/>
      <c r="I99" s="435"/>
      <c r="J99" s="483"/>
      <c r="K99" s="435"/>
      <c r="L99" s="435"/>
      <c r="M99" s="435"/>
      <c r="N99" s="435"/>
      <c r="O99" s="415"/>
      <c r="P99" s="416"/>
      <c r="Q99" s="471"/>
    </row>
    <row r="100" ht="14.25" customHeight="1">
      <c r="A100" s="509"/>
      <c r="B100" s="509"/>
      <c r="C100" s="509"/>
      <c r="D100" s="435"/>
      <c r="E100" s="435"/>
      <c r="F100" s="509"/>
      <c r="G100" s="435"/>
      <c r="H100" s="435"/>
      <c r="I100" s="435"/>
      <c r="J100" s="483"/>
      <c r="K100" s="435"/>
      <c r="L100" s="435"/>
      <c r="M100" s="435"/>
      <c r="N100" s="435"/>
      <c r="O100" s="415"/>
      <c r="P100" s="416"/>
      <c r="Q100" s="471"/>
    </row>
  </sheetData>
  <mergeCells count="16">
    <mergeCell ref="C3:F3"/>
    <mergeCell ref="H3:I3"/>
    <mergeCell ref="A24:G24"/>
    <mergeCell ref="A13:N13"/>
    <mergeCell ref="A14:G14"/>
    <mergeCell ref="A15:G15"/>
    <mergeCell ref="A16:G16"/>
    <mergeCell ref="A20:G20"/>
    <mergeCell ref="A1:A3"/>
    <mergeCell ref="E1:F1"/>
    <mergeCell ref="H1:I1"/>
    <mergeCell ref="M1:N1"/>
    <mergeCell ref="C2:F2"/>
    <mergeCell ref="H2:K2"/>
    <mergeCell ref="M2:N2"/>
    <mergeCell ref="M3:N3"/>
  </mergeCells>
  <hyperlinks>
    <hyperlink display="'X-ing Status'!A1" location="null!A1" ref="Q3"/>
    <hyperlink display="'L2 Schedule'!A1" location="null!A1" ref="Q4"/>
    <hyperlink display="'Hindrance Register (Row)'!A1" location="null!A1" ref="Q5"/>
    <hyperlink display="Survey!A1" location="null!A1" ref="Q6"/>
    <hyperlink display="Foundation!A1" location="null!A1" ref="Q7"/>
    <hyperlink display="Earthing!A1" location="null!A1" ref="Q8"/>
    <hyperlink display="Erection!A1" location="null!A1" ref="Q9"/>
    <hyperlink display="Tackwelding!A1" location="null!A1" ref="Q10"/>
    <hyperlink display="Stringing!A1" location="null!A1" ref="Q11"/>
    <hyperlink display="'Stringing associated works'!A1" location="null!A1" ref="Q12"/>
    <hyperlink display="OPGW!A1" location="null!A1" ref="Q13"/>
    <hyperlink display="'Visual chart'!A1" location="null!A1" ref="Q14"/>
    <hyperlink display="'Page Chart'!A1" location="null!A1" ref="Q15"/>
    <hyperlink display="'Benching F'!A1" location="null!A1" ref="Q16"/>
  </hyperlinks>
  <printOptions horizontalCentered="1"/>
  <pageMargins bottom="0.354330708661417" footer="0.0" header="0.0" left="0.196850393700787" right="0.196850393700787" top="0.275590551181102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71"/>
    <col customWidth="1" min="3" max="3" width="13.71"/>
    <col customWidth="1" min="4" max="4" width="13.29"/>
    <col customWidth="1" min="5" max="5" width="12.29"/>
    <col customWidth="1" min="6" max="6" width="8.71"/>
    <col customWidth="1" min="7" max="7" width="10.57"/>
    <col customWidth="1" min="8" max="8" width="12.43"/>
    <col customWidth="1" min="9" max="9" width="8.71"/>
    <col customWidth="1" min="10" max="10" width="13.43"/>
    <col customWidth="1" min="11" max="11" width="7.57"/>
    <col customWidth="1" min="12" max="12" width="7.29"/>
  </cols>
  <sheetData>
    <row r="1" ht="14.25" customHeight="1"/>
    <row r="2" ht="31.5" customHeight="1">
      <c r="B2" s="521" t="s">
        <v>1034</v>
      </c>
      <c r="C2" s="522" t="s">
        <v>1035</v>
      </c>
      <c r="D2" s="10"/>
      <c r="E2" s="10"/>
      <c r="F2" s="10"/>
      <c r="G2" s="10"/>
      <c r="H2" s="10"/>
      <c r="I2" s="10"/>
      <c r="J2" s="523"/>
      <c r="K2" s="524"/>
      <c r="L2" s="525"/>
    </row>
    <row r="3" ht="14.25" customHeight="1">
      <c r="B3" s="526" t="s">
        <v>1036</v>
      </c>
      <c r="C3" s="527" t="s">
        <v>934</v>
      </c>
      <c r="D3" s="94"/>
      <c r="E3" s="94"/>
      <c r="F3" s="94"/>
      <c r="G3" s="94"/>
      <c r="H3" s="94"/>
      <c r="I3" s="94"/>
      <c r="J3" s="528"/>
      <c r="K3" s="524"/>
      <c r="L3" s="525"/>
    </row>
    <row r="4" ht="15.75" customHeight="1">
      <c r="B4" s="526" t="s">
        <v>1037</v>
      </c>
      <c r="C4" s="527" t="s">
        <v>1038</v>
      </c>
      <c r="D4" s="94"/>
      <c r="E4" s="94"/>
      <c r="F4" s="94"/>
      <c r="G4" s="94"/>
      <c r="H4" s="94"/>
      <c r="I4" s="94"/>
      <c r="J4" s="528"/>
      <c r="K4" s="524"/>
      <c r="L4" s="525"/>
    </row>
    <row r="5" ht="14.25" customHeight="1">
      <c r="B5" s="529" t="s">
        <v>1039</v>
      </c>
      <c r="C5" s="530">
        <v>46107.0</v>
      </c>
      <c r="D5" s="202"/>
      <c r="E5" s="202"/>
      <c r="F5" s="202"/>
      <c r="G5" s="202"/>
      <c r="H5" s="202"/>
      <c r="I5" s="202"/>
      <c r="J5" s="531"/>
      <c r="K5" s="532"/>
      <c r="L5" s="525"/>
    </row>
    <row r="6" ht="14.25" customHeight="1">
      <c r="B6" s="533" t="s">
        <v>1040</v>
      </c>
      <c r="C6" s="2"/>
      <c r="D6" s="2"/>
      <c r="E6" s="2"/>
      <c r="F6" s="2"/>
      <c r="G6" s="2"/>
      <c r="H6" s="2"/>
      <c r="I6" s="2"/>
      <c r="J6" s="155"/>
      <c r="K6" s="534"/>
      <c r="L6" s="525"/>
    </row>
    <row r="7" ht="14.25" customHeight="1">
      <c r="B7" s="535" t="s">
        <v>444</v>
      </c>
      <c r="C7" s="536" t="s">
        <v>1041</v>
      </c>
      <c r="D7" s="536" t="s">
        <v>1042</v>
      </c>
      <c r="E7" s="536" t="s">
        <v>446</v>
      </c>
      <c r="F7" s="536" t="s">
        <v>1043</v>
      </c>
      <c r="G7" s="536" t="s">
        <v>1044</v>
      </c>
      <c r="H7" s="536" t="s">
        <v>1045</v>
      </c>
      <c r="I7" s="536" t="s">
        <v>1046</v>
      </c>
      <c r="J7" s="537" t="s">
        <v>391</v>
      </c>
      <c r="K7" s="525"/>
      <c r="L7" s="525"/>
    </row>
    <row r="8" ht="14.25" customHeight="1">
      <c r="B8" s="538">
        <v>1.0</v>
      </c>
      <c r="C8" s="539" t="s">
        <v>1047</v>
      </c>
      <c r="D8" s="540" t="s">
        <v>1048</v>
      </c>
      <c r="E8" s="540">
        <v>309.0</v>
      </c>
      <c r="F8" s="541">
        <v>306.0</v>
      </c>
      <c r="G8" s="541" t="str">
        <f>272+9</f>
        <v>281</v>
      </c>
      <c r="H8" s="541"/>
      <c r="I8" s="541" t="str">
        <f t="shared" ref="I8:I13" si="1">E8-G8</f>
        <v>28</v>
      </c>
      <c r="J8" s="542"/>
      <c r="K8" s="543"/>
      <c r="L8" s="543"/>
    </row>
    <row r="9" ht="14.25" customHeight="1">
      <c r="B9" s="283">
        <v>2.0</v>
      </c>
      <c r="C9" s="544" t="s">
        <v>1049</v>
      </c>
      <c r="D9" s="545" t="s">
        <v>1048</v>
      </c>
      <c r="E9" s="546">
        <v>309.0</v>
      </c>
      <c r="F9" s="546">
        <v>230.0</v>
      </c>
      <c r="G9" s="546">
        <v>271.0</v>
      </c>
      <c r="H9" s="546"/>
      <c r="I9" s="546" t="str">
        <f t="shared" si="1"/>
        <v>38</v>
      </c>
      <c r="J9" s="547"/>
      <c r="K9" s="543"/>
      <c r="L9" s="543"/>
    </row>
    <row r="10" ht="14.25" customHeight="1">
      <c r="B10" s="283">
        <v>3.0</v>
      </c>
      <c r="C10" s="544" t="s">
        <v>1050</v>
      </c>
      <c r="D10" s="545" t="s">
        <v>1051</v>
      </c>
      <c r="E10" s="546">
        <v>4343.0</v>
      </c>
      <c r="F10" s="545">
        <v>3900.0</v>
      </c>
      <c r="G10" s="546">
        <v>4300.418</v>
      </c>
      <c r="H10" s="548"/>
      <c r="I10" s="546" t="str">
        <f t="shared" si="1"/>
        <v>43</v>
      </c>
      <c r="J10" s="549" t="s">
        <v>1052</v>
      </c>
      <c r="K10" s="543"/>
      <c r="L10" s="543"/>
    </row>
    <row r="11" ht="14.25" customHeight="1">
      <c r="B11" s="283">
        <v>4.0</v>
      </c>
      <c r="C11" s="544" t="s">
        <v>1053</v>
      </c>
      <c r="D11" s="548" t="s">
        <v>1054</v>
      </c>
      <c r="E11" s="546">
        <v>2432.0</v>
      </c>
      <c r="F11" s="548">
        <v>0.9</v>
      </c>
      <c r="G11" s="546" t="str">
        <f>E11/100*90</f>
        <v>2189</v>
      </c>
      <c r="H11" s="548"/>
      <c r="I11" s="546" t="str">
        <f t="shared" si="1"/>
        <v>243</v>
      </c>
      <c r="J11" s="549" t="s">
        <v>1055</v>
      </c>
      <c r="K11" s="543"/>
      <c r="L11" s="543"/>
    </row>
    <row r="12" ht="14.25" customHeight="1">
      <c r="B12" s="283">
        <v>5.0</v>
      </c>
      <c r="C12" s="544" t="s">
        <v>1056</v>
      </c>
      <c r="D12" s="545" t="s">
        <v>1057</v>
      </c>
      <c r="E12" s="545">
        <v>13552.0</v>
      </c>
      <c r="F12" s="545">
        <v>11388.0</v>
      </c>
      <c r="G12" s="550">
        <v>12832.0</v>
      </c>
      <c r="H12" s="545"/>
      <c r="I12" s="546" t="str">
        <f t="shared" si="1"/>
        <v>720</v>
      </c>
      <c r="J12" s="549" t="s">
        <v>1058</v>
      </c>
      <c r="K12" s="551" t="s">
        <v>1059</v>
      </c>
      <c r="L12" s="552" t="s">
        <v>1060</v>
      </c>
    </row>
    <row r="13" ht="14.25" customHeight="1">
      <c r="B13" s="283">
        <v>6.0</v>
      </c>
      <c r="C13" s="544" t="s">
        <v>1061</v>
      </c>
      <c r="D13" s="545" t="s">
        <v>1062</v>
      </c>
      <c r="E13" s="545">
        <v>121.0</v>
      </c>
      <c r="F13" s="548">
        <v>0.85</v>
      </c>
      <c r="G13" s="546">
        <v>84.0</v>
      </c>
      <c r="H13" s="545"/>
      <c r="I13" s="546" t="str">
        <f t="shared" si="1"/>
        <v>37</v>
      </c>
      <c r="J13" s="549" t="s">
        <v>1063</v>
      </c>
      <c r="K13" s="553"/>
      <c r="L13" s="543"/>
    </row>
    <row r="14" ht="14.25" customHeight="1">
      <c r="B14" s="287">
        <v>7.0</v>
      </c>
      <c r="C14" s="554" t="s">
        <v>414</v>
      </c>
      <c r="D14" s="555" t="s">
        <v>1064</v>
      </c>
      <c r="E14" s="555">
        <v>126.0</v>
      </c>
      <c r="F14" s="555">
        <v>63.0</v>
      </c>
      <c r="G14" s="555">
        <v>0.0</v>
      </c>
      <c r="H14" s="555"/>
      <c r="I14" s="556">
        <v>126.0</v>
      </c>
      <c r="J14" s="557" t="s">
        <v>1065</v>
      </c>
      <c r="K14" s="543"/>
      <c r="L14" s="543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5">
    <mergeCell ref="B6:J6"/>
    <mergeCell ref="C5:J5"/>
    <mergeCell ref="C2:J2"/>
    <mergeCell ref="C3:J3"/>
    <mergeCell ref="C4:J4"/>
  </mergeCells>
  <printOptions/>
  <pageMargins bottom="1.3385826771653544" footer="0.0" header="0.0" left="0.7086614173228347" right="0.7086614173228347" top="0.7480314960629921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9.57"/>
    <col customWidth="1" min="3" max="3" width="14.43"/>
    <col customWidth="1" min="4" max="4" width="14.29"/>
    <col customWidth="1" min="5" max="5" width="23.43"/>
    <col customWidth="1" min="6" max="6" width="9.43"/>
    <col customWidth="1" min="7" max="7" width="11.71"/>
    <col customWidth="1" min="8" max="8" width="16.0"/>
    <col customWidth="1" min="9" max="9" width="12.71"/>
    <col customWidth="1" min="10" max="10" width="12.43"/>
    <col customWidth="1" min="11" max="11" width="17.71"/>
    <col customWidth="1" min="12" max="12" width="11.71"/>
    <col customWidth="1" min="13" max="13" width="7.71"/>
    <col customWidth="1" min="14" max="15" width="8.71"/>
    <col customWidth="1" min="16" max="16" width="7.71"/>
    <col customWidth="1" min="17" max="18" width="8.71"/>
    <col customWidth="1" min="19" max="19" width="19.57"/>
    <col customWidth="1" min="20" max="20" width="20.43"/>
    <col customWidth="1" min="21" max="21" width="15.71"/>
    <col customWidth="1" min="22" max="22" width="17.29"/>
    <col customWidth="1" min="23" max="23" width="40.71"/>
    <col customWidth="1" min="24" max="24" width="24.29"/>
    <col customWidth="1" min="25" max="25" width="12.71"/>
    <col customWidth="1" min="26" max="26" width="9.29"/>
    <col customWidth="1" min="27" max="27" width="4.71"/>
    <col customWidth="1" min="28" max="28" width="4.29"/>
    <col customWidth="1" min="29" max="30" width="4.71"/>
  </cols>
  <sheetData>
    <row r="1" ht="12.75" customHeight="1">
      <c r="A1" s="558" t="s">
        <v>1066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60"/>
    </row>
    <row r="2" ht="15.0" customHeight="1">
      <c r="A2" s="561" t="s">
        <v>1067</v>
      </c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  <c r="R2" s="562"/>
      <c r="S2" s="562"/>
      <c r="T2" s="562"/>
      <c r="U2" s="562"/>
      <c r="V2" s="562"/>
      <c r="W2" s="562"/>
      <c r="X2" s="562"/>
      <c r="Y2" s="562"/>
      <c r="Z2" s="562"/>
      <c r="AA2" s="562"/>
      <c r="AB2" s="562"/>
      <c r="AC2" s="562"/>
      <c r="AD2" s="563"/>
    </row>
    <row r="3" ht="15.0" customHeight="1">
      <c r="A3" s="561" t="s">
        <v>1068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562"/>
      <c r="N3" s="562"/>
      <c r="O3" s="562"/>
      <c r="P3" s="562"/>
      <c r="Q3" s="562"/>
      <c r="R3" s="562"/>
      <c r="S3" s="562"/>
      <c r="T3" s="562"/>
      <c r="U3" s="562"/>
      <c r="V3" s="562"/>
      <c r="W3" s="562"/>
      <c r="X3" s="562"/>
      <c r="Y3" s="562"/>
      <c r="Z3" s="562"/>
      <c r="AA3" s="562"/>
      <c r="AB3" s="562"/>
      <c r="AC3" s="562"/>
      <c r="AD3" s="563"/>
    </row>
    <row r="4" ht="14.25" customHeight="1">
      <c r="A4" s="561" t="s">
        <v>1069</v>
      </c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  <c r="Q4" s="562"/>
      <c r="R4" s="562"/>
      <c r="S4" s="562"/>
      <c r="T4" s="562"/>
      <c r="U4" s="562"/>
      <c r="V4" s="562"/>
      <c r="W4" s="562"/>
      <c r="X4" s="562"/>
      <c r="Y4" s="562"/>
      <c r="Z4" s="562"/>
      <c r="AA4" s="562"/>
      <c r="AB4" s="562"/>
      <c r="AC4" s="562"/>
      <c r="AD4" s="563"/>
    </row>
    <row r="5" ht="12.75" customHeight="1">
      <c r="A5" s="564" t="s">
        <v>1070</v>
      </c>
      <c r="B5" s="565"/>
      <c r="C5" s="565"/>
      <c r="D5" s="565"/>
      <c r="E5" s="565"/>
      <c r="F5" s="565"/>
      <c r="G5" s="565"/>
      <c r="H5" s="565"/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6"/>
    </row>
    <row r="6" ht="36.75" customHeight="1">
      <c r="A6" s="567" t="s">
        <v>1071</v>
      </c>
      <c r="B6" s="568" t="s">
        <v>1072</v>
      </c>
      <c r="C6" s="568" t="s">
        <v>1073</v>
      </c>
      <c r="D6" s="568" t="s">
        <v>907</v>
      </c>
      <c r="E6" s="568" t="s">
        <v>1074</v>
      </c>
      <c r="F6" s="568" t="s">
        <v>1075</v>
      </c>
      <c r="G6" s="568" t="s">
        <v>1076</v>
      </c>
      <c r="H6" s="568" t="s">
        <v>1077</v>
      </c>
      <c r="I6" s="568" t="s">
        <v>1078</v>
      </c>
      <c r="J6" s="569" t="s">
        <v>1079</v>
      </c>
      <c r="K6" s="570" t="s">
        <v>1080</v>
      </c>
      <c r="L6" s="568" t="s">
        <v>1081</v>
      </c>
      <c r="M6" s="568" t="s">
        <v>1082</v>
      </c>
      <c r="N6" s="568"/>
      <c r="O6" s="568"/>
      <c r="P6" s="568" t="s">
        <v>1083</v>
      </c>
      <c r="Q6" s="568"/>
      <c r="R6" s="568"/>
      <c r="S6" s="571" t="s">
        <v>1084</v>
      </c>
      <c r="T6" s="571"/>
      <c r="U6" s="568" t="s">
        <v>1085</v>
      </c>
      <c r="V6" s="568"/>
      <c r="W6" s="572" t="s">
        <v>1086</v>
      </c>
      <c r="X6" s="568" t="s">
        <v>1087</v>
      </c>
      <c r="Y6" s="568" t="s">
        <v>1088</v>
      </c>
      <c r="Z6" s="573" t="s">
        <v>1089</v>
      </c>
      <c r="AA6" s="574" t="s">
        <v>1090</v>
      </c>
      <c r="AB6" s="569"/>
      <c r="AC6" s="569"/>
      <c r="AD6" s="575"/>
    </row>
    <row r="7" ht="36.75" customHeight="1">
      <c r="A7" s="576"/>
      <c r="B7" s="577"/>
      <c r="C7" s="577"/>
      <c r="D7" s="577"/>
      <c r="E7" s="577"/>
      <c r="F7" s="577"/>
      <c r="G7" s="577"/>
      <c r="H7" s="577"/>
      <c r="I7" s="577"/>
      <c r="J7" s="578"/>
      <c r="K7" s="579"/>
      <c r="L7" s="577"/>
      <c r="M7" s="580" t="s">
        <v>1091</v>
      </c>
      <c r="N7" s="580" t="s">
        <v>1092</v>
      </c>
      <c r="O7" s="580" t="s">
        <v>905</v>
      </c>
      <c r="P7" s="580" t="s">
        <v>1091</v>
      </c>
      <c r="Q7" s="580" t="s">
        <v>1092</v>
      </c>
      <c r="R7" s="580" t="s">
        <v>905</v>
      </c>
      <c r="S7" s="581" t="s">
        <v>1093</v>
      </c>
      <c r="T7" s="581" t="s">
        <v>1094</v>
      </c>
      <c r="U7" s="580" t="s">
        <v>1095</v>
      </c>
      <c r="V7" s="580" t="s">
        <v>1096</v>
      </c>
      <c r="W7" s="582"/>
      <c r="X7" s="577"/>
      <c r="Y7" s="577"/>
      <c r="Z7" s="583"/>
      <c r="AA7" s="584" t="s">
        <v>1097</v>
      </c>
      <c r="AB7" s="585" t="s">
        <v>1098</v>
      </c>
      <c r="AC7" s="585" t="s">
        <v>1099</v>
      </c>
      <c r="AD7" s="586" t="s">
        <v>1100</v>
      </c>
    </row>
    <row r="8" ht="24.75" customHeight="1">
      <c r="A8" s="587">
        <v>0.0</v>
      </c>
      <c r="B8" s="588" t="s">
        <v>1101</v>
      </c>
      <c r="C8" s="589" t="s">
        <v>1102</v>
      </c>
      <c r="D8" s="588" t="s">
        <v>1103</v>
      </c>
      <c r="E8" s="588" t="s">
        <v>1101</v>
      </c>
      <c r="F8" s="588"/>
      <c r="G8" s="588" t="s">
        <v>1101</v>
      </c>
      <c r="H8" s="590">
        <v>0.0</v>
      </c>
      <c r="I8" s="591">
        <v>435.03</v>
      </c>
      <c r="J8" s="588">
        <v>46.3</v>
      </c>
      <c r="K8" s="591">
        <v>107.961</v>
      </c>
      <c r="L8" s="591">
        <v>53.9805</v>
      </c>
      <c r="M8" s="588">
        <v>0.0</v>
      </c>
      <c r="N8" s="588">
        <v>6.0</v>
      </c>
      <c r="O8" s="588">
        <v>6.0</v>
      </c>
      <c r="P8" s="588">
        <v>0.0</v>
      </c>
      <c r="Q8" s="588">
        <v>11.0</v>
      </c>
      <c r="R8" s="588">
        <v>11.0</v>
      </c>
      <c r="S8" s="588" t="s">
        <v>1104</v>
      </c>
      <c r="T8" s="588" t="s">
        <v>1105</v>
      </c>
      <c r="U8" s="592">
        <v>517625.299</v>
      </c>
      <c r="V8" s="593">
        <v>2676919.49</v>
      </c>
      <c r="W8" s="589"/>
      <c r="X8" s="594"/>
      <c r="Y8" s="594"/>
      <c r="Z8" s="595"/>
      <c r="AA8" s="596"/>
      <c r="AB8" s="596"/>
      <c r="AC8" s="596"/>
      <c r="AD8" s="597"/>
    </row>
    <row r="9" ht="24.75" customHeight="1">
      <c r="A9" s="598"/>
      <c r="B9" s="138"/>
      <c r="C9" s="138"/>
      <c r="D9" s="138"/>
      <c r="E9" s="138"/>
      <c r="F9" s="599">
        <v>107.961</v>
      </c>
      <c r="G9" s="599"/>
      <c r="H9" s="600"/>
      <c r="I9" s="599"/>
      <c r="J9" s="138"/>
      <c r="K9" s="599"/>
      <c r="L9" s="599"/>
      <c r="M9" s="138"/>
      <c r="N9" s="138"/>
      <c r="O9" s="138"/>
      <c r="P9" s="138"/>
      <c r="Q9" s="138"/>
      <c r="R9" s="138"/>
      <c r="S9" s="138"/>
      <c r="T9" s="138"/>
      <c r="U9" s="601"/>
      <c r="V9" s="602"/>
      <c r="W9" s="603" t="s">
        <v>1106</v>
      </c>
      <c r="X9" s="604"/>
      <c r="Y9" s="604"/>
      <c r="Z9" s="605"/>
      <c r="AA9" s="606"/>
      <c r="AB9" s="606"/>
      <c r="AC9" s="606"/>
      <c r="AD9" s="607"/>
    </row>
    <row r="10" ht="24.75" customHeight="1">
      <c r="A10" s="608">
        <v>1.0</v>
      </c>
      <c r="B10" s="138" t="s">
        <v>1107</v>
      </c>
      <c r="C10" s="138" t="s">
        <v>17</v>
      </c>
      <c r="D10" s="138" t="s">
        <v>9</v>
      </c>
      <c r="E10" s="138" t="s">
        <v>1108</v>
      </c>
      <c r="F10" s="599"/>
      <c r="G10" s="599" t="str">
        <f>F9</f>
        <v>107.96</v>
      </c>
      <c r="H10" s="609" t="str">
        <f>F9</f>
        <v>107.96</v>
      </c>
      <c r="I10" s="599">
        <v>434.455</v>
      </c>
      <c r="J10" s="138">
        <v>70.72</v>
      </c>
      <c r="K10" s="599">
        <v>256.439</v>
      </c>
      <c r="L10" s="599">
        <v>128.2195</v>
      </c>
      <c r="M10" s="138">
        <v>33.0</v>
      </c>
      <c r="N10" s="138">
        <v>141.0</v>
      </c>
      <c r="O10" s="138">
        <v>174.0</v>
      </c>
      <c r="P10" s="138">
        <v>35.0</v>
      </c>
      <c r="Q10" s="138">
        <v>95.0</v>
      </c>
      <c r="R10" s="138">
        <v>130.0</v>
      </c>
      <c r="S10" s="138" t="s">
        <v>1109</v>
      </c>
      <c r="T10" s="138" t="s">
        <v>1110</v>
      </c>
      <c r="U10" s="601">
        <v>517540.723</v>
      </c>
      <c r="V10" s="602">
        <v>2676852.389</v>
      </c>
      <c r="W10" s="603" t="s">
        <v>1111</v>
      </c>
      <c r="X10" s="606" t="s">
        <v>1112</v>
      </c>
      <c r="Y10" s="606" t="s">
        <v>1113</v>
      </c>
      <c r="Z10" s="605" t="s">
        <v>31</v>
      </c>
      <c r="AA10" s="606"/>
      <c r="AB10" s="606"/>
      <c r="AC10" s="606"/>
      <c r="AD10" s="607"/>
    </row>
    <row r="11" ht="24.75" customHeight="1">
      <c r="A11" s="598"/>
      <c r="B11" s="138"/>
      <c r="C11" s="138"/>
      <c r="D11" s="138"/>
      <c r="E11" s="138"/>
      <c r="F11" s="599">
        <v>148.478</v>
      </c>
      <c r="G11" s="599"/>
      <c r="H11" s="600"/>
      <c r="I11" s="599"/>
      <c r="J11" s="138"/>
      <c r="K11" s="599"/>
      <c r="L11" s="599"/>
      <c r="M11" s="138"/>
      <c r="N11" s="138"/>
      <c r="O11" s="138"/>
      <c r="P11" s="138"/>
      <c r="Q11" s="138"/>
      <c r="R11" s="138"/>
      <c r="S11" s="138"/>
      <c r="T11" s="138"/>
      <c r="U11" s="601"/>
      <c r="V11" s="602"/>
      <c r="W11" s="603"/>
      <c r="X11" s="606"/>
      <c r="Y11" s="606"/>
      <c r="Z11" s="605"/>
      <c r="AA11" s="606"/>
      <c r="AB11" s="606"/>
      <c r="AC11" s="606"/>
      <c r="AD11" s="607"/>
    </row>
    <row r="12" ht="24.75" customHeight="1">
      <c r="A12" s="608">
        <v>2.0</v>
      </c>
      <c r="B12" s="138" t="s">
        <v>1114</v>
      </c>
      <c r="C12" s="138" t="s">
        <v>18</v>
      </c>
      <c r="D12" s="138" t="s">
        <v>9</v>
      </c>
      <c r="E12" s="138" t="s">
        <v>1115</v>
      </c>
      <c r="F12" s="599"/>
      <c r="G12" s="599" t="str">
        <f>F11</f>
        <v>148.48</v>
      </c>
      <c r="H12" s="609" t="str">
        <f>H10+F11</f>
        <v>256.44</v>
      </c>
      <c r="I12" s="599">
        <v>431.101</v>
      </c>
      <c r="J12" s="138">
        <v>70.72</v>
      </c>
      <c r="K12" s="599">
        <v>557.31</v>
      </c>
      <c r="L12" s="599">
        <v>278.655</v>
      </c>
      <c r="M12" s="138">
        <v>7.0</v>
      </c>
      <c r="N12" s="138">
        <v>220.0</v>
      </c>
      <c r="O12" s="138">
        <v>227.0</v>
      </c>
      <c r="P12" s="138">
        <v>53.0</v>
      </c>
      <c r="Q12" s="138">
        <v>215.0</v>
      </c>
      <c r="R12" s="138">
        <v>268.0</v>
      </c>
      <c r="S12" s="138" t="s">
        <v>1116</v>
      </c>
      <c r="T12" s="138" t="s">
        <v>1117</v>
      </c>
      <c r="U12" s="601">
        <v>517437.804</v>
      </c>
      <c r="V12" s="602">
        <v>2676745.368</v>
      </c>
      <c r="W12" s="603"/>
      <c r="X12" s="606" t="s">
        <v>1112</v>
      </c>
      <c r="Y12" s="606" t="s">
        <v>1113</v>
      </c>
      <c r="Z12" s="605" t="s">
        <v>31</v>
      </c>
      <c r="AA12" s="606"/>
      <c r="AB12" s="606"/>
      <c r="AC12" s="606"/>
      <c r="AD12" s="607"/>
    </row>
    <row r="13" ht="24.75" customHeight="1">
      <c r="A13" s="598"/>
      <c r="B13" s="138"/>
      <c r="C13" s="138"/>
      <c r="D13" s="138"/>
      <c r="E13" s="138"/>
      <c r="F13" s="599">
        <v>408.832</v>
      </c>
      <c r="G13" s="138"/>
      <c r="H13" s="600"/>
      <c r="I13" s="599"/>
      <c r="J13" s="138"/>
      <c r="K13" s="599"/>
      <c r="L13" s="599"/>
      <c r="M13" s="138"/>
      <c r="N13" s="138"/>
      <c r="O13" s="138"/>
      <c r="P13" s="138"/>
      <c r="Q13" s="138"/>
      <c r="R13" s="138"/>
      <c r="S13" s="138"/>
      <c r="T13" s="138"/>
      <c r="U13" s="601"/>
      <c r="V13" s="602"/>
      <c r="W13" s="603" t="s">
        <v>1118</v>
      </c>
      <c r="X13" s="606"/>
      <c r="Y13" s="606"/>
      <c r="Z13" s="605"/>
      <c r="AA13" s="606"/>
      <c r="AB13" s="606"/>
      <c r="AC13" s="606"/>
      <c r="AD13" s="607"/>
    </row>
    <row r="14" ht="24.75" customHeight="1">
      <c r="A14" s="608">
        <v>3.0</v>
      </c>
      <c r="B14" s="138" t="s">
        <v>1119</v>
      </c>
      <c r="C14" s="138" t="s">
        <v>19</v>
      </c>
      <c r="D14" s="138" t="s">
        <v>10</v>
      </c>
      <c r="E14" s="138" t="s">
        <v>1120</v>
      </c>
      <c r="F14" s="599"/>
      <c r="G14" s="599" t="str">
        <f>F13</f>
        <v>408.83</v>
      </c>
      <c r="H14" s="609" t="str">
        <f>H12+F13</f>
        <v>665.27</v>
      </c>
      <c r="I14" s="599">
        <v>425.18</v>
      </c>
      <c r="J14" s="138">
        <v>73.72</v>
      </c>
      <c r="K14" s="599">
        <v>788.832</v>
      </c>
      <c r="L14" s="599">
        <v>394.416</v>
      </c>
      <c r="M14" s="138">
        <v>190.0</v>
      </c>
      <c r="N14" s="138">
        <v>213.0</v>
      </c>
      <c r="O14" s="138">
        <v>403.0</v>
      </c>
      <c r="P14" s="138">
        <v>194.0</v>
      </c>
      <c r="Q14" s="138">
        <v>206.0</v>
      </c>
      <c r="R14" s="138">
        <v>400.0</v>
      </c>
      <c r="S14" s="138" t="s">
        <v>1121</v>
      </c>
      <c r="T14" s="138" t="s">
        <v>1122</v>
      </c>
      <c r="U14" s="601">
        <v>517542.143</v>
      </c>
      <c r="V14" s="602">
        <v>2676350.074</v>
      </c>
      <c r="W14" s="603"/>
      <c r="X14" s="606" t="s">
        <v>1112</v>
      </c>
      <c r="Y14" s="606" t="s">
        <v>1113</v>
      </c>
      <c r="Z14" s="605" t="s">
        <v>31</v>
      </c>
      <c r="AA14" s="606"/>
      <c r="AB14" s="606"/>
      <c r="AC14" s="606"/>
      <c r="AD14" s="607"/>
    </row>
    <row r="15" ht="24.75" customHeight="1">
      <c r="A15" s="598"/>
      <c r="B15" s="138"/>
      <c r="C15" s="138"/>
      <c r="D15" s="138"/>
      <c r="E15" s="138"/>
      <c r="F15" s="599">
        <v>380.0</v>
      </c>
      <c r="G15" s="599"/>
      <c r="H15" s="600"/>
      <c r="I15" s="599"/>
      <c r="J15" s="138"/>
      <c r="K15" s="599"/>
      <c r="L15" s="599"/>
      <c r="M15" s="138"/>
      <c r="N15" s="138"/>
      <c r="O15" s="138"/>
      <c r="P15" s="138"/>
      <c r="Q15" s="138"/>
      <c r="R15" s="138"/>
      <c r="S15" s="138"/>
      <c r="T15" s="138"/>
      <c r="U15" s="601"/>
      <c r="V15" s="602"/>
      <c r="W15" s="603" t="s">
        <v>1123</v>
      </c>
      <c r="X15" s="606"/>
      <c r="Y15" s="606"/>
      <c r="Z15" s="605"/>
      <c r="AA15" s="606"/>
      <c r="AB15" s="606"/>
      <c r="AC15" s="606"/>
      <c r="AD15" s="607"/>
    </row>
    <row r="16" ht="24.75" customHeight="1">
      <c r="A16" s="608">
        <v>4.0</v>
      </c>
      <c r="B16" s="138" t="s">
        <v>1101</v>
      </c>
      <c r="C16" s="138" t="s">
        <v>20</v>
      </c>
      <c r="D16" s="138" t="s">
        <v>11</v>
      </c>
      <c r="E16" s="138" t="s">
        <v>1101</v>
      </c>
      <c r="F16" s="599"/>
      <c r="G16" s="138" t="s">
        <v>1101</v>
      </c>
      <c r="H16" s="609" t="str">
        <f>H14+F15</f>
        <v>1045.27</v>
      </c>
      <c r="I16" s="599">
        <v>425.63</v>
      </c>
      <c r="J16" s="138">
        <v>71.0</v>
      </c>
      <c r="K16" s="599">
        <v>802.0</v>
      </c>
      <c r="L16" s="599">
        <v>401.0</v>
      </c>
      <c r="M16" s="138">
        <v>167.0</v>
      </c>
      <c r="N16" s="138">
        <v>198.0</v>
      </c>
      <c r="O16" s="138">
        <v>365.0</v>
      </c>
      <c r="P16" s="138">
        <v>175.0</v>
      </c>
      <c r="Q16" s="138">
        <v>202.0</v>
      </c>
      <c r="R16" s="138">
        <v>377.0</v>
      </c>
      <c r="S16" s="138" t="s">
        <v>1124</v>
      </c>
      <c r="T16" s="138" t="s">
        <v>1125</v>
      </c>
      <c r="U16" s="601">
        <v>517862.804</v>
      </c>
      <c r="V16" s="602">
        <v>2676146.17</v>
      </c>
      <c r="W16" s="603"/>
      <c r="X16" s="606" t="s">
        <v>1112</v>
      </c>
      <c r="Y16" s="606" t="s">
        <v>1113</v>
      </c>
      <c r="Z16" s="605" t="s">
        <v>31</v>
      </c>
      <c r="AA16" s="606"/>
      <c r="AB16" s="606"/>
      <c r="AC16" s="606"/>
      <c r="AD16" s="607"/>
    </row>
    <row r="17" ht="24.75" customHeight="1">
      <c r="A17" s="598"/>
      <c r="B17" s="138"/>
      <c r="C17" s="138"/>
      <c r="D17" s="138"/>
      <c r="E17" s="138"/>
      <c r="F17" s="599">
        <v>422.0</v>
      </c>
      <c r="G17" s="599"/>
      <c r="H17" s="600"/>
      <c r="I17" s="599"/>
      <c r="J17" s="138"/>
      <c r="K17" s="599"/>
      <c r="L17" s="599"/>
      <c r="M17" s="138"/>
      <c r="N17" s="138"/>
      <c r="O17" s="138"/>
      <c r="P17" s="138"/>
      <c r="Q17" s="138"/>
      <c r="R17" s="138"/>
      <c r="S17" s="138"/>
      <c r="T17" s="138"/>
      <c r="U17" s="601"/>
      <c r="V17" s="602"/>
      <c r="W17" s="603" t="s">
        <v>1126</v>
      </c>
      <c r="X17" s="606"/>
      <c r="Y17" s="606"/>
      <c r="Z17" s="605"/>
      <c r="AA17" s="606"/>
      <c r="AB17" s="606"/>
      <c r="AC17" s="606"/>
      <c r="AD17" s="607"/>
    </row>
    <row r="18" ht="24.75" customHeight="1">
      <c r="A18" s="608">
        <v>5.0</v>
      </c>
      <c r="B18" s="138" t="s">
        <v>1101</v>
      </c>
      <c r="C18" s="138" t="s">
        <v>21</v>
      </c>
      <c r="D18" s="138" t="s">
        <v>12</v>
      </c>
      <c r="E18" s="138" t="s">
        <v>1101</v>
      </c>
      <c r="F18" s="599"/>
      <c r="G18" s="138" t="s">
        <v>1101</v>
      </c>
      <c r="H18" s="609" t="str">
        <f>H16+F17</f>
        <v>1467.27</v>
      </c>
      <c r="I18" s="599">
        <v>420.86</v>
      </c>
      <c r="J18" s="138">
        <v>78.5</v>
      </c>
      <c r="K18" s="599">
        <v>830.352</v>
      </c>
      <c r="L18" s="599">
        <v>415.176</v>
      </c>
      <c r="M18" s="138">
        <v>225.0</v>
      </c>
      <c r="N18" s="138">
        <v>237.0</v>
      </c>
      <c r="O18" s="138">
        <v>462.0</v>
      </c>
      <c r="P18" s="138">
        <v>221.0</v>
      </c>
      <c r="Q18" s="138">
        <v>228.0</v>
      </c>
      <c r="R18" s="138">
        <v>449.0</v>
      </c>
      <c r="S18" s="138" t="s">
        <v>1127</v>
      </c>
      <c r="T18" s="138" t="s">
        <v>1128</v>
      </c>
      <c r="U18" s="601">
        <v>518218.906</v>
      </c>
      <c r="V18" s="602">
        <v>2675919.73</v>
      </c>
      <c r="W18" s="603"/>
      <c r="X18" s="606" t="s">
        <v>1112</v>
      </c>
      <c r="Y18" s="606" t="s">
        <v>1113</v>
      </c>
      <c r="Z18" s="605" t="s">
        <v>31</v>
      </c>
      <c r="AA18" s="606"/>
      <c r="AB18" s="606"/>
      <c r="AC18" s="606"/>
      <c r="AD18" s="607"/>
    </row>
    <row r="19" ht="12.75" customHeight="1">
      <c r="A19" s="598"/>
      <c r="B19" s="138"/>
      <c r="C19" s="138"/>
      <c r="D19" s="138"/>
      <c r="E19" s="138"/>
      <c r="F19" s="599">
        <v>408.352</v>
      </c>
      <c r="G19" s="599"/>
      <c r="H19" s="600"/>
      <c r="I19" s="599"/>
      <c r="J19" s="138"/>
      <c r="K19" s="599"/>
      <c r="L19" s="599"/>
      <c r="M19" s="138"/>
      <c r="N19" s="138"/>
      <c r="O19" s="138"/>
      <c r="P19" s="138"/>
      <c r="Q19" s="138"/>
      <c r="R19" s="138"/>
      <c r="S19" s="138"/>
      <c r="T19" s="138"/>
      <c r="U19" s="601"/>
      <c r="V19" s="602"/>
      <c r="W19" s="603" t="s">
        <v>1129</v>
      </c>
      <c r="X19" s="606"/>
      <c r="Y19" s="606"/>
      <c r="Z19" s="605"/>
      <c r="AA19" s="606"/>
      <c r="AB19" s="606"/>
      <c r="AC19" s="606"/>
      <c r="AD19" s="607"/>
    </row>
    <row r="20" ht="24.75" customHeight="1">
      <c r="A20" s="608">
        <v>6.0</v>
      </c>
      <c r="B20" s="138" t="s">
        <v>1130</v>
      </c>
      <c r="C20" s="138" t="s">
        <v>22</v>
      </c>
      <c r="D20" s="138" t="s">
        <v>13</v>
      </c>
      <c r="E20" s="138" t="s">
        <v>1131</v>
      </c>
      <c r="F20" s="599"/>
      <c r="G20" s="599" t="str">
        <f>SUM(F15:F19)</f>
        <v>1210.35</v>
      </c>
      <c r="H20" s="609" t="str">
        <f>H18+F19</f>
        <v>1875.62</v>
      </c>
      <c r="I20" s="599">
        <v>420.532</v>
      </c>
      <c r="J20" s="138">
        <v>70.72</v>
      </c>
      <c r="K20" s="599">
        <v>827.805</v>
      </c>
      <c r="L20" s="599">
        <v>413.9025</v>
      </c>
      <c r="M20" s="138">
        <v>171.0</v>
      </c>
      <c r="N20" s="138">
        <v>124.0</v>
      </c>
      <c r="O20" s="138">
        <v>295.0</v>
      </c>
      <c r="P20" s="138">
        <v>182.0</v>
      </c>
      <c r="Q20" s="138">
        <v>149.0</v>
      </c>
      <c r="R20" s="138">
        <v>331.0</v>
      </c>
      <c r="S20" s="138" t="s">
        <v>1132</v>
      </c>
      <c r="T20" s="138" t="s">
        <v>1133</v>
      </c>
      <c r="U20" s="601">
        <v>518563.491</v>
      </c>
      <c r="V20" s="602">
        <v>2675700.613</v>
      </c>
      <c r="W20" s="603"/>
      <c r="X20" s="606" t="s">
        <v>1134</v>
      </c>
      <c r="Y20" s="606" t="s">
        <v>1113</v>
      </c>
      <c r="Z20" s="605" t="s">
        <v>31</v>
      </c>
      <c r="AA20" s="606"/>
      <c r="AB20" s="606"/>
      <c r="AC20" s="606"/>
      <c r="AD20" s="607"/>
    </row>
    <row r="21" ht="24.75" customHeight="1">
      <c r="A21" s="598"/>
      <c r="B21" s="138"/>
      <c r="C21" s="138"/>
      <c r="D21" s="138"/>
      <c r="E21" s="138"/>
      <c r="F21" s="599">
        <v>419.453</v>
      </c>
      <c r="G21" s="599"/>
      <c r="H21" s="600"/>
      <c r="I21" s="599"/>
      <c r="J21" s="138"/>
      <c r="K21" s="599"/>
      <c r="L21" s="599"/>
      <c r="M21" s="138"/>
      <c r="N21" s="138"/>
      <c r="O21" s="138"/>
      <c r="P21" s="138"/>
      <c r="Q21" s="138"/>
      <c r="R21" s="138"/>
      <c r="S21" s="138"/>
      <c r="T21" s="138"/>
      <c r="U21" s="601"/>
      <c r="V21" s="602"/>
      <c r="W21" s="603" t="s">
        <v>1135</v>
      </c>
      <c r="X21" s="606"/>
      <c r="Y21" s="606"/>
      <c r="Z21" s="605"/>
      <c r="AA21" s="606"/>
      <c r="AB21" s="606"/>
      <c r="AC21" s="606"/>
      <c r="AD21" s="607"/>
    </row>
    <row r="22" ht="12.75" customHeight="1">
      <c r="A22" s="608">
        <v>7.0</v>
      </c>
      <c r="B22" s="138" t="s">
        <v>1101</v>
      </c>
      <c r="C22" s="138" t="s">
        <v>23</v>
      </c>
      <c r="D22" s="138" t="s">
        <v>14</v>
      </c>
      <c r="E22" s="138" t="s">
        <v>1101</v>
      </c>
      <c r="F22" s="599"/>
      <c r="G22" s="138" t="s">
        <v>1101</v>
      </c>
      <c r="H22" s="609" t="str">
        <f>H20+F21</f>
        <v>2295.08</v>
      </c>
      <c r="I22" s="599">
        <v>429.129</v>
      </c>
      <c r="J22" s="138">
        <v>81.5</v>
      </c>
      <c r="K22" s="599">
        <v>800.453</v>
      </c>
      <c r="L22" s="599">
        <v>400.2265</v>
      </c>
      <c r="M22" s="138">
        <v>297.0</v>
      </c>
      <c r="N22" s="138">
        <v>175.0</v>
      </c>
      <c r="O22" s="138">
        <v>472.0</v>
      </c>
      <c r="P22" s="138">
        <v>272.0</v>
      </c>
      <c r="Q22" s="138">
        <v>179.0</v>
      </c>
      <c r="R22" s="138">
        <v>451.0</v>
      </c>
      <c r="S22" s="138" t="s">
        <v>1136</v>
      </c>
      <c r="T22" s="138" t="s">
        <v>1137</v>
      </c>
      <c r="U22" s="601">
        <v>518971.67</v>
      </c>
      <c r="V22" s="602">
        <v>2675604.017</v>
      </c>
      <c r="W22" s="610" t="s">
        <v>1138</v>
      </c>
      <c r="X22" s="606" t="s">
        <v>1134</v>
      </c>
      <c r="Y22" s="606" t="s">
        <v>1113</v>
      </c>
      <c r="Z22" s="605" t="s">
        <v>31</v>
      </c>
      <c r="AA22" s="611">
        <v>1.5</v>
      </c>
      <c r="AB22" s="611"/>
      <c r="AC22" s="611"/>
      <c r="AD22" s="612">
        <v>0.5</v>
      </c>
    </row>
    <row r="23" ht="24.75" customHeight="1">
      <c r="A23" s="598"/>
      <c r="B23" s="138"/>
      <c r="C23" s="138"/>
      <c r="D23" s="138"/>
      <c r="E23" s="138"/>
      <c r="F23" s="599">
        <v>381.0</v>
      </c>
      <c r="G23" s="599"/>
      <c r="H23" s="600"/>
      <c r="I23" s="599"/>
      <c r="J23" s="138"/>
      <c r="K23" s="599"/>
      <c r="L23" s="599"/>
      <c r="M23" s="138"/>
      <c r="N23" s="138"/>
      <c r="O23" s="138"/>
      <c r="P23" s="138"/>
      <c r="Q23" s="138"/>
      <c r="R23" s="138"/>
      <c r="S23" s="138"/>
      <c r="T23" s="138"/>
      <c r="U23" s="601"/>
      <c r="V23" s="602"/>
      <c r="W23" s="613" t="s">
        <v>1139</v>
      </c>
      <c r="X23" s="606"/>
      <c r="Y23" s="606"/>
      <c r="Z23" s="605"/>
      <c r="AA23" s="606"/>
      <c r="AB23" s="606"/>
      <c r="AC23" s="606"/>
      <c r="AD23" s="607"/>
    </row>
    <row r="24" ht="12.75" customHeight="1">
      <c r="A24" s="608">
        <v>8.0</v>
      </c>
      <c r="B24" s="138" t="s">
        <v>1101</v>
      </c>
      <c r="C24" s="138" t="s">
        <v>24</v>
      </c>
      <c r="D24" s="138" t="s">
        <v>14</v>
      </c>
      <c r="E24" s="138" t="s">
        <v>1101</v>
      </c>
      <c r="F24" s="599"/>
      <c r="G24" s="138" t="s">
        <v>1101</v>
      </c>
      <c r="H24" s="609" t="str">
        <f>H22+F23</f>
        <v>2676.08</v>
      </c>
      <c r="I24" s="599">
        <v>432.129</v>
      </c>
      <c r="J24" s="138">
        <v>81.5</v>
      </c>
      <c r="K24" s="599">
        <v>798.002</v>
      </c>
      <c r="L24" s="599">
        <v>399.001</v>
      </c>
      <c r="M24" s="138">
        <v>207.0</v>
      </c>
      <c r="N24" s="138">
        <v>312.0</v>
      </c>
      <c r="O24" s="138">
        <v>519.0</v>
      </c>
      <c r="P24" s="138">
        <v>203.0</v>
      </c>
      <c r="Q24" s="138">
        <v>282.0</v>
      </c>
      <c r="R24" s="138">
        <v>485.0</v>
      </c>
      <c r="S24" s="138" t="s">
        <v>1140</v>
      </c>
      <c r="T24" s="138" t="s">
        <v>1141</v>
      </c>
      <c r="U24" s="601">
        <v>519342.43</v>
      </c>
      <c r="V24" s="602">
        <v>2675516.275</v>
      </c>
      <c r="W24" s="610" t="s">
        <v>1138</v>
      </c>
      <c r="X24" s="606" t="s">
        <v>1134</v>
      </c>
      <c r="Y24" s="606" t="s">
        <v>1113</v>
      </c>
      <c r="Z24" s="605" t="s">
        <v>31</v>
      </c>
      <c r="AA24" s="611">
        <v>1.5</v>
      </c>
      <c r="AB24" s="611">
        <v>2.0</v>
      </c>
      <c r="AC24" s="611"/>
      <c r="AD24" s="612"/>
    </row>
    <row r="25" ht="24.75" customHeight="1">
      <c r="A25" s="598"/>
      <c r="B25" s="138"/>
      <c r="C25" s="138"/>
      <c r="D25" s="138"/>
      <c r="E25" s="138"/>
      <c r="F25" s="599">
        <v>417.002</v>
      </c>
      <c r="G25" s="599"/>
      <c r="H25" s="600"/>
      <c r="I25" s="599"/>
      <c r="J25" s="606"/>
      <c r="K25" s="599"/>
      <c r="L25" s="599"/>
      <c r="M25" s="138"/>
      <c r="N25" s="138"/>
      <c r="O25" s="138"/>
      <c r="P25" s="138"/>
      <c r="Q25" s="138"/>
      <c r="R25" s="138"/>
      <c r="S25" s="138"/>
      <c r="T25" s="138"/>
      <c r="U25" s="601"/>
      <c r="V25" s="602"/>
      <c r="W25" s="603"/>
      <c r="X25" s="606"/>
      <c r="Y25" s="606"/>
      <c r="Z25" s="605"/>
      <c r="AA25" s="606"/>
      <c r="AB25" s="606"/>
      <c r="AC25" s="606"/>
      <c r="AD25" s="607"/>
    </row>
    <row r="26" ht="24.75" customHeight="1">
      <c r="A26" s="608">
        <v>9.0</v>
      </c>
      <c r="B26" s="138" t="s">
        <v>1101</v>
      </c>
      <c r="C26" s="138" t="s">
        <v>25</v>
      </c>
      <c r="D26" s="138" t="s">
        <v>15</v>
      </c>
      <c r="E26" s="138" t="s">
        <v>1101</v>
      </c>
      <c r="F26" s="599"/>
      <c r="G26" s="138" t="s">
        <v>1101</v>
      </c>
      <c r="H26" s="609" t="str">
        <f>H24+F25</f>
        <v>3093.08</v>
      </c>
      <c r="I26" s="599">
        <v>423.427</v>
      </c>
      <c r="J26" s="138">
        <v>69.5</v>
      </c>
      <c r="K26" s="599">
        <v>834.004</v>
      </c>
      <c r="L26" s="599">
        <v>417.002</v>
      </c>
      <c r="M26" s="138">
        <v>107.0</v>
      </c>
      <c r="N26" s="138">
        <v>196.0</v>
      </c>
      <c r="O26" s="138">
        <v>303.0</v>
      </c>
      <c r="P26" s="138">
        <v>136.0</v>
      </c>
      <c r="Q26" s="138">
        <v>200.0</v>
      </c>
      <c r="R26" s="138">
        <v>336.0</v>
      </c>
      <c r="S26" s="138" t="s">
        <v>1142</v>
      </c>
      <c r="T26" s="138" t="s">
        <v>1143</v>
      </c>
      <c r="U26" s="601">
        <v>519748.223</v>
      </c>
      <c r="V26" s="602">
        <v>2675420.243</v>
      </c>
      <c r="W26" s="603"/>
      <c r="X26" s="606" t="s">
        <v>1144</v>
      </c>
      <c r="Y26" s="606" t="s">
        <v>1113</v>
      </c>
      <c r="Z26" s="605" t="s">
        <v>31</v>
      </c>
      <c r="AA26" s="606"/>
      <c r="AB26" s="606"/>
      <c r="AC26" s="606"/>
      <c r="AD26" s="607"/>
    </row>
    <row r="27" ht="24.75" customHeight="1">
      <c r="A27" s="598"/>
      <c r="B27" s="138"/>
      <c r="C27" s="138"/>
      <c r="D27" s="138"/>
      <c r="E27" s="138"/>
      <c r="F27" s="599">
        <v>417.002</v>
      </c>
      <c r="G27" s="599"/>
      <c r="H27" s="600"/>
      <c r="I27" s="599"/>
      <c r="J27" s="138"/>
      <c r="K27" s="599"/>
      <c r="L27" s="599"/>
      <c r="M27" s="138"/>
      <c r="N27" s="138"/>
      <c r="O27" s="138"/>
      <c r="P27" s="138"/>
      <c r="Q27" s="138"/>
      <c r="R27" s="138"/>
      <c r="S27" s="138"/>
      <c r="T27" s="138"/>
      <c r="U27" s="601"/>
      <c r="V27" s="602"/>
      <c r="W27" s="603" t="s">
        <v>1145</v>
      </c>
      <c r="X27" s="606"/>
      <c r="Y27" s="606"/>
      <c r="Z27" s="605"/>
      <c r="AA27" s="606"/>
      <c r="AB27" s="606"/>
      <c r="AC27" s="606"/>
      <c r="AD27" s="607"/>
    </row>
    <row r="28" ht="24.75" customHeight="1">
      <c r="A28" s="608">
        <v>10.0</v>
      </c>
      <c r="B28" s="138" t="s">
        <v>1101</v>
      </c>
      <c r="C28" s="138" t="s">
        <v>26</v>
      </c>
      <c r="D28" s="138" t="s">
        <v>12</v>
      </c>
      <c r="E28" s="138" t="s">
        <v>1101</v>
      </c>
      <c r="F28" s="599"/>
      <c r="G28" s="138" t="s">
        <v>1101</v>
      </c>
      <c r="H28" s="609" t="str">
        <f>H26+F27</f>
        <v>3510.08</v>
      </c>
      <c r="I28" s="599">
        <v>416.978</v>
      </c>
      <c r="J28" s="138">
        <v>78.5</v>
      </c>
      <c r="K28" s="599">
        <v>834.004</v>
      </c>
      <c r="L28" s="599">
        <v>417.002</v>
      </c>
      <c r="M28" s="138">
        <v>221.0</v>
      </c>
      <c r="N28" s="138">
        <v>270.0</v>
      </c>
      <c r="O28" s="138">
        <v>491.0</v>
      </c>
      <c r="P28" s="138">
        <v>218.0</v>
      </c>
      <c r="Q28" s="138">
        <v>253.0</v>
      </c>
      <c r="R28" s="138">
        <v>471.0</v>
      </c>
      <c r="S28" s="138" t="s">
        <v>1146</v>
      </c>
      <c r="T28" s="138" t="s">
        <v>1147</v>
      </c>
      <c r="U28" s="601">
        <v>520154.016</v>
      </c>
      <c r="V28" s="602">
        <v>2675324.211</v>
      </c>
      <c r="W28" s="603"/>
      <c r="X28" s="606" t="s">
        <v>1144</v>
      </c>
      <c r="Y28" s="606" t="s">
        <v>1113</v>
      </c>
      <c r="Z28" s="605" t="s">
        <v>31</v>
      </c>
      <c r="AA28" s="606"/>
      <c r="AB28" s="606"/>
      <c r="AC28" s="606"/>
      <c r="AD28" s="607"/>
    </row>
    <row r="29" ht="24.75" customHeight="1">
      <c r="A29" s="598"/>
      <c r="B29" s="138"/>
      <c r="C29" s="138"/>
      <c r="D29" s="138"/>
      <c r="E29" s="138"/>
      <c r="F29" s="599">
        <v>417.002</v>
      </c>
      <c r="G29" s="599"/>
      <c r="H29" s="600"/>
      <c r="I29" s="599"/>
      <c r="J29" s="138"/>
      <c r="K29" s="599"/>
      <c r="L29" s="599"/>
      <c r="M29" s="138"/>
      <c r="N29" s="138"/>
      <c r="O29" s="138"/>
      <c r="P29" s="138"/>
      <c r="Q29" s="138"/>
      <c r="R29" s="138"/>
      <c r="S29" s="138"/>
      <c r="T29" s="138"/>
      <c r="U29" s="601"/>
      <c r="V29" s="602"/>
      <c r="W29" s="603" t="s">
        <v>1148</v>
      </c>
      <c r="X29" s="606"/>
      <c r="Y29" s="606"/>
      <c r="Z29" s="605"/>
      <c r="AA29" s="606"/>
      <c r="AB29" s="606"/>
      <c r="AC29" s="606"/>
      <c r="AD29" s="607"/>
    </row>
    <row r="30" ht="24.75" customHeight="1">
      <c r="A30" s="608">
        <v>11.0</v>
      </c>
      <c r="B30" s="138" t="s">
        <v>1101</v>
      </c>
      <c r="C30" s="138" t="s">
        <v>27</v>
      </c>
      <c r="D30" s="138" t="s">
        <v>15</v>
      </c>
      <c r="E30" s="138" t="s">
        <v>1101</v>
      </c>
      <c r="F30" s="599"/>
      <c r="G30" s="138" t="s">
        <v>1101</v>
      </c>
      <c r="H30" s="609" t="str">
        <f>H28+F29</f>
        <v>3927.08</v>
      </c>
      <c r="I30" s="599">
        <v>413.573</v>
      </c>
      <c r="J30" s="138">
        <v>69.5</v>
      </c>
      <c r="K30" s="599">
        <v>805.005</v>
      </c>
      <c r="L30" s="599">
        <v>402.5025</v>
      </c>
      <c r="M30" s="138">
        <v>148.0</v>
      </c>
      <c r="N30" s="138">
        <v>163.0</v>
      </c>
      <c r="O30" s="138">
        <v>311.0</v>
      </c>
      <c r="P30" s="138">
        <v>166.0</v>
      </c>
      <c r="Q30" s="138">
        <v>172.0</v>
      </c>
      <c r="R30" s="138">
        <v>338.0</v>
      </c>
      <c r="S30" s="138" t="s">
        <v>1149</v>
      </c>
      <c r="T30" s="138" t="s">
        <v>1150</v>
      </c>
      <c r="U30" s="601">
        <v>520559.81</v>
      </c>
      <c r="V30" s="602">
        <v>2675228.179</v>
      </c>
      <c r="W30" s="603"/>
      <c r="X30" s="606" t="s">
        <v>1144</v>
      </c>
      <c r="Y30" s="606" t="s">
        <v>1113</v>
      </c>
      <c r="Z30" s="605" t="s">
        <v>31</v>
      </c>
      <c r="AA30" s="606"/>
      <c r="AB30" s="606"/>
      <c r="AC30" s="606"/>
      <c r="AD30" s="607"/>
    </row>
    <row r="31" ht="24.75" customHeight="1">
      <c r="A31" s="598"/>
      <c r="B31" s="138"/>
      <c r="C31" s="138"/>
      <c r="D31" s="138"/>
      <c r="E31" s="138"/>
      <c r="F31" s="599">
        <v>388.003</v>
      </c>
      <c r="G31" s="599"/>
      <c r="H31" s="600"/>
      <c r="I31" s="599"/>
      <c r="J31" s="138"/>
      <c r="K31" s="599"/>
      <c r="L31" s="599"/>
      <c r="M31" s="138"/>
      <c r="N31" s="138"/>
      <c r="O31" s="138"/>
      <c r="P31" s="138"/>
      <c r="Q31" s="138"/>
      <c r="R31" s="138"/>
      <c r="S31" s="138"/>
      <c r="T31" s="138"/>
      <c r="U31" s="601"/>
      <c r="V31" s="602"/>
      <c r="W31" s="603" t="s">
        <v>1139</v>
      </c>
      <c r="X31" s="606"/>
      <c r="Y31" s="606"/>
      <c r="Z31" s="605"/>
      <c r="AA31" s="606"/>
      <c r="AB31" s="606"/>
      <c r="AC31" s="606"/>
      <c r="AD31" s="607"/>
    </row>
    <row r="32" ht="24.75" customHeight="1">
      <c r="A32" s="608">
        <v>12.0</v>
      </c>
      <c r="B32" s="138" t="s">
        <v>1101</v>
      </c>
      <c r="C32" s="138" t="s">
        <v>28</v>
      </c>
      <c r="D32" s="138" t="s">
        <v>12</v>
      </c>
      <c r="E32" s="138" t="s">
        <v>1101</v>
      </c>
      <c r="F32" s="599"/>
      <c r="G32" s="138" t="s">
        <v>1101</v>
      </c>
      <c r="H32" s="609" t="str">
        <f>H30+F31</f>
        <v>4315.09</v>
      </c>
      <c r="I32" s="599">
        <v>410.487</v>
      </c>
      <c r="J32" s="138">
        <v>78.5</v>
      </c>
      <c r="K32" s="599">
        <v>840.346</v>
      </c>
      <c r="L32" s="599">
        <v>420.173</v>
      </c>
      <c r="M32" s="138">
        <v>226.0</v>
      </c>
      <c r="N32" s="138">
        <v>248.0</v>
      </c>
      <c r="O32" s="138">
        <v>474.0</v>
      </c>
      <c r="P32" s="138">
        <v>217.0</v>
      </c>
      <c r="Q32" s="138">
        <v>242.0</v>
      </c>
      <c r="R32" s="138">
        <v>459.0</v>
      </c>
      <c r="S32" s="138" t="s">
        <v>1151</v>
      </c>
      <c r="T32" s="138" t="s">
        <v>1152</v>
      </c>
      <c r="U32" s="601">
        <v>520937.383</v>
      </c>
      <c r="V32" s="602">
        <v>2675138.826</v>
      </c>
      <c r="W32" s="603"/>
      <c r="X32" s="606" t="s">
        <v>1144</v>
      </c>
      <c r="Y32" s="606" t="s">
        <v>1113</v>
      </c>
      <c r="Z32" s="605" t="s">
        <v>31</v>
      </c>
      <c r="AA32" s="606"/>
      <c r="AB32" s="606"/>
      <c r="AC32" s="606"/>
      <c r="AD32" s="607"/>
    </row>
    <row r="33" ht="12.75" customHeight="1">
      <c r="A33" s="598"/>
      <c r="B33" s="138"/>
      <c r="C33" s="138"/>
      <c r="D33" s="138"/>
      <c r="E33" s="138"/>
      <c r="F33" s="599">
        <v>452.343</v>
      </c>
      <c r="G33" s="599"/>
      <c r="H33" s="600"/>
      <c r="I33" s="599"/>
      <c r="J33" s="138"/>
      <c r="K33" s="599"/>
      <c r="L33" s="599"/>
      <c r="M33" s="138"/>
      <c r="N33" s="138"/>
      <c r="O33" s="138"/>
      <c r="P33" s="138"/>
      <c r="Q33" s="138"/>
      <c r="R33" s="138"/>
      <c r="S33" s="138"/>
      <c r="T33" s="138"/>
      <c r="U33" s="601"/>
      <c r="V33" s="602"/>
      <c r="W33" s="603" t="s">
        <v>1153</v>
      </c>
      <c r="X33" s="606"/>
      <c r="Y33" s="606"/>
      <c r="Z33" s="605"/>
      <c r="AA33" s="606"/>
      <c r="AB33" s="606"/>
      <c r="AC33" s="606"/>
      <c r="AD33" s="607"/>
    </row>
    <row r="34" ht="24.75" customHeight="1">
      <c r="A34" s="608">
        <v>13.0</v>
      </c>
      <c r="B34" s="138" t="s">
        <v>1154</v>
      </c>
      <c r="C34" s="138" t="s">
        <v>29</v>
      </c>
      <c r="D34" s="138" t="s">
        <v>16</v>
      </c>
      <c r="E34" s="138" t="s">
        <v>1155</v>
      </c>
      <c r="F34" s="599"/>
      <c r="G34" s="599" t="str">
        <f>SUM(F21:F33)</f>
        <v>2891.81</v>
      </c>
      <c r="H34" s="609" t="str">
        <f>H32+F33</f>
        <v>4767.43</v>
      </c>
      <c r="I34" s="599">
        <v>411.761</v>
      </c>
      <c r="J34" s="138">
        <v>70.72</v>
      </c>
      <c r="K34" s="599">
        <v>853.3430000000001</v>
      </c>
      <c r="L34" s="599">
        <v>426.67150000000004</v>
      </c>
      <c r="M34" s="138">
        <v>205.0</v>
      </c>
      <c r="N34" s="138">
        <v>239.0</v>
      </c>
      <c r="O34" s="138">
        <v>444.0</v>
      </c>
      <c r="P34" s="138">
        <v>212.0</v>
      </c>
      <c r="Q34" s="138">
        <v>227.0</v>
      </c>
      <c r="R34" s="138">
        <v>439.0</v>
      </c>
      <c r="S34" s="138" t="s">
        <v>1156</v>
      </c>
      <c r="T34" s="138" t="s">
        <v>1157</v>
      </c>
      <c r="U34" s="601">
        <v>521377.568</v>
      </c>
      <c r="V34" s="602">
        <v>2675034.655</v>
      </c>
      <c r="W34" s="603"/>
      <c r="X34" s="614" t="s">
        <v>1158</v>
      </c>
      <c r="Y34" s="614" t="s">
        <v>1159</v>
      </c>
      <c r="Z34" s="615" t="s">
        <v>31</v>
      </c>
      <c r="AA34" s="606"/>
      <c r="AB34" s="606"/>
      <c r="AC34" s="606"/>
      <c r="AD34" s="607"/>
    </row>
    <row r="35" ht="24.75" customHeight="1">
      <c r="A35" s="598"/>
      <c r="B35" s="616"/>
      <c r="C35" s="616"/>
      <c r="D35" s="616"/>
      <c r="E35" s="616"/>
      <c r="F35" s="616">
        <v>401.0</v>
      </c>
      <c r="G35" s="616"/>
      <c r="H35" s="600"/>
      <c r="I35" s="616"/>
      <c r="J35" s="616"/>
      <c r="K35" s="616"/>
      <c r="L35" s="616"/>
      <c r="M35" s="616"/>
      <c r="N35" s="616"/>
      <c r="O35" s="616"/>
      <c r="P35" s="616"/>
      <c r="Q35" s="616"/>
      <c r="R35" s="616"/>
      <c r="S35" s="617"/>
      <c r="T35" s="617"/>
      <c r="U35" s="618"/>
      <c r="V35" s="618"/>
      <c r="W35" s="619" t="s">
        <v>1160</v>
      </c>
      <c r="X35" s="606"/>
      <c r="Y35" s="606"/>
      <c r="Z35" s="620"/>
      <c r="AA35" s="616"/>
      <c r="AB35" s="616"/>
      <c r="AC35" s="616"/>
      <c r="AD35" s="621"/>
    </row>
    <row r="36" ht="24.75" customHeight="1">
      <c r="A36" s="608">
        <v>14.0</v>
      </c>
      <c r="B36" s="616" t="s">
        <v>1101</v>
      </c>
      <c r="C36" s="616" t="s">
        <v>30</v>
      </c>
      <c r="D36" s="616" t="s">
        <v>15</v>
      </c>
      <c r="E36" s="616" t="s">
        <v>1101</v>
      </c>
      <c r="F36" s="616"/>
      <c r="G36" s="616" t="s">
        <v>1101</v>
      </c>
      <c r="H36" s="609" t="str">
        <f>H34+F35</f>
        <v>5168.43</v>
      </c>
      <c r="I36" s="616">
        <v>407.682</v>
      </c>
      <c r="J36" s="616">
        <v>69.5</v>
      </c>
      <c r="K36" s="616" t="str">
        <f>F35+F37</f>
        <v>731</v>
      </c>
      <c r="L36" s="616" t="str">
        <f>K36/2</f>
        <v>365.5</v>
      </c>
      <c r="M36" s="616">
        <v>162.0</v>
      </c>
      <c r="N36" s="616">
        <v>118.0</v>
      </c>
      <c r="O36" s="616">
        <v>280.0</v>
      </c>
      <c r="P36" s="616">
        <v>175.0</v>
      </c>
      <c r="Q36" s="616">
        <v>134.0</v>
      </c>
      <c r="R36" s="616">
        <v>309.0</v>
      </c>
      <c r="S36" s="617" t="s">
        <v>1161</v>
      </c>
      <c r="T36" s="617" t="s">
        <v>1162</v>
      </c>
      <c r="U36" s="618">
        <v>521769.257</v>
      </c>
      <c r="V36" s="618">
        <v>2674948.744</v>
      </c>
      <c r="W36" s="619"/>
      <c r="X36" s="138" t="s">
        <v>1158</v>
      </c>
      <c r="Y36" s="138" t="s">
        <v>1159</v>
      </c>
      <c r="Z36" s="620" t="s">
        <v>31</v>
      </c>
      <c r="AA36" s="616"/>
      <c r="AB36" s="616"/>
      <c r="AC36" s="616"/>
      <c r="AD36" s="621"/>
    </row>
    <row r="37" ht="24.75" customHeight="1">
      <c r="A37" s="598"/>
      <c r="B37" s="616"/>
      <c r="C37" s="616"/>
      <c r="D37" s="616"/>
      <c r="E37" s="616"/>
      <c r="F37" s="616">
        <v>330.0</v>
      </c>
      <c r="G37" s="616"/>
      <c r="H37" s="600"/>
      <c r="I37" s="616"/>
      <c r="J37" s="616"/>
      <c r="K37" s="616"/>
      <c r="L37" s="616"/>
      <c r="M37" s="616"/>
      <c r="N37" s="616"/>
      <c r="O37" s="616"/>
      <c r="P37" s="616"/>
      <c r="Q37" s="616"/>
      <c r="R37" s="616"/>
      <c r="S37" s="617"/>
      <c r="T37" s="617"/>
      <c r="U37" s="618"/>
      <c r="V37" s="618"/>
      <c r="W37" s="619" t="s">
        <v>1163</v>
      </c>
      <c r="X37" s="606"/>
      <c r="Y37" s="606"/>
      <c r="Z37" s="620"/>
      <c r="AA37" s="616"/>
      <c r="AB37" s="616"/>
      <c r="AC37" s="616"/>
      <c r="AD37" s="621"/>
    </row>
    <row r="38" ht="24.75" customHeight="1">
      <c r="A38" s="608">
        <v>15.0</v>
      </c>
      <c r="B38" s="616" t="s">
        <v>1101</v>
      </c>
      <c r="C38" s="616" t="s">
        <v>37</v>
      </c>
      <c r="D38" s="616" t="s">
        <v>33</v>
      </c>
      <c r="E38" s="616" t="s">
        <v>1101</v>
      </c>
      <c r="F38" s="616"/>
      <c r="G38" s="616" t="s">
        <v>1101</v>
      </c>
      <c r="H38" s="609" t="str">
        <f>H36+F37</f>
        <v>5498.43</v>
      </c>
      <c r="I38" s="622">
        <v>411.854</v>
      </c>
      <c r="J38" s="616">
        <v>72.5</v>
      </c>
      <c r="K38" s="616" t="str">
        <f>F37+F39</f>
        <v>743</v>
      </c>
      <c r="L38" s="616" t="str">
        <f>K38/2</f>
        <v>371.5</v>
      </c>
      <c r="M38" s="616">
        <v>212.0</v>
      </c>
      <c r="N38" s="616">
        <v>194.0</v>
      </c>
      <c r="O38" s="616">
        <v>406.0</v>
      </c>
      <c r="P38" s="616">
        <v>197.0</v>
      </c>
      <c r="Q38" s="616">
        <v>199.0</v>
      </c>
      <c r="R38" s="616">
        <v>396.0</v>
      </c>
      <c r="S38" s="617" t="s">
        <v>1164</v>
      </c>
      <c r="T38" s="617" t="s">
        <v>1165</v>
      </c>
      <c r="U38" s="618">
        <v>522091.595</v>
      </c>
      <c r="V38" s="618">
        <v>2674878.045</v>
      </c>
      <c r="W38" s="619"/>
      <c r="X38" s="138" t="s">
        <v>1166</v>
      </c>
      <c r="Y38" s="138" t="s">
        <v>1159</v>
      </c>
      <c r="Z38" s="620" t="s">
        <v>31</v>
      </c>
      <c r="AA38" s="616"/>
      <c r="AB38" s="616"/>
      <c r="AC38" s="616"/>
      <c r="AD38" s="621"/>
    </row>
    <row r="39" ht="12.75" customHeight="1">
      <c r="A39" s="598"/>
      <c r="B39" s="616"/>
      <c r="C39" s="616"/>
      <c r="D39" s="616"/>
      <c r="E39" s="616"/>
      <c r="F39" s="616">
        <v>413.0</v>
      </c>
      <c r="G39" s="616"/>
      <c r="H39" s="600"/>
      <c r="I39" s="616"/>
      <c r="J39" s="616"/>
      <c r="K39" s="616"/>
      <c r="L39" s="616"/>
      <c r="M39" s="616"/>
      <c r="N39" s="616"/>
      <c r="O39" s="616"/>
      <c r="P39" s="616"/>
      <c r="Q39" s="616"/>
      <c r="R39" s="616"/>
      <c r="S39" s="617"/>
      <c r="T39" s="617"/>
      <c r="U39" s="618"/>
      <c r="V39" s="618"/>
      <c r="W39" s="619" t="s">
        <v>1167</v>
      </c>
      <c r="X39" s="606"/>
      <c r="Y39" s="606"/>
      <c r="Z39" s="620"/>
      <c r="AA39" s="616"/>
      <c r="AB39" s="616"/>
      <c r="AC39" s="616"/>
      <c r="AD39" s="621"/>
    </row>
    <row r="40" ht="24.75" customHeight="1">
      <c r="A40" s="608">
        <v>16.0</v>
      </c>
      <c r="B40" s="616" t="s">
        <v>1101</v>
      </c>
      <c r="C40" s="616" t="s">
        <v>38</v>
      </c>
      <c r="D40" s="616" t="s">
        <v>34</v>
      </c>
      <c r="E40" s="616" t="s">
        <v>1101</v>
      </c>
      <c r="F40" s="616"/>
      <c r="G40" s="616" t="s">
        <v>1101</v>
      </c>
      <c r="H40" s="609" t="str">
        <f>H38+F39</f>
        <v>5911.43</v>
      </c>
      <c r="I40" s="616">
        <v>411.285</v>
      </c>
      <c r="J40" s="616">
        <v>75.5</v>
      </c>
      <c r="K40" s="616" t="str">
        <f>F39+F41</f>
        <v>835</v>
      </c>
      <c r="L40" s="616" t="str">
        <f>K40/2</f>
        <v>417.5</v>
      </c>
      <c r="M40" s="616">
        <v>220.0</v>
      </c>
      <c r="N40" s="616">
        <v>223.0</v>
      </c>
      <c r="O40" s="616">
        <v>443.0</v>
      </c>
      <c r="P40" s="616">
        <v>216.0</v>
      </c>
      <c r="Q40" s="616">
        <v>219.0</v>
      </c>
      <c r="R40" s="616">
        <v>435.0</v>
      </c>
      <c r="S40" s="617" t="s">
        <v>1168</v>
      </c>
      <c r="T40" s="617" t="s">
        <v>1169</v>
      </c>
      <c r="U40" s="618">
        <v>522495.005</v>
      </c>
      <c r="V40" s="618">
        <v>2674789.563</v>
      </c>
      <c r="W40" s="619"/>
      <c r="X40" s="138" t="s">
        <v>1166</v>
      </c>
      <c r="Y40" s="138" t="s">
        <v>1159</v>
      </c>
      <c r="Z40" s="620" t="s">
        <v>31</v>
      </c>
      <c r="AA40" s="616"/>
      <c r="AB40" s="616"/>
      <c r="AC40" s="616"/>
      <c r="AD40" s="621"/>
    </row>
    <row r="41" ht="12.75" customHeight="1">
      <c r="A41" s="598"/>
      <c r="B41" s="616"/>
      <c r="C41" s="616"/>
      <c r="D41" s="616"/>
      <c r="E41" s="616"/>
      <c r="F41" s="616">
        <v>422.0</v>
      </c>
      <c r="G41" s="616"/>
      <c r="H41" s="600"/>
      <c r="I41" s="616"/>
      <c r="J41" s="616"/>
      <c r="K41" s="616"/>
      <c r="L41" s="616"/>
      <c r="M41" s="616"/>
      <c r="N41" s="616"/>
      <c r="O41" s="616"/>
      <c r="P41" s="616"/>
      <c r="Q41" s="616"/>
      <c r="R41" s="616"/>
      <c r="S41" s="617"/>
      <c r="T41" s="617"/>
      <c r="U41" s="618"/>
      <c r="V41" s="618"/>
      <c r="W41" s="619" t="s">
        <v>1170</v>
      </c>
      <c r="X41" s="606"/>
      <c r="Y41" s="606"/>
      <c r="Z41" s="620"/>
      <c r="AA41" s="616"/>
      <c r="AB41" s="616"/>
      <c r="AC41" s="616"/>
      <c r="AD41" s="621"/>
    </row>
    <row r="42" ht="24.75" customHeight="1">
      <c r="A42" s="608">
        <v>17.0</v>
      </c>
      <c r="B42" s="616" t="s">
        <v>1101</v>
      </c>
      <c r="C42" s="616" t="s">
        <v>39</v>
      </c>
      <c r="D42" s="616" t="s">
        <v>35</v>
      </c>
      <c r="E42" s="616" t="s">
        <v>1101</v>
      </c>
      <c r="F42" s="616"/>
      <c r="G42" s="616" t="s">
        <v>1101</v>
      </c>
      <c r="H42" s="609" t="str">
        <f>H40+F41</f>
        <v>6333.43</v>
      </c>
      <c r="I42" s="616">
        <v>410.546</v>
      </c>
      <c r="J42" s="616">
        <v>74.0</v>
      </c>
      <c r="K42" s="616" t="str">
        <f>F41+F43</f>
        <v>818</v>
      </c>
      <c r="L42" s="616" t="str">
        <f>K42/2</f>
        <v>409</v>
      </c>
      <c r="M42" s="616">
        <v>200.0</v>
      </c>
      <c r="N42" s="616">
        <v>210.0</v>
      </c>
      <c r="O42" s="616">
        <v>410.0</v>
      </c>
      <c r="P42" s="616">
        <v>204.0</v>
      </c>
      <c r="Q42" s="616">
        <v>206.0</v>
      </c>
      <c r="R42" s="616">
        <v>410.0</v>
      </c>
      <c r="S42" s="617" t="s">
        <v>1171</v>
      </c>
      <c r="T42" s="617" t="s">
        <v>1172</v>
      </c>
      <c r="U42" s="618">
        <v>522907.207</v>
      </c>
      <c r="V42" s="618">
        <v>2674699.153</v>
      </c>
      <c r="W42" s="619"/>
      <c r="X42" s="138" t="s">
        <v>1166</v>
      </c>
      <c r="Y42" s="138" t="s">
        <v>1159</v>
      </c>
      <c r="Z42" s="620" t="s">
        <v>31</v>
      </c>
      <c r="AA42" s="616"/>
      <c r="AB42" s="616"/>
      <c r="AC42" s="616"/>
      <c r="AD42" s="621"/>
    </row>
    <row r="43" ht="12.75" customHeight="1">
      <c r="A43" s="598"/>
      <c r="B43" s="616"/>
      <c r="C43" s="616"/>
      <c r="D43" s="616"/>
      <c r="E43" s="616"/>
      <c r="F43" s="616">
        <v>396.0</v>
      </c>
      <c r="G43" s="616"/>
      <c r="H43" s="600"/>
      <c r="I43" s="616"/>
      <c r="J43" s="616"/>
      <c r="K43" s="616"/>
      <c r="L43" s="616"/>
      <c r="M43" s="616"/>
      <c r="N43" s="616"/>
      <c r="O43" s="616"/>
      <c r="P43" s="616"/>
      <c r="Q43" s="616"/>
      <c r="R43" s="616"/>
      <c r="S43" s="617"/>
      <c r="T43" s="617"/>
      <c r="U43" s="618"/>
      <c r="V43" s="618"/>
      <c r="W43" s="619" t="s">
        <v>1173</v>
      </c>
      <c r="X43" s="606"/>
      <c r="Y43" s="606"/>
      <c r="Z43" s="620"/>
      <c r="AA43" s="616"/>
      <c r="AB43" s="616"/>
      <c r="AC43" s="616"/>
      <c r="AD43" s="621"/>
    </row>
    <row r="44" ht="24.75" customHeight="1">
      <c r="A44" s="608">
        <v>18.0</v>
      </c>
      <c r="B44" s="616" t="s">
        <v>1101</v>
      </c>
      <c r="C44" s="616" t="s">
        <v>40</v>
      </c>
      <c r="D44" s="616" t="s">
        <v>33</v>
      </c>
      <c r="E44" s="616" t="s">
        <v>1101</v>
      </c>
      <c r="F44" s="616"/>
      <c r="G44" s="616" t="s">
        <v>1101</v>
      </c>
      <c r="H44" s="609" t="str">
        <f>H42+F43</f>
        <v>6729.43</v>
      </c>
      <c r="I44" s="622">
        <v>409.91</v>
      </c>
      <c r="J44" s="616">
        <v>72.5</v>
      </c>
      <c r="K44" s="616" t="str">
        <f>F43+F45</f>
        <v>781</v>
      </c>
      <c r="L44" s="616" t="str">
        <f>K44/2</f>
        <v>390.5</v>
      </c>
      <c r="M44" s="616">
        <v>186.0</v>
      </c>
      <c r="N44" s="616">
        <v>194.0</v>
      </c>
      <c r="O44" s="616">
        <v>380.0</v>
      </c>
      <c r="P44" s="616">
        <v>190.0</v>
      </c>
      <c r="Q44" s="616">
        <v>194.0</v>
      </c>
      <c r="R44" s="616">
        <v>384.0</v>
      </c>
      <c r="S44" s="617" t="s">
        <v>1174</v>
      </c>
      <c r="T44" s="617" t="s">
        <v>1175</v>
      </c>
      <c r="U44" s="618">
        <v>523294.01</v>
      </c>
      <c r="V44" s="618">
        <v>2674614.31</v>
      </c>
      <c r="W44" s="619"/>
      <c r="X44" s="138" t="s">
        <v>1166</v>
      </c>
      <c r="Y44" s="138" t="s">
        <v>1159</v>
      </c>
      <c r="Z44" s="620" t="s">
        <v>31</v>
      </c>
      <c r="AA44" s="616"/>
      <c r="AB44" s="616"/>
      <c r="AC44" s="616"/>
      <c r="AD44" s="621"/>
    </row>
    <row r="45" ht="12.75" customHeight="1">
      <c r="A45" s="598"/>
      <c r="B45" s="616"/>
      <c r="C45" s="616"/>
      <c r="D45" s="616"/>
      <c r="E45" s="616"/>
      <c r="F45" s="616">
        <v>385.0</v>
      </c>
      <c r="G45" s="616"/>
      <c r="H45" s="600"/>
      <c r="I45" s="616"/>
      <c r="J45" s="616"/>
      <c r="K45" s="616"/>
      <c r="L45" s="616"/>
      <c r="M45" s="616"/>
      <c r="N45" s="616"/>
      <c r="O45" s="616"/>
      <c r="P45" s="616"/>
      <c r="Q45" s="616"/>
      <c r="R45" s="616"/>
      <c r="S45" s="617"/>
      <c r="T45" s="617"/>
      <c r="U45" s="618"/>
      <c r="V45" s="618"/>
      <c r="W45" s="619" t="s">
        <v>1176</v>
      </c>
      <c r="X45" s="606"/>
      <c r="Y45" s="606"/>
      <c r="Z45" s="620"/>
      <c r="AA45" s="616"/>
      <c r="AB45" s="616"/>
      <c r="AC45" s="616"/>
      <c r="AD45" s="621"/>
    </row>
    <row r="46" ht="24.75" customHeight="1">
      <c r="A46" s="608">
        <v>19.0</v>
      </c>
      <c r="B46" s="616" t="s">
        <v>1101</v>
      </c>
      <c r="C46" s="616" t="s">
        <v>41</v>
      </c>
      <c r="D46" s="616" t="s">
        <v>33</v>
      </c>
      <c r="E46" s="616" t="s">
        <v>1101</v>
      </c>
      <c r="F46" s="616"/>
      <c r="G46" s="616" t="s">
        <v>1101</v>
      </c>
      <c r="H46" s="609" t="str">
        <f>H44+F45</f>
        <v>7114.43</v>
      </c>
      <c r="I46" s="622">
        <v>409.514</v>
      </c>
      <c r="J46" s="616">
        <v>72.5</v>
      </c>
      <c r="K46" s="616" t="str">
        <f>F45+F47</f>
        <v>723</v>
      </c>
      <c r="L46" s="616" t="str">
        <f>K46/2</f>
        <v>361.5</v>
      </c>
      <c r="M46" s="616">
        <v>191.0</v>
      </c>
      <c r="N46" s="616">
        <v>188.0</v>
      </c>
      <c r="O46" s="616">
        <v>379.0</v>
      </c>
      <c r="P46" s="616">
        <v>191.0</v>
      </c>
      <c r="Q46" s="616">
        <v>182.0</v>
      </c>
      <c r="R46" s="616">
        <v>373.0</v>
      </c>
      <c r="S46" s="617" t="s">
        <v>1177</v>
      </c>
      <c r="T46" s="617" t="s">
        <v>1178</v>
      </c>
      <c r="U46" s="618">
        <v>523670.073</v>
      </c>
      <c r="V46" s="618">
        <v>2674531.831</v>
      </c>
      <c r="W46" s="619"/>
      <c r="X46" s="138" t="s">
        <v>1166</v>
      </c>
      <c r="Y46" s="138" t="s">
        <v>1159</v>
      </c>
      <c r="Z46" s="620" t="s">
        <v>31</v>
      </c>
      <c r="AA46" s="616"/>
      <c r="AB46" s="616"/>
      <c r="AC46" s="616"/>
      <c r="AD46" s="621"/>
    </row>
    <row r="47" ht="12.75" customHeight="1">
      <c r="A47" s="598"/>
      <c r="B47" s="616"/>
      <c r="C47" s="616"/>
      <c r="D47" s="616"/>
      <c r="E47" s="616"/>
      <c r="F47" s="616">
        <v>338.0</v>
      </c>
      <c r="G47" s="616"/>
      <c r="H47" s="600"/>
      <c r="I47" s="616"/>
      <c r="J47" s="616"/>
      <c r="K47" s="616"/>
      <c r="L47" s="616"/>
      <c r="M47" s="616"/>
      <c r="N47" s="616"/>
      <c r="O47" s="616"/>
      <c r="P47" s="616"/>
      <c r="Q47" s="616"/>
      <c r="R47" s="616"/>
      <c r="S47" s="617"/>
      <c r="T47" s="617"/>
      <c r="U47" s="618"/>
      <c r="V47" s="618"/>
      <c r="W47" s="619" t="s">
        <v>1179</v>
      </c>
      <c r="X47" s="606"/>
      <c r="Y47" s="606"/>
      <c r="Z47" s="620"/>
      <c r="AA47" s="616"/>
      <c r="AB47" s="616"/>
      <c r="AC47" s="616"/>
      <c r="AD47" s="621"/>
    </row>
    <row r="48" ht="24.75" customHeight="1">
      <c r="A48" s="608">
        <v>20.0</v>
      </c>
      <c r="B48" s="616" t="s">
        <v>1101</v>
      </c>
      <c r="C48" s="616" t="s">
        <v>42</v>
      </c>
      <c r="D48" s="616" t="s">
        <v>15</v>
      </c>
      <c r="E48" s="616" t="s">
        <v>1101</v>
      </c>
      <c r="F48" s="616"/>
      <c r="G48" s="616" t="s">
        <v>1101</v>
      </c>
      <c r="H48" s="609" t="str">
        <f>H46+F47</f>
        <v>7452.43</v>
      </c>
      <c r="I48" s="616">
        <v>409.625</v>
      </c>
      <c r="J48" s="616">
        <v>69.5</v>
      </c>
      <c r="K48" s="616" t="str">
        <f>F47+F49</f>
        <v>662</v>
      </c>
      <c r="L48" s="616" t="str">
        <f>K48/2</f>
        <v>331</v>
      </c>
      <c r="M48" s="616">
        <v>151.0</v>
      </c>
      <c r="N48" s="616">
        <v>146.0</v>
      </c>
      <c r="O48" s="616">
        <v>297.0</v>
      </c>
      <c r="P48" s="616">
        <v>157.0</v>
      </c>
      <c r="Q48" s="616">
        <v>152.0</v>
      </c>
      <c r="R48" s="616">
        <v>309.0</v>
      </c>
      <c r="S48" s="617" t="s">
        <v>1180</v>
      </c>
      <c r="T48" s="617" t="s">
        <v>1181</v>
      </c>
      <c r="U48" s="618">
        <v>524000.224</v>
      </c>
      <c r="V48" s="618">
        <v>2674459.418</v>
      </c>
      <c r="W48" s="619"/>
      <c r="X48" s="138" t="s">
        <v>1166</v>
      </c>
      <c r="Y48" s="138" t="s">
        <v>1159</v>
      </c>
      <c r="Z48" s="620" t="s">
        <v>31</v>
      </c>
      <c r="AA48" s="616"/>
      <c r="AB48" s="616"/>
      <c r="AC48" s="616"/>
      <c r="AD48" s="621"/>
    </row>
    <row r="49" ht="12.75" customHeight="1">
      <c r="A49" s="598"/>
      <c r="B49" s="616"/>
      <c r="C49" s="616"/>
      <c r="D49" s="616"/>
      <c r="E49" s="616"/>
      <c r="F49" s="616">
        <v>324.0</v>
      </c>
      <c r="G49" s="616"/>
      <c r="H49" s="600"/>
      <c r="I49" s="616"/>
      <c r="J49" s="616"/>
      <c r="K49" s="616"/>
      <c r="L49" s="616"/>
      <c r="M49" s="616"/>
      <c r="N49" s="616"/>
      <c r="O49" s="616"/>
      <c r="P49" s="616"/>
      <c r="Q49" s="616"/>
      <c r="R49" s="616"/>
      <c r="S49" s="617"/>
      <c r="T49" s="617"/>
      <c r="U49" s="618"/>
      <c r="V49" s="618"/>
      <c r="W49" s="619" t="s">
        <v>1182</v>
      </c>
      <c r="X49" s="606"/>
      <c r="Y49" s="606"/>
      <c r="Z49" s="620"/>
      <c r="AA49" s="616"/>
      <c r="AB49" s="616"/>
      <c r="AC49" s="616"/>
      <c r="AD49" s="621"/>
    </row>
    <row r="50" ht="24.75" customHeight="1">
      <c r="A50" s="608">
        <v>21.0</v>
      </c>
      <c r="B50" s="616" t="s">
        <v>1183</v>
      </c>
      <c r="C50" s="616" t="s">
        <v>43</v>
      </c>
      <c r="D50" s="616" t="s">
        <v>36</v>
      </c>
      <c r="E50" s="616" t="s">
        <v>1184</v>
      </c>
      <c r="F50" s="616"/>
      <c r="G50" s="616" t="str">
        <f>SUM(F35:F49)</f>
        <v>3009</v>
      </c>
      <c r="H50" s="609" t="str">
        <f>H48+F49</f>
        <v>7776.43</v>
      </c>
      <c r="I50" s="616">
        <v>408.99</v>
      </c>
      <c r="J50" s="138">
        <v>70.72</v>
      </c>
      <c r="K50" s="616" t="str">
        <f>F49+F51</f>
        <v>704</v>
      </c>
      <c r="L50" s="616" t="str">
        <f>K50/2</f>
        <v>352</v>
      </c>
      <c r="M50" s="616">
        <v>178.0</v>
      </c>
      <c r="N50" s="616">
        <v>203.0</v>
      </c>
      <c r="O50" s="616">
        <v>381.0</v>
      </c>
      <c r="P50" s="616">
        <v>173.0</v>
      </c>
      <c r="Q50" s="616">
        <v>199.0</v>
      </c>
      <c r="R50" s="616">
        <v>372.0</v>
      </c>
      <c r="S50" s="617" t="s">
        <v>1185</v>
      </c>
      <c r="T50" s="617" t="s">
        <v>1186</v>
      </c>
      <c r="U50" s="618">
        <v>524316.58</v>
      </c>
      <c r="V50" s="618">
        <v>2674390.03</v>
      </c>
      <c r="W50" s="619"/>
      <c r="X50" s="138" t="s">
        <v>1166</v>
      </c>
      <c r="Y50" s="138" t="s">
        <v>1159</v>
      </c>
      <c r="Z50" s="620" t="s">
        <v>31</v>
      </c>
      <c r="AA50" s="616"/>
      <c r="AB50" s="616"/>
      <c r="AC50" s="616"/>
      <c r="AD50" s="621"/>
    </row>
    <row r="51" ht="24.75" customHeight="1">
      <c r="A51" s="598"/>
      <c r="B51" s="616"/>
      <c r="C51" s="616"/>
      <c r="D51" s="616"/>
      <c r="E51" s="616"/>
      <c r="F51" s="616">
        <v>380.0</v>
      </c>
      <c r="G51" s="616"/>
      <c r="H51" s="600"/>
      <c r="I51" s="616"/>
      <c r="J51" s="616"/>
      <c r="K51" s="616"/>
      <c r="L51" s="616"/>
      <c r="M51" s="616"/>
      <c r="N51" s="616"/>
      <c r="O51" s="616"/>
      <c r="P51" s="616"/>
      <c r="Q51" s="616"/>
      <c r="R51" s="616"/>
      <c r="S51" s="617"/>
      <c r="T51" s="617"/>
      <c r="U51" s="618"/>
      <c r="V51" s="618"/>
      <c r="W51" s="619" t="s">
        <v>1187</v>
      </c>
      <c r="X51" s="606"/>
      <c r="Y51" s="606"/>
      <c r="Z51" s="620"/>
      <c r="AA51" s="616"/>
      <c r="AB51" s="616"/>
      <c r="AC51" s="616"/>
      <c r="AD51" s="621"/>
    </row>
    <row r="52" ht="24.75" customHeight="1">
      <c r="A52" s="608">
        <v>22.0</v>
      </c>
      <c r="B52" s="616" t="s">
        <v>1101</v>
      </c>
      <c r="C52" s="616" t="s">
        <v>44</v>
      </c>
      <c r="D52" s="616" t="s">
        <v>11</v>
      </c>
      <c r="E52" s="616" t="s">
        <v>1101</v>
      </c>
      <c r="F52" s="616"/>
      <c r="G52" s="616" t="s">
        <v>1101</v>
      </c>
      <c r="H52" s="609" t="str">
        <f>H50+F51</f>
        <v>8156.43</v>
      </c>
      <c r="I52" s="616">
        <v>408.326</v>
      </c>
      <c r="J52" s="616">
        <v>71.0</v>
      </c>
      <c r="K52" s="616" t="str">
        <f>F51+F53</f>
        <v>754</v>
      </c>
      <c r="L52" s="616" t="str">
        <f>K52/2</f>
        <v>377</v>
      </c>
      <c r="M52" s="616">
        <v>178.0</v>
      </c>
      <c r="N52" s="616">
        <v>161.0</v>
      </c>
      <c r="O52" s="616">
        <v>339.0</v>
      </c>
      <c r="P52" s="616">
        <v>182.0</v>
      </c>
      <c r="Q52" s="616">
        <v>169.0</v>
      </c>
      <c r="R52" s="616">
        <v>351.0</v>
      </c>
      <c r="S52" s="617" t="s">
        <v>1188</v>
      </c>
      <c r="T52" s="617" t="s">
        <v>1189</v>
      </c>
      <c r="U52" s="618">
        <v>524602.224</v>
      </c>
      <c r="V52" s="618">
        <v>2674139.416</v>
      </c>
      <c r="W52" s="619"/>
      <c r="X52" s="138" t="s">
        <v>1166</v>
      </c>
      <c r="Y52" s="138" t="s">
        <v>1159</v>
      </c>
      <c r="Z52" s="620" t="s">
        <v>31</v>
      </c>
      <c r="AA52" s="616"/>
      <c r="AB52" s="616"/>
      <c r="AC52" s="616"/>
      <c r="AD52" s="621"/>
    </row>
    <row r="53" ht="12.75" customHeight="1">
      <c r="A53" s="598"/>
      <c r="B53" s="616"/>
      <c r="C53" s="616"/>
      <c r="D53" s="616"/>
      <c r="E53" s="616"/>
      <c r="F53" s="616">
        <v>374.0</v>
      </c>
      <c r="G53" s="616"/>
      <c r="H53" s="600"/>
      <c r="I53" s="616"/>
      <c r="J53" s="616"/>
      <c r="K53" s="616"/>
      <c r="L53" s="616"/>
      <c r="M53" s="616"/>
      <c r="N53" s="616"/>
      <c r="O53" s="616"/>
      <c r="P53" s="616"/>
      <c r="Q53" s="616"/>
      <c r="R53" s="616"/>
      <c r="S53" s="617"/>
      <c r="T53" s="617"/>
      <c r="U53" s="618"/>
      <c r="V53" s="618"/>
      <c r="W53" s="619" t="s">
        <v>1190</v>
      </c>
      <c r="X53" s="606"/>
      <c r="Y53" s="606"/>
      <c r="Z53" s="620"/>
      <c r="AA53" s="616"/>
      <c r="AB53" s="616"/>
      <c r="AC53" s="616"/>
      <c r="AD53" s="621"/>
    </row>
    <row r="54" ht="24.75" customHeight="1">
      <c r="A54" s="608">
        <v>23.0</v>
      </c>
      <c r="B54" s="616" t="s">
        <v>1101</v>
      </c>
      <c r="C54" s="616" t="s">
        <v>45</v>
      </c>
      <c r="D54" s="616" t="s">
        <v>35</v>
      </c>
      <c r="E54" s="616" t="s">
        <v>1101</v>
      </c>
      <c r="F54" s="616"/>
      <c r="G54" s="616" t="s">
        <v>1101</v>
      </c>
      <c r="H54" s="609" t="str">
        <f>H52+F53</f>
        <v>8530.43</v>
      </c>
      <c r="I54" s="616">
        <v>409.895</v>
      </c>
      <c r="J54" s="616">
        <v>74.0</v>
      </c>
      <c r="K54" s="616" t="str">
        <f>F53+F55</f>
        <v>789</v>
      </c>
      <c r="L54" s="616" t="str">
        <f>K54/2</f>
        <v>394.5</v>
      </c>
      <c r="M54" s="616">
        <v>213.0</v>
      </c>
      <c r="N54" s="616">
        <v>196.0</v>
      </c>
      <c r="O54" s="616">
        <v>409.0</v>
      </c>
      <c r="P54" s="616">
        <v>205.0</v>
      </c>
      <c r="Q54" s="616">
        <v>200.0</v>
      </c>
      <c r="R54" s="616">
        <v>405.0</v>
      </c>
      <c r="S54" s="617" t="s">
        <v>1191</v>
      </c>
      <c r="T54" s="617" t="s">
        <v>1192</v>
      </c>
      <c r="U54" s="618">
        <v>524883.36</v>
      </c>
      <c r="V54" s="618">
        <v>2673892.76</v>
      </c>
      <c r="W54" s="619"/>
      <c r="X54" s="138" t="s">
        <v>1166</v>
      </c>
      <c r="Y54" s="138" t="s">
        <v>1159</v>
      </c>
      <c r="Z54" s="620" t="s">
        <v>31</v>
      </c>
      <c r="AA54" s="616"/>
      <c r="AB54" s="616"/>
      <c r="AC54" s="616"/>
      <c r="AD54" s="621"/>
    </row>
    <row r="55" ht="24.75" customHeight="1">
      <c r="A55" s="598"/>
      <c r="B55" s="616"/>
      <c r="C55" s="616"/>
      <c r="D55" s="616"/>
      <c r="E55" s="616"/>
      <c r="F55" s="616">
        <v>415.0</v>
      </c>
      <c r="G55" s="616"/>
      <c r="H55" s="600"/>
      <c r="I55" s="616"/>
      <c r="J55" s="616"/>
      <c r="K55" s="616"/>
      <c r="L55" s="616"/>
      <c r="M55" s="616"/>
      <c r="N55" s="616"/>
      <c r="O55" s="616"/>
      <c r="P55" s="616"/>
      <c r="Q55" s="616"/>
      <c r="R55" s="616"/>
      <c r="S55" s="617"/>
      <c r="T55" s="617"/>
      <c r="U55" s="618"/>
      <c r="V55" s="618"/>
      <c r="W55" s="619" t="s">
        <v>1193</v>
      </c>
      <c r="X55" s="606"/>
      <c r="Y55" s="606"/>
      <c r="Z55" s="620"/>
      <c r="AA55" s="616"/>
      <c r="AB55" s="616"/>
      <c r="AC55" s="616"/>
      <c r="AD55" s="621"/>
    </row>
    <row r="56" ht="24.75" customHeight="1">
      <c r="A56" s="608">
        <v>24.0</v>
      </c>
      <c r="B56" s="616" t="s">
        <v>1101</v>
      </c>
      <c r="C56" s="616" t="s">
        <v>46</v>
      </c>
      <c r="D56" s="616" t="s">
        <v>35</v>
      </c>
      <c r="E56" s="616" t="s">
        <v>1101</v>
      </c>
      <c r="F56" s="616"/>
      <c r="G56" s="616" t="s">
        <v>1101</v>
      </c>
      <c r="H56" s="609" t="str">
        <f>H54+F55</f>
        <v>8945.43</v>
      </c>
      <c r="I56" s="616">
        <v>412.132</v>
      </c>
      <c r="J56" s="616">
        <v>74.0</v>
      </c>
      <c r="K56" s="616" t="str">
        <f>F55+F57</f>
        <v>801</v>
      </c>
      <c r="L56" s="616" t="str">
        <f>K56/2</f>
        <v>400.5</v>
      </c>
      <c r="M56" s="616">
        <v>219.0</v>
      </c>
      <c r="N56" s="616">
        <v>192.0</v>
      </c>
      <c r="O56" s="616">
        <v>411.0</v>
      </c>
      <c r="P56" s="616">
        <v>215.0</v>
      </c>
      <c r="Q56" s="616">
        <v>192.0</v>
      </c>
      <c r="R56" s="616">
        <v>407.0</v>
      </c>
      <c r="S56" s="617" t="s">
        <v>1194</v>
      </c>
      <c r="T56" s="617" t="s">
        <v>1195</v>
      </c>
      <c r="U56" s="618">
        <v>525195.313</v>
      </c>
      <c r="V56" s="618">
        <v>2673619.063</v>
      </c>
      <c r="W56" s="619"/>
      <c r="X56" s="138" t="s">
        <v>1166</v>
      </c>
      <c r="Y56" s="138" t="s">
        <v>1159</v>
      </c>
      <c r="Z56" s="620" t="s">
        <v>31</v>
      </c>
      <c r="AA56" s="616"/>
      <c r="AB56" s="616"/>
      <c r="AC56" s="616"/>
      <c r="AD56" s="621"/>
    </row>
    <row r="57" ht="12.75" customHeight="1">
      <c r="A57" s="598"/>
      <c r="B57" s="616"/>
      <c r="C57" s="616"/>
      <c r="D57" s="616"/>
      <c r="E57" s="616"/>
      <c r="F57" s="616">
        <v>386.0</v>
      </c>
      <c r="G57" s="616"/>
      <c r="H57" s="600"/>
      <c r="I57" s="616"/>
      <c r="J57" s="616"/>
      <c r="K57" s="616"/>
      <c r="L57" s="616"/>
      <c r="M57" s="616"/>
      <c r="N57" s="616"/>
      <c r="O57" s="616"/>
      <c r="P57" s="616"/>
      <c r="Q57" s="616"/>
      <c r="R57" s="616"/>
      <c r="S57" s="617"/>
      <c r="T57" s="617"/>
      <c r="U57" s="618"/>
      <c r="V57" s="618"/>
      <c r="W57" s="619" t="s">
        <v>1196</v>
      </c>
      <c r="X57" s="606"/>
      <c r="Y57" s="606"/>
      <c r="Z57" s="620"/>
      <c r="AA57" s="616"/>
      <c r="AB57" s="616"/>
      <c r="AC57" s="616"/>
      <c r="AD57" s="621"/>
    </row>
    <row r="58" ht="24.75" customHeight="1">
      <c r="A58" s="608">
        <v>25.0</v>
      </c>
      <c r="B58" s="616" t="s">
        <v>1197</v>
      </c>
      <c r="C58" s="616" t="s">
        <v>47</v>
      </c>
      <c r="D58" s="616" t="s">
        <v>36</v>
      </c>
      <c r="E58" s="616" t="s">
        <v>1198</v>
      </c>
      <c r="F58" s="616"/>
      <c r="G58" s="616" t="str">
        <f>SUM(F51:F57)</f>
        <v>1555</v>
      </c>
      <c r="H58" s="609" t="str">
        <f>H56+F57</f>
        <v>9331.43</v>
      </c>
      <c r="I58" s="616">
        <v>413.89</v>
      </c>
      <c r="J58" s="138">
        <v>70.72</v>
      </c>
      <c r="K58" s="616" t="str">
        <f>F57+F59</f>
        <v>738</v>
      </c>
      <c r="L58" s="616" t="str">
        <f>K58/2</f>
        <v>369</v>
      </c>
      <c r="M58" s="616"/>
      <c r="N58" s="616">
        <v>178.0</v>
      </c>
      <c r="O58" s="616">
        <v>178.0</v>
      </c>
      <c r="P58" s="616"/>
      <c r="Q58" s="616">
        <v>179.0</v>
      </c>
      <c r="R58" s="616">
        <v>179.0</v>
      </c>
      <c r="S58" s="617" t="s">
        <v>1199</v>
      </c>
      <c r="T58" s="617" t="s">
        <v>1200</v>
      </c>
      <c r="U58" s="618">
        <v>525485.462</v>
      </c>
      <c r="V58" s="618">
        <v>2673364.497</v>
      </c>
      <c r="W58" s="619"/>
      <c r="X58" s="138" t="s">
        <v>1201</v>
      </c>
      <c r="Y58" s="138" t="s">
        <v>1159</v>
      </c>
      <c r="Z58" s="620" t="s">
        <v>31</v>
      </c>
      <c r="AA58" s="616"/>
      <c r="AB58" s="616"/>
      <c r="AC58" s="616"/>
      <c r="AD58" s="621"/>
    </row>
    <row r="59" ht="24.75" customHeight="1">
      <c r="A59" s="598"/>
      <c r="B59" s="616"/>
      <c r="C59" s="616"/>
      <c r="D59" s="616"/>
      <c r="E59" s="616"/>
      <c r="F59" s="616">
        <v>352.0</v>
      </c>
      <c r="G59" s="616"/>
      <c r="H59" s="600"/>
      <c r="I59" s="616"/>
      <c r="J59" s="616"/>
      <c r="K59" s="616"/>
      <c r="L59" s="616"/>
      <c r="M59" s="616"/>
      <c r="N59" s="616"/>
      <c r="O59" s="616"/>
      <c r="P59" s="616"/>
      <c r="Q59" s="616"/>
      <c r="R59" s="616"/>
      <c r="S59" s="616"/>
      <c r="T59" s="616"/>
      <c r="U59" s="616"/>
      <c r="V59" s="616"/>
      <c r="W59" s="616" t="s">
        <v>1202</v>
      </c>
      <c r="X59" s="606"/>
      <c r="Y59" s="606"/>
      <c r="Z59" s="620"/>
      <c r="AA59" s="616"/>
      <c r="AB59" s="616"/>
      <c r="AC59" s="616"/>
      <c r="AD59" s="621"/>
    </row>
    <row r="60" ht="24.75" customHeight="1">
      <c r="A60" s="608">
        <v>26.0</v>
      </c>
      <c r="B60" s="616" t="s">
        <v>1101</v>
      </c>
      <c r="C60" s="616" t="s">
        <v>48</v>
      </c>
      <c r="D60" s="616" t="s">
        <v>33</v>
      </c>
      <c r="E60" s="616" t="s">
        <v>1101</v>
      </c>
      <c r="F60" s="616"/>
      <c r="G60" s="616"/>
      <c r="H60" s="609" t="str">
        <f>H58+F59</f>
        <v>9683.43</v>
      </c>
      <c r="I60" s="622">
        <v>413.39</v>
      </c>
      <c r="J60" s="616">
        <v>72.5</v>
      </c>
      <c r="K60" s="616" t="str">
        <f>F59+F61</f>
        <v>744</v>
      </c>
      <c r="L60" s="616" t="str">
        <f>K60/2</f>
        <v>372</v>
      </c>
      <c r="M60" s="616">
        <v>174.0</v>
      </c>
      <c r="N60" s="616">
        <v>200.0</v>
      </c>
      <c r="O60" s="616">
        <v>374.0</v>
      </c>
      <c r="P60" s="616">
        <v>173.0</v>
      </c>
      <c r="Q60" s="616">
        <v>202.0</v>
      </c>
      <c r="R60" s="616">
        <v>375.0</v>
      </c>
      <c r="S60" s="616" t="s">
        <v>1203</v>
      </c>
      <c r="T60" s="616" t="s">
        <v>1204</v>
      </c>
      <c r="U60" s="616">
        <v>525817.81</v>
      </c>
      <c r="V60" s="616">
        <v>2673248.52</v>
      </c>
      <c r="W60" s="616"/>
      <c r="X60" s="138" t="s">
        <v>1201</v>
      </c>
      <c r="Y60" s="138" t="s">
        <v>1159</v>
      </c>
      <c r="Z60" s="620" t="s">
        <v>31</v>
      </c>
      <c r="AA60" s="616"/>
      <c r="AB60" s="616"/>
      <c r="AC60" s="616"/>
      <c r="AD60" s="621"/>
    </row>
    <row r="61" ht="24.75" customHeight="1">
      <c r="A61" s="598"/>
      <c r="B61" s="616"/>
      <c r="C61" s="616"/>
      <c r="D61" s="616"/>
      <c r="E61" s="616"/>
      <c r="F61" s="616">
        <v>392.0</v>
      </c>
      <c r="G61" s="616"/>
      <c r="H61" s="600"/>
      <c r="I61" s="616"/>
      <c r="J61" s="616"/>
      <c r="K61" s="616"/>
      <c r="L61" s="616"/>
      <c r="M61" s="616"/>
      <c r="N61" s="616"/>
      <c r="O61" s="616"/>
      <c r="P61" s="616"/>
      <c r="Q61" s="616"/>
      <c r="R61" s="616"/>
      <c r="S61" s="616"/>
      <c r="T61" s="616"/>
      <c r="U61" s="616"/>
      <c r="V61" s="616"/>
      <c r="W61" s="616" t="s">
        <v>1205</v>
      </c>
      <c r="X61" s="606"/>
      <c r="Y61" s="606"/>
      <c r="Z61" s="620"/>
      <c r="AA61" s="616"/>
      <c r="AB61" s="616"/>
      <c r="AC61" s="616"/>
      <c r="AD61" s="621"/>
    </row>
    <row r="62" ht="24.75" customHeight="1">
      <c r="A62" s="608">
        <v>27.0</v>
      </c>
      <c r="B62" s="616" t="s">
        <v>1101</v>
      </c>
      <c r="C62" s="616" t="s">
        <v>49</v>
      </c>
      <c r="D62" s="616" t="s">
        <v>33</v>
      </c>
      <c r="E62" s="616" t="s">
        <v>1101</v>
      </c>
      <c r="F62" s="616"/>
      <c r="G62" s="616"/>
      <c r="H62" s="609" t="str">
        <f>H60+F61</f>
        <v>10075.43</v>
      </c>
      <c r="I62" s="622">
        <v>412.24</v>
      </c>
      <c r="J62" s="616">
        <v>72.5</v>
      </c>
      <c r="K62" s="616" t="str">
        <f>F61+F63</f>
        <v>773</v>
      </c>
      <c r="L62" s="616" t="str">
        <f>K62/2</f>
        <v>386.5</v>
      </c>
      <c r="M62" s="616">
        <v>192.0</v>
      </c>
      <c r="N62" s="616">
        <v>195.0</v>
      </c>
      <c r="O62" s="616">
        <v>387.0</v>
      </c>
      <c r="P62" s="616">
        <v>190.0</v>
      </c>
      <c r="Q62" s="616">
        <v>198.0</v>
      </c>
      <c r="R62" s="616">
        <v>388.0</v>
      </c>
      <c r="S62" s="616" t="s">
        <v>1206</v>
      </c>
      <c r="T62" s="616" t="s">
        <v>1207</v>
      </c>
      <c r="U62" s="616">
        <v>526187.92</v>
      </c>
      <c r="V62" s="616">
        <v>2673119.37</v>
      </c>
      <c r="W62" s="616"/>
      <c r="X62" s="138" t="s">
        <v>1201</v>
      </c>
      <c r="Y62" s="138" t="s">
        <v>1159</v>
      </c>
      <c r="Z62" s="620" t="s">
        <v>31</v>
      </c>
      <c r="AA62" s="616"/>
      <c r="AB62" s="616"/>
      <c r="AC62" s="616"/>
      <c r="AD62" s="621"/>
    </row>
    <row r="63" ht="24.75" customHeight="1">
      <c r="A63" s="598"/>
      <c r="B63" s="616"/>
      <c r="C63" s="616"/>
      <c r="D63" s="616"/>
      <c r="E63" s="616"/>
      <c r="F63" s="616">
        <v>381.0</v>
      </c>
      <c r="G63" s="616"/>
      <c r="H63" s="600"/>
      <c r="I63" s="616"/>
      <c r="J63" s="616"/>
      <c r="K63" s="616"/>
      <c r="L63" s="616"/>
      <c r="M63" s="616"/>
      <c r="N63" s="616"/>
      <c r="O63" s="616"/>
      <c r="P63" s="616"/>
      <c r="Q63" s="616"/>
      <c r="R63" s="616"/>
      <c r="S63" s="616"/>
      <c r="T63" s="616"/>
      <c r="U63" s="616"/>
      <c r="V63" s="616"/>
      <c r="W63" s="616" t="s">
        <v>1208</v>
      </c>
      <c r="X63" s="606"/>
      <c r="Y63" s="606"/>
      <c r="Z63" s="620"/>
      <c r="AA63" s="616"/>
      <c r="AB63" s="616"/>
      <c r="AC63" s="616"/>
      <c r="AD63" s="621"/>
    </row>
    <row r="64" ht="24.75" customHeight="1">
      <c r="A64" s="608">
        <v>28.0</v>
      </c>
      <c r="B64" s="616" t="s">
        <v>1101</v>
      </c>
      <c r="C64" s="616" t="s">
        <v>50</v>
      </c>
      <c r="D64" s="616" t="s">
        <v>33</v>
      </c>
      <c r="E64" s="616" t="s">
        <v>1101</v>
      </c>
      <c r="F64" s="616"/>
      <c r="G64" s="616"/>
      <c r="H64" s="609" t="str">
        <f>H62+F63</f>
        <v>10456.43</v>
      </c>
      <c r="I64" s="622">
        <v>410.96</v>
      </c>
      <c r="J64" s="616">
        <v>72.5</v>
      </c>
      <c r="K64" s="616" t="str">
        <f>F63+F65</f>
        <v>771</v>
      </c>
      <c r="L64" s="616" t="str">
        <f>K64/2</f>
        <v>385.5</v>
      </c>
      <c r="M64" s="616">
        <v>186.0</v>
      </c>
      <c r="N64" s="616">
        <v>190.0</v>
      </c>
      <c r="O64" s="616">
        <v>376.0</v>
      </c>
      <c r="P64" s="616">
        <v>183.0</v>
      </c>
      <c r="Q64" s="616">
        <v>187.0</v>
      </c>
      <c r="R64" s="616">
        <v>370.0</v>
      </c>
      <c r="S64" s="616" t="s">
        <v>1209</v>
      </c>
      <c r="T64" s="616" t="s">
        <v>1210</v>
      </c>
      <c r="U64" s="616">
        <v>526547.65</v>
      </c>
      <c r="V64" s="616">
        <v>2672993.84</v>
      </c>
      <c r="W64" s="616"/>
      <c r="X64" s="138" t="s">
        <v>1201</v>
      </c>
      <c r="Y64" s="138" t="s">
        <v>1159</v>
      </c>
      <c r="Z64" s="620" t="s">
        <v>31</v>
      </c>
      <c r="AA64" s="616"/>
      <c r="AB64" s="616"/>
      <c r="AC64" s="616"/>
      <c r="AD64" s="621"/>
    </row>
    <row r="65" ht="24.75" customHeight="1">
      <c r="A65" s="598"/>
      <c r="B65" s="616"/>
      <c r="C65" s="616"/>
      <c r="D65" s="616"/>
      <c r="E65" s="616"/>
      <c r="F65" s="616">
        <v>390.0</v>
      </c>
      <c r="G65" s="616"/>
      <c r="H65" s="600"/>
      <c r="I65" s="616"/>
      <c r="J65" s="616"/>
      <c r="K65" s="616"/>
      <c r="L65" s="616"/>
      <c r="M65" s="616"/>
      <c r="N65" s="616"/>
      <c r="O65" s="616"/>
      <c r="P65" s="616"/>
      <c r="Q65" s="616"/>
      <c r="R65" s="616"/>
      <c r="S65" s="616"/>
      <c r="T65" s="616"/>
      <c r="U65" s="616"/>
      <c r="V65" s="616"/>
      <c r="W65" s="616" t="s">
        <v>1211</v>
      </c>
      <c r="X65" s="606"/>
      <c r="Y65" s="606"/>
      <c r="Z65" s="620"/>
      <c r="AA65" s="616"/>
      <c r="AB65" s="616"/>
      <c r="AC65" s="616"/>
      <c r="AD65" s="621"/>
    </row>
    <row r="66" ht="24.75" customHeight="1">
      <c r="A66" s="608">
        <v>29.0</v>
      </c>
      <c r="B66" s="616" t="s">
        <v>1101</v>
      </c>
      <c r="C66" s="616" t="s">
        <v>52</v>
      </c>
      <c r="D66" s="616" t="s">
        <v>33</v>
      </c>
      <c r="E66" s="616" t="s">
        <v>1101</v>
      </c>
      <c r="F66" s="616"/>
      <c r="G66" s="616"/>
      <c r="H66" s="609" t="str">
        <f>H64+F65</f>
        <v>10846.43</v>
      </c>
      <c r="I66" s="622">
        <v>412.34</v>
      </c>
      <c r="J66" s="616">
        <v>72.5</v>
      </c>
      <c r="K66" s="616" t="str">
        <f>F65+F67</f>
        <v>781</v>
      </c>
      <c r="L66" s="616" t="str">
        <f>K66/2</f>
        <v>390.5</v>
      </c>
      <c r="M66" s="616">
        <v>200.0</v>
      </c>
      <c r="N66" s="616">
        <v>188.0</v>
      </c>
      <c r="O66" s="616">
        <v>388.0</v>
      </c>
      <c r="P66" s="616">
        <v>203.0</v>
      </c>
      <c r="Q66" s="616">
        <v>185.0</v>
      </c>
      <c r="R66" s="616">
        <v>388.0</v>
      </c>
      <c r="S66" s="616" t="s">
        <v>1212</v>
      </c>
      <c r="T66" s="616" t="s">
        <v>1213</v>
      </c>
      <c r="U66" s="616">
        <v>526915.87</v>
      </c>
      <c r="V66" s="616">
        <v>2672865.34</v>
      </c>
      <c r="W66" s="616"/>
      <c r="X66" s="138" t="s">
        <v>1201</v>
      </c>
      <c r="Y66" s="138" t="s">
        <v>1159</v>
      </c>
      <c r="Z66" s="620" t="s">
        <v>31</v>
      </c>
      <c r="AA66" s="616"/>
      <c r="AB66" s="616"/>
      <c r="AC66" s="616"/>
      <c r="AD66" s="621"/>
    </row>
    <row r="67" ht="24.75" customHeight="1">
      <c r="A67" s="598"/>
      <c r="B67" s="616"/>
      <c r="C67" s="616"/>
      <c r="D67" s="616"/>
      <c r="E67" s="616"/>
      <c r="F67" s="616">
        <v>391.0</v>
      </c>
      <c r="G67" s="616"/>
      <c r="H67" s="600"/>
      <c r="I67" s="616"/>
      <c r="J67" s="616"/>
      <c r="K67" s="616"/>
      <c r="L67" s="616"/>
      <c r="M67" s="616"/>
      <c r="N67" s="616"/>
      <c r="O67" s="616"/>
      <c r="P67" s="616"/>
      <c r="Q67" s="616"/>
      <c r="R67" s="616"/>
      <c r="S67" s="616"/>
      <c r="T67" s="616"/>
      <c r="U67" s="616"/>
      <c r="V67" s="616"/>
      <c r="W67" s="616" t="s">
        <v>1214</v>
      </c>
      <c r="X67" s="606"/>
      <c r="Y67" s="606"/>
      <c r="Z67" s="620"/>
      <c r="AA67" s="616"/>
      <c r="AB67" s="616"/>
      <c r="AC67" s="616"/>
      <c r="AD67" s="621"/>
    </row>
    <row r="68" ht="24.75" customHeight="1">
      <c r="A68" s="608">
        <v>30.0</v>
      </c>
      <c r="B68" s="616" t="s">
        <v>1215</v>
      </c>
      <c r="C68" s="616" t="s">
        <v>53</v>
      </c>
      <c r="D68" s="616" t="s">
        <v>16</v>
      </c>
      <c r="E68" s="616" t="s">
        <v>1216</v>
      </c>
      <c r="F68" s="616"/>
      <c r="G68" s="616" t="str">
        <f>SUM(F59:F67)</f>
        <v>1906</v>
      </c>
      <c r="H68" s="609" t="str">
        <f>H66+F67</f>
        <v>11237.43</v>
      </c>
      <c r="I68" s="616">
        <v>414.33</v>
      </c>
      <c r="J68" s="138">
        <v>70.72</v>
      </c>
      <c r="K68" s="616" t="str">
        <f>F67+F69</f>
        <v>722</v>
      </c>
      <c r="L68" s="616" t="str">
        <f>K68/2</f>
        <v>361</v>
      </c>
      <c r="M68" s="616">
        <v>203.0</v>
      </c>
      <c r="N68" s="616">
        <v>155.0</v>
      </c>
      <c r="O68" s="616">
        <v>358.0</v>
      </c>
      <c r="P68" s="616">
        <v>206.0</v>
      </c>
      <c r="Q68" s="616">
        <v>150.0</v>
      </c>
      <c r="R68" s="616">
        <v>356.0</v>
      </c>
      <c r="S68" s="616" t="s">
        <v>1217</v>
      </c>
      <c r="T68" s="616" t="s">
        <v>1218</v>
      </c>
      <c r="U68" s="616">
        <v>527284.94</v>
      </c>
      <c r="V68" s="616">
        <v>2672736.55</v>
      </c>
      <c r="W68" s="616"/>
      <c r="X68" s="138" t="s">
        <v>1201</v>
      </c>
      <c r="Y68" s="138" t="s">
        <v>1159</v>
      </c>
      <c r="Z68" s="620" t="s">
        <v>31</v>
      </c>
      <c r="AA68" s="616"/>
      <c r="AB68" s="616"/>
      <c r="AC68" s="616"/>
      <c r="AD68" s="621"/>
    </row>
    <row r="69" ht="24.75" customHeight="1">
      <c r="A69" s="598"/>
      <c r="B69" s="616"/>
      <c r="C69" s="616"/>
      <c r="D69" s="616"/>
      <c r="E69" s="616"/>
      <c r="F69" s="616">
        <v>331.0</v>
      </c>
      <c r="G69" s="616"/>
      <c r="H69" s="600"/>
      <c r="I69" s="616"/>
      <c r="J69" s="616"/>
      <c r="K69" s="616"/>
      <c r="L69" s="616"/>
      <c r="M69" s="616"/>
      <c r="N69" s="616"/>
      <c r="O69" s="616"/>
      <c r="P69" s="616"/>
      <c r="Q69" s="616"/>
      <c r="R69" s="616"/>
      <c r="S69" s="616"/>
      <c r="T69" s="616"/>
      <c r="U69" s="616"/>
      <c r="V69" s="616"/>
      <c r="W69" s="616" t="s">
        <v>1219</v>
      </c>
      <c r="X69" s="606"/>
      <c r="Y69" s="606"/>
      <c r="Z69" s="620"/>
      <c r="AA69" s="616"/>
      <c r="AB69" s="616"/>
      <c r="AC69" s="616"/>
      <c r="AD69" s="621"/>
    </row>
    <row r="70" ht="24.75" customHeight="1">
      <c r="A70" s="608">
        <v>31.0</v>
      </c>
      <c r="B70" s="616" t="s">
        <v>1101</v>
      </c>
      <c r="C70" s="616" t="s">
        <v>54</v>
      </c>
      <c r="D70" s="616" t="s">
        <v>33</v>
      </c>
      <c r="E70" s="616" t="s">
        <v>1101</v>
      </c>
      <c r="F70" s="616"/>
      <c r="G70" s="616"/>
      <c r="H70" s="609" t="str">
        <f>H68+F69</f>
        <v>11568.43</v>
      </c>
      <c r="I70" s="622">
        <v>416.74</v>
      </c>
      <c r="J70" s="616">
        <v>72.5</v>
      </c>
      <c r="K70" s="616" t="str">
        <f>F69+F71</f>
        <v>735</v>
      </c>
      <c r="L70" s="616" t="str">
        <f>K70/2</f>
        <v>367.5</v>
      </c>
      <c r="M70" s="616">
        <v>176.0</v>
      </c>
      <c r="N70" s="616">
        <v>177.0</v>
      </c>
      <c r="O70" s="616">
        <v>353.0</v>
      </c>
      <c r="P70" s="616">
        <v>181.0</v>
      </c>
      <c r="Q70" s="616">
        <v>165.0</v>
      </c>
      <c r="R70" s="616">
        <v>346.0</v>
      </c>
      <c r="S70" s="616" t="s">
        <v>1220</v>
      </c>
      <c r="T70" s="616" t="s">
        <v>1221</v>
      </c>
      <c r="U70" s="616">
        <v>527593.44</v>
      </c>
      <c r="V70" s="616">
        <v>2672616.6</v>
      </c>
      <c r="W70" s="616"/>
      <c r="X70" s="138" t="s">
        <v>1201</v>
      </c>
      <c r="Y70" s="138" t="s">
        <v>1159</v>
      </c>
      <c r="Z70" s="620" t="s">
        <v>31</v>
      </c>
      <c r="AA70" s="616"/>
      <c r="AB70" s="616"/>
      <c r="AC70" s="616"/>
      <c r="AD70" s="621"/>
    </row>
    <row r="71" ht="24.75" customHeight="1">
      <c r="A71" s="598"/>
      <c r="B71" s="616"/>
      <c r="C71" s="616"/>
      <c r="D71" s="616"/>
      <c r="E71" s="616"/>
      <c r="F71" s="616">
        <v>404.0</v>
      </c>
      <c r="G71" s="616"/>
      <c r="H71" s="600"/>
      <c r="I71" s="616"/>
      <c r="J71" s="616"/>
      <c r="K71" s="616"/>
      <c r="L71" s="616"/>
      <c r="M71" s="616"/>
      <c r="N71" s="616"/>
      <c r="O71" s="616"/>
      <c r="P71" s="616"/>
      <c r="Q71" s="616"/>
      <c r="R71" s="616"/>
      <c r="S71" s="616"/>
      <c r="T71" s="616"/>
      <c r="U71" s="616"/>
      <c r="V71" s="616"/>
      <c r="W71" s="616" t="s">
        <v>1202</v>
      </c>
      <c r="X71" s="606"/>
      <c r="Y71" s="606"/>
      <c r="Z71" s="620"/>
      <c r="AA71" s="616"/>
      <c r="AB71" s="616"/>
      <c r="AC71" s="616"/>
      <c r="AD71" s="621"/>
    </row>
    <row r="72" ht="24.75" customHeight="1">
      <c r="A72" s="608">
        <v>32.0</v>
      </c>
      <c r="B72" s="616" t="s">
        <v>1101</v>
      </c>
      <c r="C72" s="616" t="s">
        <v>55</v>
      </c>
      <c r="D72" s="616" t="s">
        <v>34</v>
      </c>
      <c r="E72" s="616" t="s">
        <v>1101</v>
      </c>
      <c r="F72" s="616"/>
      <c r="G72" s="616"/>
      <c r="H72" s="609" t="str">
        <f>H70+F71</f>
        <v>11972.43</v>
      </c>
      <c r="I72" s="616">
        <v>420.745</v>
      </c>
      <c r="J72" s="616">
        <v>75.5</v>
      </c>
      <c r="K72" s="616" t="str">
        <f>F71+F73</f>
        <v>814</v>
      </c>
      <c r="L72" s="616" t="str">
        <f>K72/2</f>
        <v>407</v>
      </c>
      <c r="M72" s="616">
        <v>227.0</v>
      </c>
      <c r="N72" s="616">
        <v>195.0</v>
      </c>
      <c r="O72" s="616">
        <v>422.0</v>
      </c>
      <c r="P72" s="616">
        <v>239.0</v>
      </c>
      <c r="Q72" s="616">
        <v>190.0</v>
      </c>
      <c r="R72" s="616">
        <v>429.0</v>
      </c>
      <c r="S72" s="616" t="s">
        <v>1222</v>
      </c>
      <c r="T72" s="616" t="s">
        <v>1223</v>
      </c>
      <c r="U72" s="616">
        <v>527969.98</v>
      </c>
      <c r="V72" s="616">
        <v>2672470.2</v>
      </c>
      <c r="W72" s="616"/>
      <c r="X72" s="138" t="s">
        <v>1201</v>
      </c>
      <c r="Y72" s="138" t="s">
        <v>1159</v>
      </c>
      <c r="Z72" s="620" t="s">
        <v>31</v>
      </c>
      <c r="AA72" s="616"/>
      <c r="AB72" s="616"/>
      <c r="AC72" s="616"/>
      <c r="AD72" s="621"/>
    </row>
    <row r="73" ht="24.75" customHeight="1">
      <c r="A73" s="598"/>
      <c r="B73" s="616"/>
      <c r="C73" s="616"/>
      <c r="D73" s="616"/>
      <c r="E73" s="616"/>
      <c r="F73" s="616">
        <v>410.0</v>
      </c>
      <c r="G73" s="616"/>
      <c r="H73" s="600"/>
      <c r="I73" s="616"/>
      <c r="J73" s="616"/>
      <c r="K73" s="616"/>
      <c r="L73" s="616"/>
      <c r="M73" s="616"/>
      <c r="N73" s="616"/>
      <c r="O73" s="616"/>
      <c r="P73" s="616"/>
      <c r="Q73" s="616"/>
      <c r="R73" s="616"/>
      <c r="S73" s="616"/>
      <c r="T73" s="616"/>
      <c r="U73" s="616"/>
      <c r="V73" s="616"/>
      <c r="W73" s="616" t="s">
        <v>1214</v>
      </c>
      <c r="X73" s="606"/>
      <c r="Y73" s="606"/>
      <c r="Z73" s="620"/>
      <c r="AA73" s="616"/>
      <c r="AB73" s="616"/>
      <c r="AC73" s="616"/>
      <c r="AD73" s="621"/>
    </row>
    <row r="74" ht="24.75" customHeight="1">
      <c r="A74" s="608">
        <v>33.0</v>
      </c>
      <c r="B74" s="616" t="s">
        <v>1101</v>
      </c>
      <c r="C74" s="616" t="s">
        <v>56</v>
      </c>
      <c r="D74" s="616" t="s">
        <v>34</v>
      </c>
      <c r="E74" s="616" t="s">
        <v>1101</v>
      </c>
      <c r="F74" s="616"/>
      <c r="G74" s="616"/>
      <c r="H74" s="609" t="str">
        <f>H72+F73</f>
        <v>12382.43</v>
      </c>
      <c r="I74" s="616">
        <v>423.53</v>
      </c>
      <c r="J74" s="616">
        <v>75.5</v>
      </c>
      <c r="K74" s="616" t="str">
        <f>F73+F75</f>
        <v>808</v>
      </c>
      <c r="L74" s="616" t="str">
        <f>K74/2</f>
        <v>404</v>
      </c>
      <c r="M74" s="616">
        <v>215.0</v>
      </c>
      <c r="N74" s="616">
        <v>203.0</v>
      </c>
      <c r="O74" s="616">
        <v>418.0</v>
      </c>
      <c r="P74" s="616">
        <v>220.0</v>
      </c>
      <c r="Q74" s="616">
        <v>205.0</v>
      </c>
      <c r="R74" s="616">
        <v>425.0</v>
      </c>
      <c r="S74" s="616" t="s">
        <v>1224</v>
      </c>
      <c r="T74" s="616" t="s">
        <v>1225</v>
      </c>
      <c r="U74" s="616">
        <v>528352.12</v>
      </c>
      <c r="V74" s="616">
        <v>2672321.62</v>
      </c>
      <c r="W74" s="616"/>
      <c r="X74" s="138" t="s">
        <v>1201</v>
      </c>
      <c r="Y74" s="138" t="s">
        <v>1159</v>
      </c>
      <c r="Z74" s="620" t="s">
        <v>31</v>
      </c>
      <c r="AA74" s="616"/>
      <c r="AB74" s="616"/>
      <c r="AC74" s="616"/>
      <c r="AD74" s="621"/>
    </row>
    <row r="75" ht="24.75" customHeight="1">
      <c r="A75" s="598"/>
      <c r="B75" s="616"/>
      <c r="C75" s="616"/>
      <c r="D75" s="616"/>
      <c r="E75" s="616"/>
      <c r="F75" s="616">
        <v>398.0</v>
      </c>
      <c r="G75" s="616"/>
      <c r="H75" s="600"/>
      <c r="I75" s="616"/>
      <c r="J75" s="616"/>
      <c r="K75" s="616"/>
      <c r="L75" s="616"/>
      <c r="M75" s="616"/>
      <c r="N75" s="616"/>
      <c r="O75" s="616"/>
      <c r="P75" s="616"/>
      <c r="Q75" s="616"/>
      <c r="R75" s="616"/>
      <c r="S75" s="616"/>
      <c r="T75" s="616"/>
      <c r="U75" s="616"/>
      <c r="V75" s="616"/>
      <c r="W75" s="616" t="s">
        <v>1202</v>
      </c>
      <c r="X75" s="606"/>
      <c r="Y75" s="606"/>
      <c r="Z75" s="620"/>
      <c r="AA75" s="616"/>
      <c r="AB75" s="616"/>
      <c r="AC75" s="616"/>
      <c r="AD75" s="621"/>
    </row>
    <row r="76" ht="24.75" customHeight="1">
      <c r="A76" s="608">
        <v>34.0</v>
      </c>
      <c r="B76" s="616" t="s">
        <v>1101</v>
      </c>
      <c r="C76" s="616" t="s">
        <v>57</v>
      </c>
      <c r="D76" s="616" t="s">
        <v>34</v>
      </c>
      <c r="E76" s="616" t="s">
        <v>1101</v>
      </c>
      <c r="F76" s="616"/>
      <c r="G76" s="616"/>
      <c r="H76" s="609" t="str">
        <f>H74+F75</f>
        <v>12780.43</v>
      </c>
      <c r="I76" s="616">
        <v>422.4</v>
      </c>
      <c r="J76" s="616">
        <v>75.5</v>
      </c>
      <c r="K76" s="616" t="str">
        <f>F75+F77</f>
        <v>830</v>
      </c>
      <c r="L76" s="616" t="str">
        <f>K76/2</f>
        <v>415</v>
      </c>
      <c r="M76" s="616">
        <v>195.0</v>
      </c>
      <c r="N76" s="616">
        <v>242.0</v>
      </c>
      <c r="O76" s="616">
        <v>437.0</v>
      </c>
      <c r="P76" s="616">
        <v>193.0</v>
      </c>
      <c r="Q76" s="616">
        <v>254.0</v>
      </c>
      <c r="R76" s="616">
        <v>447.0</v>
      </c>
      <c r="S76" s="616" t="s">
        <v>1226</v>
      </c>
      <c r="T76" s="616" t="s">
        <v>1227</v>
      </c>
      <c r="U76" s="616">
        <v>528723.06</v>
      </c>
      <c r="V76" s="616">
        <v>2672177.4</v>
      </c>
      <c r="W76" s="616"/>
      <c r="X76" s="138" t="s">
        <v>1201</v>
      </c>
      <c r="Y76" s="138" t="s">
        <v>1159</v>
      </c>
      <c r="Z76" s="620" t="s">
        <v>31</v>
      </c>
      <c r="AA76" s="616"/>
      <c r="AB76" s="616"/>
      <c r="AC76" s="616"/>
      <c r="AD76" s="621"/>
    </row>
    <row r="77" ht="12.75" customHeight="1">
      <c r="A77" s="598"/>
      <c r="B77" s="616"/>
      <c r="C77" s="616"/>
      <c r="D77" s="616"/>
      <c r="E77" s="616"/>
      <c r="F77" s="616">
        <v>432.0</v>
      </c>
      <c r="G77" s="616"/>
      <c r="H77" s="600"/>
      <c r="I77" s="616"/>
      <c r="J77" s="616"/>
      <c r="K77" s="616"/>
      <c r="L77" s="616"/>
      <c r="M77" s="616"/>
      <c r="N77" s="616"/>
      <c r="O77" s="616"/>
      <c r="P77" s="616"/>
      <c r="Q77" s="616"/>
      <c r="R77" s="616"/>
      <c r="S77" s="616"/>
      <c r="T77" s="616"/>
      <c r="U77" s="616"/>
      <c r="V77" s="616"/>
      <c r="W77" s="616" t="s">
        <v>1228</v>
      </c>
      <c r="X77" s="606"/>
      <c r="Y77" s="606"/>
      <c r="Z77" s="620"/>
      <c r="AA77" s="616"/>
      <c r="AB77" s="616"/>
      <c r="AC77" s="616"/>
      <c r="AD77" s="621"/>
    </row>
    <row r="78" ht="24.75" customHeight="1">
      <c r="A78" s="608">
        <v>35.0</v>
      </c>
      <c r="B78" s="616" t="s">
        <v>1101</v>
      </c>
      <c r="C78" s="616" t="s">
        <v>58</v>
      </c>
      <c r="D78" s="616" t="s">
        <v>33</v>
      </c>
      <c r="E78" s="616" t="s">
        <v>1101</v>
      </c>
      <c r="F78" s="616"/>
      <c r="G78" s="616"/>
      <c r="H78" s="609" t="str">
        <f>H76+F77</f>
        <v>13212.43</v>
      </c>
      <c r="I78" s="622">
        <v>417.72</v>
      </c>
      <c r="J78" s="616">
        <v>72.5</v>
      </c>
      <c r="K78" s="616" t="str">
        <f>F77+F79</f>
        <v>788</v>
      </c>
      <c r="L78" s="616" t="str">
        <f>K78/2</f>
        <v>394</v>
      </c>
      <c r="M78" s="616">
        <v>190.0</v>
      </c>
      <c r="N78" s="616">
        <v>174.0</v>
      </c>
      <c r="O78" s="616">
        <v>364.0</v>
      </c>
      <c r="P78" s="616">
        <v>178.0</v>
      </c>
      <c r="Q78" s="616">
        <v>173.0</v>
      </c>
      <c r="R78" s="616">
        <v>351.0</v>
      </c>
      <c r="S78" s="616" t="s">
        <v>1229</v>
      </c>
      <c r="T78" s="616" t="s">
        <v>1230</v>
      </c>
      <c r="U78" s="616">
        <v>529125.7</v>
      </c>
      <c r="V78" s="616">
        <v>2672020.85</v>
      </c>
      <c r="W78" s="616"/>
      <c r="X78" s="138" t="s">
        <v>1231</v>
      </c>
      <c r="Y78" s="138" t="s">
        <v>1159</v>
      </c>
      <c r="Z78" s="620" t="s">
        <v>31</v>
      </c>
      <c r="AA78" s="616"/>
      <c r="AB78" s="616"/>
      <c r="AC78" s="616"/>
      <c r="AD78" s="621"/>
    </row>
    <row r="79" ht="24.75" customHeight="1">
      <c r="A79" s="598"/>
      <c r="B79" s="616"/>
      <c r="C79" s="616"/>
      <c r="D79" s="616"/>
      <c r="E79" s="616"/>
      <c r="F79" s="616">
        <v>356.0</v>
      </c>
      <c r="G79" s="616"/>
      <c r="H79" s="600"/>
      <c r="I79" s="616"/>
      <c r="J79" s="616"/>
      <c r="K79" s="616"/>
      <c r="L79" s="616"/>
      <c r="M79" s="616"/>
      <c r="N79" s="616"/>
      <c r="O79" s="616"/>
      <c r="P79" s="616"/>
      <c r="Q79" s="616"/>
      <c r="R79" s="616"/>
      <c r="S79" s="616"/>
      <c r="T79" s="616"/>
      <c r="U79" s="616"/>
      <c r="V79" s="616"/>
      <c r="W79" s="616" t="s">
        <v>1208</v>
      </c>
      <c r="X79" s="606"/>
      <c r="Y79" s="606"/>
      <c r="Z79" s="620"/>
      <c r="AA79" s="616"/>
      <c r="AB79" s="616"/>
      <c r="AC79" s="616"/>
      <c r="AD79" s="621"/>
    </row>
    <row r="80" ht="24.75" customHeight="1">
      <c r="A80" s="608">
        <v>36.0</v>
      </c>
      <c r="B80" s="616" t="s">
        <v>1101</v>
      </c>
      <c r="C80" s="616" t="s">
        <v>59</v>
      </c>
      <c r="D80" s="616" t="s">
        <v>33</v>
      </c>
      <c r="E80" s="616" t="s">
        <v>1101</v>
      </c>
      <c r="F80" s="616"/>
      <c r="G80" s="616"/>
      <c r="H80" s="609" t="str">
        <f>H78+F79</f>
        <v>13568.43</v>
      </c>
      <c r="I80" s="622">
        <v>418.57</v>
      </c>
      <c r="J80" s="616">
        <v>72.5</v>
      </c>
      <c r="K80" s="616" t="str">
        <f>F79+F81</f>
        <v>764</v>
      </c>
      <c r="L80" s="616" t="str">
        <f>K80/2</f>
        <v>382</v>
      </c>
      <c r="M80" s="616">
        <v>182.0</v>
      </c>
      <c r="N80" s="616">
        <v>228.0</v>
      </c>
      <c r="O80" s="616">
        <v>410.0</v>
      </c>
      <c r="P80" s="616">
        <v>183.0</v>
      </c>
      <c r="Q80" s="616">
        <v>238.0</v>
      </c>
      <c r="R80" s="616">
        <v>421.0</v>
      </c>
      <c r="S80" s="616" t="s">
        <v>1232</v>
      </c>
      <c r="T80" s="616" t="s">
        <v>1233</v>
      </c>
      <c r="U80" s="616">
        <v>529457.5</v>
      </c>
      <c r="V80" s="616">
        <v>2671891.84</v>
      </c>
      <c r="W80" s="616"/>
      <c r="X80" s="617" t="s">
        <v>1234</v>
      </c>
      <c r="Y80" s="138" t="s">
        <v>1159</v>
      </c>
      <c r="Z80" s="620" t="s">
        <v>31</v>
      </c>
      <c r="AA80" s="616"/>
      <c r="AB80" s="616"/>
      <c r="AC80" s="616"/>
      <c r="AD80" s="621"/>
    </row>
    <row r="81" ht="24.75" customHeight="1">
      <c r="A81" s="598"/>
      <c r="B81" s="616"/>
      <c r="C81" s="616"/>
      <c r="D81" s="616"/>
      <c r="E81" s="616"/>
      <c r="F81" s="616">
        <v>408.0</v>
      </c>
      <c r="G81" s="616"/>
      <c r="H81" s="600"/>
      <c r="I81" s="616"/>
      <c r="J81" s="616"/>
      <c r="K81" s="616"/>
      <c r="L81" s="616"/>
      <c r="M81" s="616"/>
      <c r="N81" s="616"/>
      <c r="O81" s="616"/>
      <c r="P81" s="616"/>
      <c r="Q81" s="616"/>
      <c r="R81" s="616"/>
      <c r="S81" s="616"/>
      <c r="T81" s="616"/>
      <c r="U81" s="616"/>
      <c r="V81" s="616"/>
      <c r="W81" s="616" t="s">
        <v>1205</v>
      </c>
      <c r="X81" s="606"/>
      <c r="Y81" s="606"/>
      <c r="Z81" s="620"/>
      <c r="AA81" s="616"/>
      <c r="AB81" s="616"/>
      <c r="AC81" s="616"/>
      <c r="AD81" s="621"/>
    </row>
    <row r="82" ht="24.75" customHeight="1">
      <c r="A82" s="608">
        <v>37.0</v>
      </c>
      <c r="B82" s="616" t="s">
        <v>1101</v>
      </c>
      <c r="C82" s="616" t="s">
        <v>60</v>
      </c>
      <c r="D82" s="616" t="s">
        <v>33</v>
      </c>
      <c r="E82" s="616" t="s">
        <v>1101</v>
      </c>
      <c r="F82" s="616"/>
      <c r="G82" s="616"/>
      <c r="H82" s="609" t="str">
        <f>H80+F81</f>
        <v>13976.43</v>
      </c>
      <c r="I82" s="622">
        <v>412.0</v>
      </c>
      <c r="J82" s="616">
        <v>72.5</v>
      </c>
      <c r="K82" s="616" t="str">
        <f>F81+F83</f>
        <v>823</v>
      </c>
      <c r="L82" s="616" t="str">
        <f>K82/2</f>
        <v>411.5</v>
      </c>
      <c r="M82" s="616">
        <v>180.0</v>
      </c>
      <c r="N82" s="616">
        <v>208.0</v>
      </c>
      <c r="O82" s="616">
        <v>388.0</v>
      </c>
      <c r="P82" s="616">
        <v>170.0</v>
      </c>
      <c r="Q82" s="616">
        <v>208.0</v>
      </c>
      <c r="R82" s="616">
        <v>378.0</v>
      </c>
      <c r="S82" s="616" t="s">
        <v>1235</v>
      </c>
      <c r="T82" s="616" t="s">
        <v>1236</v>
      </c>
      <c r="U82" s="616">
        <v>529837.77</v>
      </c>
      <c r="V82" s="616">
        <v>2671743.99</v>
      </c>
      <c r="W82" s="616"/>
      <c r="X82" s="617" t="s">
        <v>1234</v>
      </c>
      <c r="Y82" s="138" t="s">
        <v>1159</v>
      </c>
      <c r="Z82" s="620" t="s">
        <v>31</v>
      </c>
      <c r="AA82" s="616"/>
      <c r="AB82" s="616"/>
      <c r="AC82" s="616"/>
      <c r="AD82" s="621"/>
    </row>
    <row r="83" ht="24.75" customHeight="1">
      <c r="A83" s="598"/>
      <c r="B83" s="616"/>
      <c r="C83" s="616"/>
      <c r="D83" s="616"/>
      <c r="E83" s="616"/>
      <c r="F83" s="616">
        <v>415.0</v>
      </c>
      <c r="G83" s="616"/>
      <c r="H83" s="600"/>
      <c r="I83" s="616"/>
      <c r="J83" s="616"/>
      <c r="K83" s="616"/>
      <c r="L83" s="616"/>
      <c r="M83" s="616"/>
      <c r="N83" s="616"/>
      <c r="O83" s="616"/>
      <c r="P83" s="616"/>
      <c r="Q83" s="616"/>
      <c r="R83" s="616"/>
      <c r="S83" s="616"/>
      <c r="T83" s="616"/>
      <c r="U83" s="616"/>
      <c r="V83" s="616"/>
      <c r="W83" s="616" t="s">
        <v>1237</v>
      </c>
      <c r="X83" s="606"/>
      <c r="Y83" s="606"/>
      <c r="Z83" s="620"/>
      <c r="AA83" s="616"/>
      <c r="AB83" s="616"/>
      <c r="AC83" s="616"/>
      <c r="AD83" s="621"/>
    </row>
    <row r="84" ht="24.75" customHeight="1">
      <c r="A84" s="608">
        <v>38.0</v>
      </c>
      <c r="B84" s="616" t="s">
        <v>1101</v>
      </c>
      <c r="C84" s="616" t="s">
        <v>61</v>
      </c>
      <c r="D84" s="616" t="s">
        <v>34</v>
      </c>
      <c r="E84" s="616" t="s">
        <v>1101</v>
      </c>
      <c r="F84" s="616"/>
      <c r="G84" s="616"/>
      <c r="H84" s="609" t="str">
        <f>H82+F83</f>
        <v>14391.43</v>
      </c>
      <c r="I84" s="616">
        <v>408.975</v>
      </c>
      <c r="J84" s="616">
        <v>75.5</v>
      </c>
      <c r="K84" s="616" t="str">
        <f>F83+F85</f>
        <v>786</v>
      </c>
      <c r="L84" s="616" t="str">
        <f>K84/2</f>
        <v>393</v>
      </c>
      <c r="M84" s="616">
        <v>207.0</v>
      </c>
      <c r="N84" s="616">
        <v>216.0</v>
      </c>
      <c r="O84" s="616">
        <v>423.0</v>
      </c>
      <c r="P84" s="616">
        <v>207.0</v>
      </c>
      <c r="Q84" s="616">
        <v>230.0</v>
      </c>
      <c r="R84" s="616">
        <v>437.0</v>
      </c>
      <c r="S84" s="616" t="s">
        <v>1238</v>
      </c>
      <c r="T84" s="616" t="s">
        <v>1239</v>
      </c>
      <c r="U84" s="616">
        <v>530224.57</v>
      </c>
      <c r="V84" s="616">
        <v>2671593.6</v>
      </c>
      <c r="W84" s="616"/>
      <c r="X84" s="617" t="s">
        <v>1234</v>
      </c>
      <c r="Y84" s="138" t="s">
        <v>1159</v>
      </c>
      <c r="Z84" s="620" t="s">
        <v>31</v>
      </c>
      <c r="AA84" s="616"/>
      <c r="AB84" s="616"/>
      <c r="AC84" s="616"/>
      <c r="AD84" s="621"/>
    </row>
    <row r="85" ht="24.75" customHeight="1">
      <c r="A85" s="598"/>
      <c r="B85" s="616"/>
      <c r="C85" s="616"/>
      <c r="D85" s="616"/>
      <c r="E85" s="616"/>
      <c r="F85" s="616">
        <v>371.0</v>
      </c>
      <c r="G85" s="616"/>
      <c r="H85" s="600"/>
      <c r="I85" s="616"/>
      <c r="J85" s="616"/>
      <c r="K85" s="616"/>
      <c r="L85" s="616"/>
      <c r="M85" s="616"/>
      <c r="N85" s="616"/>
      <c r="O85" s="616"/>
      <c r="P85" s="616"/>
      <c r="Q85" s="616"/>
      <c r="R85" s="616"/>
      <c r="S85" s="616"/>
      <c r="T85" s="616"/>
      <c r="U85" s="616"/>
      <c r="V85" s="616"/>
      <c r="W85" s="616" t="s">
        <v>1240</v>
      </c>
      <c r="X85" s="606"/>
      <c r="Y85" s="606"/>
      <c r="Z85" s="620"/>
      <c r="AA85" s="616"/>
      <c r="AB85" s="616"/>
      <c r="AC85" s="616"/>
      <c r="AD85" s="621"/>
    </row>
    <row r="86" ht="24.75" customHeight="1">
      <c r="A86" s="608">
        <v>39.0</v>
      </c>
      <c r="B86" s="616" t="s">
        <v>1101</v>
      </c>
      <c r="C86" s="616" t="s">
        <v>62</v>
      </c>
      <c r="D86" s="616" t="s">
        <v>15</v>
      </c>
      <c r="E86" s="616" t="s">
        <v>1101</v>
      </c>
      <c r="F86" s="616"/>
      <c r="G86" s="616"/>
      <c r="H86" s="609" t="str">
        <f>H84+F85</f>
        <v>14762.43</v>
      </c>
      <c r="I86" s="616">
        <v>407.29</v>
      </c>
      <c r="J86" s="616">
        <v>69.5</v>
      </c>
      <c r="K86" s="616" t="str">
        <f>F85+F87</f>
        <v>735</v>
      </c>
      <c r="L86" s="616" t="str">
        <f>K86/2</f>
        <v>367.5</v>
      </c>
      <c r="M86" s="616">
        <v>155.0</v>
      </c>
      <c r="N86" s="616">
        <v>162.0</v>
      </c>
      <c r="O86" s="616">
        <v>317.0</v>
      </c>
      <c r="P86" s="616">
        <v>141.0</v>
      </c>
      <c r="Q86" s="616">
        <v>153.0</v>
      </c>
      <c r="R86" s="616">
        <v>294.0</v>
      </c>
      <c r="S86" s="616" t="s">
        <v>1241</v>
      </c>
      <c r="T86" s="616" t="s">
        <v>1242</v>
      </c>
      <c r="U86" s="616">
        <v>530570.35</v>
      </c>
      <c r="V86" s="616">
        <v>2671459.16</v>
      </c>
      <c r="W86" s="616"/>
      <c r="X86" s="617" t="s">
        <v>1234</v>
      </c>
      <c r="Y86" s="138" t="s">
        <v>1159</v>
      </c>
      <c r="Z86" s="620" t="s">
        <v>31</v>
      </c>
      <c r="AA86" s="616"/>
      <c r="AB86" s="616"/>
      <c r="AC86" s="616"/>
      <c r="AD86" s="621"/>
    </row>
    <row r="87" ht="24.75" customHeight="1">
      <c r="A87" s="598"/>
      <c r="B87" s="616"/>
      <c r="C87" s="616"/>
      <c r="D87" s="616"/>
      <c r="E87" s="616"/>
      <c r="F87" s="616">
        <v>364.0</v>
      </c>
      <c r="G87" s="616"/>
      <c r="H87" s="600"/>
      <c r="I87" s="616"/>
      <c r="J87" s="616"/>
      <c r="K87" s="616"/>
      <c r="L87" s="616"/>
      <c r="M87" s="616"/>
      <c r="N87" s="616"/>
      <c r="O87" s="616"/>
      <c r="P87" s="616"/>
      <c r="Q87" s="616"/>
      <c r="R87" s="616"/>
      <c r="S87" s="616"/>
      <c r="T87" s="616"/>
      <c r="U87" s="616"/>
      <c r="V87" s="616"/>
      <c r="W87" s="616" t="s">
        <v>1205</v>
      </c>
      <c r="X87" s="606"/>
      <c r="Y87" s="606"/>
      <c r="Z87" s="620"/>
      <c r="AA87" s="616"/>
      <c r="AB87" s="616"/>
      <c r="AC87" s="616"/>
      <c r="AD87" s="621"/>
    </row>
    <row r="88" ht="24.75" customHeight="1">
      <c r="A88" s="608">
        <v>40.0</v>
      </c>
      <c r="B88" s="616" t="s">
        <v>1101</v>
      </c>
      <c r="C88" s="616" t="s">
        <v>63</v>
      </c>
      <c r="D88" s="616" t="s">
        <v>33</v>
      </c>
      <c r="E88" s="616" t="s">
        <v>1101</v>
      </c>
      <c r="F88" s="616"/>
      <c r="G88" s="616"/>
      <c r="H88" s="609" t="str">
        <f>H86+F87</f>
        <v>15126.43</v>
      </c>
      <c r="I88" s="622">
        <v>409.2</v>
      </c>
      <c r="J88" s="616">
        <v>72.5</v>
      </c>
      <c r="K88" s="616" t="str">
        <f>F87+F89</f>
        <v>779</v>
      </c>
      <c r="L88" s="616" t="str">
        <f>K88/2</f>
        <v>389.5</v>
      </c>
      <c r="M88" s="616">
        <v>202.0</v>
      </c>
      <c r="N88" s="616">
        <v>205.0</v>
      </c>
      <c r="O88" s="616">
        <v>407.0</v>
      </c>
      <c r="P88" s="616">
        <v>211.0</v>
      </c>
      <c r="Q88" s="616">
        <v>204.0</v>
      </c>
      <c r="R88" s="616">
        <v>415.0</v>
      </c>
      <c r="S88" s="616" t="s">
        <v>1243</v>
      </c>
      <c r="T88" s="616" t="s">
        <v>1244</v>
      </c>
      <c r="U88" s="616">
        <v>530909.61</v>
      </c>
      <c r="V88" s="616">
        <v>2671327.25</v>
      </c>
      <c r="W88" s="616"/>
      <c r="X88" s="617" t="s">
        <v>1234</v>
      </c>
      <c r="Y88" s="138" t="s">
        <v>1159</v>
      </c>
      <c r="Z88" s="620" t="s">
        <v>31</v>
      </c>
      <c r="AA88" s="616"/>
      <c r="AB88" s="616"/>
      <c r="AC88" s="616"/>
      <c r="AD88" s="621"/>
    </row>
    <row r="89" ht="24.75" customHeight="1">
      <c r="A89" s="598"/>
      <c r="B89" s="616"/>
      <c r="C89" s="616"/>
      <c r="D89" s="616"/>
      <c r="E89" s="616"/>
      <c r="F89" s="616">
        <v>415.0</v>
      </c>
      <c r="G89" s="616"/>
      <c r="H89" s="600"/>
      <c r="I89" s="616"/>
      <c r="J89" s="616"/>
      <c r="K89" s="616"/>
      <c r="L89" s="616"/>
      <c r="M89" s="616"/>
      <c r="N89" s="616"/>
      <c r="O89" s="616"/>
      <c r="P89" s="616"/>
      <c r="Q89" s="616"/>
      <c r="R89" s="616"/>
      <c r="S89" s="616"/>
      <c r="T89" s="616"/>
      <c r="U89" s="616"/>
      <c r="V89" s="616"/>
      <c r="W89" s="616" t="s">
        <v>1245</v>
      </c>
      <c r="X89" s="606"/>
      <c r="Y89" s="606"/>
      <c r="Z89" s="620"/>
      <c r="AA89" s="616"/>
      <c r="AB89" s="616"/>
      <c r="AC89" s="616"/>
      <c r="AD89" s="621"/>
    </row>
    <row r="90" ht="24.75" customHeight="1">
      <c r="A90" s="608">
        <v>41.0</v>
      </c>
      <c r="B90" s="616" t="s">
        <v>1246</v>
      </c>
      <c r="C90" s="616" t="s">
        <v>64</v>
      </c>
      <c r="D90" s="616" t="s">
        <v>51</v>
      </c>
      <c r="E90" s="616" t="s">
        <v>1247</v>
      </c>
      <c r="F90" s="616"/>
      <c r="G90" s="616" t="str">
        <f>SUM(F69:F89)</f>
        <v>4304</v>
      </c>
      <c r="H90" s="609" t="str">
        <f>H88+F89</f>
        <v>15541.43</v>
      </c>
      <c r="I90" s="616">
        <v>409.93</v>
      </c>
      <c r="J90" s="138">
        <v>70.72</v>
      </c>
      <c r="K90" s="616" t="str">
        <f>F89+F91</f>
        <v>804</v>
      </c>
      <c r="L90" s="616" t="str">
        <f>K90/2</f>
        <v>402</v>
      </c>
      <c r="M90" s="616">
        <v>210.0</v>
      </c>
      <c r="N90" s="616">
        <v>181.0</v>
      </c>
      <c r="O90" s="616">
        <v>391.0</v>
      </c>
      <c r="P90" s="616">
        <v>211.0</v>
      </c>
      <c r="Q90" s="616">
        <v>175.0</v>
      </c>
      <c r="R90" s="616">
        <v>386.0</v>
      </c>
      <c r="S90" s="616" t="s">
        <v>1248</v>
      </c>
      <c r="T90" s="616" t="s">
        <v>1249</v>
      </c>
      <c r="U90" s="616">
        <v>531296.31</v>
      </c>
      <c r="V90" s="616">
        <v>2671176.9</v>
      </c>
      <c r="W90" s="616"/>
      <c r="X90" s="138" t="s">
        <v>1250</v>
      </c>
      <c r="Y90" s="138" t="s">
        <v>1159</v>
      </c>
      <c r="Z90" s="620" t="s">
        <v>31</v>
      </c>
      <c r="AA90" s="616"/>
      <c r="AB90" s="616"/>
      <c r="AC90" s="616"/>
      <c r="AD90" s="621"/>
    </row>
    <row r="91" ht="24.75" customHeight="1">
      <c r="A91" s="598"/>
      <c r="B91" s="616"/>
      <c r="C91" s="616"/>
      <c r="D91" s="616"/>
      <c r="E91" s="616"/>
      <c r="F91" s="616">
        <v>389.0</v>
      </c>
      <c r="G91" s="616"/>
      <c r="H91" s="600"/>
      <c r="I91" s="616"/>
      <c r="J91" s="616"/>
      <c r="K91" s="616"/>
      <c r="L91" s="616"/>
      <c r="M91" s="616"/>
      <c r="N91" s="616"/>
      <c r="O91" s="616"/>
      <c r="P91" s="616"/>
      <c r="Q91" s="616"/>
      <c r="R91" s="616"/>
      <c r="S91" s="616"/>
      <c r="T91" s="616"/>
      <c r="U91" s="616"/>
      <c r="V91" s="616"/>
      <c r="W91" s="616" t="s">
        <v>1251</v>
      </c>
      <c r="X91" s="606"/>
      <c r="Y91" s="606"/>
      <c r="Z91" s="620"/>
      <c r="AA91" s="616"/>
      <c r="AB91" s="616"/>
      <c r="AC91" s="616"/>
      <c r="AD91" s="621"/>
    </row>
    <row r="92" ht="24.75" customHeight="1">
      <c r="A92" s="608">
        <v>42.0</v>
      </c>
      <c r="B92" s="616" t="s">
        <v>1101</v>
      </c>
      <c r="C92" s="616" t="s">
        <v>65</v>
      </c>
      <c r="D92" s="616" t="s">
        <v>34</v>
      </c>
      <c r="E92" s="616" t="s">
        <v>1101</v>
      </c>
      <c r="F92" s="616"/>
      <c r="G92" s="616"/>
      <c r="H92" s="609" t="str">
        <f>H90+F91</f>
        <v>15930.43</v>
      </c>
      <c r="I92" s="616">
        <v>410.47</v>
      </c>
      <c r="J92" s="616">
        <v>75.5</v>
      </c>
      <c r="K92" s="616" t="str">
        <f>F91+F93</f>
        <v>785</v>
      </c>
      <c r="L92" s="616" t="str">
        <f>K92/2</f>
        <v>392.5</v>
      </c>
      <c r="M92" s="616">
        <v>208.0</v>
      </c>
      <c r="N92" s="616">
        <v>205.0</v>
      </c>
      <c r="O92" s="616">
        <v>413.0</v>
      </c>
      <c r="P92" s="616">
        <v>214.0</v>
      </c>
      <c r="Q92" s="616">
        <v>209.0</v>
      </c>
      <c r="R92" s="616">
        <v>423.0</v>
      </c>
      <c r="S92" s="616" t="s">
        <v>1252</v>
      </c>
      <c r="T92" s="616" t="s">
        <v>1253</v>
      </c>
      <c r="U92" s="616">
        <v>531677.04</v>
      </c>
      <c r="V92" s="616">
        <v>2671097.15</v>
      </c>
      <c r="W92" s="616"/>
      <c r="X92" s="138" t="s">
        <v>1250</v>
      </c>
      <c r="Y92" s="138" t="s">
        <v>1159</v>
      </c>
      <c r="Z92" s="620" t="s">
        <v>31</v>
      </c>
      <c r="AA92" s="616"/>
      <c r="AB92" s="616"/>
      <c r="AC92" s="616"/>
      <c r="AD92" s="621"/>
    </row>
    <row r="93" ht="24.75" customHeight="1">
      <c r="A93" s="598"/>
      <c r="B93" s="616"/>
      <c r="C93" s="616"/>
      <c r="D93" s="616"/>
      <c r="E93" s="616"/>
      <c r="F93" s="616">
        <v>396.0</v>
      </c>
      <c r="G93" s="616"/>
      <c r="H93" s="600"/>
      <c r="I93" s="616"/>
      <c r="J93" s="616"/>
      <c r="K93" s="616"/>
      <c r="L93" s="616"/>
      <c r="M93" s="616"/>
      <c r="N93" s="616"/>
      <c r="O93" s="616"/>
      <c r="P93" s="616"/>
      <c r="Q93" s="616"/>
      <c r="R93" s="616"/>
      <c r="S93" s="616"/>
      <c r="T93" s="616"/>
      <c r="U93" s="616"/>
      <c r="V93" s="616"/>
      <c r="W93" s="616" t="s">
        <v>1240</v>
      </c>
      <c r="X93" s="606"/>
      <c r="Y93" s="606"/>
      <c r="Z93" s="620"/>
      <c r="AA93" s="616"/>
      <c r="AB93" s="616"/>
      <c r="AC93" s="616"/>
      <c r="AD93" s="621"/>
    </row>
    <row r="94" ht="24.75" customHeight="1">
      <c r="A94" s="608">
        <v>43.0</v>
      </c>
      <c r="B94" s="616" t="s">
        <v>1101</v>
      </c>
      <c r="C94" s="616" t="s">
        <v>70</v>
      </c>
      <c r="D94" s="616" t="s">
        <v>33</v>
      </c>
      <c r="E94" s="616" t="s">
        <v>1101</v>
      </c>
      <c r="F94" s="616"/>
      <c r="G94" s="616"/>
      <c r="H94" s="609" t="str">
        <f>H92+F93</f>
        <v>16326.43</v>
      </c>
      <c r="I94" s="622">
        <v>411.48</v>
      </c>
      <c r="J94" s="616">
        <v>72.5</v>
      </c>
      <c r="K94" s="616" t="str">
        <f>F93+F95</f>
        <v>835</v>
      </c>
      <c r="L94" s="616" t="str">
        <f>K94/2</f>
        <v>417.5</v>
      </c>
      <c r="M94" s="616">
        <v>191.0</v>
      </c>
      <c r="N94" s="616">
        <v>190.0</v>
      </c>
      <c r="O94" s="616">
        <v>381.0</v>
      </c>
      <c r="P94" s="616">
        <v>187.0</v>
      </c>
      <c r="Q94" s="616">
        <v>176.0</v>
      </c>
      <c r="R94" s="616">
        <v>363.0</v>
      </c>
      <c r="S94" s="616" t="s">
        <v>1254</v>
      </c>
      <c r="T94" s="616" t="s">
        <v>1255</v>
      </c>
      <c r="U94" s="616">
        <v>532064.63</v>
      </c>
      <c r="V94" s="616">
        <v>2671015.96</v>
      </c>
      <c r="W94" s="616"/>
      <c r="X94" s="138" t="s">
        <v>1250</v>
      </c>
      <c r="Y94" s="138" t="s">
        <v>1159</v>
      </c>
      <c r="Z94" s="620" t="s">
        <v>31</v>
      </c>
      <c r="AA94" s="616"/>
      <c r="AB94" s="616"/>
      <c r="AC94" s="616"/>
      <c r="AD94" s="621"/>
    </row>
    <row r="95" ht="24.75" customHeight="1">
      <c r="A95" s="598"/>
      <c r="B95" s="616"/>
      <c r="C95" s="616"/>
      <c r="D95" s="616"/>
      <c r="E95" s="616"/>
      <c r="F95" s="616">
        <v>439.0</v>
      </c>
      <c r="G95" s="616"/>
      <c r="H95" s="600"/>
      <c r="I95" s="616"/>
      <c r="J95" s="616"/>
      <c r="K95" s="616"/>
      <c r="L95" s="616"/>
      <c r="M95" s="616"/>
      <c r="N95" s="616"/>
      <c r="O95" s="616"/>
      <c r="P95" s="616"/>
      <c r="Q95" s="616"/>
      <c r="R95" s="616"/>
      <c r="S95" s="616"/>
      <c r="T95" s="616"/>
      <c r="U95" s="616"/>
      <c r="V95" s="616"/>
      <c r="W95" s="616" t="s">
        <v>1256</v>
      </c>
      <c r="X95" s="606"/>
      <c r="Y95" s="606"/>
      <c r="Z95" s="620"/>
      <c r="AA95" s="616"/>
      <c r="AB95" s="616"/>
      <c r="AC95" s="616"/>
      <c r="AD95" s="621"/>
    </row>
    <row r="96" ht="24.75" customHeight="1">
      <c r="A96" s="608">
        <v>44.0</v>
      </c>
      <c r="B96" s="616" t="s">
        <v>1101</v>
      </c>
      <c r="C96" s="616" t="s">
        <v>71</v>
      </c>
      <c r="D96" s="616" t="s">
        <v>12</v>
      </c>
      <c r="E96" s="616" t="s">
        <v>1101</v>
      </c>
      <c r="F96" s="616"/>
      <c r="G96" s="616"/>
      <c r="H96" s="609" t="str">
        <f>H94+F95</f>
        <v>16765.43</v>
      </c>
      <c r="I96" s="616">
        <v>414.42</v>
      </c>
      <c r="J96" s="616">
        <v>78.5</v>
      </c>
      <c r="K96" s="616" t="str">
        <f>F95+F97</f>
        <v>820</v>
      </c>
      <c r="L96" s="616" t="str">
        <f>K96/2</f>
        <v>410</v>
      </c>
      <c r="M96" s="616">
        <v>249.0</v>
      </c>
      <c r="N96" s="616">
        <v>204.0</v>
      </c>
      <c r="O96" s="616">
        <v>453.0</v>
      </c>
      <c r="P96" s="616">
        <v>263.0</v>
      </c>
      <c r="Q96" s="616">
        <v>210.0</v>
      </c>
      <c r="R96" s="616">
        <v>473.0</v>
      </c>
      <c r="S96" s="616" t="s">
        <v>1257</v>
      </c>
      <c r="T96" s="616" t="s">
        <v>1258</v>
      </c>
      <c r="U96" s="616">
        <v>532494.3</v>
      </c>
      <c r="V96" s="616">
        <v>2670925.96</v>
      </c>
      <c r="W96" s="616"/>
      <c r="X96" s="138" t="s">
        <v>1259</v>
      </c>
      <c r="Y96" s="138" t="s">
        <v>1159</v>
      </c>
      <c r="Z96" s="620" t="s">
        <v>31</v>
      </c>
      <c r="AA96" s="616"/>
      <c r="AB96" s="616"/>
      <c r="AC96" s="616"/>
      <c r="AD96" s="621"/>
    </row>
    <row r="97" ht="24.75" customHeight="1">
      <c r="A97" s="598"/>
      <c r="B97" s="616"/>
      <c r="C97" s="616"/>
      <c r="D97" s="616"/>
      <c r="E97" s="616"/>
      <c r="F97" s="616">
        <v>381.0</v>
      </c>
      <c r="G97" s="616"/>
      <c r="H97" s="600"/>
      <c r="I97" s="616"/>
      <c r="J97" s="616"/>
      <c r="K97" s="616"/>
      <c r="L97" s="616"/>
      <c r="M97" s="616"/>
      <c r="N97" s="616"/>
      <c r="O97" s="616"/>
      <c r="P97" s="616"/>
      <c r="Q97" s="616"/>
      <c r="R97" s="616"/>
      <c r="S97" s="616"/>
      <c r="T97" s="616"/>
      <c r="U97" s="616"/>
      <c r="V97" s="616"/>
      <c r="W97" s="616" t="s">
        <v>1256</v>
      </c>
      <c r="X97" s="606"/>
      <c r="Y97" s="606"/>
      <c r="Z97" s="620"/>
      <c r="AA97" s="616"/>
      <c r="AB97" s="616"/>
      <c r="AC97" s="616"/>
      <c r="AD97" s="621"/>
    </row>
    <row r="98" ht="24.75" customHeight="1">
      <c r="A98" s="608">
        <v>45.0</v>
      </c>
      <c r="B98" s="616" t="s">
        <v>1260</v>
      </c>
      <c r="C98" s="616" t="s">
        <v>72</v>
      </c>
      <c r="D98" s="616" t="s">
        <v>16</v>
      </c>
      <c r="E98" s="616" t="s">
        <v>1261</v>
      </c>
      <c r="F98" s="616"/>
      <c r="G98" s="616" t="str">
        <f>SUM(F91:F97)</f>
        <v>1605</v>
      </c>
      <c r="H98" s="609" t="str">
        <f>H96+F97</f>
        <v>17146.43</v>
      </c>
      <c r="I98" s="616">
        <v>416.975</v>
      </c>
      <c r="J98" s="138">
        <v>70.72</v>
      </c>
      <c r="K98" s="616" t="str">
        <f>F97+F99</f>
        <v>767</v>
      </c>
      <c r="L98" s="616" t="str">
        <f>K98/2</f>
        <v>383.5</v>
      </c>
      <c r="M98" s="616">
        <v>220.0</v>
      </c>
      <c r="N98" s="616">
        <v>188.0</v>
      </c>
      <c r="O98" s="616">
        <v>408.0</v>
      </c>
      <c r="P98" s="616">
        <v>210.0</v>
      </c>
      <c r="Q98" s="616">
        <v>190.0</v>
      </c>
      <c r="R98" s="616">
        <v>400.0</v>
      </c>
      <c r="S98" s="616" t="s">
        <v>1262</v>
      </c>
      <c r="T98" s="616" t="s">
        <v>1263</v>
      </c>
      <c r="U98" s="616">
        <v>532867.524</v>
      </c>
      <c r="V98" s="616">
        <v>2670847.779</v>
      </c>
      <c r="W98" s="616"/>
      <c r="X98" s="138" t="s">
        <v>1259</v>
      </c>
      <c r="Y98" s="138" t="s">
        <v>1159</v>
      </c>
      <c r="Z98" s="620" t="s">
        <v>31</v>
      </c>
      <c r="AA98" s="616"/>
      <c r="AB98" s="616"/>
      <c r="AC98" s="616"/>
      <c r="AD98" s="621"/>
    </row>
    <row r="99" ht="12.75" customHeight="1">
      <c r="A99" s="598"/>
      <c r="B99" s="616"/>
      <c r="C99" s="616"/>
      <c r="D99" s="616"/>
      <c r="E99" s="616"/>
      <c r="F99" s="616">
        <v>386.0</v>
      </c>
      <c r="G99" s="616"/>
      <c r="H99" s="600"/>
      <c r="I99" s="616"/>
      <c r="J99" s="616"/>
      <c r="K99" s="616"/>
      <c r="L99" s="616"/>
      <c r="M99" s="616"/>
      <c r="N99" s="616"/>
      <c r="O99" s="616"/>
      <c r="P99" s="616"/>
      <c r="Q99" s="616"/>
      <c r="R99" s="616"/>
      <c r="S99" s="616"/>
      <c r="T99" s="616"/>
      <c r="U99" s="616"/>
      <c r="V99" s="616"/>
      <c r="W99" s="616" t="s">
        <v>1264</v>
      </c>
      <c r="X99" s="606"/>
      <c r="Y99" s="606"/>
      <c r="Z99" s="620"/>
      <c r="AA99" s="616"/>
      <c r="AB99" s="616"/>
      <c r="AC99" s="616"/>
      <c r="AD99" s="621"/>
    </row>
    <row r="100" ht="24.75" customHeight="1">
      <c r="A100" s="608">
        <v>46.0</v>
      </c>
      <c r="B100" s="616" t="s">
        <v>1101</v>
      </c>
      <c r="C100" s="616" t="s">
        <v>73</v>
      </c>
      <c r="D100" s="616" t="s">
        <v>33</v>
      </c>
      <c r="E100" s="616" t="s">
        <v>1101</v>
      </c>
      <c r="F100" s="616"/>
      <c r="G100" s="616"/>
      <c r="H100" s="609" t="str">
        <f>H98+F99</f>
        <v>17532.43</v>
      </c>
      <c r="I100" s="622">
        <v>418.018</v>
      </c>
      <c r="J100" s="616">
        <v>72.5</v>
      </c>
      <c r="K100" s="616" t="str">
        <f>F99+F101</f>
        <v>742</v>
      </c>
      <c r="L100" s="616" t="str">
        <f>K100/2</f>
        <v>371</v>
      </c>
      <c r="M100" s="616">
        <v>199.0</v>
      </c>
      <c r="N100" s="616">
        <v>176.0</v>
      </c>
      <c r="O100" s="616">
        <v>375.0</v>
      </c>
      <c r="P100" s="616">
        <v>198.0</v>
      </c>
      <c r="Q100" s="616">
        <v>177.0</v>
      </c>
      <c r="R100" s="616">
        <v>375.0</v>
      </c>
      <c r="S100" s="616" t="s">
        <v>1265</v>
      </c>
      <c r="T100" s="616" t="s">
        <v>1266</v>
      </c>
      <c r="U100" s="616">
        <v>533237.916</v>
      </c>
      <c r="V100" s="616">
        <v>2670739.123</v>
      </c>
      <c r="W100" s="616"/>
      <c r="X100" s="138" t="s">
        <v>1259</v>
      </c>
      <c r="Y100" s="138" t="s">
        <v>1159</v>
      </c>
      <c r="Z100" s="620" t="s">
        <v>31</v>
      </c>
      <c r="AA100" s="616"/>
      <c r="AB100" s="616"/>
      <c r="AC100" s="616"/>
      <c r="AD100" s="621"/>
    </row>
    <row r="101" ht="24.75" customHeight="1">
      <c r="A101" s="598"/>
      <c r="B101" s="616"/>
      <c r="C101" s="616"/>
      <c r="D101" s="616"/>
      <c r="E101" s="616"/>
      <c r="F101" s="616">
        <v>356.0</v>
      </c>
      <c r="G101" s="616"/>
      <c r="H101" s="600"/>
      <c r="I101" s="616"/>
      <c r="J101" s="616"/>
      <c r="K101" s="616"/>
      <c r="L101" s="616"/>
      <c r="M101" s="616"/>
      <c r="N101" s="616"/>
      <c r="O101" s="616"/>
      <c r="P101" s="616"/>
      <c r="Q101" s="616"/>
      <c r="R101" s="616"/>
      <c r="S101" s="616"/>
      <c r="T101" s="616"/>
      <c r="U101" s="616"/>
      <c r="V101" s="616"/>
      <c r="W101" s="616" t="s">
        <v>1267</v>
      </c>
      <c r="X101" s="606"/>
      <c r="Y101" s="606"/>
      <c r="Z101" s="620"/>
      <c r="AA101" s="616"/>
      <c r="AB101" s="616"/>
      <c r="AC101" s="616"/>
      <c r="AD101" s="621"/>
    </row>
    <row r="102" ht="24.75" customHeight="1">
      <c r="A102" s="608">
        <v>47.0</v>
      </c>
      <c r="B102" s="616" t="s">
        <v>1101</v>
      </c>
      <c r="C102" s="616" t="s">
        <v>74</v>
      </c>
      <c r="D102" s="616" t="s">
        <v>15</v>
      </c>
      <c r="E102" s="616" t="s">
        <v>1101</v>
      </c>
      <c r="F102" s="616"/>
      <c r="G102" s="616"/>
      <c r="H102" s="609" t="str">
        <f>H100+F101</f>
        <v>17888.43</v>
      </c>
      <c r="I102" s="616">
        <v>421.412</v>
      </c>
      <c r="J102" s="616">
        <v>69.5</v>
      </c>
      <c r="K102" s="616" t="str">
        <f>F101+F103</f>
        <v>721</v>
      </c>
      <c r="L102" s="616" t="str">
        <f>K102/2</f>
        <v>360.5</v>
      </c>
      <c r="M102" s="616">
        <v>181.0</v>
      </c>
      <c r="N102" s="616">
        <v>129.0</v>
      </c>
      <c r="O102" s="616">
        <v>310.0</v>
      </c>
      <c r="P102" s="616">
        <v>180.0</v>
      </c>
      <c r="Q102" s="616">
        <v>146.0</v>
      </c>
      <c r="R102" s="616">
        <v>326.0</v>
      </c>
      <c r="S102" s="616" t="s">
        <v>1268</v>
      </c>
      <c r="T102" s="616" t="s">
        <v>1269</v>
      </c>
      <c r="U102" s="616">
        <v>533579.52</v>
      </c>
      <c r="V102" s="616">
        <v>2670638.912</v>
      </c>
      <c r="W102" s="616"/>
      <c r="X102" s="138" t="s">
        <v>1259</v>
      </c>
      <c r="Y102" s="138" t="s">
        <v>1159</v>
      </c>
      <c r="Z102" s="620" t="s">
        <v>31</v>
      </c>
      <c r="AA102" s="616"/>
      <c r="AB102" s="616"/>
      <c r="AC102" s="616"/>
      <c r="AD102" s="621"/>
    </row>
    <row r="103" ht="24.75" customHeight="1">
      <c r="A103" s="598"/>
      <c r="B103" s="616"/>
      <c r="C103" s="616"/>
      <c r="D103" s="616"/>
      <c r="E103" s="616"/>
      <c r="F103" s="616">
        <v>365.0</v>
      </c>
      <c r="G103" s="616"/>
      <c r="H103" s="600"/>
      <c r="I103" s="616"/>
      <c r="J103" s="616"/>
      <c r="K103" s="616"/>
      <c r="L103" s="616"/>
      <c r="M103" s="616"/>
      <c r="N103" s="616"/>
      <c r="O103" s="616"/>
      <c r="P103" s="616"/>
      <c r="Q103" s="616"/>
      <c r="R103" s="616"/>
      <c r="S103" s="616"/>
      <c r="T103" s="616"/>
      <c r="U103" s="616"/>
      <c r="V103" s="616"/>
      <c r="W103" s="616" t="s">
        <v>1270</v>
      </c>
      <c r="X103" s="606"/>
      <c r="Y103" s="606"/>
      <c r="Z103" s="620"/>
      <c r="AA103" s="616"/>
      <c r="AB103" s="616"/>
      <c r="AC103" s="616"/>
      <c r="AD103" s="621"/>
    </row>
    <row r="104" ht="24.75" customHeight="1">
      <c r="A104" s="608">
        <v>48.0</v>
      </c>
      <c r="B104" s="616" t="s">
        <v>1101</v>
      </c>
      <c r="C104" s="616" t="s">
        <v>75</v>
      </c>
      <c r="D104" s="616" t="s">
        <v>34</v>
      </c>
      <c r="E104" s="616" t="s">
        <v>1101</v>
      </c>
      <c r="F104" s="616"/>
      <c r="G104" s="616"/>
      <c r="H104" s="609" t="str">
        <f>H102+F103</f>
        <v>18253.43</v>
      </c>
      <c r="I104" s="616">
        <v>424.562</v>
      </c>
      <c r="J104" s="616">
        <v>75.5</v>
      </c>
      <c r="K104" s="616" t="str">
        <f>F103+F105</f>
        <v>840</v>
      </c>
      <c r="L104" s="616" t="str">
        <f>K104/2</f>
        <v>420</v>
      </c>
      <c r="M104" s="616">
        <v>236.0</v>
      </c>
      <c r="N104" s="616">
        <v>118.0</v>
      </c>
      <c r="O104" s="616">
        <v>354.0</v>
      </c>
      <c r="P104" s="616">
        <v>220.0</v>
      </c>
      <c r="Q104" s="616">
        <v>155.0</v>
      </c>
      <c r="R104" s="616">
        <v>375.0</v>
      </c>
      <c r="S104" s="616" t="s">
        <v>1271</v>
      </c>
      <c r="T104" s="616" t="s">
        <v>1272</v>
      </c>
      <c r="U104" s="616">
        <v>533929.761</v>
      </c>
      <c r="V104" s="616">
        <v>2670536.167</v>
      </c>
      <c r="W104" s="616"/>
      <c r="X104" s="138" t="s">
        <v>1273</v>
      </c>
      <c r="Y104" s="138" t="s">
        <v>1159</v>
      </c>
      <c r="Z104" s="620" t="s">
        <v>31</v>
      </c>
      <c r="AA104" s="616"/>
      <c r="AB104" s="616"/>
      <c r="AC104" s="616"/>
      <c r="AD104" s="621"/>
    </row>
    <row r="105" ht="24.75" customHeight="1">
      <c r="A105" s="598"/>
      <c r="B105" s="616"/>
      <c r="C105" s="616"/>
      <c r="D105" s="616"/>
      <c r="E105" s="616"/>
      <c r="F105" s="616">
        <v>475.0</v>
      </c>
      <c r="G105" s="616"/>
      <c r="H105" s="600"/>
      <c r="I105" s="616"/>
      <c r="J105" s="616"/>
      <c r="K105" s="616"/>
      <c r="L105" s="616"/>
      <c r="M105" s="616"/>
      <c r="N105" s="616"/>
      <c r="O105" s="616"/>
      <c r="P105" s="616"/>
      <c r="Q105" s="616"/>
      <c r="R105" s="616"/>
      <c r="S105" s="616"/>
      <c r="T105" s="616"/>
      <c r="U105" s="616"/>
      <c r="V105" s="616"/>
      <c r="W105" s="616" t="s">
        <v>1274</v>
      </c>
      <c r="X105" s="606"/>
      <c r="Y105" s="606"/>
      <c r="Z105" s="620"/>
      <c r="AA105" s="616"/>
      <c r="AB105" s="616"/>
      <c r="AC105" s="616"/>
      <c r="AD105" s="621"/>
    </row>
    <row r="106" ht="24.75" customHeight="1">
      <c r="A106" s="608">
        <v>49.0</v>
      </c>
      <c r="B106" s="616" t="s">
        <v>1275</v>
      </c>
      <c r="C106" s="616" t="s">
        <v>76</v>
      </c>
      <c r="D106" s="616" t="s">
        <v>69</v>
      </c>
      <c r="E106" s="616" t="s">
        <v>1276</v>
      </c>
      <c r="F106" s="616"/>
      <c r="G106" s="616" t="str">
        <f>SUM(F99:F105)</f>
        <v>1582</v>
      </c>
      <c r="H106" s="609" t="str">
        <f>H104+F105</f>
        <v>18728.43</v>
      </c>
      <c r="I106" s="616">
        <v>429.486</v>
      </c>
      <c r="J106" s="616">
        <v>95.72</v>
      </c>
      <c r="K106" s="616" t="str">
        <f>F105+F107</f>
        <v>671</v>
      </c>
      <c r="L106" s="616" t="str">
        <f>K106/2</f>
        <v>335.5</v>
      </c>
      <c r="M106" s="616">
        <v>359.0</v>
      </c>
      <c r="N106" s="616">
        <v>75.0</v>
      </c>
      <c r="O106" s="616">
        <v>434.0</v>
      </c>
      <c r="P106" s="616">
        <v>323.0</v>
      </c>
      <c r="Q106" s="616">
        <v>89.0</v>
      </c>
      <c r="R106" s="616">
        <v>412.0</v>
      </c>
      <c r="S106" s="616" t="s">
        <v>1277</v>
      </c>
      <c r="T106" s="616" t="s">
        <v>1278</v>
      </c>
      <c r="U106" s="616">
        <v>534385.651</v>
      </c>
      <c r="V106" s="616">
        <v>2670402.43</v>
      </c>
      <c r="W106" s="616"/>
      <c r="X106" s="138" t="s">
        <v>1273</v>
      </c>
      <c r="Y106" s="138" t="s">
        <v>1159</v>
      </c>
      <c r="Z106" s="620" t="s">
        <v>31</v>
      </c>
      <c r="AA106" s="616"/>
      <c r="AB106" s="616"/>
      <c r="AC106" s="616"/>
      <c r="AD106" s="621"/>
    </row>
    <row r="107" ht="12.75" customHeight="1">
      <c r="A107" s="598"/>
      <c r="B107" s="616"/>
      <c r="C107" s="616"/>
      <c r="D107" s="616"/>
      <c r="E107" s="616"/>
      <c r="F107" s="616">
        <v>196.0</v>
      </c>
      <c r="G107" s="616"/>
      <c r="H107" s="600"/>
      <c r="I107" s="616"/>
      <c r="J107" s="616"/>
      <c r="K107" s="616"/>
      <c r="L107" s="616"/>
      <c r="M107" s="616"/>
      <c r="N107" s="616"/>
      <c r="O107" s="616"/>
      <c r="P107" s="616"/>
      <c r="Q107" s="616"/>
      <c r="R107" s="616"/>
      <c r="S107" s="616"/>
      <c r="T107" s="616"/>
      <c r="U107" s="616"/>
      <c r="V107" s="616"/>
      <c r="W107" s="623" t="s">
        <v>1279</v>
      </c>
      <c r="X107" s="606"/>
      <c r="Y107" s="606"/>
      <c r="Z107" s="620"/>
      <c r="AA107" s="616"/>
      <c r="AB107" s="616"/>
      <c r="AC107" s="616"/>
      <c r="AD107" s="621"/>
    </row>
    <row r="108" ht="24.75" customHeight="1">
      <c r="A108" s="608">
        <v>50.0</v>
      </c>
      <c r="B108" s="616" t="s">
        <v>1280</v>
      </c>
      <c r="C108" s="616" t="s">
        <v>77</v>
      </c>
      <c r="D108" s="616" t="s">
        <v>69</v>
      </c>
      <c r="E108" s="616" t="s">
        <v>1281</v>
      </c>
      <c r="F108" s="616"/>
      <c r="G108" s="616" t="str">
        <f>F107</f>
        <v>196</v>
      </c>
      <c r="H108" s="609" t="str">
        <f>H106+F107</f>
        <v>18924.43</v>
      </c>
      <c r="I108" s="616">
        <v>430.037</v>
      </c>
      <c r="J108" s="616">
        <v>95.72</v>
      </c>
      <c r="K108" s="616" t="str">
        <f>F107+F109</f>
        <v>673</v>
      </c>
      <c r="L108" s="616" t="str">
        <f>K108/2</f>
        <v>336.5</v>
      </c>
      <c r="M108" s="616">
        <v>121.0</v>
      </c>
      <c r="N108" s="616">
        <v>349.0</v>
      </c>
      <c r="O108" s="616">
        <v>470.0</v>
      </c>
      <c r="P108" s="616">
        <v>107.0</v>
      </c>
      <c r="Q108" s="616">
        <v>315.0</v>
      </c>
      <c r="R108" s="616">
        <v>422.0</v>
      </c>
      <c r="S108" s="616" t="s">
        <v>1282</v>
      </c>
      <c r="T108" s="616" t="s">
        <v>1283</v>
      </c>
      <c r="U108" s="616">
        <v>534579.163</v>
      </c>
      <c r="V108" s="616">
        <v>2670433.506</v>
      </c>
      <c r="W108" s="623" t="s">
        <v>1284</v>
      </c>
      <c r="X108" s="138" t="s">
        <v>1273</v>
      </c>
      <c r="Y108" s="138" t="s">
        <v>1159</v>
      </c>
      <c r="Z108" s="620" t="s">
        <v>31</v>
      </c>
      <c r="AA108" s="623">
        <v>1.0</v>
      </c>
      <c r="AB108" s="623">
        <v>1.0</v>
      </c>
      <c r="AC108" s="623">
        <v>1.0</v>
      </c>
      <c r="AD108" s="624">
        <v>1.0</v>
      </c>
    </row>
    <row r="109" ht="24.75" customHeight="1">
      <c r="A109" s="598"/>
      <c r="B109" s="616"/>
      <c r="C109" s="616"/>
      <c r="D109" s="616"/>
      <c r="E109" s="616"/>
      <c r="F109" s="616">
        <v>477.0</v>
      </c>
      <c r="G109" s="616"/>
      <c r="H109" s="600"/>
      <c r="I109" s="616"/>
      <c r="J109" s="616"/>
      <c r="K109" s="616"/>
      <c r="L109" s="616"/>
      <c r="M109" s="616"/>
      <c r="N109" s="616"/>
      <c r="O109" s="616"/>
      <c r="P109" s="616"/>
      <c r="Q109" s="616"/>
      <c r="R109" s="616"/>
      <c r="S109" s="616"/>
      <c r="T109" s="616"/>
      <c r="U109" s="616"/>
      <c r="V109" s="616"/>
      <c r="W109" s="616" t="s">
        <v>1270</v>
      </c>
      <c r="X109" s="606"/>
      <c r="Y109" s="606"/>
      <c r="Z109" s="620"/>
      <c r="AA109" s="616"/>
      <c r="AB109" s="616"/>
      <c r="AC109" s="616"/>
      <c r="AD109" s="621"/>
    </row>
    <row r="110" ht="24.75" customHeight="1">
      <c r="A110" s="608">
        <v>51.0</v>
      </c>
      <c r="B110" s="616" t="s">
        <v>1101</v>
      </c>
      <c r="C110" s="616" t="s">
        <v>78</v>
      </c>
      <c r="D110" s="616" t="s">
        <v>34</v>
      </c>
      <c r="E110" s="616" t="s">
        <v>1101</v>
      </c>
      <c r="F110" s="616"/>
      <c r="G110" s="616"/>
      <c r="H110" s="609" t="str">
        <f>H108+F109</f>
        <v>19401.43</v>
      </c>
      <c r="I110" s="616">
        <v>428.713</v>
      </c>
      <c r="J110" s="616">
        <v>75.5</v>
      </c>
      <c r="K110" s="616" t="str">
        <f>F109+F111</f>
        <v>840</v>
      </c>
      <c r="L110" s="616" t="str">
        <f>K110/2</f>
        <v>420</v>
      </c>
      <c r="M110" s="616">
        <v>129.0</v>
      </c>
      <c r="N110" s="616">
        <v>219.0</v>
      </c>
      <c r="O110" s="616">
        <v>348.0</v>
      </c>
      <c r="P110" s="616">
        <v>165.0</v>
      </c>
      <c r="Q110" s="616">
        <v>207.0</v>
      </c>
      <c r="R110" s="616">
        <v>372.0</v>
      </c>
      <c r="S110" s="616" t="s">
        <v>1285</v>
      </c>
      <c r="T110" s="616" t="s">
        <v>1286</v>
      </c>
      <c r="U110" s="616">
        <v>535032.758</v>
      </c>
      <c r="V110" s="616">
        <v>2670285.922</v>
      </c>
      <c r="W110" s="616"/>
      <c r="X110" s="138" t="s">
        <v>1273</v>
      </c>
      <c r="Y110" s="138" t="s">
        <v>1159</v>
      </c>
      <c r="Z110" s="620" t="s">
        <v>31</v>
      </c>
      <c r="AA110" s="616"/>
      <c r="AB110" s="616"/>
      <c r="AC110" s="616"/>
      <c r="AD110" s="621"/>
    </row>
    <row r="111" ht="24.75" customHeight="1">
      <c r="A111" s="598"/>
      <c r="B111" s="616"/>
      <c r="C111" s="616"/>
      <c r="D111" s="616"/>
      <c r="E111" s="616"/>
      <c r="F111" s="616">
        <v>363.0</v>
      </c>
      <c r="G111" s="616"/>
      <c r="H111" s="600"/>
      <c r="I111" s="616"/>
      <c r="J111" s="616"/>
      <c r="K111" s="616"/>
      <c r="L111" s="616"/>
      <c r="M111" s="616"/>
      <c r="N111" s="616"/>
      <c r="O111" s="616"/>
      <c r="P111" s="616"/>
      <c r="Q111" s="616"/>
      <c r="R111" s="616"/>
      <c r="S111" s="616"/>
      <c r="T111" s="616"/>
      <c r="U111" s="616"/>
      <c r="V111" s="616"/>
      <c r="W111" s="616" t="s">
        <v>1237</v>
      </c>
      <c r="X111" s="606"/>
      <c r="Y111" s="606"/>
      <c r="Z111" s="620"/>
      <c r="AA111" s="616"/>
      <c r="AB111" s="616"/>
      <c r="AC111" s="616"/>
      <c r="AD111" s="621"/>
    </row>
    <row r="112" ht="24.75" customHeight="1">
      <c r="A112" s="608">
        <v>52.0</v>
      </c>
      <c r="B112" s="616" t="s">
        <v>1101</v>
      </c>
      <c r="C112" s="616" t="s">
        <v>79</v>
      </c>
      <c r="D112" s="616" t="s">
        <v>15</v>
      </c>
      <c r="E112" s="616" t="s">
        <v>1101</v>
      </c>
      <c r="F112" s="616"/>
      <c r="G112" s="616"/>
      <c r="H112" s="609" t="str">
        <f>H110+F111</f>
        <v>19764.43</v>
      </c>
      <c r="I112" s="616">
        <v>428.434</v>
      </c>
      <c r="J112" s="616">
        <v>69.5</v>
      </c>
      <c r="K112" s="616" t="str">
        <f>F111+F113</f>
        <v>691</v>
      </c>
      <c r="L112" s="616" t="str">
        <f>K112/2</f>
        <v>345.5</v>
      </c>
      <c r="M112" s="616">
        <v>145.0</v>
      </c>
      <c r="N112" s="616">
        <v>156.0</v>
      </c>
      <c r="O112" s="616">
        <v>301.0</v>
      </c>
      <c r="P112" s="616">
        <v>157.0</v>
      </c>
      <c r="Q112" s="616">
        <v>159.0</v>
      </c>
      <c r="R112" s="616">
        <v>316.0</v>
      </c>
      <c r="S112" s="616" t="s">
        <v>1287</v>
      </c>
      <c r="T112" s="616" t="s">
        <v>1288</v>
      </c>
      <c r="U112" s="616">
        <v>535377.946</v>
      </c>
      <c r="V112" s="616">
        <v>2670173.61</v>
      </c>
      <c r="W112" s="616"/>
      <c r="X112" s="138" t="s">
        <v>1273</v>
      </c>
      <c r="Y112" s="138" t="s">
        <v>1159</v>
      </c>
      <c r="Z112" s="620" t="s">
        <v>31</v>
      </c>
      <c r="AA112" s="616"/>
      <c r="AB112" s="616"/>
      <c r="AC112" s="616"/>
      <c r="AD112" s="621"/>
    </row>
    <row r="113" ht="24.75" customHeight="1">
      <c r="A113" s="598"/>
      <c r="B113" s="616"/>
      <c r="C113" s="616"/>
      <c r="D113" s="616"/>
      <c r="E113" s="616"/>
      <c r="F113" s="616">
        <v>328.0</v>
      </c>
      <c r="G113" s="616"/>
      <c r="H113" s="600"/>
      <c r="I113" s="616"/>
      <c r="J113" s="616"/>
      <c r="K113" s="616"/>
      <c r="L113" s="616"/>
      <c r="M113" s="616"/>
      <c r="N113" s="616"/>
      <c r="O113" s="616"/>
      <c r="P113" s="616"/>
      <c r="Q113" s="616"/>
      <c r="R113" s="616"/>
      <c r="S113" s="616"/>
      <c r="T113" s="616"/>
      <c r="U113" s="616"/>
      <c r="V113" s="616"/>
      <c r="W113" s="616"/>
      <c r="X113" s="606"/>
      <c r="Y113" s="606"/>
      <c r="Z113" s="620"/>
      <c r="AA113" s="616"/>
      <c r="AB113" s="616"/>
      <c r="AC113" s="616"/>
      <c r="AD113" s="621"/>
    </row>
    <row r="114" ht="24.75" customHeight="1">
      <c r="A114" s="608">
        <v>53.0</v>
      </c>
      <c r="B114" s="616" t="s">
        <v>1101</v>
      </c>
      <c r="C114" s="616" t="s">
        <v>80</v>
      </c>
      <c r="D114" s="616" t="s">
        <v>15</v>
      </c>
      <c r="E114" s="616" t="s">
        <v>1101</v>
      </c>
      <c r="F114" s="616"/>
      <c r="G114" s="616"/>
      <c r="H114" s="609" t="str">
        <f>H112+F113</f>
        <v>20092.43</v>
      </c>
      <c r="I114" s="616">
        <v>429.607</v>
      </c>
      <c r="J114" s="616">
        <v>69.5</v>
      </c>
      <c r="K114" s="616" t="str">
        <f>F113+F115</f>
        <v>704</v>
      </c>
      <c r="L114" s="616" t="str">
        <f>K114/2</f>
        <v>352</v>
      </c>
      <c r="M114" s="616">
        <v>172.0</v>
      </c>
      <c r="N114" s="616">
        <v>161.0</v>
      </c>
      <c r="O114" s="616">
        <v>333.0</v>
      </c>
      <c r="P114" s="616">
        <v>170.0</v>
      </c>
      <c r="Q114" s="616">
        <v>170.0</v>
      </c>
      <c r="R114" s="616">
        <v>340.0</v>
      </c>
      <c r="S114" s="616" t="s">
        <v>1289</v>
      </c>
      <c r="T114" s="616" t="s">
        <v>1290</v>
      </c>
      <c r="U114" s="616">
        <v>535689.851</v>
      </c>
      <c r="V114" s="616">
        <v>2670072.126</v>
      </c>
      <c r="W114" s="616"/>
      <c r="X114" s="138" t="s">
        <v>1273</v>
      </c>
      <c r="Y114" s="138" t="s">
        <v>1159</v>
      </c>
      <c r="Z114" s="620" t="s">
        <v>31</v>
      </c>
      <c r="AA114" s="616"/>
      <c r="AB114" s="616"/>
      <c r="AC114" s="616"/>
      <c r="AD114" s="621"/>
    </row>
    <row r="115" ht="24.75" customHeight="1">
      <c r="A115" s="598"/>
      <c r="B115" s="616"/>
      <c r="C115" s="616"/>
      <c r="D115" s="616"/>
      <c r="E115" s="616"/>
      <c r="F115" s="616">
        <v>376.0</v>
      </c>
      <c r="G115" s="616"/>
      <c r="H115" s="600"/>
      <c r="I115" s="616"/>
      <c r="J115" s="616"/>
      <c r="K115" s="616"/>
      <c r="L115" s="616"/>
      <c r="M115" s="616"/>
      <c r="N115" s="616"/>
      <c r="O115" s="616"/>
      <c r="P115" s="616"/>
      <c r="Q115" s="616"/>
      <c r="R115" s="616"/>
      <c r="S115" s="616"/>
      <c r="T115" s="616"/>
      <c r="U115" s="616"/>
      <c r="V115" s="616"/>
      <c r="W115" s="616" t="s">
        <v>1219</v>
      </c>
      <c r="X115" s="606"/>
      <c r="Y115" s="606"/>
      <c r="Z115" s="620"/>
      <c r="AA115" s="616"/>
      <c r="AB115" s="616"/>
      <c r="AC115" s="616"/>
      <c r="AD115" s="621"/>
    </row>
    <row r="116" ht="24.75" customHeight="1">
      <c r="A116" s="608">
        <v>54.0</v>
      </c>
      <c r="B116" s="616" t="s">
        <v>1101</v>
      </c>
      <c r="C116" s="616" t="s">
        <v>81</v>
      </c>
      <c r="D116" s="616" t="s">
        <v>33</v>
      </c>
      <c r="E116" s="616" t="s">
        <v>1101</v>
      </c>
      <c r="F116" s="616"/>
      <c r="G116" s="616"/>
      <c r="H116" s="609" t="str">
        <f>H114+F115</f>
        <v>20468.43</v>
      </c>
      <c r="I116" s="622">
        <v>431.437</v>
      </c>
      <c r="J116" s="616">
        <v>72.5</v>
      </c>
      <c r="K116" s="616" t="str">
        <f>F115+F117</f>
        <v>769</v>
      </c>
      <c r="L116" s="616" t="str">
        <f>K116/2</f>
        <v>384.5</v>
      </c>
      <c r="M116" s="616">
        <v>216.0</v>
      </c>
      <c r="N116" s="616">
        <v>180.0</v>
      </c>
      <c r="O116" s="616">
        <v>396.0</v>
      </c>
      <c r="P116" s="616">
        <v>207.0</v>
      </c>
      <c r="Q116" s="616">
        <v>185.0</v>
      </c>
      <c r="R116" s="616">
        <v>392.0</v>
      </c>
      <c r="S116" s="616" t="s">
        <v>1291</v>
      </c>
      <c r="T116" s="616" t="s">
        <v>1292</v>
      </c>
      <c r="U116" s="616">
        <v>536047.402</v>
      </c>
      <c r="V116" s="616">
        <v>2669955.792</v>
      </c>
      <c r="W116" s="616"/>
      <c r="X116" s="138" t="s">
        <v>1273</v>
      </c>
      <c r="Y116" s="138" t="s">
        <v>1159</v>
      </c>
      <c r="Z116" s="620" t="s">
        <v>31</v>
      </c>
      <c r="AA116" s="616"/>
      <c r="AB116" s="616"/>
      <c r="AC116" s="616"/>
      <c r="AD116" s="621"/>
    </row>
    <row r="117" ht="24.75" customHeight="1">
      <c r="A117" s="598"/>
      <c r="B117" s="616"/>
      <c r="C117" s="616"/>
      <c r="D117" s="616"/>
      <c r="E117" s="616"/>
      <c r="F117" s="616">
        <v>393.0</v>
      </c>
      <c r="G117" s="616"/>
      <c r="H117" s="600"/>
      <c r="I117" s="616"/>
      <c r="J117" s="616"/>
      <c r="K117" s="616"/>
      <c r="L117" s="616"/>
      <c r="M117" s="616"/>
      <c r="N117" s="616"/>
      <c r="O117" s="616"/>
      <c r="P117" s="616"/>
      <c r="Q117" s="616"/>
      <c r="R117" s="616"/>
      <c r="S117" s="616"/>
      <c r="T117" s="616"/>
      <c r="U117" s="616"/>
      <c r="V117" s="616"/>
      <c r="W117" s="616" t="s">
        <v>1205</v>
      </c>
      <c r="X117" s="606"/>
      <c r="Y117" s="606"/>
      <c r="Z117" s="620"/>
      <c r="AA117" s="616"/>
      <c r="AB117" s="616"/>
      <c r="AC117" s="616"/>
      <c r="AD117" s="621"/>
    </row>
    <row r="118" ht="24.75" customHeight="1">
      <c r="A118" s="608">
        <v>55.0</v>
      </c>
      <c r="B118" s="616" t="s">
        <v>1101</v>
      </c>
      <c r="C118" s="616" t="s">
        <v>82</v>
      </c>
      <c r="D118" s="616" t="s">
        <v>35</v>
      </c>
      <c r="E118" s="616" t="s">
        <v>1101</v>
      </c>
      <c r="F118" s="616"/>
      <c r="G118" s="616"/>
      <c r="H118" s="609" t="str">
        <f>H116+F117</f>
        <v>20861.43</v>
      </c>
      <c r="I118" s="616">
        <v>433.068</v>
      </c>
      <c r="J118" s="616">
        <v>74.0</v>
      </c>
      <c r="K118" s="616" t="str">
        <f>F117+F119</f>
        <v>790</v>
      </c>
      <c r="L118" s="616" t="str">
        <f>K118/2</f>
        <v>395</v>
      </c>
      <c r="M118" s="616">
        <v>214.0</v>
      </c>
      <c r="N118" s="616">
        <v>209.0</v>
      </c>
      <c r="O118" s="616">
        <v>423.0</v>
      </c>
      <c r="P118" s="616">
        <v>209.0</v>
      </c>
      <c r="Q118" s="616">
        <v>206.0</v>
      </c>
      <c r="R118" s="616">
        <v>415.0</v>
      </c>
      <c r="S118" s="616" t="s">
        <v>1293</v>
      </c>
      <c r="T118" s="616" t="s">
        <v>1294</v>
      </c>
      <c r="U118" s="616">
        <v>536421.118</v>
      </c>
      <c r="V118" s="616">
        <v>2669834.197</v>
      </c>
      <c r="W118" s="616"/>
      <c r="X118" s="138" t="s">
        <v>1295</v>
      </c>
      <c r="Y118" s="138" t="s">
        <v>1159</v>
      </c>
      <c r="Z118" s="620" t="s">
        <v>31</v>
      </c>
      <c r="AA118" s="616"/>
      <c r="AB118" s="616"/>
      <c r="AC118" s="616"/>
      <c r="AD118" s="621"/>
    </row>
    <row r="119" ht="24.75" customHeight="1">
      <c r="A119" s="598"/>
      <c r="B119" s="616"/>
      <c r="C119" s="616"/>
      <c r="D119" s="616"/>
      <c r="E119" s="616"/>
      <c r="F119" s="616">
        <v>397.0</v>
      </c>
      <c r="G119" s="616"/>
      <c r="H119" s="600"/>
      <c r="I119" s="616"/>
      <c r="J119" s="616"/>
      <c r="K119" s="616"/>
      <c r="L119" s="616"/>
      <c r="M119" s="616"/>
      <c r="N119" s="616"/>
      <c r="O119" s="616"/>
      <c r="P119" s="616"/>
      <c r="Q119" s="616"/>
      <c r="R119" s="616"/>
      <c r="S119" s="616"/>
      <c r="T119" s="616"/>
      <c r="U119" s="616"/>
      <c r="V119" s="616"/>
      <c r="W119" s="616" t="s">
        <v>1251</v>
      </c>
      <c r="X119" s="606"/>
      <c r="Y119" s="606"/>
      <c r="Z119" s="620"/>
      <c r="AA119" s="616"/>
      <c r="AB119" s="616"/>
      <c r="AC119" s="616"/>
      <c r="AD119" s="621"/>
    </row>
    <row r="120" ht="24.75" customHeight="1">
      <c r="A120" s="608">
        <v>56.0</v>
      </c>
      <c r="B120" s="616" t="s">
        <v>1101</v>
      </c>
      <c r="C120" s="616" t="s">
        <v>83</v>
      </c>
      <c r="D120" s="616" t="s">
        <v>33</v>
      </c>
      <c r="E120" s="616" t="s">
        <v>1101</v>
      </c>
      <c r="F120" s="616"/>
      <c r="G120" s="616"/>
      <c r="H120" s="609" t="str">
        <f>H118+F119</f>
        <v>21258.43</v>
      </c>
      <c r="I120" s="622">
        <v>432.71</v>
      </c>
      <c r="J120" s="616">
        <v>72.5</v>
      </c>
      <c r="K120" s="616" t="str">
        <f>F119+F121</f>
        <v>791</v>
      </c>
      <c r="L120" s="616" t="str">
        <f>K120/2</f>
        <v>395.5</v>
      </c>
      <c r="M120" s="616">
        <v>189.0</v>
      </c>
      <c r="N120" s="616">
        <v>199.0</v>
      </c>
      <c r="O120" s="616">
        <v>388.0</v>
      </c>
      <c r="P120" s="616">
        <v>192.0</v>
      </c>
      <c r="Q120" s="616">
        <v>199.0</v>
      </c>
      <c r="R120" s="616">
        <v>391.0</v>
      </c>
      <c r="S120" s="616" t="s">
        <v>1296</v>
      </c>
      <c r="T120" s="616" t="s">
        <v>1297</v>
      </c>
      <c r="U120" s="616">
        <v>536798.638</v>
      </c>
      <c r="V120" s="616">
        <v>2669711.365</v>
      </c>
      <c r="W120" s="616"/>
      <c r="X120" s="138" t="s">
        <v>1295</v>
      </c>
      <c r="Y120" s="138" t="s">
        <v>1159</v>
      </c>
      <c r="Z120" s="620" t="s">
        <v>31</v>
      </c>
      <c r="AA120" s="616"/>
      <c r="AB120" s="616"/>
      <c r="AC120" s="616"/>
      <c r="AD120" s="621"/>
    </row>
    <row r="121" ht="24.75" customHeight="1">
      <c r="A121" s="598"/>
      <c r="B121" s="616"/>
      <c r="C121" s="616"/>
      <c r="D121" s="616"/>
      <c r="E121" s="616"/>
      <c r="F121" s="616">
        <v>394.0</v>
      </c>
      <c r="G121" s="616"/>
      <c r="H121" s="600"/>
      <c r="I121" s="616"/>
      <c r="J121" s="616"/>
      <c r="K121" s="616"/>
      <c r="L121" s="616"/>
      <c r="M121" s="616"/>
      <c r="N121" s="616"/>
      <c r="O121" s="616"/>
      <c r="P121" s="616"/>
      <c r="Q121" s="616"/>
      <c r="R121" s="616"/>
      <c r="S121" s="616"/>
      <c r="T121" s="616"/>
      <c r="U121" s="616"/>
      <c r="V121" s="616"/>
      <c r="W121" s="616" t="s">
        <v>1298</v>
      </c>
      <c r="X121" s="606"/>
      <c r="Y121" s="606"/>
      <c r="Z121" s="620"/>
      <c r="AA121" s="616"/>
      <c r="AB121" s="616"/>
      <c r="AC121" s="616"/>
      <c r="AD121" s="621"/>
    </row>
    <row r="122" ht="24.75" customHeight="1">
      <c r="A122" s="608">
        <v>57.0</v>
      </c>
      <c r="B122" s="616" t="s">
        <v>1101</v>
      </c>
      <c r="C122" s="616" t="s">
        <v>84</v>
      </c>
      <c r="D122" s="616" t="s">
        <v>33</v>
      </c>
      <c r="E122" s="616" t="s">
        <v>1101</v>
      </c>
      <c r="F122" s="616"/>
      <c r="G122" s="616"/>
      <c r="H122" s="609" t="str">
        <f>H120+F121</f>
        <v>21652.43</v>
      </c>
      <c r="I122" s="622">
        <v>432.437</v>
      </c>
      <c r="J122" s="616">
        <v>72.5</v>
      </c>
      <c r="K122" s="616" t="str">
        <f>F121+F123</f>
        <v>767</v>
      </c>
      <c r="L122" s="616" t="str">
        <f>K122/2</f>
        <v>383.5</v>
      </c>
      <c r="M122" s="616">
        <v>196.0</v>
      </c>
      <c r="N122" s="616">
        <v>194.0</v>
      </c>
      <c r="O122" s="616">
        <v>390.0</v>
      </c>
      <c r="P122" s="616">
        <v>197.0</v>
      </c>
      <c r="Q122" s="616">
        <v>192.0</v>
      </c>
      <c r="R122" s="616">
        <v>389.0</v>
      </c>
      <c r="S122" s="616" t="s">
        <v>1299</v>
      </c>
      <c r="T122" s="616" t="s">
        <v>1300</v>
      </c>
      <c r="U122" s="616">
        <v>537173.305</v>
      </c>
      <c r="V122" s="616">
        <v>2669589.462</v>
      </c>
      <c r="W122" s="616"/>
      <c r="X122" s="138" t="s">
        <v>1295</v>
      </c>
      <c r="Y122" s="138" t="s">
        <v>1159</v>
      </c>
      <c r="Z122" s="620" t="s">
        <v>31</v>
      </c>
      <c r="AA122" s="616"/>
      <c r="AB122" s="616"/>
      <c r="AC122" s="616"/>
      <c r="AD122" s="621"/>
    </row>
    <row r="123" ht="24.75" customHeight="1">
      <c r="A123" s="598"/>
      <c r="B123" s="616"/>
      <c r="C123" s="616"/>
      <c r="D123" s="616"/>
      <c r="E123" s="616"/>
      <c r="F123" s="616">
        <v>373.0</v>
      </c>
      <c r="G123" s="616"/>
      <c r="H123" s="600"/>
      <c r="I123" s="616"/>
      <c r="J123" s="616"/>
      <c r="K123" s="616"/>
      <c r="L123" s="616"/>
      <c r="M123" s="616"/>
      <c r="N123" s="616"/>
      <c r="O123" s="616"/>
      <c r="P123" s="616"/>
      <c r="Q123" s="616"/>
      <c r="R123" s="616"/>
      <c r="S123" s="616"/>
      <c r="T123" s="616"/>
      <c r="U123" s="616"/>
      <c r="V123" s="616"/>
      <c r="W123" s="616" t="s">
        <v>1205</v>
      </c>
      <c r="X123" s="606"/>
      <c r="Y123" s="606"/>
      <c r="Z123" s="620"/>
      <c r="AA123" s="616"/>
      <c r="AB123" s="616"/>
      <c r="AC123" s="616"/>
      <c r="AD123" s="621"/>
    </row>
    <row r="124" ht="24.75" customHeight="1">
      <c r="A124" s="608">
        <v>58.0</v>
      </c>
      <c r="B124" s="616" t="s">
        <v>1301</v>
      </c>
      <c r="C124" s="616" t="s">
        <v>85</v>
      </c>
      <c r="D124" s="616" t="s">
        <v>51</v>
      </c>
      <c r="E124" s="616" t="s">
        <v>1302</v>
      </c>
      <c r="F124" s="616"/>
      <c r="G124" s="616" t="str">
        <f>SUM(F109:F123)</f>
        <v>3101</v>
      </c>
      <c r="H124" s="609" t="str">
        <f>H122+F123</f>
        <v>22025.43</v>
      </c>
      <c r="I124" s="616">
        <v>431.107</v>
      </c>
      <c r="J124" s="138">
        <v>70.72</v>
      </c>
      <c r="K124" s="616" t="str">
        <f>F123+F125</f>
        <v>730</v>
      </c>
      <c r="L124" s="616" t="str">
        <f>K124/2</f>
        <v>365</v>
      </c>
      <c r="M124" s="616">
        <v>179.0</v>
      </c>
      <c r="N124" s="616">
        <v>194.0</v>
      </c>
      <c r="O124" s="616">
        <v>373.0</v>
      </c>
      <c r="P124" s="616">
        <v>182.0</v>
      </c>
      <c r="Q124" s="616">
        <v>189.0</v>
      </c>
      <c r="R124" s="616">
        <v>371.0</v>
      </c>
      <c r="S124" s="616" t="s">
        <v>1303</v>
      </c>
      <c r="T124" s="616" t="s">
        <v>1304</v>
      </c>
      <c r="U124" s="616">
        <v>537527.991</v>
      </c>
      <c r="V124" s="616">
        <v>2669474.059</v>
      </c>
      <c r="W124" s="616"/>
      <c r="X124" s="138" t="s">
        <v>1295</v>
      </c>
      <c r="Y124" s="138" t="s">
        <v>1159</v>
      </c>
      <c r="Z124" s="620" t="s">
        <v>31</v>
      </c>
      <c r="AA124" s="616"/>
      <c r="AB124" s="616"/>
      <c r="AC124" s="616"/>
      <c r="AD124" s="621"/>
    </row>
    <row r="125" ht="24.75" customHeight="1">
      <c r="A125" s="598"/>
      <c r="B125" s="616"/>
      <c r="C125" s="616"/>
      <c r="D125" s="616"/>
      <c r="E125" s="616"/>
      <c r="F125" s="616">
        <v>357.0</v>
      </c>
      <c r="G125" s="616"/>
      <c r="H125" s="600"/>
      <c r="I125" s="616"/>
      <c r="J125" s="616"/>
      <c r="K125" s="616"/>
      <c r="L125" s="616"/>
      <c r="M125" s="616"/>
      <c r="N125" s="616"/>
      <c r="O125" s="616"/>
      <c r="P125" s="616"/>
      <c r="Q125" s="616"/>
      <c r="R125" s="616"/>
      <c r="S125" s="616"/>
      <c r="T125" s="616"/>
      <c r="U125" s="616"/>
      <c r="V125" s="616"/>
      <c r="W125" s="616" t="s">
        <v>1305</v>
      </c>
      <c r="X125" s="606"/>
      <c r="Y125" s="606"/>
      <c r="Z125" s="620"/>
      <c r="AA125" s="616"/>
      <c r="AB125" s="616"/>
      <c r="AC125" s="616"/>
      <c r="AD125" s="621"/>
    </row>
    <row r="126" ht="24.75" customHeight="1">
      <c r="A126" s="608">
        <v>59.0</v>
      </c>
      <c r="B126" s="616" t="s">
        <v>1101</v>
      </c>
      <c r="C126" s="616" t="s">
        <v>86</v>
      </c>
      <c r="D126" s="616" t="s">
        <v>11</v>
      </c>
      <c r="E126" s="616" t="s">
        <v>1101</v>
      </c>
      <c r="F126" s="616"/>
      <c r="G126" s="616"/>
      <c r="H126" s="609" t="str">
        <f>H124+F125</f>
        <v>22382.43</v>
      </c>
      <c r="I126" s="616">
        <v>430.193</v>
      </c>
      <c r="J126" s="616">
        <v>71.0</v>
      </c>
      <c r="K126" s="616" t="str">
        <f>F125+F127</f>
        <v>731</v>
      </c>
      <c r="L126" s="616" t="str">
        <f>K126/2</f>
        <v>365.5</v>
      </c>
      <c r="M126" s="616">
        <v>164.0</v>
      </c>
      <c r="N126" s="616">
        <v>179.0</v>
      </c>
      <c r="O126" s="616">
        <v>343.0</v>
      </c>
      <c r="P126" s="616">
        <v>169.0</v>
      </c>
      <c r="Q126" s="616">
        <v>183.0</v>
      </c>
      <c r="R126" s="616">
        <v>352.0</v>
      </c>
      <c r="S126" s="616" t="s">
        <v>1306</v>
      </c>
      <c r="T126" s="616" t="s">
        <v>1307</v>
      </c>
      <c r="U126" s="616">
        <v>537844.803</v>
      </c>
      <c r="V126" s="616">
        <v>2669309.499</v>
      </c>
      <c r="W126" s="616"/>
      <c r="X126" s="138" t="s">
        <v>1295</v>
      </c>
      <c r="Y126" s="138" t="s">
        <v>1159</v>
      </c>
      <c r="Z126" s="620" t="s">
        <v>31</v>
      </c>
      <c r="AA126" s="616"/>
      <c r="AB126" s="616"/>
      <c r="AC126" s="616"/>
      <c r="AD126" s="621"/>
    </row>
    <row r="127" ht="24.75" customHeight="1">
      <c r="A127" s="598"/>
      <c r="B127" s="616"/>
      <c r="C127" s="616"/>
      <c r="D127" s="616"/>
      <c r="E127" s="616"/>
      <c r="F127" s="616">
        <v>374.0</v>
      </c>
      <c r="G127" s="616"/>
      <c r="H127" s="600"/>
      <c r="I127" s="616"/>
      <c r="J127" s="616"/>
      <c r="K127" s="616"/>
      <c r="L127" s="616"/>
      <c r="M127" s="616"/>
      <c r="N127" s="616"/>
      <c r="O127" s="616"/>
      <c r="P127" s="616"/>
      <c r="Q127" s="616"/>
      <c r="R127" s="616"/>
      <c r="S127" s="616"/>
      <c r="T127" s="616"/>
      <c r="U127" s="616"/>
      <c r="V127" s="616"/>
      <c r="W127" s="616" t="s">
        <v>1308</v>
      </c>
      <c r="X127" s="606"/>
      <c r="Y127" s="606"/>
      <c r="Z127" s="620"/>
      <c r="AA127" s="616"/>
      <c r="AB127" s="616"/>
      <c r="AC127" s="616"/>
      <c r="AD127" s="621"/>
    </row>
    <row r="128" ht="24.75" customHeight="1">
      <c r="A128" s="608">
        <v>60.0</v>
      </c>
      <c r="B128" s="616" t="s">
        <v>1101</v>
      </c>
      <c r="C128" s="616" t="s">
        <v>87</v>
      </c>
      <c r="D128" s="616" t="s">
        <v>33</v>
      </c>
      <c r="E128" s="616" t="s">
        <v>1101</v>
      </c>
      <c r="F128" s="616"/>
      <c r="G128" s="616"/>
      <c r="H128" s="609" t="str">
        <f>H126+F127</f>
        <v>22756.43</v>
      </c>
      <c r="I128" s="622">
        <v>430.005</v>
      </c>
      <c r="J128" s="616">
        <v>72.5</v>
      </c>
      <c r="K128" s="616" t="str">
        <f>F127+F129</f>
        <v>754</v>
      </c>
      <c r="L128" s="616" t="str">
        <f>K128/2</f>
        <v>377</v>
      </c>
      <c r="M128" s="616">
        <v>195.0</v>
      </c>
      <c r="N128" s="616">
        <v>200.0</v>
      </c>
      <c r="O128" s="616">
        <v>395.0</v>
      </c>
      <c r="P128" s="616">
        <v>193.0</v>
      </c>
      <c r="Q128" s="616">
        <v>197.0</v>
      </c>
      <c r="R128" s="616">
        <v>390.0</v>
      </c>
      <c r="S128" s="616" t="s">
        <v>1309</v>
      </c>
      <c r="T128" s="616" t="s">
        <v>1310</v>
      </c>
      <c r="U128" s="616">
        <v>538176.7</v>
      </c>
      <c r="V128" s="616">
        <v>2669137.104</v>
      </c>
      <c r="W128" s="616"/>
      <c r="X128" s="138" t="s">
        <v>1311</v>
      </c>
      <c r="Y128" s="138" t="s">
        <v>1159</v>
      </c>
      <c r="Z128" s="620" t="s">
        <v>31</v>
      </c>
      <c r="AA128" s="616"/>
      <c r="AB128" s="616"/>
      <c r="AC128" s="616"/>
      <c r="AD128" s="621"/>
    </row>
    <row r="129" ht="24.75" customHeight="1">
      <c r="A129" s="598"/>
      <c r="B129" s="616"/>
      <c r="C129" s="616"/>
      <c r="D129" s="616"/>
      <c r="E129" s="616"/>
      <c r="F129" s="616">
        <v>380.0</v>
      </c>
      <c r="G129" s="616"/>
      <c r="H129" s="600"/>
      <c r="I129" s="616"/>
      <c r="J129" s="616"/>
      <c r="K129" s="616"/>
      <c r="L129" s="616"/>
      <c r="M129" s="616"/>
      <c r="N129" s="616"/>
      <c r="O129" s="616"/>
      <c r="P129" s="616"/>
      <c r="Q129" s="616"/>
      <c r="R129" s="616"/>
      <c r="S129" s="616"/>
      <c r="T129" s="616"/>
      <c r="U129" s="616"/>
      <c r="V129" s="616"/>
      <c r="W129" s="616" t="s">
        <v>1312</v>
      </c>
      <c r="X129" s="606"/>
      <c r="Y129" s="606"/>
      <c r="Z129" s="620"/>
      <c r="AA129" s="616"/>
      <c r="AB129" s="616"/>
      <c r="AC129" s="616"/>
      <c r="AD129" s="621"/>
    </row>
    <row r="130" ht="24.75" customHeight="1">
      <c r="A130" s="608">
        <v>61.0</v>
      </c>
      <c r="B130" s="616" t="s">
        <v>1101</v>
      </c>
      <c r="C130" s="616" t="s">
        <v>88</v>
      </c>
      <c r="D130" s="616" t="s">
        <v>33</v>
      </c>
      <c r="E130" s="616" t="s">
        <v>1101</v>
      </c>
      <c r="F130" s="616"/>
      <c r="G130" s="616"/>
      <c r="H130" s="609" t="str">
        <f>H128+F129</f>
        <v>23136.43</v>
      </c>
      <c r="I130" s="622">
        <v>428.413</v>
      </c>
      <c r="J130" s="616">
        <v>72.5</v>
      </c>
      <c r="K130" s="616" t="str">
        <f>F129+F131</f>
        <v>724</v>
      </c>
      <c r="L130" s="616" t="str">
        <f>K130/2</f>
        <v>362</v>
      </c>
      <c r="M130" s="616">
        <v>181.0</v>
      </c>
      <c r="N130" s="616">
        <v>197.0</v>
      </c>
      <c r="O130" s="616">
        <v>378.0</v>
      </c>
      <c r="P130" s="616">
        <v>185.0</v>
      </c>
      <c r="Q130" s="616">
        <v>189.0</v>
      </c>
      <c r="R130" s="616">
        <v>374.0</v>
      </c>
      <c r="S130" s="616" t="s">
        <v>1313</v>
      </c>
      <c r="T130" s="616" t="s">
        <v>1314</v>
      </c>
      <c r="U130" s="616">
        <v>538513.922</v>
      </c>
      <c r="V130" s="616">
        <v>2668961.943</v>
      </c>
      <c r="W130" s="616"/>
      <c r="X130" s="138" t="s">
        <v>1311</v>
      </c>
      <c r="Y130" s="138" t="s">
        <v>1159</v>
      </c>
      <c r="Z130" s="620" t="s">
        <v>31</v>
      </c>
      <c r="AA130" s="616"/>
      <c r="AB130" s="616"/>
      <c r="AC130" s="616"/>
      <c r="AD130" s="621"/>
    </row>
    <row r="131" ht="24.75" customHeight="1">
      <c r="A131" s="598"/>
      <c r="B131" s="616"/>
      <c r="C131" s="616"/>
      <c r="D131" s="616"/>
      <c r="E131" s="616"/>
      <c r="F131" s="616">
        <v>344.0</v>
      </c>
      <c r="G131" s="616"/>
      <c r="H131" s="600"/>
      <c r="I131" s="616"/>
      <c r="J131" s="616"/>
      <c r="K131" s="616"/>
      <c r="L131" s="616"/>
      <c r="M131" s="616"/>
      <c r="N131" s="616"/>
      <c r="O131" s="616"/>
      <c r="P131" s="616"/>
      <c r="Q131" s="616"/>
      <c r="R131" s="616"/>
      <c r="S131" s="616"/>
      <c r="T131" s="616"/>
      <c r="U131" s="616"/>
      <c r="V131" s="616"/>
      <c r="W131" s="616" t="s">
        <v>1219</v>
      </c>
      <c r="X131" s="606"/>
      <c r="Y131" s="606"/>
      <c r="Z131" s="620"/>
      <c r="AA131" s="616"/>
      <c r="AB131" s="616"/>
      <c r="AC131" s="616"/>
      <c r="AD131" s="621"/>
    </row>
    <row r="132" ht="24.75" customHeight="1">
      <c r="A132" s="608">
        <v>62.0</v>
      </c>
      <c r="B132" s="616" t="s">
        <v>1101</v>
      </c>
      <c r="C132" s="616" t="s">
        <v>89</v>
      </c>
      <c r="D132" s="616" t="s">
        <v>15</v>
      </c>
      <c r="E132" s="616" t="s">
        <v>1101</v>
      </c>
      <c r="F132" s="616"/>
      <c r="G132" s="616"/>
      <c r="H132" s="609" t="str">
        <f>H130+F131</f>
        <v>23480.43</v>
      </c>
      <c r="I132" s="616">
        <v>427.526</v>
      </c>
      <c r="J132" s="616">
        <v>69.5</v>
      </c>
      <c r="K132" s="616" t="str">
        <f>F131+F133</f>
        <v>674</v>
      </c>
      <c r="L132" s="616" t="str">
        <f>K132/2</f>
        <v>337</v>
      </c>
      <c r="M132" s="616">
        <v>147.0</v>
      </c>
      <c r="N132" s="616">
        <v>159.0</v>
      </c>
      <c r="O132" s="616">
        <v>306.0</v>
      </c>
      <c r="P132" s="616">
        <v>156.0</v>
      </c>
      <c r="Q132" s="616">
        <v>161.0</v>
      </c>
      <c r="R132" s="616">
        <v>317.0</v>
      </c>
      <c r="S132" s="616" t="s">
        <v>1315</v>
      </c>
      <c r="T132" s="616" t="s">
        <v>1316</v>
      </c>
      <c r="U132" s="616">
        <v>538819.197</v>
      </c>
      <c r="V132" s="616">
        <v>2668803.376</v>
      </c>
      <c r="W132" s="616"/>
      <c r="X132" s="138" t="s">
        <v>1311</v>
      </c>
      <c r="Y132" s="138" t="s">
        <v>1159</v>
      </c>
      <c r="Z132" s="620" t="s">
        <v>31</v>
      </c>
      <c r="AA132" s="616"/>
      <c r="AB132" s="616"/>
      <c r="AC132" s="616"/>
      <c r="AD132" s="621"/>
    </row>
    <row r="133" ht="24.75" customHeight="1">
      <c r="A133" s="598"/>
      <c r="B133" s="616"/>
      <c r="C133" s="616"/>
      <c r="D133" s="616"/>
      <c r="E133" s="616"/>
      <c r="F133" s="616">
        <v>330.0</v>
      </c>
      <c r="G133" s="616"/>
      <c r="H133" s="600"/>
      <c r="I133" s="616"/>
      <c r="J133" s="616"/>
      <c r="K133" s="616"/>
      <c r="L133" s="616"/>
      <c r="M133" s="616"/>
      <c r="N133" s="616"/>
      <c r="O133" s="616"/>
      <c r="P133" s="616"/>
      <c r="Q133" s="616"/>
      <c r="R133" s="616"/>
      <c r="S133" s="616"/>
      <c r="T133" s="616"/>
      <c r="U133" s="616"/>
      <c r="V133" s="616"/>
      <c r="W133" s="616" t="s">
        <v>1205</v>
      </c>
      <c r="X133" s="606"/>
      <c r="Y133" s="606"/>
      <c r="Z133" s="620"/>
      <c r="AA133" s="616"/>
      <c r="AB133" s="616"/>
      <c r="AC133" s="616"/>
      <c r="AD133" s="621"/>
    </row>
    <row r="134" ht="24.75" customHeight="1">
      <c r="A134" s="608">
        <v>63.0</v>
      </c>
      <c r="B134" s="616" t="s">
        <v>1101</v>
      </c>
      <c r="C134" s="616" t="s">
        <v>90</v>
      </c>
      <c r="D134" s="616" t="s">
        <v>33</v>
      </c>
      <c r="E134" s="616" t="s">
        <v>1101</v>
      </c>
      <c r="F134" s="616"/>
      <c r="G134" s="616"/>
      <c r="H134" s="609" t="str">
        <f>H132+F133</f>
        <v>23810.43</v>
      </c>
      <c r="I134" s="622">
        <v>425.498</v>
      </c>
      <c r="J134" s="616">
        <v>72.5</v>
      </c>
      <c r="K134" s="616" t="str">
        <f>F133+F135</f>
        <v>697</v>
      </c>
      <c r="L134" s="616" t="str">
        <f>K134/2</f>
        <v>348.5</v>
      </c>
      <c r="M134" s="616">
        <v>172.0</v>
      </c>
      <c r="N134" s="616">
        <v>208.0</v>
      </c>
      <c r="O134" s="616">
        <v>380.0</v>
      </c>
      <c r="P134" s="616">
        <v>170.0</v>
      </c>
      <c r="Q134" s="616">
        <v>200.0</v>
      </c>
      <c r="R134" s="616">
        <v>370.0</v>
      </c>
      <c r="S134" s="616" t="s">
        <v>1317</v>
      </c>
      <c r="T134" s="616" t="s">
        <v>1318</v>
      </c>
      <c r="U134" s="616">
        <v>539112.047</v>
      </c>
      <c r="V134" s="616">
        <v>2668651.262</v>
      </c>
      <c r="W134" s="616"/>
      <c r="X134" s="138" t="s">
        <v>1311</v>
      </c>
      <c r="Y134" s="138" t="s">
        <v>1159</v>
      </c>
      <c r="Z134" s="620" t="s">
        <v>31</v>
      </c>
      <c r="AA134" s="616"/>
      <c r="AB134" s="616"/>
      <c r="AC134" s="616"/>
      <c r="AD134" s="621"/>
    </row>
    <row r="135" ht="24.75" customHeight="1">
      <c r="A135" s="598"/>
      <c r="B135" s="616"/>
      <c r="C135" s="616"/>
      <c r="D135" s="616"/>
      <c r="E135" s="616"/>
      <c r="F135" s="616">
        <v>367.0</v>
      </c>
      <c r="G135" s="616"/>
      <c r="H135" s="600"/>
      <c r="I135" s="616"/>
      <c r="J135" s="616"/>
      <c r="K135" s="616"/>
      <c r="L135" s="616"/>
      <c r="M135" s="616"/>
      <c r="N135" s="616"/>
      <c r="O135" s="616"/>
      <c r="P135" s="616"/>
      <c r="Q135" s="616"/>
      <c r="R135" s="616"/>
      <c r="S135" s="616"/>
      <c r="T135" s="616"/>
      <c r="U135" s="616"/>
      <c r="V135" s="616"/>
      <c r="W135" s="616" t="s">
        <v>1208</v>
      </c>
      <c r="X135" s="606"/>
      <c r="Y135" s="606"/>
      <c r="Z135" s="620"/>
      <c r="AA135" s="616"/>
      <c r="AB135" s="616"/>
      <c r="AC135" s="616"/>
      <c r="AD135" s="621"/>
    </row>
    <row r="136" ht="24.75" customHeight="1">
      <c r="A136" s="608">
        <v>64.0</v>
      </c>
      <c r="B136" s="616" t="s">
        <v>1319</v>
      </c>
      <c r="C136" s="616" t="s">
        <v>91</v>
      </c>
      <c r="D136" s="616" t="s">
        <v>13</v>
      </c>
      <c r="E136" s="616" t="s">
        <v>1320</v>
      </c>
      <c r="F136" s="616"/>
      <c r="G136" s="616" t="str">
        <f>SUM(F125:F135)</f>
        <v>2152</v>
      </c>
      <c r="H136" s="609" t="str">
        <f>H134+F135</f>
        <v>24177.43</v>
      </c>
      <c r="I136" s="616">
        <v>421.509</v>
      </c>
      <c r="J136" s="138">
        <v>70.72</v>
      </c>
      <c r="K136" s="616" t="str">
        <f>F135+F137</f>
        <v>752</v>
      </c>
      <c r="L136" s="616" t="str">
        <f>K136/2</f>
        <v>376</v>
      </c>
      <c r="M136" s="616">
        <v>160.0</v>
      </c>
      <c r="N136" s="616">
        <v>173.0</v>
      </c>
      <c r="O136" s="616">
        <v>333.0</v>
      </c>
      <c r="P136" s="616">
        <v>169.0</v>
      </c>
      <c r="Q136" s="616">
        <v>180.0</v>
      </c>
      <c r="R136" s="616">
        <v>349.0</v>
      </c>
      <c r="S136" s="616" t="s">
        <v>1321</v>
      </c>
      <c r="T136" s="616" t="s">
        <v>1322</v>
      </c>
      <c r="U136" s="616">
        <v>539437.951</v>
      </c>
      <c r="V136" s="616">
        <v>2668481.98</v>
      </c>
      <c r="W136" s="616"/>
      <c r="X136" s="138" t="s">
        <v>1311</v>
      </c>
      <c r="Y136" s="138" t="s">
        <v>1159</v>
      </c>
      <c r="Z136" s="620" t="s">
        <v>31</v>
      </c>
      <c r="AA136" s="616"/>
      <c r="AB136" s="616"/>
      <c r="AC136" s="616"/>
      <c r="AD136" s="621"/>
    </row>
    <row r="137" ht="12.75" customHeight="1">
      <c r="A137" s="598"/>
      <c r="B137" s="616"/>
      <c r="C137" s="616"/>
      <c r="D137" s="616"/>
      <c r="E137" s="616"/>
      <c r="F137" s="616">
        <v>385.0</v>
      </c>
      <c r="G137" s="616"/>
      <c r="H137" s="600"/>
      <c r="I137" s="616"/>
      <c r="J137" s="616"/>
      <c r="K137" s="616"/>
      <c r="L137" s="616"/>
      <c r="M137" s="616"/>
      <c r="N137" s="616"/>
      <c r="O137" s="616"/>
      <c r="P137" s="616"/>
      <c r="Q137" s="616"/>
      <c r="R137" s="616"/>
      <c r="S137" s="616"/>
      <c r="T137" s="616"/>
      <c r="U137" s="616"/>
      <c r="V137" s="616"/>
      <c r="W137" s="616" t="s">
        <v>1323</v>
      </c>
      <c r="X137" s="606"/>
      <c r="Y137" s="606"/>
      <c r="Z137" s="620"/>
      <c r="AA137" s="616"/>
      <c r="AB137" s="616"/>
      <c r="AC137" s="616"/>
      <c r="AD137" s="621"/>
    </row>
    <row r="138" ht="24.75" customHeight="1">
      <c r="A138" s="608">
        <v>65.0</v>
      </c>
      <c r="B138" s="616" t="s">
        <v>1101</v>
      </c>
      <c r="C138" s="616" t="s">
        <v>92</v>
      </c>
      <c r="D138" s="616" t="s">
        <v>33</v>
      </c>
      <c r="E138" s="616" t="s">
        <v>1101</v>
      </c>
      <c r="F138" s="616"/>
      <c r="G138" s="616"/>
      <c r="H138" s="609" t="str">
        <f>H136+F137</f>
        <v>24562.43</v>
      </c>
      <c r="I138" s="622">
        <v>425.073</v>
      </c>
      <c r="J138" s="616">
        <v>72.5</v>
      </c>
      <c r="K138" s="616" t="str">
        <f>F137+F139</f>
        <v>740</v>
      </c>
      <c r="L138" s="616" t="str">
        <f>K138/2</f>
        <v>370</v>
      </c>
      <c r="M138" s="616">
        <v>213.0</v>
      </c>
      <c r="N138" s="616">
        <v>170.0</v>
      </c>
      <c r="O138" s="616">
        <v>383.0</v>
      </c>
      <c r="P138" s="616">
        <v>206.0</v>
      </c>
      <c r="Q138" s="616">
        <v>173.0</v>
      </c>
      <c r="R138" s="616">
        <v>379.0</v>
      </c>
      <c r="S138" s="616" t="s">
        <v>1324</v>
      </c>
      <c r="T138" s="616" t="s">
        <v>1325</v>
      </c>
      <c r="U138" s="616">
        <v>539818.519</v>
      </c>
      <c r="V138" s="616">
        <v>2668423.73</v>
      </c>
      <c r="W138" s="616"/>
      <c r="X138" s="138" t="s">
        <v>1311</v>
      </c>
      <c r="Y138" s="138" t="s">
        <v>1159</v>
      </c>
      <c r="Z138" s="620" t="s">
        <v>31</v>
      </c>
      <c r="AA138" s="616"/>
      <c r="AB138" s="616"/>
      <c r="AC138" s="616"/>
      <c r="AD138" s="621"/>
    </row>
    <row r="139" ht="24.75" customHeight="1">
      <c r="A139" s="598"/>
      <c r="B139" s="616"/>
      <c r="C139" s="616"/>
      <c r="D139" s="616"/>
      <c r="E139" s="616"/>
      <c r="F139" s="616">
        <v>355.0</v>
      </c>
      <c r="G139" s="616"/>
      <c r="H139" s="600"/>
      <c r="I139" s="616"/>
      <c r="J139" s="616"/>
      <c r="K139" s="616"/>
      <c r="L139" s="616"/>
      <c r="M139" s="616"/>
      <c r="N139" s="616"/>
      <c r="O139" s="616"/>
      <c r="P139" s="616"/>
      <c r="Q139" s="616"/>
      <c r="R139" s="616"/>
      <c r="S139" s="616"/>
      <c r="T139" s="616"/>
      <c r="U139" s="616"/>
      <c r="V139" s="616"/>
      <c r="W139" s="616" t="s">
        <v>1208</v>
      </c>
      <c r="X139" s="606"/>
      <c r="Y139" s="606"/>
      <c r="Z139" s="620"/>
      <c r="AA139" s="616"/>
      <c r="AB139" s="616"/>
      <c r="AC139" s="616"/>
      <c r="AD139" s="621"/>
    </row>
    <row r="140" ht="24.75" customHeight="1">
      <c r="A140" s="608">
        <v>66.0</v>
      </c>
      <c r="B140" s="616" t="s">
        <v>1101</v>
      </c>
      <c r="C140" s="616" t="s">
        <v>93</v>
      </c>
      <c r="D140" s="616" t="s">
        <v>33</v>
      </c>
      <c r="E140" s="616" t="s">
        <v>1101</v>
      </c>
      <c r="F140" s="616"/>
      <c r="G140" s="616"/>
      <c r="H140" s="609" t="str">
        <f>H138+F139</f>
        <v>24917.43</v>
      </c>
      <c r="I140" s="622">
        <v>426.383</v>
      </c>
      <c r="J140" s="616">
        <v>72.5</v>
      </c>
      <c r="K140" s="616" t="str">
        <f>F139+F141</f>
        <v>712</v>
      </c>
      <c r="L140" s="616" t="str">
        <f>K140/2</f>
        <v>356</v>
      </c>
      <c r="M140" s="616">
        <v>186.0</v>
      </c>
      <c r="N140" s="616">
        <v>179.0</v>
      </c>
      <c r="O140" s="616">
        <v>365.0</v>
      </c>
      <c r="P140" s="616">
        <v>183.0</v>
      </c>
      <c r="Q140" s="616">
        <v>179.0</v>
      </c>
      <c r="R140" s="616">
        <v>362.0</v>
      </c>
      <c r="S140" s="616" t="s">
        <v>1326</v>
      </c>
      <c r="T140" s="616" t="s">
        <v>1327</v>
      </c>
      <c r="U140" s="616">
        <v>540169.432</v>
      </c>
      <c r="V140" s="616">
        <v>2668370.02</v>
      </c>
      <c r="W140" s="616"/>
      <c r="X140" s="138" t="s">
        <v>1311</v>
      </c>
      <c r="Y140" s="138" t="s">
        <v>1159</v>
      </c>
      <c r="Z140" s="620" t="s">
        <v>31</v>
      </c>
      <c r="AA140" s="616"/>
      <c r="AB140" s="616"/>
      <c r="AC140" s="616"/>
      <c r="AD140" s="621"/>
    </row>
    <row r="141" ht="12.75" customHeight="1">
      <c r="A141" s="598"/>
      <c r="B141" s="616"/>
      <c r="C141" s="616"/>
      <c r="D141" s="616"/>
      <c r="E141" s="616"/>
      <c r="F141" s="616">
        <v>357.0</v>
      </c>
      <c r="G141" s="616"/>
      <c r="H141" s="600"/>
      <c r="I141" s="616"/>
      <c r="J141" s="616"/>
      <c r="K141" s="616"/>
      <c r="L141" s="616"/>
      <c r="M141" s="616"/>
      <c r="N141" s="616"/>
      <c r="O141" s="616"/>
      <c r="P141" s="616"/>
      <c r="Q141" s="616"/>
      <c r="R141" s="616"/>
      <c r="S141" s="616"/>
      <c r="T141" s="616"/>
      <c r="U141" s="616"/>
      <c r="V141" s="616"/>
      <c r="W141" s="616" t="s">
        <v>1328</v>
      </c>
      <c r="X141" s="606"/>
      <c r="Y141" s="606"/>
      <c r="Z141" s="620"/>
      <c r="AA141" s="616"/>
      <c r="AB141" s="616"/>
      <c r="AC141" s="616"/>
      <c r="AD141" s="621"/>
    </row>
    <row r="142" ht="24.75" customHeight="1">
      <c r="A142" s="608">
        <v>67.0</v>
      </c>
      <c r="B142" s="616" t="s">
        <v>1101</v>
      </c>
      <c r="C142" s="616" t="s">
        <v>94</v>
      </c>
      <c r="D142" s="616" t="s">
        <v>15</v>
      </c>
      <c r="E142" s="616" t="s">
        <v>1101</v>
      </c>
      <c r="F142" s="616"/>
      <c r="G142" s="616"/>
      <c r="H142" s="609" t="str">
        <f>H140+F141</f>
        <v>25274.43</v>
      </c>
      <c r="I142" s="616">
        <v>429.339</v>
      </c>
      <c r="J142" s="616">
        <v>69.5</v>
      </c>
      <c r="K142" s="616" t="str">
        <f>F141+F143</f>
        <v>750</v>
      </c>
      <c r="L142" s="616" t="str">
        <f>K142/2</f>
        <v>375</v>
      </c>
      <c r="M142" s="616">
        <v>178.0</v>
      </c>
      <c r="N142" s="616">
        <v>169.0</v>
      </c>
      <c r="O142" s="616">
        <v>347.0</v>
      </c>
      <c r="P142" s="616">
        <v>179.0</v>
      </c>
      <c r="Q142" s="616">
        <v>179.0</v>
      </c>
      <c r="R142" s="616">
        <v>358.0</v>
      </c>
      <c r="S142" s="616" t="s">
        <v>1329</v>
      </c>
      <c r="T142" s="616" t="s">
        <v>1330</v>
      </c>
      <c r="U142" s="616">
        <v>540522.323</v>
      </c>
      <c r="V142" s="616">
        <v>2668316.006</v>
      </c>
      <c r="W142" s="616"/>
      <c r="X142" s="138" t="s">
        <v>1331</v>
      </c>
      <c r="Y142" s="138" t="s">
        <v>1159</v>
      </c>
      <c r="Z142" s="620" t="s">
        <v>31</v>
      </c>
      <c r="AA142" s="616"/>
      <c r="AB142" s="616"/>
      <c r="AC142" s="616"/>
      <c r="AD142" s="621"/>
    </row>
    <row r="143" ht="24.75" customHeight="1">
      <c r="A143" s="598"/>
      <c r="B143" s="616"/>
      <c r="C143" s="616"/>
      <c r="D143" s="616"/>
      <c r="E143" s="616"/>
      <c r="F143" s="616">
        <v>393.0</v>
      </c>
      <c r="G143" s="616"/>
      <c r="H143" s="600"/>
      <c r="I143" s="616"/>
      <c r="J143" s="616"/>
      <c r="K143" s="616"/>
      <c r="L143" s="616"/>
      <c r="M143" s="616"/>
      <c r="N143" s="616"/>
      <c r="O143" s="616"/>
      <c r="P143" s="616"/>
      <c r="Q143" s="616"/>
      <c r="R143" s="616"/>
      <c r="S143" s="616"/>
      <c r="T143" s="616"/>
      <c r="U143" s="616"/>
      <c r="V143" s="616"/>
      <c r="W143" s="616" t="s">
        <v>1205</v>
      </c>
      <c r="X143" s="606"/>
      <c r="Y143" s="606"/>
      <c r="Z143" s="620"/>
      <c r="AA143" s="616"/>
      <c r="AB143" s="616"/>
      <c r="AC143" s="616"/>
      <c r="AD143" s="621"/>
    </row>
    <row r="144" ht="24.75" customHeight="1">
      <c r="A144" s="608">
        <v>68.0</v>
      </c>
      <c r="B144" s="616" t="s">
        <v>1101</v>
      </c>
      <c r="C144" s="616" t="s">
        <v>95</v>
      </c>
      <c r="D144" s="616" t="s">
        <v>34</v>
      </c>
      <c r="E144" s="616" t="s">
        <v>1101</v>
      </c>
      <c r="F144" s="616"/>
      <c r="G144" s="616"/>
      <c r="H144" s="609" t="str">
        <f>H142+F143</f>
        <v>25667.43</v>
      </c>
      <c r="I144" s="616">
        <v>428.349</v>
      </c>
      <c r="J144" s="616">
        <v>75.5</v>
      </c>
      <c r="K144" s="616" t="str">
        <f>F143+F145</f>
        <v>776</v>
      </c>
      <c r="L144" s="616" t="str">
        <f>K144/2</f>
        <v>388</v>
      </c>
      <c r="M144" s="616">
        <v>225.0</v>
      </c>
      <c r="N144" s="616">
        <v>239.0</v>
      </c>
      <c r="O144" s="616">
        <v>464.0</v>
      </c>
      <c r="P144" s="616">
        <v>216.0</v>
      </c>
      <c r="Q144" s="616">
        <v>223.0</v>
      </c>
      <c r="R144" s="616">
        <v>439.0</v>
      </c>
      <c r="S144" s="616" t="s">
        <v>1332</v>
      </c>
      <c r="T144" s="616" t="s">
        <v>1333</v>
      </c>
      <c r="U144" s="616">
        <v>540910.798</v>
      </c>
      <c r="V144" s="616">
        <v>2668256.546</v>
      </c>
      <c r="W144" s="616"/>
      <c r="X144" s="138" t="s">
        <v>1331</v>
      </c>
      <c r="Y144" s="138" t="s">
        <v>1159</v>
      </c>
      <c r="Z144" s="620" t="s">
        <v>31</v>
      </c>
      <c r="AA144" s="616"/>
      <c r="AB144" s="616"/>
      <c r="AC144" s="616"/>
      <c r="AD144" s="621"/>
    </row>
    <row r="145" ht="24.75" customHeight="1">
      <c r="A145" s="598"/>
      <c r="B145" s="616"/>
      <c r="C145" s="616"/>
      <c r="D145" s="616"/>
      <c r="E145" s="616"/>
      <c r="F145" s="616">
        <v>383.0</v>
      </c>
      <c r="G145" s="616"/>
      <c r="H145" s="600"/>
      <c r="I145" s="616"/>
      <c r="J145" s="616"/>
      <c r="K145" s="616"/>
      <c r="L145" s="616"/>
      <c r="M145" s="616"/>
      <c r="N145" s="616"/>
      <c r="O145" s="616"/>
      <c r="P145" s="616"/>
      <c r="Q145" s="616"/>
      <c r="R145" s="616"/>
      <c r="S145" s="616"/>
      <c r="T145" s="616"/>
      <c r="U145" s="616"/>
      <c r="V145" s="616"/>
      <c r="W145" s="616" t="s">
        <v>1202</v>
      </c>
      <c r="X145" s="606"/>
      <c r="Y145" s="606"/>
      <c r="Z145" s="620"/>
      <c r="AA145" s="616"/>
      <c r="AB145" s="616"/>
      <c r="AC145" s="616"/>
      <c r="AD145" s="621"/>
    </row>
    <row r="146" ht="24.75" customHeight="1">
      <c r="A146" s="608">
        <v>69.0</v>
      </c>
      <c r="B146" s="616" t="s">
        <v>1101</v>
      </c>
      <c r="C146" s="616" t="s">
        <v>96</v>
      </c>
      <c r="D146" s="616" t="s">
        <v>33</v>
      </c>
      <c r="E146" s="616" t="s">
        <v>1101</v>
      </c>
      <c r="F146" s="616"/>
      <c r="G146" s="616"/>
      <c r="H146" s="609" t="str">
        <f>H144+F145</f>
        <v>26050.43</v>
      </c>
      <c r="I146" s="622">
        <v>423.122</v>
      </c>
      <c r="J146" s="616">
        <v>72.5</v>
      </c>
      <c r="K146" s="616" t="str">
        <f>F145+F147</f>
        <v>771</v>
      </c>
      <c r="L146" s="616" t="str">
        <f>K146/2</f>
        <v>385.5</v>
      </c>
      <c r="M146" s="616">
        <v>145.0</v>
      </c>
      <c r="N146" s="616">
        <v>218.0</v>
      </c>
      <c r="O146" s="616">
        <v>363.0</v>
      </c>
      <c r="P146" s="616">
        <v>161.0</v>
      </c>
      <c r="Q146" s="616">
        <v>211.0</v>
      </c>
      <c r="R146" s="616">
        <v>372.0</v>
      </c>
      <c r="S146" s="616" t="s">
        <v>1334</v>
      </c>
      <c r="T146" s="616" t="s">
        <v>1335</v>
      </c>
      <c r="U146" s="616">
        <v>541289.389</v>
      </c>
      <c r="V146" s="616">
        <v>2668198.599</v>
      </c>
      <c r="W146" s="616"/>
      <c r="X146" s="138" t="s">
        <v>1331</v>
      </c>
      <c r="Y146" s="138" t="s">
        <v>1159</v>
      </c>
      <c r="Z146" s="620" t="s">
        <v>31</v>
      </c>
      <c r="AA146" s="616"/>
      <c r="AB146" s="616"/>
      <c r="AC146" s="616"/>
      <c r="AD146" s="621"/>
    </row>
    <row r="147" ht="12.75" customHeight="1">
      <c r="A147" s="598"/>
      <c r="B147" s="616"/>
      <c r="C147" s="616"/>
      <c r="D147" s="616"/>
      <c r="E147" s="616"/>
      <c r="F147" s="616">
        <v>388.0</v>
      </c>
      <c r="G147" s="616"/>
      <c r="H147" s="600"/>
      <c r="I147" s="616"/>
      <c r="J147" s="616"/>
      <c r="K147" s="616"/>
      <c r="L147" s="616"/>
      <c r="M147" s="616"/>
      <c r="N147" s="616"/>
      <c r="O147" s="616"/>
      <c r="P147" s="616"/>
      <c r="Q147" s="616"/>
      <c r="R147" s="616"/>
      <c r="S147" s="616"/>
      <c r="T147" s="616"/>
      <c r="U147" s="616"/>
      <c r="V147" s="616"/>
      <c r="W147" s="616" t="s">
        <v>1336</v>
      </c>
      <c r="X147" s="606"/>
      <c r="Y147" s="606"/>
      <c r="Z147" s="620"/>
      <c r="AA147" s="616"/>
      <c r="AB147" s="616"/>
      <c r="AC147" s="616"/>
      <c r="AD147" s="621"/>
    </row>
    <row r="148" ht="24.75" customHeight="1">
      <c r="A148" s="608">
        <v>70.0</v>
      </c>
      <c r="B148" s="616" t="s">
        <v>1337</v>
      </c>
      <c r="C148" s="616" t="s">
        <v>97</v>
      </c>
      <c r="D148" s="616" t="s">
        <v>51</v>
      </c>
      <c r="E148" s="616" t="s">
        <v>1338</v>
      </c>
      <c r="F148" s="616"/>
      <c r="G148" s="616" t="str">
        <f>SUM(F137:F147)</f>
        <v>2261</v>
      </c>
      <c r="H148" s="609" t="str">
        <f>H146+F147</f>
        <v>26438.43</v>
      </c>
      <c r="I148" s="616">
        <v>418.854</v>
      </c>
      <c r="J148" s="138">
        <v>70.72</v>
      </c>
      <c r="K148" s="616" t="str">
        <f>F147+F149</f>
        <v>756</v>
      </c>
      <c r="L148" s="616" t="str">
        <f>K148/2</f>
        <v>378</v>
      </c>
      <c r="M148" s="616">
        <v>170.0</v>
      </c>
      <c r="N148" s="616">
        <v>193.0</v>
      </c>
      <c r="O148" s="616">
        <v>363.0</v>
      </c>
      <c r="P148" s="616">
        <v>179.0</v>
      </c>
      <c r="Q148" s="616">
        <v>190.0</v>
      </c>
      <c r="R148" s="616">
        <v>369.0</v>
      </c>
      <c r="S148" s="616" t="s">
        <v>1339</v>
      </c>
      <c r="T148" s="616" t="s">
        <v>1340</v>
      </c>
      <c r="U148" s="616">
        <v>541673.01</v>
      </c>
      <c r="V148" s="616">
        <v>2668139.882</v>
      </c>
      <c r="W148" s="616"/>
      <c r="X148" s="138" t="s">
        <v>1331</v>
      </c>
      <c r="Y148" s="138" t="s">
        <v>1159</v>
      </c>
      <c r="Z148" s="620" t="s">
        <v>31</v>
      </c>
      <c r="AA148" s="616"/>
      <c r="AB148" s="616"/>
      <c r="AC148" s="616"/>
      <c r="AD148" s="621"/>
    </row>
    <row r="149" ht="24.75" customHeight="1">
      <c r="A149" s="598"/>
      <c r="B149" s="616"/>
      <c r="C149" s="616"/>
      <c r="D149" s="616"/>
      <c r="E149" s="616"/>
      <c r="F149" s="616">
        <v>368.0</v>
      </c>
      <c r="G149" s="616"/>
      <c r="H149" s="600"/>
      <c r="I149" s="616"/>
      <c r="J149" s="616"/>
      <c r="K149" s="616"/>
      <c r="L149" s="616"/>
      <c r="M149" s="616"/>
      <c r="N149" s="616"/>
      <c r="O149" s="616"/>
      <c r="P149" s="616"/>
      <c r="Q149" s="616"/>
      <c r="R149" s="616"/>
      <c r="S149" s="616"/>
      <c r="T149" s="616"/>
      <c r="U149" s="616"/>
      <c r="V149" s="616"/>
      <c r="W149" s="616" t="s">
        <v>1240</v>
      </c>
      <c r="X149" s="606"/>
      <c r="Y149" s="606"/>
      <c r="Z149" s="620"/>
      <c r="AA149" s="616"/>
      <c r="AB149" s="616"/>
      <c r="AC149" s="616"/>
      <c r="AD149" s="621"/>
    </row>
    <row r="150" ht="24.75" customHeight="1">
      <c r="A150" s="608">
        <v>71.0</v>
      </c>
      <c r="B150" s="616" t="s">
        <v>1101</v>
      </c>
      <c r="C150" s="616" t="s">
        <v>98</v>
      </c>
      <c r="D150" s="616" t="s">
        <v>33</v>
      </c>
      <c r="E150" s="616" t="s">
        <v>1101</v>
      </c>
      <c r="F150" s="616"/>
      <c r="G150" s="616"/>
      <c r="H150" s="609" t="str">
        <f>H148+F149</f>
        <v>26806.43</v>
      </c>
      <c r="I150" s="622">
        <v>417.373</v>
      </c>
      <c r="J150" s="616">
        <v>72.5</v>
      </c>
      <c r="K150" s="616" t="str">
        <f>F149+F151</f>
        <v>780</v>
      </c>
      <c r="L150" s="616" t="str">
        <f>K150/2</f>
        <v>390</v>
      </c>
      <c r="M150" s="616">
        <v>176.0</v>
      </c>
      <c r="N150" s="616">
        <v>175.0</v>
      </c>
      <c r="O150" s="616">
        <v>351.0</v>
      </c>
      <c r="P150" s="616">
        <v>179.0</v>
      </c>
      <c r="Q150" s="616">
        <v>185.0</v>
      </c>
      <c r="R150" s="616">
        <v>364.0</v>
      </c>
      <c r="S150" s="616" t="s">
        <v>1341</v>
      </c>
      <c r="T150" s="616" t="s">
        <v>1342</v>
      </c>
      <c r="U150" s="616">
        <v>542016.865</v>
      </c>
      <c r="V150" s="616">
        <v>2668008.781</v>
      </c>
      <c r="W150" s="616"/>
      <c r="X150" s="138" t="s">
        <v>1331</v>
      </c>
      <c r="Y150" s="138" t="s">
        <v>1159</v>
      </c>
      <c r="Z150" s="620" t="s">
        <v>31</v>
      </c>
      <c r="AA150" s="616"/>
      <c r="AB150" s="616"/>
      <c r="AC150" s="616"/>
      <c r="AD150" s="621"/>
    </row>
    <row r="151" ht="24.75" customHeight="1">
      <c r="A151" s="598"/>
      <c r="B151" s="616"/>
      <c r="C151" s="616"/>
      <c r="D151" s="616"/>
      <c r="E151" s="616"/>
      <c r="F151" s="616">
        <v>412.0</v>
      </c>
      <c r="G151" s="616"/>
      <c r="H151" s="600"/>
      <c r="I151" s="616"/>
      <c r="J151" s="616"/>
      <c r="K151" s="616"/>
      <c r="L151" s="616"/>
      <c r="M151" s="616"/>
      <c r="N151" s="616"/>
      <c r="O151" s="616"/>
      <c r="P151" s="616"/>
      <c r="Q151" s="616"/>
      <c r="R151" s="616"/>
      <c r="S151" s="616"/>
      <c r="T151" s="616"/>
      <c r="U151" s="616"/>
      <c r="V151" s="616"/>
      <c r="W151" s="616" t="s">
        <v>1270</v>
      </c>
      <c r="X151" s="606"/>
      <c r="Y151" s="606"/>
      <c r="Z151" s="620"/>
      <c r="AA151" s="616"/>
      <c r="AB151" s="616"/>
      <c r="AC151" s="616"/>
      <c r="AD151" s="621"/>
    </row>
    <row r="152" ht="24.75" customHeight="1">
      <c r="A152" s="608">
        <v>72.0</v>
      </c>
      <c r="B152" s="616" t="s">
        <v>1101</v>
      </c>
      <c r="C152" s="616" t="s">
        <v>99</v>
      </c>
      <c r="D152" s="616" t="s">
        <v>34</v>
      </c>
      <c r="E152" s="616" t="s">
        <v>1101</v>
      </c>
      <c r="F152" s="616"/>
      <c r="G152" s="616"/>
      <c r="H152" s="609" t="str">
        <f>H150+F151</f>
        <v>27218.43</v>
      </c>
      <c r="I152" s="616">
        <v>420.33</v>
      </c>
      <c r="J152" s="616">
        <v>75.5</v>
      </c>
      <c r="K152" s="616" t="str">
        <f>F151+F153</f>
        <v>828</v>
      </c>
      <c r="L152" s="616" t="str">
        <f>K152/2</f>
        <v>414</v>
      </c>
      <c r="M152" s="616">
        <v>237.0</v>
      </c>
      <c r="N152" s="616">
        <v>221.0</v>
      </c>
      <c r="O152" s="616">
        <v>458.0</v>
      </c>
      <c r="P152" s="616">
        <v>228.0</v>
      </c>
      <c r="Q152" s="616">
        <v>217.0</v>
      </c>
      <c r="R152" s="616">
        <v>445.0</v>
      </c>
      <c r="S152" s="616" t="s">
        <v>1343</v>
      </c>
      <c r="T152" s="616" t="s">
        <v>1344</v>
      </c>
      <c r="U152" s="616">
        <v>542401.834</v>
      </c>
      <c r="V152" s="616">
        <v>2667862.005</v>
      </c>
      <c r="W152" s="616"/>
      <c r="X152" s="138" t="s">
        <v>1331</v>
      </c>
      <c r="Y152" s="138" t="s">
        <v>1159</v>
      </c>
      <c r="Z152" s="620" t="s">
        <v>31</v>
      </c>
      <c r="AA152" s="616"/>
      <c r="AB152" s="616"/>
      <c r="AC152" s="616"/>
      <c r="AD152" s="621"/>
    </row>
    <row r="153" ht="24.75" customHeight="1">
      <c r="A153" s="598"/>
      <c r="B153" s="616"/>
      <c r="C153" s="616"/>
      <c r="D153" s="616"/>
      <c r="E153" s="616"/>
      <c r="F153" s="616">
        <v>416.0</v>
      </c>
      <c r="G153" s="616"/>
      <c r="H153" s="600"/>
      <c r="I153" s="616"/>
      <c r="J153" s="616"/>
      <c r="K153" s="616"/>
      <c r="L153" s="616"/>
      <c r="M153" s="616"/>
      <c r="N153" s="616"/>
      <c r="O153" s="616"/>
      <c r="P153" s="616"/>
      <c r="Q153" s="616"/>
      <c r="R153" s="616"/>
      <c r="S153" s="616"/>
      <c r="T153" s="616"/>
      <c r="U153" s="616"/>
      <c r="V153" s="616"/>
      <c r="W153" s="616"/>
      <c r="X153" s="606"/>
      <c r="Y153" s="606"/>
      <c r="Z153" s="620"/>
      <c r="AA153" s="616"/>
      <c r="AB153" s="616"/>
      <c r="AC153" s="616"/>
      <c r="AD153" s="621"/>
    </row>
    <row r="154" ht="24.75" customHeight="1">
      <c r="A154" s="608">
        <v>73.0</v>
      </c>
      <c r="B154" s="616" t="s">
        <v>1101</v>
      </c>
      <c r="C154" s="616" t="s">
        <v>100</v>
      </c>
      <c r="D154" s="616" t="s">
        <v>33</v>
      </c>
      <c r="E154" s="616" t="s">
        <v>1101</v>
      </c>
      <c r="F154" s="616"/>
      <c r="G154" s="616"/>
      <c r="H154" s="609" t="str">
        <f>H152+F153</f>
        <v>27634.43</v>
      </c>
      <c r="I154" s="622">
        <v>420.876</v>
      </c>
      <c r="J154" s="616">
        <v>72.5</v>
      </c>
      <c r="K154" s="616" t="str">
        <f>F153+F155</f>
        <v>823</v>
      </c>
      <c r="L154" s="616" t="str">
        <f>K154/2</f>
        <v>411.5</v>
      </c>
      <c r="M154" s="616">
        <v>196.0</v>
      </c>
      <c r="N154" s="616">
        <v>167.0</v>
      </c>
      <c r="O154" s="616">
        <v>363.0</v>
      </c>
      <c r="P154" s="616">
        <v>200.0</v>
      </c>
      <c r="Q154" s="616">
        <v>179.0</v>
      </c>
      <c r="R154" s="616">
        <v>379.0</v>
      </c>
      <c r="S154" s="616" t="s">
        <v>1345</v>
      </c>
      <c r="T154" s="616" t="s">
        <v>1346</v>
      </c>
      <c r="U154" s="616">
        <v>542790.54</v>
      </c>
      <c r="V154" s="616">
        <v>2667713.804</v>
      </c>
      <c r="W154" s="616"/>
      <c r="X154" s="138" t="s">
        <v>1331</v>
      </c>
      <c r="Y154" s="138" t="s">
        <v>1159</v>
      </c>
      <c r="Z154" s="620" t="s">
        <v>31</v>
      </c>
      <c r="AA154" s="616"/>
      <c r="AB154" s="616"/>
      <c r="AC154" s="616"/>
      <c r="AD154" s="621"/>
    </row>
    <row r="155" ht="24.75" customHeight="1">
      <c r="A155" s="598"/>
      <c r="B155" s="616"/>
      <c r="C155" s="616"/>
      <c r="D155" s="616"/>
      <c r="E155" s="616"/>
      <c r="F155" s="616">
        <v>407.0</v>
      </c>
      <c r="G155" s="616"/>
      <c r="H155" s="600"/>
      <c r="I155" s="616"/>
      <c r="J155" s="616"/>
      <c r="K155" s="616"/>
      <c r="L155" s="616"/>
      <c r="M155" s="616"/>
      <c r="N155" s="616"/>
      <c r="O155" s="616"/>
      <c r="P155" s="616"/>
      <c r="Q155" s="616"/>
      <c r="R155" s="616"/>
      <c r="S155" s="616"/>
      <c r="T155" s="616"/>
      <c r="U155" s="616"/>
      <c r="V155" s="616"/>
      <c r="W155" s="616" t="s">
        <v>1208</v>
      </c>
      <c r="X155" s="606"/>
      <c r="Y155" s="606"/>
      <c r="Z155" s="620"/>
      <c r="AA155" s="616"/>
      <c r="AB155" s="616"/>
      <c r="AC155" s="616"/>
      <c r="AD155" s="621"/>
    </row>
    <row r="156" ht="24.75" customHeight="1">
      <c r="A156" s="608">
        <v>74.0</v>
      </c>
      <c r="B156" s="616" t="s">
        <v>1101</v>
      </c>
      <c r="C156" s="616" t="s">
        <v>101</v>
      </c>
      <c r="D156" s="616" t="s">
        <v>12</v>
      </c>
      <c r="E156" s="616" t="s">
        <v>1101</v>
      </c>
      <c r="F156" s="616"/>
      <c r="G156" s="616"/>
      <c r="H156" s="609" t="str">
        <f>H154+F155</f>
        <v>28041.43</v>
      </c>
      <c r="I156" s="616">
        <v>421.793</v>
      </c>
      <c r="J156" s="616">
        <v>78.5</v>
      </c>
      <c r="K156" s="616" t="str">
        <f>F155+F157</f>
        <v>832</v>
      </c>
      <c r="L156" s="616" t="str">
        <f>K156/2</f>
        <v>416</v>
      </c>
      <c r="M156" s="616">
        <v>240.0</v>
      </c>
      <c r="N156" s="616">
        <v>318.0</v>
      </c>
      <c r="O156" s="616">
        <v>558.0</v>
      </c>
      <c r="P156" s="616">
        <v>229.0</v>
      </c>
      <c r="Q156" s="616">
        <v>285.0</v>
      </c>
      <c r="R156" s="616">
        <v>514.0</v>
      </c>
      <c r="S156" s="616" t="s">
        <v>1347</v>
      </c>
      <c r="T156" s="616" t="s">
        <v>1348</v>
      </c>
      <c r="U156" s="616">
        <v>543170.837</v>
      </c>
      <c r="V156" s="616">
        <v>2667568.81</v>
      </c>
      <c r="W156" s="616"/>
      <c r="X156" s="138" t="s">
        <v>1331</v>
      </c>
      <c r="Y156" s="138" t="s">
        <v>1159</v>
      </c>
      <c r="Z156" s="620" t="s">
        <v>31</v>
      </c>
      <c r="AA156" s="616"/>
      <c r="AB156" s="616"/>
      <c r="AC156" s="616"/>
      <c r="AD156" s="621"/>
    </row>
    <row r="157" ht="24.75" customHeight="1">
      <c r="A157" s="598"/>
      <c r="B157" s="616"/>
      <c r="C157" s="616"/>
      <c r="D157" s="616"/>
      <c r="E157" s="616"/>
      <c r="F157" s="616">
        <v>425.0</v>
      </c>
      <c r="G157" s="616"/>
      <c r="H157" s="600"/>
      <c r="I157" s="616"/>
      <c r="J157" s="616"/>
      <c r="K157" s="616"/>
      <c r="L157" s="616"/>
      <c r="M157" s="616"/>
      <c r="N157" s="616"/>
      <c r="O157" s="616"/>
      <c r="P157" s="616"/>
      <c r="Q157" s="616"/>
      <c r="R157" s="616"/>
      <c r="S157" s="616"/>
      <c r="T157" s="616"/>
      <c r="U157" s="616"/>
      <c r="V157" s="616"/>
      <c r="W157" s="616" t="s">
        <v>1240</v>
      </c>
      <c r="X157" s="606"/>
      <c r="Y157" s="606"/>
      <c r="Z157" s="620"/>
      <c r="AA157" s="616"/>
      <c r="AB157" s="616"/>
      <c r="AC157" s="616"/>
      <c r="AD157" s="621"/>
    </row>
    <row r="158" ht="24.75" customHeight="1">
      <c r="A158" s="608">
        <v>75.0</v>
      </c>
      <c r="B158" s="616" t="s">
        <v>1101</v>
      </c>
      <c r="C158" s="616" t="s">
        <v>102</v>
      </c>
      <c r="D158" s="616" t="s">
        <v>15</v>
      </c>
      <c r="E158" s="616" t="s">
        <v>1101</v>
      </c>
      <c r="F158" s="616"/>
      <c r="G158" s="616"/>
      <c r="H158" s="609" t="str">
        <f>H156+F157</f>
        <v>28466.43</v>
      </c>
      <c r="I158" s="616">
        <v>410.078</v>
      </c>
      <c r="J158" s="616">
        <v>69.5</v>
      </c>
      <c r="K158" s="616" t="str">
        <f>F157+F159</f>
        <v>811</v>
      </c>
      <c r="L158" s="616" t="str">
        <f>K158/2</f>
        <v>405.5</v>
      </c>
      <c r="M158" s="616">
        <v>108.0</v>
      </c>
      <c r="N158" s="616">
        <v>150.0</v>
      </c>
      <c r="O158" s="616">
        <v>258.0</v>
      </c>
      <c r="P158" s="616">
        <v>142.0</v>
      </c>
      <c r="Q158" s="616">
        <v>164.0</v>
      </c>
      <c r="R158" s="616">
        <v>306.0</v>
      </c>
      <c r="S158" s="616" t="s">
        <v>1349</v>
      </c>
      <c r="T158" s="616" t="s">
        <v>1350</v>
      </c>
      <c r="U158" s="616">
        <v>543567.953</v>
      </c>
      <c r="V158" s="616">
        <v>2667417.403</v>
      </c>
      <c r="W158" s="616"/>
      <c r="X158" s="138" t="s">
        <v>1351</v>
      </c>
      <c r="Y158" s="138" t="s">
        <v>1159</v>
      </c>
      <c r="Z158" s="620" t="s">
        <v>31</v>
      </c>
      <c r="AA158" s="616"/>
      <c r="AB158" s="616"/>
      <c r="AC158" s="616"/>
      <c r="AD158" s="621"/>
    </row>
    <row r="159" ht="24.75" customHeight="1">
      <c r="A159" s="598"/>
      <c r="B159" s="616"/>
      <c r="C159" s="616"/>
      <c r="D159" s="616"/>
      <c r="E159" s="616"/>
      <c r="F159" s="616">
        <v>386.0</v>
      </c>
      <c r="G159" s="616"/>
      <c r="H159" s="600"/>
      <c r="I159" s="616"/>
      <c r="J159" s="616"/>
      <c r="K159" s="616"/>
      <c r="L159" s="616"/>
      <c r="M159" s="616"/>
      <c r="N159" s="616"/>
      <c r="O159" s="616"/>
      <c r="P159" s="616"/>
      <c r="Q159" s="616"/>
      <c r="R159" s="616"/>
      <c r="S159" s="616"/>
      <c r="T159" s="616"/>
      <c r="U159" s="616"/>
      <c r="V159" s="616"/>
      <c r="W159" s="616" t="s">
        <v>1270</v>
      </c>
      <c r="X159" s="606"/>
      <c r="Y159" s="606"/>
      <c r="Z159" s="620"/>
      <c r="AA159" s="616"/>
      <c r="AB159" s="616"/>
      <c r="AC159" s="616"/>
      <c r="AD159" s="621"/>
    </row>
    <row r="160" ht="24.75" customHeight="1">
      <c r="A160" s="608">
        <v>76.0</v>
      </c>
      <c r="B160" s="616" t="s">
        <v>1101</v>
      </c>
      <c r="C160" s="619" t="s">
        <v>103</v>
      </c>
      <c r="D160" s="616" t="s">
        <v>33</v>
      </c>
      <c r="E160" s="616" t="s">
        <v>1101</v>
      </c>
      <c r="F160" s="616"/>
      <c r="G160" s="616"/>
      <c r="H160" s="609" t="str">
        <f>H158+F159</f>
        <v>28852.43</v>
      </c>
      <c r="I160" s="622">
        <v>414.874</v>
      </c>
      <c r="J160" s="616">
        <v>72.5</v>
      </c>
      <c r="K160" s="616" t="str">
        <f>F159+F161</f>
        <v>745</v>
      </c>
      <c r="L160" s="616" t="str">
        <f>K160/2</f>
        <v>372.5</v>
      </c>
      <c r="M160" s="616">
        <v>237.0</v>
      </c>
      <c r="N160" s="616">
        <v>128.0</v>
      </c>
      <c r="O160" s="616">
        <v>365.0</v>
      </c>
      <c r="P160" s="616">
        <v>223.0</v>
      </c>
      <c r="Q160" s="616">
        <v>144.0</v>
      </c>
      <c r="R160" s="616">
        <v>367.0</v>
      </c>
      <c r="S160" s="616" t="s">
        <v>1352</v>
      </c>
      <c r="T160" s="616" t="s">
        <v>1353</v>
      </c>
      <c r="U160" s="616">
        <v>543928.627</v>
      </c>
      <c r="V160" s="616">
        <v>2667279.889</v>
      </c>
      <c r="W160" s="623" t="s">
        <v>1354</v>
      </c>
      <c r="X160" s="138" t="s">
        <v>1351</v>
      </c>
      <c r="Y160" s="138" t="s">
        <v>1159</v>
      </c>
      <c r="Z160" s="620" t="s">
        <v>31</v>
      </c>
      <c r="AA160" s="623">
        <v>2.0</v>
      </c>
      <c r="AB160" s="623">
        <v>2.0</v>
      </c>
      <c r="AC160" s="623">
        <v>0.0</v>
      </c>
      <c r="AD160" s="624">
        <v>0.0</v>
      </c>
    </row>
    <row r="161" ht="24.75" customHeight="1">
      <c r="A161" s="598"/>
      <c r="B161" s="616"/>
      <c r="C161" s="616"/>
      <c r="D161" s="616"/>
      <c r="E161" s="616"/>
      <c r="F161" s="616">
        <v>359.0</v>
      </c>
      <c r="G161" s="616"/>
      <c r="H161" s="600"/>
      <c r="I161" s="616"/>
      <c r="J161" s="616"/>
      <c r="K161" s="616"/>
      <c r="L161" s="616"/>
      <c r="M161" s="616"/>
      <c r="N161" s="616"/>
      <c r="O161" s="616"/>
      <c r="P161" s="616"/>
      <c r="Q161" s="616"/>
      <c r="R161" s="616"/>
      <c r="S161" s="616"/>
      <c r="T161" s="616"/>
      <c r="U161" s="616"/>
      <c r="V161" s="616"/>
      <c r="W161" s="616" t="s">
        <v>1208</v>
      </c>
      <c r="X161" s="606"/>
      <c r="Y161" s="606"/>
      <c r="Z161" s="620"/>
      <c r="AA161" s="616"/>
      <c r="AB161" s="616"/>
      <c r="AC161" s="616"/>
      <c r="AD161" s="621"/>
    </row>
    <row r="162" ht="24.75" customHeight="1">
      <c r="A162" s="608">
        <v>77.0</v>
      </c>
      <c r="B162" s="616" t="s">
        <v>1101</v>
      </c>
      <c r="C162" s="616" t="s">
        <v>104</v>
      </c>
      <c r="D162" s="616" t="s">
        <v>33</v>
      </c>
      <c r="E162" s="616" t="s">
        <v>1101</v>
      </c>
      <c r="F162" s="616"/>
      <c r="G162" s="616"/>
      <c r="H162" s="609" t="str">
        <f>H160+F161</f>
        <v>29211.43</v>
      </c>
      <c r="I162" s="622">
        <v>423.544</v>
      </c>
      <c r="J162" s="616">
        <v>72.5</v>
      </c>
      <c r="K162" s="616" t="str">
        <f>F161+F163</f>
        <v>727</v>
      </c>
      <c r="L162" s="616" t="str">
        <f>K162/2</f>
        <v>363.5</v>
      </c>
      <c r="M162" s="616">
        <v>232.0</v>
      </c>
      <c r="N162" s="616">
        <v>157.0</v>
      </c>
      <c r="O162" s="616">
        <v>389.0</v>
      </c>
      <c r="P162" s="616">
        <v>216.0</v>
      </c>
      <c r="Q162" s="616">
        <v>166.0</v>
      </c>
      <c r="R162" s="616">
        <v>382.0</v>
      </c>
      <c r="S162" s="616" t="s">
        <v>1355</v>
      </c>
      <c r="T162" s="616" t="s">
        <v>1356</v>
      </c>
      <c r="U162" s="616">
        <v>544264.073</v>
      </c>
      <c r="V162" s="616">
        <v>2667151.995</v>
      </c>
      <c r="W162" s="616"/>
      <c r="X162" s="138" t="s">
        <v>1351</v>
      </c>
      <c r="Y162" s="138" t="s">
        <v>1159</v>
      </c>
      <c r="Z162" s="620" t="s">
        <v>31</v>
      </c>
      <c r="AA162" s="616"/>
      <c r="AB162" s="616"/>
      <c r="AC162" s="616"/>
      <c r="AD162" s="621"/>
    </row>
    <row r="163" ht="24.75" customHeight="1">
      <c r="A163" s="598"/>
      <c r="B163" s="616"/>
      <c r="C163" s="616"/>
      <c r="D163" s="616"/>
      <c r="E163" s="616"/>
      <c r="F163" s="616">
        <v>368.0</v>
      </c>
      <c r="G163" s="616"/>
      <c r="H163" s="600"/>
      <c r="I163" s="616"/>
      <c r="J163" s="616"/>
      <c r="K163" s="616"/>
      <c r="L163" s="616"/>
      <c r="M163" s="616"/>
      <c r="N163" s="616"/>
      <c r="O163" s="616"/>
      <c r="P163" s="616"/>
      <c r="Q163" s="616"/>
      <c r="R163" s="616"/>
      <c r="S163" s="616"/>
      <c r="T163" s="616"/>
      <c r="U163" s="616"/>
      <c r="V163" s="616"/>
      <c r="W163" s="616" t="s">
        <v>1208</v>
      </c>
      <c r="X163" s="606"/>
      <c r="Y163" s="606"/>
      <c r="Z163" s="620"/>
      <c r="AA163" s="616"/>
      <c r="AB163" s="616"/>
      <c r="AC163" s="616"/>
      <c r="AD163" s="621"/>
    </row>
    <row r="164" ht="24.75" customHeight="1">
      <c r="A164" s="608">
        <v>78.0</v>
      </c>
      <c r="B164" s="616" t="s">
        <v>1101</v>
      </c>
      <c r="C164" s="616" t="s">
        <v>105</v>
      </c>
      <c r="D164" s="616" t="s">
        <v>33</v>
      </c>
      <c r="E164" s="616" t="s">
        <v>1101</v>
      </c>
      <c r="F164" s="616"/>
      <c r="G164" s="616"/>
      <c r="H164" s="609" t="str">
        <f>H162+F163</f>
        <v>29579.43</v>
      </c>
      <c r="I164" s="622">
        <v>428.193</v>
      </c>
      <c r="J164" s="616">
        <v>72.5</v>
      </c>
      <c r="K164" s="616" t="str">
        <f>F163+F165</f>
        <v>758</v>
      </c>
      <c r="L164" s="616" t="str">
        <f>K164/2</f>
        <v>379</v>
      </c>
      <c r="M164" s="616">
        <v>211.0</v>
      </c>
      <c r="N164" s="616">
        <v>178.0</v>
      </c>
      <c r="O164" s="616">
        <v>389.0</v>
      </c>
      <c r="P164" s="616">
        <v>203.0</v>
      </c>
      <c r="Q164" s="616">
        <v>183.0</v>
      </c>
      <c r="R164" s="616">
        <v>386.0</v>
      </c>
      <c r="S164" s="616" t="s">
        <v>1357</v>
      </c>
      <c r="T164" s="616" t="s">
        <v>1358</v>
      </c>
      <c r="U164" s="616">
        <v>544607.929</v>
      </c>
      <c r="V164" s="616">
        <v>2667020.894</v>
      </c>
      <c r="W164" s="616"/>
      <c r="X164" s="138" t="s">
        <v>1351</v>
      </c>
      <c r="Y164" s="138" t="s">
        <v>1159</v>
      </c>
      <c r="Z164" s="620" t="s">
        <v>31</v>
      </c>
      <c r="AA164" s="616"/>
      <c r="AB164" s="616"/>
      <c r="AC164" s="616"/>
      <c r="AD164" s="621"/>
    </row>
    <row r="165" ht="24.75" customHeight="1">
      <c r="A165" s="598"/>
      <c r="B165" s="616"/>
      <c r="C165" s="616"/>
      <c r="D165" s="616"/>
      <c r="E165" s="616"/>
      <c r="F165" s="616">
        <v>390.0</v>
      </c>
      <c r="G165" s="616"/>
      <c r="H165" s="600"/>
      <c r="I165" s="616"/>
      <c r="J165" s="616"/>
      <c r="K165" s="616"/>
      <c r="L165" s="616"/>
      <c r="M165" s="616"/>
      <c r="N165" s="616"/>
      <c r="O165" s="616"/>
      <c r="P165" s="616"/>
      <c r="Q165" s="616"/>
      <c r="R165" s="616"/>
      <c r="S165" s="616"/>
      <c r="T165" s="616"/>
      <c r="U165" s="616"/>
      <c r="V165" s="616"/>
      <c r="W165" s="616" t="s">
        <v>1208</v>
      </c>
      <c r="X165" s="606"/>
      <c r="Y165" s="606"/>
      <c r="Z165" s="620"/>
      <c r="AA165" s="616"/>
      <c r="AB165" s="616"/>
      <c r="AC165" s="616"/>
      <c r="AD165" s="621"/>
    </row>
    <row r="166" ht="24.75" customHeight="1">
      <c r="A166" s="608">
        <v>79.0</v>
      </c>
      <c r="B166" s="616" t="s">
        <v>1101</v>
      </c>
      <c r="C166" s="616" t="s">
        <v>106</v>
      </c>
      <c r="D166" s="616" t="s">
        <v>34</v>
      </c>
      <c r="E166" s="616" t="s">
        <v>1101</v>
      </c>
      <c r="F166" s="616"/>
      <c r="G166" s="616"/>
      <c r="H166" s="609" t="str">
        <f>H164+F165</f>
        <v>29969.43</v>
      </c>
      <c r="I166" s="616">
        <v>428.403</v>
      </c>
      <c r="J166" s="616">
        <v>75.5</v>
      </c>
      <c r="K166" s="616" t="str">
        <f>F165+F167</f>
        <v>800</v>
      </c>
      <c r="L166" s="616" t="str">
        <f>K166/2</f>
        <v>400</v>
      </c>
      <c r="M166" s="616">
        <v>213.0</v>
      </c>
      <c r="N166" s="616">
        <v>234.0</v>
      </c>
      <c r="O166" s="616">
        <v>447.0</v>
      </c>
      <c r="P166" s="616">
        <v>208.0</v>
      </c>
      <c r="Q166" s="616">
        <v>225.0</v>
      </c>
      <c r="R166" s="616">
        <v>433.0</v>
      </c>
      <c r="S166" s="616" t="s">
        <v>1359</v>
      </c>
      <c r="T166" s="616" t="s">
        <v>1360</v>
      </c>
      <c r="U166" s="616">
        <v>544972.341</v>
      </c>
      <c r="V166" s="616">
        <v>2666881.956</v>
      </c>
      <c r="W166" s="616"/>
      <c r="X166" s="138" t="s">
        <v>1361</v>
      </c>
      <c r="Y166" s="138" t="s">
        <v>1159</v>
      </c>
      <c r="Z166" s="620" t="s">
        <v>31</v>
      </c>
      <c r="AA166" s="616"/>
      <c r="AB166" s="616"/>
      <c r="AC166" s="616"/>
      <c r="AD166" s="621"/>
    </row>
    <row r="167" ht="24.75" customHeight="1">
      <c r="A167" s="598"/>
      <c r="B167" s="616"/>
      <c r="C167" s="616"/>
      <c r="D167" s="616"/>
      <c r="E167" s="616"/>
      <c r="F167" s="616">
        <v>410.0</v>
      </c>
      <c r="G167" s="616"/>
      <c r="H167" s="600"/>
      <c r="I167" s="616"/>
      <c r="J167" s="616"/>
      <c r="K167" s="616"/>
      <c r="L167" s="616"/>
      <c r="M167" s="616"/>
      <c r="N167" s="616"/>
      <c r="O167" s="616"/>
      <c r="P167" s="616"/>
      <c r="Q167" s="616"/>
      <c r="R167" s="616"/>
      <c r="S167" s="616"/>
      <c r="T167" s="616"/>
      <c r="U167" s="616"/>
      <c r="V167" s="616"/>
      <c r="W167" s="616" t="s">
        <v>1208</v>
      </c>
      <c r="X167" s="606"/>
      <c r="Y167" s="606"/>
      <c r="Z167" s="620"/>
      <c r="AA167" s="616"/>
      <c r="AB167" s="616"/>
      <c r="AC167" s="616"/>
      <c r="AD167" s="621"/>
    </row>
    <row r="168" ht="24.75" customHeight="1">
      <c r="A168" s="608">
        <v>80.0</v>
      </c>
      <c r="B168" s="616" t="s">
        <v>1362</v>
      </c>
      <c r="C168" s="616" t="s">
        <v>107</v>
      </c>
      <c r="D168" s="616" t="s">
        <v>16</v>
      </c>
      <c r="E168" s="616" t="s">
        <v>1363</v>
      </c>
      <c r="F168" s="616"/>
      <c r="G168" s="616" t="str">
        <f>SUM(F149:F167)</f>
        <v>3941</v>
      </c>
      <c r="H168" s="609" t="str">
        <f>H166+F167</f>
        <v>30379.43</v>
      </c>
      <c r="I168" s="616">
        <v>425.949</v>
      </c>
      <c r="J168" s="138">
        <v>70.72</v>
      </c>
      <c r="K168" s="616" t="str">
        <f>F167+F169</f>
        <v>790</v>
      </c>
      <c r="L168" s="616" t="str">
        <f>K168/2</f>
        <v>395</v>
      </c>
      <c r="M168" s="616">
        <v>177.0</v>
      </c>
      <c r="N168" s="616">
        <v>208.0</v>
      </c>
      <c r="O168" s="616" t="str">
        <f>M168+N168</f>
        <v>385</v>
      </c>
      <c r="P168" s="616">
        <v>186.0</v>
      </c>
      <c r="Q168" s="616">
        <v>216.0</v>
      </c>
      <c r="R168" s="616" t="str">
        <f>P168+Q168</f>
        <v>402</v>
      </c>
      <c r="S168" s="616" t="s">
        <v>1364</v>
      </c>
      <c r="T168" s="616" t="s">
        <v>1365</v>
      </c>
      <c r="U168" s="616">
        <v>545355.05</v>
      </c>
      <c r="V168" s="616">
        <v>2666736.04</v>
      </c>
      <c r="W168" s="616"/>
      <c r="X168" s="138" t="s">
        <v>1361</v>
      </c>
      <c r="Y168" s="138" t="s">
        <v>1159</v>
      </c>
      <c r="Z168" s="620" t="s">
        <v>31</v>
      </c>
      <c r="AA168" s="616"/>
      <c r="AB168" s="616"/>
      <c r="AC168" s="616"/>
      <c r="AD168" s="621"/>
    </row>
    <row r="169" ht="24.75" customHeight="1">
      <c r="A169" s="598"/>
      <c r="B169" s="616"/>
      <c r="C169" s="616"/>
      <c r="D169" s="616"/>
      <c r="E169" s="616"/>
      <c r="F169" s="616">
        <v>380.0</v>
      </c>
      <c r="G169" s="616"/>
      <c r="H169" s="600"/>
      <c r="I169" s="616"/>
      <c r="J169" s="616"/>
      <c r="K169" s="616"/>
      <c r="L169" s="616"/>
      <c r="M169" s="616"/>
      <c r="N169" s="616"/>
      <c r="O169" s="616"/>
      <c r="P169" s="616"/>
      <c r="Q169" s="616"/>
      <c r="R169" s="616"/>
      <c r="S169" s="616"/>
      <c r="T169" s="616"/>
      <c r="U169" s="616"/>
      <c r="V169" s="616"/>
      <c r="W169" s="616"/>
      <c r="X169" s="606"/>
      <c r="Y169" s="606"/>
      <c r="Z169" s="620"/>
      <c r="AA169" s="616"/>
      <c r="AB169" s="616"/>
      <c r="AC169" s="616"/>
      <c r="AD169" s="621"/>
    </row>
    <row r="170" ht="24.75" customHeight="1">
      <c r="A170" s="608">
        <v>81.0</v>
      </c>
      <c r="B170" s="616"/>
      <c r="C170" s="616" t="s">
        <v>108</v>
      </c>
      <c r="D170" s="616" t="s">
        <v>33</v>
      </c>
      <c r="E170" s="616"/>
      <c r="F170" s="616"/>
      <c r="G170" s="616"/>
      <c r="H170" s="609" t="str">
        <f>H168+F169</f>
        <v>30759.43</v>
      </c>
      <c r="I170" s="622">
        <v>421.3</v>
      </c>
      <c r="J170" s="616">
        <v>72.5</v>
      </c>
      <c r="K170" s="616" t="str">
        <f>F169+F171</f>
        <v>747</v>
      </c>
      <c r="L170" s="616" t="str">
        <f>K170/2</f>
        <v>373.5</v>
      </c>
      <c r="M170" s="616">
        <v>171.0</v>
      </c>
      <c r="N170" s="616">
        <v>235.0</v>
      </c>
      <c r="O170" s="616">
        <v>406.0</v>
      </c>
      <c r="P170" s="616">
        <v>164.0</v>
      </c>
      <c r="Q170" s="616">
        <v>252.0</v>
      </c>
      <c r="R170" s="616">
        <v>416.0</v>
      </c>
      <c r="S170" s="616" t="s">
        <v>1366</v>
      </c>
      <c r="T170" s="616" t="s">
        <v>1367</v>
      </c>
      <c r="U170" s="616">
        <v>545711.0</v>
      </c>
      <c r="V170" s="616">
        <v>2666603.0</v>
      </c>
      <c r="W170" s="616"/>
      <c r="X170" s="138" t="s">
        <v>1361</v>
      </c>
      <c r="Y170" s="138" t="s">
        <v>1159</v>
      </c>
      <c r="Z170" s="620" t="s">
        <v>31</v>
      </c>
      <c r="AA170" s="616"/>
      <c r="AB170" s="616"/>
      <c r="AC170" s="616"/>
      <c r="AD170" s="621"/>
    </row>
    <row r="171" ht="24.75" customHeight="1">
      <c r="A171" s="598"/>
      <c r="B171" s="616"/>
      <c r="C171" s="616"/>
      <c r="D171" s="616"/>
      <c r="E171" s="616"/>
      <c r="F171" s="616">
        <v>367.0</v>
      </c>
      <c r="G171" s="616"/>
      <c r="H171" s="600"/>
      <c r="I171" s="616"/>
      <c r="J171" s="616"/>
      <c r="K171" s="616"/>
      <c r="L171" s="616"/>
      <c r="M171" s="616"/>
      <c r="N171" s="616"/>
      <c r="O171" s="616"/>
      <c r="P171" s="616"/>
      <c r="Q171" s="616"/>
      <c r="R171" s="616"/>
      <c r="S171" s="616"/>
      <c r="T171" s="616"/>
      <c r="U171" s="616"/>
      <c r="V171" s="616"/>
      <c r="W171" s="616" t="s">
        <v>1368</v>
      </c>
      <c r="X171" s="606"/>
      <c r="Y171" s="606"/>
      <c r="Z171" s="620"/>
      <c r="AA171" s="616"/>
      <c r="AB171" s="616"/>
      <c r="AC171" s="616"/>
      <c r="AD171" s="621"/>
    </row>
    <row r="172" ht="24.75" customHeight="1">
      <c r="A172" s="608">
        <v>82.0</v>
      </c>
      <c r="B172" s="616"/>
      <c r="C172" s="616" t="s">
        <v>109</v>
      </c>
      <c r="D172" s="616" t="s">
        <v>33</v>
      </c>
      <c r="E172" s="616"/>
      <c r="F172" s="616"/>
      <c r="G172" s="616"/>
      <c r="H172" s="609" t="str">
        <f>H170+F171</f>
        <v>31126.43</v>
      </c>
      <c r="I172" s="622">
        <v>409.5</v>
      </c>
      <c r="J172" s="616">
        <v>72.5</v>
      </c>
      <c r="K172" s="616" t="str">
        <f>F171+F173</f>
        <v>800</v>
      </c>
      <c r="L172" s="616" t="str">
        <f>K172/2</f>
        <v>400</v>
      </c>
      <c r="M172" s="616">
        <v>132.0</v>
      </c>
      <c r="N172" s="616">
        <v>187.0</v>
      </c>
      <c r="O172" s="616">
        <v>319.0</v>
      </c>
      <c r="P172" s="616">
        <v>115.0</v>
      </c>
      <c r="Q172" s="616">
        <v>177.0</v>
      </c>
      <c r="R172" s="616">
        <v>292.0</v>
      </c>
      <c r="S172" s="616" t="s">
        <v>1369</v>
      </c>
      <c r="T172" s="616" t="s">
        <v>1370</v>
      </c>
      <c r="U172" s="616">
        <v>546054.77</v>
      </c>
      <c r="V172" s="616">
        <v>2666474.51</v>
      </c>
      <c r="W172" s="616"/>
      <c r="X172" s="138" t="s">
        <v>1361</v>
      </c>
      <c r="Y172" s="138" t="s">
        <v>1159</v>
      </c>
      <c r="Z172" s="620" t="s">
        <v>31</v>
      </c>
      <c r="AA172" s="616"/>
      <c r="AB172" s="616"/>
      <c r="AC172" s="616"/>
      <c r="AD172" s="621"/>
    </row>
    <row r="173" ht="24.75" customHeight="1">
      <c r="A173" s="598"/>
      <c r="B173" s="616"/>
      <c r="C173" s="616"/>
      <c r="D173" s="616"/>
      <c r="E173" s="616"/>
      <c r="F173" s="616">
        <v>433.0</v>
      </c>
      <c r="G173" s="616"/>
      <c r="H173" s="600"/>
      <c r="I173" s="616"/>
      <c r="J173" s="616"/>
      <c r="K173" s="616"/>
      <c r="L173" s="616"/>
      <c r="M173" s="616"/>
      <c r="N173" s="616"/>
      <c r="O173" s="616"/>
      <c r="P173" s="616"/>
      <c r="Q173" s="616"/>
      <c r="R173" s="616"/>
      <c r="S173" s="616"/>
      <c r="T173" s="616"/>
      <c r="U173" s="616"/>
      <c r="V173" s="616"/>
      <c r="W173" s="616" t="s">
        <v>1371</v>
      </c>
      <c r="X173" s="606"/>
      <c r="Y173" s="606"/>
      <c r="Z173" s="620"/>
      <c r="AA173" s="616"/>
      <c r="AB173" s="616"/>
      <c r="AC173" s="616"/>
      <c r="AD173" s="621"/>
    </row>
    <row r="174" ht="24.75" customHeight="1">
      <c r="A174" s="608">
        <v>83.0</v>
      </c>
      <c r="B174" s="616"/>
      <c r="C174" s="616" t="s">
        <v>110</v>
      </c>
      <c r="D174" s="616" t="s">
        <v>14</v>
      </c>
      <c r="E174" s="616"/>
      <c r="F174" s="616"/>
      <c r="G174" s="616"/>
      <c r="H174" s="609" t="str">
        <f>H172+F173</f>
        <v>31559.43</v>
      </c>
      <c r="I174" s="616">
        <v>408.511</v>
      </c>
      <c r="J174" s="616">
        <v>81.5</v>
      </c>
      <c r="K174" s="616" t="str">
        <f>F173+F175</f>
        <v>833</v>
      </c>
      <c r="L174" s="616" t="str">
        <f>K174/2</f>
        <v>416.5</v>
      </c>
      <c r="M174" s="616">
        <v>246.0</v>
      </c>
      <c r="N174" s="616">
        <v>184.0</v>
      </c>
      <c r="O174" s="616">
        <v>430.0</v>
      </c>
      <c r="P174" s="616">
        <v>256.0</v>
      </c>
      <c r="Q174" s="616">
        <v>178.0</v>
      </c>
      <c r="R174" s="616">
        <v>434.0</v>
      </c>
      <c r="S174" s="616" t="s">
        <v>1372</v>
      </c>
      <c r="T174" s="616" t="s">
        <v>1373</v>
      </c>
      <c r="U174" s="616">
        <v>546460.37</v>
      </c>
      <c r="V174" s="616">
        <v>2666322.91</v>
      </c>
      <c r="W174" s="616"/>
      <c r="X174" s="138" t="s">
        <v>1361</v>
      </c>
      <c r="Y174" s="138" t="s">
        <v>1159</v>
      </c>
      <c r="Z174" s="620" t="s">
        <v>31</v>
      </c>
      <c r="AA174" s="616"/>
      <c r="AB174" s="616"/>
      <c r="AC174" s="616"/>
      <c r="AD174" s="621"/>
    </row>
    <row r="175" ht="24.75" customHeight="1">
      <c r="A175" s="598"/>
      <c r="B175" s="616"/>
      <c r="C175" s="616"/>
      <c r="D175" s="616"/>
      <c r="E175" s="616"/>
      <c r="F175" s="616">
        <v>400.0</v>
      </c>
      <c r="G175" s="616"/>
      <c r="H175" s="600"/>
      <c r="I175" s="616"/>
      <c r="J175" s="616"/>
      <c r="K175" s="616"/>
      <c r="L175" s="616"/>
      <c r="M175" s="616"/>
      <c r="N175" s="616"/>
      <c r="O175" s="616"/>
      <c r="P175" s="616"/>
      <c r="Q175" s="616"/>
      <c r="R175" s="616"/>
      <c r="S175" s="616"/>
      <c r="T175" s="616"/>
      <c r="U175" s="616"/>
      <c r="V175" s="616"/>
      <c r="W175" s="616" t="s">
        <v>1374</v>
      </c>
      <c r="X175" s="606"/>
      <c r="Y175" s="606"/>
      <c r="Z175" s="620"/>
      <c r="AA175" s="616"/>
      <c r="AB175" s="616"/>
      <c r="AC175" s="616"/>
      <c r="AD175" s="621"/>
    </row>
    <row r="176" ht="24.75" customHeight="1">
      <c r="A176" s="608">
        <v>84.0</v>
      </c>
      <c r="B176" s="616"/>
      <c r="C176" s="616" t="s">
        <v>111</v>
      </c>
      <c r="D176" s="616" t="s">
        <v>33</v>
      </c>
      <c r="E176" s="616"/>
      <c r="F176" s="616"/>
      <c r="G176" s="616"/>
      <c r="H176" s="609" t="str">
        <f>H174+F175</f>
        <v>31959.43</v>
      </c>
      <c r="I176" s="622">
        <v>421.58</v>
      </c>
      <c r="J176" s="616">
        <v>72.5</v>
      </c>
      <c r="K176" s="616" t="str">
        <f>F175+F177</f>
        <v>796</v>
      </c>
      <c r="L176" s="616" t="str">
        <f>K176/2</f>
        <v>398</v>
      </c>
      <c r="M176" s="616">
        <v>216.0</v>
      </c>
      <c r="N176" s="616">
        <v>155.0</v>
      </c>
      <c r="O176" s="616">
        <v>371.0</v>
      </c>
      <c r="P176" s="616">
        <v>222.0</v>
      </c>
      <c r="Q176" s="616">
        <v>140.0</v>
      </c>
      <c r="R176" s="616">
        <v>362.0</v>
      </c>
      <c r="S176" s="616" t="s">
        <v>1375</v>
      </c>
      <c r="T176" s="616" t="s">
        <v>1376</v>
      </c>
      <c r="U176" s="616">
        <v>546835.05</v>
      </c>
      <c r="V176" s="616">
        <v>2666182.87</v>
      </c>
      <c r="W176" s="616"/>
      <c r="X176" s="138" t="s">
        <v>1361</v>
      </c>
      <c r="Y176" s="138" t="s">
        <v>1159</v>
      </c>
      <c r="Z176" s="620" t="s">
        <v>31</v>
      </c>
      <c r="AA176" s="616"/>
      <c r="AB176" s="616"/>
      <c r="AC176" s="616"/>
      <c r="AD176" s="621"/>
    </row>
    <row r="177" ht="24.75" customHeight="1">
      <c r="A177" s="598"/>
      <c r="B177" s="616"/>
      <c r="C177" s="616"/>
      <c r="D177" s="616"/>
      <c r="E177" s="616"/>
      <c r="F177" s="616">
        <v>396.0</v>
      </c>
      <c r="G177" s="616"/>
      <c r="H177" s="600"/>
      <c r="I177" s="616"/>
      <c r="J177" s="616"/>
      <c r="K177" s="616"/>
      <c r="L177" s="616"/>
      <c r="M177" s="616"/>
      <c r="N177" s="616"/>
      <c r="O177" s="616"/>
      <c r="P177" s="616"/>
      <c r="Q177" s="616"/>
      <c r="R177" s="616"/>
      <c r="S177" s="616"/>
      <c r="T177" s="616"/>
      <c r="U177" s="616"/>
      <c r="V177" s="616"/>
      <c r="W177" s="616" t="s">
        <v>1377</v>
      </c>
      <c r="X177" s="606"/>
      <c r="Y177" s="606"/>
      <c r="Z177" s="620"/>
      <c r="AA177" s="616"/>
      <c r="AB177" s="616"/>
      <c r="AC177" s="616"/>
      <c r="AD177" s="621"/>
    </row>
    <row r="178" ht="24.75" customHeight="1">
      <c r="A178" s="608">
        <v>85.0</v>
      </c>
      <c r="B178" s="616"/>
      <c r="C178" s="616" t="s">
        <v>117</v>
      </c>
      <c r="D178" s="616" t="s">
        <v>12</v>
      </c>
      <c r="E178" s="616"/>
      <c r="F178" s="616"/>
      <c r="G178" s="616"/>
      <c r="H178" s="609" t="str">
        <f>H176+F177</f>
        <v>32355.43</v>
      </c>
      <c r="I178" s="616">
        <v>426.247</v>
      </c>
      <c r="J178" s="616">
        <v>78.5</v>
      </c>
      <c r="K178" s="616" t="str">
        <f>F177+F179</f>
        <v>816</v>
      </c>
      <c r="L178" s="616" t="str">
        <f>K178/2</f>
        <v>408</v>
      </c>
      <c r="M178" s="616">
        <v>241.0</v>
      </c>
      <c r="N178" s="616">
        <v>255.0</v>
      </c>
      <c r="O178" s="616">
        <v>496.0</v>
      </c>
      <c r="P178" s="616">
        <v>256.0</v>
      </c>
      <c r="Q178" s="616">
        <v>270.0</v>
      </c>
      <c r="R178" s="616">
        <v>526.0</v>
      </c>
      <c r="S178" s="616" t="s">
        <v>1378</v>
      </c>
      <c r="T178" s="616" t="s">
        <v>1379</v>
      </c>
      <c r="U178" s="616">
        <v>547205.99</v>
      </c>
      <c r="V178" s="616">
        <v>2666044.23</v>
      </c>
      <c r="W178" s="616"/>
      <c r="X178" s="138" t="s">
        <v>1361</v>
      </c>
      <c r="Y178" s="138" t="s">
        <v>1159</v>
      </c>
      <c r="Z178" s="620" t="s">
        <v>31</v>
      </c>
      <c r="AA178" s="616"/>
      <c r="AB178" s="616"/>
      <c r="AC178" s="616"/>
      <c r="AD178" s="621"/>
    </row>
    <row r="179" ht="24.75" customHeight="1">
      <c r="A179" s="598"/>
      <c r="B179" s="616"/>
      <c r="C179" s="616"/>
      <c r="D179" s="616"/>
      <c r="E179" s="616"/>
      <c r="F179" s="616">
        <v>420.0</v>
      </c>
      <c r="G179" s="616"/>
      <c r="H179" s="600"/>
      <c r="I179" s="616"/>
      <c r="J179" s="616"/>
      <c r="K179" s="616"/>
      <c r="L179" s="616"/>
      <c r="M179" s="616"/>
      <c r="N179" s="616"/>
      <c r="O179" s="616"/>
      <c r="P179" s="616"/>
      <c r="Q179" s="616"/>
      <c r="R179" s="616"/>
      <c r="S179" s="616"/>
      <c r="T179" s="616"/>
      <c r="U179" s="616"/>
      <c r="V179" s="616"/>
      <c r="W179" s="616" t="s">
        <v>1380</v>
      </c>
      <c r="X179" s="606"/>
      <c r="Y179" s="606"/>
      <c r="Z179" s="620"/>
      <c r="AA179" s="616"/>
      <c r="AB179" s="616"/>
      <c r="AC179" s="616"/>
      <c r="AD179" s="621"/>
    </row>
    <row r="180" ht="24.75" customHeight="1">
      <c r="A180" s="608">
        <v>86.0</v>
      </c>
      <c r="B180" s="616"/>
      <c r="C180" s="616" t="s">
        <v>118</v>
      </c>
      <c r="D180" s="616" t="s">
        <v>15</v>
      </c>
      <c r="E180" s="616"/>
      <c r="F180" s="616"/>
      <c r="G180" s="616"/>
      <c r="H180" s="609" t="str">
        <f>H178+F179</f>
        <v>32775.43</v>
      </c>
      <c r="I180" s="616">
        <v>423.4</v>
      </c>
      <c r="J180" s="616">
        <v>69.5</v>
      </c>
      <c r="K180" s="616" t="str">
        <f>F179+F181</f>
        <v>774</v>
      </c>
      <c r="L180" s="616" t="str">
        <f>K180/2</f>
        <v>387</v>
      </c>
      <c r="M180" s="616">
        <v>165.0</v>
      </c>
      <c r="N180" s="616">
        <v>155.0</v>
      </c>
      <c r="O180" s="616">
        <v>320.0</v>
      </c>
      <c r="P180" s="616">
        <v>150.0</v>
      </c>
      <c r="Q180" s="616">
        <v>147.0</v>
      </c>
      <c r="R180" s="616">
        <v>297.0</v>
      </c>
      <c r="S180" s="616" t="s">
        <v>1381</v>
      </c>
      <c r="T180" s="616" t="s">
        <v>1382</v>
      </c>
      <c r="U180" s="616">
        <v>547599.4</v>
      </c>
      <c r="V180" s="616">
        <v>2665897.18</v>
      </c>
      <c r="W180" s="616"/>
      <c r="X180" s="138" t="s">
        <v>1383</v>
      </c>
      <c r="Y180" s="138" t="s">
        <v>1159</v>
      </c>
      <c r="Z180" s="620" t="s">
        <v>31</v>
      </c>
      <c r="AA180" s="616"/>
      <c r="AB180" s="616"/>
      <c r="AC180" s="616"/>
      <c r="AD180" s="621"/>
    </row>
    <row r="181" ht="24.75" customHeight="1">
      <c r="A181" s="598"/>
      <c r="B181" s="616"/>
      <c r="C181" s="616"/>
      <c r="D181" s="616"/>
      <c r="E181" s="616"/>
      <c r="F181" s="616">
        <v>354.0</v>
      </c>
      <c r="G181" s="616"/>
      <c r="H181" s="600"/>
      <c r="I181" s="616"/>
      <c r="J181" s="616"/>
      <c r="K181" s="616"/>
      <c r="L181" s="616"/>
      <c r="M181" s="616"/>
      <c r="N181" s="616"/>
      <c r="O181" s="616"/>
      <c r="P181" s="616"/>
      <c r="Q181" s="616"/>
      <c r="R181" s="616"/>
      <c r="S181" s="616"/>
      <c r="T181" s="616"/>
      <c r="U181" s="616"/>
      <c r="V181" s="616"/>
      <c r="W181" s="616" t="s">
        <v>1384</v>
      </c>
      <c r="X181" s="606"/>
      <c r="Y181" s="606"/>
      <c r="Z181" s="620"/>
      <c r="AA181" s="616"/>
      <c r="AB181" s="616"/>
      <c r="AC181" s="616"/>
      <c r="AD181" s="621"/>
    </row>
    <row r="182" ht="24.75" customHeight="1">
      <c r="A182" s="608">
        <v>87.0</v>
      </c>
      <c r="B182" s="616"/>
      <c r="C182" s="616" t="s">
        <v>119</v>
      </c>
      <c r="D182" s="616" t="s">
        <v>33</v>
      </c>
      <c r="E182" s="616"/>
      <c r="F182" s="616"/>
      <c r="G182" s="616"/>
      <c r="H182" s="609" t="str">
        <f>H180+F181</f>
        <v>33129.43</v>
      </c>
      <c r="I182" s="622">
        <v>425.32</v>
      </c>
      <c r="J182" s="616">
        <v>72.5</v>
      </c>
      <c r="K182" s="616" t="str">
        <f>F181+F183</f>
        <v>702</v>
      </c>
      <c r="L182" s="616" t="str">
        <f>K182/2</f>
        <v>351</v>
      </c>
      <c r="M182" s="616">
        <v>199.0</v>
      </c>
      <c r="N182" s="616">
        <v>214.0</v>
      </c>
      <c r="O182" s="616">
        <v>413.0</v>
      </c>
      <c r="P182" s="616">
        <v>207.0</v>
      </c>
      <c r="Q182" s="616">
        <v>228.0</v>
      </c>
      <c r="R182" s="616">
        <v>435.0</v>
      </c>
      <c r="S182" s="616" t="s">
        <v>1385</v>
      </c>
      <c r="T182" s="616" t="s">
        <v>1386</v>
      </c>
      <c r="U182" s="616">
        <v>547931.0</v>
      </c>
      <c r="V182" s="616">
        <v>2665773.25</v>
      </c>
      <c r="W182" s="616"/>
      <c r="X182" s="138" t="s">
        <v>1383</v>
      </c>
      <c r="Y182" s="138" t="s">
        <v>1159</v>
      </c>
      <c r="Z182" s="620" t="s">
        <v>31</v>
      </c>
      <c r="AA182" s="616"/>
      <c r="AB182" s="616"/>
      <c r="AC182" s="616"/>
      <c r="AD182" s="621"/>
    </row>
    <row r="183" ht="24.75" customHeight="1">
      <c r="A183" s="598"/>
      <c r="B183" s="616"/>
      <c r="C183" s="616"/>
      <c r="D183" s="616"/>
      <c r="E183" s="616"/>
      <c r="F183" s="616">
        <v>348.0</v>
      </c>
      <c r="G183" s="616"/>
      <c r="H183" s="600"/>
      <c r="I183" s="616"/>
      <c r="J183" s="616"/>
      <c r="K183" s="616"/>
      <c r="L183" s="616"/>
      <c r="M183" s="616"/>
      <c r="N183" s="616"/>
      <c r="O183" s="616"/>
      <c r="P183" s="616"/>
      <c r="Q183" s="616"/>
      <c r="R183" s="616"/>
      <c r="S183" s="616"/>
      <c r="T183" s="616"/>
      <c r="U183" s="616"/>
      <c r="V183" s="616"/>
      <c r="W183" s="616" t="s">
        <v>1387</v>
      </c>
      <c r="X183" s="606"/>
      <c r="Y183" s="606"/>
      <c r="Z183" s="620"/>
      <c r="AA183" s="616"/>
      <c r="AB183" s="616"/>
      <c r="AC183" s="616"/>
      <c r="AD183" s="621"/>
    </row>
    <row r="184" ht="24.75" customHeight="1">
      <c r="A184" s="608">
        <v>88.0</v>
      </c>
      <c r="B184" s="616"/>
      <c r="C184" s="616" t="s">
        <v>120</v>
      </c>
      <c r="D184" s="616" t="s">
        <v>15</v>
      </c>
      <c r="E184" s="616"/>
      <c r="F184" s="616"/>
      <c r="G184" s="616"/>
      <c r="H184" s="609" t="str">
        <f>H182+F183</f>
        <v>33477.43</v>
      </c>
      <c r="I184" s="616">
        <v>419.483</v>
      </c>
      <c r="J184" s="616">
        <v>69.5</v>
      </c>
      <c r="K184" s="616" t="str">
        <f>F183+F185</f>
        <v>667</v>
      </c>
      <c r="L184" s="616" t="str">
        <f>K184/2</f>
        <v>333.5</v>
      </c>
      <c r="M184" s="616">
        <v>134.0</v>
      </c>
      <c r="N184" s="616">
        <v>146.0</v>
      </c>
      <c r="O184" s="616">
        <v>280.0</v>
      </c>
      <c r="P184" s="616">
        <v>120.0</v>
      </c>
      <c r="Q184" s="616">
        <v>141.0</v>
      </c>
      <c r="R184" s="616">
        <v>261.0</v>
      </c>
      <c r="S184" s="616" t="s">
        <v>1388</v>
      </c>
      <c r="T184" s="616" t="s">
        <v>1389</v>
      </c>
      <c r="U184" s="616">
        <v>548256.97</v>
      </c>
      <c r="V184" s="616">
        <v>2665651.41</v>
      </c>
      <c r="W184" s="616"/>
      <c r="X184" s="138" t="s">
        <v>1383</v>
      </c>
      <c r="Y184" s="138" t="s">
        <v>1159</v>
      </c>
      <c r="Z184" s="620" t="s">
        <v>31</v>
      </c>
      <c r="AA184" s="616"/>
      <c r="AB184" s="616"/>
      <c r="AC184" s="616"/>
      <c r="AD184" s="621"/>
    </row>
    <row r="185" ht="24.75" customHeight="1">
      <c r="A185" s="598"/>
      <c r="B185" s="616"/>
      <c r="C185" s="616"/>
      <c r="D185" s="616"/>
      <c r="E185" s="616"/>
      <c r="F185" s="616">
        <v>319.0</v>
      </c>
      <c r="G185" s="616"/>
      <c r="H185" s="600"/>
      <c r="I185" s="616"/>
      <c r="J185" s="616"/>
      <c r="K185" s="616"/>
      <c r="L185" s="616"/>
      <c r="M185" s="616"/>
      <c r="N185" s="616"/>
      <c r="O185" s="616"/>
      <c r="P185" s="616"/>
      <c r="Q185" s="616"/>
      <c r="R185" s="616"/>
      <c r="S185" s="616"/>
      <c r="T185" s="616"/>
      <c r="U185" s="616"/>
      <c r="V185" s="616"/>
      <c r="W185" s="616" t="s">
        <v>1384</v>
      </c>
      <c r="X185" s="606"/>
      <c r="Y185" s="606"/>
      <c r="Z185" s="620"/>
      <c r="AA185" s="616"/>
      <c r="AB185" s="616"/>
      <c r="AC185" s="616"/>
      <c r="AD185" s="621"/>
    </row>
    <row r="186" ht="24.75" customHeight="1">
      <c r="A186" s="608">
        <v>89.0</v>
      </c>
      <c r="B186" s="616"/>
      <c r="C186" s="616" t="s">
        <v>121</v>
      </c>
      <c r="D186" s="616" t="s">
        <v>33</v>
      </c>
      <c r="E186" s="616"/>
      <c r="F186" s="616"/>
      <c r="G186" s="616"/>
      <c r="H186" s="609" t="str">
        <f>H184+F185</f>
        <v>33796.43</v>
      </c>
      <c r="I186" s="622">
        <v>419.25</v>
      </c>
      <c r="J186" s="616">
        <v>72.5</v>
      </c>
      <c r="K186" s="616" t="str">
        <f>F185+F187</f>
        <v>698</v>
      </c>
      <c r="L186" s="616" t="str">
        <f>K186/2</f>
        <v>349</v>
      </c>
      <c r="M186" s="616">
        <v>173.0</v>
      </c>
      <c r="N186" s="616">
        <v>199.0</v>
      </c>
      <c r="O186" s="616">
        <v>372.0</v>
      </c>
      <c r="P186" s="616">
        <v>178.0</v>
      </c>
      <c r="Q186" s="616">
        <v>202.0</v>
      </c>
      <c r="R186" s="616">
        <v>380.0</v>
      </c>
      <c r="S186" s="616" t="s">
        <v>1390</v>
      </c>
      <c r="T186" s="616" t="s">
        <v>1391</v>
      </c>
      <c r="U186" s="616">
        <v>548555.78</v>
      </c>
      <c r="V186" s="616">
        <v>2665539.72</v>
      </c>
      <c r="W186" s="616"/>
      <c r="X186" s="138" t="s">
        <v>1383</v>
      </c>
      <c r="Y186" s="138" t="s">
        <v>1159</v>
      </c>
      <c r="Z186" s="620" t="s">
        <v>31</v>
      </c>
      <c r="AA186" s="616"/>
      <c r="AB186" s="616"/>
      <c r="AC186" s="616"/>
      <c r="AD186" s="621"/>
    </row>
    <row r="187" ht="24.75" customHeight="1">
      <c r="A187" s="598"/>
      <c r="B187" s="616"/>
      <c r="C187" s="616"/>
      <c r="D187" s="616"/>
      <c r="E187" s="616"/>
      <c r="F187" s="616">
        <v>379.0</v>
      </c>
      <c r="G187" s="616"/>
      <c r="H187" s="600"/>
      <c r="I187" s="616"/>
      <c r="J187" s="616"/>
      <c r="K187" s="616"/>
      <c r="L187" s="616"/>
      <c r="M187" s="616"/>
      <c r="N187" s="616"/>
      <c r="O187" s="616"/>
      <c r="P187" s="616"/>
      <c r="Q187" s="616"/>
      <c r="R187" s="616"/>
      <c r="S187" s="616"/>
      <c r="T187" s="616"/>
      <c r="U187" s="616"/>
      <c r="V187" s="616"/>
      <c r="W187" s="616" t="s">
        <v>1392</v>
      </c>
      <c r="X187" s="606"/>
      <c r="Y187" s="606"/>
      <c r="Z187" s="620"/>
      <c r="AA187" s="616"/>
      <c r="AB187" s="616"/>
      <c r="AC187" s="616"/>
      <c r="AD187" s="621"/>
    </row>
    <row r="188" ht="24.75" customHeight="1">
      <c r="A188" s="608">
        <v>90.0</v>
      </c>
      <c r="B188" s="616"/>
      <c r="C188" s="616" t="s">
        <v>122</v>
      </c>
      <c r="D188" s="616" t="s">
        <v>12</v>
      </c>
      <c r="E188" s="616"/>
      <c r="F188" s="616"/>
      <c r="G188" s="616"/>
      <c r="H188" s="609" t="str">
        <f>H186+F187</f>
        <v>34175.43</v>
      </c>
      <c r="I188" s="616">
        <v>411.1</v>
      </c>
      <c r="J188" s="616">
        <v>78.5</v>
      </c>
      <c r="K188" s="616" t="str">
        <f>F187+F189</f>
        <v>807</v>
      </c>
      <c r="L188" s="616" t="str">
        <f>K188/2</f>
        <v>403.5</v>
      </c>
      <c r="M188" s="616">
        <v>180.0</v>
      </c>
      <c r="N188" s="616">
        <v>213.0</v>
      </c>
      <c r="O188" s="616">
        <v>393.0</v>
      </c>
      <c r="P188" s="616">
        <v>177.0</v>
      </c>
      <c r="Q188" s="616">
        <v>212.0</v>
      </c>
      <c r="R188" s="616">
        <v>389.0</v>
      </c>
      <c r="S188" s="616" t="s">
        <v>1393</v>
      </c>
      <c r="T188" s="616" t="s">
        <v>1394</v>
      </c>
      <c r="U188" s="616">
        <v>548910.8</v>
      </c>
      <c r="V188" s="616">
        <v>2665407.03</v>
      </c>
      <c r="W188" s="616"/>
      <c r="X188" s="138" t="s">
        <v>1383</v>
      </c>
      <c r="Y188" s="138" t="s">
        <v>1159</v>
      </c>
      <c r="Z188" s="620" t="s">
        <v>31</v>
      </c>
      <c r="AA188" s="616"/>
      <c r="AB188" s="616"/>
      <c r="AC188" s="616"/>
      <c r="AD188" s="621"/>
    </row>
    <row r="189" ht="24.75" customHeight="1">
      <c r="A189" s="598"/>
      <c r="B189" s="616"/>
      <c r="C189" s="616"/>
      <c r="D189" s="616"/>
      <c r="E189" s="616"/>
      <c r="F189" s="616">
        <v>428.0</v>
      </c>
      <c r="G189" s="616"/>
      <c r="H189" s="600"/>
      <c r="I189" s="616"/>
      <c r="J189" s="616"/>
      <c r="K189" s="616"/>
      <c r="L189" s="616"/>
      <c r="M189" s="616"/>
      <c r="N189" s="616"/>
      <c r="O189" s="616"/>
      <c r="P189" s="616"/>
      <c r="Q189" s="616"/>
      <c r="R189" s="616"/>
      <c r="S189" s="616"/>
      <c r="T189" s="616"/>
      <c r="U189" s="616"/>
      <c r="V189" s="616"/>
      <c r="W189" s="616" t="s">
        <v>1395</v>
      </c>
      <c r="X189" s="606"/>
      <c r="Y189" s="606"/>
      <c r="Z189" s="620"/>
      <c r="AA189" s="616"/>
      <c r="AB189" s="616"/>
      <c r="AC189" s="616"/>
      <c r="AD189" s="621"/>
    </row>
    <row r="190" ht="24.75" customHeight="1">
      <c r="A190" s="608">
        <v>91.0</v>
      </c>
      <c r="B190" s="616"/>
      <c r="C190" s="616" t="s">
        <v>123</v>
      </c>
      <c r="D190" s="616" t="s">
        <v>33</v>
      </c>
      <c r="E190" s="616"/>
      <c r="F190" s="616"/>
      <c r="G190" s="616"/>
      <c r="H190" s="609" t="str">
        <f>H188+F189</f>
        <v>34603.43</v>
      </c>
      <c r="I190" s="622">
        <v>417.45</v>
      </c>
      <c r="J190" s="616">
        <v>72.5</v>
      </c>
      <c r="K190" s="616" t="str">
        <f>F189+F191</f>
        <v>825</v>
      </c>
      <c r="L190" s="616" t="str">
        <f>K190/2</f>
        <v>412.5</v>
      </c>
      <c r="M190" s="616">
        <v>215.0</v>
      </c>
      <c r="N190" s="616">
        <v>185.0</v>
      </c>
      <c r="O190" s="616">
        <v>400.0</v>
      </c>
      <c r="P190" s="616">
        <v>216.0</v>
      </c>
      <c r="Q190" s="616">
        <v>181.0</v>
      </c>
      <c r="R190" s="616">
        <v>397.0</v>
      </c>
      <c r="S190" s="616" t="s">
        <v>1396</v>
      </c>
      <c r="T190" s="616" t="s">
        <v>1397</v>
      </c>
      <c r="U190" s="616">
        <v>549311.71</v>
      </c>
      <c r="V190" s="616">
        <v>2665257.19</v>
      </c>
      <c r="W190" s="616"/>
      <c r="X190" s="138" t="s">
        <v>1383</v>
      </c>
      <c r="Y190" s="138" t="s">
        <v>1159</v>
      </c>
      <c r="Z190" s="620" t="s">
        <v>31</v>
      </c>
      <c r="AA190" s="616"/>
      <c r="AB190" s="616"/>
      <c r="AC190" s="616"/>
      <c r="AD190" s="621"/>
    </row>
    <row r="191" ht="24.75" customHeight="1">
      <c r="A191" s="598"/>
      <c r="B191" s="616"/>
      <c r="C191" s="616"/>
      <c r="D191" s="616"/>
      <c r="E191" s="616"/>
      <c r="F191" s="616">
        <v>397.0</v>
      </c>
      <c r="G191" s="616"/>
      <c r="H191" s="600"/>
      <c r="I191" s="616"/>
      <c r="J191" s="616"/>
      <c r="K191" s="616"/>
      <c r="L191" s="616"/>
      <c r="M191" s="616"/>
      <c r="N191" s="616"/>
      <c r="O191" s="616"/>
      <c r="P191" s="616"/>
      <c r="Q191" s="616"/>
      <c r="R191" s="616"/>
      <c r="S191" s="616"/>
      <c r="T191" s="616"/>
      <c r="U191" s="616"/>
      <c r="V191" s="616"/>
      <c r="W191" s="616" t="s">
        <v>1398</v>
      </c>
      <c r="X191" s="606"/>
      <c r="Y191" s="606"/>
      <c r="Z191" s="620"/>
      <c r="AA191" s="616"/>
      <c r="AB191" s="616"/>
      <c r="AC191" s="616"/>
      <c r="AD191" s="621"/>
    </row>
    <row r="192" ht="24.75" customHeight="1">
      <c r="A192" s="608">
        <v>92.0</v>
      </c>
      <c r="B192" s="616" t="s">
        <v>1399</v>
      </c>
      <c r="C192" s="616" t="s">
        <v>124</v>
      </c>
      <c r="D192" s="616" t="s">
        <v>113</v>
      </c>
      <c r="E192" s="616" t="s">
        <v>1400</v>
      </c>
      <c r="F192" s="616"/>
      <c r="G192" s="616" t="str">
        <f>SUM(F169:F191)</f>
        <v>4621</v>
      </c>
      <c r="H192" s="609" t="str">
        <f>H190+F191</f>
        <v>35000.43</v>
      </c>
      <c r="I192" s="616">
        <v>417.72</v>
      </c>
      <c r="J192" s="616">
        <v>73.72</v>
      </c>
      <c r="K192" s="616" t="str">
        <f>F191+F193</f>
        <v>644</v>
      </c>
      <c r="L192" s="616" t="str">
        <f>K192/2</f>
        <v>322</v>
      </c>
      <c r="M192" s="616">
        <v>212.0</v>
      </c>
      <c r="N192" s="616">
        <v>150.0</v>
      </c>
      <c r="O192" s="616">
        <v>362.0</v>
      </c>
      <c r="P192" s="616">
        <v>216.0</v>
      </c>
      <c r="Q192" s="616">
        <v>159.0</v>
      </c>
      <c r="R192" s="616">
        <v>375.0</v>
      </c>
      <c r="S192" s="616" t="s">
        <v>1401</v>
      </c>
      <c r="T192" s="616" t="s">
        <v>1402</v>
      </c>
      <c r="U192" s="616">
        <v>549683.4</v>
      </c>
      <c r="V192" s="616">
        <v>2665118.26</v>
      </c>
      <c r="W192" s="616"/>
      <c r="X192" s="138" t="s">
        <v>1403</v>
      </c>
      <c r="Y192" s="138" t="s">
        <v>1159</v>
      </c>
      <c r="Z192" s="620" t="s">
        <v>31</v>
      </c>
      <c r="AA192" s="616"/>
      <c r="AB192" s="616"/>
      <c r="AC192" s="616"/>
      <c r="AD192" s="621"/>
    </row>
    <row r="193" ht="12.75" customHeight="1">
      <c r="A193" s="598"/>
      <c r="B193" s="616"/>
      <c r="C193" s="616"/>
      <c r="D193" s="616"/>
      <c r="E193" s="616"/>
      <c r="F193" s="616">
        <v>247.0</v>
      </c>
      <c r="G193" s="616"/>
      <c r="H193" s="600"/>
      <c r="I193" s="616"/>
      <c r="J193" s="616"/>
      <c r="K193" s="616"/>
      <c r="L193" s="616"/>
      <c r="M193" s="616"/>
      <c r="N193" s="616"/>
      <c r="O193" s="616"/>
      <c r="P193" s="616"/>
      <c r="Q193" s="616"/>
      <c r="R193" s="616"/>
      <c r="S193" s="616"/>
      <c r="T193" s="616"/>
      <c r="U193" s="616"/>
      <c r="V193" s="616"/>
      <c r="W193" s="616" t="s">
        <v>1404</v>
      </c>
      <c r="X193" s="606"/>
      <c r="Y193" s="606"/>
      <c r="Z193" s="620"/>
      <c r="AA193" s="616"/>
      <c r="AB193" s="616"/>
      <c r="AC193" s="616"/>
      <c r="AD193" s="621"/>
    </row>
    <row r="194" ht="24.75" customHeight="1">
      <c r="A194" s="608">
        <v>93.0</v>
      </c>
      <c r="B194" s="616" t="s">
        <v>1405</v>
      </c>
      <c r="C194" s="616" t="s">
        <v>125</v>
      </c>
      <c r="D194" s="616" t="s">
        <v>114</v>
      </c>
      <c r="E194" s="616" t="s">
        <v>1406</v>
      </c>
      <c r="F194" s="616"/>
      <c r="G194" s="616" t="str">
        <f>F193</f>
        <v>247</v>
      </c>
      <c r="H194" s="609" t="str">
        <f>H192+F193</f>
        <v>35247.43</v>
      </c>
      <c r="I194" s="616">
        <v>416.658</v>
      </c>
      <c r="J194" s="138">
        <v>70.72</v>
      </c>
      <c r="K194" s="616" t="str">
        <f>F193+F195</f>
        <v>670</v>
      </c>
      <c r="L194" s="616" t="str">
        <f>K194/2</f>
        <v>335</v>
      </c>
      <c r="M194" s="616">
        <v>82.0</v>
      </c>
      <c r="N194" s="616">
        <v>261.0</v>
      </c>
      <c r="O194" s="616">
        <v>343.0</v>
      </c>
      <c r="P194" s="616">
        <v>104.0</v>
      </c>
      <c r="Q194" s="616">
        <v>247.0</v>
      </c>
      <c r="R194" s="616">
        <v>351.0</v>
      </c>
      <c r="S194" s="616" t="s">
        <v>1407</v>
      </c>
      <c r="T194" s="616" t="s">
        <v>1408</v>
      </c>
      <c r="U194" s="616">
        <v>549890.07</v>
      </c>
      <c r="V194" s="616">
        <v>2664983.112</v>
      </c>
      <c r="W194" s="616"/>
      <c r="X194" s="138" t="s">
        <v>1403</v>
      </c>
      <c r="Y194" s="138" t="s">
        <v>1159</v>
      </c>
      <c r="Z194" s="620" t="s">
        <v>31</v>
      </c>
      <c r="AA194" s="625"/>
      <c r="AB194" s="625"/>
      <c r="AC194" s="625"/>
      <c r="AD194" s="626"/>
    </row>
    <row r="195" ht="24.75" customHeight="1">
      <c r="A195" s="598"/>
      <c r="B195" s="616"/>
      <c r="C195" s="616"/>
      <c r="D195" s="616"/>
      <c r="E195" s="616"/>
      <c r="F195" s="616">
        <v>423.0</v>
      </c>
      <c r="G195" s="616"/>
      <c r="H195" s="600"/>
      <c r="I195" s="616"/>
      <c r="J195" s="616"/>
      <c r="K195" s="616"/>
      <c r="L195" s="616"/>
      <c r="M195" s="616"/>
      <c r="N195" s="616"/>
      <c r="O195" s="616"/>
      <c r="P195" s="616"/>
      <c r="Q195" s="616"/>
      <c r="R195" s="616"/>
      <c r="S195" s="616"/>
      <c r="T195" s="616"/>
      <c r="U195" s="616"/>
      <c r="V195" s="616"/>
      <c r="W195" s="616"/>
      <c r="X195" s="606"/>
      <c r="Y195" s="606"/>
      <c r="Z195" s="620"/>
      <c r="AA195" s="625"/>
      <c r="AB195" s="625"/>
      <c r="AC195" s="625"/>
      <c r="AD195" s="626"/>
    </row>
    <row r="196" ht="24.75" customHeight="1">
      <c r="A196" s="608">
        <v>94.0</v>
      </c>
      <c r="B196" s="616" t="s">
        <v>1101</v>
      </c>
      <c r="C196" s="616" t="s">
        <v>126</v>
      </c>
      <c r="D196" s="616" t="s">
        <v>12</v>
      </c>
      <c r="E196" s="616" t="s">
        <v>1101</v>
      </c>
      <c r="F196" s="616"/>
      <c r="G196" s="616"/>
      <c r="H196" s="609" t="str">
        <f>H194+F195</f>
        <v>35670.43</v>
      </c>
      <c r="I196" s="616">
        <v>400.691</v>
      </c>
      <c r="J196" s="616">
        <v>78.5</v>
      </c>
      <c r="K196" s="616" t="str">
        <f>F195+F197</f>
        <v>818</v>
      </c>
      <c r="L196" s="616" t="str">
        <f>K196/2</f>
        <v>409</v>
      </c>
      <c r="M196" s="616">
        <v>162.0</v>
      </c>
      <c r="N196" s="616">
        <v>171.0</v>
      </c>
      <c r="O196" s="616">
        <v>333.0</v>
      </c>
      <c r="P196" s="616">
        <v>177.0</v>
      </c>
      <c r="Q196" s="616">
        <v>179.0</v>
      </c>
      <c r="R196" s="616">
        <v>356.0</v>
      </c>
      <c r="S196" s="616" t="s">
        <v>1409</v>
      </c>
      <c r="T196" s="616" t="s">
        <v>1410</v>
      </c>
      <c r="U196" s="616">
        <v>550312.695</v>
      </c>
      <c r="V196" s="616">
        <v>2665000.909</v>
      </c>
      <c r="W196" s="616"/>
      <c r="X196" s="138" t="s">
        <v>1403</v>
      </c>
      <c r="Y196" s="138" t="s">
        <v>1159</v>
      </c>
      <c r="Z196" s="620" t="s">
        <v>31</v>
      </c>
      <c r="AA196" s="625"/>
      <c r="AB196" s="625"/>
      <c r="AC196" s="625"/>
      <c r="AD196" s="626"/>
    </row>
    <row r="197" ht="24.75" customHeight="1">
      <c r="A197" s="598"/>
      <c r="B197" s="616"/>
      <c r="C197" s="616"/>
      <c r="D197" s="616"/>
      <c r="E197" s="616"/>
      <c r="F197" s="616">
        <v>395.0</v>
      </c>
      <c r="G197" s="616"/>
      <c r="H197" s="600"/>
      <c r="I197" s="616"/>
      <c r="J197" s="616"/>
      <c r="K197" s="616"/>
      <c r="L197" s="616"/>
      <c r="M197" s="616"/>
      <c r="N197" s="616"/>
      <c r="O197" s="616"/>
      <c r="P197" s="616"/>
      <c r="Q197" s="616"/>
      <c r="R197" s="616"/>
      <c r="S197" s="616"/>
      <c r="T197" s="616"/>
      <c r="U197" s="616"/>
      <c r="V197" s="616"/>
      <c r="W197" s="616" t="s">
        <v>1411</v>
      </c>
      <c r="X197" s="606"/>
      <c r="Y197" s="606"/>
      <c r="Z197" s="620"/>
      <c r="AA197" s="625"/>
      <c r="AB197" s="625"/>
      <c r="AC197" s="625"/>
      <c r="AD197" s="626"/>
    </row>
    <row r="198" ht="24.75" customHeight="1">
      <c r="A198" s="608">
        <v>95.0</v>
      </c>
      <c r="B198" s="616" t="s">
        <v>1412</v>
      </c>
      <c r="C198" s="616" t="s">
        <v>127</v>
      </c>
      <c r="D198" s="616" t="s">
        <v>115</v>
      </c>
      <c r="E198" s="616" t="s">
        <v>1413</v>
      </c>
      <c r="F198" s="616"/>
      <c r="G198" s="616" t="str">
        <f>SUM(F195:F197)</f>
        <v>818</v>
      </c>
      <c r="H198" s="609" t="str">
        <f>H196+F197</f>
        <v>36065.43</v>
      </c>
      <c r="I198" s="616">
        <v>402.673</v>
      </c>
      <c r="J198" s="616">
        <v>79.72</v>
      </c>
      <c r="K198" s="616" t="str">
        <f>F197+F199</f>
        <v>894</v>
      </c>
      <c r="L198" s="616" t="str">
        <f>K198/2</f>
        <v>447</v>
      </c>
      <c r="M198" s="616">
        <v>224.0</v>
      </c>
      <c r="N198" s="616">
        <v>246.0</v>
      </c>
      <c r="O198" s="616">
        <v>470.0</v>
      </c>
      <c r="P198" s="616">
        <v>218.0</v>
      </c>
      <c r="Q198" s="616">
        <v>247.0</v>
      </c>
      <c r="R198" s="616">
        <v>465.0</v>
      </c>
      <c r="S198" s="616" t="s">
        <v>1414</v>
      </c>
      <c r="T198" s="616" t="s">
        <v>1415</v>
      </c>
      <c r="U198" s="616">
        <v>550707.293</v>
      </c>
      <c r="V198" s="616">
        <v>2665017.525</v>
      </c>
      <c r="W198" s="616" t="s">
        <v>1416</v>
      </c>
      <c r="X198" s="138" t="s">
        <v>1403</v>
      </c>
      <c r="Y198" s="138" t="s">
        <v>1159</v>
      </c>
      <c r="Z198" s="620" t="s">
        <v>31</v>
      </c>
      <c r="AA198" s="611">
        <v>0.5</v>
      </c>
      <c r="AB198" s="611">
        <v>0.0</v>
      </c>
      <c r="AC198" s="611">
        <v>1.0</v>
      </c>
      <c r="AD198" s="612">
        <v>2.0</v>
      </c>
    </row>
    <row r="199" ht="24.75" customHeight="1">
      <c r="A199" s="598"/>
      <c r="B199" s="616"/>
      <c r="C199" s="616"/>
      <c r="D199" s="616"/>
      <c r="E199" s="616"/>
      <c r="F199" s="616">
        <v>499.0</v>
      </c>
      <c r="G199" s="616"/>
      <c r="H199" s="600"/>
      <c r="I199" s="616"/>
      <c r="J199" s="616"/>
      <c r="K199" s="616"/>
      <c r="L199" s="616"/>
      <c r="M199" s="616"/>
      <c r="N199" s="616"/>
      <c r="O199" s="616"/>
      <c r="P199" s="616"/>
      <c r="Q199" s="616"/>
      <c r="R199" s="616"/>
      <c r="S199" s="616"/>
      <c r="T199" s="616"/>
      <c r="U199" s="616"/>
      <c r="V199" s="616"/>
      <c r="W199" s="616" t="s">
        <v>1417</v>
      </c>
      <c r="X199" s="606"/>
      <c r="Y199" s="606"/>
      <c r="Z199" s="620"/>
      <c r="AA199" s="625"/>
      <c r="AB199" s="625"/>
      <c r="AC199" s="625"/>
      <c r="AD199" s="626"/>
    </row>
    <row r="200" ht="24.75" customHeight="1">
      <c r="A200" s="608">
        <v>96.0</v>
      </c>
      <c r="B200" s="616" t="s">
        <v>1418</v>
      </c>
      <c r="C200" s="616" t="s">
        <v>128</v>
      </c>
      <c r="D200" s="616" t="s">
        <v>116</v>
      </c>
      <c r="E200" s="616" t="s">
        <v>1419</v>
      </c>
      <c r="F200" s="616"/>
      <c r="G200" s="616" t="str">
        <f>F199</f>
        <v>499</v>
      </c>
      <c r="H200" s="609" t="str">
        <f>H198+F199</f>
        <v>36564.43</v>
      </c>
      <c r="I200" s="616">
        <v>406.4</v>
      </c>
      <c r="J200" s="616">
        <v>76.72</v>
      </c>
      <c r="K200" s="616" t="str">
        <f>F199+F201</f>
        <v>876</v>
      </c>
      <c r="L200" s="616" t="str">
        <f>K200/2</f>
        <v>438</v>
      </c>
      <c r="M200" s="616">
        <v>253.0</v>
      </c>
      <c r="N200" s="616">
        <v>182.0</v>
      </c>
      <c r="O200" s="616">
        <v>435.0</v>
      </c>
      <c r="P200" s="616">
        <v>252.0</v>
      </c>
      <c r="Q200" s="616">
        <v>183.0</v>
      </c>
      <c r="R200" s="616">
        <v>435.0</v>
      </c>
      <c r="S200" s="616" t="s">
        <v>1420</v>
      </c>
      <c r="T200" s="616" t="s">
        <v>1421</v>
      </c>
      <c r="U200" s="616">
        <v>551091.52</v>
      </c>
      <c r="V200" s="616">
        <v>2665336.02</v>
      </c>
      <c r="W200" s="623" t="s">
        <v>1354</v>
      </c>
      <c r="X200" s="138" t="s">
        <v>1422</v>
      </c>
      <c r="Y200" s="138" t="s">
        <v>1423</v>
      </c>
      <c r="Z200" s="620" t="s">
        <v>31</v>
      </c>
      <c r="AA200" s="627">
        <v>2.5</v>
      </c>
      <c r="AB200" s="627">
        <v>1.0</v>
      </c>
      <c r="AC200" s="627">
        <v>0.0</v>
      </c>
      <c r="AD200" s="628">
        <v>1.5</v>
      </c>
    </row>
    <row r="201" ht="24.75" customHeight="1">
      <c r="A201" s="598"/>
      <c r="B201" s="616"/>
      <c r="C201" s="616"/>
      <c r="D201" s="616"/>
      <c r="E201" s="616"/>
      <c r="F201" s="616">
        <v>377.0</v>
      </c>
      <c r="G201" s="616"/>
      <c r="H201" s="600"/>
      <c r="I201" s="616"/>
      <c r="J201" s="616"/>
      <c r="K201" s="616"/>
      <c r="L201" s="616"/>
      <c r="M201" s="616"/>
      <c r="N201" s="616"/>
      <c r="O201" s="616"/>
      <c r="P201" s="616"/>
      <c r="Q201" s="616"/>
      <c r="R201" s="616"/>
      <c r="S201" s="616"/>
      <c r="T201" s="616"/>
      <c r="U201" s="616"/>
      <c r="V201" s="616"/>
      <c r="W201" s="616" t="s">
        <v>1424</v>
      </c>
      <c r="X201" s="606"/>
      <c r="Y201" s="606"/>
      <c r="Z201" s="620"/>
      <c r="AA201" s="625"/>
      <c r="AB201" s="625"/>
      <c r="AC201" s="625"/>
      <c r="AD201" s="626"/>
    </row>
    <row r="202" ht="24.75" customHeight="1">
      <c r="A202" s="608">
        <v>97.0</v>
      </c>
      <c r="B202" s="616" t="s">
        <v>1101</v>
      </c>
      <c r="C202" s="616" t="s">
        <v>129</v>
      </c>
      <c r="D202" s="616" t="s">
        <v>15</v>
      </c>
      <c r="E202" s="616" t="s">
        <v>1101</v>
      </c>
      <c r="F202" s="616"/>
      <c r="G202" s="616"/>
      <c r="H202" s="609" t="str">
        <f>H200+F201</f>
        <v>36941.43</v>
      </c>
      <c r="I202" s="616">
        <v>416.61</v>
      </c>
      <c r="J202" s="616">
        <v>69.5</v>
      </c>
      <c r="K202" s="616" t="str">
        <f>F201+F203</f>
        <v>820</v>
      </c>
      <c r="L202" s="616" t="str">
        <f>K202/2</f>
        <v>410</v>
      </c>
      <c r="M202" s="616">
        <v>195.0</v>
      </c>
      <c r="N202" s="616">
        <v>214.0</v>
      </c>
      <c r="O202" s="616">
        <v>409.0</v>
      </c>
      <c r="P202" s="616">
        <v>194.0</v>
      </c>
      <c r="Q202" s="616">
        <v>216.0</v>
      </c>
      <c r="R202" s="616">
        <v>410.0</v>
      </c>
      <c r="S202" s="616" t="s">
        <v>1425</v>
      </c>
      <c r="T202" s="616" t="s">
        <v>1426</v>
      </c>
      <c r="U202" s="616">
        <v>551459.58</v>
      </c>
      <c r="V202" s="616">
        <v>2665254.43</v>
      </c>
      <c r="W202" s="616"/>
      <c r="X202" s="138" t="s">
        <v>1422</v>
      </c>
      <c r="Y202" s="138" t="s">
        <v>1423</v>
      </c>
      <c r="Z202" s="620" t="s">
        <v>31</v>
      </c>
      <c r="AA202" s="625"/>
      <c r="AB202" s="625"/>
      <c r="AC202" s="625"/>
      <c r="AD202" s="626"/>
    </row>
    <row r="203" ht="24.75" customHeight="1">
      <c r="A203" s="598"/>
      <c r="B203" s="616"/>
      <c r="C203" s="616"/>
      <c r="D203" s="616"/>
      <c r="E203" s="616"/>
      <c r="F203" s="616">
        <v>443.0</v>
      </c>
      <c r="G203" s="616"/>
      <c r="H203" s="600"/>
      <c r="I203" s="616"/>
      <c r="J203" s="616"/>
      <c r="K203" s="616"/>
      <c r="L203" s="616"/>
      <c r="M203" s="616"/>
      <c r="N203" s="616"/>
      <c r="O203" s="616"/>
      <c r="P203" s="616"/>
      <c r="Q203" s="616"/>
      <c r="R203" s="616"/>
      <c r="S203" s="616"/>
      <c r="T203" s="616"/>
      <c r="U203" s="616"/>
      <c r="V203" s="616"/>
      <c r="W203" s="616" t="s">
        <v>1427</v>
      </c>
      <c r="X203" s="606"/>
      <c r="Y203" s="606"/>
      <c r="Z203" s="620"/>
      <c r="AA203" s="625"/>
      <c r="AB203" s="625"/>
      <c r="AC203" s="625"/>
      <c r="AD203" s="626"/>
    </row>
    <row r="204" ht="24.75" customHeight="1">
      <c r="A204" s="608">
        <v>98.0</v>
      </c>
      <c r="B204" s="616" t="s">
        <v>1101</v>
      </c>
      <c r="C204" s="616" t="s">
        <v>130</v>
      </c>
      <c r="D204" s="616" t="s">
        <v>15</v>
      </c>
      <c r="E204" s="616" t="s">
        <v>1101</v>
      </c>
      <c r="F204" s="616"/>
      <c r="G204" s="616"/>
      <c r="H204" s="609" t="str">
        <f>H202+F203</f>
        <v>37384.43</v>
      </c>
      <c r="I204" s="616">
        <v>418.169</v>
      </c>
      <c r="J204" s="616">
        <v>69.5</v>
      </c>
      <c r="K204" s="616" t="str">
        <f>F203+F205</f>
        <v>787</v>
      </c>
      <c r="L204" s="616" t="str">
        <f>K204/2</f>
        <v>393.5</v>
      </c>
      <c r="M204" s="616">
        <v>229.0</v>
      </c>
      <c r="N204" s="616">
        <v>161.0</v>
      </c>
      <c r="O204" s="616">
        <v>390.0</v>
      </c>
      <c r="P204" s="616">
        <v>227.0</v>
      </c>
      <c r="Q204" s="616">
        <v>164.0</v>
      </c>
      <c r="R204" s="616">
        <v>391.0</v>
      </c>
      <c r="S204" s="616" t="s">
        <v>1428</v>
      </c>
      <c r="T204" s="616" t="s">
        <v>1429</v>
      </c>
      <c r="U204" s="616">
        <v>551892.08</v>
      </c>
      <c r="V204" s="616">
        <v>2665158.56</v>
      </c>
      <c r="W204" s="616"/>
      <c r="X204" s="138" t="s">
        <v>1422</v>
      </c>
      <c r="Y204" s="138" t="s">
        <v>1423</v>
      </c>
      <c r="Z204" s="620" t="s">
        <v>31</v>
      </c>
      <c r="AA204" s="625"/>
      <c r="AB204" s="625"/>
      <c r="AC204" s="625"/>
      <c r="AD204" s="626"/>
    </row>
    <row r="205" ht="24.75" customHeight="1">
      <c r="A205" s="598"/>
      <c r="B205" s="616"/>
      <c r="C205" s="616"/>
      <c r="D205" s="616"/>
      <c r="E205" s="616"/>
      <c r="F205" s="616">
        <v>344.0</v>
      </c>
      <c r="G205" s="616"/>
      <c r="H205" s="600"/>
      <c r="I205" s="616"/>
      <c r="J205" s="616"/>
      <c r="K205" s="616"/>
      <c r="L205" s="616"/>
      <c r="M205" s="616"/>
      <c r="N205" s="616"/>
      <c r="O205" s="616"/>
      <c r="P205" s="616"/>
      <c r="Q205" s="616"/>
      <c r="R205" s="616"/>
      <c r="S205" s="616"/>
      <c r="T205" s="616"/>
      <c r="U205" s="616"/>
      <c r="V205" s="616"/>
      <c r="W205" s="616" t="s">
        <v>1430</v>
      </c>
      <c r="X205" s="606"/>
      <c r="Y205" s="606"/>
      <c r="Z205" s="620"/>
      <c r="AA205" s="625"/>
      <c r="AB205" s="625"/>
      <c r="AC205" s="625"/>
      <c r="AD205" s="626"/>
    </row>
    <row r="206" ht="24.75" customHeight="1">
      <c r="A206" s="608">
        <v>99.0</v>
      </c>
      <c r="B206" s="616" t="s">
        <v>1431</v>
      </c>
      <c r="C206" s="616" t="s">
        <v>132</v>
      </c>
      <c r="D206" s="616" t="s">
        <v>36</v>
      </c>
      <c r="E206" s="616" t="s">
        <v>1432</v>
      </c>
      <c r="F206" s="616"/>
      <c r="G206" s="616" t="str">
        <f>SUM(F201:F205)</f>
        <v>1164</v>
      </c>
      <c r="H206" s="609" t="str">
        <f>H204+F205</f>
        <v>37728.43</v>
      </c>
      <c r="I206" s="616">
        <v>416.971</v>
      </c>
      <c r="J206" s="138">
        <v>70.72</v>
      </c>
      <c r="K206" s="616" t="str">
        <f>F205+F207</f>
        <v>734</v>
      </c>
      <c r="L206" s="616" t="str">
        <f>K206/2</f>
        <v>367</v>
      </c>
      <c r="M206" s="616">
        <v>184.0</v>
      </c>
      <c r="N206" s="616">
        <v>250.0</v>
      </c>
      <c r="O206" s="616">
        <v>434.0</v>
      </c>
      <c r="P206" s="616">
        <v>180.0</v>
      </c>
      <c r="Q206" s="616">
        <v>233.0</v>
      </c>
      <c r="R206" s="616">
        <v>413.0</v>
      </c>
      <c r="S206" s="616" t="s">
        <v>1433</v>
      </c>
      <c r="T206" s="616" t="s">
        <v>1434</v>
      </c>
      <c r="U206" s="616">
        <v>552227.864</v>
      </c>
      <c r="V206" s="616">
        <v>2665084.121</v>
      </c>
      <c r="W206" s="616"/>
      <c r="X206" s="138" t="s">
        <v>1422</v>
      </c>
      <c r="Y206" s="138" t="s">
        <v>1423</v>
      </c>
      <c r="Z206" s="620" t="s">
        <v>31</v>
      </c>
      <c r="AA206" s="625"/>
      <c r="AB206" s="625"/>
      <c r="AC206" s="625"/>
      <c r="AD206" s="626"/>
    </row>
    <row r="207" ht="24.75" customHeight="1">
      <c r="A207" s="598"/>
      <c r="B207" s="616"/>
      <c r="C207" s="616"/>
      <c r="D207" s="616"/>
      <c r="E207" s="616"/>
      <c r="F207" s="616">
        <v>390.0</v>
      </c>
      <c r="G207" s="616"/>
      <c r="H207" s="600"/>
      <c r="I207" s="616"/>
      <c r="J207" s="616"/>
      <c r="K207" s="616"/>
      <c r="L207" s="616"/>
      <c r="M207" s="616"/>
      <c r="N207" s="616"/>
      <c r="O207" s="616"/>
      <c r="P207" s="616"/>
      <c r="Q207" s="616"/>
      <c r="R207" s="616"/>
      <c r="S207" s="616"/>
      <c r="T207" s="616"/>
      <c r="U207" s="616"/>
      <c r="V207" s="616"/>
      <c r="W207" s="616" t="s">
        <v>1435</v>
      </c>
      <c r="X207" s="606"/>
      <c r="Y207" s="606"/>
      <c r="Z207" s="620"/>
      <c r="AA207" s="625"/>
      <c r="AB207" s="625"/>
      <c r="AC207" s="625"/>
      <c r="AD207" s="626"/>
    </row>
    <row r="208" ht="24.75" customHeight="1">
      <c r="A208" s="608">
        <v>100.0</v>
      </c>
      <c r="B208" s="616" t="s">
        <v>1101</v>
      </c>
      <c r="C208" s="616" t="s">
        <v>133</v>
      </c>
      <c r="D208" s="616" t="s">
        <v>15</v>
      </c>
      <c r="E208" s="616" t="s">
        <v>1101</v>
      </c>
      <c r="F208" s="616"/>
      <c r="G208" s="616"/>
      <c r="H208" s="609" t="str">
        <f>H206+F207</f>
        <v>38118.43</v>
      </c>
      <c r="I208" s="616">
        <v>410.114</v>
      </c>
      <c r="J208" s="616">
        <v>69.5</v>
      </c>
      <c r="K208" s="616" t="str">
        <f>F207+F209</f>
        <v>742</v>
      </c>
      <c r="L208" s="616" t="str">
        <f>K208/2</f>
        <v>371</v>
      </c>
      <c r="M208" s="616">
        <v>141.0</v>
      </c>
      <c r="N208" s="616">
        <v>160.0</v>
      </c>
      <c r="O208" s="616">
        <v>301.0</v>
      </c>
      <c r="P208" s="616">
        <v>159.0</v>
      </c>
      <c r="Q208" s="616">
        <v>165.0</v>
      </c>
      <c r="R208" s="616">
        <v>324.0</v>
      </c>
      <c r="S208" s="616" t="s">
        <v>1436</v>
      </c>
      <c r="T208" s="616" t="s">
        <v>1437</v>
      </c>
      <c r="U208" s="616">
        <v>552537.73</v>
      </c>
      <c r="V208" s="616">
        <v>2664847.302</v>
      </c>
      <c r="W208" s="616"/>
      <c r="X208" s="138" t="s">
        <v>1438</v>
      </c>
      <c r="Y208" s="138" t="s">
        <v>1423</v>
      </c>
      <c r="Z208" s="620" t="s">
        <v>31</v>
      </c>
      <c r="AA208" s="625"/>
      <c r="AB208" s="625"/>
      <c r="AC208" s="625"/>
      <c r="AD208" s="626"/>
    </row>
    <row r="209" ht="24.75" customHeight="1">
      <c r="A209" s="598"/>
      <c r="B209" s="616"/>
      <c r="C209" s="616"/>
      <c r="D209" s="616"/>
      <c r="E209" s="616"/>
      <c r="F209" s="616">
        <v>352.0</v>
      </c>
      <c r="G209" s="616"/>
      <c r="H209" s="600"/>
      <c r="I209" s="616"/>
      <c r="J209" s="616"/>
      <c r="K209" s="616"/>
      <c r="L209" s="616"/>
      <c r="M209" s="616"/>
      <c r="N209" s="616"/>
      <c r="O209" s="616"/>
      <c r="P209" s="616"/>
      <c r="Q209" s="616"/>
      <c r="R209" s="616"/>
      <c r="S209" s="616"/>
      <c r="T209" s="616"/>
      <c r="U209" s="616"/>
      <c r="V209" s="616"/>
      <c r="W209" s="616" t="s">
        <v>1139</v>
      </c>
      <c r="X209" s="606"/>
      <c r="Y209" s="606"/>
      <c r="Z209" s="620"/>
      <c r="AA209" s="625"/>
      <c r="AB209" s="625"/>
      <c r="AC209" s="625"/>
      <c r="AD209" s="626"/>
    </row>
    <row r="210" ht="24.75" customHeight="1">
      <c r="A210" s="608">
        <v>101.0</v>
      </c>
      <c r="B210" s="616" t="s">
        <v>1101</v>
      </c>
      <c r="C210" s="616" t="s">
        <v>134</v>
      </c>
      <c r="D210" s="616" t="s">
        <v>33</v>
      </c>
      <c r="E210" s="616" t="s">
        <v>1101</v>
      </c>
      <c r="F210" s="616"/>
      <c r="G210" s="616"/>
      <c r="H210" s="609" t="str">
        <f>H208+F209</f>
        <v>38470.43</v>
      </c>
      <c r="I210" s="622">
        <v>409.768</v>
      </c>
      <c r="J210" s="616">
        <v>72.5</v>
      </c>
      <c r="K210" s="616" t="str">
        <f>F209+F211</f>
        <v>778</v>
      </c>
      <c r="L210" s="616" t="str">
        <f>K210/2</f>
        <v>389</v>
      </c>
      <c r="M210" s="616">
        <v>192.0</v>
      </c>
      <c r="N210" s="616">
        <v>204.0</v>
      </c>
      <c r="O210" s="616">
        <v>396.0</v>
      </c>
      <c r="P210" s="616">
        <v>188.0</v>
      </c>
      <c r="Q210" s="616">
        <v>207.0</v>
      </c>
      <c r="R210" s="616">
        <v>395.0</v>
      </c>
      <c r="S210" s="616" t="s">
        <v>1439</v>
      </c>
      <c r="T210" s="616" t="s">
        <v>1440</v>
      </c>
      <c r="U210" s="616">
        <v>552817.404</v>
      </c>
      <c r="V210" s="616">
        <v>2664633.558</v>
      </c>
      <c r="W210" s="616"/>
      <c r="X210" s="138" t="s">
        <v>1438</v>
      </c>
      <c r="Y210" s="138" t="s">
        <v>1423</v>
      </c>
      <c r="Z210" s="620" t="s">
        <v>31</v>
      </c>
      <c r="AA210" s="625"/>
      <c r="AB210" s="625"/>
      <c r="AC210" s="625"/>
      <c r="AD210" s="626"/>
    </row>
    <row r="211" ht="24.75" customHeight="1">
      <c r="A211" s="598"/>
      <c r="B211" s="606"/>
      <c r="C211" s="606"/>
      <c r="D211" s="606"/>
      <c r="E211" s="606"/>
      <c r="F211" s="606">
        <v>426.0</v>
      </c>
      <c r="G211" s="606"/>
      <c r="H211" s="600"/>
      <c r="I211" s="606"/>
      <c r="J211" s="606"/>
      <c r="K211" s="606"/>
      <c r="L211" s="606"/>
      <c r="M211" s="606"/>
      <c r="N211" s="606"/>
      <c r="O211" s="606"/>
      <c r="P211" s="606"/>
      <c r="Q211" s="606"/>
      <c r="R211" s="606"/>
      <c r="S211" s="606"/>
      <c r="T211" s="606"/>
      <c r="U211" s="606"/>
      <c r="V211" s="606"/>
      <c r="W211" s="606" t="s">
        <v>1384</v>
      </c>
      <c r="X211" s="606"/>
      <c r="Y211" s="606"/>
      <c r="Z211" s="605"/>
      <c r="AA211" s="629"/>
      <c r="AB211" s="629"/>
      <c r="AC211" s="629"/>
      <c r="AD211" s="630"/>
    </row>
    <row r="212" ht="24.75" customHeight="1">
      <c r="A212" s="608">
        <v>102.0</v>
      </c>
      <c r="B212" s="606" t="s">
        <v>1101</v>
      </c>
      <c r="C212" s="606" t="s">
        <v>135</v>
      </c>
      <c r="D212" s="606" t="s">
        <v>33</v>
      </c>
      <c r="E212" s="606" t="s">
        <v>1101</v>
      </c>
      <c r="F212" s="606"/>
      <c r="G212" s="606"/>
      <c r="H212" s="609" t="str">
        <f>H210+F211</f>
        <v>38896.43</v>
      </c>
      <c r="I212" s="631">
        <v>411.604</v>
      </c>
      <c r="J212" s="606">
        <v>72.5</v>
      </c>
      <c r="K212" s="606" t="str">
        <f>F211+F213</f>
        <v>820</v>
      </c>
      <c r="L212" s="606" t="str">
        <f>K212/2</f>
        <v>410</v>
      </c>
      <c r="M212" s="606">
        <v>223.0</v>
      </c>
      <c r="N212" s="606">
        <v>118.0</v>
      </c>
      <c r="O212" s="606">
        <v>341.0</v>
      </c>
      <c r="P212" s="606">
        <v>220.0</v>
      </c>
      <c r="Q212" s="606">
        <v>143.0</v>
      </c>
      <c r="R212" s="606">
        <v>363.0</v>
      </c>
      <c r="S212" s="606" t="s">
        <v>1441</v>
      </c>
      <c r="T212" s="606" t="s">
        <v>1442</v>
      </c>
      <c r="U212" s="606">
        <v>553155.873</v>
      </c>
      <c r="V212" s="606">
        <v>2664374.879</v>
      </c>
      <c r="W212" s="606"/>
      <c r="X212" s="138" t="s">
        <v>1438</v>
      </c>
      <c r="Y212" s="138" t="s">
        <v>1423</v>
      </c>
      <c r="Z212" s="605" t="s">
        <v>31</v>
      </c>
      <c r="AA212" s="629"/>
      <c r="AB212" s="629"/>
      <c r="AC212" s="629"/>
      <c r="AD212" s="630"/>
    </row>
    <row r="213" ht="24.75" customHeight="1">
      <c r="A213" s="598"/>
      <c r="B213" s="606"/>
      <c r="C213" s="606"/>
      <c r="D213" s="606"/>
      <c r="E213" s="606"/>
      <c r="F213" s="606">
        <v>394.0</v>
      </c>
      <c r="G213" s="606"/>
      <c r="H213" s="600"/>
      <c r="I213" s="606"/>
      <c r="J213" s="606"/>
      <c r="K213" s="606"/>
      <c r="L213" s="606"/>
      <c r="M213" s="606"/>
      <c r="N213" s="606"/>
      <c r="O213" s="606"/>
      <c r="P213" s="606"/>
      <c r="Q213" s="606"/>
      <c r="R213" s="606"/>
      <c r="S213" s="606"/>
      <c r="T213" s="606"/>
      <c r="U213" s="606"/>
      <c r="V213" s="606"/>
      <c r="W213" s="606" t="s">
        <v>1139</v>
      </c>
      <c r="X213" s="606"/>
      <c r="Y213" s="606"/>
      <c r="Z213" s="605"/>
      <c r="AA213" s="629"/>
      <c r="AB213" s="629"/>
      <c r="AC213" s="629"/>
      <c r="AD213" s="630"/>
    </row>
    <row r="214" ht="24.75" customHeight="1">
      <c r="A214" s="608">
        <v>103.0</v>
      </c>
      <c r="B214" s="606" t="s">
        <v>1101</v>
      </c>
      <c r="C214" s="606" t="s">
        <v>136</v>
      </c>
      <c r="D214" s="606" t="s">
        <v>34</v>
      </c>
      <c r="E214" s="606" t="s">
        <v>1101</v>
      </c>
      <c r="F214" s="606"/>
      <c r="G214" s="606"/>
      <c r="H214" s="609" t="str">
        <f>H212+F213</f>
        <v>39290.43</v>
      </c>
      <c r="I214" s="606">
        <v>423.212</v>
      </c>
      <c r="J214" s="606">
        <v>75.5</v>
      </c>
      <c r="K214" s="606" t="str">
        <f>F213+F215</f>
        <v>802</v>
      </c>
      <c r="L214" s="606" t="str">
        <f>K214/2</f>
        <v>401</v>
      </c>
      <c r="M214" s="606">
        <v>277.0</v>
      </c>
      <c r="N214" s="606">
        <v>206.0</v>
      </c>
      <c r="O214" s="606">
        <v>483.0</v>
      </c>
      <c r="P214" s="606">
        <v>252.0</v>
      </c>
      <c r="Q214" s="606">
        <v>206.0</v>
      </c>
      <c r="R214" s="606">
        <v>458.0</v>
      </c>
      <c r="S214" s="606" t="s">
        <v>1443</v>
      </c>
      <c r="T214" s="606" t="s">
        <v>1444</v>
      </c>
      <c r="U214" s="606">
        <v>553468.917</v>
      </c>
      <c r="V214" s="606">
        <v>2664135.632</v>
      </c>
      <c r="W214" s="606"/>
      <c r="X214" s="138" t="s">
        <v>1438</v>
      </c>
      <c r="Y214" s="138" t="s">
        <v>1423</v>
      </c>
      <c r="Z214" s="605" t="s">
        <v>31</v>
      </c>
      <c r="AA214" s="629"/>
      <c r="AB214" s="629"/>
      <c r="AC214" s="629"/>
      <c r="AD214" s="630"/>
    </row>
    <row r="215" ht="24.75" customHeight="1">
      <c r="A215" s="598"/>
      <c r="B215" s="606"/>
      <c r="C215" s="606"/>
      <c r="D215" s="606"/>
      <c r="E215" s="606"/>
      <c r="F215" s="606">
        <v>408.0</v>
      </c>
      <c r="G215" s="606"/>
      <c r="H215" s="600"/>
      <c r="I215" s="606"/>
      <c r="J215" s="606"/>
      <c r="K215" s="606"/>
      <c r="L215" s="606"/>
      <c r="M215" s="606"/>
      <c r="N215" s="606"/>
      <c r="O215" s="606"/>
      <c r="P215" s="606"/>
      <c r="Q215" s="606"/>
      <c r="R215" s="606"/>
      <c r="S215" s="606"/>
      <c r="T215" s="606"/>
      <c r="U215" s="606"/>
      <c r="V215" s="606"/>
      <c r="W215" s="606" t="s">
        <v>1139</v>
      </c>
      <c r="X215" s="606"/>
      <c r="Y215" s="606"/>
      <c r="Z215" s="605"/>
      <c r="AA215" s="629"/>
      <c r="AB215" s="629"/>
      <c r="AC215" s="629"/>
      <c r="AD215" s="630"/>
    </row>
    <row r="216" ht="24.75" customHeight="1">
      <c r="A216" s="608">
        <v>104.0</v>
      </c>
      <c r="B216" s="606" t="s">
        <v>1445</v>
      </c>
      <c r="C216" s="606" t="s">
        <v>137</v>
      </c>
      <c r="D216" s="606" t="s">
        <v>114</v>
      </c>
      <c r="E216" s="606" t="s">
        <v>1446</v>
      </c>
      <c r="F216" s="606"/>
      <c r="G216" s="606" t="str">
        <f>SUM(F207:F215)</f>
        <v>1970</v>
      </c>
      <c r="H216" s="609" t="str">
        <f>H214+F215</f>
        <v>39698.43</v>
      </c>
      <c r="I216" s="606">
        <v>425.907</v>
      </c>
      <c r="J216" s="138">
        <v>70.72</v>
      </c>
      <c r="K216" s="606" t="str">
        <f>F215+F217</f>
        <v>781</v>
      </c>
      <c r="L216" s="606" t="str">
        <f>K216/2</f>
        <v>390.5</v>
      </c>
      <c r="M216" s="606">
        <v>203.0</v>
      </c>
      <c r="N216" s="606">
        <v>136.0</v>
      </c>
      <c r="O216" s="606">
        <v>339.0</v>
      </c>
      <c r="P216" s="606">
        <v>203.0</v>
      </c>
      <c r="Q216" s="606">
        <v>153.0</v>
      </c>
      <c r="R216" s="606">
        <v>356.0</v>
      </c>
      <c r="S216" s="606" t="s">
        <v>1447</v>
      </c>
      <c r="T216" s="606" t="s">
        <v>1448</v>
      </c>
      <c r="U216" s="606">
        <v>553792.883</v>
      </c>
      <c r="V216" s="606">
        <v>2663888.037</v>
      </c>
      <c r="W216" s="632" t="s">
        <v>1354</v>
      </c>
      <c r="X216" s="138" t="s">
        <v>1438</v>
      </c>
      <c r="Y216" s="138" t="s">
        <v>1423</v>
      </c>
      <c r="Z216" s="605" t="s">
        <v>31</v>
      </c>
      <c r="AA216" s="633">
        <v>0.0</v>
      </c>
      <c r="AB216" s="633">
        <v>0.0</v>
      </c>
      <c r="AC216" s="633">
        <v>1.0</v>
      </c>
      <c r="AD216" s="634">
        <v>1.0</v>
      </c>
    </row>
    <row r="217" ht="24.75" customHeight="1">
      <c r="A217" s="598"/>
      <c r="B217" s="606"/>
      <c r="C217" s="606"/>
      <c r="D217" s="606"/>
      <c r="E217" s="606"/>
      <c r="F217" s="606">
        <v>373.0</v>
      </c>
      <c r="G217" s="606"/>
      <c r="H217" s="600"/>
      <c r="I217" s="606"/>
      <c r="J217" s="606"/>
      <c r="K217" s="606"/>
      <c r="L217" s="606"/>
      <c r="M217" s="606"/>
      <c r="N217" s="606"/>
      <c r="O217" s="606"/>
      <c r="P217" s="606"/>
      <c r="Q217" s="606"/>
      <c r="R217" s="606"/>
      <c r="S217" s="606"/>
      <c r="T217" s="606"/>
      <c r="U217" s="606"/>
      <c r="V217" s="606"/>
      <c r="W217" s="606" t="s">
        <v>1395</v>
      </c>
      <c r="X217" s="606"/>
      <c r="Y217" s="606"/>
      <c r="Z217" s="605"/>
      <c r="AA217" s="629"/>
      <c r="AB217" s="629"/>
      <c r="AC217" s="629"/>
      <c r="AD217" s="630"/>
    </row>
    <row r="218" ht="24.75" customHeight="1">
      <c r="A218" s="608">
        <v>105.0</v>
      </c>
      <c r="B218" s="606" t="s">
        <v>1101</v>
      </c>
      <c r="C218" s="606" t="s">
        <v>138</v>
      </c>
      <c r="D218" s="606" t="s">
        <v>12</v>
      </c>
      <c r="E218" s="606" t="s">
        <v>1101</v>
      </c>
      <c r="F218" s="606"/>
      <c r="G218" s="606"/>
      <c r="H218" s="609" t="str">
        <f>H216+F217</f>
        <v>40071.43</v>
      </c>
      <c r="I218" s="606">
        <v>428.621</v>
      </c>
      <c r="J218" s="606">
        <v>78.5</v>
      </c>
      <c r="K218" s="606" t="str">
        <f>F217+F219</f>
        <v>781</v>
      </c>
      <c r="L218" s="606" t="str">
        <f>K218/2</f>
        <v>390.5</v>
      </c>
      <c r="M218" s="606">
        <v>237.0</v>
      </c>
      <c r="N218" s="606">
        <v>201.0</v>
      </c>
      <c r="O218" s="606">
        <v>438.0</v>
      </c>
      <c r="P218" s="606">
        <v>221.0</v>
      </c>
      <c r="Q218" s="606">
        <v>202.0</v>
      </c>
      <c r="R218" s="606">
        <v>423.0</v>
      </c>
      <c r="S218" s="606" t="s">
        <v>1449</v>
      </c>
      <c r="T218" s="606" t="s">
        <v>1450</v>
      </c>
      <c r="U218" s="606">
        <v>554165.634</v>
      </c>
      <c r="V218" s="606">
        <v>2663874.407</v>
      </c>
      <c r="W218" s="606"/>
      <c r="X218" s="138" t="s">
        <v>1438</v>
      </c>
      <c r="Y218" s="138" t="s">
        <v>1423</v>
      </c>
      <c r="Z218" s="605" t="s">
        <v>31</v>
      </c>
      <c r="AA218" s="629"/>
      <c r="AB218" s="629"/>
      <c r="AC218" s="629"/>
      <c r="AD218" s="630"/>
    </row>
    <row r="219" ht="24.75" customHeight="1">
      <c r="A219" s="598"/>
      <c r="B219" s="606"/>
      <c r="C219" s="606"/>
      <c r="D219" s="606"/>
      <c r="E219" s="606"/>
      <c r="F219" s="606">
        <v>408.0</v>
      </c>
      <c r="G219" s="606"/>
      <c r="H219" s="600"/>
      <c r="I219" s="606"/>
      <c r="J219" s="606"/>
      <c r="K219" s="606"/>
      <c r="L219" s="606"/>
      <c r="M219" s="606"/>
      <c r="N219" s="606"/>
      <c r="O219" s="606"/>
      <c r="P219" s="606"/>
      <c r="Q219" s="606"/>
      <c r="R219" s="606"/>
      <c r="S219" s="606"/>
      <c r="T219" s="606"/>
      <c r="U219" s="606"/>
      <c r="V219" s="606"/>
      <c r="W219" s="606" t="s">
        <v>1451</v>
      </c>
      <c r="X219" s="606"/>
      <c r="Y219" s="606"/>
      <c r="Z219" s="605"/>
      <c r="AA219" s="629"/>
      <c r="AB219" s="629"/>
      <c r="AC219" s="629"/>
      <c r="AD219" s="630"/>
    </row>
    <row r="220" ht="24.75" customHeight="1">
      <c r="A220" s="608">
        <v>106.0</v>
      </c>
      <c r="B220" s="606" t="s">
        <v>1452</v>
      </c>
      <c r="C220" s="606" t="s">
        <v>139</v>
      </c>
      <c r="D220" s="606" t="s">
        <v>10</v>
      </c>
      <c r="E220" s="606" t="s">
        <v>1453</v>
      </c>
      <c r="F220" s="606"/>
      <c r="G220" s="606" t="str">
        <f>SUM(F217:F219)</f>
        <v>781</v>
      </c>
      <c r="H220" s="609" t="str">
        <f>H218+F219</f>
        <v>40479.43</v>
      </c>
      <c r="I220" s="606">
        <v>432.286</v>
      </c>
      <c r="J220" s="606">
        <v>73.72</v>
      </c>
      <c r="K220" s="606" t="str">
        <f>F219+F221</f>
        <v>787</v>
      </c>
      <c r="L220" s="606" t="str">
        <f>K220/2</f>
        <v>393.5</v>
      </c>
      <c r="M220" s="606">
        <v>208.0</v>
      </c>
      <c r="N220" s="606">
        <v>183.0</v>
      </c>
      <c r="O220" s="606">
        <v>391.0</v>
      </c>
      <c r="P220" s="606">
        <v>207.0</v>
      </c>
      <c r="Q220" s="606">
        <v>185.0</v>
      </c>
      <c r="R220" s="606">
        <v>392.0</v>
      </c>
      <c r="S220" s="606" t="s">
        <v>1454</v>
      </c>
      <c r="T220" s="606" t="s">
        <v>1455</v>
      </c>
      <c r="U220" s="606">
        <v>554573.393</v>
      </c>
      <c r="V220" s="606">
        <v>2663859.497</v>
      </c>
      <c r="W220" s="606"/>
      <c r="X220" s="138" t="s">
        <v>1438</v>
      </c>
      <c r="Y220" s="138" t="s">
        <v>1423</v>
      </c>
      <c r="Z220" s="605" t="s">
        <v>31</v>
      </c>
      <c r="AA220" s="629"/>
      <c r="AB220" s="629"/>
      <c r="AC220" s="629"/>
      <c r="AD220" s="630"/>
    </row>
    <row r="221" ht="24.75" customHeight="1">
      <c r="A221" s="598"/>
      <c r="B221" s="606"/>
      <c r="C221" s="606"/>
      <c r="D221" s="606"/>
      <c r="E221" s="606"/>
      <c r="F221" s="606">
        <v>379.0</v>
      </c>
      <c r="G221" s="606"/>
      <c r="H221" s="600"/>
      <c r="I221" s="606"/>
      <c r="J221" s="606"/>
      <c r="K221" s="606"/>
      <c r="L221" s="606"/>
      <c r="M221" s="606"/>
      <c r="N221" s="606"/>
      <c r="O221" s="606"/>
      <c r="P221" s="606"/>
      <c r="Q221" s="606"/>
      <c r="R221" s="606"/>
      <c r="S221" s="606"/>
      <c r="T221" s="606"/>
      <c r="U221" s="606"/>
      <c r="V221" s="606"/>
      <c r="W221" s="606" t="s">
        <v>1456</v>
      </c>
      <c r="X221" s="606"/>
      <c r="Y221" s="606"/>
      <c r="Z221" s="605"/>
      <c r="AA221" s="629"/>
      <c r="AB221" s="629"/>
      <c r="AC221" s="629"/>
      <c r="AD221" s="630"/>
    </row>
    <row r="222" ht="24.75" customHeight="1">
      <c r="A222" s="608">
        <v>107.0</v>
      </c>
      <c r="B222" s="616" t="s">
        <v>1101</v>
      </c>
      <c r="C222" s="616" t="s">
        <v>140</v>
      </c>
      <c r="D222" s="616" t="s">
        <v>34</v>
      </c>
      <c r="E222" s="616" t="s">
        <v>1101</v>
      </c>
      <c r="F222" s="616"/>
      <c r="G222" s="616"/>
      <c r="H222" s="609" t="str">
        <f>H220+F221</f>
        <v>40858.43</v>
      </c>
      <c r="I222" s="616">
        <v>433.578</v>
      </c>
      <c r="J222" s="616">
        <v>75.5</v>
      </c>
      <c r="K222" s="616" t="str">
        <f>F221+F223</f>
        <v>785</v>
      </c>
      <c r="L222" s="616" t="str">
        <f>K222/2</f>
        <v>392.5</v>
      </c>
      <c r="M222" s="616">
        <v>197.0</v>
      </c>
      <c r="N222" s="616">
        <v>205.0</v>
      </c>
      <c r="O222" s="616">
        <v>402.0</v>
      </c>
      <c r="P222" s="616">
        <v>195.0</v>
      </c>
      <c r="Q222" s="616">
        <v>205.0</v>
      </c>
      <c r="R222" s="616">
        <v>400.0</v>
      </c>
      <c r="S222" s="616" t="s">
        <v>1457</v>
      </c>
      <c r="T222" s="616" t="s">
        <v>1458</v>
      </c>
      <c r="U222" s="616">
        <v>554855.75</v>
      </c>
      <c r="V222" s="616">
        <v>2663606.682</v>
      </c>
      <c r="W222" s="616"/>
      <c r="X222" s="138" t="s">
        <v>1438</v>
      </c>
      <c r="Y222" s="138" t="s">
        <v>1423</v>
      </c>
      <c r="Z222" s="620" t="s">
        <v>31</v>
      </c>
      <c r="AA222" s="625"/>
      <c r="AB222" s="625"/>
      <c r="AC222" s="625"/>
      <c r="AD222" s="626"/>
    </row>
    <row r="223" ht="24.75" customHeight="1">
      <c r="A223" s="598"/>
      <c r="B223" s="616"/>
      <c r="C223" s="616"/>
      <c r="D223" s="616"/>
      <c r="E223" s="616"/>
      <c r="F223" s="616">
        <v>406.0</v>
      </c>
      <c r="G223" s="616"/>
      <c r="H223" s="600"/>
      <c r="I223" s="616"/>
      <c r="J223" s="616"/>
      <c r="K223" s="616"/>
      <c r="L223" s="616"/>
      <c r="M223" s="616"/>
      <c r="N223" s="616"/>
      <c r="O223" s="616"/>
      <c r="P223" s="616"/>
      <c r="Q223" s="616"/>
      <c r="R223" s="616"/>
      <c r="S223" s="616"/>
      <c r="T223" s="635"/>
      <c r="U223" s="616"/>
      <c r="V223" s="616"/>
      <c r="W223" s="616" t="s">
        <v>1459</v>
      </c>
      <c r="X223" s="606"/>
      <c r="Y223" s="606"/>
      <c r="Z223" s="620"/>
      <c r="AA223" s="625"/>
      <c r="AB223" s="625"/>
      <c r="AC223" s="625"/>
      <c r="AD223" s="626"/>
    </row>
    <row r="224" ht="24.75" customHeight="1">
      <c r="A224" s="608">
        <v>108.0</v>
      </c>
      <c r="B224" s="616" t="s">
        <v>1460</v>
      </c>
      <c r="C224" s="616" t="s">
        <v>141</v>
      </c>
      <c r="D224" s="616" t="s">
        <v>131</v>
      </c>
      <c r="E224" s="616" t="s">
        <v>1461</v>
      </c>
      <c r="F224" s="616"/>
      <c r="G224" s="616" t="str">
        <f>SUM(F221:F223)</f>
        <v>785</v>
      </c>
      <c r="H224" s="609" t="str">
        <f>H222+F223</f>
        <v>41264.43</v>
      </c>
      <c r="I224" s="616">
        <v>433.22</v>
      </c>
      <c r="J224" s="616">
        <v>73.72</v>
      </c>
      <c r="K224" s="616" t="str">
        <f>F223+F225</f>
        <v>791</v>
      </c>
      <c r="L224" s="616" t="str">
        <f>K224/2</f>
        <v>395.5</v>
      </c>
      <c r="M224" s="616">
        <v>201.0</v>
      </c>
      <c r="N224" s="616">
        <v>195.0</v>
      </c>
      <c r="O224" s="616">
        <v>396.0</v>
      </c>
      <c r="P224" s="616">
        <v>202.0</v>
      </c>
      <c r="Q224" s="616">
        <v>195.0</v>
      </c>
      <c r="R224" s="616">
        <v>397.0</v>
      </c>
      <c r="S224" s="616" t="s">
        <v>1462</v>
      </c>
      <c r="T224" s="616" t="s">
        <v>1463</v>
      </c>
      <c r="U224" s="616">
        <v>555157.958</v>
      </c>
      <c r="V224" s="616">
        <v>2663336.092</v>
      </c>
      <c r="W224" s="623" t="s">
        <v>1354</v>
      </c>
      <c r="X224" s="138" t="s">
        <v>1438</v>
      </c>
      <c r="Y224" s="138" t="s">
        <v>1423</v>
      </c>
      <c r="Z224" s="620" t="s">
        <v>31</v>
      </c>
      <c r="AA224" s="627">
        <v>1.0</v>
      </c>
      <c r="AB224" s="627">
        <v>2.0</v>
      </c>
      <c r="AC224" s="627">
        <v>1.0</v>
      </c>
      <c r="AD224" s="628">
        <v>0.0</v>
      </c>
    </row>
    <row r="225" ht="24.75" customHeight="1">
      <c r="A225" s="598"/>
      <c r="B225" s="616"/>
      <c r="C225" s="616"/>
      <c r="D225" s="616"/>
      <c r="E225" s="616"/>
      <c r="F225" s="616">
        <v>385.0</v>
      </c>
      <c r="G225" s="616"/>
      <c r="H225" s="600"/>
      <c r="I225" s="616"/>
      <c r="J225" s="616"/>
      <c r="K225" s="616"/>
      <c r="L225" s="616"/>
      <c r="M225" s="616"/>
      <c r="N225" s="616"/>
      <c r="O225" s="616"/>
      <c r="P225" s="616"/>
      <c r="Q225" s="616"/>
      <c r="R225" s="616"/>
      <c r="S225" s="616"/>
      <c r="T225" s="616"/>
      <c r="U225" s="616"/>
      <c r="V225" s="616"/>
      <c r="W225" s="616" t="s">
        <v>1464</v>
      </c>
      <c r="X225" s="606"/>
      <c r="Y225" s="606"/>
      <c r="Z225" s="620"/>
      <c r="AA225" s="625"/>
      <c r="AB225" s="625"/>
      <c r="AC225" s="625"/>
      <c r="AD225" s="626"/>
    </row>
    <row r="226" ht="24.75" customHeight="1">
      <c r="A226" s="608">
        <v>109.0</v>
      </c>
      <c r="B226" s="616" t="s">
        <v>1101</v>
      </c>
      <c r="C226" s="616" t="s">
        <v>142</v>
      </c>
      <c r="D226" s="616" t="s">
        <v>33</v>
      </c>
      <c r="E226" s="616" t="s">
        <v>1101</v>
      </c>
      <c r="F226" s="616"/>
      <c r="G226" s="616"/>
      <c r="H226" s="609" t="str">
        <f>H224+F225</f>
        <v>41649.43</v>
      </c>
      <c r="I226" s="622">
        <v>435.751</v>
      </c>
      <c r="J226" s="616">
        <v>72.5</v>
      </c>
      <c r="K226" s="616" t="str">
        <f>F225+F227</f>
        <v>785</v>
      </c>
      <c r="L226" s="616" t="str">
        <f>K226/2</f>
        <v>392.5</v>
      </c>
      <c r="M226" s="616">
        <v>190.0</v>
      </c>
      <c r="N226" s="616">
        <v>190.0</v>
      </c>
      <c r="O226" s="616">
        <v>380.0</v>
      </c>
      <c r="P226" s="616">
        <v>191.0</v>
      </c>
      <c r="Q226" s="616">
        <v>194.0</v>
      </c>
      <c r="R226" s="616">
        <v>385.0</v>
      </c>
      <c r="S226" s="616" t="s">
        <v>1465</v>
      </c>
      <c r="T226" s="616" t="s">
        <v>1466</v>
      </c>
      <c r="U226" s="616">
        <v>555522.411</v>
      </c>
      <c r="V226" s="616">
        <v>2663211.998</v>
      </c>
      <c r="W226" s="616"/>
      <c r="X226" s="138" t="s">
        <v>1438</v>
      </c>
      <c r="Y226" s="138" t="s">
        <v>1423</v>
      </c>
      <c r="Z226" s="620" t="s">
        <v>31</v>
      </c>
      <c r="AA226" s="625"/>
      <c r="AB226" s="625"/>
      <c r="AC226" s="625"/>
      <c r="AD226" s="626"/>
    </row>
    <row r="227" ht="24.75" customHeight="1">
      <c r="A227" s="598"/>
      <c r="B227" s="616"/>
      <c r="C227" s="616"/>
      <c r="D227" s="616"/>
      <c r="E227" s="616"/>
      <c r="F227" s="616">
        <v>400.0</v>
      </c>
      <c r="G227" s="616"/>
      <c r="H227" s="600"/>
      <c r="I227" s="616"/>
      <c r="J227" s="616"/>
      <c r="K227" s="616"/>
      <c r="L227" s="616"/>
      <c r="M227" s="616"/>
      <c r="N227" s="616"/>
      <c r="O227" s="616"/>
      <c r="P227" s="616"/>
      <c r="Q227" s="616"/>
      <c r="R227" s="616"/>
      <c r="S227" s="616"/>
      <c r="T227" s="616"/>
      <c r="U227" s="616"/>
      <c r="V227" s="616"/>
      <c r="W227" s="616" t="s">
        <v>1467</v>
      </c>
      <c r="X227" s="606"/>
      <c r="Y227" s="606"/>
      <c r="Z227" s="620"/>
      <c r="AA227" s="625"/>
      <c r="AB227" s="625"/>
      <c r="AC227" s="625"/>
      <c r="AD227" s="626"/>
    </row>
    <row r="228" ht="24.75" customHeight="1">
      <c r="A228" s="608">
        <v>110.0</v>
      </c>
      <c r="B228" s="616" t="s">
        <v>1101</v>
      </c>
      <c r="C228" s="616" t="s">
        <v>143</v>
      </c>
      <c r="D228" s="616" t="s">
        <v>33</v>
      </c>
      <c r="E228" s="616" t="s">
        <v>1101</v>
      </c>
      <c r="F228" s="616"/>
      <c r="G228" s="616"/>
      <c r="H228" s="609" t="str">
        <f>H226+F227</f>
        <v>42049.43</v>
      </c>
      <c r="I228" s="622">
        <v>437.648</v>
      </c>
      <c r="J228" s="616">
        <v>72.5</v>
      </c>
      <c r="K228" s="616" t="str">
        <f>F227+F229</f>
        <v>839</v>
      </c>
      <c r="L228" s="616" t="str">
        <f>K228/2</f>
        <v>419.5</v>
      </c>
      <c r="M228" s="616">
        <v>210.0</v>
      </c>
      <c r="N228" s="616">
        <v>174.0</v>
      </c>
      <c r="O228" s="616">
        <v>384.0</v>
      </c>
      <c r="P228" s="616">
        <v>208.0</v>
      </c>
      <c r="Q228" s="616">
        <v>188.0</v>
      </c>
      <c r="R228" s="616">
        <v>396.0</v>
      </c>
      <c r="S228" s="616" t="s">
        <v>1468</v>
      </c>
      <c r="T228" s="616" t="s">
        <v>1469</v>
      </c>
      <c r="U228" s="616">
        <v>555901.063</v>
      </c>
      <c r="V228" s="616">
        <v>2663083.069</v>
      </c>
      <c r="W228" s="616"/>
      <c r="X228" s="138" t="s">
        <v>1438</v>
      </c>
      <c r="Y228" s="138" t="s">
        <v>1423</v>
      </c>
      <c r="Z228" s="620" t="s">
        <v>31</v>
      </c>
      <c r="AA228" s="625"/>
      <c r="AB228" s="625"/>
      <c r="AC228" s="625"/>
      <c r="AD228" s="626"/>
    </row>
    <row r="229" ht="24.75" customHeight="1">
      <c r="A229" s="598"/>
      <c r="B229" s="616"/>
      <c r="C229" s="616"/>
      <c r="D229" s="616"/>
      <c r="E229" s="616"/>
      <c r="F229" s="616">
        <v>439.0</v>
      </c>
      <c r="G229" s="616"/>
      <c r="H229" s="600"/>
      <c r="I229" s="616"/>
      <c r="J229" s="616"/>
      <c r="K229" s="616"/>
      <c r="L229" s="616"/>
      <c r="M229" s="616"/>
      <c r="N229" s="616"/>
      <c r="O229" s="616"/>
      <c r="P229" s="616"/>
      <c r="Q229" s="616"/>
      <c r="R229" s="616"/>
      <c r="S229" s="616"/>
      <c r="T229" s="616"/>
      <c r="U229" s="616"/>
      <c r="V229" s="616"/>
      <c r="W229" s="616" t="s">
        <v>1470</v>
      </c>
      <c r="X229" s="606"/>
      <c r="Y229" s="606"/>
      <c r="Z229" s="620"/>
      <c r="AA229" s="625"/>
      <c r="AB229" s="625"/>
      <c r="AC229" s="625"/>
      <c r="AD229" s="626"/>
    </row>
    <row r="230" ht="24.75" customHeight="1">
      <c r="A230" s="608">
        <v>111.0</v>
      </c>
      <c r="B230" s="616" t="s">
        <v>1101</v>
      </c>
      <c r="C230" s="616" t="s">
        <v>144</v>
      </c>
      <c r="D230" s="616" t="s">
        <v>12</v>
      </c>
      <c r="E230" s="616" t="s">
        <v>1101</v>
      </c>
      <c r="F230" s="616"/>
      <c r="G230" s="616"/>
      <c r="H230" s="609" t="str">
        <f>H228+F229</f>
        <v>42488.43</v>
      </c>
      <c r="I230" s="616">
        <v>441.109</v>
      </c>
      <c r="J230" s="616">
        <v>78.5</v>
      </c>
      <c r="K230" s="616" t="str">
        <f>F229+F231</f>
        <v>839</v>
      </c>
      <c r="L230" s="616" t="str">
        <f>K230/2</f>
        <v>419.5</v>
      </c>
      <c r="M230" s="616">
        <v>266.0</v>
      </c>
      <c r="N230" s="616">
        <v>224.0</v>
      </c>
      <c r="O230" s="616">
        <v>490.0</v>
      </c>
      <c r="P230" s="616">
        <v>252.0</v>
      </c>
      <c r="Q230" s="616">
        <v>217.0</v>
      </c>
      <c r="R230" s="616">
        <v>469.0</v>
      </c>
      <c r="S230" s="616" t="s">
        <v>1471</v>
      </c>
      <c r="T230" s="616" t="s">
        <v>1472</v>
      </c>
      <c r="U230" s="616">
        <v>556316.633</v>
      </c>
      <c r="V230" s="616">
        <v>2662941.569</v>
      </c>
      <c r="W230" s="616"/>
      <c r="X230" s="138" t="s">
        <v>1438</v>
      </c>
      <c r="Y230" s="138" t="s">
        <v>1423</v>
      </c>
      <c r="Z230" s="620" t="s">
        <v>31</v>
      </c>
      <c r="AA230" s="625"/>
      <c r="AB230" s="625"/>
      <c r="AC230" s="625"/>
      <c r="AD230" s="626"/>
    </row>
    <row r="231" ht="24.75" customHeight="1">
      <c r="A231" s="598"/>
      <c r="B231" s="616"/>
      <c r="C231" s="616"/>
      <c r="D231" s="616"/>
      <c r="E231" s="616"/>
      <c r="F231" s="616">
        <v>400.0</v>
      </c>
      <c r="G231" s="616"/>
      <c r="H231" s="600"/>
      <c r="I231" s="616"/>
      <c r="J231" s="616"/>
      <c r="K231" s="616"/>
      <c r="L231" s="616"/>
      <c r="M231" s="616"/>
      <c r="N231" s="616"/>
      <c r="O231" s="616"/>
      <c r="P231" s="616"/>
      <c r="Q231" s="616"/>
      <c r="R231" s="616"/>
      <c r="S231" s="616"/>
      <c r="T231" s="616"/>
      <c r="U231" s="616"/>
      <c r="V231" s="616"/>
      <c r="W231" s="616" t="s">
        <v>1473</v>
      </c>
      <c r="X231" s="606"/>
      <c r="Y231" s="606"/>
      <c r="Z231" s="620"/>
      <c r="AA231" s="625"/>
      <c r="AB231" s="625"/>
      <c r="AC231" s="625"/>
      <c r="AD231" s="626"/>
    </row>
    <row r="232" ht="24.75" customHeight="1">
      <c r="A232" s="608">
        <v>112.0</v>
      </c>
      <c r="B232" s="616" t="s">
        <v>1101</v>
      </c>
      <c r="C232" s="616" t="s">
        <v>145</v>
      </c>
      <c r="D232" s="616" t="s">
        <v>15</v>
      </c>
      <c r="E232" s="616" t="s">
        <v>1101</v>
      </c>
      <c r="F232" s="616"/>
      <c r="G232" s="616"/>
      <c r="H232" s="609" t="str">
        <f>H230+F231</f>
        <v>42888.43</v>
      </c>
      <c r="I232" s="616">
        <v>445.75</v>
      </c>
      <c r="J232" s="616">
        <v>69.5</v>
      </c>
      <c r="K232" s="616" t="str">
        <f>F231+F233</f>
        <v>691</v>
      </c>
      <c r="L232" s="616" t="str">
        <f>K232/2</f>
        <v>345.5</v>
      </c>
      <c r="M232" s="616">
        <v>177.0</v>
      </c>
      <c r="N232" s="616">
        <v>174.0</v>
      </c>
      <c r="O232" s="616">
        <v>351.0</v>
      </c>
      <c r="P232" s="616">
        <v>185.0</v>
      </c>
      <c r="Q232" s="616">
        <v>166.0</v>
      </c>
      <c r="R232" s="616">
        <v>351.0</v>
      </c>
      <c r="S232" s="616" t="s">
        <v>1474</v>
      </c>
      <c r="T232" s="616" t="s">
        <v>1475</v>
      </c>
      <c r="U232" s="616">
        <v>556695.285</v>
      </c>
      <c r="V232" s="616">
        <v>2662812.64</v>
      </c>
      <c r="W232" s="616"/>
      <c r="X232" s="138" t="s">
        <v>1438</v>
      </c>
      <c r="Y232" s="138" t="s">
        <v>1423</v>
      </c>
      <c r="Z232" s="620" t="s">
        <v>31</v>
      </c>
      <c r="AA232" s="625"/>
      <c r="AB232" s="625"/>
      <c r="AC232" s="625"/>
      <c r="AD232" s="626"/>
    </row>
    <row r="233" ht="24.75" customHeight="1">
      <c r="A233" s="598"/>
      <c r="B233" s="616"/>
      <c r="C233" s="616"/>
      <c r="D233" s="616"/>
      <c r="E233" s="616"/>
      <c r="F233" s="616">
        <v>291.0</v>
      </c>
      <c r="G233" s="616"/>
      <c r="H233" s="600"/>
      <c r="I233" s="616"/>
      <c r="J233" s="616"/>
      <c r="K233" s="616"/>
      <c r="L233" s="616"/>
      <c r="M233" s="616"/>
      <c r="N233" s="616"/>
      <c r="O233" s="616"/>
      <c r="P233" s="616"/>
      <c r="Q233" s="616"/>
      <c r="R233" s="616"/>
      <c r="S233" s="616"/>
      <c r="T233" s="616"/>
      <c r="U233" s="616"/>
      <c r="V233" s="616"/>
      <c r="W233" s="616" t="s">
        <v>1476</v>
      </c>
      <c r="X233" s="606"/>
      <c r="Y233" s="606"/>
      <c r="Z233" s="620"/>
      <c r="AA233" s="625"/>
      <c r="AB233" s="625"/>
      <c r="AC233" s="625"/>
      <c r="AD233" s="626"/>
    </row>
    <row r="234" ht="24.75" customHeight="1">
      <c r="A234" s="608">
        <v>113.0</v>
      </c>
      <c r="B234" s="616" t="s">
        <v>1101</v>
      </c>
      <c r="C234" s="616" t="s">
        <v>150</v>
      </c>
      <c r="D234" s="616" t="s">
        <v>15</v>
      </c>
      <c r="E234" s="616" t="s">
        <v>1101</v>
      </c>
      <c r="F234" s="616"/>
      <c r="G234" s="616"/>
      <c r="H234" s="609" t="str">
        <f>H232+F233</f>
        <v>43179.43</v>
      </c>
      <c r="I234" s="616">
        <v>441.826</v>
      </c>
      <c r="J234" s="616">
        <v>69.5</v>
      </c>
      <c r="K234" s="616" t="str">
        <f>F233+F235</f>
        <v>681</v>
      </c>
      <c r="L234" s="616" t="str">
        <f>K234/2</f>
        <v>340.5</v>
      </c>
      <c r="M234" s="616">
        <v>117.0</v>
      </c>
      <c r="N234" s="616">
        <v>172.0</v>
      </c>
      <c r="O234" s="616">
        <v>289.0</v>
      </c>
      <c r="P234" s="616">
        <v>126.0</v>
      </c>
      <c r="Q234" s="616">
        <v>179.0</v>
      </c>
      <c r="R234" s="616">
        <v>305.0</v>
      </c>
      <c r="S234" s="616" t="s">
        <v>1477</v>
      </c>
      <c r="T234" s="616" t="s">
        <v>1478</v>
      </c>
      <c r="U234" s="616">
        <v>556970.754</v>
      </c>
      <c r="V234" s="616">
        <v>2662718.844</v>
      </c>
      <c r="W234" s="616"/>
      <c r="X234" s="138" t="s">
        <v>1438</v>
      </c>
      <c r="Y234" s="138" t="s">
        <v>1423</v>
      </c>
      <c r="Z234" s="620" t="s">
        <v>31</v>
      </c>
      <c r="AA234" s="625"/>
      <c r="AB234" s="625"/>
      <c r="AC234" s="625"/>
      <c r="AD234" s="626"/>
    </row>
    <row r="235" ht="24.75" customHeight="1">
      <c r="A235" s="598"/>
      <c r="B235" s="616"/>
      <c r="C235" s="616"/>
      <c r="D235" s="616"/>
      <c r="E235" s="616"/>
      <c r="F235" s="616">
        <v>390.0</v>
      </c>
      <c r="G235" s="616"/>
      <c r="H235" s="600"/>
      <c r="I235" s="616"/>
      <c r="J235" s="616"/>
      <c r="K235" s="616"/>
      <c r="L235" s="616"/>
      <c r="M235" s="616"/>
      <c r="N235" s="616"/>
      <c r="O235" s="616"/>
      <c r="P235" s="616"/>
      <c r="Q235" s="616"/>
      <c r="R235" s="616"/>
      <c r="S235" s="616"/>
      <c r="T235" s="616"/>
      <c r="U235" s="616"/>
      <c r="V235" s="616"/>
      <c r="W235" s="616" t="s">
        <v>1479</v>
      </c>
      <c r="X235" s="606"/>
      <c r="Y235" s="606"/>
      <c r="Z235" s="620"/>
      <c r="AA235" s="625"/>
      <c r="AB235" s="625"/>
      <c r="AC235" s="625"/>
      <c r="AD235" s="626"/>
    </row>
    <row r="236" ht="24.75" customHeight="1">
      <c r="A236" s="608">
        <v>114.0</v>
      </c>
      <c r="B236" s="616" t="s">
        <v>1101</v>
      </c>
      <c r="C236" s="616" t="s">
        <v>151</v>
      </c>
      <c r="D236" s="616" t="s">
        <v>34</v>
      </c>
      <c r="E236" s="616" t="s">
        <v>1101</v>
      </c>
      <c r="F236" s="616"/>
      <c r="G236" s="616"/>
      <c r="H236" s="609" t="str">
        <f>H234+F235</f>
        <v>43569.43</v>
      </c>
      <c r="I236" s="616">
        <v>440.116</v>
      </c>
      <c r="J236" s="616">
        <v>75.5</v>
      </c>
      <c r="K236" s="616" t="str">
        <f>F235+F237</f>
        <v>793</v>
      </c>
      <c r="L236" s="616" t="str">
        <f>K236/2</f>
        <v>396.5</v>
      </c>
      <c r="M236" s="616">
        <v>219.0</v>
      </c>
      <c r="N236" s="616">
        <v>223.0</v>
      </c>
      <c r="O236" s="616">
        <v>442.0</v>
      </c>
      <c r="P236" s="616">
        <v>212.0</v>
      </c>
      <c r="Q236" s="616">
        <v>217.0</v>
      </c>
      <c r="R236" s="616">
        <v>429.0</v>
      </c>
      <c r="S236" s="616" t="s">
        <v>1480</v>
      </c>
      <c r="T236" s="616" t="s">
        <v>1481</v>
      </c>
      <c r="U236" s="616">
        <v>557339.94</v>
      </c>
      <c r="V236" s="616">
        <v>2662593.138</v>
      </c>
      <c r="W236" s="616"/>
      <c r="X236" s="138" t="s">
        <v>1438</v>
      </c>
      <c r="Y236" s="138" t="s">
        <v>1423</v>
      </c>
      <c r="Z236" s="620" t="s">
        <v>31</v>
      </c>
      <c r="AA236" s="625"/>
      <c r="AB236" s="625"/>
      <c r="AC236" s="625"/>
      <c r="AD236" s="626"/>
    </row>
    <row r="237" ht="24.75" customHeight="1">
      <c r="A237" s="598"/>
      <c r="B237" s="616"/>
      <c r="C237" s="616"/>
      <c r="D237" s="616"/>
      <c r="E237" s="616"/>
      <c r="F237" s="616">
        <v>403.0</v>
      </c>
      <c r="G237" s="616"/>
      <c r="H237" s="600"/>
      <c r="I237" s="616"/>
      <c r="J237" s="616"/>
      <c r="K237" s="616"/>
      <c r="L237" s="616"/>
      <c r="M237" s="616"/>
      <c r="N237" s="616"/>
      <c r="O237" s="616"/>
      <c r="P237" s="616"/>
      <c r="Q237" s="616"/>
      <c r="R237" s="616"/>
      <c r="S237" s="616"/>
      <c r="T237" s="616"/>
      <c r="U237" s="616"/>
      <c r="V237" s="616"/>
      <c r="W237" s="616" t="s">
        <v>1482</v>
      </c>
      <c r="X237" s="606"/>
      <c r="Y237" s="606"/>
      <c r="Z237" s="620"/>
      <c r="AA237" s="625"/>
      <c r="AB237" s="625"/>
      <c r="AC237" s="625"/>
      <c r="AD237" s="626"/>
    </row>
    <row r="238" ht="24.75" customHeight="1">
      <c r="A238" s="608">
        <v>115.0</v>
      </c>
      <c r="B238" s="616" t="s">
        <v>1101</v>
      </c>
      <c r="C238" s="616" t="s">
        <v>152</v>
      </c>
      <c r="D238" s="616" t="s">
        <v>33</v>
      </c>
      <c r="E238" s="616" t="s">
        <v>1101</v>
      </c>
      <c r="F238" s="616"/>
      <c r="G238" s="616"/>
      <c r="H238" s="609" t="str">
        <f>H236+F237</f>
        <v>43972.43</v>
      </c>
      <c r="I238" s="622">
        <v>439.023</v>
      </c>
      <c r="J238" s="616">
        <v>72.5</v>
      </c>
      <c r="K238" s="616" t="str">
        <f>F237+F239</f>
        <v>825</v>
      </c>
      <c r="L238" s="616" t="str">
        <f>K238/2</f>
        <v>412.5</v>
      </c>
      <c r="M238" s="616">
        <v>180.0</v>
      </c>
      <c r="N238" s="616">
        <v>180.0</v>
      </c>
      <c r="O238" s="616">
        <v>360.0</v>
      </c>
      <c r="P238" s="616">
        <v>187.0</v>
      </c>
      <c r="Q238" s="616">
        <v>190.0</v>
      </c>
      <c r="R238" s="616">
        <v>377.0</v>
      </c>
      <c r="S238" s="616" t="s">
        <v>1483</v>
      </c>
      <c r="T238" s="616" t="s">
        <v>1484</v>
      </c>
      <c r="U238" s="616">
        <v>557721.432</v>
      </c>
      <c r="V238" s="616">
        <v>2662463.242</v>
      </c>
      <c r="W238" s="616"/>
      <c r="X238" s="138" t="s">
        <v>1438</v>
      </c>
      <c r="Y238" s="138" t="s">
        <v>1423</v>
      </c>
      <c r="Z238" s="620" t="s">
        <v>31</v>
      </c>
      <c r="AA238" s="625"/>
      <c r="AB238" s="625"/>
      <c r="AC238" s="625"/>
      <c r="AD238" s="626"/>
    </row>
    <row r="239" ht="24.75" customHeight="1">
      <c r="A239" s="598"/>
      <c r="B239" s="616"/>
      <c r="C239" s="616"/>
      <c r="D239" s="616"/>
      <c r="E239" s="616"/>
      <c r="F239" s="616">
        <v>422.0</v>
      </c>
      <c r="G239" s="616"/>
      <c r="H239" s="600"/>
      <c r="I239" s="616"/>
      <c r="J239" s="616"/>
      <c r="K239" s="616"/>
      <c r="L239" s="616"/>
      <c r="M239" s="616"/>
      <c r="N239" s="616"/>
      <c r="O239" s="616"/>
      <c r="P239" s="616"/>
      <c r="Q239" s="616"/>
      <c r="R239" s="616"/>
      <c r="S239" s="616"/>
      <c r="T239" s="616"/>
      <c r="U239" s="616"/>
      <c r="V239" s="616"/>
      <c r="W239" s="616" t="s">
        <v>1485</v>
      </c>
      <c r="X239" s="606"/>
      <c r="Y239" s="606"/>
      <c r="Z239" s="620"/>
      <c r="AA239" s="625"/>
      <c r="AB239" s="625"/>
      <c r="AC239" s="625"/>
      <c r="AD239" s="626"/>
    </row>
    <row r="240" ht="24.75" customHeight="1">
      <c r="A240" s="608">
        <v>116.0</v>
      </c>
      <c r="B240" s="616" t="s">
        <v>1101</v>
      </c>
      <c r="C240" s="616" t="s">
        <v>153</v>
      </c>
      <c r="D240" s="616" t="s">
        <v>12</v>
      </c>
      <c r="E240" s="616" t="s">
        <v>1101</v>
      </c>
      <c r="F240" s="616"/>
      <c r="G240" s="616"/>
      <c r="H240" s="609" t="str">
        <f>H238+F239</f>
        <v>44394.43</v>
      </c>
      <c r="I240" s="616">
        <v>439.161</v>
      </c>
      <c r="J240" s="616">
        <v>78.5</v>
      </c>
      <c r="K240" s="616" t="str">
        <f>F239+F241</f>
        <v>811</v>
      </c>
      <c r="L240" s="616" t="str">
        <f>K240/2</f>
        <v>405.5</v>
      </c>
      <c r="M240" s="616">
        <v>242.0</v>
      </c>
      <c r="N240" s="616">
        <v>257.0</v>
      </c>
      <c r="O240" s="616">
        <v>499.0</v>
      </c>
      <c r="P240" s="616">
        <v>233.0</v>
      </c>
      <c r="Q240" s="616">
        <v>238.0</v>
      </c>
      <c r="R240" s="616">
        <v>471.0</v>
      </c>
      <c r="S240" s="616" t="s">
        <v>1486</v>
      </c>
      <c r="T240" s="616" t="s">
        <v>1487</v>
      </c>
      <c r="U240" s="616">
        <v>558120.91</v>
      </c>
      <c r="V240" s="616">
        <v>2662327.222</v>
      </c>
      <c r="W240" s="616"/>
      <c r="X240" s="138" t="s">
        <v>1488</v>
      </c>
      <c r="Y240" s="138" t="s">
        <v>1423</v>
      </c>
      <c r="Z240" s="620" t="s">
        <v>31</v>
      </c>
      <c r="AA240" s="625"/>
      <c r="AB240" s="625"/>
      <c r="AC240" s="625"/>
      <c r="AD240" s="626"/>
    </row>
    <row r="241" ht="24.75" customHeight="1">
      <c r="A241" s="598"/>
      <c r="B241" s="616"/>
      <c r="C241" s="616"/>
      <c r="D241" s="616"/>
      <c r="E241" s="616"/>
      <c r="F241" s="616">
        <v>389.0</v>
      </c>
      <c r="G241" s="616"/>
      <c r="H241" s="600"/>
      <c r="I241" s="616"/>
      <c r="J241" s="616"/>
      <c r="K241" s="616"/>
      <c r="L241" s="616"/>
      <c r="M241" s="616"/>
      <c r="N241" s="616"/>
      <c r="O241" s="616"/>
      <c r="P241" s="616"/>
      <c r="Q241" s="616"/>
      <c r="R241" s="616"/>
      <c r="S241" s="616"/>
      <c r="T241" s="616"/>
      <c r="U241" s="616"/>
      <c r="V241" s="616"/>
      <c r="W241" s="616" t="s">
        <v>1489</v>
      </c>
      <c r="X241" s="606"/>
      <c r="Y241" s="606"/>
      <c r="Z241" s="620"/>
      <c r="AA241" s="625"/>
      <c r="AB241" s="625"/>
      <c r="AC241" s="625"/>
      <c r="AD241" s="626"/>
    </row>
    <row r="242" ht="24.75" customHeight="1">
      <c r="A242" s="608">
        <v>117.0</v>
      </c>
      <c r="B242" s="616" t="s">
        <v>1101</v>
      </c>
      <c r="C242" s="616" t="s">
        <v>154</v>
      </c>
      <c r="D242" s="616" t="s">
        <v>11</v>
      </c>
      <c r="E242" s="616" t="s">
        <v>1101</v>
      </c>
      <c r="F242" s="616"/>
      <c r="G242" s="616"/>
      <c r="H242" s="609" t="str">
        <f>H240+F241</f>
        <v>44783.43</v>
      </c>
      <c r="I242" s="616">
        <v>435.355</v>
      </c>
      <c r="J242" s="616">
        <v>71.0</v>
      </c>
      <c r="K242" s="616" t="str">
        <f>F241+F243</f>
        <v>825</v>
      </c>
      <c r="L242" s="616" t="str">
        <f>K242/2</f>
        <v>412.5</v>
      </c>
      <c r="M242" s="616">
        <v>133.0</v>
      </c>
      <c r="N242" s="616">
        <v>206.0</v>
      </c>
      <c r="O242" s="616">
        <v>339.0</v>
      </c>
      <c r="P242" s="616">
        <v>152.0</v>
      </c>
      <c r="Q242" s="616">
        <v>210.0</v>
      </c>
      <c r="R242" s="616">
        <v>362.0</v>
      </c>
      <c r="S242" s="616" t="s">
        <v>1490</v>
      </c>
      <c r="T242" s="616" t="s">
        <v>1491</v>
      </c>
      <c r="U242" s="616">
        <v>558489.149</v>
      </c>
      <c r="V242" s="616">
        <v>2662201.839</v>
      </c>
      <c r="W242" s="616"/>
      <c r="X242" s="138" t="s">
        <v>1488</v>
      </c>
      <c r="Y242" s="138" t="s">
        <v>1423</v>
      </c>
      <c r="Z242" s="620" t="s">
        <v>31</v>
      </c>
      <c r="AA242" s="625"/>
      <c r="AB242" s="625"/>
      <c r="AC242" s="625"/>
      <c r="AD242" s="626"/>
    </row>
    <row r="243" ht="24.75" customHeight="1">
      <c r="A243" s="598"/>
      <c r="B243" s="616"/>
      <c r="C243" s="616"/>
      <c r="D243" s="616"/>
      <c r="E243" s="616"/>
      <c r="F243" s="616">
        <v>436.0</v>
      </c>
      <c r="G243" s="616"/>
      <c r="H243" s="600"/>
      <c r="I243" s="616"/>
      <c r="J243" s="616"/>
      <c r="K243" s="616"/>
      <c r="L243" s="616"/>
      <c r="M243" s="616"/>
      <c r="N243" s="616"/>
      <c r="O243" s="616"/>
      <c r="P243" s="616"/>
      <c r="Q243" s="616"/>
      <c r="R243" s="616"/>
      <c r="S243" s="616"/>
      <c r="T243" s="616"/>
      <c r="U243" s="616"/>
      <c r="V243" s="616"/>
      <c r="W243" s="616" t="s">
        <v>1492</v>
      </c>
      <c r="X243" s="606"/>
      <c r="Y243" s="606"/>
      <c r="Z243" s="620"/>
      <c r="AA243" s="625"/>
      <c r="AB243" s="625"/>
      <c r="AC243" s="625"/>
      <c r="AD243" s="626"/>
    </row>
    <row r="244" ht="24.75" customHeight="1">
      <c r="A244" s="608">
        <v>118.0</v>
      </c>
      <c r="B244" s="616" t="s">
        <v>1101</v>
      </c>
      <c r="C244" s="616" t="s">
        <v>155</v>
      </c>
      <c r="D244" s="616" t="s">
        <v>35</v>
      </c>
      <c r="E244" s="616" t="s">
        <v>1101</v>
      </c>
      <c r="F244" s="616"/>
      <c r="G244" s="616"/>
      <c r="H244" s="609" t="str">
        <f>H242+F243</f>
        <v>45219.43</v>
      </c>
      <c r="I244" s="616">
        <v>434.97</v>
      </c>
      <c r="J244" s="616">
        <v>74.0</v>
      </c>
      <c r="K244" s="616" t="str">
        <f>F243+F245</f>
        <v>816</v>
      </c>
      <c r="L244" s="616" t="str">
        <f>K244/2</f>
        <v>408</v>
      </c>
      <c r="M244" s="616">
        <v>231.0</v>
      </c>
      <c r="N244" s="616">
        <v>183.0</v>
      </c>
      <c r="O244" s="616">
        <v>414.0</v>
      </c>
      <c r="P244" s="616">
        <v>228.0</v>
      </c>
      <c r="Q244" s="616">
        <v>185.0</v>
      </c>
      <c r="R244" s="616">
        <v>413.0</v>
      </c>
      <c r="S244" s="616" t="s">
        <v>1493</v>
      </c>
      <c r="T244" s="616" t="s">
        <v>1494</v>
      </c>
      <c r="U244" s="616">
        <v>558901.879</v>
      </c>
      <c r="V244" s="616">
        <v>2662061.306</v>
      </c>
      <c r="W244" s="616"/>
      <c r="X244" s="138" t="s">
        <v>1488</v>
      </c>
      <c r="Y244" s="138" t="s">
        <v>1423</v>
      </c>
      <c r="Z244" s="620" t="s">
        <v>31</v>
      </c>
      <c r="AA244" s="625"/>
      <c r="AB244" s="625"/>
      <c r="AC244" s="625"/>
      <c r="AD244" s="626"/>
    </row>
    <row r="245" ht="24.75" customHeight="1">
      <c r="A245" s="598"/>
      <c r="B245" s="616"/>
      <c r="C245" s="616"/>
      <c r="D245" s="616"/>
      <c r="E245" s="616"/>
      <c r="F245" s="616">
        <v>380.0</v>
      </c>
      <c r="G245" s="616"/>
      <c r="H245" s="600"/>
      <c r="I245" s="616"/>
      <c r="J245" s="616"/>
      <c r="K245" s="616"/>
      <c r="L245" s="616"/>
      <c r="M245" s="616"/>
      <c r="N245" s="616"/>
      <c r="O245" s="616"/>
      <c r="P245" s="616"/>
      <c r="Q245" s="616"/>
      <c r="R245" s="616"/>
      <c r="S245" s="616"/>
      <c r="T245" s="616"/>
      <c r="U245" s="616"/>
      <c r="V245" s="616"/>
      <c r="W245" s="616" t="s">
        <v>1495</v>
      </c>
      <c r="X245" s="606"/>
      <c r="Y245" s="606"/>
      <c r="Z245" s="620"/>
      <c r="AA245" s="625"/>
      <c r="AB245" s="625"/>
      <c r="AC245" s="625"/>
      <c r="AD245" s="626"/>
    </row>
    <row r="246" ht="24.75" customHeight="1">
      <c r="A246" s="608">
        <v>119.0</v>
      </c>
      <c r="B246" s="616" t="s">
        <v>1101</v>
      </c>
      <c r="C246" s="616" t="s">
        <v>156</v>
      </c>
      <c r="D246" s="616" t="s">
        <v>33</v>
      </c>
      <c r="E246" s="616" t="s">
        <v>1101</v>
      </c>
      <c r="F246" s="616"/>
      <c r="G246" s="616"/>
      <c r="H246" s="609" t="str">
        <f>H244+F245</f>
        <v>45599.43</v>
      </c>
      <c r="I246" s="622">
        <v>437.855</v>
      </c>
      <c r="J246" s="616">
        <v>72.5</v>
      </c>
      <c r="K246" s="616" t="str">
        <f>F245+F247</f>
        <v>825</v>
      </c>
      <c r="L246" s="616" t="str">
        <f>K246/2</f>
        <v>412.5</v>
      </c>
      <c r="M246" s="616">
        <v>198.0</v>
      </c>
      <c r="N246" s="616">
        <v>154.0</v>
      </c>
      <c r="O246" s="616">
        <v>352.0</v>
      </c>
      <c r="P246" s="616">
        <v>196.0</v>
      </c>
      <c r="Q246" s="616">
        <v>175.0</v>
      </c>
      <c r="R246" s="616">
        <v>371.0</v>
      </c>
      <c r="S246" s="616" t="s">
        <v>1496</v>
      </c>
      <c r="T246" s="616" t="s">
        <v>1497</v>
      </c>
      <c r="U246" s="616">
        <v>559261.599</v>
      </c>
      <c r="V246" s="616">
        <v>2661938.823</v>
      </c>
      <c r="W246" s="616"/>
      <c r="X246" s="138" t="s">
        <v>1488</v>
      </c>
      <c r="Y246" s="138" t="s">
        <v>1423</v>
      </c>
      <c r="Z246" s="620" t="s">
        <v>31</v>
      </c>
      <c r="AA246" s="625"/>
      <c r="AB246" s="625"/>
      <c r="AC246" s="625"/>
      <c r="AD246" s="626"/>
    </row>
    <row r="247" ht="24.75" customHeight="1">
      <c r="A247" s="598"/>
      <c r="B247" s="616"/>
      <c r="C247" s="616"/>
      <c r="D247" s="616"/>
      <c r="E247" s="616"/>
      <c r="F247" s="616">
        <v>445.0</v>
      </c>
      <c r="G247" s="616"/>
      <c r="H247" s="600"/>
      <c r="I247" s="616"/>
      <c r="J247" s="616"/>
      <c r="K247" s="616"/>
      <c r="L247" s="616"/>
      <c r="M247" s="616"/>
      <c r="N247" s="616"/>
      <c r="O247" s="616"/>
      <c r="P247" s="616"/>
      <c r="Q247" s="616"/>
      <c r="R247" s="616"/>
      <c r="S247" s="616"/>
      <c r="T247" s="616"/>
      <c r="U247" s="616"/>
      <c r="V247" s="616"/>
      <c r="W247" s="616" t="s">
        <v>1498</v>
      </c>
      <c r="X247" s="606"/>
      <c r="Y247" s="606"/>
      <c r="Z247" s="620"/>
      <c r="AA247" s="625"/>
      <c r="AB247" s="625"/>
      <c r="AC247" s="625"/>
      <c r="AD247" s="626"/>
    </row>
    <row r="248" ht="24.75" customHeight="1">
      <c r="A248" s="608">
        <v>120.0</v>
      </c>
      <c r="B248" s="616" t="s">
        <v>1499</v>
      </c>
      <c r="C248" s="616" t="s">
        <v>157</v>
      </c>
      <c r="D248" s="616" t="s">
        <v>147</v>
      </c>
      <c r="E248" s="616" t="s">
        <v>1500</v>
      </c>
      <c r="F248" s="616"/>
      <c r="G248" s="616" t="str">
        <f>SUM(F225:F247)</f>
        <v>4780</v>
      </c>
      <c r="H248" s="609" t="str">
        <f>H246+F247</f>
        <v>46044.43</v>
      </c>
      <c r="I248" s="616">
        <v>434.424</v>
      </c>
      <c r="J248" s="616">
        <v>88.72</v>
      </c>
      <c r="K248" s="616" t="str">
        <f>F247+F249</f>
        <v>665</v>
      </c>
      <c r="L248" s="616" t="str">
        <f>K248/2</f>
        <v>332.5</v>
      </c>
      <c r="M248" s="616">
        <v>293.0</v>
      </c>
      <c r="N248" s="616">
        <v>140.0</v>
      </c>
      <c r="O248" s="616">
        <v>433.0</v>
      </c>
      <c r="P248" s="616">
        <v>272.0</v>
      </c>
      <c r="Q248" s="616">
        <v>123.0</v>
      </c>
      <c r="R248" s="616">
        <v>395.0</v>
      </c>
      <c r="S248" s="616" t="s">
        <v>1501</v>
      </c>
      <c r="T248" s="616" t="s">
        <v>1502</v>
      </c>
      <c r="U248" s="616">
        <v>559683.148</v>
      </c>
      <c r="V248" s="616">
        <v>2661795.288</v>
      </c>
      <c r="W248" s="616"/>
      <c r="X248" s="138" t="s">
        <v>1488</v>
      </c>
      <c r="Y248" s="138" t="s">
        <v>1423</v>
      </c>
      <c r="Z248" s="620" t="s">
        <v>31</v>
      </c>
      <c r="AA248" s="625"/>
      <c r="AB248" s="625"/>
      <c r="AC248" s="625"/>
      <c r="AD248" s="626"/>
    </row>
    <row r="249" ht="12.75" customHeight="1">
      <c r="A249" s="598"/>
      <c r="B249" s="616"/>
      <c r="C249" s="616"/>
      <c r="D249" s="616"/>
      <c r="E249" s="616"/>
      <c r="F249" s="616">
        <v>220.0</v>
      </c>
      <c r="G249" s="616"/>
      <c r="H249" s="600"/>
      <c r="I249" s="616"/>
      <c r="J249" s="616"/>
      <c r="K249" s="616"/>
      <c r="L249" s="616"/>
      <c r="M249" s="616"/>
      <c r="N249" s="616"/>
      <c r="O249" s="616"/>
      <c r="P249" s="616"/>
      <c r="Q249" s="616"/>
      <c r="R249" s="616"/>
      <c r="S249" s="616"/>
      <c r="T249" s="616"/>
      <c r="U249" s="616"/>
      <c r="V249" s="616"/>
      <c r="W249" s="623" t="s">
        <v>1503</v>
      </c>
      <c r="X249" s="606"/>
      <c r="Y249" s="606"/>
      <c r="Z249" s="620"/>
      <c r="AA249" s="625"/>
      <c r="AB249" s="625"/>
      <c r="AC249" s="625"/>
      <c r="AD249" s="626"/>
    </row>
    <row r="250" ht="24.75" customHeight="1">
      <c r="A250" s="608">
        <v>121.0</v>
      </c>
      <c r="B250" s="616" t="s">
        <v>1504</v>
      </c>
      <c r="C250" s="616" t="s">
        <v>158</v>
      </c>
      <c r="D250" s="616" t="s">
        <v>148</v>
      </c>
      <c r="E250" s="616" t="s">
        <v>1505</v>
      </c>
      <c r="F250" s="616"/>
      <c r="G250" s="616" t="str">
        <f>F249</f>
        <v>220</v>
      </c>
      <c r="H250" s="609" t="str">
        <f>H248+F249</f>
        <v>46264.43</v>
      </c>
      <c r="I250" s="616">
        <v>438.091</v>
      </c>
      <c r="J250" s="616">
        <v>82.72</v>
      </c>
      <c r="K250" s="616" t="str">
        <f>F249+F251</f>
        <v>655</v>
      </c>
      <c r="L250" s="616" t="str">
        <f>K250/2</f>
        <v>327.5</v>
      </c>
      <c r="M250" s="616">
        <v>80.0</v>
      </c>
      <c r="N250" s="616">
        <v>252.0</v>
      </c>
      <c r="O250" s="616">
        <v>332.0</v>
      </c>
      <c r="P250" s="616">
        <v>97.0</v>
      </c>
      <c r="Q250" s="616">
        <v>244.0</v>
      </c>
      <c r="R250" s="616">
        <v>341.0</v>
      </c>
      <c r="S250" s="616" t="s">
        <v>1506</v>
      </c>
      <c r="T250" s="616" t="s">
        <v>1507</v>
      </c>
      <c r="U250" s="616">
        <v>559871.045</v>
      </c>
      <c r="V250" s="616">
        <v>2661681.252</v>
      </c>
      <c r="W250" s="616"/>
      <c r="X250" s="138" t="s">
        <v>1488</v>
      </c>
      <c r="Y250" s="138" t="s">
        <v>1423</v>
      </c>
      <c r="Z250" s="620" t="s">
        <v>31</v>
      </c>
      <c r="AA250" s="625"/>
      <c r="AB250" s="625"/>
      <c r="AC250" s="625"/>
      <c r="AD250" s="626"/>
    </row>
    <row r="251" ht="24.75" customHeight="1">
      <c r="A251" s="598"/>
      <c r="B251" s="616"/>
      <c r="C251" s="616"/>
      <c r="D251" s="616"/>
      <c r="E251" s="616"/>
      <c r="F251" s="616">
        <v>435.0</v>
      </c>
      <c r="G251" s="616"/>
      <c r="H251" s="600"/>
      <c r="I251" s="616"/>
      <c r="J251" s="616"/>
      <c r="K251" s="616"/>
      <c r="L251" s="616"/>
      <c r="M251" s="616"/>
      <c r="N251" s="616"/>
      <c r="O251" s="616"/>
      <c r="P251" s="616"/>
      <c r="Q251" s="616"/>
      <c r="R251" s="616"/>
      <c r="S251" s="616"/>
      <c r="T251" s="616"/>
      <c r="U251" s="616"/>
      <c r="V251" s="616"/>
      <c r="W251" s="616" t="s">
        <v>1508</v>
      </c>
      <c r="X251" s="606"/>
      <c r="Y251" s="606"/>
      <c r="Z251" s="620"/>
      <c r="AA251" s="625"/>
      <c r="AB251" s="625"/>
      <c r="AC251" s="625"/>
      <c r="AD251" s="626"/>
    </row>
    <row r="252" ht="24.75" customHeight="1">
      <c r="A252" s="608">
        <v>122.0</v>
      </c>
      <c r="B252" s="616" t="s">
        <v>1101</v>
      </c>
      <c r="C252" s="616" t="s">
        <v>159</v>
      </c>
      <c r="D252" s="616" t="s">
        <v>35</v>
      </c>
      <c r="E252" s="616" t="s">
        <v>1101</v>
      </c>
      <c r="F252" s="616"/>
      <c r="G252" s="616"/>
      <c r="H252" s="609" t="str">
        <f>H250+F251</f>
        <v>46699.43</v>
      </c>
      <c r="I252" s="616">
        <v>440.005</v>
      </c>
      <c r="J252" s="616">
        <v>74.0</v>
      </c>
      <c r="K252" s="616" t="str">
        <f>F251+F253</f>
        <v>840</v>
      </c>
      <c r="L252" s="616" t="str">
        <f>K252/2</f>
        <v>420</v>
      </c>
      <c r="M252" s="616">
        <v>184.0</v>
      </c>
      <c r="N252" s="616">
        <v>187.0</v>
      </c>
      <c r="O252" s="616">
        <v>371.0</v>
      </c>
      <c r="P252" s="616">
        <v>193.0</v>
      </c>
      <c r="Q252" s="616">
        <v>191.0</v>
      </c>
      <c r="R252" s="616">
        <v>384.0</v>
      </c>
      <c r="S252" s="616" t="s">
        <v>1509</v>
      </c>
      <c r="T252" s="616" t="s">
        <v>1510</v>
      </c>
      <c r="U252" s="616">
        <v>560297.298</v>
      </c>
      <c r="V252" s="616">
        <v>2661594.456</v>
      </c>
      <c r="W252" s="616"/>
      <c r="X252" s="138" t="s">
        <v>1511</v>
      </c>
      <c r="Y252" s="138" t="s">
        <v>1423</v>
      </c>
      <c r="Z252" s="620" t="s">
        <v>31</v>
      </c>
      <c r="AA252" s="625"/>
      <c r="AB252" s="625"/>
      <c r="AC252" s="625"/>
      <c r="AD252" s="626"/>
    </row>
    <row r="253" ht="24.75" customHeight="1">
      <c r="A253" s="598"/>
      <c r="B253" s="616"/>
      <c r="C253" s="616"/>
      <c r="D253" s="616"/>
      <c r="E253" s="616"/>
      <c r="F253" s="616">
        <v>405.0</v>
      </c>
      <c r="G253" s="616"/>
      <c r="H253" s="600"/>
      <c r="I253" s="616"/>
      <c r="J253" s="616"/>
      <c r="K253" s="616"/>
      <c r="L253" s="616"/>
      <c r="M253" s="616"/>
      <c r="N253" s="616"/>
      <c r="O253" s="616"/>
      <c r="P253" s="616"/>
      <c r="Q253" s="616"/>
      <c r="R253" s="616"/>
      <c r="S253" s="616"/>
      <c r="T253" s="616"/>
      <c r="U253" s="616"/>
      <c r="V253" s="616"/>
      <c r="W253" s="616" t="s">
        <v>1512</v>
      </c>
      <c r="X253" s="606"/>
      <c r="Y253" s="606"/>
      <c r="Z253" s="620"/>
      <c r="AA253" s="625"/>
      <c r="AB253" s="625"/>
      <c r="AC253" s="625"/>
      <c r="AD253" s="626"/>
    </row>
    <row r="254" ht="24.75" customHeight="1">
      <c r="A254" s="608">
        <v>123.0</v>
      </c>
      <c r="B254" s="616" t="s">
        <v>1101</v>
      </c>
      <c r="C254" s="616" t="s">
        <v>160</v>
      </c>
      <c r="D254" s="616" t="s">
        <v>12</v>
      </c>
      <c r="E254" s="616" t="s">
        <v>1101</v>
      </c>
      <c r="F254" s="616"/>
      <c r="G254" s="616"/>
      <c r="H254" s="609" t="str">
        <f>H252+F253</f>
        <v>47104.43</v>
      </c>
      <c r="I254" s="616">
        <v>439.354</v>
      </c>
      <c r="J254" s="616">
        <v>78.5</v>
      </c>
      <c r="K254" s="616" t="str">
        <f>F253+F255</f>
        <v>839</v>
      </c>
      <c r="L254" s="616" t="str">
        <f>K254/2</f>
        <v>419.5</v>
      </c>
      <c r="M254" s="616">
        <v>219.0</v>
      </c>
      <c r="N254" s="616">
        <v>235.0</v>
      </c>
      <c r="O254" s="616">
        <v>454.0</v>
      </c>
      <c r="P254" s="616">
        <v>216.0</v>
      </c>
      <c r="Q254" s="616">
        <v>231.0</v>
      </c>
      <c r="R254" s="616">
        <v>447.0</v>
      </c>
      <c r="S254" s="616" t="s">
        <v>1513</v>
      </c>
      <c r="T254" s="616" t="s">
        <v>1514</v>
      </c>
      <c r="U254" s="616">
        <v>560694.154</v>
      </c>
      <c r="V254" s="616">
        <v>2661513.645</v>
      </c>
      <c r="W254" s="616"/>
      <c r="X254" s="138" t="s">
        <v>1511</v>
      </c>
      <c r="Y254" s="138" t="s">
        <v>1423</v>
      </c>
      <c r="Z254" s="620" t="s">
        <v>31</v>
      </c>
      <c r="AA254" s="625"/>
      <c r="AB254" s="625"/>
      <c r="AC254" s="625"/>
      <c r="AD254" s="626"/>
    </row>
    <row r="255" ht="24.75" customHeight="1">
      <c r="A255" s="598"/>
      <c r="B255" s="616"/>
      <c r="C255" s="616"/>
      <c r="D255" s="616"/>
      <c r="E255" s="616"/>
      <c r="F255" s="616">
        <v>434.0</v>
      </c>
      <c r="G255" s="616"/>
      <c r="H255" s="600"/>
      <c r="I255" s="616"/>
      <c r="J255" s="616"/>
      <c r="K255" s="616"/>
      <c r="L255" s="616"/>
      <c r="M255" s="616"/>
      <c r="N255" s="616"/>
      <c r="O255" s="616"/>
      <c r="P255" s="616"/>
      <c r="Q255" s="616"/>
      <c r="R255" s="616"/>
      <c r="S255" s="616"/>
      <c r="T255" s="616"/>
      <c r="U255" s="616"/>
      <c r="V255" s="616"/>
      <c r="W255" s="616" t="s">
        <v>1515</v>
      </c>
      <c r="X255" s="606"/>
      <c r="Y255" s="606"/>
      <c r="Z255" s="620"/>
      <c r="AA255" s="625"/>
      <c r="AB255" s="625"/>
      <c r="AC255" s="625"/>
      <c r="AD255" s="626"/>
    </row>
    <row r="256" ht="24.75" customHeight="1">
      <c r="A256" s="608">
        <v>124.0</v>
      </c>
      <c r="B256" s="616" t="s">
        <v>1101</v>
      </c>
      <c r="C256" s="616" t="s">
        <v>161</v>
      </c>
      <c r="D256" s="616" t="s">
        <v>12</v>
      </c>
      <c r="E256" s="616" t="s">
        <v>1101</v>
      </c>
      <c r="F256" s="616"/>
      <c r="G256" s="616"/>
      <c r="H256" s="609" t="str">
        <f>H254+F255</f>
        <v>47538.43</v>
      </c>
      <c r="I256" s="616">
        <v>434.871</v>
      </c>
      <c r="J256" s="616">
        <v>78.5</v>
      </c>
      <c r="K256" s="616" t="str">
        <f>F255+F257</f>
        <v>814</v>
      </c>
      <c r="L256" s="616" t="str">
        <f>K256/2</f>
        <v>407</v>
      </c>
      <c r="M256" s="616">
        <v>200.0</v>
      </c>
      <c r="N256" s="616">
        <v>216.0</v>
      </c>
      <c r="O256" s="616">
        <v>416.0</v>
      </c>
      <c r="P256" s="616">
        <v>205.0</v>
      </c>
      <c r="Q256" s="616">
        <v>210.0</v>
      </c>
      <c r="R256" s="616">
        <v>415.0</v>
      </c>
      <c r="S256" s="616" t="s">
        <v>1516</v>
      </c>
      <c r="T256" s="616" t="s">
        <v>1517</v>
      </c>
      <c r="U256" s="616">
        <v>561119.427</v>
      </c>
      <c r="V256" s="616">
        <v>2661427.049</v>
      </c>
      <c r="W256" s="616"/>
      <c r="X256" s="138" t="s">
        <v>1511</v>
      </c>
      <c r="Y256" s="138" t="s">
        <v>1423</v>
      </c>
      <c r="Z256" s="620" t="s">
        <v>31</v>
      </c>
      <c r="AA256" s="625"/>
      <c r="AB256" s="625"/>
      <c r="AC256" s="625"/>
      <c r="AD256" s="626"/>
    </row>
    <row r="257" ht="24.75" customHeight="1">
      <c r="A257" s="598"/>
      <c r="B257" s="616"/>
      <c r="C257" s="616"/>
      <c r="D257" s="616"/>
      <c r="E257" s="616"/>
      <c r="F257" s="616">
        <v>380.0</v>
      </c>
      <c r="G257" s="616"/>
      <c r="H257" s="600"/>
      <c r="I257" s="616"/>
      <c r="J257" s="616"/>
      <c r="K257" s="616"/>
      <c r="L257" s="616"/>
      <c r="M257" s="616"/>
      <c r="N257" s="616"/>
      <c r="O257" s="616"/>
      <c r="P257" s="616"/>
      <c r="Q257" s="616"/>
      <c r="R257" s="616"/>
      <c r="S257" s="616"/>
      <c r="T257" s="616"/>
      <c r="U257" s="616"/>
      <c r="V257" s="616"/>
      <c r="W257" s="616" t="s">
        <v>1518</v>
      </c>
      <c r="X257" s="606"/>
      <c r="Y257" s="606"/>
      <c r="Z257" s="620"/>
      <c r="AA257" s="625"/>
      <c r="AB257" s="625"/>
      <c r="AC257" s="625"/>
      <c r="AD257" s="626"/>
    </row>
    <row r="258" ht="24.75" customHeight="1">
      <c r="A258" s="608">
        <v>125.0</v>
      </c>
      <c r="B258" s="616" t="s">
        <v>1101</v>
      </c>
      <c r="C258" s="616" t="s">
        <v>162</v>
      </c>
      <c r="D258" s="616" t="s">
        <v>15</v>
      </c>
      <c r="E258" s="616" t="s">
        <v>1101</v>
      </c>
      <c r="F258" s="616"/>
      <c r="G258" s="616"/>
      <c r="H258" s="609" t="str">
        <f>H256+F257</f>
        <v>47918.43</v>
      </c>
      <c r="I258" s="616">
        <v>438.149</v>
      </c>
      <c r="J258" s="616">
        <v>69.5</v>
      </c>
      <c r="K258" s="616" t="str">
        <f>F257+F259</f>
        <v>759</v>
      </c>
      <c r="L258" s="616" t="str">
        <f>K258/2</f>
        <v>379.5</v>
      </c>
      <c r="M258" s="616">
        <v>165.0</v>
      </c>
      <c r="N258" s="616">
        <v>121.0</v>
      </c>
      <c r="O258" s="616">
        <v>286.0</v>
      </c>
      <c r="P258" s="616">
        <v>171.0</v>
      </c>
      <c r="Q258" s="616">
        <v>138.0</v>
      </c>
      <c r="R258" s="616">
        <v>309.0</v>
      </c>
      <c r="S258" s="616" t="s">
        <v>1519</v>
      </c>
      <c r="T258" s="616" t="s">
        <v>1520</v>
      </c>
      <c r="U258" s="616">
        <v>561491.785</v>
      </c>
      <c r="V258" s="616">
        <v>2661351.227</v>
      </c>
      <c r="W258" s="616"/>
      <c r="X258" s="138" t="s">
        <v>1511</v>
      </c>
      <c r="Y258" s="138" t="s">
        <v>1423</v>
      </c>
      <c r="Z258" s="620" t="s">
        <v>31</v>
      </c>
      <c r="AA258" s="625"/>
      <c r="AB258" s="625"/>
      <c r="AC258" s="625"/>
      <c r="AD258" s="626"/>
    </row>
    <row r="259" ht="24.75" customHeight="1">
      <c r="A259" s="598"/>
      <c r="B259" s="616"/>
      <c r="C259" s="616"/>
      <c r="D259" s="616"/>
      <c r="E259" s="616"/>
      <c r="F259" s="616">
        <v>379.0</v>
      </c>
      <c r="G259" s="616"/>
      <c r="H259" s="600"/>
      <c r="I259" s="616"/>
      <c r="J259" s="616"/>
      <c r="K259" s="616"/>
      <c r="L259" s="616"/>
      <c r="M259" s="616"/>
      <c r="N259" s="616"/>
      <c r="O259" s="616"/>
      <c r="P259" s="616"/>
      <c r="Q259" s="616"/>
      <c r="R259" s="616"/>
      <c r="S259" s="616"/>
      <c r="T259" s="616"/>
      <c r="U259" s="616"/>
      <c r="V259" s="616"/>
      <c r="W259" s="616"/>
      <c r="X259" s="606"/>
      <c r="Y259" s="606"/>
      <c r="Z259" s="620"/>
      <c r="AA259" s="625"/>
      <c r="AB259" s="625"/>
      <c r="AC259" s="625"/>
      <c r="AD259" s="626"/>
    </row>
    <row r="260" ht="24.75" customHeight="1">
      <c r="A260" s="608">
        <v>126.0</v>
      </c>
      <c r="B260" s="616" t="s">
        <v>1521</v>
      </c>
      <c r="C260" s="616" t="s">
        <v>163</v>
      </c>
      <c r="D260" s="616" t="s">
        <v>149</v>
      </c>
      <c r="E260" s="616" t="s">
        <v>1522</v>
      </c>
      <c r="F260" s="616"/>
      <c r="G260" s="616" t="str">
        <f>SUM(F251:F259)</f>
        <v>2033</v>
      </c>
      <c r="H260" s="609" t="str">
        <f>H258+F259</f>
        <v>48297.43</v>
      </c>
      <c r="I260" s="616">
        <v>441.418</v>
      </c>
      <c r="J260" s="616">
        <v>79.72</v>
      </c>
      <c r="K260" s="616" t="str">
        <f>F259+F261</f>
        <v>857</v>
      </c>
      <c r="L260" s="616" t="str">
        <f>K260/2</f>
        <v>428.5</v>
      </c>
      <c r="M260" s="616">
        <v>275.0</v>
      </c>
      <c r="N260" s="616">
        <v>258.0</v>
      </c>
      <c r="O260" s="616">
        <v>533.0</v>
      </c>
      <c r="P260" s="616">
        <v>250.0</v>
      </c>
      <c r="Q260" s="616">
        <v>255.0</v>
      </c>
      <c r="R260" s="616">
        <v>505.0</v>
      </c>
      <c r="S260" s="616" t="s">
        <v>1523</v>
      </c>
      <c r="T260" s="616" t="s">
        <v>1524</v>
      </c>
      <c r="U260" s="616">
        <v>561863.017</v>
      </c>
      <c r="V260" s="616">
        <v>2661275.634</v>
      </c>
      <c r="W260" s="616"/>
      <c r="X260" s="138" t="s">
        <v>1525</v>
      </c>
      <c r="Y260" s="138" t="s">
        <v>1423</v>
      </c>
      <c r="Z260" s="620" t="s">
        <v>31</v>
      </c>
      <c r="AA260" s="625"/>
      <c r="AB260" s="625"/>
      <c r="AC260" s="625"/>
      <c r="AD260" s="626"/>
    </row>
    <row r="261" ht="24.75" customHeight="1">
      <c r="A261" s="598"/>
      <c r="B261" s="616"/>
      <c r="C261" s="616"/>
      <c r="D261" s="616"/>
      <c r="E261" s="616"/>
      <c r="F261" s="606" t="str">
        <f>491-13</f>
        <v>478</v>
      </c>
      <c r="G261" s="616"/>
      <c r="H261" s="600"/>
      <c r="I261" s="616"/>
      <c r="J261" s="616"/>
      <c r="K261" s="616"/>
      <c r="L261" s="616"/>
      <c r="M261" s="616"/>
      <c r="N261" s="616"/>
      <c r="O261" s="616"/>
      <c r="P261" s="616"/>
      <c r="Q261" s="616"/>
      <c r="R261" s="616"/>
      <c r="S261" s="616"/>
      <c r="T261" s="616"/>
      <c r="U261" s="616"/>
      <c r="V261" s="616"/>
      <c r="W261" s="616" t="s">
        <v>1526</v>
      </c>
      <c r="X261" s="606"/>
      <c r="Y261" s="606"/>
      <c r="Z261" s="620"/>
      <c r="AA261" s="625"/>
      <c r="AB261" s="625"/>
      <c r="AC261" s="625"/>
      <c r="AD261" s="626"/>
    </row>
    <row r="262" ht="24.75" customHeight="1">
      <c r="A262" s="608">
        <v>127.0</v>
      </c>
      <c r="B262" s="616" t="s">
        <v>1101</v>
      </c>
      <c r="C262" s="616" t="s">
        <v>171</v>
      </c>
      <c r="D262" s="616" t="s">
        <v>167</v>
      </c>
      <c r="E262" s="616" t="s">
        <v>1101</v>
      </c>
      <c r="F262" s="606"/>
      <c r="G262" s="616" t="str">
        <f>F261</f>
        <v>478</v>
      </c>
      <c r="H262" s="609" t="str">
        <f>H260+F261</f>
        <v>48775.43</v>
      </c>
      <c r="I262" s="616">
        <v>435.383</v>
      </c>
      <c r="J262" s="616">
        <v>79.72</v>
      </c>
      <c r="K262" s="616" t="str">
        <f>F261+F263</f>
        <v>942</v>
      </c>
      <c r="L262" s="616" t="str">
        <f>K262/2</f>
        <v>471</v>
      </c>
      <c r="M262" s="616">
        <v>221.0</v>
      </c>
      <c r="N262" s="616">
        <v>267.0</v>
      </c>
      <c r="O262" s="616">
        <v>488.0</v>
      </c>
      <c r="P262" s="616">
        <v>225.0</v>
      </c>
      <c r="Q262" s="616">
        <v>257.0</v>
      </c>
      <c r="R262" s="616">
        <v>482.0</v>
      </c>
      <c r="S262" s="616" t="s">
        <v>1527</v>
      </c>
      <c r="T262" s="616" t="s">
        <v>1528</v>
      </c>
      <c r="U262" s="616">
        <v>562296.784</v>
      </c>
      <c r="V262" s="616">
        <v>2661074.813</v>
      </c>
      <c r="W262" s="616"/>
      <c r="X262" s="138" t="s">
        <v>1525</v>
      </c>
      <c r="Y262" s="138" t="s">
        <v>1423</v>
      </c>
      <c r="Z262" s="620" t="s">
        <v>31</v>
      </c>
      <c r="AA262" s="625"/>
      <c r="AB262" s="625"/>
      <c r="AC262" s="625"/>
      <c r="AD262" s="626"/>
    </row>
    <row r="263" ht="24.75" customHeight="1">
      <c r="A263" s="598"/>
      <c r="B263" s="616"/>
      <c r="C263" s="616"/>
      <c r="D263" s="616"/>
      <c r="E263" s="616"/>
      <c r="F263" s="606" t="str">
        <f>451+13</f>
        <v>464</v>
      </c>
      <c r="G263" s="616"/>
      <c r="H263" s="600"/>
      <c r="I263" s="616"/>
      <c r="J263" s="616"/>
      <c r="K263" s="616"/>
      <c r="L263" s="616"/>
      <c r="M263" s="616"/>
      <c r="N263" s="616"/>
      <c r="O263" s="616"/>
      <c r="P263" s="616"/>
      <c r="Q263" s="616"/>
      <c r="R263" s="616"/>
      <c r="S263" s="616"/>
      <c r="T263" s="616"/>
      <c r="U263" s="616"/>
      <c r="V263" s="616"/>
      <c r="W263" s="616" t="s">
        <v>1529</v>
      </c>
      <c r="X263" s="606"/>
      <c r="Y263" s="606"/>
      <c r="Z263" s="620"/>
      <c r="AA263" s="625"/>
      <c r="AB263" s="625"/>
      <c r="AC263" s="625"/>
      <c r="AD263" s="626"/>
    </row>
    <row r="264" ht="24.75" customHeight="1">
      <c r="A264" s="608">
        <v>128.0</v>
      </c>
      <c r="B264" s="616" t="s">
        <v>1101</v>
      </c>
      <c r="C264" s="616" t="s">
        <v>172</v>
      </c>
      <c r="D264" s="616" t="s">
        <v>33</v>
      </c>
      <c r="E264" s="616" t="s">
        <v>1101</v>
      </c>
      <c r="F264" s="616"/>
      <c r="G264" s="616"/>
      <c r="H264" s="609" t="str">
        <f>H262+F263</f>
        <v>49239.43</v>
      </c>
      <c r="I264" s="622">
        <v>438.024</v>
      </c>
      <c r="J264" s="616">
        <v>72.5</v>
      </c>
      <c r="K264" s="616" t="str">
        <f>F263+F265</f>
        <v>840</v>
      </c>
      <c r="L264" s="616" t="str">
        <f>K264/2</f>
        <v>420</v>
      </c>
      <c r="M264" s="616">
        <v>198.0</v>
      </c>
      <c r="N264" s="616">
        <v>171.0</v>
      </c>
      <c r="O264" s="616">
        <v>369.0</v>
      </c>
      <c r="P264" s="616">
        <v>209.0</v>
      </c>
      <c r="Q264" s="616">
        <v>177.0</v>
      </c>
      <c r="R264" s="616">
        <v>386.0</v>
      </c>
      <c r="S264" s="616" t="s">
        <v>1530</v>
      </c>
      <c r="T264" s="616" t="s">
        <v>1531</v>
      </c>
      <c r="U264" s="616">
        <v>562717.849</v>
      </c>
      <c r="V264" s="616">
        <v>2660879.874</v>
      </c>
      <c r="W264" s="616"/>
      <c r="X264" s="138" t="s">
        <v>1525</v>
      </c>
      <c r="Y264" s="138" t="s">
        <v>1423</v>
      </c>
      <c r="Z264" s="620" t="s">
        <v>31</v>
      </c>
      <c r="AA264" s="625"/>
      <c r="AB264" s="625"/>
      <c r="AC264" s="625"/>
      <c r="AD264" s="626"/>
    </row>
    <row r="265" ht="12.75" customHeight="1">
      <c r="A265" s="598"/>
      <c r="B265" s="616"/>
      <c r="C265" s="616"/>
      <c r="D265" s="616"/>
      <c r="E265" s="616"/>
      <c r="F265" s="616">
        <v>376.0</v>
      </c>
      <c r="G265" s="616"/>
      <c r="H265" s="600"/>
      <c r="I265" s="616"/>
      <c r="J265" s="616"/>
      <c r="K265" s="616"/>
      <c r="L265" s="616"/>
      <c r="M265" s="616"/>
      <c r="N265" s="616"/>
      <c r="O265" s="616"/>
      <c r="P265" s="616"/>
      <c r="Q265" s="616"/>
      <c r="R265" s="616"/>
      <c r="S265" s="616"/>
      <c r="T265" s="616"/>
      <c r="U265" s="616"/>
      <c r="V265" s="616"/>
      <c r="W265" s="616" t="s">
        <v>1532</v>
      </c>
      <c r="X265" s="606"/>
      <c r="Y265" s="606"/>
      <c r="Z265" s="620"/>
      <c r="AA265" s="625"/>
      <c r="AB265" s="625"/>
      <c r="AC265" s="625"/>
      <c r="AD265" s="626"/>
    </row>
    <row r="266" ht="24.75" customHeight="1">
      <c r="A266" s="608">
        <v>129.0</v>
      </c>
      <c r="B266" s="616" t="s">
        <v>1101</v>
      </c>
      <c r="C266" s="616" t="s">
        <v>173</v>
      </c>
      <c r="D266" s="616" t="s">
        <v>35</v>
      </c>
      <c r="E266" s="616" t="s">
        <v>1101</v>
      </c>
      <c r="F266" s="616"/>
      <c r="G266" s="616"/>
      <c r="H266" s="609" t="str">
        <f>H264+F265</f>
        <v>49615.43</v>
      </c>
      <c r="I266" s="616">
        <v>439.558</v>
      </c>
      <c r="J266" s="616">
        <v>74.0</v>
      </c>
      <c r="K266" s="616" t="str">
        <f>F265+F267</f>
        <v>756</v>
      </c>
      <c r="L266" s="616" t="str">
        <f>K266/2</f>
        <v>378</v>
      </c>
      <c r="M266" s="616">
        <v>206.0</v>
      </c>
      <c r="N266" s="616">
        <v>202.0</v>
      </c>
      <c r="O266" s="616">
        <v>408.0</v>
      </c>
      <c r="P266" s="616">
        <v>200.0</v>
      </c>
      <c r="Q266" s="616">
        <v>199.0</v>
      </c>
      <c r="R266" s="616">
        <v>399.0</v>
      </c>
      <c r="S266" s="616" t="s">
        <v>1533</v>
      </c>
      <c r="T266" s="616" t="s">
        <v>1534</v>
      </c>
      <c r="U266" s="616">
        <v>563059.056</v>
      </c>
      <c r="V266" s="616">
        <v>2660721.906</v>
      </c>
      <c r="W266" s="616"/>
      <c r="X266" s="138" t="s">
        <v>1525</v>
      </c>
      <c r="Y266" s="138" t="s">
        <v>1423</v>
      </c>
      <c r="Z266" s="620" t="s">
        <v>31</v>
      </c>
      <c r="AA266" s="625"/>
      <c r="AB266" s="625"/>
      <c r="AC266" s="625"/>
      <c r="AD266" s="626"/>
    </row>
    <row r="267" ht="24.75" customHeight="1">
      <c r="A267" s="598"/>
      <c r="B267" s="616"/>
      <c r="C267" s="616"/>
      <c r="D267" s="616"/>
      <c r="E267" s="616"/>
      <c r="F267" s="616">
        <v>380.0</v>
      </c>
      <c r="G267" s="616"/>
      <c r="H267" s="600"/>
      <c r="I267" s="616"/>
      <c r="J267" s="616"/>
      <c r="K267" s="616"/>
      <c r="L267" s="616"/>
      <c r="M267" s="616"/>
      <c r="N267" s="616"/>
      <c r="O267" s="616"/>
      <c r="P267" s="616"/>
      <c r="Q267" s="616"/>
      <c r="R267" s="616"/>
      <c r="S267" s="616"/>
      <c r="T267" s="616"/>
      <c r="U267" s="616"/>
      <c r="V267" s="616"/>
      <c r="W267" s="616" t="s">
        <v>1535</v>
      </c>
      <c r="X267" s="606"/>
      <c r="Y267" s="606"/>
      <c r="Z267" s="620"/>
      <c r="AA267" s="625"/>
      <c r="AB267" s="625"/>
      <c r="AC267" s="625"/>
      <c r="AD267" s="626"/>
    </row>
    <row r="268" ht="24.75" customHeight="1">
      <c r="A268" s="608">
        <v>130.0</v>
      </c>
      <c r="B268" s="616" t="s">
        <v>1101</v>
      </c>
      <c r="C268" s="616" t="s">
        <v>174</v>
      </c>
      <c r="D268" s="616" t="s">
        <v>15</v>
      </c>
      <c r="E268" s="616" t="s">
        <v>1101</v>
      </c>
      <c r="F268" s="616"/>
      <c r="G268" s="616"/>
      <c r="H268" s="609" t="str">
        <f>H266+F267</f>
        <v>49995.43</v>
      </c>
      <c r="I268" s="616">
        <v>441.94</v>
      </c>
      <c r="J268" s="616">
        <v>69.5</v>
      </c>
      <c r="K268" s="616" t="str">
        <f>F267+F269</f>
        <v>732</v>
      </c>
      <c r="L268" s="616" t="str">
        <f>K268/2</f>
        <v>366</v>
      </c>
      <c r="M268" s="616">
        <v>178.0</v>
      </c>
      <c r="N268" s="616">
        <v>159.0</v>
      </c>
      <c r="O268" s="616">
        <v>337.0</v>
      </c>
      <c r="P268" s="616">
        <v>182.0</v>
      </c>
      <c r="Q268" s="616">
        <v>163.0</v>
      </c>
      <c r="R268" s="616">
        <v>345.0</v>
      </c>
      <c r="S268" s="616" t="s">
        <v>1536</v>
      </c>
      <c r="T268" s="616" t="s">
        <v>1537</v>
      </c>
      <c r="U268" s="616">
        <v>563403.893</v>
      </c>
      <c r="V268" s="616">
        <v>2660562.257</v>
      </c>
      <c r="W268" s="616"/>
      <c r="X268" s="138" t="s">
        <v>1525</v>
      </c>
      <c r="Y268" s="138" t="s">
        <v>1423</v>
      </c>
      <c r="Z268" s="620" t="s">
        <v>31</v>
      </c>
      <c r="AA268" s="625"/>
      <c r="AB268" s="625"/>
      <c r="AC268" s="625"/>
      <c r="AD268" s="626"/>
    </row>
    <row r="269" ht="24.75" customHeight="1">
      <c r="A269" s="598"/>
      <c r="B269" s="616"/>
      <c r="C269" s="616"/>
      <c r="D269" s="616"/>
      <c r="E269" s="616"/>
      <c r="F269" s="616">
        <v>352.0</v>
      </c>
      <c r="G269" s="616"/>
      <c r="H269" s="600"/>
      <c r="I269" s="616"/>
      <c r="J269" s="616"/>
      <c r="K269" s="616"/>
      <c r="L269" s="616"/>
      <c r="M269" s="616"/>
      <c r="N269" s="616"/>
      <c r="O269" s="616"/>
      <c r="P269" s="616"/>
      <c r="Q269" s="616"/>
      <c r="R269" s="616"/>
      <c r="S269" s="616"/>
      <c r="T269" s="616"/>
      <c r="U269" s="616"/>
      <c r="V269" s="616"/>
      <c r="W269" s="616" t="s">
        <v>1538</v>
      </c>
      <c r="X269" s="606"/>
      <c r="Y269" s="606"/>
      <c r="Z269" s="620"/>
      <c r="AA269" s="625"/>
      <c r="AB269" s="625"/>
      <c r="AC269" s="625"/>
      <c r="AD269" s="626"/>
    </row>
    <row r="270" ht="24.75" customHeight="1">
      <c r="A270" s="608">
        <v>131.0</v>
      </c>
      <c r="B270" s="616" t="s">
        <v>1101</v>
      </c>
      <c r="C270" s="616" t="s">
        <v>175</v>
      </c>
      <c r="D270" s="616" t="s">
        <v>11</v>
      </c>
      <c r="E270" s="616" t="s">
        <v>1101</v>
      </c>
      <c r="F270" s="616"/>
      <c r="G270" s="616"/>
      <c r="H270" s="609" t="str">
        <f>H268+F269</f>
        <v>50347.43</v>
      </c>
      <c r="I270" s="616">
        <v>443.323</v>
      </c>
      <c r="J270" s="616">
        <v>71.0</v>
      </c>
      <c r="K270" s="616" t="str">
        <f>F269+F271</f>
        <v>713</v>
      </c>
      <c r="L270" s="616" t="str">
        <f>K270/2</f>
        <v>356.5</v>
      </c>
      <c r="M270" s="616">
        <v>193.0</v>
      </c>
      <c r="N270" s="616">
        <v>122.0</v>
      </c>
      <c r="O270" s="616">
        <v>315.0</v>
      </c>
      <c r="P270" s="616">
        <v>189.0</v>
      </c>
      <c r="Q270" s="616">
        <v>137.0</v>
      </c>
      <c r="R270" s="616">
        <v>326.0</v>
      </c>
      <c r="S270" s="616" t="s">
        <v>1539</v>
      </c>
      <c r="T270" s="616" t="s">
        <v>1540</v>
      </c>
      <c r="U270" s="616">
        <v>563723.32</v>
      </c>
      <c r="V270" s="616">
        <v>2660414.37</v>
      </c>
      <c r="W270" s="616"/>
      <c r="X270" s="138" t="s">
        <v>1525</v>
      </c>
      <c r="Y270" s="138" t="s">
        <v>1423</v>
      </c>
      <c r="Z270" s="620" t="s">
        <v>31</v>
      </c>
      <c r="AA270" s="625"/>
      <c r="AB270" s="625"/>
      <c r="AC270" s="625"/>
      <c r="AD270" s="626"/>
    </row>
    <row r="271" ht="24.75" customHeight="1">
      <c r="A271" s="598"/>
      <c r="B271" s="616"/>
      <c r="C271" s="616"/>
      <c r="D271" s="616"/>
      <c r="E271" s="616"/>
      <c r="F271" s="616">
        <v>361.0</v>
      </c>
      <c r="G271" s="616"/>
      <c r="H271" s="600"/>
      <c r="I271" s="616"/>
      <c r="J271" s="616"/>
      <c r="K271" s="616"/>
      <c r="L271" s="616"/>
      <c r="M271" s="616"/>
      <c r="N271" s="616"/>
      <c r="O271" s="616"/>
      <c r="P271" s="616"/>
      <c r="Q271" s="616"/>
      <c r="R271" s="616"/>
      <c r="S271" s="616"/>
      <c r="T271" s="616"/>
      <c r="U271" s="616"/>
      <c r="V271" s="616"/>
      <c r="W271" s="616" t="s">
        <v>1541</v>
      </c>
      <c r="X271" s="606"/>
      <c r="Y271" s="606"/>
      <c r="Z271" s="620"/>
      <c r="AA271" s="625"/>
      <c r="AB271" s="625"/>
      <c r="AC271" s="625"/>
      <c r="AD271" s="626"/>
    </row>
    <row r="272" ht="24.75" customHeight="1">
      <c r="A272" s="608">
        <v>132.0</v>
      </c>
      <c r="B272" s="617" t="s">
        <v>1542</v>
      </c>
      <c r="C272" s="617" t="s">
        <v>176</v>
      </c>
      <c r="D272" s="617" t="s">
        <v>168</v>
      </c>
      <c r="E272" s="617" t="s">
        <v>1543</v>
      </c>
      <c r="F272" s="625"/>
      <c r="G272" s="636" t="str">
        <f>SUM(F263:F271)</f>
        <v>1933</v>
      </c>
      <c r="H272" s="609" t="str">
        <f>H270+F271</f>
        <v>50708.43</v>
      </c>
      <c r="I272" s="637">
        <v>445.747</v>
      </c>
      <c r="J272" s="637">
        <v>76.72</v>
      </c>
      <c r="K272" s="638" t="str">
        <f>F271+F273</f>
        <v>613</v>
      </c>
      <c r="L272" s="639" t="str">
        <f>K272/2</f>
        <v>306.5</v>
      </c>
      <c r="M272" s="617">
        <v>241.0</v>
      </c>
      <c r="N272" s="617">
        <v>-28.0</v>
      </c>
      <c r="O272" s="617">
        <v>213.0</v>
      </c>
      <c r="P272" s="617">
        <v>222.0</v>
      </c>
      <c r="Q272" s="617">
        <v>53.0</v>
      </c>
      <c r="R272" s="617">
        <v>275.0</v>
      </c>
      <c r="S272" s="617" t="s">
        <v>1544</v>
      </c>
      <c r="T272" s="617" t="s">
        <v>1545</v>
      </c>
      <c r="U272" s="637">
        <v>564050.781</v>
      </c>
      <c r="V272" s="637">
        <v>2660262.768</v>
      </c>
      <c r="W272" s="616"/>
      <c r="X272" s="138" t="s">
        <v>1525</v>
      </c>
      <c r="Y272" s="138" t="s">
        <v>1423</v>
      </c>
      <c r="Z272" s="620" t="s">
        <v>31</v>
      </c>
      <c r="AA272" s="625"/>
      <c r="AB272" s="625"/>
      <c r="AC272" s="625"/>
      <c r="AD272" s="626"/>
    </row>
    <row r="273" ht="12.75" customHeight="1">
      <c r="A273" s="598"/>
      <c r="B273" s="617"/>
      <c r="C273" s="617"/>
      <c r="D273" s="617"/>
      <c r="E273" s="617"/>
      <c r="F273" s="142">
        <v>252.0</v>
      </c>
      <c r="G273" s="625"/>
      <c r="H273" s="600"/>
      <c r="I273" s="637"/>
      <c r="J273" s="637"/>
      <c r="K273" s="638"/>
      <c r="L273" s="639"/>
      <c r="M273" s="617"/>
      <c r="N273" s="617"/>
      <c r="O273" s="617"/>
      <c r="P273" s="617"/>
      <c r="Q273" s="617"/>
      <c r="R273" s="617"/>
      <c r="S273" s="617"/>
      <c r="T273" s="617"/>
      <c r="U273" s="637"/>
      <c r="V273" s="637"/>
      <c r="W273" s="623" t="s">
        <v>1546</v>
      </c>
      <c r="X273" s="606"/>
      <c r="Y273" s="606"/>
      <c r="Z273" s="620"/>
      <c r="AA273" s="625"/>
      <c r="AB273" s="625"/>
      <c r="AC273" s="625"/>
      <c r="AD273" s="626"/>
    </row>
    <row r="274" ht="24.75" customHeight="1">
      <c r="A274" s="608">
        <v>133.0</v>
      </c>
      <c r="B274" s="617" t="s">
        <v>1547</v>
      </c>
      <c r="C274" s="617" t="s">
        <v>177</v>
      </c>
      <c r="D274" s="617" t="s">
        <v>169</v>
      </c>
      <c r="E274" s="617" t="s">
        <v>1548</v>
      </c>
      <c r="F274" s="142"/>
      <c r="G274" s="636" t="str">
        <f>F273</f>
        <v>252</v>
      </c>
      <c r="H274" s="609" t="str">
        <f>H272+F273</f>
        <v>50960.43</v>
      </c>
      <c r="I274" s="637">
        <v>448.058</v>
      </c>
      <c r="J274" s="637">
        <v>88.72</v>
      </c>
      <c r="K274" s="638" t="str">
        <f>F273+F275</f>
        <v>646</v>
      </c>
      <c r="L274" s="639" t="str">
        <f>K274/2</f>
        <v>323.0</v>
      </c>
      <c r="M274" s="617">
        <v>281.0</v>
      </c>
      <c r="N274" s="617">
        <v>265.0</v>
      </c>
      <c r="O274" s="617">
        <v>546.0</v>
      </c>
      <c r="P274" s="617">
        <v>199.0</v>
      </c>
      <c r="Q274" s="617">
        <v>244.0</v>
      </c>
      <c r="R274" s="617">
        <v>443.0</v>
      </c>
      <c r="S274" s="617" t="s">
        <v>1549</v>
      </c>
      <c r="T274" s="617" t="s">
        <v>1550</v>
      </c>
      <c r="U274" s="637">
        <v>564150.632</v>
      </c>
      <c r="V274" s="637">
        <v>2660031.49</v>
      </c>
      <c r="W274" s="616"/>
      <c r="X274" s="138" t="s">
        <v>1525</v>
      </c>
      <c r="Y274" s="138" t="s">
        <v>1423</v>
      </c>
      <c r="Z274" s="620" t="s">
        <v>31</v>
      </c>
      <c r="AA274" s="625"/>
      <c r="AB274" s="625"/>
      <c r="AC274" s="625"/>
      <c r="AD274" s="626"/>
    </row>
    <row r="275" ht="24.75" customHeight="1">
      <c r="A275" s="598"/>
      <c r="B275" s="617"/>
      <c r="C275" s="617"/>
      <c r="D275" s="617"/>
      <c r="E275" s="617"/>
      <c r="F275" s="142">
        <v>394.0</v>
      </c>
      <c r="G275" s="625"/>
      <c r="H275" s="600"/>
      <c r="I275" s="637"/>
      <c r="J275" s="637"/>
      <c r="K275" s="638"/>
      <c r="L275" s="639"/>
      <c r="M275" s="617"/>
      <c r="N275" s="617"/>
      <c r="O275" s="617"/>
      <c r="P275" s="617"/>
      <c r="Q275" s="617"/>
      <c r="R275" s="617"/>
      <c r="S275" s="617"/>
      <c r="T275" s="617"/>
      <c r="U275" s="637"/>
      <c r="V275" s="637"/>
      <c r="W275" s="619" t="s">
        <v>1551</v>
      </c>
      <c r="X275" s="606"/>
      <c r="Y275" s="606"/>
      <c r="Z275" s="620"/>
      <c r="AA275" s="625"/>
      <c r="AB275" s="625"/>
      <c r="AC275" s="625"/>
      <c r="AD275" s="626"/>
    </row>
    <row r="276" ht="24.75" customHeight="1">
      <c r="A276" s="608">
        <v>134.0</v>
      </c>
      <c r="B276" s="617" t="s">
        <v>1101</v>
      </c>
      <c r="C276" s="617" t="s">
        <v>178</v>
      </c>
      <c r="D276" s="617" t="s">
        <v>35</v>
      </c>
      <c r="E276" s="617" t="s">
        <v>1101</v>
      </c>
      <c r="F276" s="142"/>
      <c r="G276" s="625"/>
      <c r="H276" s="609" t="str">
        <f>H274+F275</f>
        <v>51354.43</v>
      </c>
      <c r="I276" s="637">
        <v>452.242</v>
      </c>
      <c r="J276" s="616">
        <v>74.0</v>
      </c>
      <c r="K276" s="638" t="str">
        <f>F275+F277</f>
        <v>783</v>
      </c>
      <c r="L276" s="639" t="str">
        <f>K276/2</f>
        <v>391.5</v>
      </c>
      <c r="M276" s="617">
        <v>130.0</v>
      </c>
      <c r="N276" s="617">
        <v>180.0</v>
      </c>
      <c r="O276" s="617">
        <v>310.0</v>
      </c>
      <c r="P276" s="617">
        <v>152.0</v>
      </c>
      <c r="Q276" s="617">
        <v>185.0</v>
      </c>
      <c r="R276" s="617">
        <v>337.0</v>
      </c>
      <c r="S276" s="617" t="s">
        <v>1552</v>
      </c>
      <c r="T276" s="617" t="s">
        <v>1553</v>
      </c>
      <c r="U276" s="637">
        <v>564484.756</v>
      </c>
      <c r="V276" s="637">
        <v>2659822.69</v>
      </c>
      <c r="W276" s="616"/>
      <c r="X276" s="138" t="s">
        <v>1525</v>
      </c>
      <c r="Y276" s="138" t="s">
        <v>1423</v>
      </c>
      <c r="Z276" s="620" t="s">
        <v>31</v>
      </c>
      <c r="AA276" s="625"/>
      <c r="AB276" s="625"/>
      <c r="AC276" s="625"/>
      <c r="AD276" s="626"/>
    </row>
    <row r="277" ht="12.75" customHeight="1">
      <c r="A277" s="598"/>
      <c r="B277" s="617"/>
      <c r="C277" s="617"/>
      <c r="D277" s="617"/>
      <c r="E277" s="617"/>
      <c r="F277" s="142">
        <v>389.0</v>
      </c>
      <c r="G277" s="625"/>
      <c r="H277" s="600"/>
      <c r="I277" s="637"/>
      <c r="J277" s="637"/>
      <c r="K277" s="638"/>
      <c r="L277" s="639"/>
      <c r="M277" s="617"/>
      <c r="N277" s="617"/>
      <c r="O277" s="617"/>
      <c r="P277" s="617"/>
      <c r="Q277" s="617"/>
      <c r="R277" s="617"/>
      <c r="S277" s="617"/>
      <c r="T277" s="617"/>
      <c r="U277" s="637"/>
      <c r="V277" s="637"/>
      <c r="W277" s="619" t="s">
        <v>1554</v>
      </c>
      <c r="X277" s="606"/>
      <c r="Y277" s="606"/>
      <c r="Z277" s="620"/>
      <c r="AA277" s="625"/>
      <c r="AB277" s="625"/>
      <c r="AC277" s="625"/>
      <c r="AD277" s="626"/>
    </row>
    <row r="278" ht="24.75" customHeight="1">
      <c r="A278" s="608">
        <v>135.0</v>
      </c>
      <c r="B278" s="617" t="s">
        <v>1101</v>
      </c>
      <c r="C278" s="617" t="s">
        <v>179</v>
      </c>
      <c r="D278" s="617" t="s">
        <v>35</v>
      </c>
      <c r="E278" s="617" t="s">
        <v>1101</v>
      </c>
      <c r="F278" s="142"/>
      <c r="G278" s="625"/>
      <c r="H278" s="609" t="str">
        <f>H276+F277</f>
        <v>51743.43</v>
      </c>
      <c r="I278" s="637">
        <v>454.842</v>
      </c>
      <c r="J278" s="616">
        <v>74.0</v>
      </c>
      <c r="K278" s="638" t="str">
        <f>F277+F279</f>
        <v>788</v>
      </c>
      <c r="L278" s="639" t="str">
        <f>K278/2</f>
        <v>394.0</v>
      </c>
      <c r="M278" s="617">
        <v>209.0</v>
      </c>
      <c r="N278" s="617">
        <v>220.0</v>
      </c>
      <c r="O278" s="617">
        <v>429.0</v>
      </c>
      <c r="P278" s="617">
        <v>205.0</v>
      </c>
      <c r="Q278" s="617">
        <v>214.0</v>
      </c>
      <c r="R278" s="617">
        <v>419.0</v>
      </c>
      <c r="S278" s="617" t="s">
        <v>1555</v>
      </c>
      <c r="T278" s="617" t="s">
        <v>1556</v>
      </c>
      <c r="U278" s="637">
        <v>564814.639</v>
      </c>
      <c r="V278" s="637">
        <v>2659616.54</v>
      </c>
      <c r="W278" s="616"/>
      <c r="X278" s="138" t="s">
        <v>1557</v>
      </c>
      <c r="Y278" s="138" t="s">
        <v>1423</v>
      </c>
      <c r="Z278" s="620" t="s">
        <v>31</v>
      </c>
      <c r="AA278" s="625"/>
      <c r="AB278" s="625"/>
      <c r="AC278" s="625"/>
      <c r="AD278" s="626"/>
    </row>
    <row r="279" ht="12.75" customHeight="1">
      <c r="A279" s="598"/>
      <c r="B279" s="617"/>
      <c r="C279" s="617"/>
      <c r="D279" s="617"/>
      <c r="E279" s="617"/>
      <c r="F279" s="142">
        <v>399.0</v>
      </c>
      <c r="G279" s="625"/>
      <c r="H279" s="600"/>
      <c r="I279" s="637"/>
      <c r="J279" s="637"/>
      <c r="K279" s="638"/>
      <c r="L279" s="639"/>
      <c r="M279" s="617"/>
      <c r="N279" s="617"/>
      <c r="O279" s="617"/>
      <c r="P279" s="617"/>
      <c r="Q279" s="617"/>
      <c r="R279" s="617"/>
      <c r="S279" s="617"/>
      <c r="T279" s="617"/>
      <c r="U279" s="637"/>
      <c r="V279" s="637"/>
      <c r="W279" s="619" t="s">
        <v>1558</v>
      </c>
      <c r="X279" s="606"/>
      <c r="Y279" s="606"/>
      <c r="Z279" s="620"/>
      <c r="AA279" s="625"/>
      <c r="AB279" s="625"/>
      <c r="AC279" s="625"/>
      <c r="AD279" s="626"/>
    </row>
    <row r="280" ht="24.75" customHeight="1">
      <c r="A280" s="608">
        <v>136.0</v>
      </c>
      <c r="B280" s="617" t="s">
        <v>1559</v>
      </c>
      <c r="C280" s="617" t="s">
        <v>180</v>
      </c>
      <c r="D280" s="617" t="s">
        <v>13</v>
      </c>
      <c r="E280" s="617" t="s">
        <v>1560</v>
      </c>
      <c r="F280" s="142"/>
      <c r="G280" s="636" t="str">
        <f>SUM(F275:F279)</f>
        <v>1182</v>
      </c>
      <c r="H280" s="609" t="str">
        <f>H278+F279</f>
        <v>52142.43</v>
      </c>
      <c r="I280" s="637">
        <v>452.57</v>
      </c>
      <c r="J280" s="138">
        <v>70.72</v>
      </c>
      <c r="K280" s="638" t="str">
        <f>F279+F281</f>
        <v>791</v>
      </c>
      <c r="L280" s="639" t="str">
        <f>K280/2</f>
        <v>395.5</v>
      </c>
      <c r="M280" s="617">
        <v>179.0</v>
      </c>
      <c r="N280" s="617">
        <v>208.0</v>
      </c>
      <c r="O280" s="617">
        <v>387.0</v>
      </c>
      <c r="P280" s="617">
        <v>186.0</v>
      </c>
      <c r="Q280" s="617">
        <v>204.0</v>
      </c>
      <c r="R280" s="617">
        <v>390.0</v>
      </c>
      <c r="S280" s="617" t="s">
        <v>1561</v>
      </c>
      <c r="T280" s="617" t="s">
        <v>1562</v>
      </c>
      <c r="U280" s="637">
        <v>565152.813</v>
      </c>
      <c r="V280" s="637">
        <v>2659405.21</v>
      </c>
      <c r="W280" s="616"/>
      <c r="X280" s="138" t="s">
        <v>1557</v>
      </c>
      <c r="Y280" s="138" t="s">
        <v>1423</v>
      </c>
      <c r="Z280" s="620" t="s">
        <v>31</v>
      </c>
      <c r="AA280" s="625"/>
      <c r="AB280" s="625"/>
      <c r="AC280" s="625"/>
      <c r="AD280" s="626"/>
    </row>
    <row r="281" ht="12.75" customHeight="1">
      <c r="A281" s="598"/>
      <c r="B281" s="617"/>
      <c r="C281" s="617"/>
      <c r="D281" s="617"/>
      <c r="E281" s="617"/>
      <c r="F281" s="142">
        <v>392.0</v>
      </c>
      <c r="G281" s="625"/>
      <c r="H281" s="600"/>
      <c r="I281" s="637"/>
      <c r="J281" s="637"/>
      <c r="K281" s="638"/>
      <c r="L281" s="639"/>
      <c r="M281" s="617"/>
      <c r="N281" s="617"/>
      <c r="O281" s="617"/>
      <c r="P281" s="617"/>
      <c r="Q281" s="617"/>
      <c r="R281" s="617"/>
      <c r="S281" s="617"/>
      <c r="T281" s="617"/>
      <c r="U281" s="637"/>
      <c r="V281" s="637"/>
      <c r="W281" s="619" t="s">
        <v>1563</v>
      </c>
      <c r="X281" s="606"/>
      <c r="Y281" s="606"/>
      <c r="Z281" s="620"/>
      <c r="AA281" s="625"/>
      <c r="AB281" s="625"/>
      <c r="AC281" s="625"/>
      <c r="AD281" s="626"/>
    </row>
    <row r="282" ht="24.75" customHeight="1">
      <c r="A282" s="608">
        <v>137.0</v>
      </c>
      <c r="B282" s="617" t="s">
        <v>1101</v>
      </c>
      <c r="C282" s="617" t="s">
        <v>181</v>
      </c>
      <c r="D282" s="617" t="s">
        <v>35</v>
      </c>
      <c r="E282" s="617" t="s">
        <v>1101</v>
      </c>
      <c r="F282" s="142"/>
      <c r="G282" s="625"/>
      <c r="H282" s="609" t="str">
        <f>H280+F281</f>
        <v>52534.43</v>
      </c>
      <c r="I282" s="637">
        <v>449.024</v>
      </c>
      <c r="J282" s="616">
        <v>74.0</v>
      </c>
      <c r="K282" s="638" t="str">
        <f>F281+F283</f>
        <v>755</v>
      </c>
      <c r="L282" s="639" t="str">
        <f>K282/2</f>
        <v>377.5</v>
      </c>
      <c r="M282" s="617">
        <v>185.0</v>
      </c>
      <c r="N282" s="617">
        <v>210.0</v>
      </c>
      <c r="O282" s="617">
        <v>395.0</v>
      </c>
      <c r="P282" s="617">
        <v>189.0</v>
      </c>
      <c r="Q282" s="617">
        <v>201.0</v>
      </c>
      <c r="R282" s="617">
        <v>390.0</v>
      </c>
      <c r="S282" s="617" t="s">
        <v>1564</v>
      </c>
      <c r="T282" s="617" t="s">
        <v>1565</v>
      </c>
      <c r="U282" s="637">
        <v>565418.739</v>
      </c>
      <c r="V282" s="637">
        <v>2659117.205</v>
      </c>
      <c r="W282" s="616"/>
      <c r="X282" s="138" t="s">
        <v>1557</v>
      </c>
      <c r="Y282" s="138" t="s">
        <v>1423</v>
      </c>
      <c r="Z282" s="620" t="s">
        <v>31</v>
      </c>
      <c r="AA282" s="625"/>
      <c r="AB282" s="625"/>
      <c r="AC282" s="625"/>
      <c r="AD282" s="626"/>
    </row>
    <row r="283" ht="24.75" customHeight="1">
      <c r="A283" s="598"/>
      <c r="B283" s="617"/>
      <c r="C283" s="617"/>
      <c r="D283" s="617"/>
      <c r="E283" s="138"/>
      <c r="F283" s="137" t="str">
        <f>345+18</f>
        <v>363</v>
      </c>
      <c r="G283" s="625"/>
      <c r="H283" s="600"/>
      <c r="I283" s="637"/>
      <c r="J283" s="637"/>
      <c r="K283" s="638"/>
      <c r="L283" s="639"/>
      <c r="M283" s="617"/>
      <c r="N283" s="617"/>
      <c r="O283" s="617"/>
      <c r="P283" s="617"/>
      <c r="Q283" s="617"/>
      <c r="R283" s="617"/>
      <c r="S283" s="617"/>
      <c r="T283" s="617"/>
      <c r="U283" s="637"/>
      <c r="V283" s="637"/>
      <c r="W283" s="619" t="s">
        <v>1566</v>
      </c>
      <c r="X283" s="606"/>
      <c r="Y283" s="606"/>
      <c r="Z283" s="620"/>
      <c r="AA283" s="625"/>
      <c r="AB283" s="625"/>
      <c r="AC283" s="625"/>
      <c r="AD283" s="626"/>
    </row>
    <row r="284" ht="24.75" customHeight="1">
      <c r="A284" s="608">
        <v>138.0</v>
      </c>
      <c r="B284" s="617" t="s">
        <v>1101</v>
      </c>
      <c r="C284" s="617" t="s">
        <v>182</v>
      </c>
      <c r="D284" s="617" t="s">
        <v>33</v>
      </c>
      <c r="E284" s="138" t="s">
        <v>1101</v>
      </c>
      <c r="F284" s="137"/>
      <c r="G284" s="625"/>
      <c r="H284" s="609" t="str">
        <f>H282+F283</f>
        <v>52897.43</v>
      </c>
      <c r="I284" s="637">
        <v>445.864</v>
      </c>
      <c r="J284" s="616">
        <v>72.5</v>
      </c>
      <c r="K284" s="638" t="str">
        <f>F283+F285</f>
        <v>742</v>
      </c>
      <c r="L284" s="639" t="str">
        <f>K284/2</f>
        <v>371.0</v>
      </c>
      <c r="M284" s="617">
        <v>154.0</v>
      </c>
      <c r="N284" s="617">
        <v>199.0</v>
      </c>
      <c r="O284" s="617">
        <v>353.0</v>
      </c>
      <c r="P284" s="617">
        <v>163.0</v>
      </c>
      <c r="Q284" s="617">
        <v>196.0</v>
      </c>
      <c r="R284" s="617">
        <v>359.0</v>
      </c>
      <c r="S284" s="617" t="s">
        <v>1567</v>
      </c>
      <c r="T284" s="617" t="s">
        <v>1568</v>
      </c>
      <c r="U284" s="617">
        <v>565664.994</v>
      </c>
      <c r="V284" s="617">
        <v>2658850.504</v>
      </c>
      <c r="W284" s="616"/>
      <c r="X284" s="138" t="s">
        <v>1557</v>
      </c>
      <c r="Y284" s="138" t="s">
        <v>1423</v>
      </c>
      <c r="Z284" s="620" t="s">
        <v>31</v>
      </c>
      <c r="AA284" s="625"/>
      <c r="AB284" s="625"/>
      <c r="AC284" s="625"/>
      <c r="AD284" s="626"/>
    </row>
    <row r="285" ht="24.75" customHeight="1">
      <c r="A285" s="598"/>
      <c r="B285" s="617"/>
      <c r="C285" s="617"/>
      <c r="D285" s="617"/>
      <c r="E285" s="138"/>
      <c r="F285" s="137" t="str">
        <f>397-18</f>
        <v>379</v>
      </c>
      <c r="G285" s="625"/>
      <c r="H285" s="600"/>
      <c r="I285" s="637"/>
      <c r="J285" s="637"/>
      <c r="K285" s="638"/>
      <c r="L285" s="639"/>
      <c r="M285" s="617"/>
      <c r="N285" s="617"/>
      <c r="O285" s="617"/>
      <c r="P285" s="617"/>
      <c r="Q285" s="617"/>
      <c r="R285" s="617"/>
      <c r="S285" s="617"/>
      <c r="T285" s="617"/>
      <c r="U285" s="637"/>
      <c r="V285" s="637"/>
      <c r="W285" s="619" t="s">
        <v>1569</v>
      </c>
      <c r="X285" s="606"/>
      <c r="Y285" s="606"/>
      <c r="Z285" s="620"/>
      <c r="AA285" s="625"/>
      <c r="AB285" s="625"/>
      <c r="AC285" s="625"/>
      <c r="AD285" s="626"/>
    </row>
    <row r="286" ht="24.75" customHeight="1">
      <c r="A286" s="608">
        <v>139.0</v>
      </c>
      <c r="B286" s="617" t="s">
        <v>1570</v>
      </c>
      <c r="C286" s="617" t="s">
        <v>183</v>
      </c>
      <c r="D286" s="617" t="s">
        <v>9</v>
      </c>
      <c r="E286" s="617" t="s">
        <v>1571</v>
      </c>
      <c r="F286" s="142"/>
      <c r="G286" s="636" t="str">
        <f>SUM(F281:F285)</f>
        <v>1134</v>
      </c>
      <c r="H286" s="609" t="str">
        <f>H284+F285</f>
        <v>53276.43</v>
      </c>
      <c r="I286" s="637">
        <v>444.125</v>
      </c>
      <c r="J286" s="138">
        <v>70.72</v>
      </c>
      <c r="K286" s="638" t="str">
        <f>F285+F287</f>
        <v>605</v>
      </c>
      <c r="L286" s="639" t="str">
        <f>K286/2</f>
        <v>302.5</v>
      </c>
      <c r="M286" s="617">
        <v>180.0</v>
      </c>
      <c r="N286" s="617">
        <v>-12.0</v>
      </c>
      <c r="O286" s="617">
        <v>168.0</v>
      </c>
      <c r="P286" s="617">
        <v>183.0</v>
      </c>
      <c r="Q286" s="617">
        <v>57.0</v>
      </c>
      <c r="R286" s="617">
        <v>240.0</v>
      </c>
      <c r="S286" s="617" t="s">
        <v>1572</v>
      </c>
      <c r="T286" s="617" t="s">
        <v>1573</v>
      </c>
      <c r="U286" s="637">
        <v>565921.935</v>
      </c>
      <c r="V286" s="637">
        <v>2658572.231</v>
      </c>
      <c r="W286" s="616"/>
      <c r="X286" s="138" t="s">
        <v>1557</v>
      </c>
      <c r="Y286" s="138" t="s">
        <v>1423</v>
      </c>
      <c r="Z286" s="620" t="s">
        <v>31</v>
      </c>
      <c r="AA286" s="625"/>
      <c r="AB286" s="625"/>
      <c r="AC286" s="625"/>
      <c r="AD286" s="626"/>
    </row>
    <row r="287" ht="12.75" customHeight="1">
      <c r="A287" s="598"/>
      <c r="B287" s="617"/>
      <c r="C287" s="617"/>
      <c r="D287" s="617"/>
      <c r="E287" s="617"/>
      <c r="F287" s="142">
        <v>226.0</v>
      </c>
      <c r="G287" s="625"/>
      <c r="H287" s="600"/>
      <c r="I287" s="637"/>
      <c r="J287" s="637"/>
      <c r="K287" s="638"/>
      <c r="L287" s="639"/>
      <c r="M287" s="617"/>
      <c r="N287" s="617"/>
      <c r="O287" s="617"/>
      <c r="P287" s="617"/>
      <c r="Q287" s="617"/>
      <c r="R287" s="617"/>
      <c r="S287" s="617"/>
      <c r="T287" s="617"/>
      <c r="U287" s="637"/>
      <c r="V287" s="637"/>
      <c r="W287" s="623" t="s">
        <v>1574</v>
      </c>
      <c r="X287" s="606"/>
      <c r="Y287" s="606"/>
      <c r="Z287" s="620"/>
      <c r="AA287" s="625"/>
      <c r="AB287" s="625"/>
      <c r="AC287" s="625"/>
      <c r="AD287" s="626"/>
    </row>
    <row r="288" ht="24.75" customHeight="1">
      <c r="A288" s="608">
        <v>140.0</v>
      </c>
      <c r="B288" s="617" t="s">
        <v>1575</v>
      </c>
      <c r="C288" s="617" t="s">
        <v>184</v>
      </c>
      <c r="D288" s="617" t="s">
        <v>170</v>
      </c>
      <c r="E288" s="617" t="s">
        <v>1576</v>
      </c>
      <c r="F288" s="142"/>
      <c r="G288" s="636" t="str">
        <f>F287</f>
        <v>226</v>
      </c>
      <c r="H288" s="609" t="str">
        <f>H286+F287</f>
        <v>53502.43</v>
      </c>
      <c r="I288" s="637">
        <v>445.949</v>
      </c>
      <c r="J288" s="637">
        <v>79.72</v>
      </c>
      <c r="K288" s="638" t="str">
        <f>F287+F289</f>
        <v>725</v>
      </c>
      <c r="L288" s="639" t="str">
        <f>K288/2</f>
        <v>362.5</v>
      </c>
      <c r="M288" s="617">
        <v>238.0</v>
      </c>
      <c r="N288" s="617">
        <v>237.0</v>
      </c>
      <c r="O288" s="617">
        <v>475.0</v>
      </c>
      <c r="P288" s="617">
        <v>169.0</v>
      </c>
      <c r="Q288" s="617">
        <v>240.0</v>
      </c>
      <c r="R288" s="617">
        <v>409.0</v>
      </c>
      <c r="S288" s="617" t="s">
        <v>1577</v>
      </c>
      <c r="T288" s="617" t="s">
        <v>1578</v>
      </c>
      <c r="U288" s="637">
        <v>566147.58</v>
      </c>
      <c r="V288" s="637">
        <v>2658558.659</v>
      </c>
      <c r="W288" s="616"/>
      <c r="X288" s="138" t="s">
        <v>1557</v>
      </c>
      <c r="Y288" s="138" t="s">
        <v>1423</v>
      </c>
      <c r="Z288" s="620" t="s">
        <v>31</v>
      </c>
      <c r="AA288" s="625"/>
      <c r="AB288" s="625"/>
      <c r="AC288" s="625"/>
      <c r="AD288" s="626"/>
    </row>
    <row r="289" ht="24.75" customHeight="1">
      <c r="A289" s="598"/>
      <c r="B289" s="617"/>
      <c r="C289" s="617"/>
      <c r="D289" s="617"/>
      <c r="E289" s="617"/>
      <c r="F289" s="142">
        <v>499.0</v>
      </c>
      <c r="G289" s="625"/>
      <c r="H289" s="600"/>
      <c r="I289" s="637"/>
      <c r="J289" s="637"/>
      <c r="K289" s="638"/>
      <c r="L289" s="639"/>
      <c r="M289" s="617"/>
      <c r="N289" s="617"/>
      <c r="O289" s="617"/>
      <c r="P289" s="617"/>
      <c r="Q289" s="617"/>
      <c r="R289" s="617"/>
      <c r="S289" s="617"/>
      <c r="T289" s="617"/>
      <c r="U289" s="637"/>
      <c r="V289" s="637"/>
      <c r="W289" s="619" t="s">
        <v>1579</v>
      </c>
      <c r="X289" s="606"/>
      <c r="Y289" s="606"/>
      <c r="Z289" s="620"/>
      <c r="AA289" s="625"/>
      <c r="AB289" s="625"/>
      <c r="AC289" s="625"/>
      <c r="AD289" s="626"/>
    </row>
    <row r="290" ht="24.75" customHeight="1">
      <c r="A290" s="608">
        <v>141.0</v>
      </c>
      <c r="B290" s="617" t="s">
        <v>1101</v>
      </c>
      <c r="C290" s="617" t="s">
        <v>187</v>
      </c>
      <c r="D290" s="617" t="s">
        <v>167</v>
      </c>
      <c r="E290" s="617" t="s">
        <v>1101</v>
      </c>
      <c r="F290" s="142"/>
      <c r="G290" s="636" t="str">
        <f>F289</f>
        <v>499</v>
      </c>
      <c r="H290" s="609" t="str">
        <f>H288+F289</f>
        <v>54001.43</v>
      </c>
      <c r="I290" s="637">
        <v>449.79</v>
      </c>
      <c r="J290" s="616">
        <v>79.72</v>
      </c>
      <c r="K290" s="638" t="str">
        <f>F289+F291</f>
        <v>945</v>
      </c>
      <c r="L290" s="639" t="str">
        <f>K290/2</f>
        <v>472.5</v>
      </c>
      <c r="M290" s="617">
        <v>264.0</v>
      </c>
      <c r="N290" s="617">
        <v>246.0</v>
      </c>
      <c r="O290" s="617">
        <v>510.0</v>
      </c>
      <c r="P290" s="617">
        <v>262.0</v>
      </c>
      <c r="Q290" s="617">
        <v>240.0</v>
      </c>
      <c r="R290" s="617">
        <v>502.0</v>
      </c>
      <c r="S290" s="617" t="s">
        <v>1580</v>
      </c>
      <c r="T290" s="617" t="s">
        <v>1581</v>
      </c>
      <c r="U290" s="637">
        <v>566596.71</v>
      </c>
      <c r="V290" s="637">
        <v>2658341.213</v>
      </c>
      <c r="W290" s="616"/>
      <c r="X290" s="138" t="s">
        <v>1582</v>
      </c>
      <c r="Y290" s="138" t="s">
        <v>1423</v>
      </c>
      <c r="Z290" s="620" t="s">
        <v>31</v>
      </c>
      <c r="AA290" s="625"/>
      <c r="AB290" s="625"/>
      <c r="AC290" s="625"/>
      <c r="AD290" s="626"/>
    </row>
    <row r="291" ht="24.75" customHeight="1">
      <c r="A291" s="598"/>
      <c r="B291" s="617"/>
      <c r="C291" s="617"/>
      <c r="D291" s="617"/>
      <c r="E291" s="617"/>
      <c r="F291" s="142">
        <v>446.0</v>
      </c>
      <c r="G291" s="625"/>
      <c r="H291" s="600"/>
      <c r="I291" s="637"/>
      <c r="J291" s="637"/>
      <c r="K291" s="638"/>
      <c r="L291" s="639"/>
      <c r="M291" s="617"/>
      <c r="N291" s="617"/>
      <c r="O291" s="617"/>
      <c r="P291" s="617"/>
      <c r="Q291" s="617"/>
      <c r="R291" s="617"/>
      <c r="S291" s="617"/>
      <c r="T291" s="617"/>
      <c r="U291" s="637"/>
      <c r="V291" s="637"/>
      <c r="W291" s="619" t="s">
        <v>1583</v>
      </c>
      <c r="X291" s="606"/>
      <c r="Y291" s="606"/>
      <c r="Z291" s="620"/>
      <c r="AA291" s="625"/>
      <c r="AB291" s="625"/>
      <c r="AC291" s="625"/>
      <c r="AD291" s="626"/>
    </row>
    <row r="292" ht="24.75" customHeight="1">
      <c r="A292" s="608">
        <v>142.0</v>
      </c>
      <c r="B292" s="617" t="s">
        <v>1101</v>
      </c>
      <c r="C292" s="617" t="s">
        <v>188</v>
      </c>
      <c r="D292" s="617" t="s">
        <v>35</v>
      </c>
      <c r="E292" s="617" t="s">
        <v>1101</v>
      </c>
      <c r="F292" s="142"/>
      <c r="G292" s="625"/>
      <c r="H292" s="609" t="str">
        <f>H290+F291</f>
        <v>54447.43</v>
      </c>
      <c r="I292" s="637">
        <v>452.46</v>
      </c>
      <c r="J292" s="616">
        <v>74.0</v>
      </c>
      <c r="K292" s="638" t="str">
        <f>F291+F293</f>
        <v>840</v>
      </c>
      <c r="L292" s="639" t="str">
        <f>K292/2</f>
        <v>420.0</v>
      </c>
      <c r="M292" s="617">
        <v>201.0</v>
      </c>
      <c r="N292" s="617">
        <v>207.0</v>
      </c>
      <c r="O292" s="617">
        <v>408.0</v>
      </c>
      <c r="P292" s="617">
        <v>208.0</v>
      </c>
      <c r="Q292" s="617">
        <v>204.0</v>
      </c>
      <c r="R292" s="617">
        <v>412.0</v>
      </c>
      <c r="S292" s="617" t="s">
        <v>1584</v>
      </c>
      <c r="T292" s="617" t="s">
        <v>1585</v>
      </c>
      <c r="U292" s="637">
        <v>566998.138</v>
      </c>
      <c r="V292" s="637">
        <v>2658146.863</v>
      </c>
      <c r="W292" s="616"/>
      <c r="X292" s="138" t="s">
        <v>1582</v>
      </c>
      <c r="Y292" s="138" t="s">
        <v>1423</v>
      </c>
      <c r="Z292" s="620" t="s">
        <v>31</v>
      </c>
      <c r="AA292" s="625"/>
      <c r="AB292" s="625"/>
      <c r="AC292" s="625"/>
      <c r="AD292" s="626"/>
    </row>
    <row r="293" ht="24.75" customHeight="1">
      <c r="A293" s="598"/>
      <c r="B293" s="617"/>
      <c r="C293" s="617"/>
      <c r="D293" s="617"/>
      <c r="E293" s="617"/>
      <c r="F293" s="142">
        <v>394.0</v>
      </c>
      <c r="G293" s="625"/>
      <c r="H293" s="600"/>
      <c r="I293" s="637"/>
      <c r="J293" s="637"/>
      <c r="K293" s="638"/>
      <c r="L293" s="639"/>
      <c r="M293" s="617"/>
      <c r="N293" s="617"/>
      <c r="O293" s="617"/>
      <c r="P293" s="617"/>
      <c r="Q293" s="617"/>
      <c r="R293" s="617"/>
      <c r="S293" s="617"/>
      <c r="T293" s="617"/>
      <c r="U293" s="637"/>
      <c r="V293" s="637"/>
      <c r="W293" s="619" t="s">
        <v>1586</v>
      </c>
      <c r="X293" s="606"/>
      <c r="Y293" s="606"/>
      <c r="Z293" s="620"/>
      <c r="AA293" s="625"/>
      <c r="AB293" s="625"/>
      <c r="AC293" s="625"/>
      <c r="AD293" s="626"/>
    </row>
    <row r="294" ht="24.75" customHeight="1">
      <c r="A294" s="608">
        <v>143.0</v>
      </c>
      <c r="B294" s="617" t="s">
        <v>1101</v>
      </c>
      <c r="C294" s="617" t="s">
        <v>189</v>
      </c>
      <c r="D294" s="617" t="s">
        <v>35</v>
      </c>
      <c r="E294" s="617" t="s">
        <v>1101</v>
      </c>
      <c r="F294" s="142"/>
      <c r="G294" s="625"/>
      <c r="H294" s="609" t="str">
        <f>H292+F293</f>
        <v>54841.43</v>
      </c>
      <c r="I294" s="637">
        <v>450.685</v>
      </c>
      <c r="J294" s="616">
        <v>74.0</v>
      </c>
      <c r="K294" s="638" t="str">
        <f>F293+F295</f>
        <v>785</v>
      </c>
      <c r="L294" s="639" t="str">
        <f>K294/2</f>
        <v>392.5</v>
      </c>
      <c r="M294" s="617">
        <v>188.0</v>
      </c>
      <c r="N294" s="617">
        <v>218.0</v>
      </c>
      <c r="O294" s="617">
        <v>406.0</v>
      </c>
      <c r="P294" s="617">
        <v>191.0</v>
      </c>
      <c r="Q294" s="617">
        <v>212.0</v>
      </c>
      <c r="R294" s="617">
        <v>403.0</v>
      </c>
      <c r="S294" s="617" t="s">
        <v>1587</v>
      </c>
      <c r="T294" s="617" t="s">
        <v>1588</v>
      </c>
      <c r="U294" s="637">
        <v>567352.762</v>
      </c>
      <c r="V294" s="637">
        <v>2657975.172</v>
      </c>
      <c r="W294" s="616"/>
      <c r="X294" s="138" t="s">
        <v>1589</v>
      </c>
      <c r="Y294" s="138" t="s">
        <v>1423</v>
      </c>
      <c r="Z294" s="620" t="s">
        <v>31</v>
      </c>
      <c r="AA294" s="625"/>
      <c r="AB294" s="625"/>
      <c r="AC294" s="625"/>
      <c r="AD294" s="626"/>
    </row>
    <row r="295" ht="24.75" customHeight="1">
      <c r="A295" s="598"/>
      <c r="B295" s="617"/>
      <c r="C295" s="617"/>
      <c r="D295" s="617"/>
      <c r="E295" s="617"/>
      <c r="F295" s="142">
        <v>391.0</v>
      </c>
      <c r="G295" s="625"/>
      <c r="H295" s="600"/>
      <c r="I295" s="637"/>
      <c r="J295" s="637"/>
      <c r="K295" s="638"/>
      <c r="L295" s="639"/>
      <c r="M295" s="617"/>
      <c r="N295" s="617"/>
      <c r="O295" s="617"/>
      <c r="P295" s="617"/>
      <c r="Q295" s="617"/>
      <c r="R295" s="617"/>
      <c r="S295" s="617"/>
      <c r="T295" s="617"/>
      <c r="U295" s="637"/>
      <c r="V295" s="637"/>
      <c r="W295" s="619" t="s">
        <v>1590</v>
      </c>
      <c r="X295" s="606"/>
      <c r="Y295" s="606"/>
      <c r="Z295" s="620"/>
      <c r="AA295" s="625"/>
      <c r="AB295" s="625"/>
      <c r="AC295" s="625"/>
      <c r="AD295" s="626"/>
    </row>
    <row r="296" ht="24.75" customHeight="1">
      <c r="A296" s="608">
        <v>144.0</v>
      </c>
      <c r="B296" s="617" t="s">
        <v>1101</v>
      </c>
      <c r="C296" s="617" t="s">
        <v>190</v>
      </c>
      <c r="D296" s="617" t="s">
        <v>33</v>
      </c>
      <c r="E296" s="617" t="s">
        <v>1101</v>
      </c>
      <c r="F296" s="142"/>
      <c r="G296" s="625"/>
      <c r="H296" s="609" t="str">
        <f>H294+F295</f>
        <v>55232.43</v>
      </c>
      <c r="I296" s="637">
        <v>447.98</v>
      </c>
      <c r="J296" s="616">
        <v>72.5</v>
      </c>
      <c r="K296" s="638" t="str">
        <f>F295+F297</f>
        <v>800</v>
      </c>
      <c r="L296" s="639" t="str">
        <f>K296/2</f>
        <v>400.0</v>
      </c>
      <c r="M296" s="617">
        <v>173.0</v>
      </c>
      <c r="N296" s="617">
        <v>210.0</v>
      </c>
      <c r="O296" s="617">
        <v>383.0</v>
      </c>
      <c r="P296" s="617">
        <v>180.0</v>
      </c>
      <c r="Q296" s="617">
        <v>209.0</v>
      </c>
      <c r="R296" s="617">
        <v>389.0</v>
      </c>
      <c r="S296" s="617" t="s">
        <v>1591</v>
      </c>
      <c r="T296" s="617" t="s">
        <v>1592</v>
      </c>
      <c r="U296" s="637">
        <v>567704.686</v>
      </c>
      <c r="V296" s="637">
        <v>2657804.789</v>
      </c>
      <c r="W296" s="616"/>
      <c r="X296" s="138" t="s">
        <v>1589</v>
      </c>
      <c r="Y296" s="138" t="s">
        <v>1423</v>
      </c>
      <c r="Z296" s="620" t="s">
        <v>31</v>
      </c>
      <c r="AA296" s="625"/>
      <c r="AB296" s="625"/>
      <c r="AC296" s="625"/>
      <c r="AD296" s="626"/>
    </row>
    <row r="297" ht="24.75" customHeight="1">
      <c r="A297" s="598"/>
      <c r="B297" s="617"/>
      <c r="C297" s="617"/>
      <c r="D297" s="617"/>
      <c r="E297" s="617"/>
      <c r="F297" s="142">
        <v>409.0</v>
      </c>
      <c r="G297" s="625"/>
      <c r="H297" s="600"/>
      <c r="I297" s="637"/>
      <c r="J297" s="637"/>
      <c r="K297" s="638"/>
      <c r="L297" s="639"/>
      <c r="M297" s="617"/>
      <c r="N297" s="617"/>
      <c r="O297" s="617"/>
      <c r="P297" s="617"/>
      <c r="Q297" s="617"/>
      <c r="R297" s="617"/>
      <c r="S297" s="617"/>
      <c r="T297" s="617"/>
      <c r="U297" s="637"/>
      <c r="V297" s="637"/>
      <c r="W297" s="619" t="s">
        <v>1593</v>
      </c>
      <c r="X297" s="606"/>
      <c r="Y297" s="606"/>
      <c r="Z297" s="620"/>
      <c r="AA297" s="625"/>
      <c r="AB297" s="625"/>
      <c r="AC297" s="625"/>
      <c r="AD297" s="626"/>
    </row>
    <row r="298" ht="24.75" customHeight="1">
      <c r="A298" s="608">
        <v>145.0</v>
      </c>
      <c r="B298" s="617" t="s">
        <v>1101</v>
      </c>
      <c r="C298" s="617" t="s">
        <v>191</v>
      </c>
      <c r="D298" s="617" t="s">
        <v>35</v>
      </c>
      <c r="E298" s="617" t="s">
        <v>1101</v>
      </c>
      <c r="F298" s="142"/>
      <c r="G298" s="625"/>
      <c r="H298" s="609" t="str">
        <f>H296+F297</f>
        <v>55641.43</v>
      </c>
      <c r="I298" s="637">
        <v>445.435</v>
      </c>
      <c r="J298" s="616">
        <v>74.0</v>
      </c>
      <c r="K298" s="638" t="str">
        <f>F297+F299</f>
        <v>788</v>
      </c>
      <c r="L298" s="639" t="str">
        <f>K298/2</f>
        <v>394.0</v>
      </c>
      <c r="M298" s="617">
        <v>199.0</v>
      </c>
      <c r="N298" s="617">
        <v>187.0</v>
      </c>
      <c r="O298" s="617">
        <v>386.0</v>
      </c>
      <c r="P298" s="617">
        <v>201.0</v>
      </c>
      <c r="Q298" s="617">
        <v>188.0</v>
      </c>
      <c r="R298" s="617">
        <v>389.0</v>
      </c>
      <c r="S298" s="617" t="s">
        <v>1594</v>
      </c>
      <c r="T298" s="617" t="s">
        <v>1595</v>
      </c>
      <c r="U298" s="637">
        <v>568072.811</v>
      </c>
      <c r="V298" s="637">
        <v>2657626.562</v>
      </c>
      <c r="W298" s="616"/>
      <c r="X298" s="138" t="s">
        <v>1589</v>
      </c>
      <c r="Y298" s="138" t="s">
        <v>1423</v>
      </c>
      <c r="Z298" s="620" t="s">
        <v>31</v>
      </c>
      <c r="AA298" s="625"/>
      <c r="AB298" s="625"/>
      <c r="AC298" s="625"/>
      <c r="AD298" s="626"/>
    </row>
    <row r="299" ht="24.75" customHeight="1">
      <c r="A299" s="598"/>
      <c r="B299" s="617"/>
      <c r="C299" s="617"/>
      <c r="D299" s="617"/>
      <c r="E299" s="617"/>
      <c r="F299" s="142">
        <v>379.0</v>
      </c>
      <c r="G299" s="625"/>
      <c r="H299" s="600"/>
      <c r="I299" s="637"/>
      <c r="J299" s="637"/>
      <c r="K299" s="638"/>
      <c r="L299" s="639"/>
      <c r="M299" s="617"/>
      <c r="N299" s="617"/>
      <c r="O299" s="617"/>
      <c r="P299" s="617"/>
      <c r="Q299" s="617"/>
      <c r="R299" s="617"/>
      <c r="S299" s="617"/>
      <c r="T299" s="617"/>
      <c r="U299" s="637"/>
      <c r="V299" s="637"/>
      <c r="W299" s="619" t="s">
        <v>1596</v>
      </c>
      <c r="X299" s="606"/>
      <c r="Y299" s="606"/>
      <c r="Z299" s="620"/>
      <c r="AA299" s="625"/>
      <c r="AB299" s="625"/>
      <c r="AC299" s="625"/>
      <c r="AD299" s="626"/>
    </row>
    <row r="300" ht="24.75" customHeight="1">
      <c r="A300" s="608">
        <v>146.0</v>
      </c>
      <c r="B300" s="617" t="s">
        <v>1101</v>
      </c>
      <c r="C300" s="617" t="s">
        <v>192</v>
      </c>
      <c r="D300" s="617" t="s">
        <v>33</v>
      </c>
      <c r="E300" s="617" t="s">
        <v>1101</v>
      </c>
      <c r="F300" s="142"/>
      <c r="G300" s="625"/>
      <c r="H300" s="609" t="str">
        <f>H298+F299</f>
        <v>56020.43</v>
      </c>
      <c r="I300" s="637">
        <v>447.45</v>
      </c>
      <c r="J300" s="616">
        <v>72.5</v>
      </c>
      <c r="K300" s="638" t="str">
        <f>F299+F301</f>
        <v>743</v>
      </c>
      <c r="L300" s="639" t="str">
        <f>K300/2</f>
        <v>371.5</v>
      </c>
      <c r="M300" s="617">
        <v>193.0</v>
      </c>
      <c r="N300" s="617">
        <v>209.0</v>
      </c>
      <c r="O300" s="617">
        <v>402.0</v>
      </c>
      <c r="P300" s="617">
        <v>192.0</v>
      </c>
      <c r="Q300" s="617">
        <v>201.0</v>
      </c>
      <c r="R300" s="617">
        <v>393.0</v>
      </c>
      <c r="S300" s="617" t="s">
        <v>1597</v>
      </c>
      <c r="T300" s="617" t="s">
        <v>1598</v>
      </c>
      <c r="U300" s="637">
        <v>568413.934</v>
      </c>
      <c r="V300" s="637">
        <v>2657461.407</v>
      </c>
      <c r="W300" s="616"/>
      <c r="X300" s="138" t="s">
        <v>1589</v>
      </c>
      <c r="Y300" s="138" t="s">
        <v>1423</v>
      </c>
      <c r="Z300" s="620" t="s">
        <v>31</v>
      </c>
      <c r="AA300" s="625"/>
      <c r="AB300" s="625"/>
      <c r="AC300" s="625"/>
      <c r="AD300" s="626"/>
    </row>
    <row r="301" ht="24.75" customHeight="1">
      <c r="A301" s="598"/>
      <c r="B301" s="617"/>
      <c r="C301" s="617"/>
      <c r="D301" s="617"/>
      <c r="E301" s="617"/>
      <c r="F301" s="142">
        <v>364.0</v>
      </c>
      <c r="G301" s="625"/>
      <c r="H301" s="600"/>
      <c r="I301" s="637"/>
      <c r="J301" s="637"/>
      <c r="K301" s="638"/>
      <c r="L301" s="639"/>
      <c r="M301" s="617"/>
      <c r="N301" s="617"/>
      <c r="O301" s="617"/>
      <c r="P301" s="617"/>
      <c r="Q301" s="617"/>
      <c r="R301" s="617"/>
      <c r="S301" s="617"/>
      <c r="T301" s="617"/>
      <c r="U301" s="637"/>
      <c r="V301" s="637"/>
      <c r="W301" s="619" t="s">
        <v>1599</v>
      </c>
      <c r="X301" s="606"/>
      <c r="Y301" s="606"/>
      <c r="Z301" s="620"/>
      <c r="AA301" s="625"/>
      <c r="AB301" s="625"/>
      <c r="AC301" s="625"/>
      <c r="AD301" s="626"/>
    </row>
    <row r="302" ht="24.75" customHeight="1">
      <c r="A302" s="608">
        <v>147.0</v>
      </c>
      <c r="B302" s="617" t="s">
        <v>1101</v>
      </c>
      <c r="C302" s="617" t="s">
        <v>193</v>
      </c>
      <c r="D302" s="617" t="s">
        <v>11</v>
      </c>
      <c r="E302" s="617" t="s">
        <v>1101</v>
      </c>
      <c r="F302" s="142"/>
      <c r="G302" s="625"/>
      <c r="H302" s="609" t="str">
        <f>H300+F301</f>
        <v>56384.43</v>
      </c>
      <c r="I302" s="637">
        <v>444.336</v>
      </c>
      <c r="J302" s="616">
        <v>71.0</v>
      </c>
      <c r="K302" s="638" t="str">
        <f>F301+F303</f>
        <v>811</v>
      </c>
      <c r="L302" s="639" t="str">
        <f>K302/2</f>
        <v>405.5</v>
      </c>
      <c r="M302" s="617">
        <v>156.0</v>
      </c>
      <c r="N302" s="617">
        <v>187.0</v>
      </c>
      <c r="O302" s="617">
        <v>343.0</v>
      </c>
      <c r="P302" s="617">
        <v>164.0</v>
      </c>
      <c r="Q302" s="617">
        <v>199.0</v>
      </c>
      <c r="R302" s="617">
        <v>363.0</v>
      </c>
      <c r="S302" s="617" t="s">
        <v>1600</v>
      </c>
      <c r="T302" s="617" t="s">
        <v>1601</v>
      </c>
      <c r="U302" s="637">
        <v>568741.557</v>
      </c>
      <c r="V302" s="637">
        <v>2657302.79</v>
      </c>
      <c r="W302" s="616"/>
      <c r="X302" s="138" t="s">
        <v>1589</v>
      </c>
      <c r="Y302" s="138" t="s">
        <v>1423</v>
      </c>
      <c r="Z302" s="620" t="s">
        <v>31</v>
      </c>
      <c r="AA302" s="625"/>
      <c r="AB302" s="625"/>
      <c r="AC302" s="625"/>
      <c r="AD302" s="626"/>
    </row>
    <row r="303" ht="24.75" customHeight="1">
      <c r="A303" s="598"/>
      <c r="B303" s="617"/>
      <c r="C303" s="617"/>
      <c r="D303" s="617"/>
      <c r="E303" s="617"/>
      <c r="F303" s="142">
        <v>447.0</v>
      </c>
      <c r="G303" s="625"/>
      <c r="H303" s="600"/>
      <c r="I303" s="637"/>
      <c r="J303" s="637"/>
      <c r="K303" s="638"/>
      <c r="L303" s="639"/>
      <c r="M303" s="617"/>
      <c r="N303" s="617"/>
      <c r="O303" s="617"/>
      <c r="P303" s="617"/>
      <c r="Q303" s="617"/>
      <c r="R303" s="617"/>
      <c r="S303" s="617"/>
      <c r="T303" s="617"/>
      <c r="U303" s="637"/>
      <c r="V303" s="637"/>
      <c r="W303" s="619" t="s">
        <v>1602</v>
      </c>
      <c r="X303" s="606"/>
      <c r="Y303" s="606"/>
      <c r="Z303" s="620"/>
      <c r="AA303" s="625"/>
      <c r="AB303" s="625"/>
      <c r="AC303" s="625"/>
      <c r="AD303" s="626"/>
    </row>
    <row r="304" ht="24.75" customHeight="1">
      <c r="A304" s="608">
        <v>148.0</v>
      </c>
      <c r="B304" s="617" t="s">
        <v>1603</v>
      </c>
      <c r="C304" s="617" t="s">
        <v>194</v>
      </c>
      <c r="D304" s="617" t="s">
        <v>115</v>
      </c>
      <c r="E304" s="617" t="s">
        <v>1604</v>
      </c>
      <c r="F304" s="142"/>
      <c r="G304" s="636" t="str">
        <f>SUM(F291:F303)</f>
        <v>2830</v>
      </c>
      <c r="H304" s="609" t="str">
        <f>H302+F303</f>
        <v>56831.43</v>
      </c>
      <c r="I304" s="637">
        <v>441.528</v>
      </c>
      <c r="J304" s="616">
        <v>79.72</v>
      </c>
      <c r="K304" s="638" t="str">
        <f>F303+F305</f>
        <v>704</v>
      </c>
      <c r="L304" s="639" t="str">
        <f>K304/2</f>
        <v>352.0</v>
      </c>
      <c r="M304" s="617">
        <v>260.0</v>
      </c>
      <c r="N304" s="617">
        <v>171.0</v>
      </c>
      <c r="O304" s="617">
        <v>431.0</v>
      </c>
      <c r="P304" s="617">
        <v>250.0</v>
      </c>
      <c r="Q304" s="617">
        <v>150.0</v>
      </c>
      <c r="R304" s="617">
        <v>400.0</v>
      </c>
      <c r="S304" s="617" t="s">
        <v>1605</v>
      </c>
      <c r="T304" s="617" t="s">
        <v>1606</v>
      </c>
      <c r="U304" s="637">
        <v>569143.623</v>
      </c>
      <c r="V304" s="637">
        <v>2657108.13</v>
      </c>
      <c r="W304" s="616"/>
      <c r="X304" s="138" t="s">
        <v>1607</v>
      </c>
      <c r="Y304" s="138" t="s">
        <v>1423</v>
      </c>
      <c r="Z304" s="620" t="s">
        <v>31</v>
      </c>
      <c r="AA304" s="625"/>
      <c r="AB304" s="625"/>
      <c r="AC304" s="625"/>
      <c r="AD304" s="626"/>
    </row>
    <row r="305" ht="12.75" customHeight="1">
      <c r="A305" s="598"/>
      <c r="B305" s="617"/>
      <c r="C305" s="617"/>
      <c r="D305" s="617"/>
      <c r="E305" s="617"/>
      <c r="F305" s="142">
        <v>257.0</v>
      </c>
      <c r="G305" s="625"/>
      <c r="H305" s="600"/>
      <c r="I305" s="637"/>
      <c r="J305" s="637"/>
      <c r="K305" s="638"/>
      <c r="L305" s="639"/>
      <c r="M305" s="617"/>
      <c r="N305" s="617"/>
      <c r="O305" s="617"/>
      <c r="P305" s="617"/>
      <c r="Q305" s="617"/>
      <c r="R305" s="617"/>
      <c r="S305" s="617"/>
      <c r="T305" s="617"/>
      <c r="U305" s="637"/>
      <c r="V305" s="637"/>
      <c r="W305" s="623" t="s">
        <v>1608</v>
      </c>
      <c r="X305" s="606"/>
      <c r="Y305" s="606"/>
      <c r="Z305" s="620"/>
      <c r="AA305" s="625"/>
      <c r="AB305" s="625"/>
      <c r="AC305" s="625"/>
      <c r="AD305" s="626"/>
    </row>
    <row r="306" ht="24.75" customHeight="1">
      <c r="A306" s="608">
        <v>149.0</v>
      </c>
      <c r="B306" s="617" t="s">
        <v>1609</v>
      </c>
      <c r="C306" s="617" t="s">
        <v>195</v>
      </c>
      <c r="D306" s="617" t="s">
        <v>186</v>
      </c>
      <c r="E306" s="617" t="s">
        <v>1610</v>
      </c>
      <c r="F306" s="142"/>
      <c r="G306" s="636" t="str">
        <f>F305</f>
        <v>257</v>
      </c>
      <c r="H306" s="609" t="str">
        <f>H304+F305</f>
        <v>57088.43</v>
      </c>
      <c r="I306" s="637">
        <v>443.161</v>
      </c>
      <c r="J306" s="616">
        <v>73.72</v>
      </c>
      <c r="K306" s="638" t="str">
        <f>F305+F307</f>
        <v>489</v>
      </c>
      <c r="L306" s="639" t="str">
        <f>K306/2</f>
        <v>244.5</v>
      </c>
      <c r="M306" s="617">
        <v>86.0</v>
      </c>
      <c r="N306" s="617">
        <v>127.0</v>
      </c>
      <c r="O306" s="617">
        <v>213.0</v>
      </c>
      <c r="P306" s="617">
        <v>108.0</v>
      </c>
      <c r="Q306" s="617">
        <v>123.0</v>
      </c>
      <c r="R306" s="617">
        <v>231.0</v>
      </c>
      <c r="S306" s="617" t="s">
        <v>1611</v>
      </c>
      <c r="T306" s="617" t="s">
        <v>1612</v>
      </c>
      <c r="U306" s="637">
        <v>569399.846</v>
      </c>
      <c r="V306" s="637">
        <v>2657128.691</v>
      </c>
      <c r="W306" s="616"/>
      <c r="X306" s="138" t="s">
        <v>1607</v>
      </c>
      <c r="Y306" s="138" t="s">
        <v>1423</v>
      </c>
      <c r="Z306" s="620" t="s">
        <v>31</v>
      </c>
      <c r="AA306" s="625"/>
      <c r="AB306" s="625"/>
      <c r="AC306" s="625"/>
      <c r="AD306" s="626"/>
    </row>
    <row r="307" ht="24.75" customHeight="1">
      <c r="A307" s="598"/>
      <c r="B307" s="617"/>
      <c r="C307" s="617"/>
      <c r="D307" s="617"/>
      <c r="E307" s="617"/>
      <c r="F307" s="142">
        <v>232.0</v>
      </c>
      <c r="G307" s="625"/>
      <c r="H307" s="600"/>
      <c r="I307" s="637"/>
      <c r="J307" s="637"/>
      <c r="K307" s="638"/>
      <c r="L307" s="639"/>
      <c r="M307" s="617"/>
      <c r="N307" s="617"/>
      <c r="O307" s="617"/>
      <c r="P307" s="617"/>
      <c r="Q307" s="617"/>
      <c r="R307" s="617"/>
      <c r="S307" s="617"/>
      <c r="T307" s="617"/>
      <c r="U307" s="637"/>
      <c r="V307" s="637"/>
      <c r="W307" s="619" t="s">
        <v>1613</v>
      </c>
      <c r="X307" s="606"/>
      <c r="Y307" s="606"/>
      <c r="Z307" s="620"/>
      <c r="AA307" s="625"/>
      <c r="AB307" s="625"/>
      <c r="AC307" s="625"/>
      <c r="AD307" s="626"/>
    </row>
    <row r="308" ht="24.75" customHeight="1">
      <c r="A308" s="608">
        <v>150.0</v>
      </c>
      <c r="B308" s="617" t="s">
        <v>1101</v>
      </c>
      <c r="C308" s="617" t="s">
        <v>196</v>
      </c>
      <c r="D308" s="617" t="s">
        <v>34</v>
      </c>
      <c r="E308" s="617" t="s">
        <v>1101</v>
      </c>
      <c r="F308" s="142"/>
      <c r="G308" s="625"/>
      <c r="H308" s="609" t="str">
        <f>H306+F307</f>
        <v>57320.43</v>
      </c>
      <c r="I308" s="637">
        <v>442.052</v>
      </c>
      <c r="J308" s="616">
        <v>75.5</v>
      </c>
      <c r="K308" s="638" t="str">
        <f>F307+F309</f>
        <v>597</v>
      </c>
      <c r="L308" s="639" t="str">
        <f>K308/2</f>
        <v>298.5</v>
      </c>
      <c r="M308" s="617">
        <v>106.0</v>
      </c>
      <c r="N308" s="617">
        <v>214.0</v>
      </c>
      <c r="O308" s="617">
        <v>320.0</v>
      </c>
      <c r="P308" s="617">
        <v>109.0</v>
      </c>
      <c r="Q308" s="617">
        <v>204.0</v>
      </c>
      <c r="R308" s="617">
        <v>313.0</v>
      </c>
      <c r="S308" s="617" t="s">
        <v>1614</v>
      </c>
      <c r="T308" s="617" t="s">
        <v>1615</v>
      </c>
      <c r="U308" s="637">
        <v>569625.235</v>
      </c>
      <c r="V308" s="637">
        <v>2657073.702</v>
      </c>
      <c r="W308" s="616"/>
      <c r="X308" s="138" t="s">
        <v>1607</v>
      </c>
      <c r="Y308" s="138" t="s">
        <v>1423</v>
      </c>
      <c r="Z308" s="620" t="s">
        <v>31</v>
      </c>
      <c r="AA308" s="625"/>
      <c r="AB308" s="625"/>
      <c r="AC308" s="625"/>
      <c r="AD308" s="626"/>
    </row>
    <row r="309" ht="24.75" customHeight="1">
      <c r="A309" s="598"/>
      <c r="B309" s="617"/>
      <c r="C309" s="617"/>
      <c r="D309" s="617"/>
      <c r="E309" s="617"/>
      <c r="F309" s="142">
        <v>365.0</v>
      </c>
      <c r="G309" s="625"/>
      <c r="H309" s="600"/>
      <c r="I309" s="637"/>
      <c r="J309" s="637"/>
      <c r="K309" s="638"/>
      <c r="L309" s="639"/>
      <c r="M309" s="617"/>
      <c r="N309" s="617"/>
      <c r="O309" s="617"/>
      <c r="P309" s="617"/>
      <c r="Q309" s="617"/>
      <c r="R309" s="617"/>
      <c r="S309" s="617"/>
      <c r="T309" s="617"/>
      <c r="U309" s="637"/>
      <c r="V309" s="637"/>
      <c r="W309" s="619" t="s">
        <v>1616</v>
      </c>
      <c r="X309" s="606"/>
      <c r="Y309" s="606"/>
      <c r="Z309" s="620"/>
      <c r="AA309" s="625"/>
      <c r="AB309" s="625"/>
      <c r="AC309" s="625"/>
      <c r="AD309" s="626"/>
    </row>
    <row r="310" ht="24.75" customHeight="1">
      <c r="A310" s="608">
        <v>151.0</v>
      </c>
      <c r="B310" s="617" t="s">
        <v>1101</v>
      </c>
      <c r="C310" s="617" t="s">
        <v>197</v>
      </c>
      <c r="D310" s="617" t="s">
        <v>15</v>
      </c>
      <c r="E310" s="617" t="s">
        <v>1101</v>
      </c>
      <c r="F310" s="142"/>
      <c r="G310" s="625"/>
      <c r="H310" s="609" t="str">
        <f>H308+F309</f>
        <v>57685.43</v>
      </c>
      <c r="I310" s="637">
        <v>442.805</v>
      </c>
      <c r="J310" s="616">
        <v>69.5</v>
      </c>
      <c r="K310" s="638" t="str">
        <f>F309+F311</f>
        <v>744</v>
      </c>
      <c r="L310" s="639" t="str">
        <f>K310/2</f>
        <v>372.0</v>
      </c>
      <c r="M310" s="617">
        <v>151.0</v>
      </c>
      <c r="N310" s="617">
        <v>134.0</v>
      </c>
      <c r="O310" s="617">
        <v>285.0</v>
      </c>
      <c r="P310" s="617">
        <v>162.0</v>
      </c>
      <c r="Q310" s="617">
        <v>153.0</v>
      </c>
      <c r="R310" s="617">
        <v>315.0</v>
      </c>
      <c r="S310" s="617" t="s">
        <v>1617</v>
      </c>
      <c r="T310" s="617" t="s">
        <v>1618</v>
      </c>
      <c r="U310" s="637">
        <v>569979.835</v>
      </c>
      <c r="V310" s="637">
        <v>2656987.189</v>
      </c>
      <c r="W310" s="616"/>
      <c r="X310" s="138" t="s">
        <v>1607</v>
      </c>
      <c r="Y310" s="138" t="s">
        <v>1423</v>
      </c>
      <c r="Z310" s="620" t="s">
        <v>31</v>
      </c>
      <c r="AA310" s="625"/>
      <c r="AB310" s="625"/>
      <c r="AC310" s="625"/>
      <c r="AD310" s="626"/>
    </row>
    <row r="311" ht="24.75" customHeight="1">
      <c r="A311" s="598"/>
      <c r="B311" s="617"/>
      <c r="C311" s="617"/>
      <c r="D311" s="617"/>
      <c r="E311" s="617"/>
      <c r="F311" s="142">
        <v>379.0</v>
      </c>
      <c r="G311" s="625"/>
      <c r="H311" s="600"/>
      <c r="I311" s="637"/>
      <c r="J311" s="637"/>
      <c r="K311" s="638"/>
      <c r="L311" s="639"/>
      <c r="M311" s="617"/>
      <c r="N311" s="617"/>
      <c r="O311" s="617"/>
      <c r="P311" s="617"/>
      <c r="Q311" s="617"/>
      <c r="R311" s="617"/>
      <c r="S311" s="617"/>
      <c r="T311" s="617"/>
      <c r="U311" s="637"/>
      <c r="V311" s="637"/>
      <c r="W311" s="619" t="s">
        <v>1619</v>
      </c>
      <c r="X311" s="606"/>
      <c r="Y311" s="606"/>
      <c r="Z311" s="620"/>
      <c r="AA311" s="625"/>
      <c r="AB311" s="625"/>
      <c r="AC311" s="625"/>
      <c r="AD311" s="626"/>
    </row>
    <row r="312" ht="24.75" customHeight="1">
      <c r="A312" s="608">
        <v>152.0</v>
      </c>
      <c r="B312" s="617" t="s">
        <v>1101</v>
      </c>
      <c r="C312" s="617" t="s">
        <v>198</v>
      </c>
      <c r="D312" s="617" t="s">
        <v>12</v>
      </c>
      <c r="E312" s="617" t="s">
        <v>1101</v>
      </c>
      <c r="F312" s="142"/>
      <c r="G312" s="625"/>
      <c r="H312" s="609" t="str">
        <f>H310+F311</f>
        <v>58064.43</v>
      </c>
      <c r="I312" s="637">
        <v>443.481</v>
      </c>
      <c r="J312" s="616">
        <v>78.5</v>
      </c>
      <c r="K312" s="638" t="str">
        <f>F311+F313</f>
        <v>819</v>
      </c>
      <c r="L312" s="639" t="str">
        <f>K312/2</f>
        <v>409.5</v>
      </c>
      <c r="M312" s="617">
        <v>246.0</v>
      </c>
      <c r="N312" s="617">
        <v>221.0</v>
      </c>
      <c r="O312" s="617">
        <v>467.0</v>
      </c>
      <c r="P312" s="617">
        <v>227.0</v>
      </c>
      <c r="Q312" s="617">
        <v>221.0</v>
      </c>
      <c r="R312" s="617">
        <v>448.0</v>
      </c>
      <c r="S312" s="617" t="s">
        <v>1620</v>
      </c>
      <c r="T312" s="617" t="s">
        <v>1621</v>
      </c>
      <c r="U312" s="637">
        <v>570348.035</v>
      </c>
      <c r="V312" s="637">
        <v>2656897.357</v>
      </c>
      <c r="W312" s="616"/>
      <c r="X312" s="138" t="s">
        <v>1607</v>
      </c>
      <c r="Y312" s="138" t="s">
        <v>1423</v>
      </c>
      <c r="Z312" s="620" t="s">
        <v>31</v>
      </c>
      <c r="AA312" s="625"/>
      <c r="AB312" s="625"/>
      <c r="AC312" s="625"/>
      <c r="AD312" s="626"/>
    </row>
    <row r="313" ht="24.75" customHeight="1">
      <c r="A313" s="598"/>
      <c r="B313" s="617"/>
      <c r="C313" s="617"/>
      <c r="D313" s="617"/>
      <c r="E313" s="617"/>
      <c r="F313" s="142">
        <v>440.0</v>
      </c>
      <c r="G313" s="625"/>
      <c r="H313" s="600"/>
      <c r="I313" s="637"/>
      <c r="J313" s="637"/>
      <c r="K313" s="638"/>
      <c r="L313" s="639"/>
      <c r="M313" s="617"/>
      <c r="N313" s="617"/>
      <c r="O313" s="617"/>
      <c r="P313" s="617"/>
      <c r="Q313" s="617"/>
      <c r="R313" s="617"/>
      <c r="S313" s="617"/>
      <c r="T313" s="617"/>
      <c r="U313" s="637"/>
      <c r="V313" s="637"/>
      <c r="W313" s="619" t="s">
        <v>1622</v>
      </c>
      <c r="X313" s="606"/>
      <c r="Y313" s="606"/>
      <c r="Z313" s="620"/>
      <c r="AA313" s="625"/>
      <c r="AB313" s="625"/>
      <c r="AC313" s="625"/>
      <c r="AD313" s="626"/>
    </row>
    <row r="314" ht="24.75" customHeight="1">
      <c r="A314" s="608">
        <v>153.0</v>
      </c>
      <c r="B314" s="617" t="s">
        <v>1623</v>
      </c>
      <c r="C314" s="617" t="s">
        <v>199</v>
      </c>
      <c r="D314" s="617" t="s">
        <v>113</v>
      </c>
      <c r="E314" s="617" t="s">
        <v>1624</v>
      </c>
      <c r="F314" s="142"/>
      <c r="G314" s="636" t="str">
        <f>SUM(F307:F313)</f>
        <v>1416</v>
      </c>
      <c r="H314" s="609" t="str">
        <f>H312+F313</f>
        <v>58504.43</v>
      </c>
      <c r="I314" s="637">
        <v>446.279</v>
      </c>
      <c r="J314" s="616">
        <v>73.72</v>
      </c>
      <c r="K314" s="638" t="str">
        <f>F313+F315</f>
        <v>661</v>
      </c>
      <c r="L314" s="639" t="str">
        <f>K314/2</f>
        <v>330.5</v>
      </c>
      <c r="M314" s="617">
        <v>219.0</v>
      </c>
      <c r="N314" s="617">
        <v>155.0</v>
      </c>
      <c r="O314" s="617">
        <v>374.0</v>
      </c>
      <c r="P314" s="617">
        <v>220.0</v>
      </c>
      <c r="Q314" s="617">
        <v>130.0</v>
      </c>
      <c r="R314" s="617">
        <v>350.0</v>
      </c>
      <c r="S314" s="617" t="s">
        <v>1625</v>
      </c>
      <c r="T314" s="617" t="s">
        <v>1626</v>
      </c>
      <c r="U314" s="637">
        <v>570775.331</v>
      </c>
      <c r="V314" s="637">
        <v>2656793.108</v>
      </c>
      <c r="W314" s="616"/>
      <c r="X314" s="138" t="s">
        <v>1627</v>
      </c>
      <c r="Y314" s="138" t="s">
        <v>1423</v>
      </c>
      <c r="Z314" s="620" t="s">
        <v>31</v>
      </c>
      <c r="AA314" s="625"/>
      <c r="AB314" s="625"/>
      <c r="AC314" s="625"/>
      <c r="AD314" s="626"/>
    </row>
    <row r="315" ht="24.75" customHeight="1">
      <c r="A315" s="598"/>
      <c r="B315" s="617"/>
      <c r="C315" s="617"/>
      <c r="D315" s="617"/>
      <c r="E315" s="617"/>
      <c r="F315" s="142">
        <v>221.0</v>
      </c>
      <c r="G315" s="625"/>
      <c r="H315" s="600"/>
      <c r="I315" s="637"/>
      <c r="J315" s="637"/>
      <c r="K315" s="638"/>
      <c r="L315" s="639"/>
      <c r="M315" s="617"/>
      <c r="N315" s="617"/>
      <c r="O315" s="617"/>
      <c r="P315" s="617"/>
      <c r="Q315" s="617"/>
      <c r="R315" s="617"/>
      <c r="S315" s="617"/>
      <c r="T315" s="617"/>
      <c r="U315" s="637"/>
      <c r="V315" s="637"/>
      <c r="W315" s="623" t="s">
        <v>1628</v>
      </c>
      <c r="X315" s="606"/>
      <c r="Y315" s="606"/>
      <c r="Z315" s="620"/>
      <c r="AA315" s="625"/>
      <c r="AB315" s="625"/>
      <c r="AC315" s="625"/>
      <c r="AD315" s="626"/>
    </row>
    <row r="316" ht="24.75" customHeight="1">
      <c r="A316" s="608">
        <v>154.0</v>
      </c>
      <c r="B316" s="617" t="s">
        <v>1629</v>
      </c>
      <c r="C316" s="617" t="s">
        <v>200</v>
      </c>
      <c r="D316" s="617" t="s">
        <v>36</v>
      </c>
      <c r="E316" s="617" t="s">
        <v>1630</v>
      </c>
      <c r="F316" s="617"/>
      <c r="G316" s="142" t="str">
        <f>F315</f>
        <v>221</v>
      </c>
      <c r="H316" s="609" t="str">
        <f>H314+F315</f>
        <v>58725.43</v>
      </c>
      <c r="I316" s="617">
        <v>445.52</v>
      </c>
      <c r="J316" s="138">
        <v>70.72</v>
      </c>
      <c r="K316" s="638" t="str">
        <f>F315+F317</f>
        <v>616</v>
      </c>
      <c r="L316" s="639" t="str">
        <f>K316/2</f>
        <v>308.0</v>
      </c>
      <c r="M316" s="617">
        <v>77.0</v>
      </c>
      <c r="N316" s="617">
        <v>163.0</v>
      </c>
      <c r="O316" s="617" t="str">
        <f>N316+M316</f>
        <v>240</v>
      </c>
      <c r="P316" s="617">
        <v>89.0</v>
      </c>
      <c r="Q316" s="617">
        <v>173.0</v>
      </c>
      <c r="R316" s="617" t="str">
        <f>Q316+P316</f>
        <v>262</v>
      </c>
      <c r="S316" s="617" t="s">
        <v>1631</v>
      </c>
      <c r="T316" s="617" t="s">
        <v>1632</v>
      </c>
      <c r="U316" s="618">
        <v>570996.14</v>
      </c>
      <c r="V316" s="618">
        <v>2656783.42</v>
      </c>
      <c r="W316" s="619"/>
      <c r="X316" s="138" t="s">
        <v>1627</v>
      </c>
      <c r="Y316" s="138" t="s">
        <v>1423</v>
      </c>
      <c r="Z316" s="620" t="s">
        <v>31</v>
      </c>
      <c r="AA316" s="625"/>
      <c r="AB316" s="625"/>
      <c r="AC316" s="625"/>
      <c r="AD316" s="626"/>
    </row>
    <row r="317" ht="12.75" customHeight="1">
      <c r="A317" s="598"/>
      <c r="B317" s="617"/>
      <c r="C317" s="617"/>
      <c r="D317" s="617"/>
      <c r="E317" s="617"/>
      <c r="F317" s="617">
        <v>395.0</v>
      </c>
      <c r="G317" s="617"/>
      <c r="H317" s="600"/>
      <c r="I317" s="617"/>
      <c r="J317" s="617"/>
      <c r="K317" s="616"/>
      <c r="L317" s="616"/>
      <c r="M317" s="617"/>
      <c r="N317" s="617"/>
      <c r="O317" s="617"/>
      <c r="P317" s="617"/>
      <c r="Q317" s="617"/>
      <c r="R317" s="617"/>
      <c r="S317" s="617"/>
      <c r="T317" s="617"/>
      <c r="U317" s="618"/>
      <c r="V317" s="618"/>
      <c r="W317" s="619" t="s">
        <v>1633</v>
      </c>
      <c r="X317" s="606"/>
      <c r="Y317" s="606"/>
      <c r="Z317" s="620"/>
      <c r="AA317" s="625"/>
      <c r="AB317" s="625"/>
      <c r="AC317" s="625"/>
      <c r="AD317" s="626"/>
    </row>
    <row r="318" ht="24.75" customHeight="1">
      <c r="A318" s="608">
        <v>155.0</v>
      </c>
      <c r="B318" s="617" t="s">
        <v>1101</v>
      </c>
      <c r="C318" s="617" t="s">
        <v>203</v>
      </c>
      <c r="D318" s="617" t="s">
        <v>33</v>
      </c>
      <c r="E318" s="617" t="s">
        <v>1101</v>
      </c>
      <c r="F318" s="617"/>
      <c r="G318" s="617"/>
      <c r="H318" s="609" t="str">
        <f>H316+F317</f>
        <v>59120.43</v>
      </c>
      <c r="I318" s="637">
        <v>451.591</v>
      </c>
      <c r="J318" s="616">
        <v>72.5</v>
      </c>
      <c r="K318" s="616" t="str">
        <f>F317+F319</f>
        <v>751</v>
      </c>
      <c r="L318" s="616" t="str">
        <f>K318/2</f>
        <v>375.5</v>
      </c>
      <c r="M318" s="617">
        <v>232.0</v>
      </c>
      <c r="N318" s="617">
        <v>176.0</v>
      </c>
      <c r="O318" s="617" t="str">
        <f>N318+M318</f>
        <v>408</v>
      </c>
      <c r="P318" s="617">
        <v>222.0</v>
      </c>
      <c r="Q318" s="617">
        <v>177.0</v>
      </c>
      <c r="R318" s="617" t="str">
        <f>Q318+P318</f>
        <v>399</v>
      </c>
      <c r="S318" s="617" t="s">
        <v>1634</v>
      </c>
      <c r="T318" s="617" t="s">
        <v>1635</v>
      </c>
      <c r="U318" s="618">
        <v>571354.287</v>
      </c>
      <c r="V318" s="618">
        <v>2656616.808</v>
      </c>
      <c r="W318" s="619"/>
      <c r="X318" s="138" t="s">
        <v>1627</v>
      </c>
      <c r="Y318" s="138" t="s">
        <v>1423</v>
      </c>
      <c r="Z318" s="620" t="s">
        <v>31</v>
      </c>
      <c r="AA318" s="625"/>
      <c r="AB318" s="625"/>
      <c r="AC318" s="625"/>
      <c r="AD318" s="626"/>
    </row>
    <row r="319" ht="24.75" customHeight="1">
      <c r="A319" s="598"/>
      <c r="B319" s="617"/>
      <c r="C319" s="617"/>
      <c r="D319" s="617"/>
      <c r="E319" s="617"/>
      <c r="F319" s="617">
        <v>356.0</v>
      </c>
      <c r="G319" s="617"/>
      <c r="H319" s="600"/>
      <c r="I319" s="617"/>
      <c r="J319" s="617"/>
      <c r="K319" s="616"/>
      <c r="L319" s="616"/>
      <c r="M319" s="617"/>
      <c r="N319" s="617"/>
      <c r="O319" s="617"/>
      <c r="P319" s="617"/>
      <c r="Q319" s="617"/>
      <c r="R319" s="617"/>
      <c r="S319" s="617"/>
      <c r="T319" s="617"/>
      <c r="U319" s="618"/>
      <c r="V319" s="618"/>
      <c r="W319" s="619" t="s">
        <v>1187</v>
      </c>
      <c r="X319" s="606"/>
      <c r="Y319" s="606"/>
      <c r="Z319" s="620"/>
      <c r="AA319" s="625"/>
      <c r="AB319" s="625"/>
      <c r="AC319" s="625"/>
      <c r="AD319" s="626"/>
    </row>
    <row r="320" ht="24.75" customHeight="1">
      <c r="A320" s="608">
        <v>156.0</v>
      </c>
      <c r="B320" s="617" t="s">
        <v>1101</v>
      </c>
      <c r="C320" s="617" t="s">
        <v>204</v>
      </c>
      <c r="D320" s="617" t="s">
        <v>33</v>
      </c>
      <c r="E320" s="617" t="s">
        <v>1101</v>
      </c>
      <c r="F320" s="617"/>
      <c r="G320" s="617"/>
      <c r="H320" s="609" t="str">
        <f>H318+F319</f>
        <v>59476.43</v>
      </c>
      <c r="I320" s="637">
        <v>451.993</v>
      </c>
      <c r="J320" s="616">
        <v>72.5</v>
      </c>
      <c r="K320" s="616" t="str">
        <f>F319+F321</f>
        <v>760</v>
      </c>
      <c r="L320" s="616" t="str">
        <f>K320/2</f>
        <v>380</v>
      </c>
      <c r="M320" s="617">
        <v>181.0</v>
      </c>
      <c r="N320" s="617">
        <v>204.0</v>
      </c>
      <c r="O320" s="617">
        <v>385.0</v>
      </c>
      <c r="P320" s="617">
        <v>180.0</v>
      </c>
      <c r="Q320" s="617">
        <v>204.0</v>
      </c>
      <c r="R320" s="617">
        <v>384.0</v>
      </c>
      <c r="S320" s="617" t="s">
        <v>1636</v>
      </c>
      <c r="T320" s="617" t="s">
        <v>1637</v>
      </c>
      <c r="U320" s="618">
        <v>571677.069</v>
      </c>
      <c r="V320" s="618">
        <v>2656466.649</v>
      </c>
      <c r="W320" s="619"/>
      <c r="X320" s="138" t="s">
        <v>1638</v>
      </c>
      <c r="Y320" s="138" t="s">
        <v>1423</v>
      </c>
      <c r="Z320" s="620" t="s">
        <v>31</v>
      </c>
      <c r="AA320" s="625"/>
      <c r="AB320" s="625"/>
      <c r="AC320" s="625"/>
      <c r="AD320" s="626"/>
    </row>
    <row r="321" ht="12.75" customHeight="1">
      <c r="A321" s="598"/>
      <c r="B321" s="617"/>
      <c r="C321" s="617"/>
      <c r="D321" s="617"/>
      <c r="E321" s="617"/>
      <c r="F321" s="617">
        <v>404.0</v>
      </c>
      <c r="G321" s="617"/>
      <c r="H321" s="600"/>
      <c r="I321" s="617"/>
      <c r="J321" s="617"/>
      <c r="K321" s="616"/>
      <c r="L321" s="616"/>
      <c r="M321" s="617"/>
      <c r="N321" s="617"/>
      <c r="O321" s="617"/>
      <c r="P321" s="617"/>
      <c r="Q321" s="617"/>
      <c r="R321" s="617"/>
      <c r="S321" s="617"/>
      <c r="T321" s="617"/>
      <c r="U321" s="618"/>
      <c r="V321" s="618"/>
      <c r="W321" s="619" t="s">
        <v>1639</v>
      </c>
      <c r="X321" s="606"/>
      <c r="Y321" s="606"/>
      <c r="Z321" s="620"/>
      <c r="AA321" s="625"/>
      <c r="AB321" s="625"/>
      <c r="AC321" s="625"/>
      <c r="AD321" s="626"/>
    </row>
    <row r="322" ht="24.75" customHeight="1">
      <c r="A322" s="608">
        <v>157.0</v>
      </c>
      <c r="B322" s="617" t="s">
        <v>1101</v>
      </c>
      <c r="C322" s="617" t="s">
        <v>205</v>
      </c>
      <c r="D322" s="617" t="s">
        <v>33</v>
      </c>
      <c r="E322" s="617" t="s">
        <v>1101</v>
      </c>
      <c r="F322" s="617"/>
      <c r="G322" s="617"/>
      <c r="H322" s="609" t="str">
        <f>H320+F321</f>
        <v>59880.43</v>
      </c>
      <c r="I322" s="637">
        <v>451.707</v>
      </c>
      <c r="J322" s="616">
        <v>72.5</v>
      </c>
      <c r="K322" s="616" t="str">
        <f>F321+F323</f>
        <v>784</v>
      </c>
      <c r="L322" s="616" t="str">
        <f>K322/2</f>
        <v>392</v>
      </c>
      <c r="M322" s="617">
        <v>201.0</v>
      </c>
      <c r="N322" s="617">
        <v>163.0</v>
      </c>
      <c r="O322" s="617">
        <v>364.0</v>
      </c>
      <c r="P322" s="617">
        <v>202.0</v>
      </c>
      <c r="Q322" s="617">
        <v>171.0</v>
      </c>
      <c r="R322" s="617">
        <v>373.0</v>
      </c>
      <c r="S322" s="617" t="s">
        <v>1640</v>
      </c>
      <c r="T322" s="617" t="s">
        <v>1641</v>
      </c>
      <c r="U322" s="618">
        <v>572043.373</v>
      </c>
      <c r="V322" s="618">
        <v>2656296.245</v>
      </c>
      <c r="W322" s="619"/>
      <c r="X322" s="138" t="s">
        <v>1638</v>
      </c>
      <c r="Y322" s="138" t="s">
        <v>1423</v>
      </c>
      <c r="Z322" s="620" t="s">
        <v>31</v>
      </c>
      <c r="AA322" s="625"/>
      <c r="AB322" s="625"/>
      <c r="AC322" s="625"/>
      <c r="AD322" s="626"/>
    </row>
    <row r="323" ht="24.75" customHeight="1">
      <c r="A323" s="598"/>
      <c r="B323" s="617"/>
      <c r="C323" s="617"/>
      <c r="D323" s="617"/>
      <c r="E323" s="617"/>
      <c r="F323" s="617">
        <v>380.0</v>
      </c>
      <c r="G323" s="617"/>
      <c r="H323" s="600"/>
      <c r="I323" s="617"/>
      <c r="J323" s="617"/>
      <c r="K323" s="616"/>
      <c r="L323" s="616"/>
      <c r="M323" s="617"/>
      <c r="N323" s="617"/>
      <c r="O323" s="617"/>
      <c r="P323" s="617"/>
      <c r="Q323" s="617"/>
      <c r="R323" s="617"/>
      <c r="S323" s="617"/>
      <c r="T323" s="617"/>
      <c r="U323" s="618"/>
      <c r="V323" s="618"/>
      <c r="W323" s="619" t="s">
        <v>1642</v>
      </c>
      <c r="X323" s="606"/>
      <c r="Y323" s="606"/>
      <c r="Z323" s="620"/>
      <c r="AA323" s="625"/>
      <c r="AB323" s="625"/>
      <c r="AC323" s="625"/>
      <c r="AD323" s="626"/>
    </row>
    <row r="324" ht="24.75" customHeight="1">
      <c r="A324" s="608">
        <v>158.0</v>
      </c>
      <c r="B324" s="617" t="s">
        <v>1101</v>
      </c>
      <c r="C324" s="617" t="s">
        <v>206</v>
      </c>
      <c r="D324" s="617" t="s">
        <v>34</v>
      </c>
      <c r="E324" s="617" t="s">
        <v>1101</v>
      </c>
      <c r="F324" s="617"/>
      <c r="G324" s="617"/>
      <c r="H324" s="609" t="str">
        <f>H322+F323</f>
        <v>60260.43</v>
      </c>
      <c r="I324" s="617">
        <v>453.658</v>
      </c>
      <c r="J324" s="616">
        <v>75.5</v>
      </c>
      <c r="K324" s="616" t="str">
        <f>F323+F325</f>
        <v>840</v>
      </c>
      <c r="L324" s="616" t="str">
        <f>K324/2</f>
        <v>420</v>
      </c>
      <c r="M324" s="617">
        <v>218.0</v>
      </c>
      <c r="N324" s="617">
        <v>211.0</v>
      </c>
      <c r="O324" s="617">
        <v>429.0</v>
      </c>
      <c r="P324" s="617">
        <v>210.0</v>
      </c>
      <c r="Q324" s="617">
        <v>218.0</v>
      </c>
      <c r="R324" s="617">
        <v>428.0</v>
      </c>
      <c r="S324" s="617" t="s">
        <v>1643</v>
      </c>
      <c r="T324" s="617" t="s">
        <v>1644</v>
      </c>
      <c r="U324" s="618">
        <v>572387.916</v>
      </c>
      <c r="V324" s="618">
        <v>2656135.964</v>
      </c>
      <c r="W324" s="619"/>
      <c r="X324" s="138" t="s">
        <v>1638</v>
      </c>
      <c r="Y324" s="138" t="s">
        <v>1423</v>
      </c>
      <c r="Z324" s="620" t="s">
        <v>31</v>
      </c>
      <c r="AA324" s="625"/>
      <c r="AB324" s="625"/>
      <c r="AC324" s="625"/>
      <c r="AD324" s="626"/>
    </row>
    <row r="325" ht="12.75" customHeight="1">
      <c r="A325" s="598"/>
      <c r="B325" s="617"/>
      <c r="C325" s="617"/>
      <c r="D325" s="617"/>
      <c r="E325" s="617"/>
      <c r="F325" s="617">
        <v>460.0</v>
      </c>
      <c r="G325" s="617"/>
      <c r="H325" s="600"/>
      <c r="I325" s="617"/>
      <c r="J325" s="617"/>
      <c r="K325" s="616"/>
      <c r="L325" s="616"/>
      <c r="M325" s="617"/>
      <c r="N325" s="617"/>
      <c r="O325" s="617"/>
      <c r="P325" s="617"/>
      <c r="Q325" s="617"/>
      <c r="R325" s="617"/>
      <c r="S325" s="617"/>
      <c r="T325" s="617"/>
      <c r="U325" s="618"/>
      <c r="V325" s="618"/>
      <c r="W325" s="619" t="s">
        <v>1645</v>
      </c>
      <c r="X325" s="606"/>
      <c r="Y325" s="606"/>
      <c r="Z325" s="620"/>
      <c r="AA325" s="625"/>
      <c r="AB325" s="625"/>
      <c r="AC325" s="625"/>
      <c r="AD325" s="626"/>
    </row>
    <row r="326" ht="24.75" customHeight="1">
      <c r="A326" s="608">
        <v>159.0</v>
      </c>
      <c r="B326" s="617" t="s">
        <v>1101</v>
      </c>
      <c r="C326" s="617" t="s">
        <v>207</v>
      </c>
      <c r="D326" s="617" t="s">
        <v>12</v>
      </c>
      <c r="E326" s="617" t="s">
        <v>1101</v>
      </c>
      <c r="F326" s="617"/>
      <c r="G326" s="617"/>
      <c r="H326" s="609" t="str">
        <f>H324+F325</f>
        <v>60720.43</v>
      </c>
      <c r="I326" s="617">
        <v>454.814</v>
      </c>
      <c r="J326" s="616">
        <v>78.5</v>
      </c>
      <c r="K326" s="616" t="str">
        <f>F325+F327</f>
        <v>840</v>
      </c>
      <c r="L326" s="616" t="str">
        <f>K326/2</f>
        <v>420</v>
      </c>
      <c r="M326" s="617">
        <v>250.0</v>
      </c>
      <c r="N326" s="617">
        <v>209.0</v>
      </c>
      <c r="O326" s="617">
        <v>459.0</v>
      </c>
      <c r="P326" s="617">
        <v>244.0</v>
      </c>
      <c r="Q326" s="617">
        <v>204.0</v>
      </c>
      <c r="R326" s="617">
        <v>448.0</v>
      </c>
      <c r="S326" s="617" t="s">
        <v>1646</v>
      </c>
      <c r="T326" s="617" t="s">
        <v>1647</v>
      </c>
      <c r="U326" s="618">
        <v>572804.995</v>
      </c>
      <c r="V326" s="618">
        <v>2655941.939</v>
      </c>
      <c r="W326" s="619"/>
      <c r="X326" s="138" t="s">
        <v>1638</v>
      </c>
      <c r="Y326" s="138" t="s">
        <v>1423</v>
      </c>
      <c r="Z326" s="620" t="s">
        <v>31</v>
      </c>
      <c r="AA326" s="625"/>
      <c r="AB326" s="625"/>
      <c r="AC326" s="625"/>
      <c r="AD326" s="626"/>
    </row>
    <row r="327" ht="24.75" customHeight="1">
      <c r="A327" s="598"/>
      <c r="B327" s="617"/>
      <c r="C327" s="617"/>
      <c r="D327" s="617"/>
      <c r="E327" s="617"/>
      <c r="F327" s="617">
        <v>380.0</v>
      </c>
      <c r="G327" s="617"/>
      <c r="H327" s="600"/>
      <c r="I327" s="617"/>
      <c r="J327" s="617"/>
      <c r="K327" s="616"/>
      <c r="L327" s="616"/>
      <c r="M327" s="617"/>
      <c r="N327" s="617"/>
      <c r="O327" s="617"/>
      <c r="P327" s="617"/>
      <c r="Q327" s="617"/>
      <c r="R327" s="617"/>
      <c r="S327" s="617"/>
      <c r="T327" s="617"/>
      <c r="U327" s="618"/>
      <c r="V327" s="618"/>
      <c r="W327" s="619" t="s">
        <v>1395</v>
      </c>
      <c r="X327" s="606"/>
      <c r="Y327" s="606"/>
      <c r="Z327" s="620"/>
      <c r="AA327" s="625"/>
      <c r="AB327" s="625"/>
      <c r="AC327" s="625"/>
      <c r="AD327" s="626"/>
    </row>
    <row r="328" ht="24.75" customHeight="1">
      <c r="A328" s="608">
        <v>160.0</v>
      </c>
      <c r="B328" s="617" t="s">
        <v>1101</v>
      </c>
      <c r="C328" s="617" t="s">
        <v>208</v>
      </c>
      <c r="D328" s="617" t="s">
        <v>11</v>
      </c>
      <c r="E328" s="617" t="s">
        <v>1101</v>
      </c>
      <c r="F328" s="617"/>
      <c r="G328" s="617"/>
      <c r="H328" s="609" t="str">
        <f>H326+F327</f>
        <v>61100.43</v>
      </c>
      <c r="I328" s="617">
        <v>458.852</v>
      </c>
      <c r="J328" s="616">
        <v>71.0</v>
      </c>
      <c r="K328" s="616" t="str">
        <f>F327+F329</f>
        <v>793</v>
      </c>
      <c r="L328" s="616" t="str">
        <f>K328/2</f>
        <v>396.5</v>
      </c>
      <c r="M328" s="617">
        <v>171.0</v>
      </c>
      <c r="N328" s="617">
        <v>155.0</v>
      </c>
      <c r="O328" s="617">
        <v>326.0</v>
      </c>
      <c r="P328" s="617">
        <v>177.0</v>
      </c>
      <c r="Q328" s="617">
        <v>171.0</v>
      </c>
      <c r="R328" s="617">
        <v>348.0</v>
      </c>
      <c r="S328" s="617" t="s">
        <v>1648</v>
      </c>
      <c r="T328" s="617" t="s">
        <v>1649</v>
      </c>
      <c r="U328" s="618">
        <v>573149.538</v>
      </c>
      <c r="V328" s="618">
        <v>2655781.658</v>
      </c>
      <c r="W328" s="619"/>
      <c r="X328" s="138" t="s">
        <v>1638</v>
      </c>
      <c r="Y328" s="138" t="s">
        <v>1423</v>
      </c>
      <c r="Z328" s="620" t="s">
        <v>31</v>
      </c>
      <c r="AA328" s="625"/>
      <c r="AB328" s="625"/>
      <c r="AC328" s="625"/>
      <c r="AD328" s="626"/>
    </row>
    <row r="329" ht="24.75" customHeight="1">
      <c r="A329" s="598"/>
      <c r="B329" s="617"/>
      <c r="C329" s="617"/>
      <c r="D329" s="617"/>
      <c r="E329" s="617"/>
      <c r="F329" s="617">
        <v>413.0</v>
      </c>
      <c r="G329" s="617"/>
      <c r="H329" s="600"/>
      <c r="I329" s="617"/>
      <c r="J329" s="617"/>
      <c r="K329" s="616"/>
      <c r="L329" s="616"/>
      <c r="M329" s="617"/>
      <c r="N329" s="617"/>
      <c r="O329" s="617"/>
      <c r="P329" s="617"/>
      <c r="Q329" s="617"/>
      <c r="R329" s="617"/>
      <c r="S329" s="617"/>
      <c r="T329" s="617"/>
      <c r="U329" s="618"/>
      <c r="V329" s="618"/>
      <c r="W329" s="619" t="s">
        <v>1650</v>
      </c>
      <c r="X329" s="606"/>
      <c r="Y329" s="606"/>
      <c r="Z329" s="620"/>
      <c r="AA329" s="625"/>
      <c r="AB329" s="625"/>
      <c r="AC329" s="625"/>
      <c r="AD329" s="626"/>
    </row>
    <row r="330" ht="24.75" customHeight="1">
      <c r="A330" s="608">
        <v>161.0</v>
      </c>
      <c r="B330" s="617" t="s">
        <v>1101</v>
      </c>
      <c r="C330" s="617" t="s">
        <v>209</v>
      </c>
      <c r="D330" s="617" t="s">
        <v>34</v>
      </c>
      <c r="E330" s="617" t="s">
        <v>1101</v>
      </c>
      <c r="F330" s="617"/>
      <c r="G330" s="617"/>
      <c r="H330" s="609" t="str">
        <f>H328+F329</f>
        <v>61513.43</v>
      </c>
      <c r="I330" s="617">
        <v>464.541</v>
      </c>
      <c r="J330" s="616">
        <v>75.5</v>
      </c>
      <c r="K330" s="616" t="str">
        <f>F329+F331</f>
        <v>826</v>
      </c>
      <c r="L330" s="616" t="str">
        <f>K330/2</f>
        <v>413</v>
      </c>
      <c r="M330" s="617">
        <v>259.0</v>
      </c>
      <c r="N330" s="617">
        <v>221.0</v>
      </c>
      <c r="O330" s="617">
        <v>480.0</v>
      </c>
      <c r="P330" s="617">
        <v>244.0</v>
      </c>
      <c r="Q330" s="617">
        <v>217.0</v>
      </c>
      <c r="R330" s="617">
        <v>461.0</v>
      </c>
      <c r="S330" s="617" t="s">
        <v>1651</v>
      </c>
      <c r="T330" s="617" t="s">
        <v>1652</v>
      </c>
      <c r="U330" s="618">
        <v>573524.002</v>
      </c>
      <c r="V330" s="618">
        <v>2655607.458</v>
      </c>
      <c r="W330" s="619"/>
      <c r="X330" s="138" t="s">
        <v>1638</v>
      </c>
      <c r="Y330" s="138" t="s">
        <v>1423</v>
      </c>
      <c r="Z330" s="620" t="s">
        <v>31</v>
      </c>
      <c r="AA330" s="625"/>
      <c r="AB330" s="625"/>
      <c r="AC330" s="625"/>
      <c r="AD330" s="626"/>
    </row>
    <row r="331" ht="24.75" customHeight="1">
      <c r="A331" s="598"/>
      <c r="B331" s="617"/>
      <c r="C331" s="617"/>
      <c r="D331" s="617"/>
      <c r="E331" s="617"/>
      <c r="F331" s="617">
        <v>413.0</v>
      </c>
      <c r="G331" s="617"/>
      <c r="H331" s="600"/>
      <c r="I331" s="617"/>
      <c r="J331" s="617"/>
      <c r="K331" s="616"/>
      <c r="L331" s="616"/>
      <c r="M331" s="617"/>
      <c r="N331" s="617"/>
      <c r="O331" s="617"/>
      <c r="P331" s="617"/>
      <c r="Q331" s="617"/>
      <c r="R331" s="617"/>
      <c r="S331" s="617"/>
      <c r="T331" s="617"/>
      <c r="U331" s="618"/>
      <c r="V331" s="618"/>
      <c r="W331" s="619" t="s">
        <v>1395</v>
      </c>
      <c r="X331" s="606"/>
      <c r="Y331" s="606"/>
      <c r="Z331" s="620"/>
      <c r="AA331" s="625"/>
      <c r="AB331" s="625"/>
      <c r="AC331" s="625"/>
      <c r="AD331" s="626"/>
    </row>
    <row r="332" ht="24.75" customHeight="1">
      <c r="A332" s="608">
        <v>162.0</v>
      </c>
      <c r="B332" s="617" t="s">
        <v>1101</v>
      </c>
      <c r="C332" s="617" t="s">
        <v>210</v>
      </c>
      <c r="D332" s="617" t="s">
        <v>33</v>
      </c>
      <c r="E332" s="617" t="s">
        <v>1101</v>
      </c>
      <c r="F332" s="617"/>
      <c r="G332" s="617"/>
      <c r="H332" s="609" t="str">
        <f>H330+F331</f>
        <v>61926.43</v>
      </c>
      <c r="I332" s="637">
        <v>464.789</v>
      </c>
      <c r="J332" s="616">
        <v>72.5</v>
      </c>
      <c r="K332" s="616" t="str">
        <f>F331+F333</f>
        <v>840</v>
      </c>
      <c r="L332" s="616" t="str">
        <f>K332/2</f>
        <v>420</v>
      </c>
      <c r="M332" s="617">
        <v>193.0</v>
      </c>
      <c r="N332" s="617">
        <v>136.0</v>
      </c>
      <c r="O332" s="617">
        <v>329.0</v>
      </c>
      <c r="P332" s="617">
        <v>197.0</v>
      </c>
      <c r="Q332" s="617">
        <v>160.0</v>
      </c>
      <c r="R332" s="617">
        <v>357.0</v>
      </c>
      <c r="S332" s="617" t="s">
        <v>1653</v>
      </c>
      <c r="T332" s="617" t="s">
        <v>1654</v>
      </c>
      <c r="U332" s="618">
        <v>573898.466</v>
      </c>
      <c r="V332" s="618">
        <v>2655433.257</v>
      </c>
      <c r="W332" s="619"/>
      <c r="X332" s="138" t="s">
        <v>1655</v>
      </c>
      <c r="Y332" s="138" t="s">
        <v>1423</v>
      </c>
      <c r="Z332" s="620" t="s">
        <v>31</v>
      </c>
      <c r="AA332" s="625"/>
      <c r="AB332" s="625"/>
      <c r="AC332" s="625"/>
      <c r="AD332" s="626"/>
    </row>
    <row r="333" ht="24.75" customHeight="1">
      <c r="A333" s="598"/>
      <c r="B333" s="617"/>
      <c r="C333" s="617"/>
      <c r="D333" s="617"/>
      <c r="E333" s="617"/>
      <c r="F333" s="617">
        <v>427.0</v>
      </c>
      <c r="G333" s="617"/>
      <c r="H333" s="600"/>
      <c r="I333" s="617"/>
      <c r="J333" s="617"/>
      <c r="K333" s="616"/>
      <c r="L333" s="616"/>
      <c r="M333" s="617"/>
      <c r="N333" s="617"/>
      <c r="O333" s="617"/>
      <c r="P333" s="617"/>
      <c r="Q333" s="617"/>
      <c r="R333" s="617"/>
      <c r="S333" s="617"/>
      <c r="T333" s="617"/>
      <c r="U333" s="618"/>
      <c r="V333" s="618"/>
      <c r="W333" s="619" t="s">
        <v>1656</v>
      </c>
      <c r="X333" s="606"/>
      <c r="Y333" s="606"/>
      <c r="Z333" s="620"/>
      <c r="AA333" s="625"/>
      <c r="AB333" s="625"/>
      <c r="AC333" s="625"/>
      <c r="AD333" s="626"/>
    </row>
    <row r="334" ht="24.75" customHeight="1">
      <c r="A334" s="608">
        <v>163.0</v>
      </c>
      <c r="B334" s="617" t="s">
        <v>1657</v>
      </c>
      <c r="C334" s="617" t="s">
        <v>211</v>
      </c>
      <c r="D334" s="617" t="s">
        <v>202</v>
      </c>
      <c r="E334" s="617" t="s">
        <v>1658</v>
      </c>
      <c r="F334" s="617"/>
      <c r="G334" s="617" t="str">
        <f>SUM(F317:F333)</f>
        <v>3628</v>
      </c>
      <c r="H334" s="609" t="str">
        <f>H332+F333</f>
        <v>62353.43</v>
      </c>
      <c r="I334" s="617">
        <v>468.46</v>
      </c>
      <c r="J334" s="617">
        <v>82.72</v>
      </c>
      <c r="K334" s="616" t="str">
        <f>F333+F335</f>
        <v>647</v>
      </c>
      <c r="L334" s="616" t="str">
        <f>K334/2</f>
        <v>323.5</v>
      </c>
      <c r="M334" s="617">
        <v>291.0</v>
      </c>
      <c r="N334" s="617">
        <v>148.0</v>
      </c>
      <c r="O334" s="617">
        <v>439.0</v>
      </c>
      <c r="P334" s="617">
        <v>269.0</v>
      </c>
      <c r="Q334" s="617">
        <v>127.0</v>
      </c>
      <c r="R334" s="617">
        <v>396.0</v>
      </c>
      <c r="S334" s="617" t="s">
        <v>1659</v>
      </c>
      <c r="T334" s="617" t="s">
        <v>1660</v>
      </c>
      <c r="U334" s="618">
        <v>574285.623</v>
      </c>
      <c r="V334" s="618">
        <v>2655253.152</v>
      </c>
      <c r="W334" s="619"/>
      <c r="X334" s="138" t="s">
        <v>1655</v>
      </c>
      <c r="Y334" s="138" t="s">
        <v>1423</v>
      </c>
      <c r="Z334" s="620" t="s">
        <v>31</v>
      </c>
      <c r="AA334" s="625"/>
      <c r="AB334" s="625"/>
      <c r="AC334" s="625"/>
      <c r="AD334" s="626"/>
    </row>
    <row r="335" ht="12.75" customHeight="1">
      <c r="A335" s="598"/>
      <c r="B335" s="617"/>
      <c r="C335" s="617"/>
      <c r="D335" s="617"/>
      <c r="E335" s="617"/>
      <c r="F335" s="617">
        <v>220.0</v>
      </c>
      <c r="G335" s="617"/>
      <c r="H335" s="600"/>
      <c r="I335" s="617"/>
      <c r="J335" s="617"/>
      <c r="K335" s="616"/>
      <c r="L335" s="616"/>
      <c r="M335" s="617"/>
      <c r="N335" s="617"/>
      <c r="O335" s="617"/>
      <c r="P335" s="617"/>
      <c r="Q335" s="617"/>
      <c r="R335" s="617"/>
      <c r="S335" s="617"/>
      <c r="T335" s="617"/>
      <c r="U335" s="618"/>
      <c r="V335" s="618"/>
      <c r="W335" s="623" t="s">
        <v>1661</v>
      </c>
      <c r="X335" s="606"/>
      <c r="Y335" s="606"/>
      <c r="Z335" s="620"/>
      <c r="AA335" s="625"/>
      <c r="AB335" s="625"/>
      <c r="AC335" s="625"/>
      <c r="AD335" s="626"/>
    </row>
    <row r="336" ht="24.75" customHeight="1">
      <c r="A336" s="608">
        <v>164.0</v>
      </c>
      <c r="B336" s="617" t="s">
        <v>1662</v>
      </c>
      <c r="C336" s="617" t="s">
        <v>212</v>
      </c>
      <c r="D336" s="617" t="s">
        <v>115</v>
      </c>
      <c r="E336" s="617" t="s">
        <v>1663</v>
      </c>
      <c r="F336" s="617"/>
      <c r="G336" s="617" t="str">
        <f>F335</f>
        <v>220</v>
      </c>
      <c r="H336" s="609" t="str">
        <f>H334+F335</f>
        <v>62573.43</v>
      </c>
      <c r="I336" s="617">
        <v>468.335</v>
      </c>
      <c r="J336" s="616">
        <v>79.72</v>
      </c>
      <c r="K336" s="616" t="str">
        <f>F335+F337</f>
        <v>650</v>
      </c>
      <c r="L336" s="616" t="str">
        <f>K336/2</f>
        <v>325</v>
      </c>
      <c r="M336" s="617">
        <v>73.0</v>
      </c>
      <c r="N336" s="617">
        <v>273.0</v>
      </c>
      <c r="O336" s="617">
        <v>346.0</v>
      </c>
      <c r="P336" s="617">
        <v>94.0</v>
      </c>
      <c r="Q336" s="617">
        <v>255.0</v>
      </c>
      <c r="R336" s="617">
        <v>349.0</v>
      </c>
      <c r="S336" s="617" t="s">
        <v>1664</v>
      </c>
      <c r="T336" s="617" t="s">
        <v>1665</v>
      </c>
      <c r="U336" s="618">
        <v>574496.585</v>
      </c>
      <c r="V336" s="618">
        <v>2655315.563</v>
      </c>
      <c r="W336" s="619"/>
      <c r="X336" s="138" t="s">
        <v>1655</v>
      </c>
      <c r="Y336" s="138" t="s">
        <v>1423</v>
      </c>
      <c r="Z336" s="620" t="s">
        <v>31</v>
      </c>
      <c r="AA336" s="625"/>
      <c r="AB336" s="625"/>
      <c r="AC336" s="625"/>
      <c r="AD336" s="626"/>
    </row>
    <row r="337" ht="24.75" customHeight="1">
      <c r="A337" s="598"/>
      <c r="B337" s="617"/>
      <c r="C337" s="617"/>
      <c r="D337" s="617"/>
      <c r="E337" s="617"/>
      <c r="F337" s="617">
        <v>430.0</v>
      </c>
      <c r="G337" s="617"/>
      <c r="H337" s="600"/>
      <c r="I337" s="617"/>
      <c r="J337" s="617"/>
      <c r="K337" s="616"/>
      <c r="L337" s="616"/>
      <c r="M337" s="617"/>
      <c r="N337" s="617"/>
      <c r="O337" s="617"/>
      <c r="P337" s="617"/>
      <c r="Q337" s="617"/>
      <c r="R337" s="617"/>
      <c r="S337" s="617"/>
      <c r="T337" s="617"/>
      <c r="U337" s="618"/>
      <c r="V337" s="618"/>
      <c r="W337" s="619" t="s">
        <v>1666</v>
      </c>
      <c r="X337" s="606"/>
      <c r="Y337" s="606"/>
      <c r="Z337" s="620"/>
      <c r="AA337" s="625"/>
      <c r="AB337" s="625"/>
      <c r="AC337" s="625"/>
      <c r="AD337" s="626"/>
    </row>
    <row r="338" ht="24.75" customHeight="1">
      <c r="A338" s="608">
        <v>165.0</v>
      </c>
      <c r="B338" s="617" t="s">
        <v>1101</v>
      </c>
      <c r="C338" s="617" t="s">
        <v>213</v>
      </c>
      <c r="D338" s="617" t="s">
        <v>15</v>
      </c>
      <c r="E338" s="617" t="s">
        <v>1101</v>
      </c>
      <c r="F338" s="617"/>
      <c r="G338" s="617"/>
      <c r="H338" s="609" t="str">
        <f>H336+F337</f>
        <v>63003.43</v>
      </c>
      <c r="I338" s="617">
        <v>468.902</v>
      </c>
      <c r="J338" s="616">
        <v>69.5</v>
      </c>
      <c r="K338" s="616" t="str">
        <f>F337+F339</f>
        <v>774</v>
      </c>
      <c r="L338" s="616" t="str">
        <f>K338/2</f>
        <v>387</v>
      </c>
      <c r="M338" s="617">
        <v>158.0</v>
      </c>
      <c r="N338" s="617">
        <v>149.0</v>
      </c>
      <c r="O338" s="617">
        <v>307.0</v>
      </c>
      <c r="P338" s="617">
        <v>177.0</v>
      </c>
      <c r="Q338" s="617">
        <v>157.0</v>
      </c>
      <c r="R338" s="617">
        <v>334.0</v>
      </c>
      <c r="S338" s="617" t="s">
        <v>1667</v>
      </c>
      <c r="T338" s="617" t="s">
        <v>1668</v>
      </c>
      <c r="U338" s="618">
        <v>574897.535</v>
      </c>
      <c r="V338" s="618">
        <v>2655160.194</v>
      </c>
      <c r="W338" s="619"/>
      <c r="X338" s="138" t="s">
        <v>1655</v>
      </c>
      <c r="Y338" s="138" t="s">
        <v>1423</v>
      </c>
      <c r="Z338" s="620" t="s">
        <v>31</v>
      </c>
      <c r="AA338" s="625"/>
      <c r="AB338" s="625"/>
      <c r="AC338" s="625"/>
      <c r="AD338" s="626"/>
    </row>
    <row r="339" ht="24.75" customHeight="1">
      <c r="A339" s="598"/>
      <c r="B339" s="617"/>
      <c r="C339" s="617"/>
      <c r="D339" s="617"/>
      <c r="E339" s="617"/>
      <c r="F339" s="617">
        <v>344.0</v>
      </c>
      <c r="G339" s="617"/>
      <c r="H339" s="600"/>
      <c r="I339" s="617"/>
      <c r="J339" s="617"/>
      <c r="K339" s="616"/>
      <c r="L339" s="616"/>
      <c r="M339" s="617"/>
      <c r="N339" s="617"/>
      <c r="O339" s="617"/>
      <c r="P339" s="617"/>
      <c r="Q339" s="617"/>
      <c r="R339" s="617"/>
      <c r="S339" s="617"/>
      <c r="T339" s="617"/>
      <c r="U339" s="618"/>
      <c r="V339" s="618"/>
      <c r="W339" s="619" t="s">
        <v>1187</v>
      </c>
      <c r="X339" s="606"/>
      <c r="Y339" s="606"/>
      <c r="Z339" s="620"/>
      <c r="AA339" s="625"/>
      <c r="AB339" s="625"/>
      <c r="AC339" s="625"/>
      <c r="AD339" s="626"/>
    </row>
    <row r="340" ht="24.75" customHeight="1">
      <c r="A340" s="608">
        <v>166.0</v>
      </c>
      <c r="B340" s="617" t="s">
        <v>1101</v>
      </c>
      <c r="C340" s="617" t="s">
        <v>214</v>
      </c>
      <c r="D340" s="617" t="s">
        <v>33</v>
      </c>
      <c r="E340" s="617" t="s">
        <v>1101</v>
      </c>
      <c r="F340" s="617"/>
      <c r="G340" s="617"/>
      <c r="H340" s="609" t="str">
        <f>H338+F339</f>
        <v>63347.43</v>
      </c>
      <c r="I340" s="637">
        <v>469.53</v>
      </c>
      <c r="J340" s="616">
        <v>72.5</v>
      </c>
      <c r="K340" s="616" t="str">
        <f>F339+F341</f>
        <v>717</v>
      </c>
      <c r="L340" s="616" t="str">
        <f>K340/2</f>
        <v>358.5</v>
      </c>
      <c r="M340" s="617">
        <v>195.0</v>
      </c>
      <c r="N340" s="617">
        <v>191.0</v>
      </c>
      <c r="O340" s="617">
        <v>386.0</v>
      </c>
      <c r="P340" s="617">
        <v>188.0</v>
      </c>
      <c r="Q340" s="617">
        <v>190.0</v>
      </c>
      <c r="R340" s="617">
        <v>378.0</v>
      </c>
      <c r="S340" s="617" t="s">
        <v>1669</v>
      </c>
      <c r="T340" s="617" t="s">
        <v>1670</v>
      </c>
      <c r="U340" s="618">
        <v>575218.294</v>
      </c>
      <c r="V340" s="618">
        <v>2655035.899</v>
      </c>
      <c r="W340" s="619"/>
      <c r="X340" s="138" t="s">
        <v>1671</v>
      </c>
      <c r="Y340" s="138" t="s">
        <v>1423</v>
      </c>
      <c r="Z340" s="620" t="s">
        <v>31</v>
      </c>
      <c r="AA340" s="625"/>
      <c r="AB340" s="625"/>
      <c r="AC340" s="625"/>
      <c r="AD340" s="626"/>
    </row>
    <row r="341" ht="24.75" customHeight="1">
      <c r="A341" s="598"/>
      <c r="B341" s="617"/>
      <c r="C341" s="617"/>
      <c r="D341" s="617"/>
      <c r="E341" s="617"/>
      <c r="F341" s="617">
        <v>373.0</v>
      </c>
      <c r="G341" s="617"/>
      <c r="H341" s="600"/>
      <c r="I341" s="617"/>
      <c r="J341" s="617"/>
      <c r="K341" s="616"/>
      <c r="L341" s="616"/>
      <c r="M341" s="617"/>
      <c r="N341" s="617"/>
      <c r="O341" s="617"/>
      <c r="P341" s="617"/>
      <c r="Q341" s="617"/>
      <c r="R341" s="617"/>
      <c r="S341" s="617"/>
      <c r="T341" s="617"/>
      <c r="U341" s="618"/>
      <c r="V341" s="618"/>
      <c r="W341" s="619" t="s">
        <v>1672</v>
      </c>
      <c r="X341" s="606"/>
      <c r="Y341" s="606"/>
      <c r="Z341" s="620"/>
      <c r="AA341" s="625"/>
      <c r="AB341" s="625"/>
      <c r="AC341" s="625"/>
      <c r="AD341" s="626"/>
    </row>
    <row r="342" ht="24.75" customHeight="1">
      <c r="A342" s="608">
        <v>167.0</v>
      </c>
      <c r="B342" s="617" t="s">
        <v>1101</v>
      </c>
      <c r="C342" s="617" t="s">
        <v>215</v>
      </c>
      <c r="D342" s="617" t="s">
        <v>15</v>
      </c>
      <c r="E342" s="617" t="s">
        <v>1101</v>
      </c>
      <c r="F342" s="617"/>
      <c r="G342" s="617"/>
      <c r="H342" s="609" t="str">
        <f>H340+F341</f>
        <v>63720.43</v>
      </c>
      <c r="I342" s="617">
        <v>471.87</v>
      </c>
      <c r="J342" s="616">
        <v>69.5</v>
      </c>
      <c r="K342" s="616" t="str">
        <f>F341+F343</f>
        <v>762</v>
      </c>
      <c r="L342" s="616" t="str">
        <f>K342/2</f>
        <v>381</v>
      </c>
      <c r="M342" s="617">
        <v>183.0</v>
      </c>
      <c r="N342" s="617">
        <v>157.0</v>
      </c>
      <c r="O342" s="617">
        <v>340.0</v>
      </c>
      <c r="P342" s="617">
        <v>184.0</v>
      </c>
      <c r="Q342" s="617">
        <v>169.0</v>
      </c>
      <c r="R342" s="617">
        <v>353.0</v>
      </c>
      <c r="S342" s="617" t="s">
        <v>1673</v>
      </c>
      <c r="T342" s="617" t="s">
        <v>1674</v>
      </c>
      <c r="U342" s="618">
        <v>575566.095</v>
      </c>
      <c r="V342" s="618">
        <v>2654901.126</v>
      </c>
      <c r="W342" s="619"/>
      <c r="X342" s="138" t="s">
        <v>1671</v>
      </c>
      <c r="Y342" s="138" t="s">
        <v>1423</v>
      </c>
      <c r="Z342" s="620" t="s">
        <v>31</v>
      </c>
      <c r="AA342" s="625"/>
      <c r="AB342" s="625"/>
      <c r="AC342" s="625"/>
      <c r="AD342" s="626"/>
    </row>
    <row r="343" ht="24.75" customHeight="1">
      <c r="A343" s="598"/>
      <c r="B343" s="617"/>
      <c r="C343" s="617"/>
      <c r="D343" s="617"/>
      <c r="E343" s="617"/>
      <c r="F343" s="617">
        <v>389.0</v>
      </c>
      <c r="G343" s="617"/>
      <c r="H343" s="600"/>
      <c r="I343" s="617"/>
      <c r="J343" s="617"/>
      <c r="K343" s="616"/>
      <c r="L343" s="616"/>
      <c r="M343" s="617"/>
      <c r="N343" s="617"/>
      <c r="O343" s="617"/>
      <c r="P343" s="617"/>
      <c r="Q343" s="617"/>
      <c r="R343" s="617"/>
      <c r="S343" s="617"/>
      <c r="T343" s="617"/>
      <c r="U343" s="618"/>
      <c r="V343" s="618"/>
      <c r="W343" s="619" t="s">
        <v>1675</v>
      </c>
      <c r="X343" s="606"/>
      <c r="Y343" s="606"/>
      <c r="Z343" s="620"/>
      <c r="AA343" s="625"/>
      <c r="AB343" s="625"/>
      <c r="AC343" s="625"/>
      <c r="AD343" s="626"/>
    </row>
    <row r="344" ht="24.75" customHeight="1">
      <c r="A344" s="608">
        <v>168.0</v>
      </c>
      <c r="B344" s="617" t="s">
        <v>1101</v>
      </c>
      <c r="C344" s="617" t="s">
        <v>216</v>
      </c>
      <c r="D344" s="617" t="s">
        <v>34</v>
      </c>
      <c r="E344" s="617" t="s">
        <v>1101</v>
      </c>
      <c r="F344" s="617"/>
      <c r="G344" s="617"/>
      <c r="H344" s="609" t="str">
        <f>H342+F343</f>
        <v>64109.43</v>
      </c>
      <c r="I344" s="617">
        <v>472.761</v>
      </c>
      <c r="J344" s="616">
        <v>75.5</v>
      </c>
      <c r="K344" s="616" t="str">
        <f>F343+F345</f>
        <v>833</v>
      </c>
      <c r="L344" s="616" t="str">
        <f>K344/2</f>
        <v>416.5</v>
      </c>
      <c r="M344" s="617">
        <v>233.0</v>
      </c>
      <c r="N344" s="617">
        <v>196.0</v>
      </c>
      <c r="O344" s="617">
        <v>429.0</v>
      </c>
      <c r="P344" s="617">
        <v>221.0</v>
      </c>
      <c r="Q344" s="617">
        <v>205.0</v>
      </c>
      <c r="R344" s="617">
        <v>426.0</v>
      </c>
      <c r="S344" s="617" t="s">
        <v>1676</v>
      </c>
      <c r="T344" s="617" t="s">
        <v>1677</v>
      </c>
      <c r="U344" s="618">
        <v>575928.814</v>
      </c>
      <c r="V344" s="618">
        <v>2654760.571</v>
      </c>
      <c r="W344" s="619"/>
      <c r="X344" s="138" t="s">
        <v>1671</v>
      </c>
      <c r="Y344" s="138" t="s">
        <v>1423</v>
      </c>
      <c r="Z344" s="620" t="s">
        <v>31</v>
      </c>
      <c r="AA344" s="625"/>
      <c r="AB344" s="625"/>
      <c r="AC344" s="625"/>
      <c r="AD344" s="626"/>
    </row>
    <row r="345" ht="12.75" customHeight="1">
      <c r="A345" s="598"/>
      <c r="B345" s="617"/>
      <c r="C345" s="617"/>
      <c r="D345" s="617"/>
      <c r="E345" s="617"/>
      <c r="F345" s="617">
        <v>444.0</v>
      </c>
      <c r="G345" s="617"/>
      <c r="H345" s="600"/>
      <c r="I345" s="617"/>
      <c r="J345" s="617"/>
      <c r="K345" s="616"/>
      <c r="L345" s="616"/>
      <c r="M345" s="617"/>
      <c r="N345" s="617"/>
      <c r="O345" s="617"/>
      <c r="P345" s="617"/>
      <c r="Q345" s="617"/>
      <c r="R345" s="617"/>
      <c r="S345" s="617"/>
      <c r="T345" s="617"/>
      <c r="U345" s="618"/>
      <c r="V345" s="618"/>
      <c r="W345" s="619" t="s">
        <v>1678</v>
      </c>
      <c r="X345" s="606"/>
      <c r="Y345" s="606"/>
      <c r="Z345" s="620"/>
      <c r="AA345" s="625"/>
      <c r="AB345" s="625"/>
      <c r="AC345" s="625"/>
      <c r="AD345" s="626"/>
    </row>
    <row r="346" ht="24.75" customHeight="1">
      <c r="A346" s="608">
        <v>169.0</v>
      </c>
      <c r="B346" s="617" t="s">
        <v>1101</v>
      </c>
      <c r="C346" s="617" t="s">
        <v>218</v>
      </c>
      <c r="D346" s="617" t="s">
        <v>12</v>
      </c>
      <c r="E346" s="617" t="s">
        <v>1101</v>
      </c>
      <c r="F346" s="617"/>
      <c r="G346" s="617"/>
      <c r="H346" s="609" t="str">
        <f>H344+F345</f>
        <v>64553.43</v>
      </c>
      <c r="I346" s="617">
        <v>475.157</v>
      </c>
      <c r="J346" s="616">
        <v>78.5</v>
      </c>
      <c r="K346" s="616" t="str">
        <f>F345+F347</f>
        <v>752</v>
      </c>
      <c r="L346" s="616" t="str">
        <f>K346/2</f>
        <v>376</v>
      </c>
      <c r="M346" s="617">
        <v>249.0</v>
      </c>
      <c r="N346" s="617">
        <v>203.0</v>
      </c>
      <c r="O346" s="617">
        <v>452.0</v>
      </c>
      <c r="P346" s="617">
        <v>241.0</v>
      </c>
      <c r="Q346" s="617">
        <v>188.0</v>
      </c>
      <c r="R346" s="617">
        <v>429.0</v>
      </c>
      <c r="S346" s="617" t="s">
        <v>1679</v>
      </c>
      <c r="T346" s="617" t="s">
        <v>1680</v>
      </c>
      <c r="U346" s="618">
        <v>576342.818</v>
      </c>
      <c r="V346" s="618">
        <v>2654600.144</v>
      </c>
      <c r="W346" s="623" t="s">
        <v>1354</v>
      </c>
      <c r="X346" s="138" t="s">
        <v>1671</v>
      </c>
      <c r="Y346" s="138" t="s">
        <v>1423</v>
      </c>
      <c r="Z346" s="620" t="s">
        <v>31</v>
      </c>
      <c r="AA346" s="627">
        <v>2.0</v>
      </c>
      <c r="AB346" s="627">
        <v>1.0</v>
      </c>
      <c r="AC346" s="627">
        <v>0.0</v>
      </c>
      <c r="AD346" s="628">
        <v>1.0</v>
      </c>
    </row>
    <row r="347" ht="12.75" customHeight="1">
      <c r="A347" s="598"/>
      <c r="B347" s="617"/>
      <c r="C347" s="617"/>
      <c r="D347" s="617"/>
      <c r="E347" s="617"/>
      <c r="F347" s="617">
        <v>308.0</v>
      </c>
      <c r="G347" s="617"/>
      <c r="H347" s="600"/>
      <c r="I347" s="617"/>
      <c r="J347" s="617"/>
      <c r="K347" s="616"/>
      <c r="L347" s="616"/>
      <c r="M347" s="617"/>
      <c r="N347" s="617"/>
      <c r="O347" s="617"/>
      <c r="P347" s="617"/>
      <c r="Q347" s="617"/>
      <c r="R347" s="617"/>
      <c r="S347" s="617"/>
      <c r="T347" s="617"/>
      <c r="U347" s="618"/>
      <c r="V347" s="618"/>
      <c r="W347" s="619" t="s">
        <v>1681</v>
      </c>
      <c r="X347" s="606"/>
      <c r="Y347" s="606"/>
      <c r="Z347" s="620"/>
      <c r="AA347" s="625"/>
      <c r="AB347" s="625"/>
      <c r="AC347" s="625"/>
      <c r="AD347" s="626"/>
    </row>
    <row r="348" ht="24.75" customHeight="1">
      <c r="A348" s="608">
        <v>170.0</v>
      </c>
      <c r="B348" s="617" t="s">
        <v>1101</v>
      </c>
      <c r="C348" s="617" t="s">
        <v>219</v>
      </c>
      <c r="D348" s="617" t="s">
        <v>15</v>
      </c>
      <c r="E348" s="617" t="s">
        <v>1101</v>
      </c>
      <c r="F348" s="617"/>
      <c r="G348" s="617"/>
      <c r="H348" s="609" t="str">
        <f>H346+F347</f>
        <v>64861.43</v>
      </c>
      <c r="I348" s="617">
        <v>477.117</v>
      </c>
      <c r="J348" s="616">
        <v>69.5</v>
      </c>
      <c r="K348" s="616" t="str">
        <f>F347+F349</f>
        <v>653</v>
      </c>
      <c r="L348" s="616" t="str">
        <f>K348/2</f>
        <v>326.5</v>
      </c>
      <c r="M348" s="617">
        <v>105.0</v>
      </c>
      <c r="N348" s="617">
        <v>133.0</v>
      </c>
      <c r="O348" s="617">
        <v>238.0</v>
      </c>
      <c r="P348" s="617">
        <v>121.0</v>
      </c>
      <c r="Q348" s="617">
        <v>146.0</v>
      </c>
      <c r="R348" s="617">
        <v>267.0</v>
      </c>
      <c r="S348" s="617" t="s">
        <v>1682</v>
      </c>
      <c r="T348" s="617" t="s">
        <v>1683</v>
      </c>
      <c r="U348" s="618">
        <v>576630.009</v>
      </c>
      <c r="V348" s="618">
        <v>2654488.856</v>
      </c>
      <c r="W348" s="619"/>
      <c r="X348" s="138" t="s">
        <v>1671</v>
      </c>
      <c r="Y348" s="138" t="s">
        <v>1423</v>
      </c>
      <c r="Z348" s="620" t="s">
        <v>31</v>
      </c>
      <c r="AA348" s="625"/>
      <c r="AB348" s="625"/>
      <c r="AC348" s="625"/>
      <c r="AD348" s="626"/>
    </row>
    <row r="349" ht="24.75" customHeight="1">
      <c r="A349" s="598"/>
      <c r="B349" s="617"/>
      <c r="C349" s="617"/>
      <c r="D349" s="617"/>
      <c r="E349" s="617"/>
      <c r="F349" s="617">
        <v>345.0</v>
      </c>
      <c r="G349" s="617"/>
      <c r="H349" s="600"/>
      <c r="I349" s="617"/>
      <c r="J349" s="617"/>
      <c r="K349" s="616"/>
      <c r="L349" s="616"/>
      <c r="M349" s="617"/>
      <c r="N349" s="617"/>
      <c r="O349" s="617"/>
      <c r="P349" s="617"/>
      <c r="Q349" s="617"/>
      <c r="R349" s="617"/>
      <c r="S349" s="617"/>
      <c r="T349" s="617"/>
      <c r="U349" s="618"/>
      <c r="V349" s="618"/>
      <c r="W349" s="619" t="s">
        <v>1684</v>
      </c>
      <c r="X349" s="606"/>
      <c r="Y349" s="606"/>
      <c r="Z349" s="620"/>
      <c r="AA349" s="625"/>
      <c r="AB349" s="625"/>
      <c r="AC349" s="625"/>
      <c r="AD349" s="626"/>
    </row>
    <row r="350" ht="24.75" customHeight="1">
      <c r="A350" s="608">
        <v>171.0</v>
      </c>
      <c r="B350" s="617" t="s">
        <v>1101</v>
      </c>
      <c r="C350" s="617" t="s">
        <v>220</v>
      </c>
      <c r="D350" s="617" t="s">
        <v>33</v>
      </c>
      <c r="E350" s="617" t="s">
        <v>1101</v>
      </c>
      <c r="F350" s="617"/>
      <c r="G350" s="617"/>
      <c r="H350" s="609" t="str">
        <f>H348+F349</f>
        <v>65206.43</v>
      </c>
      <c r="I350" s="637">
        <v>480.413</v>
      </c>
      <c r="J350" s="616">
        <v>72.5</v>
      </c>
      <c r="K350" s="616" t="str">
        <f>F349+F351</f>
        <v>770</v>
      </c>
      <c r="L350" s="616" t="str">
        <f>K350/2</f>
        <v>385</v>
      </c>
      <c r="M350" s="617">
        <v>212.0</v>
      </c>
      <c r="N350" s="617">
        <v>173.0</v>
      </c>
      <c r="O350" s="617">
        <v>385.0</v>
      </c>
      <c r="P350" s="617">
        <v>200.0</v>
      </c>
      <c r="Q350" s="617">
        <v>186.0</v>
      </c>
      <c r="R350" s="617">
        <v>386.0</v>
      </c>
      <c r="S350" s="617" t="s">
        <v>1685</v>
      </c>
      <c r="T350" s="617" t="s">
        <v>1686</v>
      </c>
      <c r="U350" s="618">
        <v>576951.701</v>
      </c>
      <c r="V350" s="618">
        <v>2654364.2</v>
      </c>
      <c r="W350" s="619"/>
      <c r="X350" s="138" t="s">
        <v>1671</v>
      </c>
      <c r="Y350" s="138" t="s">
        <v>1423</v>
      </c>
      <c r="Z350" s="620" t="s">
        <v>31</v>
      </c>
      <c r="AA350" s="625"/>
      <c r="AB350" s="625"/>
      <c r="AC350" s="625"/>
      <c r="AD350" s="626"/>
    </row>
    <row r="351" ht="24.75" customHeight="1">
      <c r="A351" s="598"/>
      <c r="B351" s="617"/>
      <c r="C351" s="617"/>
      <c r="D351" s="617"/>
      <c r="E351" s="617"/>
      <c r="F351" s="617">
        <v>425.0</v>
      </c>
      <c r="G351" s="617"/>
      <c r="H351" s="600"/>
      <c r="I351" s="617"/>
      <c r="J351" s="617"/>
      <c r="K351" s="616"/>
      <c r="L351" s="616"/>
      <c r="M351" s="617"/>
      <c r="N351" s="617"/>
      <c r="O351" s="617"/>
      <c r="P351" s="617"/>
      <c r="Q351" s="617"/>
      <c r="R351" s="617"/>
      <c r="S351" s="617"/>
      <c r="T351" s="617"/>
      <c r="U351" s="618"/>
      <c r="V351" s="618"/>
      <c r="W351" s="619" t="s">
        <v>1687</v>
      </c>
      <c r="X351" s="606"/>
      <c r="Y351" s="606"/>
      <c r="Z351" s="620"/>
      <c r="AA351" s="625"/>
      <c r="AB351" s="625"/>
      <c r="AC351" s="625"/>
      <c r="AD351" s="626"/>
    </row>
    <row r="352" ht="24.75" customHeight="1">
      <c r="A352" s="608">
        <v>172.0</v>
      </c>
      <c r="B352" s="617" t="s">
        <v>1101</v>
      </c>
      <c r="C352" s="617" t="s">
        <v>221</v>
      </c>
      <c r="D352" s="617" t="s">
        <v>12</v>
      </c>
      <c r="E352" s="617" t="s">
        <v>1101</v>
      </c>
      <c r="F352" s="617"/>
      <c r="G352" s="617"/>
      <c r="H352" s="609" t="str">
        <f>H350+F351</f>
        <v>65631.43</v>
      </c>
      <c r="I352" s="617">
        <v>482.346</v>
      </c>
      <c r="J352" s="616">
        <v>78.5</v>
      </c>
      <c r="K352" s="616" t="str">
        <f>F351+F353</f>
        <v>837</v>
      </c>
      <c r="L352" s="616" t="str">
        <f>K352/2</f>
        <v>418.5</v>
      </c>
      <c r="M352" s="617">
        <v>253.0</v>
      </c>
      <c r="N352" s="617">
        <v>217.0</v>
      </c>
      <c r="O352" s="617">
        <v>470.0</v>
      </c>
      <c r="P352" s="617">
        <v>241.0</v>
      </c>
      <c r="Q352" s="617">
        <v>214.0</v>
      </c>
      <c r="R352" s="617">
        <v>455.0</v>
      </c>
      <c r="S352" s="617" t="s">
        <v>1688</v>
      </c>
      <c r="T352" s="617" t="s">
        <v>1689</v>
      </c>
      <c r="U352" s="618">
        <v>577347.989</v>
      </c>
      <c r="V352" s="618">
        <v>2654210.638</v>
      </c>
      <c r="W352" s="619"/>
      <c r="X352" s="138" t="s">
        <v>1671</v>
      </c>
      <c r="Y352" s="138" t="s">
        <v>1423</v>
      </c>
      <c r="Z352" s="620" t="s">
        <v>31</v>
      </c>
      <c r="AA352" s="625"/>
      <c r="AB352" s="625"/>
      <c r="AC352" s="625"/>
      <c r="AD352" s="626"/>
    </row>
    <row r="353" ht="24.75" customHeight="1">
      <c r="A353" s="598"/>
      <c r="B353" s="617"/>
      <c r="C353" s="617"/>
      <c r="D353" s="617"/>
      <c r="E353" s="617"/>
      <c r="F353" s="617">
        <v>412.0</v>
      </c>
      <c r="G353" s="617"/>
      <c r="H353" s="600"/>
      <c r="I353" s="617"/>
      <c r="J353" s="617"/>
      <c r="K353" s="616"/>
      <c r="L353" s="616"/>
      <c r="M353" s="617"/>
      <c r="N353" s="617"/>
      <c r="O353" s="617"/>
      <c r="P353" s="617"/>
      <c r="Q353" s="617"/>
      <c r="R353" s="617"/>
      <c r="S353" s="617"/>
      <c r="T353" s="617"/>
      <c r="U353" s="618"/>
      <c r="V353" s="618"/>
      <c r="W353" s="619" t="s">
        <v>1690</v>
      </c>
      <c r="X353" s="606"/>
      <c r="Y353" s="606"/>
      <c r="Z353" s="620"/>
      <c r="AA353" s="625"/>
      <c r="AB353" s="625"/>
      <c r="AC353" s="625"/>
      <c r="AD353" s="626"/>
    </row>
    <row r="354" ht="24.75" customHeight="1">
      <c r="A354" s="608">
        <v>173.0</v>
      </c>
      <c r="B354" s="617" t="s">
        <v>1691</v>
      </c>
      <c r="C354" s="617" t="s">
        <v>222</v>
      </c>
      <c r="D354" s="617" t="s">
        <v>13</v>
      </c>
      <c r="E354" s="617" t="s">
        <v>1692</v>
      </c>
      <c r="F354" s="617"/>
      <c r="G354" s="617" t="str">
        <f>SUM(F337:F353)</f>
        <v>3470</v>
      </c>
      <c r="H354" s="609" t="str">
        <f>H352+F353</f>
        <v>66043.43</v>
      </c>
      <c r="I354" s="617">
        <v>486.321</v>
      </c>
      <c r="J354" s="138">
        <v>70.72</v>
      </c>
      <c r="K354" s="616" t="str">
        <f>F353+F355</f>
        <v>811</v>
      </c>
      <c r="L354" s="616" t="str">
        <f>K354/2</f>
        <v>405.5</v>
      </c>
      <c r="M354" s="617">
        <v>196.0</v>
      </c>
      <c r="N354" s="617">
        <v>156.0</v>
      </c>
      <c r="O354" s="617">
        <v>352.0</v>
      </c>
      <c r="P354" s="617">
        <v>200.0</v>
      </c>
      <c r="Q354" s="617">
        <v>170.0</v>
      </c>
      <c r="R354" s="617">
        <v>370.0</v>
      </c>
      <c r="S354" s="617" t="s">
        <v>1693</v>
      </c>
      <c r="T354" s="617" t="s">
        <v>1694</v>
      </c>
      <c r="U354" s="618">
        <v>577732.024</v>
      </c>
      <c r="V354" s="618">
        <v>2654061.823</v>
      </c>
      <c r="W354" s="619"/>
      <c r="X354" s="138" t="s">
        <v>1671</v>
      </c>
      <c r="Y354" s="138" t="s">
        <v>1423</v>
      </c>
      <c r="Z354" s="620" t="s">
        <v>31</v>
      </c>
      <c r="AA354" s="625"/>
      <c r="AB354" s="625"/>
      <c r="AC354" s="625"/>
      <c r="AD354" s="626"/>
    </row>
    <row r="355" ht="24.75" customHeight="1">
      <c r="A355" s="598"/>
      <c r="B355" s="616"/>
      <c r="C355" s="616"/>
      <c r="D355" s="617"/>
      <c r="E355" s="616"/>
      <c r="F355" s="616">
        <v>399.0</v>
      </c>
      <c r="G355" s="616"/>
      <c r="H355" s="600"/>
      <c r="I355" s="616"/>
      <c r="J355" s="616"/>
      <c r="K355" s="616"/>
      <c r="L355" s="616"/>
      <c r="M355" s="616"/>
      <c r="N355" s="616"/>
      <c r="O355" s="616"/>
      <c r="P355" s="616"/>
      <c r="Q355" s="616"/>
      <c r="R355" s="616"/>
      <c r="S355" s="616"/>
      <c r="T355" s="616"/>
      <c r="U355" s="616"/>
      <c r="V355" s="616"/>
      <c r="W355" s="616" t="s">
        <v>1695</v>
      </c>
      <c r="X355" s="606"/>
      <c r="Y355" s="606"/>
      <c r="Z355" s="640"/>
      <c r="AA355" s="625"/>
      <c r="AB355" s="625"/>
      <c r="AC355" s="625"/>
      <c r="AD355" s="626"/>
    </row>
    <row r="356" ht="24.75" customHeight="1">
      <c r="A356" s="608">
        <v>174.0</v>
      </c>
      <c r="B356" s="616" t="s">
        <v>1101</v>
      </c>
      <c r="C356" s="616" t="s">
        <v>223</v>
      </c>
      <c r="D356" s="617" t="s">
        <v>34</v>
      </c>
      <c r="E356" s="616" t="s">
        <v>1101</v>
      </c>
      <c r="F356" s="616"/>
      <c r="G356" s="616" t="s">
        <v>1101</v>
      </c>
      <c r="H356" s="609" t="str">
        <f>H354+F355</f>
        <v>66442.43</v>
      </c>
      <c r="I356" s="616">
        <v>491.543</v>
      </c>
      <c r="J356" s="616">
        <v>75.5</v>
      </c>
      <c r="K356" s="616" t="str">
        <f>F355+F357</f>
        <v>819</v>
      </c>
      <c r="L356" s="616" t="str">
        <f>K356/2</f>
        <v>409.5</v>
      </c>
      <c r="M356" s="616">
        <v>244.0</v>
      </c>
      <c r="N356" s="616">
        <v>235.0</v>
      </c>
      <c r="O356" s="616">
        <v>479.0</v>
      </c>
      <c r="P356" s="616">
        <v>231.0</v>
      </c>
      <c r="Q356" s="616">
        <v>228.0</v>
      </c>
      <c r="R356" s="616">
        <v>459.0</v>
      </c>
      <c r="S356" s="616" t="s">
        <v>1696</v>
      </c>
      <c r="T356" s="616" t="s">
        <v>1697</v>
      </c>
      <c r="U356" s="616">
        <v>578043.289</v>
      </c>
      <c r="V356" s="616">
        <v>2653812.193</v>
      </c>
      <c r="W356" s="616"/>
      <c r="X356" s="138" t="s">
        <v>1698</v>
      </c>
      <c r="Y356" s="138" t="s">
        <v>1699</v>
      </c>
      <c r="Z356" s="620" t="s">
        <v>1700</v>
      </c>
      <c r="AA356" s="625"/>
      <c r="AB356" s="625"/>
      <c r="AC356" s="625"/>
      <c r="AD356" s="626"/>
    </row>
    <row r="357" ht="24.75" customHeight="1">
      <c r="A357" s="598"/>
      <c r="B357" s="616"/>
      <c r="C357" s="616"/>
      <c r="D357" s="617"/>
      <c r="E357" s="616"/>
      <c r="F357" s="616">
        <v>420.0</v>
      </c>
      <c r="G357" s="616"/>
      <c r="H357" s="600"/>
      <c r="I357" s="616"/>
      <c r="J357" s="616"/>
      <c r="K357" s="616"/>
      <c r="L357" s="616"/>
      <c r="M357" s="616"/>
      <c r="N357" s="616"/>
      <c r="O357" s="616"/>
      <c r="P357" s="616"/>
      <c r="Q357" s="616"/>
      <c r="R357" s="616"/>
      <c r="S357" s="616"/>
      <c r="T357" s="616"/>
      <c r="U357" s="616"/>
      <c r="V357" s="616"/>
      <c r="W357" s="616" t="s">
        <v>1701</v>
      </c>
      <c r="X357" s="606"/>
      <c r="Y357" s="606"/>
      <c r="Z357" s="640"/>
      <c r="AA357" s="625"/>
      <c r="AB357" s="625"/>
      <c r="AC357" s="625"/>
      <c r="AD357" s="626"/>
    </row>
    <row r="358" ht="24.75" customHeight="1">
      <c r="A358" s="608">
        <v>175.0</v>
      </c>
      <c r="B358" s="616" t="s">
        <v>1101</v>
      </c>
      <c r="C358" s="616" t="s">
        <v>224</v>
      </c>
      <c r="D358" s="617" t="s">
        <v>33</v>
      </c>
      <c r="E358" s="616" t="s">
        <v>1101</v>
      </c>
      <c r="F358" s="616"/>
      <c r="G358" s="616" t="s">
        <v>1101</v>
      </c>
      <c r="H358" s="609" t="str">
        <f>H356+F357</f>
        <v>66862.43</v>
      </c>
      <c r="I358" s="622">
        <v>489.733</v>
      </c>
      <c r="J358" s="616">
        <v>72.5</v>
      </c>
      <c r="K358" s="616" t="str">
        <f>F357+F359</f>
        <v>787</v>
      </c>
      <c r="L358" s="616" t="str">
        <f>K358/2</f>
        <v>393.5</v>
      </c>
      <c r="M358" s="616">
        <v>186.0</v>
      </c>
      <c r="N358" s="616">
        <v>175.0</v>
      </c>
      <c r="O358" s="616">
        <v>361.0</v>
      </c>
      <c r="P358" s="616">
        <v>194.0</v>
      </c>
      <c r="Q358" s="616">
        <v>178.0</v>
      </c>
      <c r="R358" s="616">
        <v>372.0</v>
      </c>
      <c r="S358" s="616" t="s">
        <v>1702</v>
      </c>
      <c r="T358" s="616" t="s">
        <v>1703</v>
      </c>
      <c r="U358" s="616">
        <v>578370.936</v>
      </c>
      <c r="V358" s="616">
        <v>2653549.424</v>
      </c>
      <c r="W358" s="616"/>
      <c r="X358" s="138" t="s">
        <v>1698</v>
      </c>
      <c r="Y358" s="138" t="s">
        <v>1699</v>
      </c>
      <c r="Z358" s="620" t="s">
        <v>1700</v>
      </c>
      <c r="AA358" s="625"/>
      <c r="AB358" s="625"/>
      <c r="AC358" s="625"/>
      <c r="AD358" s="626"/>
    </row>
    <row r="359" ht="24.75" customHeight="1">
      <c r="A359" s="598"/>
      <c r="B359" s="616"/>
      <c r="C359" s="616"/>
      <c r="D359" s="617"/>
      <c r="E359" s="616"/>
      <c r="F359" s="616">
        <v>367.0</v>
      </c>
      <c r="G359" s="616"/>
      <c r="H359" s="600"/>
      <c r="I359" s="616"/>
      <c r="J359" s="616"/>
      <c r="K359" s="616"/>
      <c r="L359" s="616"/>
      <c r="M359" s="616"/>
      <c r="N359" s="616"/>
      <c r="O359" s="616"/>
      <c r="P359" s="616"/>
      <c r="Q359" s="616"/>
      <c r="R359" s="616"/>
      <c r="S359" s="616"/>
      <c r="T359" s="616"/>
      <c r="U359" s="616"/>
      <c r="V359" s="616"/>
      <c r="W359" s="616" t="s">
        <v>1240</v>
      </c>
      <c r="X359" s="606"/>
      <c r="Y359" s="606"/>
      <c r="Z359" s="640"/>
      <c r="AA359" s="625"/>
      <c r="AB359" s="625"/>
      <c r="AC359" s="625"/>
      <c r="AD359" s="626"/>
    </row>
    <row r="360" ht="24.75" customHeight="1">
      <c r="A360" s="608">
        <v>176.0</v>
      </c>
      <c r="B360" s="616" t="s">
        <v>1101</v>
      </c>
      <c r="C360" s="616" t="s">
        <v>225</v>
      </c>
      <c r="D360" s="617" t="s">
        <v>33</v>
      </c>
      <c r="E360" s="616" t="s">
        <v>1101</v>
      </c>
      <c r="F360" s="616"/>
      <c r="G360" s="616" t="s">
        <v>1101</v>
      </c>
      <c r="H360" s="609" t="str">
        <f>H358+F359</f>
        <v>67229.43</v>
      </c>
      <c r="I360" s="622">
        <v>491.245</v>
      </c>
      <c r="J360" s="616">
        <v>72.5</v>
      </c>
      <c r="K360" s="616" t="str">
        <f>F359+F361</f>
        <v>721</v>
      </c>
      <c r="L360" s="616" t="str">
        <f>K360/2</f>
        <v>360.5</v>
      </c>
      <c r="M360" s="616">
        <v>193.0</v>
      </c>
      <c r="N360" s="616">
        <v>151.0</v>
      </c>
      <c r="O360" s="616">
        <v>344.0</v>
      </c>
      <c r="P360" s="616">
        <v>190.0</v>
      </c>
      <c r="Q360" s="616">
        <v>159.0</v>
      </c>
      <c r="R360" s="616">
        <v>349.0</v>
      </c>
      <c r="S360" s="616" t="s">
        <v>1704</v>
      </c>
      <c r="T360" s="616" t="s">
        <v>1705</v>
      </c>
      <c r="U360" s="616">
        <v>578657.237</v>
      </c>
      <c r="V360" s="616">
        <v>2653319.814</v>
      </c>
      <c r="W360" s="616"/>
      <c r="X360" s="138" t="s">
        <v>1698</v>
      </c>
      <c r="Y360" s="138" t="s">
        <v>1699</v>
      </c>
      <c r="Z360" s="620" t="s">
        <v>1700</v>
      </c>
      <c r="AA360" s="625"/>
      <c r="AB360" s="625"/>
      <c r="AC360" s="625"/>
      <c r="AD360" s="626"/>
    </row>
    <row r="361" ht="24.75" customHeight="1">
      <c r="A361" s="598"/>
      <c r="B361" s="616"/>
      <c r="C361" s="616"/>
      <c r="D361" s="617"/>
      <c r="E361" s="616"/>
      <c r="F361" s="616">
        <v>354.0</v>
      </c>
      <c r="G361" s="616"/>
      <c r="H361" s="600"/>
      <c r="I361" s="616"/>
      <c r="J361" s="616"/>
      <c r="K361" s="616"/>
      <c r="L361" s="616"/>
      <c r="M361" s="616"/>
      <c r="N361" s="616"/>
      <c r="O361" s="616"/>
      <c r="P361" s="616"/>
      <c r="Q361" s="616"/>
      <c r="R361" s="616"/>
      <c r="S361" s="616"/>
      <c r="T361" s="616"/>
      <c r="U361" s="616"/>
      <c r="V361" s="616"/>
      <c r="W361" s="616" t="s">
        <v>1208</v>
      </c>
      <c r="X361" s="606"/>
      <c r="Y361" s="606"/>
      <c r="Z361" s="640"/>
      <c r="AA361" s="625"/>
      <c r="AB361" s="625"/>
      <c r="AC361" s="625"/>
      <c r="AD361" s="626"/>
    </row>
    <row r="362" ht="24.75" customHeight="1">
      <c r="A362" s="608">
        <v>177.0</v>
      </c>
      <c r="B362" s="616" t="s">
        <v>1101</v>
      </c>
      <c r="C362" s="616" t="s">
        <v>226</v>
      </c>
      <c r="D362" s="617" t="s">
        <v>33</v>
      </c>
      <c r="E362" s="616" t="s">
        <v>1101</v>
      </c>
      <c r="F362" s="616"/>
      <c r="G362" s="616" t="s">
        <v>1101</v>
      </c>
      <c r="H362" s="609" t="str">
        <f>H360+F361</f>
        <v>67583.43</v>
      </c>
      <c r="I362" s="622">
        <v>495.569</v>
      </c>
      <c r="J362" s="616">
        <v>72.5</v>
      </c>
      <c r="K362" s="616" t="str">
        <f>F361+F363</f>
        <v>753</v>
      </c>
      <c r="L362" s="616" t="str">
        <f>K362/2</f>
        <v>376.5</v>
      </c>
      <c r="M362" s="616">
        <v>203.0</v>
      </c>
      <c r="N362" s="616">
        <v>221.0</v>
      </c>
      <c r="O362" s="616">
        <v>424.0</v>
      </c>
      <c r="P362" s="616">
        <v>195.0</v>
      </c>
      <c r="Q362" s="616">
        <v>214.0</v>
      </c>
      <c r="R362" s="616">
        <v>409.0</v>
      </c>
      <c r="S362" s="616" t="s">
        <v>1706</v>
      </c>
      <c r="T362" s="616" t="s">
        <v>1707</v>
      </c>
      <c r="U362" s="616">
        <v>578933.396</v>
      </c>
      <c r="V362" s="616">
        <v>2653098.337</v>
      </c>
      <c r="W362" s="616"/>
      <c r="X362" s="138" t="s">
        <v>1698</v>
      </c>
      <c r="Y362" s="138" t="s">
        <v>1699</v>
      </c>
      <c r="Z362" s="620" t="s">
        <v>1700</v>
      </c>
      <c r="AA362" s="625"/>
      <c r="AB362" s="625"/>
      <c r="AC362" s="625"/>
      <c r="AD362" s="626"/>
    </row>
    <row r="363" ht="24.75" customHeight="1">
      <c r="A363" s="598"/>
      <c r="B363" s="616"/>
      <c r="C363" s="616"/>
      <c r="D363" s="617"/>
      <c r="E363" s="616"/>
      <c r="F363" s="616">
        <v>399.0</v>
      </c>
      <c r="G363" s="616"/>
      <c r="H363" s="600"/>
      <c r="I363" s="616"/>
      <c r="J363" s="616"/>
      <c r="K363" s="616"/>
      <c r="L363" s="616"/>
      <c r="M363" s="616"/>
      <c r="N363" s="616"/>
      <c r="O363" s="616"/>
      <c r="P363" s="616"/>
      <c r="Q363" s="616"/>
      <c r="R363" s="616"/>
      <c r="S363" s="616"/>
      <c r="T363" s="616"/>
      <c r="U363" s="616"/>
      <c r="V363" s="616"/>
      <c r="W363" s="616" t="s">
        <v>1208</v>
      </c>
      <c r="X363" s="606"/>
      <c r="Y363" s="606"/>
      <c r="Z363" s="640"/>
      <c r="AA363" s="625"/>
      <c r="AB363" s="625"/>
      <c r="AC363" s="625"/>
      <c r="AD363" s="626"/>
    </row>
    <row r="364" ht="24.75" customHeight="1">
      <c r="A364" s="608">
        <v>178.0</v>
      </c>
      <c r="B364" s="616" t="s">
        <v>1101</v>
      </c>
      <c r="C364" s="616" t="s">
        <v>227</v>
      </c>
      <c r="D364" s="617" t="s">
        <v>33</v>
      </c>
      <c r="E364" s="616" t="s">
        <v>1101</v>
      </c>
      <c r="F364" s="616"/>
      <c r="G364" s="616" t="s">
        <v>1101</v>
      </c>
      <c r="H364" s="609" t="str">
        <f>H362+F363</f>
        <v>67982.43</v>
      </c>
      <c r="I364" s="622">
        <v>491.707</v>
      </c>
      <c r="J364" s="616">
        <v>72.5</v>
      </c>
      <c r="K364" s="616" t="str">
        <f>F363+F365</f>
        <v>774</v>
      </c>
      <c r="L364" s="616" t="str">
        <f>K364/2</f>
        <v>387</v>
      </c>
      <c r="M364" s="616">
        <v>179.0</v>
      </c>
      <c r="N364" s="616">
        <v>209.0</v>
      </c>
      <c r="O364" s="616">
        <v>388.0</v>
      </c>
      <c r="P364" s="616">
        <v>186.0</v>
      </c>
      <c r="Q364" s="616">
        <v>202.0</v>
      </c>
      <c r="R364" s="616">
        <v>388.0</v>
      </c>
      <c r="S364" s="616" t="s">
        <v>1708</v>
      </c>
      <c r="T364" s="616" t="s">
        <v>1709</v>
      </c>
      <c r="U364" s="616">
        <v>579244.661</v>
      </c>
      <c r="V364" s="616">
        <v>2652848.707</v>
      </c>
      <c r="W364" s="616"/>
      <c r="X364" s="138" t="s">
        <v>1698</v>
      </c>
      <c r="Y364" s="138" t="s">
        <v>1699</v>
      </c>
      <c r="Z364" s="620" t="s">
        <v>1700</v>
      </c>
      <c r="AA364" s="625"/>
      <c r="AB364" s="625"/>
      <c r="AC364" s="625"/>
      <c r="AD364" s="626"/>
    </row>
    <row r="365" ht="24.75" customHeight="1">
      <c r="A365" s="598"/>
      <c r="B365" s="616"/>
      <c r="C365" s="616"/>
      <c r="D365" s="617"/>
      <c r="E365" s="616"/>
      <c r="F365" s="616">
        <v>375.0</v>
      </c>
      <c r="G365" s="616"/>
      <c r="H365" s="600"/>
      <c r="I365" s="616"/>
      <c r="J365" s="616"/>
      <c r="K365" s="616"/>
      <c r="L365" s="616"/>
      <c r="M365" s="616"/>
      <c r="N365" s="616"/>
      <c r="O365" s="616"/>
      <c r="P365" s="616"/>
      <c r="Q365" s="616"/>
      <c r="R365" s="616"/>
      <c r="S365" s="616"/>
      <c r="T365" s="616"/>
      <c r="U365" s="616"/>
      <c r="V365" s="616"/>
      <c r="W365" s="616" t="s">
        <v>1251</v>
      </c>
      <c r="X365" s="606"/>
      <c r="Y365" s="606"/>
      <c r="Z365" s="640"/>
      <c r="AA365" s="625"/>
      <c r="AB365" s="625"/>
      <c r="AC365" s="625"/>
      <c r="AD365" s="626"/>
    </row>
    <row r="366" ht="24.75" customHeight="1">
      <c r="A366" s="608">
        <v>179.0</v>
      </c>
      <c r="B366" s="616" t="s">
        <v>1101</v>
      </c>
      <c r="C366" s="606" t="s">
        <v>228</v>
      </c>
      <c r="D366" s="138" t="s">
        <v>36</v>
      </c>
      <c r="E366" s="606" t="s">
        <v>1710</v>
      </c>
      <c r="F366" s="616"/>
      <c r="G366" s="616" t="s">
        <v>1101</v>
      </c>
      <c r="H366" s="609" t="str">
        <f>H364+F365</f>
        <v>68357.43</v>
      </c>
      <c r="I366" s="622">
        <v>488.049</v>
      </c>
      <c r="J366" s="616">
        <v>70.72</v>
      </c>
      <c r="K366" s="616" t="str">
        <f>F365+F367</f>
        <v>755</v>
      </c>
      <c r="L366" s="616" t="str">
        <f>K366/2</f>
        <v>377.5</v>
      </c>
      <c r="M366" s="616">
        <v>167.0</v>
      </c>
      <c r="N366" s="616">
        <v>206.0</v>
      </c>
      <c r="O366" s="616">
        <v>373.0</v>
      </c>
      <c r="P366" s="616">
        <v>174.0</v>
      </c>
      <c r="Q366" s="616">
        <v>201.0</v>
      </c>
      <c r="R366" s="616">
        <v>375.0</v>
      </c>
      <c r="S366" s="616" t="s">
        <v>1711</v>
      </c>
      <c r="T366" s="616" t="s">
        <v>1712</v>
      </c>
      <c r="U366" s="616">
        <v>579537.203</v>
      </c>
      <c r="V366" s="616">
        <v>2652614.092</v>
      </c>
      <c r="W366" s="616"/>
      <c r="X366" s="138" t="s">
        <v>1698</v>
      </c>
      <c r="Y366" s="138" t="s">
        <v>1699</v>
      </c>
      <c r="Z366" s="620" t="s">
        <v>1700</v>
      </c>
      <c r="AA366" s="625"/>
      <c r="AB366" s="625"/>
      <c r="AC366" s="625"/>
      <c r="AD366" s="626"/>
    </row>
    <row r="367" ht="24.75" customHeight="1">
      <c r="A367" s="598"/>
      <c r="B367" s="616"/>
      <c r="C367" s="616"/>
      <c r="D367" s="617"/>
      <c r="E367" s="616"/>
      <c r="F367" s="616">
        <v>380.0</v>
      </c>
      <c r="G367" s="616"/>
      <c r="H367" s="600"/>
      <c r="I367" s="616"/>
      <c r="J367" s="616"/>
      <c r="K367" s="616"/>
      <c r="L367" s="616"/>
      <c r="M367" s="616"/>
      <c r="N367" s="616"/>
      <c r="O367" s="616"/>
      <c r="P367" s="616"/>
      <c r="Q367" s="616"/>
      <c r="R367" s="616"/>
      <c r="S367" s="616"/>
      <c r="T367" s="616"/>
      <c r="U367" s="616"/>
      <c r="V367" s="616"/>
      <c r="W367" s="616" t="s">
        <v>1256</v>
      </c>
      <c r="X367" s="606"/>
      <c r="Y367" s="606"/>
      <c r="Z367" s="640"/>
      <c r="AA367" s="625"/>
      <c r="AB367" s="625"/>
      <c r="AC367" s="625"/>
      <c r="AD367" s="626"/>
    </row>
    <row r="368" ht="24.75" customHeight="1">
      <c r="A368" s="608">
        <v>180.0</v>
      </c>
      <c r="B368" s="616" t="s">
        <v>1101</v>
      </c>
      <c r="C368" s="616" t="s">
        <v>229</v>
      </c>
      <c r="D368" s="617" t="s">
        <v>33</v>
      </c>
      <c r="E368" s="616" t="s">
        <v>1101</v>
      </c>
      <c r="F368" s="616"/>
      <c r="G368" s="616" t="s">
        <v>1101</v>
      </c>
      <c r="H368" s="609" t="str">
        <f>H366+F367</f>
        <v>68737.43</v>
      </c>
      <c r="I368" s="622">
        <v>485.3</v>
      </c>
      <c r="J368" s="616">
        <v>72.5</v>
      </c>
      <c r="K368" s="616" t="str">
        <f>F367+F369</f>
        <v>785</v>
      </c>
      <c r="L368" s="616" t="str">
        <f>K368/2</f>
        <v>392.5</v>
      </c>
      <c r="M368" s="616">
        <v>175.0</v>
      </c>
      <c r="N368" s="616">
        <v>207.0</v>
      </c>
      <c r="O368" s="616">
        <v>382.0</v>
      </c>
      <c r="P368" s="616">
        <v>180.0</v>
      </c>
      <c r="Q368" s="616">
        <v>206.0</v>
      </c>
      <c r="R368" s="616">
        <v>386.0</v>
      </c>
      <c r="S368" s="616" t="s">
        <v>1713</v>
      </c>
      <c r="T368" s="616" t="s">
        <v>1714</v>
      </c>
      <c r="U368" s="616">
        <v>579833.645</v>
      </c>
      <c r="V368" s="616">
        <v>2652376.349</v>
      </c>
      <c r="W368" s="616"/>
      <c r="X368" s="138" t="s">
        <v>1715</v>
      </c>
      <c r="Y368" s="138" t="s">
        <v>1699</v>
      </c>
      <c r="Z368" s="620" t="s">
        <v>1700</v>
      </c>
      <c r="AA368" s="625"/>
      <c r="AB368" s="625"/>
      <c r="AC368" s="625"/>
      <c r="AD368" s="626"/>
    </row>
    <row r="369" ht="24.75" customHeight="1">
      <c r="A369" s="598"/>
      <c r="B369" s="616"/>
      <c r="C369" s="616"/>
      <c r="D369" s="617"/>
      <c r="E369" s="616"/>
      <c r="F369" s="616">
        <v>405.0</v>
      </c>
      <c r="G369" s="616"/>
      <c r="H369" s="600"/>
      <c r="I369" s="616"/>
      <c r="J369" s="616"/>
      <c r="K369" s="616"/>
      <c r="L369" s="616"/>
      <c r="M369" s="616"/>
      <c r="N369" s="616"/>
      <c r="O369" s="616"/>
      <c r="P369" s="616"/>
      <c r="Q369" s="616"/>
      <c r="R369" s="616"/>
      <c r="S369" s="616"/>
      <c r="T369" s="616"/>
      <c r="U369" s="616"/>
      <c r="V369" s="616"/>
      <c r="W369" s="616" t="s">
        <v>1256</v>
      </c>
      <c r="X369" s="606"/>
      <c r="Y369" s="606"/>
      <c r="Z369" s="640"/>
      <c r="AA369" s="625"/>
      <c r="AB369" s="625"/>
      <c r="AC369" s="625"/>
      <c r="AD369" s="626"/>
    </row>
    <row r="370" ht="24.75" customHeight="1">
      <c r="A370" s="608">
        <v>181.0</v>
      </c>
      <c r="B370" s="616" t="s">
        <v>1101</v>
      </c>
      <c r="C370" s="616" t="s">
        <v>230</v>
      </c>
      <c r="D370" s="617" t="s">
        <v>34</v>
      </c>
      <c r="E370" s="616" t="s">
        <v>1101</v>
      </c>
      <c r="F370" s="616"/>
      <c r="G370" s="616" t="s">
        <v>1101</v>
      </c>
      <c r="H370" s="609" t="str">
        <f>H368+F369</f>
        <v>69142.43</v>
      </c>
      <c r="I370" s="616">
        <v>481.558</v>
      </c>
      <c r="J370" s="616">
        <v>75.5</v>
      </c>
      <c r="K370" s="616" t="str">
        <f>F369+F371</f>
        <v>825</v>
      </c>
      <c r="L370" s="616" t="str">
        <f>K370/2</f>
        <v>412.5</v>
      </c>
      <c r="M370" s="616">
        <v>199.0</v>
      </c>
      <c r="N370" s="616">
        <v>225.0</v>
      </c>
      <c r="O370" s="616">
        <v>424.0</v>
      </c>
      <c r="P370" s="616">
        <v>200.0</v>
      </c>
      <c r="Q370" s="616">
        <v>221.0</v>
      </c>
      <c r="R370" s="616">
        <v>421.0</v>
      </c>
      <c r="S370" s="616" t="s">
        <v>1716</v>
      </c>
      <c r="T370" s="616" t="s">
        <v>1717</v>
      </c>
      <c r="U370" s="616">
        <v>580149.591</v>
      </c>
      <c r="V370" s="616">
        <v>2652122.965</v>
      </c>
      <c r="W370" s="616"/>
      <c r="X370" s="138" t="s">
        <v>1718</v>
      </c>
      <c r="Y370" s="138" t="s">
        <v>1699</v>
      </c>
      <c r="Z370" s="620" t="s">
        <v>1700</v>
      </c>
      <c r="AA370" s="625"/>
      <c r="AB370" s="625"/>
      <c r="AC370" s="625"/>
      <c r="AD370" s="626"/>
    </row>
    <row r="371" ht="24.75" customHeight="1">
      <c r="A371" s="598"/>
      <c r="B371" s="616"/>
      <c r="C371" s="616"/>
      <c r="D371" s="617"/>
      <c r="E371" s="616"/>
      <c r="F371" s="616">
        <v>420.0</v>
      </c>
      <c r="G371" s="616"/>
      <c r="H371" s="600"/>
      <c r="I371" s="616"/>
      <c r="J371" s="616"/>
      <c r="K371" s="616"/>
      <c r="L371" s="616"/>
      <c r="M371" s="616"/>
      <c r="N371" s="616"/>
      <c r="O371" s="616"/>
      <c r="P371" s="616"/>
      <c r="Q371" s="616"/>
      <c r="R371" s="616"/>
      <c r="S371" s="616"/>
      <c r="T371" s="616"/>
      <c r="U371" s="616"/>
      <c r="V371" s="616"/>
      <c r="W371" s="616"/>
      <c r="X371" s="606"/>
      <c r="Y371" s="606"/>
      <c r="Z371" s="640"/>
      <c r="AA371" s="625"/>
      <c r="AB371" s="625"/>
      <c r="AC371" s="625"/>
      <c r="AD371" s="626"/>
    </row>
    <row r="372" ht="24.75" customHeight="1">
      <c r="A372" s="608">
        <v>182.0</v>
      </c>
      <c r="B372" s="616" t="s">
        <v>1101</v>
      </c>
      <c r="C372" s="616" t="s">
        <v>231</v>
      </c>
      <c r="D372" s="617" t="s">
        <v>34</v>
      </c>
      <c r="E372" s="616" t="s">
        <v>1101</v>
      </c>
      <c r="F372" s="616"/>
      <c r="G372" s="616" t="s">
        <v>1101</v>
      </c>
      <c r="H372" s="609" t="str">
        <f>H370+F371</f>
        <v>69562.43</v>
      </c>
      <c r="I372" s="616">
        <v>478.638</v>
      </c>
      <c r="J372" s="616">
        <v>75.5</v>
      </c>
      <c r="K372" s="616" t="str">
        <f>F371+F373</f>
        <v>819</v>
      </c>
      <c r="L372" s="616" t="str">
        <f>K372/2</f>
        <v>409.5</v>
      </c>
      <c r="M372" s="616">
        <v>195.0</v>
      </c>
      <c r="N372" s="616">
        <v>231.0</v>
      </c>
      <c r="O372" s="616">
        <v>426.0</v>
      </c>
      <c r="P372" s="616">
        <v>200.0</v>
      </c>
      <c r="Q372" s="616">
        <v>222.0</v>
      </c>
      <c r="R372" s="616">
        <v>422.0</v>
      </c>
      <c r="S372" s="616" t="s">
        <v>1719</v>
      </c>
      <c r="T372" s="616" t="s">
        <v>1720</v>
      </c>
      <c r="U372" s="616">
        <v>580477.238</v>
      </c>
      <c r="V372" s="616">
        <v>2651860.196</v>
      </c>
      <c r="W372" s="616"/>
      <c r="X372" s="138" t="s">
        <v>1718</v>
      </c>
      <c r="Y372" s="138" t="s">
        <v>1699</v>
      </c>
      <c r="Z372" s="620" t="s">
        <v>1700</v>
      </c>
      <c r="AA372" s="625"/>
      <c r="AB372" s="625"/>
      <c r="AC372" s="625"/>
      <c r="AD372" s="626"/>
    </row>
    <row r="373" ht="24.75" customHeight="1">
      <c r="A373" s="598"/>
      <c r="B373" s="616"/>
      <c r="C373" s="616"/>
      <c r="D373" s="617"/>
      <c r="E373" s="616"/>
      <c r="F373" s="616">
        <v>399.0</v>
      </c>
      <c r="G373" s="616"/>
      <c r="H373" s="600"/>
      <c r="I373" s="616"/>
      <c r="J373" s="616"/>
      <c r="K373" s="616"/>
      <c r="L373" s="616"/>
      <c r="M373" s="616"/>
      <c r="N373" s="616"/>
      <c r="O373" s="616"/>
      <c r="P373" s="616"/>
      <c r="Q373" s="616"/>
      <c r="R373" s="616"/>
      <c r="S373" s="616"/>
      <c r="T373" s="616"/>
      <c r="U373" s="616"/>
      <c r="V373" s="616"/>
      <c r="W373" s="616" t="s">
        <v>1256</v>
      </c>
      <c r="X373" s="606"/>
      <c r="Y373" s="606"/>
      <c r="Z373" s="640"/>
      <c r="AA373" s="625"/>
      <c r="AB373" s="625"/>
      <c r="AC373" s="625"/>
      <c r="AD373" s="626"/>
    </row>
    <row r="374" ht="24.75" customHeight="1">
      <c r="A374" s="608">
        <v>183.0</v>
      </c>
      <c r="B374" s="616" t="s">
        <v>1101</v>
      </c>
      <c r="C374" s="616" t="s">
        <v>234</v>
      </c>
      <c r="D374" s="617" t="s">
        <v>33</v>
      </c>
      <c r="E374" s="616" t="s">
        <v>1101</v>
      </c>
      <c r="F374" s="616"/>
      <c r="G374" s="616" t="s">
        <v>1101</v>
      </c>
      <c r="H374" s="609" t="str">
        <f>H372+F373</f>
        <v>69961.43</v>
      </c>
      <c r="I374" s="622">
        <v>475.78</v>
      </c>
      <c r="J374" s="616">
        <v>72.5</v>
      </c>
      <c r="K374" s="616" t="str">
        <f>F373+F375</f>
        <v>779</v>
      </c>
      <c r="L374" s="616" t="str">
        <f>K374/2</f>
        <v>389.5</v>
      </c>
      <c r="M374" s="616">
        <v>168.0</v>
      </c>
      <c r="N374" s="616">
        <v>184.0</v>
      </c>
      <c r="O374" s="616">
        <v>352.0</v>
      </c>
      <c r="P374" s="616">
        <v>179.0</v>
      </c>
      <c r="Q374" s="616">
        <v>186.0</v>
      </c>
      <c r="R374" s="616">
        <v>365.0</v>
      </c>
      <c r="S374" s="616" t="s">
        <v>1721</v>
      </c>
      <c r="T374" s="616" t="s">
        <v>1722</v>
      </c>
      <c r="U374" s="616">
        <v>580788.502</v>
      </c>
      <c r="V374" s="616">
        <v>2651610.565</v>
      </c>
      <c r="W374" s="616"/>
      <c r="X374" s="138" t="s">
        <v>1718</v>
      </c>
      <c r="Y374" s="138" t="s">
        <v>1699</v>
      </c>
      <c r="Z374" s="620" t="s">
        <v>1700</v>
      </c>
      <c r="AA374" s="625"/>
      <c r="AB374" s="625"/>
      <c r="AC374" s="625"/>
      <c r="AD374" s="626"/>
    </row>
    <row r="375" ht="24.75" customHeight="1">
      <c r="A375" s="598"/>
      <c r="B375" s="616"/>
      <c r="C375" s="616"/>
      <c r="D375" s="617"/>
      <c r="E375" s="616"/>
      <c r="F375" s="616">
        <v>380.0</v>
      </c>
      <c r="G375" s="616"/>
      <c r="H375" s="600"/>
      <c r="I375" s="616"/>
      <c r="J375" s="616"/>
      <c r="K375" s="616"/>
      <c r="L375" s="616"/>
      <c r="M375" s="616"/>
      <c r="N375" s="616"/>
      <c r="O375" s="616"/>
      <c r="P375" s="616"/>
      <c r="Q375" s="616"/>
      <c r="R375" s="616"/>
      <c r="S375" s="616"/>
      <c r="T375" s="616"/>
      <c r="U375" s="616"/>
      <c r="V375" s="616"/>
      <c r="W375" s="616" t="s">
        <v>1214</v>
      </c>
      <c r="X375" s="606"/>
      <c r="Y375" s="606"/>
      <c r="Z375" s="640"/>
      <c r="AA375" s="625"/>
      <c r="AB375" s="625"/>
      <c r="AC375" s="625"/>
      <c r="AD375" s="626"/>
    </row>
    <row r="376" ht="24.75" customHeight="1">
      <c r="A376" s="608">
        <v>184.0</v>
      </c>
      <c r="B376" s="616" t="s">
        <v>1101</v>
      </c>
      <c r="C376" s="616" t="s">
        <v>235</v>
      </c>
      <c r="D376" s="617" t="s">
        <v>34</v>
      </c>
      <c r="E376" s="616" t="s">
        <v>1101</v>
      </c>
      <c r="F376" s="616"/>
      <c r="G376" s="616" t="s">
        <v>1101</v>
      </c>
      <c r="H376" s="609" t="str">
        <f>H374+F375</f>
        <v>70341.43</v>
      </c>
      <c r="I376" s="616">
        <v>473.953</v>
      </c>
      <c r="J376" s="616">
        <v>75.5</v>
      </c>
      <c r="K376" s="616" t="str">
        <f>F375+F377</f>
        <v>795</v>
      </c>
      <c r="L376" s="616" t="str">
        <f>K376/2</f>
        <v>397.5</v>
      </c>
      <c r="M376" s="616">
        <v>197.0</v>
      </c>
      <c r="N376" s="616">
        <v>220.0</v>
      </c>
      <c r="O376" s="616">
        <v>417.0</v>
      </c>
      <c r="P376" s="616">
        <v>195.0</v>
      </c>
      <c r="Q376" s="616">
        <v>217.0</v>
      </c>
      <c r="R376" s="616">
        <v>412.0</v>
      </c>
      <c r="S376" s="616" t="s">
        <v>1723</v>
      </c>
      <c r="T376" s="616" t="s">
        <v>1724</v>
      </c>
      <c r="U376" s="616">
        <v>581084.945</v>
      </c>
      <c r="V376" s="616">
        <v>2651372.822</v>
      </c>
      <c r="W376" s="616"/>
      <c r="X376" s="138" t="s">
        <v>1718</v>
      </c>
      <c r="Y376" s="138" t="s">
        <v>1699</v>
      </c>
      <c r="Z376" s="620" t="s">
        <v>1700</v>
      </c>
      <c r="AA376" s="625"/>
      <c r="AB376" s="625"/>
      <c r="AC376" s="625"/>
      <c r="AD376" s="626"/>
    </row>
    <row r="377" ht="24.75" customHeight="1">
      <c r="A377" s="598"/>
      <c r="B377" s="616"/>
      <c r="C377" s="616"/>
      <c r="D377" s="617"/>
      <c r="E377" s="616"/>
      <c r="F377" s="616">
        <v>415.0</v>
      </c>
      <c r="G377" s="616"/>
      <c r="H377" s="600"/>
      <c r="I377" s="616"/>
      <c r="J377" s="616"/>
      <c r="K377" s="616"/>
      <c r="L377" s="616"/>
      <c r="M377" s="616"/>
      <c r="N377" s="616"/>
      <c r="O377" s="616"/>
      <c r="P377" s="616"/>
      <c r="Q377" s="616"/>
      <c r="R377" s="616"/>
      <c r="S377" s="616"/>
      <c r="T377" s="616"/>
      <c r="U377" s="616"/>
      <c r="V377" s="616"/>
      <c r="W377" s="616" t="s">
        <v>1701</v>
      </c>
      <c r="X377" s="606"/>
      <c r="Y377" s="606"/>
      <c r="Z377" s="640"/>
      <c r="AA377" s="625"/>
      <c r="AB377" s="625"/>
      <c r="AC377" s="625"/>
      <c r="AD377" s="626"/>
    </row>
    <row r="378" ht="24.75" customHeight="1">
      <c r="A378" s="608">
        <v>185.0</v>
      </c>
      <c r="B378" s="616" t="s">
        <v>1725</v>
      </c>
      <c r="C378" s="616" t="s">
        <v>236</v>
      </c>
      <c r="D378" s="617" t="s">
        <v>13</v>
      </c>
      <c r="E378" s="616" t="s">
        <v>1726</v>
      </c>
      <c r="F378" s="616"/>
      <c r="G378" s="616" t="str">
        <f>SUM(F355:F377)</f>
        <v>4713</v>
      </c>
      <c r="H378" s="609" t="str">
        <f>H376+F377</f>
        <v>70756.43</v>
      </c>
      <c r="I378" s="616">
        <v>474.642</v>
      </c>
      <c r="J378" s="138">
        <v>70.72</v>
      </c>
      <c r="K378" s="616" t="str">
        <f>F377+F379</f>
        <v>815</v>
      </c>
      <c r="L378" s="616" t="str">
        <f>K378/2</f>
        <v>407.5</v>
      </c>
      <c r="M378" s="616">
        <v>196.0</v>
      </c>
      <c r="N378" s="616">
        <v>175.0</v>
      </c>
      <c r="O378" s="616">
        <v>371.0</v>
      </c>
      <c r="P378" s="616">
        <v>200.0</v>
      </c>
      <c r="Q378" s="616">
        <v>184.0</v>
      </c>
      <c r="R378" s="616">
        <v>384.0</v>
      </c>
      <c r="S378" s="616" t="s">
        <v>1727</v>
      </c>
      <c r="T378" s="616" t="s">
        <v>1728</v>
      </c>
      <c r="U378" s="616">
        <v>581408.913</v>
      </c>
      <c r="V378" s="616">
        <v>2651113.004</v>
      </c>
      <c r="W378" s="616"/>
      <c r="X378" s="138" t="s">
        <v>1718</v>
      </c>
      <c r="Y378" s="138" t="s">
        <v>1699</v>
      </c>
      <c r="Z378" s="620" t="s">
        <v>1700</v>
      </c>
      <c r="AA378" s="625"/>
      <c r="AB378" s="625"/>
      <c r="AC378" s="625"/>
      <c r="AD378" s="626"/>
    </row>
    <row r="379" ht="24.75" customHeight="1">
      <c r="A379" s="598"/>
      <c r="B379" s="616"/>
      <c r="C379" s="616"/>
      <c r="D379" s="617"/>
      <c r="E379" s="616"/>
      <c r="F379" s="616">
        <v>400.0</v>
      </c>
      <c r="G379" s="616"/>
      <c r="H379" s="600"/>
      <c r="I379" s="616"/>
      <c r="J379" s="616"/>
      <c r="K379" s="616"/>
      <c r="L379" s="616"/>
      <c r="M379" s="616"/>
      <c r="N379" s="616"/>
      <c r="O379" s="616"/>
      <c r="P379" s="616"/>
      <c r="Q379" s="616"/>
      <c r="R379" s="616"/>
      <c r="S379" s="616"/>
      <c r="T379" s="616"/>
      <c r="U379" s="616"/>
      <c r="V379" s="616"/>
      <c r="W379" s="616" t="s">
        <v>1729</v>
      </c>
      <c r="X379" s="606"/>
      <c r="Y379" s="606"/>
      <c r="Z379" s="640"/>
      <c r="AA379" s="625"/>
      <c r="AB379" s="625"/>
      <c r="AC379" s="625"/>
      <c r="AD379" s="626"/>
    </row>
    <row r="380" ht="24.75" customHeight="1">
      <c r="A380" s="608">
        <v>186.0</v>
      </c>
      <c r="B380" s="616" t="s">
        <v>1101</v>
      </c>
      <c r="C380" s="616" t="s">
        <v>237</v>
      </c>
      <c r="D380" s="617" t="s">
        <v>34</v>
      </c>
      <c r="E380" s="616" t="s">
        <v>1101</v>
      </c>
      <c r="F380" s="616"/>
      <c r="G380" s="616" t="s">
        <v>1101</v>
      </c>
      <c r="H380" s="609" t="str">
        <f>H378+F379</f>
        <v>71156.43</v>
      </c>
      <c r="I380" s="616">
        <v>476.332</v>
      </c>
      <c r="J380" s="616">
        <v>75.5</v>
      </c>
      <c r="K380" s="616" t="str">
        <f>F379+F381</f>
        <v>792</v>
      </c>
      <c r="L380" s="616" t="str">
        <f>K380/2</f>
        <v>396</v>
      </c>
      <c r="M380" s="616">
        <v>226.0</v>
      </c>
      <c r="N380" s="616">
        <v>201.0</v>
      </c>
      <c r="O380" s="616">
        <v>427.0</v>
      </c>
      <c r="P380" s="616">
        <v>218.0</v>
      </c>
      <c r="Q380" s="616">
        <v>199.0</v>
      </c>
      <c r="R380" s="616">
        <v>417.0</v>
      </c>
      <c r="S380" s="616" t="s">
        <v>1730</v>
      </c>
      <c r="T380" s="616" t="s">
        <v>1731</v>
      </c>
      <c r="U380" s="616">
        <v>581636.16</v>
      </c>
      <c r="V380" s="616">
        <v>2650783.825</v>
      </c>
      <c r="W380" s="616"/>
      <c r="X380" s="138" t="s">
        <v>1718</v>
      </c>
      <c r="Y380" s="138" t="s">
        <v>1699</v>
      </c>
      <c r="Z380" s="620" t="s">
        <v>1700</v>
      </c>
      <c r="AA380" s="625"/>
      <c r="AB380" s="625"/>
      <c r="AC380" s="625"/>
      <c r="AD380" s="626"/>
    </row>
    <row r="381" ht="24.75" customHeight="1">
      <c r="A381" s="598"/>
      <c r="B381" s="616"/>
      <c r="C381" s="616"/>
      <c r="D381" s="617"/>
      <c r="E381" s="616"/>
      <c r="F381" s="616">
        <v>392.0</v>
      </c>
      <c r="G381" s="616"/>
      <c r="H381" s="600"/>
      <c r="I381" s="616"/>
      <c r="J381" s="616"/>
      <c r="K381" s="616"/>
      <c r="L381" s="616"/>
      <c r="M381" s="616"/>
      <c r="N381" s="616"/>
      <c r="O381" s="616"/>
      <c r="P381" s="616"/>
      <c r="Q381" s="616"/>
      <c r="R381" s="616"/>
      <c r="S381" s="616"/>
      <c r="T381" s="616"/>
      <c r="U381" s="616"/>
      <c r="V381" s="616"/>
      <c r="W381" s="616" t="s">
        <v>1251</v>
      </c>
      <c r="X381" s="606"/>
      <c r="Y381" s="606"/>
      <c r="Z381" s="640"/>
      <c r="AA381" s="625"/>
      <c r="AB381" s="625"/>
      <c r="AC381" s="625"/>
      <c r="AD381" s="626"/>
    </row>
    <row r="382" ht="24.75" customHeight="1">
      <c r="A382" s="608">
        <v>187.0</v>
      </c>
      <c r="B382" s="616" t="s">
        <v>1101</v>
      </c>
      <c r="C382" s="616" t="s">
        <v>238</v>
      </c>
      <c r="D382" s="617" t="s">
        <v>33</v>
      </c>
      <c r="E382" s="616" t="s">
        <v>1101</v>
      </c>
      <c r="F382" s="616"/>
      <c r="G382" s="616" t="s">
        <v>1101</v>
      </c>
      <c r="H382" s="609" t="str">
        <f>H380+F381</f>
        <v>71548.43</v>
      </c>
      <c r="I382" s="622">
        <v>478.562</v>
      </c>
      <c r="J382" s="616">
        <v>72.5</v>
      </c>
      <c r="K382" s="616" t="str">
        <f>F381+F383</f>
        <v>779</v>
      </c>
      <c r="L382" s="616" t="str">
        <f>K382/2</f>
        <v>389.5</v>
      </c>
      <c r="M382" s="616">
        <v>192.0</v>
      </c>
      <c r="N382" s="616">
        <v>210.0</v>
      </c>
      <c r="O382" s="616">
        <v>402.0</v>
      </c>
      <c r="P382" s="616">
        <v>194.0</v>
      </c>
      <c r="Q382" s="616">
        <v>205.0</v>
      </c>
      <c r="R382" s="616">
        <v>399.0</v>
      </c>
      <c r="S382" s="616" t="s">
        <v>1732</v>
      </c>
      <c r="T382" s="616" t="s">
        <v>1733</v>
      </c>
      <c r="U382" s="616">
        <v>581858.862</v>
      </c>
      <c r="V382" s="616">
        <v>2650461.229</v>
      </c>
      <c r="W382" s="616"/>
      <c r="X382" s="138" t="s">
        <v>1718</v>
      </c>
      <c r="Y382" s="138" t="s">
        <v>1699</v>
      </c>
      <c r="Z382" s="620" t="s">
        <v>1700</v>
      </c>
      <c r="AA382" s="625"/>
      <c r="AB382" s="625"/>
      <c r="AC382" s="625"/>
      <c r="AD382" s="626"/>
    </row>
    <row r="383" ht="24.75" customHeight="1">
      <c r="A383" s="598"/>
      <c r="B383" s="616"/>
      <c r="C383" s="616"/>
      <c r="D383" s="617"/>
      <c r="E383" s="616"/>
      <c r="F383" s="616">
        <v>387.0</v>
      </c>
      <c r="G383" s="616"/>
      <c r="H383" s="600"/>
      <c r="I383" s="616"/>
      <c r="J383" s="616"/>
      <c r="K383" s="616"/>
      <c r="L383" s="616"/>
      <c r="M383" s="616"/>
      <c r="N383" s="616"/>
      <c r="O383" s="616"/>
      <c r="P383" s="616"/>
      <c r="Q383" s="616"/>
      <c r="R383" s="616"/>
      <c r="S383" s="616"/>
      <c r="T383" s="616"/>
      <c r="U383" s="616"/>
      <c r="V383" s="616"/>
      <c r="W383" s="616" t="s">
        <v>1734</v>
      </c>
      <c r="X383" s="606"/>
      <c r="Y383" s="606"/>
      <c r="Z383" s="640"/>
      <c r="AA383" s="625"/>
      <c r="AB383" s="625"/>
      <c r="AC383" s="625"/>
      <c r="AD383" s="626"/>
    </row>
    <row r="384" ht="24.75" customHeight="1">
      <c r="A384" s="608">
        <v>188.0</v>
      </c>
      <c r="B384" s="616" t="s">
        <v>1101</v>
      </c>
      <c r="C384" s="616" t="s">
        <v>239</v>
      </c>
      <c r="D384" s="617" t="s">
        <v>33</v>
      </c>
      <c r="E384" s="616" t="s">
        <v>1101</v>
      </c>
      <c r="F384" s="616"/>
      <c r="G384" s="616" t="s">
        <v>1101</v>
      </c>
      <c r="H384" s="609" t="str">
        <f>H382+F383</f>
        <v>71935.43</v>
      </c>
      <c r="I384" s="622">
        <v>475.59</v>
      </c>
      <c r="J384" s="616">
        <v>72.5</v>
      </c>
      <c r="K384" s="616" t="str">
        <f>F383+F385</f>
        <v>733</v>
      </c>
      <c r="L384" s="616" t="str">
        <f>K384/2</f>
        <v>366.5</v>
      </c>
      <c r="M384" s="616">
        <v>177.0</v>
      </c>
      <c r="N384" s="616">
        <v>178.0</v>
      </c>
      <c r="O384" s="616">
        <v>355.0</v>
      </c>
      <c r="P384" s="616">
        <v>183.0</v>
      </c>
      <c r="Q384" s="616">
        <v>177.0</v>
      </c>
      <c r="R384" s="616">
        <v>360.0</v>
      </c>
      <c r="S384" s="616" t="s">
        <v>1735</v>
      </c>
      <c r="T384" s="616" t="s">
        <v>1736</v>
      </c>
      <c r="U384" s="616">
        <v>582078.723</v>
      </c>
      <c r="V384" s="616">
        <v>2650142.748</v>
      </c>
      <c r="W384" s="616"/>
      <c r="X384" s="138" t="s">
        <v>1737</v>
      </c>
      <c r="Y384" s="138" t="s">
        <v>1699</v>
      </c>
      <c r="Z384" s="620" t="s">
        <v>1700</v>
      </c>
      <c r="AA384" s="625"/>
      <c r="AB384" s="625"/>
      <c r="AC384" s="625"/>
      <c r="AD384" s="626"/>
    </row>
    <row r="385" ht="24.75" customHeight="1">
      <c r="A385" s="598"/>
      <c r="B385" s="616"/>
      <c r="C385" s="616"/>
      <c r="D385" s="617"/>
      <c r="E385" s="616"/>
      <c r="F385" s="616">
        <v>346.0</v>
      </c>
      <c r="G385" s="616"/>
      <c r="H385" s="600"/>
      <c r="I385" s="616"/>
      <c r="J385" s="616"/>
      <c r="K385" s="616"/>
      <c r="L385" s="616"/>
      <c r="M385" s="616"/>
      <c r="N385" s="616"/>
      <c r="O385" s="616"/>
      <c r="P385" s="616"/>
      <c r="Q385" s="616"/>
      <c r="R385" s="616"/>
      <c r="S385" s="616"/>
      <c r="T385" s="616"/>
      <c r="U385" s="616"/>
      <c r="V385" s="616"/>
      <c r="W385" s="616"/>
      <c r="X385" s="606"/>
      <c r="Y385" s="606"/>
      <c r="Z385" s="640"/>
      <c r="AA385" s="625"/>
      <c r="AB385" s="625"/>
      <c r="AC385" s="625"/>
      <c r="AD385" s="626"/>
    </row>
    <row r="386" ht="24.75" customHeight="1">
      <c r="A386" s="608">
        <v>189.0</v>
      </c>
      <c r="B386" s="616" t="s">
        <v>1738</v>
      </c>
      <c r="C386" s="616" t="s">
        <v>240</v>
      </c>
      <c r="D386" s="617" t="s">
        <v>114</v>
      </c>
      <c r="E386" s="616" t="s">
        <v>1739</v>
      </c>
      <c r="F386" s="616"/>
      <c r="G386" s="616" t="str">
        <f>SUM(F379:F385)</f>
        <v>1525</v>
      </c>
      <c r="H386" s="609" t="str">
        <f>H384+F385</f>
        <v>72281.43</v>
      </c>
      <c r="I386" s="616">
        <v>474.76</v>
      </c>
      <c r="J386" s="138">
        <v>70.72</v>
      </c>
      <c r="K386" s="616" t="str">
        <f>F385+F387</f>
        <v>746</v>
      </c>
      <c r="L386" s="616" t="str">
        <f>K386/2</f>
        <v>373</v>
      </c>
      <c r="M386" s="616">
        <v>168.0</v>
      </c>
      <c r="N386" s="616">
        <v>168.0</v>
      </c>
      <c r="O386" s="616">
        <v>336.0</v>
      </c>
      <c r="P386" s="616">
        <v>170.0</v>
      </c>
      <c r="Q386" s="616">
        <v>178.0</v>
      </c>
      <c r="R386" s="616">
        <v>348.0</v>
      </c>
      <c r="S386" s="616" t="s">
        <v>1740</v>
      </c>
      <c r="T386" s="616" t="s">
        <v>1741</v>
      </c>
      <c r="U386" s="616">
        <v>582275.362</v>
      </c>
      <c r="V386" s="616">
        <v>2649857.906</v>
      </c>
      <c r="W386" s="616"/>
      <c r="X386" s="138" t="s">
        <v>1737</v>
      </c>
      <c r="Y386" s="138" t="s">
        <v>1699</v>
      </c>
      <c r="Z386" s="620" t="s">
        <v>1700</v>
      </c>
      <c r="AA386" s="625"/>
      <c r="AB386" s="625"/>
      <c r="AC386" s="625"/>
      <c r="AD386" s="626"/>
    </row>
    <row r="387" ht="12.75" customHeight="1">
      <c r="A387" s="598"/>
      <c r="B387" s="616"/>
      <c r="C387" s="616"/>
      <c r="D387" s="617"/>
      <c r="E387" s="616"/>
      <c r="F387" s="616">
        <v>400.0</v>
      </c>
      <c r="G387" s="616"/>
      <c r="H387" s="600"/>
      <c r="I387" s="616"/>
      <c r="J387" s="616"/>
      <c r="K387" s="616"/>
      <c r="L387" s="616"/>
      <c r="M387" s="616"/>
      <c r="N387" s="616"/>
      <c r="O387" s="616"/>
      <c r="P387" s="616"/>
      <c r="Q387" s="616"/>
      <c r="R387" s="616"/>
      <c r="S387" s="616"/>
      <c r="T387" s="616"/>
      <c r="U387" s="616"/>
      <c r="V387" s="616"/>
      <c r="W387" s="616" t="s">
        <v>1742</v>
      </c>
      <c r="X387" s="606"/>
      <c r="Y387" s="606"/>
      <c r="Z387" s="640"/>
      <c r="AA387" s="625"/>
      <c r="AB387" s="625"/>
      <c r="AC387" s="625"/>
      <c r="AD387" s="626"/>
    </row>
    <row r="388" ht="24.75" customHeight="1">
      <c r="A388" s="608">
        <v>190.0</v>
      </c>
      <c r="B388" s="616" t="s">
        <v>1101</v>
      </c>
      <c r="C388" s="616" t="s">
        <v>241</v>
      </c>
      <c r="D388" s="617" t="s">
        <v>12</v>
      </c>
      <c r="E388" s="616" t="s">
        <v>1101</v>
      </c>
      <c r="F388" s="616"/>
      <c r="G388" s="616" t="s">
        <v>1101</v>
      </c>
      <c r="H388" s="609" t="str">
        <f>H386+F387</f>
        <v>72681.43</v>
      </c>
      <c r="I388" s="616">
        <v>474.81</v>
      </c>
      <c r="J388" s="616">
        <v>78.5</v>
      </c>
      <c r="K388" s="616" t="str">
        <f>F387+F389</f>
        <v>818</v>
      </c>
      <c r="L388" s="616" t="str">
        <f>K388/2</f>
        <v>409</v>
      </c>
      <c r="M388" s="616">
        <v>232.0</v>
      </c>
      <c r="N388" s="616">
        <v>240.0</v>
      </c>
      <c r="O388" s="616">
        <v>472.0</v>
      </c>
      <c r="P388" s="616">
        <v>223.0</v>
      </c>
      <c r="Q388" s="616">
        <v>231.0</v>
      </c>
      <c r="R388" s="616">
        <v>454.0</v>
      </c>
      <c r="S388" s="616" t="s">
        <v>1743</v>
      </c>
      <c r="T388" s="616" t="s">
        <v>1744</v>
      </c>
      <c r="U388" s="616">
        <v>582664.164</v>
      </c>
      <c r="V388" s="616">
        <v>2649763.92</v>
      </c>
      <c r="W388" s="616"/>
      <c r="X388" s="138" t="s">
        <v>1737</v>
      </c>
      <c r="Y388" s="138" t="s">
        <v>1699</v>
      </c>
      <c r="Z388" s="620" t="s">
        <v>1700</v>
      </c>
      <c r="AA388" s="625"/>
      <c r="AB388" s="625"/>
      <c r="AC388" s="625"/>
      <c r="AD388" s="626"/>
    </row>
    <row r="389" ht="12.75" customHeight="1">
      <c r="A389" s="598"/>
      <c r="B389" s="616"/>
      <c r="C389" s="616"/>
      <c r="D389" s="617"/>
      <c r="E389" s="616"/>
      <c r="F389" s="616">
        <v>418.0</v>
      </c>
      <c r="G389" s="616"/>
      <c r="H389" s="600"/>
      <c r="I389" s="616"/>
      <c r="J389" s="616"/>
      <c r="K389" s="616"/>
      <c r="L389" s="616"/>
      <c r="M389" s="616"/>
      <c r="N389" s="616"/>
      <c r="O389" s="616"/>
      <c r="P389" s="616"/>
      <c r="Q389" s="616"/>
      <c r="R389" s="616"/>
      <c r="S389" s="616"/>
      <c r="T389" s="616"/>
      <c r="U389" s="616"/>
      <c r="V389" s="616"/>
      <c r="W389" s="616" t="s">
        <v>1745</v>
      </c>
      <c r="X389" s="606"/>
      <c r="Y389" s="606"/>
      <c r="Z389" s="640"/>
      <c r="AA389" s="625"/>
      <c r="AB389" s="625"/>
      <c r="AC389" s="625"/>
      <c r="AD389" s="626"/>
    </row>
    <row r="390" ht="24.75" customHeight="1">
      <c r="A390" s="608">
        <v>191.0</v>
      </c>
      <c r="B390" s="616" t="s">
        <v>1101</v>
      </c>
      <c r="C390" s="616" t="s">
        <v>242</v>
      </c>
      <c r="D390" s="617" t="s">
        <v>11</v>
      </c>
      <c r="E390" s="616" t="s">
        <v>1101</v>
      </c>
      <c r="F390" s="616"/>
      <c r="G390" s="616" t="s">
        <v>1101</v>
      </c>
      <c r="H390" s="609" t="str">
        <f>H388+F389</f>
        <v>73099.43</v>
      </c>
      <c r="I390" s="616">
        <v>476.487</v>
      </c>
      <c r="J390" s="616">
        <v>71.0</v>
      </c>
      <c r="K390" s="616" t="str">
        <f>F389+F391</f>
        <v>769</v>
      </c>
      <c r="L390" s="616" t="str">
        <f>K390/2</f>
        <v>384.5</v>
      </c>
      <c r="M390" s="616">
        <v>179.0</v>
      </c>
      <c r="N390" s="616">
        <v>153.0</v>
      </c>
      <c r="O390" s="616">
        <v>332.0</v>
      </c>
      <c r="P390" s="616">
        <v>188.0</v>
      </c>
      <c r="Q390" s="616">
        <v>160.0</v>
      </c>
      <c r="R390" s="616">
        <v>348.0</v>
      </c>
      <c r="S390" s="616" t="s">
        <v>1746</v>
      </c>
      <c r="T390" s="616" t="s">
        <v>1747</v>
      </c>
      <c r="U390" s="616">
        <v>583070.461</v>
      </c>
      <c r="V390" s="616">
        <v>2649665.705</v>
      </c>
      <c r="W390" s="616"/>
      <c r="X390" s="138" t="s">
        <v>1737</v>
      </c>
      <c r="Y390" s="138" t="s">
        <v>1699</v>
      </c>
      <c r="Z390" s="620" t="s">
        <v>1700</v>
      </c>
      <c r="AA390" s="625"/>
      <c r="AB390" s="625"/>
      <c r="AC390" s="625"/>
      <c r="AD390" s="626"/>
    </row>
    <row r="391" ht="24.75" customHeight="1">
      <c r="A391" s="598"/>
      <c r="B391" s="616"/>
      <c r="C391" s="616"/>
      <c r="D391" s="617"/>
      <c r="E391" s="616"/>
      <c r="F391" s="616">
        <v>351.0</v>
      </c>
      <c r="G391" s="616"/>
      <c r="H391" s="600"/>
      <c r="I391" s="616"/>
      <c r="J391" s="616"/>
      <c r="K391" s="616"/>
      <c r="L391" s="616"/>
      <c r="M391" s="616"/>
      <c r="N391" s="616"/>
      <c r="O391" s="616"/>
      <c r="P391" s="616"/>
      <c r="Q391" s="616"/>
      <c r="R391" s="616"/>
      <c r="S391" s="616"/>
      <c r="T391" s="616"/>
      <c r="U391" s="616"/>
      <c r="V391" s="616"/>
      <c r="W391" s="616" t="s">
        <v>1748</v>
      </c>
      <c r="X391" s="606"/>
      <c r="Y391" s="606"/>
      <c r="Z391" s="640"/>
      <c r="AA391" s="625"/>
      <c r="AB391" s="625"/>
      <c r="AC391" s="625"/>
      <c r="AD391" s="626"/>
    </row>
    <row r="392" ht="24.75" customHeight="1">
      <c r="A392" s="608">
        <v>192.0</v>
      </c>
      <c r="B392" s="616" t="s">
        <v>1101</v>
      </c>
      <c r="C392" s="616" t="s">
        <v>243</v>
      </c>
      <c r="D392" s="617" t="s">
        <v>35</v>
      </c>
      <c r="E392" s="616"/>
      <c r="F392" s="616"/>
      <c r="G392" s="616" t="s">
        <v>1101</v>
      </c>
      <c r="H392" s="609" t="str">
        <f>H390+F391</f>
        <v>73450.43</v>
      </c>
      <c r="I392" s="616">
        <v>477.261</v>
      </c>
      <c r="J392" s="616">
        <v>74.0</v>
      </c>
      <c r="K392" s="616" t="str">
        <f>F391+F393</f>
        <v>780</v>
      </c>
      <c r="L392" s="616" t="str">
        <f>K392/2</f>
        <v>390</v>
      </c>
      <c r="M392" s="616">
        <v>198.0</v>
      </c>
      <c r="N392" s="616">
        <v>200.0</v>
      </c>
      <c r="O392" s="616">
        <v>398.0</v>
      </c>
      <c r="P392" s="616">
        <v>192.0</v>
      </c>
      <c r="Q392" s="616">
        <v>204.0</v>
      </c>
      <c r="R392" s="616">
        <v>396.0</v>
      </c>
      <c r="S392" s="616" t="s">
        <v>1749</v>
      </c>
      <c r="T392" s="616" t="s">
        <v>1750</v>
      </c>
      <c r="U392" s="616">
        <v>583411.635</v>
      </c>
      <c r="V392" s="616">
        <v>2649583.233</v>
      </c>
      <c r="W392" s="616"/>
      <c r="X392" s="138" t="s">
        <v>1737</v>
      </c>
      <c r="Y392" s="138" t="s">
        <v>1699</v>
      </c>
      <c r="Z392" s="620" t="s">
        <v>1700</v>
      </c>
      <c r="AA392" s="625"/>
      <c r="AB392" s="625"/>
      <c r="AC392" s="625"/>
      <c r="AD392" s="626"/>
    </row>
    <row r="393" ht="24.75" customHeight="1">
      <c r="A393" s="598"/>
      <c r="B393" s="616"/>
      <c r="C393" s="616"/>
      <c r="D393" s="617"/>
      <c r="E393" s="616"/>
      <c r="F393" s="616">
        <v>429.0</v>
      </c>
      <c r="G393" s="616"/>
      <c r="H393" s="600"/>
      <c r="I393" s="616"/>
      <c r="J393" s="616"/>
      <c r="K393" s="616"/>
      <c r="L393" s="616"/>
      <c r="M393" s="616"/>
      <c r="N393" s="616"/>
      <c r="O393" s="616"/>
      <c r="P393" s="616"/>
      <c r="Q393" s="616"/>
      <c r="R393" s="616"/>
      <c r="S393" s="616"/>
      <c r="T393" s="616"/>
      <c r="U393" s="616"/>
      <c r="V393" s="616"/>
      <c r="W393" s="616" t="s">
        <v>1751</v>
      </c>
      <c r="X393" s="606"/>
      <c r="Y393" s="606"/>
      <c r="Z393" s="640"/>
      <c r="AA393" s="625"/>
      <c r="AB393" s="625"/>
      <c r="AC393" s="625"/>
      <c r="AD393" s="626"/>
    </row>
    <row r="394" ht="24.75" customHeight="1">
      <c r="A394" s="608">
        <v>193.0</v>
      </c>
      <c r="B394" s="616" t="s">
        <v>1101</v>
      </c>
      <c r="C394" s="616" t="s">
        <v>244</v>
      </c>
      <c r="D394" s="617" t="s">
        <v>34</v>
      </c>
      <c r="E394" s="616" t="s">
        <v>1101</v>
      </c>
      <c r="F394" s="616"/>
      <c r="G394" s="616" t="s">
        <v>1101</v>
      </c>
      <c r="H394" s="609" t="str">
        <f>H392+F393</f>
        <v>73879.43</v>
      </c>
      <c r="I394" s="616">
        <v>478.635</v>
      </c>
      <c r="J394" s="616">
        <v>75.5</v>
      </c>
      <c r="K394" s="616" t="str">
        <f>F393+F395</f>
        <v>840</v>
      </c>
      <c r="L394" s="616" t="str">
        <f>K394/2</f>
        <v>420</v>
      </c>
      <c r="M394" s="616">
        <v>230.0</v>
      </c>
      <c r="N394" s="616">
        <v>213.0</v>
      </c>
      <c r="O394" s="616">
        <v>443.0</v>
      </c>
      <c r="P394" s="616">
        <v>226.0</v>
      </c>
      <c r="Q394" s="616">
        <v>211.0</v>
      </c>
      <c r="R394" s="616">
        <v>437.0</v>
      </c>
      <c r="S394" s="616" t="s">
        <v>1752</v>
      </c>
      <c r="T394" s="616" t="s">
        <v>1753</v>
      </c>
      <c r="U394" s="616">
        <v>583828.624</v>
      </c>
      <c r="V394" s="616">
        <v>2649482.433</v>
      </c>
      <c r="W394" s="616"/>
      <c r="X394" s="138" t="s">
        <v>1754</v>
      </c>
      <c r="Y394" s="138" t="s">
        <v>1699</v>
      </c>
      <c r="Z394" s="620" t="s">
        <v>1700</v>
      </c>
      <c r="AA394" s="625"/>
      <c r="AB394" s="625"/>
      <c r="AC394" s="625"/>
      <c r="AD394" s="626"/>
    </row>
    <row r="395" ht="24.75" customHeight="1">
      <c r="A395" s="598"/>
      <c r="B395" s="616"/>
      <c r="C395" s="616"/>
      <c r="D395" s="617"/>
      <c r="E395" s="616"/>
      <c r="F395" s="616">
        <v>411.0</v>
      </c>
      <c r="G395" s="616"/>
      <c r="H395" s="600"/>
      <c r="I395" s="616"/>
      <c r="J395" s="616"/>
      <c r="K395" s="616"/>
      <c r="L395" s="616"/>
      <c r="M395" s="616"/>
      <c r="N395" s="616"/>
      <c r="O395" s="616"/>
      <c r="P395" s="616"/>
      <c r="Q395" s="616"/>
      <c r="R395" s="616"/>
      <c r="S395" s="616"/>
      <c r="T395" s="616"/>
      <c r="U395" s="616"/>
      <c r="V395" s="616"/>
      <c r="W395" s="616" t="s">
        <v>1755</v>
      </c>
      <c r="X395" s="606"/>
      <c r="Y395" s="606"/>
      <c r="Z395" s="640"/>
      <c r="AA395" s="625"/>
      <c r="AB395" s="625"/>
      <c r="AC395" s="625"/>
      <c r="AD395" s="626"/>
    </row>
    <row r="396" ht="24.75" customHeight="1">
      <c r="A396" s="608">
        <v>194.0</v>
      </c>
      <c r="B396" s="616" t="s">
        <v>1101</v>
      </c>
      <c r="C396" s="616" t="s">
        <v>245</v>
      </c>
      <c r="D396" s="617" t="s">
        <v>33</v>
      </c>
      <c r="E396" s="616" t="s">
        <v>1101</v>
      </c>
      <c r="F396" s="616"/>
      <c r="G396" s="616" t="s">
        <v>1101</v>
      </c>
      <c r="H396" s="609" t="str">
        <f>H394+F395</f>
        <v>74290.43</v>
      </c>
      <c r="I396" s="622">
        <v>480.441</v>
      </c>
      <c r="J396" s="616">
        <v>72.5</v>
      </c>
      <c r="K396" s="616" t="str">
        <f>F395+F397</f>
        <v>792</v>
      </c>
      <c r="L396" s="616" t="str">
        <f>K396/2</f>
        <v>396</v>
      </c>
      <c r="M396" s="616">
        <v>199.0</v>
      </c>
      <c r="N396" s="616">
        <v>151.0</v>
      </c>
      <c r="O396" s="616">
        <v>350.0</v>
      </c>
      <c r="P396" s="616">
        <v>201.0</v>
      </c>
      <c r="Q396" s="616">
        <v>163.0</v>
      </c>
      <c r="R396" s="616">
        <v>364.0</v>
      </c>
      <c r="S396" s="616" t="s">
        <v>1756</v>
      </c>
      <c r="T396" s="616" t="s">
        <v>1757</v>
      </c>
      <c r="U396" s="616">
        <v>584228.118</v>
      </c>
      <c r="V396" s="616">
        <v>2649385.863</v>
      </c>
      <c r="W396" s="616"/>
      <c r="X396" s="138" t="s">
        <v>1754</v>
      </c>
      <c r="Y396" s="138" t="s">
        <v>1699</v>
      </c>
      <c r="Z396" s="620" t="s">
        <v>1700</v>
      </c>
      <c r="AA396" s="625"/>
      <c r="AB396" s="625"/>
      <c r="AC396" s="625"/>
      <c r="AD396" s="626"/>
    </row>
    <row r="397" ht="12.75" customHeight="1">
      <c r="A397" s="598"/>
      <c r="B397" s="616"/>
      <c r="C397" s="616"/>
      <c r="D397" s="617"/>
      <c r="E397" s="616"/>
      <c r="F397" s="616">
        <v>381.0</v>
      </c>
      <c r="G397" s="616"/>
      <c r="H397" s="600"/>
      <c r="I397" s="616"/>
      <c r="J397" s="616"/>
      <c r="K397" s="616"/>
      <c r="L397" s="616"/>
      <c r="M397" s="616"/>
      <c r="N397" s="616"/>
      <c r="O397" s="616"/>
      <c r="P397" s="616"/>
      <c r="Q397" s="616"/>
      <c r="R397" s="616"/>
      <c r="S397" s="616"/>
      <c r="T397" s="616"/>
      <c r="U397" s="616"/>
      <c r="V397" s="616"/>
      <c r="W397" s="616" t="s">
        <v>1758</v>
      </c>
      <c r="X397" s="606"/>
      <c r="Y397" s="606"/>
      <c r="Z397" s="640"/>
      <c r="AA397" s="625"/>
      <c r="AB397" s="625"/>
      <c r="AC397" s="625"/>
      <c r="AD397" s="626"/>
    </row>
    <row r="398" ht="24.75" customHeight="1">
      <c r="A398" s="608">
        <v>195.0</v>
      </c>
      <c r="B398" s="616" t="s">
        <v>1101</v>
      </c>
      <c r="C398" s="616" t="s">
        <v>246</v>
      </c>
      <c r="D398" s="617" t="s">
        <v>12</v>
      </c>
      <c r="E398" s="616" t="s">
        <v>1101</v>
      </c>
      <c r="F398" s="616"/>
      <c r="G398" s="616" t="s">
        <v>1101</v>
      </c>
      <c r="H398" s="609" t="str">
        <f>H396+F397</f>
        <v>74671.43</v>
      </c>
      <c r="I398" s="616">
        <v>481.366</v>
      </c>
      <c r="J398" s="616">
        <v>78.5</v>
      </c>
      <c r="K398" s="616" t="str">
        <f>F397+F399</f>
        <v>840</v>
      </c>
      <c r="L398" s="616" t="str">
        <f>K398/2</f>
        <v>420</v>
      </c>
      <c r="M398" s="616">
        <v>231.0</v>
      </c>
      <c r="N398" s="616">
        <v>215.0</v>
      </c>
      <c r="O398" s="616">
        <v>446.0</v>
      </c>
      <c r="P398" s="616">
        <v>219.0</v>
      </c>
      <c r="Q398" s="616">
        <v>220.0</v>
      </c>
      <c r="R398" s="616">
        <v>439.0</v>
      </c>
      <c r="S398" s="616" t="s">
        <v>1759</v>
      </c>
      <c r="T398" s="616" t="s">
        <v>1760</v>
      </c>
      <c r="U398" s="616">
        <v>584598.452</v>
      </c>
      <c r="V398" s="616">
        <v>2649296.341</v>
      </c>
      <c r="W398" s="616"/>
      <c r="X398" s="138" t="s">
        <v>1754</v>
      </c>
      <c r="Y398" s="138" t="s">
        <v>1699</v>
      </c>
      <c r="Z398" s="620" t="s">
        <v>1700</v>
      </c>
      <c r="AA398" s="625"/>
      <c r="AB398" s="625"/>
      <c r="AC398" s="625"/>
      <c r="AD398" s="626"/>
    </row>
    <row r="399" ht="24.75" customHeight="1">
      <c r="A399" s="598"/>
      <c r="B399" s="616"/>
      <c r="C399" s="616"/>
      <c r="D399" s="617"/>
      <c r="E399" s="616"/>
      <c r="F399" s="616">
        <v>459.0</v>
      </c>
      <c r="G399" s="616"/>
      <c r="H399" s="600"/>
      <c r="I399" s="616"/>
      <c r="J399" s="616"/>
      <c r="K399" s="616"/>
      <c r="L399" s="616"/>
      <c r="M399" s="616"/>
      <c r="N399" s="616"/>
      <c r="O399" s="616"/>
      <c r="P399" s="616"/>
      <c r="Q399" s="616"/>
      <c r="R399" s="616"/>
      <c r="S399" s="616"/>
      <c r="T399" s="616"/>
      <c r="U399" s="616"/>
      <c r="V399" s="616"/>
      <c r="W399" s="616" t="s">
        <v>1761</v>
      </c>
      <c r="X399" s="606"/>
      <c r="Y399" s="606"/>
      <c r="Z399" s="640"/>
      <c r="AA399" s="625"/>
      <c r="AB399" s="625"/>
      <c r="AC399" s="625"/>
      <c r="AD399" s="626"/>
    </row>
    <row r="400" ht="24.75" customHeight="1">
      <c r="A400" s="608">
        <v>196.0</v>
      </c>
      <c r="B400" s="616" t="s">
        <v>1101</v>
      </c>
      <c r="C400" s="616" t="s">
        <v>247</v>
      </c>
      <c r="D400" s="617" t="s">
        <v>12</v>
      </c>
      <c r="E400" s="616" t="s">
        <v>1101</v>
      </c>
      <c r="F400" s="616"/>
      <c r="G400" s="616" t="s">
        <v>1101</v>
      </c>
      <c r="H400" s="609" t="str">
        <f>H398+F399</f>
        <v>75130.43</v>
      </c>
      <c r="I400" s="616">
        <v>484.916</v>
      </c>
      <c r="J400" s="616">
        <v>78.5</v>
      </c>
      <c r="K400" s="616" t="str">
        <f>F399+F401</f>
        <v>829</v>
      </c>
      <c r="L400" s="616" t="str">
        <f>K400/2</f>
        <v>414.5</v>
      </c>
      <c r="M400" s="616">
        <v>245.0</v>
      </c>
      <c r="N400" s="616">
        <v>192.0</v>
      </c>
      <c r="O400" s="616">
        <v>437.0</v>
      </c>
      <c r="P400" s="616">
        <v>241.0</v>
      </c>
      <c r="Q400" s="616">
        <v>190.0</v>
      </c>
      <c r="R400" s="616">
        <v>431.0</v>
      </c>
      <c r="S400" s="616" t="s">
        <v>1762</v>
      </c>
      <c r="T400" s="616" t="s">
        <v>1763</v>
      </c>
      <c r="U400" s="616">
        <v>585044.601</v>
      </c>
      <c r="V400" s="616">
        <v>2649188.493</v>
      </c>
      <c r="W400" s="616"/>
      <c r="X400" s="138" t="s">
        <v>1699</v>
      </c>
      <c r="Y400" s="138" t="s">
        <v>1699</v>
      </c>
      <c r="Z400" s="620" t="s">
        <v>1700</v>
      </c>
      <c r="AA400" s="625"/>
      <c r="AB400" s="625"/>
      <c r="AC400" s="625"/>
      <c r="AD400" s="626"/>
    </row>
    <row r="401" ht="24.75" customHeight="1">
      <c r="A401" s="598"/>
      <c r="B401" s="616"/>
      <c r="C401" s="616"/>
      <c r="D401" s="617"/>
      <c r="E401" s="616"/>
      <c r="F401" s="616">
        <v>370.0</v>
      </c>
      <c r="G401" s="616"/>
      <c r="H401" s="600"/>
      <c r="I401" s="616"/>
      <c r="J401" s="616"/>
      <c r="K401" s="616"/>
      <c r="L401" s="616"/>
      <c r="M401" s="616"/>
      <c r="N401" s="616"/>
      <c r="O401" s="616"/>
      <c r="P401" s="616"/>
      <c r="Q401" s="616"/>
      <c r="R401" s="616"/>
      <c r="S401" s="616"/>
      <c r="T401" s="616"/>
      <c r="U401" s="616"/>
      <c r="V401" s="616"/>
      <c r="W401" s="616" t="s">
        <v>1205</v>
      </c>
      <c r="X401" s="606"/>
      <c r="Y401" s="606"/>
      <c r="Z401" s="640"/>
      <c r="AA401" s="625"/>
      <c r="AB401" s="625"/>
      <c r="AC401" s="625"/>
      <c r="AD401" s="626"/>
    </row>
    <row r="402" ht="24.75" customHeight="1">
      <c r="A402" s="608">
        <v>197.0</v>
      </c>
      <c r="B402" s="616" t="s">
        <v>1101</v>
      </c>
      <c r="C402" s="616" t="s">
        <v>253</v>
      </c>
      <c r="D402" s="617" t="s">
        <v>34</v>
      </c>
      <c r="E402" s="616" t="s">
        <v>1101</v>
      </c>
      <c r="F402" s="616"/>
      <c r="G402" s="616" t="s">
        <v>1101</v>
      </c>
      <c r="H402" s="609" t="str">
        <f>H400+F401</f>
        <v>75500.43</v>
      </c>
      <c r="I402" s="616">
        <v>486.707</v>
      </c>
      <c r="J402" s="616">
        <v>75.5</v>
      </c>
      <c r="K402" s="616" t="str">
        <f>F401+F403</f>
        <v>795</v>
      </c>
      <c r="L402" s="616" t="str">
        <f>K402/2</f>
        <v>397.5</v>
      </c>
      <c r="M402" s="616">
        <v>179.0</v>
      </c>
      <c r="N402" s="616">
        <v>195.0</v>
      </c>
      <c r="O402" s="616">
        <v>374.0</v>
      </c>
      <c r="P402" s="616">
        <v>181.0</v>
      </c>
      <c r="Q402" s="616">
        <v>201.0</v>
      </c>
      <c r="R402" s="616">
        <v>382.0</v>
      </c>
      <c r="S402" s="616" t="s">
        <v>1764</v>
      </c>
      <c r="T402" s="616" t="s">
        <v>1765</v>
      </c>
      <c r="U402" s="616">
        <v>585404.243</v>
      </c>
      <c r="V402" s="616">
        <v>2649101.556</v>
      </c>
      <c r="W402" s="616"/>
      <c r="X402" s="138" t="s">
        <v>1699</v>
      </c>
      <c r="Y402" s="138" t="s">
        <v>1699</v>
      </c>
      <c r="Z402" s="620" t="s">
        <v>1700</v>
      </c>
      <c r="AA402" s="625"/>
      <c r="AB402" s="625"/>
      <c r="AC402" s="625"/>
      <c r="AD402" s="626"/>
    </row>
    <row r="403" ht="12.75" customHeight="1">
      <c r="A403" s="598"/>
      <c r="B403" s="616"/>
      <c r="C403" s="616"/>
      <c r="D403" s="617"/>
      <c r="E403" s="616"/>
      <c r="F403" s="616">
        <v>425.0</v>
      </c>
      <c r="G403" s="616"/>
      <c r="H403" s="600"/>
      <c r="I403" s="616"/>
      <c r="J403" s="616"/>
      <c r="K403" s="616"/>
      <c r="L403" s="616"/>
      <c r="M403" s="616"/>
      <c r="N403" s="616"/>
      <c r="O403" s="616"/>
      <c r="P403" s="616"/>
      <c r="Q403" s="616"/>
      <c r="R403" s="616"/>
      <c r="S403" s="616"/>
      <c r="T403" s="616"/>
      <c r="U403" s="616"/>
      <c r="V403" s="616"/>
      <c r="W403" s="616" t="s">
        <v>1766</v>
      </c>
      <c r="X403" s="606"/>
      <c r="Y403" s="606"/>
      <c r="Z403" s="640"/>
      <c r="AA403" s="625"/>
      <c r="AB403" s="625"/>
      <c r="AC403" s="625"/>
      <c r="AD403" s="626"/>
    </row>
    <row r="404" ht="24.75" customHeight="1">
      <c r="A404" s="608">
        <v>198.0</v>
      </c>
      <c r="B404" s="606" t="s">
        <v>1767</v>
      </c>
      <c r="C404" s="606" t="s">
        <v>254</v>
      </c>
      <c r="D404" s="138" t="s">
        <v>186</v>
      </c>
      <c r="E404" s="606" t="s">
        <v>1768</v>
      </c>
      <c r="F404" s="606"/>
      <c r="G404" s="606" t="str">
        <f>SUM(F387:F403)</f>
        <v>3644</v>
      </c>
      <c r="H404" s="609" t="str">
        <f>H402+F403</f>
        <v>75925.43</v>
      </c>
      <c r="I404" s="606">
        <v>490.246</v>
      </c>
      <c r="J404" s="606">
        <v>73.72</v>
      </c>
      <c r="K404" s="606" t="str">
        <f>F403+F405</f>
        <v>681</v>
      </c>
      <c r="L404" s="606" t="str">
        <f>K404/2</f>
        <v>340.5</v>
      </c>
      <c r="M404" s="606">
        <v>231.0</v>
      </c>
      <c r="N404" s="606">
        <v>73.0</v>
      </c>
      <c r="O404" s="606">
        <v>304.0</v>
      </c>
      <c r="P404" s="606">
        <v>226.0</v>
      </c>
      <c r="Q404" s="606">
        <v>101.0</v>
      </c>
      <c r="R404" s="606">
        <v>327.0</v>
      </c>
      <c r="S404" s="606" t="s">
        <v>1769</v>
      </c>
      <c r="T404" s="606" t="s">
        <v>1770</v>
      </c>
      <c r="U404" s="606">
        <v>585817.676</v>
      </c>
      <c r="V404" s="606">
        <v>2649001.616</v>
      </c>
      <c r="W404" s="606"/>
      <c r="X404" s="138" t="s">
        <v>1699</v>
      </c>
      <c r="Y404" s="138" t="s">
        <v>1699</v>
      </c>
      <c r="Z404" s="605" t="s">
        <v>1700</v>
      </c>
      <c r="AA404" s="629"/>
      <c r="AB404" s="629"/>
      <c r="AC404" s="629"/>
      <c r="AD404" s="630"/>
    </row>
    <row r="405" ht="12.75" customHeight="1">
      <c r="A405" s="598"/>
      <c r="B405" s="606"/>
      <c r="C405" s="606"/>
      <c r="D405" s="138"/>
      <c r="E405" s="606"/>
      <c r="F405" s="606">
        <v>256.0</v>
      </c>
      <c r="G405" s="606"/>
      <c r="H405" s="600"/>
      <c r="I405" s="606"/>
      <c r="J405" s="606"/>
      <c r="K405" s="606"/>
      <c r="L405" s="606"/>
      <c r="M405" s="606"/>
      <c r="N405" s="606"/>
      <c r="O405" s="606"/>
      <c r="P405" s="606"/>
      <c r="Q405" s="606"/>
      <c r="R405" s="606"/>
      <c r="S405" s="606"/>
      <c r="T405" s="606"/>
      <c r="U405" s="606"/>
      <c r="V405" s="606"/>
      <c r="W405" s="606" t="s">
        <v>1771</v>
      </c>
      <c r="X405" s="606"/>
      <c r="Y405" s="606"/>
      <c r="Z405" s="641"/>
      <c r="AA405" s="629"/>
      <c r="AB405" s="629"/>
      <c r="AC405" s="629"/>
      <c r="AD405" s="630"/>
    </row>
    <row r="406" ht="24.75" customHeight="1">
      <c r="A406" s="608">
        <v>199.0</v>
      </c>
      <c r="B406" s="606" t="s">
        <v>1772</v>
      </c>
      <c r="C406" s="606" t="s">
        <v>255</v>
      </c>
      <c r="D406" s="138" t="s">
        <v>249</v>
      </c>
      <c r="E406" s="606" t="s">
        <v>1773</v>
      </c>
      <c r="F406" s="606"/>
      <c r="G406" s="606" t="str">
        <f>F405</f>
        <v>256</v>
      </c>
      <c r="H406" s="609" t="str">
        <f>H404+F405</f>
        <v>76181.43</v>
      </c>
      <c r="I406" s="606">
        <v>492.833</v>
      </c>
      <c r="J406" s="606">
        <v>76.72</v>
      </c>
      <c r="K406" s="606" t="str">
        <f>F405+F407</f>
        <v>699</v>
      </c>
      <c r="L406" s="606" t="str">
        <f>K406/2</f>
        <v>349.5</v>
      </c>
      <c r="M406" s="606">
        <v>183.0</v>
      </c>
      <c r="N406" s="606">
        <v>223.0</v>
      </c>
      <c r="O406" s="606">
        <v>406.0</v>
      </c>
      <c r="P406" s="606">
        <v>155.0</v>
      </c>
      <c r="Q406" s="606">
        <v>223.0</v>
      </c>
      <c r="R406" s="606">
        <v>378.0</v>
      </c>
      <c r="S406" s="606" t="s">
        <v>1774</v>
      </c>
      <c r="T406" s="606" t="s">
        <v>1775</v>
      </c>
      <c r="U406" s="606">
        <v>586026.87</v>
      </c>
      <c r="V406" s="606">
        <v>2648854.118</v>
      </c>
      <c r="W406" s="606"/>
      <c r="X406" s="138" t="s">
        <v>1699</v>
      </c>
      <c r="Y406" s="138" t="s">
        <v>1699</v>
      </c>
      <c r="Z406" s="605" t="s">
        <v>1700</v>
      </c>
      <c r="AA406" s="629"/>
      <c r="AB406" s="629"/>
      <c r="AC406" s="629"/>
      <c r="AD406" s="630"/>
    </row>
    <row r="407" ht="12.75" customHeight="1">
      <c r="A407" s="598"/>
      <c r="B407" s="606"/>
      <c r="C407" s="606"/>
      <c r="D407" s="138"/>
      <c r="E407" s="606"/>
      <c r="F407" s="606">
        <v>443.0</v>
      </c>
      <c r="G407" s="606"/>
      <c r="H407" s="600"/>
      <c r="I407" s="606"/>
      <c r="J407" s="606"/>
      <c r="K407" s="606"/>
      <c r="L407" s="606"/>
      <c r="M407" s="606"/>
      <c r="N407" s="606"/>
      <c r="O407" s="606"/>
      <c r="P407" s="606"/>
      <c r="Q407" s="606"/>
      <c r="R407" s="606"/>
      <c r="S407" s="606"/>
      <c r="T407" s="606"/>
      <c r="U407" s="606"/>
      <c r="V407" s="606"/>
      <c r="W407" s="606" t="s">
        <v>1776</v>
      </c>
      <c r="X407" s="606"/>
      <c r="Y407" s="606"/>
      <c r="Z407" s="641"/>
      <c r="AA407" s="629"/>
      <c r="AB407" s="629"/>
      <c r="AC407" s="629"/>
      <c r="AD407" s="630"/>
    </row>
    <row r="408" ht="24.75" customHeight="1">
      <c r="A408" s="608">
        <v>200.0</v>
      </c>
      <c r="B408" s="606" t="s">
        <v>1777</v>
      </c>
      <c r="C408" s="606" t="s">
        <v>256</v>
      </c>
      <c r="D408" s="138" t="s">
        <v>250</v>
      </c>
      <c r="E408" s="606" t="s">
        <v>1778</v>
      </c>
      <c r="F408" s="606"/>
      <c r="G408" s="606" t="str">
        <f>F407</f>
        <v>443</v>
      </c>
      <c r="H408" s="609" t="str">
        <f>H406+F407</f>
        <v>76624.43</v>
      </c>
      <c r="I408" s="606">
        <v>492.497</v>
      </c>
      <c r="J408" s="606">
        <v>76.72</v>
      </c>
      <c r="K408" s="606" t="str">
        <f>F407+F409</f>
        <v>894</v>
      </c>
      <c r="L408" s="606" t="str">
        <f>K408/2</f>
        <v>447</v>
      </c>
      <c r="M408" s="606">
        <v>220.0</v>
      </c>
      <c r="N408" s="606">
        <v>240.0</v>
      </c>
      <c r="O408" s="606">
        <v>460.0</v>
      </c>
      <c r="P408" s="606">
        <v>221.0</v>
      </c>
      <c r="Q408" s="606">
        <v>237.0</v>
      </c>
      <c r="R408" s="606">
        <v>458.0</v>
      </c>
      <c r="S408" s="606" t="s">
        <v>1779</v>
      </c>
      <c r="T408" s="606" t="s">
        <v>1780</v>
      </c>
      <c r="U408" s="606">
        <v>586457.283</v>
      </c>
      <c r="V408" s="606">
        <v>2648749.003</v>
      </c>
      <c r="W408" s="606"/>
      <c r="X408" s="138" t="s">
        <v>1699</v>
      </c>
      <c r="Y408" s="138" t="s">
        <v>1699</v>
      </c>
      <c r="Z408" s="605" t="s">
        <v>1700</v>
      </c>
      <c r="AA408" s="629"/>
      <c r="AB408" s="629"/>
      <c r="AC408" s="629"/>
      <c r="AD408" s="630"/>
    </row>
    <row r="409" ht="24.75" customHeight="1">
      <c r="A409" s="598"/>
      <c r="B409" s="606"/>
      <c r="C409" s="606"/>
      <c r="D409" s="138"/>
      <c r="E409" s="606"/>
      <c r="F409" s="606">
        <v>451.0</v>
      </c>
      <c r="G409" s="606"/>
      <c r="H409" s="600"/>
      <c r="I409" s="606"/>
      <c r="J409" s="606"/>
      <c r="K409" s="606"/>
      <c r="L409" s="606"/>
      <c r="M409" s="606"/>
      <c r="N409" s="606"/>
      <c r="O409" s="606"/>
      <c r="P409" s="606"/>
      <c r="Q409" s="606"/>
      <c r="R409" s="606"/>
      <c r="S409" s="606"/>
      <c r="T409" s="606"/>
      <c r="U409" s="606"/>
      <c r="V409" s="606"/>
      <c r="W409" s="606" t="s">
        <v>1701</v>
      </c>
      <c r="X409" s="606"/>
      <c r="Y409" s="606"/>
      <c r="Z409" s="641"/>
      <c r="AA409" s="629"/>
      <c r="AB409" s="629"/>
      <c r="AC409" s="629"/>
      <c r="AD409" s="630"/>
    </row>
    <row r="410" ht="24.75" customHeight="1">
      <c r="A410" s="608">
        <v>201.0</v>
      </c>
      <c r="B410" s="606" t="s">
        <v>1101</v>
      </c>
      <c r="C410" s="606" t="s">
        <v>257</v>
      </c>
      <c r="D410" s="138" t="s">
        <v>251</v>
      </c>
      <c r="E410" s="606" t="s">
        <v>1101</v>
      </c>
      <c r="F410" s="606"/>
      <c r="G410" s="606" t="str">
        <f>F409</f>
        <v>451</v>
      </c>
      <c r="H410" s="609" t="str">
        <f>H408+F409</f>
        <v>77075.43</v>
      </c>
      <c r="I410" s="606">
        <v>492.181</v>
      </c>
      <c r="J410" s="606">
        <v>73.72</v>
      </c>
      <c r="K410" s="606" t="str">
        <f>F409+F411</f>
        <v>871</v>
      </c>
      <c r="L410" s="606" t="str">
        <f>K410/2</f>
        <v>435.5</v>
      </c>
      <c r="M410" s="606">
        <v>212.0</v>
      </c>
      <c r="N410" s="606">
        <v>211.0</v>
      </c>
      <c r="O410" s="606">
        <v>423.0</v>
      </c>
      <c r="P410" s="606">
        <v>216.0</v>
      </c>
      <c r="Q410" s="606">
        <v>212.0</v>
      </c>
      <c r="R410" s="606">
        <v>428.0</v>
      </c>
      <c r="S410" s="606" t="s">
        <v>1781</v>
      </c>
      <c r="T410" s="606" t="s">
        <v>1782</v>
      </c>
      <c r="U410" s="606">
        <v>586865.074</v>
      </c>
      <c r="V410" s="606">
        <v>2648556.369</v>
      </c>
      <c r="W410" s="606"/>
      <c r="X410" s="138" t="s">
        <v>1699</v>
      </c>
      <c r="Y410" s="138" t="s">
        <v>1699</v>
      </c>
      <c r="Z410" s="605" t="s">
        <v>1700</v>
      </c>
      <c r="AA410" s="629"/>
      <c r="AB410" s="629"/>
      <c r="AC410" s="629"/>
      <c r="AD410" s="630"/>
    </row>
    <row r="411" ht="24.75" customHeight="1">
      <c r="A411" s="598"/>
      <c r="B411" s="606"/>
      <c r="C411" s="606"/>
      <c r="D411" s="138"/>
      <c r="E411" s="606"/>
      <c r="F411" s="606">
        <v>420.0</v>
      </c>
      <c r="G411" s="606"/>
      <c r="H411" s="600"/>
      <c r="I411" s="606"/>
      <c r="J411" s="606"/>
      <c r="K411" s="606"/>
      <c r="L411" s="606"/>
      <c r="M411" s="606"/>
      <c r="N411" s="606"/>
      <c r="O411" s="606"/>
      <c r="P411" s="606"/>
      <c r="Q411" s="606"/>
      <c r="R411" s="606"/>
      <c r="S411" s="606"/>
      <c r="T411" s="606"/>
      <c r="U411" s="606"/>
      <c r="V411" s="606"/>
      <c r="W411" s="606" t="s">
        <v>1701</v>
      </c>
      <c r="X411" s="606"/>
      <c r="Y411" s="606"/>
      <c r="Z411" s="641"/>
      <c r="AA411" s="629"/>
      <c r="AB411" s="629"/>
      <c r="AC411" s="629"/>
      <c r="AD411" s="630"/>
    </row>
    <row r="412" ht="24.75" customHeight="1">
      <c r="A412" s="608">
        <v>202.0</v>
      </c>
      <c r="B412" s="606" t="s">
        <v>1101</v>
      </c>
      <c r="C412" s="606" t="s">
        <v>258</v>
      </c>
      <c r="D412" s="138" t="s">
        <v>34</v>
      </c>
      <c r="E412" s="606" t="s">
        <v>1101</v>
      </c>
      <c r="F412" s="606"/>
      <c r="G412" s="606"/>
      <c r="H412" s="609" t="str">
        <f>H410+F411</f>
        <v>77495.43</v>
      </c>
      <c r="I412" s="606">
        <v>491.967</v>
      </c>
      <c r="J412" s="606">
        <v>75.5</v>
      </c>
      <c r="K412" s="606" t="str">
        <f>F411+F413</f>
        <v>838</v>
      </c>
      <c r="L412" s="606" t="str">
        <f>K412/2</f>
        <v>419</v>
      </c>
      <c r="M412" s="606">
        <v>209.0</v>
      </c>
      <c r="N412" s="606">
        <v>188.0</v>
      </c>
      <c r="O412" s="606">
        <v>397.0</v>
      </c>
      <c r="P412" s="606">
        <v>210.0</v>
      </c>
      <c r="Q412" s="606">
        <v>195.0</v>
      </c>
      <c r="R412" s="606">
        <v>405.0</v>
      </c>
      <c r="S412" s="606" t="s">
        <v>1783</v>
      </c>
      <c r="T412" s="606" t="s">
        <v>1784</v>
      </c>
      <c r="U412" s="606">
        <v>587244.835</v>
      </c>
      <c r="V412" s="606">
        <v>2648376.977</v>
      </c>
      <c r="W412" s="606"/>
      <c r="X412" s="138" t="s">
        <v>1699</v>
      </c>
      <c r="Y412" s="138" t="s">
        <v>1699</v>
      </c>
      <c r="Z412" s="605" t="s">
        <v>1700</v>
      </c>
      <c r="AA412" s="629"/>
      <c r="AB412" s="629"/>
      <c r="AC412" s="629"/>
      <c r="AD412" s="630"/>
    </row>
    <row r="413" ht="24.75" customHeight="1">
      <c r="A413" s="598"/>
      <c r="B413" s="616"/>
      <c r="C413" s="616"/>
      <c r="D413" s="617"/>
      <c r="E413" s="616"/>
      <c r="F413" s="616">
        <v>418.0</v>
      </c>
      <c r="G413" s="616"/>
      <c r="H413" s="600"/>
      <c r="I413" s="616"/>
      <c r="J413" s="616"/>
      <c r="K413" s="616"/>
      <c r="L413" s="616"/>
      <c r="M413" s="616"/>
      <c r="N413" s="616"/>
      <c r="O413" s="616"/>
      <c r="P413" s="616"/>
      <c r="Q413" s="616"/>
      <c r="R413" s="616"/>
      <c r="S413" s="616"/>
      <c r="T413" s="616"/>
      <c r="U413" s="616"/>
      <c r="V413" s="616"/>
      <c r="W413" s="616" t="s">
        <v>1208</v>
      </c>
      <c r="X413" s="606"/>
      <c r="Y413" s="606"/>
      <c r="Z413" s="640"/>
      <c r="AA413" s="625"/>
      <c r="AB413" s="625"/>
      <c r="AC413" s="625"/>
      <c r="AD413" s="626"/>
    </row>
    <row r="414" ht="24.75" customHeight="1">
      <c r="A414" s="608">
        <v>203.0</v>
      </c>
      <c r="B414" s="616" t="s">
        <v>1101</v>
      </c>
      <c r="C414" s="616" t="s">
        <v>259</v>
      </c>
      <c r="D414" s="617" t="s">
        <v>33</v>
      </c>
      <c r="E414" s="616" t="s">
        <v>1101</v>
      </c>
      <c r="F414" s="616"/>
      <c r="G414" s="616" t="s">
        <v>1101</v>
      </c>
      <c r="H414" s="609" t="str">
        <f>H412+F413</f>
        <v>77913.43</v>
      </c>
      <c r="I414" s="622">
        <v>499.12</v>
      </c>
      <c r="J414" s="616">
        <v>72.5</v>
      </c>
      <c r="K414" s="616" t="str">
        <f>F413+F415</f>
        <v>767</v>
      </c>
      <c r="L414" s="616" t="str">
        <f>K414/2</f>
        <v>383.5</v>
      </c>
      <c r="M414" s="616">
        <v>231.0</v>
      </c>
      <c r="N414" s="616">
        <v>181.0</v>
      </c>
      <c r="O414" s="616">
        <v>412.0</v>
      </c>
      <c r="P414" s="616">
        <v>224.0</v>
      </c>
      <c r="Q414" s="616">
        <v>179.0</v>
      </c>
      <c r="R414" s="616">
        <v>403.0</v>
      </c>
      <c r="S414" s="616" t="s">
        <v>1785</v>
      </c>
      <c r="T414" s="616" t="s">
        <v>1786</v>
      </c>
      <c r="U414" s="616">
        <v>587622.787</v>
      </c>
      <c r="V414" s="616">
        <v>2648198.438</v>
      </c>
      <c r="W414" s="616"/>
      <c r="X414" s="138" t="s">
        <v>1699</v>
      </c>
      <c r="Y414" s="138" t="s">
        <v>1699</v>
      </c>
      <c r="Z414" s="620" t="s">
        <v>1700</v>
      </c>
      <c r="AA414" s="625"/>
      <c r="AB414" s="625"/>
      <c r="AC414" s="625"/>
      <c r="AD414" s="626"/>
    </row>
    <row r="415" ht="24.75" customHeight="1">
      <c r="A415" s="598"/>
      <c r="B415" s="616"/>
      <c r="C415" s="616"/>
      <c r="D415" s="617"/>
      <c r="E415" s="616"/>
      <c r="F415" s="616">
        <v>349.0</v>
      </c>
      <c r="G415" s="616"/>
      <c r="H415" s="600"/>
      <c r="I415" s="616"/>
      <c r="J415" s="616"/>
      <c r="K415" s="616"/>
      <c r="L415" s="616"/>
      <c r="M415" s="616"/>
      <c r="N415" s="616"/>
      <c r="O415" s="616"/>
      <c r="P415" s="616"/>
      <c r="Q415" s="616"/>
      <c r="R415" s="616"/>
      <c r="S415" s="616"/>
      <c r="T415" s="616"/>
      <c r="U415" s="616"/>
      <c r="V415" s="616"/>
      <c r="W415" s="616" t="s">
        <v>1205</v>
      </c>
      <c r="X415" s="606"/>
      <c r="Y415" s="606"/>
      <c r="Z415" s="640"/>
      <c r="AA415" s="625"/>
      <c r="AB415" s="625"/>
      <c r="AC415" s="625"/>
      <c r="AD415" s="626"/>
    </row>
    <row r="416" ht="24.75" customHeight="1">
      <c r="A416" s="608">
        <v>204.0</v>
      </c>
      <c r="B416" s="138" t="s">
        <v>1787</v>
      </c>
      <c r="C416" s="138" t="s">
        <v>260</v>
      </c>
      <c r="D416" s="138" t="s">
        <v>13</v>
      </c>
      <c r="E416" s="138" t="s">
        <v>1788</v>
      </c>
      <c r="F416" s="599"/>
      <c r="G416" s="138" t="str">
        <f>SUM(F411:F415)</f>
        <v>1187</v>
      </c>
      <c r="H416" s="609" t="str">
        <f>H414+F415</f>
        <v>78262.43</v>
      </c>
      <c r="I416" s="599">
        <v>498.148</v>
      </c>
      <c r="J416" s="138">
        <v>70.72</v>
      </c>
      <c r="K416" s="599">
        <v>756.015</v>
      </c>
      <c r="L416" s="599">
        <v>378.0075</v>
      </c>
      <c r="M416" s="138">
        <v>169.0</v>
      </c>
      <c r="N416" s="138">
        <v>216.0</v>
      </c>
      <c r="O416" s="138">
        <v>385.0</v>
      </c>
      <c r="P416" s="138">
        <v>171.0</v>
      </c>
      <c r="Q416" s="138">
        <v>213.0</v>
      </c>
      <c r="R416" s="138">
        <v>384.0</v>
      </c>
      <c r="S416" s="138" t="s">
        <v>1789</v>
      </c>
      <c r="T416" s="138" t="s">
        <v>1790</v>
      </c>
      <c r="U416" s="601">
        <v>587938.364</v>
      </c>
      <c r="V416" s="601">
        <v>2648049.365</v>
      </c>
      <c r="W416" s="603"/>
      <c r="X416" s="138" t="s">
        <v>1699</v>
      </c>
      <c r="Y416" s="138" t="s">
        <v>1699</v>
      </c>
      <c r="Z416" s="620" t="s">
        <v>1700</v>
      </c>
      <c r="AA416" s="625"/>
      <c r="AB416" s="625"/>
      <c r="AC416" s="625"/>
      <c r="AD416" s="626"/>
    </row>
    <row r="417" ht="24.75" customHeight="1">
      <c r="A417" s="598"/>
      <c r="B417" s="138"/>
      <c r="C417" s="138"/>
      <c r="D417" s="138"/>
      <c r="E417" s="138"/>
      <c r="F417" s="137">
        <v>407.0</v>
      </c>
      <c r="G417" s="138"/>
      <c r="H417" s="600"/>
      <c r="I417" s="599"/>
      <c r="J417" s="599"/>
      <c r="K417" s="599"/>
      <c r="L417" s="599"/>
      <c r="M417" s="138"/>
      <c r="N417" s="138"/>
      <c r="O417" s="138"/>
      <c r="P417" s="138"/>
      <c r="Q417" s="138"/>
      <c r="R417" s="138"/>
      <c r="S417" s="138"/>
      <c r="T417" s="138"/>
      <c r="U417" s="601"/>
      <c r="V417" s="601"/>
      <c r="W417" s="603" t="s">
        <v>1791</v>
      </c>
      <c r="X417" s="606"/>
      <c r="Y417" s="606"/>
      <c r="Z417" s="640"/>
      <c r="AA417" s="625"/>
      <c r="AB417" s="625"/>
      <c r="AC417" s="625"/>
      <c r="AD417" s="626"/>
    </row>
    <row r="418" ht="24.75" customHeight="1">
      <c r="A418" s="608">
        <v>205.0</v>
      </c>
      <c r="B418" s="138" t="s">
        <v>1101</v>
      </c>
      <c r="C418" s="138" t="s">
        <v>261</v>
      </c>
      <c r="D418" s="138" t="s">
        <v>15</v>
      </c>
      <c r="E418" s="138" t="s">
        <v>1101</v>
      </c>
      <c r="F418" s="137"/>
      <c r="G418" s="138" t="s">
        <v>1101</v>
      </c>
      <c r="H418" s="609" t="str">
        <f>H416+F417</f>
        <v>78669.43</v>
      </c>
      <c r="I418" s="599">
        <v>498.836</v>
      </c>
      <c r="J418" s="599">
        <v>69.5</v>
      </c>
      <c r="K418" s="599">
        <v>730.0</v>
      </c>
      <c r="L418" s="599">
        <v>365.0</v>
      </c>
      <c r="M418" s="138">
        <v>192.0</v>
      </c>
      <c r="N418" s="138">
        <v>147.0</v>
      </c>
      <c r="O418" s="138">
        <v>339.0</v>
      </c>
      <c r="P418" s="138">
        <v>196.0</v>
      </c>
      <c r="Q418" s="138">
        <v>152.0</v>
      </c>
      <c r="R418" s="138">
        <v>348.0</v>
      </c>
      <c r="S418" s="138" t="s">
        <v>1792</v>
      </c>
      <c r="T418" s="138" t="s">
        <v>1793</v>
      </c>
      <c r="U418" s="601">
        <v>588215.744</v>
      </c>
      <c r="V418" s="601">
        <v>2647751.524</v>
      </c>
      <c r="W418" s="603"/>
      <c r="X418" s="138" t="s">
        <v>1794</v>
      </c>
      <c r="Y418" s="138" t="s">
        <v>1699</v>
      </c>
      <c r="Z418" s="620" t="s">
        <v>1700</v>
      </c>
      <c r="AA418" s="625"/>
      <c r="AB418" s="625"/>
      <c r="AC418" s="625"/>
      <c r="AD418" s="626"/>
    </row>
    <row r="419" ht="24.75" customHeight="1">
      <c r="A419" s="598"/>
      <c r="B419" s="138"/>
      <c r="C419" s="138"/>
      <c r="D419" s="138"/>
      <c r="E419" s="138"/>
      <c r="F419" s="137">
        <v>323.0</v>
      </c>
      <c r="G419" s="138"/>
      <c r="H419" s="600"/>
      <c r="I419" s="599"/>
      <c r="J419" s="599"/>
      <c r="K419" s="599"/>
      <c r="L419" s="599"/>
      <c r="M419" s="138"/>
      <c r="N419" s="138"/>
      <c r="O419" s="138"/>
      <c r="P419" s="138"/>
      <c r="Q419" s="138"/>
      <c r="R419" s="138"/>
      <c r="S419" s="138"/>
      <c r="T419" s="138"/>
      <c r="U419" s="601"/>
      <c r="V419" s="601"/>
      <c r="W419" s="603"/>
      <c r="X419" s="606"/>
      <c r="Y419" s="606"/>
      <c r="Z419" s="640"/>
      <c r="AA419" s="625"/>
      <c r="AB419" s="625"/>
      <c r="AC419" s="625"/>
      <c r="AD419" s="626"/>
    </row>
    <row r="420" ht="24.75" customHeight="1">
      <c r="A420" s="608">
        <v>206.0</v>
      </c>
      <c r="B420" s="138" t="s">
        <v>1101</v>
      </c>
      <c r="C420" s="138" t="s">
        <v>262</v>
      </c>
      <c r="D420" s="138" t="s">
        <v>33</v>
      </c>
      <c r="E420" s="138" t="s">
        <v>1101</v>
      </c>
      <c r="F420" s="137"/>
      <c r="G420" s="138" t="s">
        <v>1101</v>
      </c>
      <c r="H420" s="609" t="str">
        <f>H418+F419</f>
        <v>78992.43</v>
      </c>
      <c r="I420" s="599">
        <v>498.068</v>
      </c>
      <c r="J420" s="616">
        <v>72.5</v>
      </c>
      <c r="K420" s="599">
        <v>742.0</v>
      </c>
      <c r="L420" s="599">
        <v>371.0</v>
      </c>
      <c r="M420" s="138">
        <v>177.0</v>
      </c>
      <c r="N420" s="138">
        <v>184.0</v>
      </c>
      <c r="O420" s="138">
        <v>361.0</v>
      </c>
      <c r="P420" s="138">
        <v>172.0</v>
      </c>
      <c r="Q420" s="138">
        <v>192.0</v>
      </c>
      <c r="R420" s="138">
        <v>364.0</v>
      </c>
      <c r="S420" s="138" t="s">
        <v>1795</v>
      </c>
      <c r="T420" s="138" t="s">
        <v>1796</v>
      </c>
      <c r="U420" s="601">
        <v>588435.876</v>
      </c>
      <c r="V420" s="601">
        <v>2647515.153</v>
      </c>
      <c r="W420" s="603"/>
      <c r="X420" s="138" t="s">
        <v>1794</v>
      </c>
      <c r="Y420" s="138" t="s">
        <v>1699</v>
      </c>
      <c r="Z420" s="620" t="s">
        <v>1700</v>
      </c>
      <c r="AA420" s="625"/>
      <c r="AB420" s="625"/>
      <c r="AC420" s="625"/>
      <c r="AD420" s="626"/>
    </row>
    <row r="421" ht="24.75" customHeight="1">
      <c r="A421" s="598"/>
      <c r="B421" s="138"/>
      <c r="C421" s="138"/>
      <c r="D421" s="138"/>
      <c r="E421" s="138"/>
      <c r="F421" s="137">
        <v>419.0</v>
      </c>
      <c r="G421" s="138"/>
      <c r="H421" s="600"/>
      <c r="I421" s="599"/>
      <c r="J421" s="599"/>
      <c r="K421" s="599"/>
      <c r="L421" s="599"/>
      <c r="M421" s="138"/>
      <c r="N421" s="138"/>
      <c r="O421" s="138"/>
      <c r="P421" s="138"/>
      <c r="Q421" s="138"/>
      <c r="R421" s="138"/>
      <c r="S421" s="138"/>
      <c r="T421" s="138"/>
      <c r="U421" s="601"/>
      <c r="V421" s="601"/>
      <c r="W421" s="603" t="s">
        <v>1797</v>
      </c>
      <c r="X421" s="606"/>
      <c r="Y421" s="606"/>
      <c r="Z421" s="640"/>
      <c r="AA421" s="625"/>
      <c r="AB421" s="625"/>
      <c r="AC421" s="625"/>
      <c r="AD421" s="626"/>
    </row>
    <row r="422" ht="24.75" customHeight="1">
      <c r="A422" s="608">
        <v>207.0</v>
      </c>
      <c r="B422" s="138" t="s">
        <v>1101</v>
      </c>
      <c r="C422" s="138" t="s">
        <v>263</v>
      </c>
      <c r="D422" s="138" t="s">
        <v>33</v>
      </c>
      <c r="E422" s="138" t="s">
        <v>1101</v>
      </c>
      <c r="F422" s="137"/>
      <c r="G422" s="138" t="s">
        <v>1101</v>
      </c>
      <c r="H422" s="609" t="str">
        <f>H420+F421</f>
        <v>79411.43</v>
      </c>
      <c r="I422" s="599">
        <v>503.173</v>
      </c>
      <c r="J422" s="616">
        <v>72.5</v>
      </c>
      <c r="K422" s="599">
        <v>821.0</v>
      </c>
      <c r="L422" s="599">
        <v>410.5</v>
      </c>
      <c r="M422" s="138">
        <v>236.0</v>
      </c>
      <c r="N422" s="138">
        <v>186.0</v>
      </c>
      <c r="O422" s="138">
        <v>422.0</v>
      </c>
      <c r="P422" s="138">
        <v>228.0</v>
      </c>
      <c r="Q422" s="138">
        <v>191.0</v>
      </c>
      <c r="R422" s="138">
        <v>419.0</v>
      </c>
      <c r="S422" s="138" t="s">
        <v>1798</v>
      </c>
      <c r="T422" s="138" t="s">
        <v>1799</v>
      </c>
      <c r="U422" s="601">
        <v>588721.434</v>
      </c>
      <c r="V422" s="601">
        <v>2647208.531</v>
      </c>
      <c r="W422" s="603"/>
      <c r="X422" s="138" t="s">
        <v>1794</v>
      </c>
      <c r="Y422" s="138" t="s">
        <v>1699</v>
      </c>
      <c r="Z422" s="620" t="s">
        <v>1700</v>
      </c>
      <c r="AA422" s="625"/>
      <c r="AB422" s="625"/>
      <c r="AC422" s="625"/>
      <c r="AD422" s="626"/>
    </row>
    <row r="423" ht="24.75" customHeight="1">
      <c r="A423" s="598"/>
      <c r="B423" s="138"/>
      <c r="C423" s="138"/>
      <c r="D423" s="138"/>
      <c r="E423" s="138"/>
      <c r="F423" s="137">
        <v>402.0</v>
      </c>
      <c r="G423" s="138"/>
      <c r="H423" s="600"/>
      <c r="I423" s="599"/>
      <c r="J423" s="599"/>
      <c r="K423" s="599"/>
      <c r="L423" s="599"/>
      <c r="M423" s="138"/>
      <c r="N423" s="138"/>
      <c r="O423" s="138"/>
      <c r="P423" s="138"/>
      <c r="Q423" s="138"/>
      <c r="R423" s="138"/>
      <c r="S423" s="138"/>
      <c r="T423" s="138"/>
      <c r="U423" s="601"/>
      <c r="V423" s="601"/>
      <c r="W423" s="603" t="s">
        <v>1800</v>
      </c>
      <c r="X423" s="606"/>
      <c r="Y423" s="606"/>
      <c r="Z423" s="640"/>
      <c r="AA423" s="625"/>
      <c r="AB423" s="625"/>
      <c r="AC423" s="625"/>
      <c r="AD423" s="626"/>
    </row>
    <row r="424" ht="24.75" customHeight="1">
      <c r="A424" s="608">
        <v>208.0</v>
      </c>
      <c r="B424" s="138" t="s">
        <v>1101</v>
      </c>
      <c r="C424" s="138" t="s">
        <v>264</v>
      </c>
      <c r="D424" s="138" t="s">
        <v>35</v>
      </c>
      <c r="E424" s="138" t="s">
        <v>1101</v>
      </c>
      <c r="F424" s="599"/>
      <c r="G424" s="138" t="s">
        <v>1101</v>
      </c>
      <c r="H424" s="609" t="str">
        <f>H422+F423</f>
        <v>79813.43</v>
      </c>
      <c r="I424" s="599">
        <v>504.472</v>
      </c>
      <c r="J424" s="616">
        <v>74.0</v>
      </c>
      <c r="K424" s="599">
        <v>804.306</v>
      </c>
      <c r="L424" s="599">
        <v>402.153</v>
      </c>
      <c r="M424" s="138">
        <v>216.0</v>
      </c>
      <c r="N424" s="138">
        <v>219.0</v>
      </c>
      <c r="O424" s="138">
        <v>435.0</v>
      </c>
      <c r="P424" s="138">
        <v>212.0</v>
      </c>
      <c r="Q424" s="138">
        <v>214.0</v>
      </c>
      <c r="R424" s="138">
        <v>426.0</v>
      </c>
      <c r="S424" s="138" t="s">
        <v>1801</v>
      </c>
      <c r="T424" s="138" t="s">
        <v>1802</v>
      </c>
      <c r="U424" s="601">
        <v>588995.406</v>
      </c>
      <c r="V424" s="601">
        <v>2646914.348</v>
      </c>
      <c r="W424" s="603"/>
      <c r="X424" s="138" t="s">
        <v>1803</v>
      </c>
      <c r="Y424" s="138" t="s">
        <v>1699</v>
      </c>
      <c r="Z424" s="620" t="s">
        <v>1700</v>
      </c>
      <c r="AA424" s="625"/>
      <c r="AB424" s="625"/>
      <c r="AC424" s="625"/>
      <c r="AD424" s="626"/>
    </row>
    <row r="425" ht="24.75" customHeight="1">
      <c r="A425" s="598"/>
      <c r="B425" s="138"/>
      <c r="C425" s="138"/>
      <c r="D425" s="138"/>
      <c r="E425" s="138"/>
      <c r="F425" s="137">
        <v>402.306</v>
      </c>
      <c r="G425" s="138"/>
      <c r="H425" s="600"/>
      <c r="I425" s="599"/>
      <c r="J425" s="599"/>
      <c r="K425" s="599"/>
      <c r="L425" s="599"/>
      <c r="M425" s="138"/>
      <c r="N425" s="138"/>
      <c r="O425" s="138"/>
      <c r="P425" s="138"/>
      <c r="Q425" s="138"/>
      <c r="R425" s="138"/>
      <c r="S425" s="138"/>
      <c r="T425" s="138"/>
      <c r="U425" s="601"/>
      <c r="V425" s="601"/>
      <c r="W425" s="603" t="s">
        <v>1804</v>
      </c>
      <c r="X425" s="606"/>
      <c r="Y425" s="606"/>
      <c r="Z425" s="640"/>
      <c r="AA425" s="625"/>
      <c r="AB425" s="625"/>
      <c r="AC425" s="625"/>
      <c r="AD425" s="626"/>
    </row>
    <row r="426" ht="24.75" customHeight="1">
      <c r="A426" s="608">
        <v>209.0</v>
      </c>
      <c r="B426" s="138" t="s">
        <v>1805</v>
      </c>
      <c r="C426" s="138" t="s">
        <v>265</v>
      </c>
      <c r="D426" s="138" t="s">
        <v>36</v>
      </c>
      <c r="E426" s="138" t="s">
        <v>1806</v>
      </c>
      <c r="F426" s="599"/>
      <c r="G426" s="138">
        <v>1953.31</v>
      </c>
      <c r="H426" s="609" t="str">
        <f>H424+F425</f>
        <v>80215.73</v>
      </c>
      <c r="I426" s="599">
        <v>502.71</v>
      </c>
      <c r="J426" s="138">
        <v>70.72</v>
      </c>
      <c r="K426" s="599">
        <v>818.306</v>
      </c>
      <c r="L426" s="599">
        <v>409.153</v>
      </c>
      <c r="M426" s="138">
        <v>184.0</v>
      </c>
      <c r="N426" s="138">
        <v>233.0</v>
      </c>
      <c r="O426" s="138">
        <v>417.0</v>
      </c>
      <c r="P426" s="138">
        <v>190.0</v>
      </c>
      <c r="Q426" s="138">
        <v>226.0</v>
      </c>
      <c r="R426" s="138">
        <v>416.0</v>
      </c>
      <c r="S426" s="138" t="s">
        <v>1807</v>
      </c>
      <c r="T426" s="138" t="s">
        <v>1808</v>
      </c>
      <c r="U426" s="601">
        <v>589269.587</v>
      </c>
      <c r="V426" s="601">
        <v>2646619.942</v>
      </c>
      <c r="W426" s="603"/>
      <c r="X426" s="138" t="s">
        <v>1809</v>
      </c>
      <c r="Y426" s="138" t="s">
        <v>1699</v>
      </c>
      <c r="Z426" s="620" t="s">
        <v>1700</v>
      </c>
      <c r="AA426" s="625"/>
      <c r="AB426" s="625"/>
      <c r="AC426" s="625"/>
      <c r="AD426" s="626"/>
    </row>
    <row r="427" ht="24.75" customHeight="1">
      <c r="A427" s="598"/>
      <c r="B427" s="138"/>
      <c r="C427" s="138"/>
      <c r="D427" s="138"/>
      <c r="E427" s="138"/>
      <c r="F427" s="137">
        <v>416.0</v>
      </c>
      <c r="G427" s="138"/>
      <c r="H427" s="600"/>
      <c r="I427" s="599"/>
      <c r="J427" s="599"/>
      <c r="K427" s="599"/>
      <c r="L427" s="599"/>
      <c r="M427" s="138"/>
      <c r="N427" s="138"/>
      <c r="O427" s="138"/>
      <c r="P427" s="138"/>
      <c r="Q427" s="138"/>
      <c r="R427" s="138"/>
      <c r="S427" s="138"/>
      <c r="T427" s="138"/>
      <c r="U427" s="601"/>
      <c r="V427" s="601"/>
      <c r="W427" s="603" t="s">
        <v>1810</v>
      </c>
      <c r="X427" s="606"/>
      <c r="Y427" s="606"/>
      <c r="Z427" s="640"/>
      <c r="AA427" s="625"/>
      <c r="AB427" s="625"/>
      <c r="AC427" s="625"/>
      <c r="AD427" s="626"/>
    </row>
    <row r="428" ht="24.75" customHeight="1">
      <c r="A428" s="608">
        <v>210.0</v>
      </c>
      <c r="B428" s="138" t="s">
        <v>1101</v>
      </c>
      <c r="C428" s="138" t="s">
        <v>266</v>
      </c>
      <c r="D428" s="138" t="s">
        <v>35</v>
      </c>
      <c r="E428" s="138" t="s">
        <v>1101</v>
      </c>
      <c r="F428" s="137"/>
      <c r="G428" s="138" t="s">
        <v>1101</v>
      </c>
      <c r="H428" s="609" t="str">
        <f>H426+F427</f>
        <v>80631.73</v>
      </c>
      <c r="I428" s="599">
        <v>496.255</v>
      </c>
      <c r="J428" s="616">
        <v>74.0</v>
      </c>
      <c r="K428" s="599">
        <v>834.752</v>
      </c>
      <c r="L428" s="599">
        <v>417.376</v>
      </c>
      <c r="M428" s="138">
        <v>184.0</v>
      </c>
      <c r="N428" s="138">
        <v>217.0</v>
      </c>
      <c r="O428" s="138">
        <v>401.0</v>
      </c>
      <c r="P428" s="138">
        <v>191.0</v>
      </c>
      <c r="Q428" s="138">
        <v>215.0</v>
      </c>
      <c r="R428" s="138">
        <v>406.0</v>
      </c>
      <c r="S428" s="138" t="s">
        <v>1811</v>
      </c>
      <c r="T428" s="138" t="s">
        <v>1812</v>
      </c>
      <c r="U428" s="601">
        <v>589652.54</v>
      </c>
      <c r="V428" s="601">
        <v>2646457.451</v>
      </c>
      <c r="W428" s="632" t="s">
        <v>1813</v>
      </c>
      <c r="X428" s="138" t="s">
        <v>1809</v>
      </c>
      <c r="Y428" s="138" t="s">
        <v>1699</v>
      </c>
      <c r="Z428" s="620" t="s">
        <v>1700</v>
      </c>
      <c r="AA428" s="627">
        <v>2.5</v>
      </c>
      <c r="AB428" s="627">
        <v>1.0</v>
      </c>
      <c r="AC428" s="627">
        <v>0.0</v>
      </c>
      <c r="AD428" s="628">
        <v>0.5</v>
      </c>
    </row>
    <row r="429" ht="24.75" customHeight="1">
      <c r="A429" s="598"/>
      <c r="B429" s="138"/>
      <c r="C429" s="138"/>
      <c r="D429" s="138"/>
      <c r="E429" s="138"/>
      <c r="F429" s="137">
        <v>418.752</v>
      </c>
      <c r="G429" s="138"/>
      <c r="H429" s="600"/>
      <c r="I429" s="599"/>
      <c r="J429" s="599"/>
      <c r="K429" s="599"/>
      <c r="L429" s="599"/>
      <c r="M429" s="138"/>
      <c r="N429" s="138"/>
      <c r="O429" s="138"/>
      <c r="P429" s="138"/>
      <c r="Q429" s="138"/>
      <c r="R429" s="138"/>
      <c r="S429" s="138"/>
      <c r="T429" s="138"/>
      <c r="U429" s="601"/>
      <c r="V429" s="601"/>
      <c r="W429" s="603"/>
      <c r="X429" s="606"/>
      <c r="Y429" s="606"/>
      <c r="Z429" s="640"/>
      <c r="AA429" s="625"/>
      <c r="AB429" s="625"/>
      <c r="AC429" s="625"/>
      <c r="AD429" s="626"/>
    </row>
    <row r="430" ht="24.75" customHeight="1">
      <c r="A430" s="608">
        <v>211.0</v>
      </c>
      <c r="B430" s="138" t="s">
        <v>1814</v>
      </c>
      <c r="C430" s="138" t="s">
        <v>267</v>
      </c>
      <c r="D430" s="138" t="s">
        <v>114</v>
      </c>
      <c r="E430" s="138" t="s">
        <v>1815</v>
      </c>
      <c r="F430" s="137"/>
      <c r="G430" s="138">
        <v>834.75</v>
      </c>
      <c r="H430" s="609" t="str">
        <f>H428+F429</f>
        <v>81050.49</v>
      </c>
      <c r="I430" s="599">
        <v>496.24</v>
      </c>
      <c r="J430" s="138">
        <v>70.72</v>
      </c>
      <c r="K430" s="599">
        <v>795.752</v>
      </c>
      <c r="L430" s="599">
        <v>397.876</v>
      </c>
      <c r="M430" s="138">
        <v>202.0</v>
      </c>
      <c r="N430" s="138">
        <v>193.0</v>
      </c>
      <c r="O430" s="138">
        <v>395.0</v>
      </c>
      <c r="P430" s="138">
        <v>205.0</v>
      </c>
      <c r="Q430" s="138">
        <v>192.0</v>
      </c>
      <c r="R430" s="138">
        <v>397.0</v>
      </c>
      <c r="S430" s="138" t="s">
        <v>1816</v>
      </c>
      <c r="T430" s="138" t="s">
        <v>1817</v>
      </c>
      <c r="U430" s="601">
        <v>590038.026</v>
      </c>
      <c r="V430" s="601">
        <v>2646293.886</v>
      </c>
      <c r="W430" s="632"/>
      <c r="X430" s="138" t="s">
        <v>1699</v>
      </c>
      <c r="Y430" s="138" t="s">
        <v>1699</v>
      </c>
      <c r="Z430" s="620" t="s">
        <v>1700</v>
      </c>
      <c r="AA430" s="625"/>
      <c r="AB430" s="625"/>
      <c r="AC430" s="625"/>
      <c r="AD430" s="626"/>
    </row>
    <row r="431" ht="24.75" customHeight="1">
      <c r="A431" s="598"/>
      <c r="B431" s="138"/>
      <c r="C431" s="138"/>
      <c r="D431" s="138"/>
      <c r="E431" s="138"/>
      <c r="F431" s="137">
        <v>377.0</v>
      </c>
      <c r="G431" s="138"/>
      <c r="H431" s="600"/>
      <c r="I431" s="599"/>
      <c r="J431" s="599"/>
      <c r="K431" s="599"/>
      <c r="L431" s="599"/>
      <c r="M431" s="138"/>
      <c r="N431" s="138"/>
      <c r="O431" s="138"/>
      <c r="P431" s="138"/>
      <c r="Q431" s="138"/>
      <c r="R431" s="138"/>
      <c r="S431" s="138"/>
      <c r="T431" s="138"/>
      <c r="U431" s="601"/>
      <c r="V431" s="601"/>
      <c r="W431" s="603"/>
      <c r="X431" s="606"/>
      <c r="Y431" s="606"/>
      <c r="Z431" s="640"/>
      <c r="AA431" s="625"/>
      <c r="AB431" s="625"/>
      <c r="AC431" s="625"/>
      <c r="AD431" s="626"/>
    </row>
    <row r="432" ht="24.75" customHeight="1">
      <c r="A432" s="608">
        <v>212.0</v>
      </c>
      <c r="B432" s="138" t="s">
        <v>1101</v>
      </c>
      <c r="C432" s="138" t="s">
        <v>268</v>
      </c>
      <c r="D432" s="138" t="s">
        <v>35</v>
      </c>
      <c r="E432" s="138" t="s">
        <v>1101</v>
      </c>
      <c r="F432" s="137"/>
      <c r="G432" s="138" t="s">
        <v>1101</v>
      </c>
      <c r="H432" s="609" t="str">
        <f>H430+F431</f>
        <v>81427.49</v>
      </c>
      <c r="I432" s="599">
        <v>494.033</v>
      </c>
      <c r="J432" s="616">
        <v>74.0</v>
      </c>
      <c r="K432" s="599">
        <v>817.0</v>
      </c>
      <c r="L432" s="599">
        <v>408.5</v>
      </c>
      <c r="M432" s="138">
        <v>185.0</v>
      </c>
      <c r="N432" s="138">
        <v>279.0</v>
      </c>
      <c r="O432" s="138">
        <v>464.0</v>
      </c>
      <c r="P432" s="138">
        <v>186.0</v>
      </c>
      <c r="Q432" s="138">
        <v>262.0</v>
      </c>
      <c r="R432" s="138">
        <v>448.0</v>
      </c>
      <c r="S432" s="138" t="s">
        <v>1818</v>
      </c>
      <c r="T432" s="138" t="s">
        <v>1819</v>
      </c>
      <c r="U432" s="601">
        <v>590411.356</v>
      </c>
      <c r="V432" s="601">
        <v>2646346.365</v>
      </c>
      <c r="W432" s="632" t="s">
        <v>1813</v>
      </c>
      <c r="X432" s="138" t="s">
        <v>1699</v>
      </c>
      <c r="Y432" s="138" t="s">
        <v>1699</v>
      </c>
      <c r="Z432" s="620" t="s">
        <v>1700</v>
      </c>
      <c r="AA432" s="642">
        <v>1.0</v>
      </c>
      <c r="AB432" s="642">
        <v>1.5</v>
      </c>
      <c r="AC432" s="642">
        <v>0.0</v>
      </c>
      <c r="AD432" s="643">
        <v>0.0</v>
      </c>
    </row>
    <row r="433" ht="24.75" customHeight="1">
      <c r="A433" s="598"/>
      <c r="B433" s="138"/>
      <c r="C433" s="138"/>
      <c r="D433" s="138"/>
      <c r="E433" s="138"/>
      <c r="F433" s="137">
        <v>440.0</v>
      </c>
      <c r="G433" s="138"/>
      <c r="H433" s="600"/>
      <c r="I433" s="599"/>
      <c r="J433" s="599"/>
      <c r="K433" s="599"/>
      <c r="L433" s="599"/>
      <c r="M433" s="138"/>
      <c r="N433" s="138"/>
      <c r="O433" s="138"/>
      <c r="P433" s="138"/>
      <c r="Q433" s="138"/>
      <c r="R433" s="138"/>
      <c r="S433" s="138"/>
      <c r="T433" s="138"/>
      <c r="U433" s="601"/>
      <c r="V433" s="601"/>
      <c r="W433" s="603"/>
      <c r="X433" s="606"/>
      <c r="Y433" s="606"/>
      <c r="Z433" s="640"/>
      <c r="AA433" s="625"/>
      <c r="AB433" s="625"/>
      <c r="AC433" s="625"/>
      <c r="AD433" s="626"/>
    </row>
    <row r="434" ht="24.75" customHeight="1">
      <c r="A434" s="608">
        <v>213.0</v>
      </c>
      <c r="B434" s="138" t="s">
        <v>1101</v>
      </c>
      <c r="C434" s="138" t="s">
        <v>269</v>
      </c>
      <c r="D434" s="138" t="s">
        <v>34</v>
      </c>
      <c r="E434" s="138" t="s">
        <v>1101</v>
      </c>
      <c r="F434" s="137"/>
      <c r="G434" s="138" t="s">
        <v>1101</v>
      </c>
      <c r="H434" s="609" t="str">
        <f>H432+F433</f>
        <v>81867.49</v>
      </c>
      <c r="I434" s="599">
        <v>480.38</v>
      </c>
      <c r="J434" s="616">
        <v>75.5</v>
      </c>
      <c r="K434" s="599">
        <v>840.28</v>
      </c>
      <c r="L434" s="599">
        <v>420.14</v>
      </c>
      <c r="M434" s="138">
        <v>162.0</v>
      </c>
      <c r="N434" s="138">
        <v>237.0</v>
      </c>
      <c r="O434" s="138">
        <v>399.0</v>
      </c>
      <c r="P434" s="138">
        <v>180.0</v>
      </c>
      <c r="Q434" s="138">
        <v>226.0</v>
      </c>
      <c r="R434" s="138">
        <v>406.0</v>
      </c>
      <c r="S434" s="138" t="s">
        <v>1820</v>
      </c>
      <c r="T434" s="138" t="s">
        <v>1821</v>
      </c>
      <c r="U434" s="601">
        <v>590847.072</v>
      </c>
      <c r="V434" s="601">
        <v>2646407.613</v>
      </c>
      <c r="W434" s="603"/>
      <c r="X434" s="138" t="s">
        <v>1822</v>
      </c>
      <c r="Y434" s="138" t="s">
        <v>1699</v>
      </c>
      <c r="Z434" s="620" t="s">
        <v>1700</v>
      </c>
      <c r="AA434" s="625"/>
      <c r="AB434" s="625"/>
      <c r="AC434" s="625"/>
      <c r="AD434" s="626"/>
    </row>
    <row r="435" ht="24.75" customHeight="1">
      <c r="A435" s="598"/>
      <c r="B435" s="138"/>
      <c r="C435" s="138"/>
      <c r="D435" s="138"/>
      <c r="E435" s="138"/>
      <c r="F435" s="137">
        <v>400.28</v>
      </c>
      <c r="G435" s="138"/>
      <c r="H435" s="600"/>
      <c r="I435" s="599"/>
      <c r="J435" s="599"/>
      <c r="K435" s="599"/>
      <c r="L435" s="599"/>
      <c r="M435" s="138"/>
      <c r="N435" s="138"/>
      <c r="O435" s="138"/>
      <c r="P435" s="138"/>
      <c r="Q435" s="138"/>
      <c r="R435" s="138"/>
      <c r="S435" s="138"/>
      <c r="T435" s="138"/>
      <c r="U435" s="601"/>
      <c r="V435" s="601"/>
      <c r="W435" s="603" t="s">
        <v>1823</v>
      </c>
      <c r="X435" s="606"/>
      <c r="Y435" s="606"/>
      <c r="Z435" s="640"/>
      <c r="AA435" s="625"/>
      <c r="AB435" s="625"/>
      <c r="AC435" s="625"/>
      <c r="AD435" s="626"/>
    </row>
    <row r="436" ht="24.75" customHeight="1">
      <c r="A436" s="608">
        <v>214.0</v>
      </c>
      <c r="B436" s="138" t="s">
        <v>1824</v>
      </c>
      <c r="C436" s="138" t="s">
        <v>270</v>
      </c>
      <c r="D436" s="138" t="s">
        <v>13</v>
      </c>
      <c r="E436" s="138" t="s">
        <v>1825</v>
      </c>
      <c r="F436" s="137"/>
      <c r="G436" s="138">
        <v>1217.28</v>
      </c>
      <c r="H436" s="609" t="str">
        <f>H434+F435</f>
        <v>82267.77</v>
      </c>
      <c r="I436" s="599">
        <v>476.429</v>
      </c>
      <c r="J436" s="138">
        <v>70.72</v>
      </c>
      <c r="K436" s="599">
        <v>786.28</v>
      </c>
      <c r="L436" s="599">
        <v>393.14</v>
      </c>
      <c r="M436" s="138">
        <v>164.0</v>
      </c>
      <c r="N436" s="138">
        <v>170.0</v>
      </c>
      <c r="O436" s="138">
        <v>334.0</v>
      </c>
      <c r="P436" s="138">
        <v>175.0</v>
      </c>
      <c r="Q436" s="138">
        <v>178.0</v>
      </c>
      <c r="R436" s="138">
        <v>353.0</v>
      </c>
      <c r="S436" s="138" t="s">
        <v>1826</v>
      </c>
      <c r="T436" s="138" t="s">
        <v>1827</v>
      </c>
      <c r="U436" s="601">
        <v>591243.455</v>
      </c>
      <c r="V436" s="601">
        <v>2646463.333</v>
      </c>
      <c r="W436" s="603"/>
      <c r="X436" s="138" t="s">
        <v>1822</v>
      </c>
      <c r="Y436" s="138" t="s">
        <v>1699</v>
      </c>
      <c r="Z436" s="620" t="s">
        <v>1700</v>
      </c>
      <c r="AA436" s="625"/>
      <c r="AB436" s="625"/>
      <c r="AC436" s="625"/>
      <c r="AD436" s="626"/>
    </row>
    <row r="437" ht="24.75" customHeight="1">
      <c r="A437" s="598"/>
      <c r="B437" s="138"/>
      <c r="C437" s="138"/>
      <c r="D437" s="138"/>
      <c r="E437" s="138"/>
      <c r="F437" s="137">
        <v>386.0</v>
      </c>
      <c r="G437" s="138"/>
      <c r="H437" s="600"/>
      <c r="I437" s="599"/>
      <c r="J437" s="599"/>
      <c r="K437" s="599"/>
      <c r="L437" s="599"/>
      <c r="M437" s="138"/>
      <c r="N437" s="138"/>
      <c r="O437" s="138"/>
      <c r="P437" s="138"/>
      <c r="Q437" s="138"/>
      <c r="R437" s="138"/>
      <c r="S437" s="138"/>
      <c r="T437" s="138"/>
      <c r="U437" s="601"/>
      <c r="V437" s="601"/>
      <c r="W437" s="603"/>
      <c r="X437" s="606"/>
      <c r="Y437" s="606"/>
      <c r="Z437" s="640"/>
      <c r="AA437" s="625"/>
      <c r="AB437" s="625"/>
      <c r="AC437" s="625"/>
      <c r="AD437" s="626"/>
    </row>
    <row r="438" ht="24.75" customHeight="1">
      <c r="A438" s="608">
        <v>215.0</v>
      </c>
      <c r="B438" s="138" t="s">
        <v>1101</v>
      </c>
      <c r="C438" s="138" t="s">
        <v>271</v>
      </c>
      <c r="D438" s="138" t="s">
        <v>34</v>
      </c>
      <c r="E438" s="138" t="s">
        <v>1101</v>
      </c>
      <c r="F438" s="137"/>
      <c r="G438" s="138" t="s">
        <v>1101</v>
      </c>
      <c r="H438" s="609" t="str">
        <f>H436+F437</f>
        <v>82653.77</v>
      </c>
      <c r="I438" s="599">
        <v>477.492</v>
      </c>
      <c r="J438" s="616">
        <v>75.5</v>
      </c>
      <c r="K438" s="599">
        <v>806.0</v>
      </c>
      <c r="L438" s="599">
        <v>403.0</v>
      </c>
      <c r="M438" s="138">
        <v>216.0</v>
      </c>
      <c r="N438" s="138">
        <v>274.0</v>
      </c>
      <c r="O438" s="138">
        <v>490.0</v>
      </c>
      <c r="P438" s="138">
        <v>209.0</v>
      </c>
      <c r="Q438" s="138">
        <v>253.0</v>
      </c>
      <c r="R438" s="138">
        <v>462.0</v>
      </c>
      <c r="S438" s="138" t="s">
        <v>1828</v>
      </c>
      <c r="T438" s="138" t="s">
        <v>1829</v>
      </c>
      <c r="U438" s="601">
        <v>591626.313</v>
      </c>
      <c r="V438" s="601">
        <v>2646414.186</v>
      </c>
      <c r="W438" s="603"/>
      <c r="X438" s="138" t="s">
        <v>1822</v>
      </c>
      <c r="Y438" s="138" t="s">
        <v>1699</v>
      </c>
      <c r="Z438" s="620" t="s">
        <v>1700</v>
      </c>
      <c r="AA438" s="625"/>
      <c r="AB438" s="625"/>
      <c r="AC438" s="625"/>
      <c r="AD438" s="626"/>
    </row>
    <row r="439" ht="24.75" customHeight="1">
      <c r="A439" s="598"/>
      <c r="B439" s="138"/>
      <c r="C439" s="138"/>
      <c r="D439" s="138"/>
      <c r="E439" s="138"/>
      <c r="F439" s="137">
        <v>420.0</v>
      </c>
      <c r="G439" s="138"/>
      <c r="H439" s="600"/>
      <c r="I439" s="599"/>
      <c r="J439" s="599"/>
      <c r="K439" s="599"/>
      <c r="L439" s="599"/>
      <c r="M439" s="138"/>
      <c r="N439" s="138"/>
      <c r="O439" s="138"/>
      <c r="P439" s="138"/>
      <c r="Q439" s="138"/>
      <c r="R439" s="138"/>
      <c r="S439" s="138"/>
      <c r="T439" s="138"/>
      <c r="U439" s="601"/>
      <c r="V439" s="601"/>
      <c r="W439" s="603" t="s">
        <v>1270</v>
      </c>
      <c r="X439" s="606"/>
      <c r="Y439" s="606"/>
      <c r="Z439" s="640"/>
      <c r="AA439" s="625"/>
      <c r="AB439" s="625"/>
      <c r="AC439" s="625"/>
      <c r="AD439" s="626"/>
    </row>
    <row r="440" ht="24.75" customHeight="1">
      <c r="A440" s="608">
        <v>216.0</v>
      </c>
      <c r="B440" s="138" t="s">
        <v>1101</v>
      </c>
      <c r="C440" s="138" t="s">
        <v>272</v>
      </c>
      <c r="D440" s="138" t="s">
        <v>15</v>
      </c>
      <c r="E440" s="138" t="s">
        <v>1101</v>
      </c>
      <c r="F440" s="137"/>
      <c r="G440" s="138" t="s">
        <v>1101</v>
      </c>
      <c r="H440" s="609" t="str">
        <f>H438+F439</f>
        <v>83073.77</v>
      </c>
      <c r="I440" s="599">
        <v>471.289</v>
      </c>
      <c r="J440" s="599">
        <v>69.5</v>
      </c>
      <c r="K440" s="599">
        <v>757.0</v>
      </c>
      <c r="L440" s="599">
        <v>378.5</v>
      </c>
      <c r="M440" s="138">
        <v>147.0</v>
      </c>
      <c r="N440" s="138">
        <v>167.0</v>
      </c>
      <c r="O440" s="138">
        <v>314.0</v>
      </c>
      <c r="P440" s="138">
        <v>169.0</v>
      </c>
      <c r="Q440" s="138">
        <v>168.0</v>
      </c>
      <c r="R440" s="138">
        <v>337.0</v>
      </c>
      <c r="S440" s="138" t="s">
        <v>1830</v>
      </c>
      <c r="T440" s="138" t="s">
        <v>1831</v>
      </c>
      <c r="U440" s="601">
        <v>592042.895</v>
      </c>
      <c r="V440" s="601">
        <v>2646360.71</v>
      </c>
      <c r="W440" s="603"/>
      <c r="X440" s="138" t="s">
        <v>1822</v>
      </c>
      <c r="Y440" s="138" t="s">
        <v>1699</v>
      </c>
      <c r="Z440" s="620" t="s">
        <v>1700</v>
      </c>
      <c r="AA440" s="625"/>
      <c r="AB440" s="625"/>
      <c r="AC440" s="625"/>
      <c r="AD440" s="626"/>
    </row>
    <row r="441" ht="24.75" customHeight="1">
      <c r="A441" s="598"/>
      <c r="B441" s="138"/>
      <c r="C441" s="138"/>
      <c r="D441" s="138"/>
      <c r="E441" s="138"/>
      <c r="F441" s="137">
        <v>337.0</v>
      </c>
      <c r="G441" s="138"/>
      <c r="H441" s="600"/>
      <c r="I441" s="599"/>
      <c r="J441" s="599"/>
      <c r="K441" s="599"/>
      <c r="L441" s="599"/>
      <c r="M441" s="138"/>
      <c r="N441" s="138"/>
      <c r="O441" s="138"/>
      <c r="P441" s="138"/>
      <c r="Q441" s="138"/>
      <c r="R441" s="138"/>
      <c r="S441" s="138"/>
      <c r="T441" s="138"/>
      <c r="U441" s="601"/>
      <c r="V441" s="601"/>
      <c r="W441" s="603" t="s">
        <v>1240</v>
      </c>
      <c r="X441" s="606"/>
      <c r="Y441" s="606"/>
      <c r="Z441" s="640"/>
      <c r="AA441" s="625"/>
      <c r="AB441" s="625"/>
      <c r="AC441" s="625"/>
      <c r="AD441" s="626"/>
    </row>
    <row r="442" ht="24.75" customHeight="1">
      <c r="A442" s="608">
        <v>217.0</v>
      </c>
      <c r="B442" s="138" t="s">
        <v>1101</v>
      </c>
      <c r="C442" s="138" t="s">
        <v>273</v>
      </c>
      <c r="D442" s="138" t="s">
        <v>15</v>
      </c>
      <c r="E442" s="138" t="s">
        <v>1101</v>
      </c>
      <c r="F442" s="137"/>
      <c r="G442" s="138" t="s">
        <v>1101</v>
      </c>
      <c r="H442" s="609" t="str">
        <f>H440+F441</f>
        <v>83410.77</v>
      </c>
      <c r="I442" s="599">
        <v>471.474</v>
      </c>
      <c r="J442" s="599">
        <v>69.5</v>
      </c>
      <c r="K442" s="599">
        <v>673.512</v>
      </c>
      <c r="L442" s="599">
        <v>336.756</v>
      </c>
      <c r="M442" s="138">
        <v>170.0</v>
      </c>
      <c r="N442" s="138">
        <v>126.0</v>
      </c>
      <c r="O442" s="138">
        <v>296.0</v>
      </c>
      <c r="P442" s="138">
        <v>170.0</v>
      </c>
      <c r="Q442" s="138">
        <v>141.0</v>
      </c>
      <c r="R442" s="138">
        <v>311.0</v>
      </c>
      <c r="S442" s="138" t="s">
        <v>1832</v>
      </c>
      <c r="T442" s="138" t="s">
        <v>1833</v>
      </c>
      <c r="U442" s="601">
        <v>592377.152</v>
      </c>
      <c r="V442" s="601">
        <v>2646317.802</v>
      </c>
      <c r="W442" s="603"/>
      <c r="X442" s="138" t="s">
        <v>1822</v>
      </c>
      <c r="Y442" s="138" t="s">
        <v>1699</v>
      </c>
      <c r="Z442" s="620" t="s">
        <v>1700</v>
      </c>
      <c r="AA442" s="625"/>
      <c r="AB442" s="625"/>
      <c r="AC442" s="625"/>
      <c r="AD442" s="626"/>
    </row>
    <row r="443" ht="24.75" customHeight="1">
      <c r="A443" s="598"/>
      <c r="B443" s="138"/>
      <c r="C443" s="138"/>
      <c r="D443" s="138"/>
      <c r="E443" s="138"/>
      <c r="F443" s="137">
        <v>336.512</v>
      </c>
      <c r="G443" s="138"/>
      <c r="H443" s="600"/>
      <c r="I443" s="599"/>
      <c r="J443" s="599"/>
      <c r="K443" s="599"/>
      <c r="L443" s="599"/>
      <c r="M443" s="138"/>
      <c r="N443" s="138"/>
      <c r="O443" s="138"/>
      <c r="P443" s="138"/>
      <c r="Q443" s="138"/>
      <c r="R443" s="138"/>
      <c r="S443" s="138"/>
      <c r="T443" s="138"/>
      <c r="U443" s="601"/>
      <c r="V443" s="601"/>
      <c r="W443" s="603" t="s">
        <v>1834</v>
      </c>
      <c r="X443" s="606"/>
      <c r="Y443" s="606"/>
      <c r="Z443" s="640"/>
      <c r="AA443" s="625"/>
      <c r="AB443" s="625"/>
      <c r="AC443" s="625"/>
      <c r="AD443" s="626"/>
    </row>
    <row r="444" ht="24.75" customHeight="1">
      <c r="A444" s="608">
        <v>218.0</v>
      </c>
      <c r="B444" s="138" t="s">
        <v>1835</v>
      </c>
      <c r="C444" s="138" t="s">
        <v>274</v>
      </c>
      <c r="D444" s="138" t="s">
        <v>186</v>
      </c>
      <c r="E444" s="138" t="s">
        <v>1836</v>
      </c>
      <c r="F444" s="599"/>
      <c r="G444" s="138">
        <v>1479.51</v>
      </c>
      <c r="H444" s="609" t="str">
        <f>H442+F443</f>
        <v>83747.28</v>
      </c>
      <c r="I444" s="599">
        <v>471.993</v>
      </c>
      <c r="J444" s="616">
        <v>73.72</v>
      </c>
      <c r="K444" s="599">
        <v>748.512</v>
      </c>
      <c r="L444" s="599">
        <v>374.256</v>
      </c>
      <c r="M444" s="138">
        <v>211.0</v>
      </c>
      <c r="N444" s="138">
        <v>222.0</v>
      </c>
      <c r="O444" s="138">
        <v>433.0</v>
      </c>
      <c r="P444" s="138">
        <v>197.0</v>
      </c>
      <c r="Q444" s="138">
        <v>217.0</v>
      </c>
      <c r="R444" s="138">
        <v>414.0</v>
      </c>
      <c r="S444" s="138" t="s">
        <v>1837</v>
      </c>
      <c r="T444" s="138" t="s">
        <v>1838</v>
      </c>
      <c r="U444" s="601">
        <v>592710.926</v>
      </c>
      <c r="V444" s="601">
        <v>2646274.956</v>
      </c>
      <c r="W444" s="603"/>
      <c r="X444" s="138" t="s">
        <v>1822</v>
      </c>
      <c r="Y444" s="138" t="s">
        <v>1699</v>
      </c>
      <c r="Z444" s="620" t="s">
        <v>1700</v>
      </c>
      <c r="AA444" s="625"/>
      <c r="AB444" s="625"/>
      <c r="AC444" s="625"/>
      <c r="AD444" s="626"/>
    </row>
    <row r="445" ht="24.75" customHeight="1">
      <c r="A445" s="598"/>
      <c r="B445" s="616"/>
      <c r="C445" s="606"/>
      <c r="D445" s="617"/>
      <c r="E445" s="616"/>
      <c r="F445" s="616">
        <v>412.0</v>
      </c>
      <c r="G445" s="616"/>
      <c r="H445" s="600"/>
      <c r="I445" s="616"/>
      <c r="J445" s="616"/>
      <c r="K445" s="616"/>
      <c r="L445" s="616"/>
      <c r="M445" s="616"/>
      <c r="N445" s="616"/>
      <c r="O445" s="616"/>
      <c r="P445" s="616"/>
      <c r="Q445" s="616"/>
      <c r="R445" s="616"/>
      <c r="S445" s="616"/>
      <c r="T445" s="616"/>
      <c r="U445" s="616"/>
      <c r="V445" s="616"/>
      <c r="W445" s="616" t="s">
        <v>1240</v>
      </c>
      <c r="X445" s="138"/>
      <c r="Y445" s="606"/>
      <c r="Z445" s="640"/>
      <c r="AA445" s="625"/>
      <c r="AB445" s="625"/>
      <c r="AC445" s="625"/>
      <c r="AD445" s="626"/>
    </row>
    <row r="446" ht="24.75" customHeight="1">
      <c r="A446" s="608">
        <v>219.0</v>
      </c>
      <c r="B446" s="616" t="s">
        <v>1101</v>
      </c>
      <c r="C446" s="606" t="s">
        <v>275</v>
      </c>
      <c r="D446" s="617" t="s">
        <v>33</v>
      </c>
      <c r="E446" s="616" t="s">
        <v>1101</v>
      </c>
      <c r="F446" s="616"/>
      <c r="G446" s="616" t="s">
        <v>1101</v>
      </c>
      <c r="H446" s="609" t="str">
        <f>H444+F445</f>
        <v>84159.28</v>
      </c>
      <c r="I446" s="622">
        <v>472.109</v>
      </c>
      <c r="J446" s="616">
        <v>72.5</v>
      </c>
      <c r="K446" s="616" t="str">
        <f>F445+F447</f>
        <v>820</v>
      </c>
      <c r="L446" s="616" t="str">
        <f>K446/2</f>
        <v>410</v>
      </c>
      <c r="M446" s="616">
        <v>191.0</v>
      </c>
      <c r="N446" s="616">
        <v>168.0</v>
      </c>
      <c r="O446" s="616">
        <v>359.0</v>
      </c>
      <c r="P446" s="616">
        <v>196.0</v>
      </c>
      <c r="Q446" s="616">
        <v>180.0</v>
      </c>
      <c r="R446" s="616">
        <v>376.0</v>
      </c>
      <c r="S446" s="616" t="s">
        <v>1839</v>
      </c>
      <c r="T446" s="616" t="s">
        <v>1840</v>
      </c>
      <c r="U446" s="616">
        <v>593091.104</v>
      </c>
      <c r="V446" s="616">
        <v>2646116.183</v>
      </c>
      <c r="W446" s="616"/>
      <c r="X446" s="138" t="s">
        <v>1841</v>
      </c>
      <c r="Y446" s="138" t="s">
        <v>1699</v>
      </c>
      <c r="Z446" s="620" t="s">
        <v>1700</v>
      </c>
      <c r="AA446" s="625"/>
      <c r="AB446" s="625"/>
      <c r="AC446" s="625"/>
      <c r="AD446" s="626"/>
    </row>
    <row r="447" ht="24.75" customHeight="1">
      <c r="A447" s="598"/>
      <c r="B447" s="616"/>
      <c r="C447" s="606"/>
      <c r="D447" s="617"/>
      <c r="E447" s="616"/>
      <c r="F447" s="616">
        <v>408.0</v>
      </c>
      <c r="G447" s="616"/>
      <c r="H447" s="600"/>
      <c r="I447" s="616"/>
      <c r="J447" s="616"/>
      <c r="K447" s="616"/>
      <c r="L447" s="616"/>
      <c r="M447" s="616"/>
      <c r="N447" s="616"/>
      <c r="O447" s="616"/>
      <c r="P447" s="616"/>
      <c r="Q447" s="616"/>
      <c r="R447" s="616"/>
      <c r="S447" s="616"/>
      <c r="T447" s="616"/>
      <c r="U447" s="616"/>
      <c r="V447" s="616"/>
      <c r="W447" s="616" t="s">
        <v>1219</v>
      </c>
      <c r="X447" s="138"/>
      <c r="Y447" s="606"/>
      <c r="Z447" s="640"/>
      <c r="AA447" s="625"/>
      <c r="AB447" s="625"/>
      <c r="AC447" s="625"/>
      <c r="AD447" s="626"/>
    </row>
    <row r="448" ht="24.75" customHeight="1">
      <c r="A448" s="608">
        <v>220.0</v>
      </c>
      <c r="B448" s="616" t="s">
        <v>1101</v>
      </c>
      <c r="C448" s="606" t="s">
        <v>276</v>
      </c>
      <c r="D448" s="617" t="s">
        <v>12</v>
      </c>
      <c r="E448" s="616" t="s">
        <v>1101</v>
      </c>
      <c r="F448" s="616"/>
      <c r="G448" s="616" t="s">
        <v>1101</v>
      </c>
      <c r="H448" s="609" t="str">
        <f>H446+F447</f>
        <v>84567.28</v>
      </c>
      <c r="I448" s="616">
        <v>472.952</v>
      </c>
      <c r="J448" s="616">
        <v>78.5</v>
      </c>
      <c r="K448" s="616" t="str">
        <f>F447+F449</f>
        <v>821</v>
      </c>
      <c r="L448" s="616" t="str">
        <f>K448/2</f>
        <v>410.5</v>
      </c>
      <c r="M448" s="616">
        <v>240.0</v>
      </c>
      <c r="N448" s="616">
        <v>251.0</v>
      </c>
      <c r="O448" s="616">
        <v>491.0</v>
      </c>
      <c r="P448" s="616">
        <v>229.0</v>
      </c>
      <c r="Q448" s="616">
        <v>237.0</v>
      </c>
      <c r="R448" s="616">
        <v>466.0</v>
      </c>
      <c r="S448" s="616" t="s">
        <v>1842</v>
      </c>
      <c r="T448" s="616" t="s">
        <v>1843</v>
      </c>
      <c r="U448" s="616">
        <v>593467.591</v>
      </c>
      <c r="V448" s="616">
        <v>2645958.952</v>
      </c>
      <c r="W448" s="616"/>
      <c r="X448" s="138" t="s">
        <v>1841</v>
      </c>
      <c r="Y448" s="138" t="s">
        <v>1699</v>
      </c>
      <c r="Z448" s="620" t="s">
        <v>1700</v>
      </c>
      <c r="AA448" s="625"/>
      <c r="AB448" s="625"/>
      <c r="AC448" s="625"/>
      <c r="AD448" s="626"/>
    </row>
    <row r="449" ht="24.75" customHeight="1">
      <c r="A449" s="598"/>
      <c r="B449" s="616"/>
      <c r="C449" s="606"/>
      <c r="D449" s="617"/>
      <c r="E449" s="616"/>
      <c r="F449" s="616">
        <v>413.0</v>
      </c>
      <c r="G449" s="616"/>
      <c r="H449" s="600"/>
      <c r="I449" s="616"/>
      <c r="J449" s="616"/>
      <c r="K449" s="616"/>
      <c r="L449" s="616"/>
      <c r="M449" s="616"/>
      <c r="N449" s="616"/>
      <c r="O449" s="616"/>
      <c r="P449" s="616"/>
      <c r="Q449" s="616"/>
      <c r="R449" s="616"/>
      <c r="S449" s="616"/>
      <c r="T449" s="616"/>
      <c r="U449" s="616"/>
      <c r="V449" s="616"/>
      <c r="W449" s="616" t="s">
        <v>1219</v>
      </c>
      <c r="X449" s="606"/>
      <c r="Y449" s="606"/>
      <c r="Z449" s="640"/>
      <c r="AA449" s="625"/>
      <c r="AB449" s="625"/>
      <c r="AC449" s="625"/>
      <c r="AD449" s="626"/>
    </row>
    <row r="450" ht="24.75" customHeight="1">
      <c r="A450" s="608">
        <v>221.0</v>
      </c>
      <c r="B450" s="616" t="s">
        <v>1101</v>
      </c>
      <c r="C450" s="606" t="s">
        <v>277</v>
      </c>
      <c r="D450" s="617" t="s">
        <v>33</v>
      </c>
      <c r="E450" s="616" t="s">
        <v>1101</v>
      </c>
      <c r="F450" s="616"/>
      <c r="G450" s="616" t="s">
        <v>1101</v>
      </c>
      <c r="H450" s="609" t="str">
        <f>H448+F449</f>
        <v>84980.28</v>
      </c>
      <c r="I450" s="622">
        <v>470.509</v>
      </c>
      <c r="J450" s="616">
        <v>72.5</v>
      </c>
      <c r="K450" s="616" t="str">
        <f>F449+F451</f>
        <v>823</v>
      </c>
      <c r="L450" s="616" t="str">
        <f>K450/2</f>
        <v>411.5</v>
      </c>
      <c r="M450" s="616">
        <v>163.0</v>
      </c>
      <c r="N450" s="616">
        <v>206.0</v>
      </c>
      <c r="O450" s="616">
        <v>369.0</v>
      </c>
      <c r="P450" s="616">
        <v>177.0</v>
      </c>
      <c r="Q450" s="616">
        <v>206.0</v>
      </c>
      <c r="R450" s="616">
        <v>383.0</v>
      </c>
      <c r="S450" s="616" t="s">
        <v>1844</v>
      </c>
      <c r="T450" s="616" t="s">
        <v>1845</v>
      </c>
      <c r="U450" s="616">
        <v>593848.692</v>
      </c>
      <c r="V450" s="616">
        <v>2645799.794</v>
      </c>
      <c r="W450" s="616"/>
      <c r="X450" s="138" t="s">
        <v>1803</v>
      </c>
      <c r="Y450" s="138" t="s">
        <v>1699</v>
      </c>
      <c r="Z450" s="620" t="s">
        <v>1700</v>
      </c>
      <c r="AA450" s="625"/>
      <c r="AB450" s="625"/>
      <c r="AC450" s="625"/>
      <c r="AD450" s="626"/>
    </row>
    <row r="451" ht="24.75" customHeight="1">
      <c r="A451" s="598"/>
      <c r="B451" s="616"/>
      <c r="C451" s="606"/>
      <c r="D451" s="617"/>
      <c r="E451" s="616"/>
      <c r="F451" s="616">
        <v>410.0</v>
      </c>
      <c r="G451" s="616"/>
      <c r="H451" s="600"/>
      <c r="I451" s="616"/>
      <c r="J451" s="616"/>
      <c r="K451" s="616"/>
      <c r="L451" s="616"/>
      <c r="M451" s="616"/>
      <c r="N451" s="616"/>
      <c r="O451" s="616"/>
      <c r="P451" s="616"/>
      <c r="Q451" s="616"/>
      <c r="R451" s="616"/>
      <c r="S451" s="616"/>
      <c r="T451" s="616"/>
      <c r="U451" s="616"/>
      <c r="V451" s="616"/>
      <c r="W451" s="616" t="s">
        <v>1256</v>
      </c>
      <c r="X451" s="606"/>
      <c r="Y451" s="606"/>
      <c r="Z451" s="640"/>
      <c r="AA451" s="625"/>
      <c r="AB451" s="625"/>
      <c r="AC451" s="625"/>
      <c r="AD451" s="626"/>
    </row>
    <row r="452" ht="24.75" customHeight="1">
      <c r="A452" s="608">
        <v>222.0</v>
      </c>
      <c r="B452" s="616" t="s">
        <v>1101</v>
      </c>
      <c r="C452" s="606" t="s">
        <v>278</v>
      </c>
      <c r="D452" s="617" t="s">
        <v>34</v>
      </c>
      <c r="E452" s="616" t="s">
        <v>1101</v>
      </c>
      <c r="F452" s="616"/>
      <c r="G452" s="616" t="s">
        <v>1101</v>
      </c>
      <c r="H452" s="609" t="str">
        <f>H450+F451</f>
        <v>85390.28</v>
      </c>
      <c r="I452" s="616">
        <v>467.308</v>
      </c>
      <c r="J452" s="616">
        <v>75.5</v>
      </c>
      <c r="K452" s="616" t="str">
        <f>F451+F453</f>
        <v>816</v>
      </c>
      <c r="L452" s="616" t="str">
        <f>K452/2</f>
        <v>408</v>
      </c>
      <c r="M452" s="616">
        <v>204.0</v>
      </c>
      <c r="N452" s="616">
        <v>212.0</v>
      </c>
      <c r="O452" s="616">
        <v>416.0</v>
      </c>
      <c r="P452" s="616">
        <v>205.0</v>
      </c>
      <c r="Q452" s="616">
        <v>209.0</v>
      </c>
      <c r="R452" s="616">
        <v>414.0</v>
      </c>
      <c r="S452" s="616" t="s">
        <v>1846</v>
      </c>
      <c r="T452" s="616" t="s">
        <v>1847</v>
      </c>
      <c r="U452" s="616">
        <v>594227.024</v>
      </c>
      <c r="V452" s="616">
        <v>2645641.792</v>
      </c>
      <c r="W452" s="616"/>
      <c r="X452" s="138" t="s">
        <v>1803</v>
      </c>
      <c r="Y452" s="138" t="s">
        <v>1699</v>
      </c>
      <c r="Z452" s="620" t="s">
        <v>1700</v>
      </c>
      <c r="AA452" s="625"/>
      <c r="AB452" s="625"/>
      <c r="AC452" s="625"/>
      <c r="AD452" s="626"/>
    </row>
    <row r="453" ht="24.75" customHeight="1">
      <c r="A453" s="598"/>
      <c r="B453" s="616"/>
      <c r="C453" s="606"/>
      <c r="D453" s="617"/>
      <c r="E453" s="616"/>
      <c r="F453" s="616">
        <v>406.0</v>
      </c>
      <c r="G453" s="616"/>
      <c r="H453" s="600"/>
      <c r="I453" s="616"/>
      <c r="J453" s="616"/>
      <c r="K453" s="616"/>
      <c r="L453" s="616"/>
      <c r="M453" s="616"/>
      <c r="N453" s="616"/>
      <c r="O453" s="616"/>
      <c r="P453" s="616"/>
      <c r="Q453" s="616"/>
      <c r="R453" s="616"/>
      <c r="S453" s="616"/>
      <c r="T453" s="616"/>
      <c r="U453" s="616"/>
      <c r="V453" s="616"/>
      <c r="W453" s="616" t="s">
        <v>1240</v>
      </c>
      <c r="X453" s="606"/>
      <c r="Y453" s="606"/>
      <c r="Z453" s="640"/>
      <c r="AA453" s="625"/>
      <c r="AB453" s="625"/>
      <c r="AC453" s="625"/>
      <c r="AD453" s="626"/>
    </row>
    <row r="454" ht="24.75" customHeight="1">
      <c r="A454" s="608">
        <v>223.0</v>
      </c>
      <c r="B454" s="616" t="s">
        <v>1101</v>
      </c>
      <c r="C454" s="606" t="s">
        <v>279</v>
      </c>
      <c r="D454" s="617" t="s">
        <v>34</v>
      </c>
      <c r="E454" s="616" t="s">
        <v>1101</v>
      </c>
      <c r="F454" s="616"/>
      <c r="G454" s="616" t="s">
        <v>1101</v>
      </c>
      <c r="H454" s="609" t="str">
        <f>H452+F453</f>
        <v>85796.28</v>
      </c>
      <c r="I454" s="616">
        <v>465.734</v>
      </c>
      <c r="J454" s="616">
        <v>75.5</v>
      </c>
      <c r="K454" s="616" t="str">
        <f>F453+F455</f>
        <v>817</v>
      </c>
      <c r="L454" s="616" t="str">
        <f>K454/2</f>
        <v>408.5</v>
      </c>
      <c r="M454" s="616">
        <v>195.0</v>
      </c>
      <c r="N454" s="616">
        <v>226.0</v>
      </c>
      <c r="O454" s="616">
        <v>421.0</v>
      </c>
      <c r="P454" s="616">
        <v>198.0</v>
      </c>
      <c r="Q454" s="616">
        <v>220.0</v>
      </c>
      <c r="R454" s="616">
        <v>418.0</v>
      </c>
      <c r="S454" s="616" t="s">
        <v>1848</v>
      </c>
      <c r="T454" s="616" t="s">
        <v>1849</v>
      </c>
      <c r="U454" s="616">
        <v>594601.665</v>
      </c>
      <c r="V454" s="616">
        <v>2645485.332</v>
      </c>
      <c r="W454" s="616"/>
      <c r="X454" s="138" t="s">
        <v>1803</v>
      </c>
      <c r="Y454" s="138" t="s">
        <v>1699</v>
      </c>
      <c r="Z454" s="620" t="s">
        <v>1700</v>
      </c>
      <c r="AA454" s="625"/>
      <c r="AB454" s="625"/>
      <c r="AC454" s="625"/>
      <c r="AD454" s="626"/>
    </row>
    <row r="455" ht="24.75" customHeight="1">
      <c r="A455" s="598"/>
      <c r="B455" s="616"/>
      <c r="C455" s="606"/>
      <c r="D455" s="617"/>
      <c r="E455" s="616"/>
      <c r="F455" s="616">
        <v>411.0</v>
      </c>
      <c r="G455" s="616"/>
      <c r="H455" s="600"/>
      <c r="I455" s="616"/>
      <c r="J455" s="616"/>
      <c r="K455" s="616"/>
      <c r="L455" s="616"/>
      <c r="M455" s="616"/>
      <c r="N455" s="616"/>
      <c r="O455" s="616"/>
      <c r="P455" s="616"/>
      <c r="Q455" s="616"/>
      <c r="R455" s="616"/>
      <c r="S455" s="616"/>
      <c r="T455" s="616"/>
      <c r="U455" s="616"/>
      <c r="V455" s="616"/>
      <c r="W455" s="616" t="s">
        <v>1256</v>
      </c>
      <c r="X455" s="606"/>
      <c r="Y455" s="606"/>
      <c r="Z455" s="640"/>
      <c r="AA455" s="625"/>
      <c r="AB455" s="625"/>
      <c r="AC455" s="625"/>
      <c r="AD455" s="626"/>
    </row>
    <row r="456" ht="24.75" customHeight="1">
      <c r="A456" s="608">
        <v>224.0</v>
      </c>
      <c r="B456" s="616" t="s">
        <v>1101</v>
      </c>
      <c r="C456" s="606" t="s">
        <v>280</v>
      </c>
      <c r="D456" s="617" t="s">
        <v>34</v>
      </c>
      <c r="E456" s="616" t="s">
        <v>1101</v>
      </c>
      <c r="F456" s="616"/>
      <c r="G456" s="616" t="s">
        <v>1101</v>
      </c>
      <c r="H456" s="609" t="str">
        <f>H454+F455</f>
        <v>86207.28</v>
      </c>
      <c r="I456" s="616">
        <v>461.972</v>
      </c>
      <c r="J456" s="616">
        <v>75.5</v>
      </c>
      <c r="K456" s="616" t="str">
        <f>F455+F457</f>
        <v>783</v>
      </c>
      <c r="L456" s="616" t="str">
        <f>K456/2</f>
        <v>391.5</v>
      </c>
      <c r="M456" s="616">
        <v>186.0</v>
      </c>
      <c r="N456" s="616">
        <v>215.0</v>
      </c>
      <c r="O456" s="616">
        <v>401.0</v>
      </c>
      <c r="P456" s="616">
        <v>193.0</v>
      </c>
      <c r="Q456" s="616">
        <v>207.0</v>
      </c>
      <c r="R456" s="616">
        <v>400.0</v>
      </c>
      <c r="S456" s="616" t="s">
        <v>1850</v>
      </c>
      <c r="T456" s="616" t="s">
        <v>1851</v>
      </c>
      <c r="U456" s="616">
        <v>594980.92</v>
      </c>
      <c r="V456" s="616">
        <v>2645326.945</v>
      </c>
      <c r="W456" s="616"/>
      <c r="X456" s="138" t="s">
        <v>1803</v>
      </c>
      <c r="Y456" s="138" t="s">
        <v>1699</v>
      </c>
      <c r="Z456" s="620" t="s">
        <v>1700</v>
      </c>
      <c r="AA456" s="625"/>
      <c r="AB456" s="625"/>
      <c r="AC456" s="625"/>
      <c r="AD456" s="626"/>
    </row>
    <row r="457" ht="24.75" customHeight="1">
      <c r="A457" s="598"/>
      <c r="B457" s="616"/>
      <c r="C457" s="606"/>
      <c r="D457" s="617"/>
      <c r="E457" s="616"/>
      <c r="F457" s="616">
        <v>372.0</v>
      </c>
      <c r="G457" s="616"/>
      <c r="H457" s="600"/>
      <c r="I457" s="616"/>
      <c r="J457" s="616"/>
      <c r="K457" s="616"/>
      <c r="L457" s="616"/>
      <c r="M457" s="616"/>
      <c r="N457" s="616"/>
      <c r="O457" s="616"/>
      <c r="P457" s="616"/>
      <c r="Q457" s="616"/>
      <c r="R457" s="616"/>
      <c r="S457" s="616"/>
      <c r="T457" s="616"/>
      <c r="U457" s="616"/>
      <c r="V457" s="616"/>
      <c r="W457" s="616" t="s">
        <v>1240</v>
      </c>
      <c r="X457" s="606"/>
      <c r="Y457" s="606"/>
      <c r="Z457" s="640"/>
      <c r="AA457" s="625"/>
      <c r="AB457" s="625"/>
      <c r="AC457" s="625"/>
      <c r="AD457" s="626"/>
    </row>
    <row r="458" ht="24.75" customHeight="1">
      <c r="A458" s="608">
        <v>225.0</v>
      </c>
      <c r="B458" s="616" t="s">
        <v>1101</v>
      </c>
      <c r="C458" s="606" t="s">
        <v>281</v>
      </c>
      <c r="D458" s="617" t="s">
        <v>33</v>
      </c>
      <c r="E458" s="616" t="s">
        <v>1101</v>
      </c>
      <c r="F458" s="616"/>
      <c r="G458" s="616" t="s">
        <v>1101</v>
      </c>
      <c r="H458" s="609" t="str">
        <f>H456+F457</f>
        <v>86579.28</v>
      </c>
      <c r="I458" s="622">
        <v>459.92</v>
      </c>
      <c r="J458" s="616">
        <v>72.5</v>
      </c>
      <c r="K458" s="616" t="str">
        <f>F457+F459</f>
        <v>758</v>
      </c>
      <c r="L458" s="616" t="str">
        <f>K458/2</f>
        <v>379</v>
      </c>
      <c r="M458" s="616">
        <v>157.0</v>
      </c>
      <c r="N458" s="616">
        <v>175.0</v>
      </c>
      <c r="O458" s="616">
        <v>332.0</v>
      </c>
      <c r="P458" s="616">
        <v>167.0</v>
      </c>
      <c r="Q458" s="616">
        <v>181.0</v>
      </c>
      <c r="R458" s="616">
        <v>348.0</v>
      </c>
      <c r="S458" s="616" t="s">
        <v>1852</v>
      </c>
      <c r="T458" s="616" t="s">
        <v>1853</v>
      </c>
      <c r="U458" s="616">
        <v>595324.188</v>
      </c>
      <c r="V458" s="616">
        <v>2645183.587</v>
      </c>
      <c r="W458" s="616"/>
      <c r="X458" s="138" t="s">
        <v>1803</v>
      </c>
      <c r="Y458" s="138" t="s">
        <v>1699</v>
      </c>
      <c r="Z458" s="620" t="s">
        <v>1700</v>
      </c>
      <c r="AA458" s="625"/>
      <c r="AB458" s="625"/>
      <c r="AC458" s="625"/>
      <c r="AD458" s="626"/>
    </row>
    <row r="459" ht="24.75" customHeight="1">
      <c r="A459" s="598"/>
      <c r="B459" s="616"/>
      <c r="C459" s="606"/>
      <c r="D459" s="617"/>
      <c r="E459" s="616"/>
      <c r="F459" s="616">
        <v>386.0</v>
      </c>
      <c r="G459" s="616"/>
      <c r="H459" s="600"/>
      <c r="I459" s="616"/>
      <c r="J459" s="616"/>
      <c r="K459" s="616"/>
      <c r="L459" s="616"/>
      <c r="M459" s="616"/>
      <c r="N459" s="616"/>
      <c r="O459" s="616"/>
      <c r="P459" s="616"/>
      <c r="Q459" s="616"/>
      <c r="R459" s="616"/>
      <c r="S459" s="616"/>
      <c r="T459" s="616"/>
      <c r="U459" s="616"/>
      <c r="V459" s="616"/>
      <c r="W459" s="616" t="s">
        <v>1205</v>
      </c>
      <c r="X459" s="606"/>
      <c r="Y459" s="606"/>
      <c r="Z459" s="640"/>
      <c r="AA459" s="625"/>
      <c r="AB459" s="625"/>
      <c r="AC459" s="625"/>
      <c r="AD459" s="626"/>
    </row>
    <row r="460" ht="24.75" customHeight="1">
      <c r="A460" s="608">
        <v>226.0</v>
      </c>
      <c r="B460" s="616" t="s">
        <v>1101</v>
      </c>
      <c r="C460" s="606" t="s">
        <v>282</v>
      </c>
      <c r="D460" s="617" t="s">
        <v>33</v>
      </c>
      <c r="E460" s="616" t="s">
        <v>1101</v>
      </c>
      <c r="F460" s="616"/>
      <c r="G460" s="616" t="s">
        <v>1101</v>
      </c>
      <c r="H460" s="609" t="str">
        <f>H458+F459</f>
        <v>86965.28</v>
      </c>
      <c r="I460" s="622">
        <v>463.284</v>
      </c>
      <c r="J460" s="616">
        <v>72.5</v>
      </c>
      <c r="K460" s="616" t="str">
        <f>F459+F461</f>
        <v>756</v>
      </c>
      <c r="L460" s="616" t="str">
        <f>K460/2</f>
        <v>378</v>
      </c>
      <c r="M460" s="616">
        <v>212.0</v>
      </c>
      <c r="N460" s="616">
        <v>241.0</v>
      </c>
      <c r="O460" s="616">
        <v>453.0</v>
      </c>
      <c r="P460" s="616">
        <v>206.0</v>
      </c>
      <c r="Q460" s="616">
        <v>224.0</v>
      </c>
      <c r="R460" s="616">
        <v>430.0</v>
      </c>
      <c r="S460" s="616" t="s">
        <v>1854</v>
      </c>
      <c r="T460" s="616" t="s">
        <v>1855</v>
      </c>
      <c r="U460" s="616">
        <v>595680.374</v>
      </c>
      <c r="V460" s="616">
        <v>2645034.834</v>
      </c>
      <c r="W460" s="616"/>
      <c r="X460" s="138" t="s">
        <v>1803</v>
      </c>
      <c r="Y460" s="138" t="s">
        <v>1699</v>
      </c>
      <c r="Z460" s="620" t="s">
        <v>1700</v>
      </c>
      <c r="AA460" s="625"/>
      <c r="AB460" s="625"/>
      <c r="AC460" s="625"/>
      <c r="AD460" s="626"/>
    </row>
    <row r="461" ht="24.75" customHeight="1">
      <c r="A461" s="598"/>
      <c r="B461" s="616"/>
      <c r="C461" s="606"/>
      <c r="D461" s="617"/>
      <c r="E461" s="616"/>
      <c r="F461" s="616">
        <v>370.0</v>
      </c>
      <c r="G461" s="616"/>
      <c r="H461" s="600"/>
      <c r="I461" s="616"/>
      <c r="J461" s="616"/>
      <c r="K461" s="616"/>
      <c r="L461" s="616"/>
      <c r="M461" s="616"/>
      <c r="N461" s="616"/>
      <c r="O461" s="616"/>
      <c r="P461" s="616"/>
      <c r="Q461" s="616"/>
      <c r="R461" s="616"/>
      <c r="S461" s="616"/>
      <c r="T461" s="616"/>
      <c r="U461" s="616"/>
      <c r="V461" s="616"/>
      <c r="W461" s="616" t="s">
        <v>1208</v>
      </c>
      <c r="X461" s="606"/>
      <c r="Y461" s="606"/>
      <c r="Z461" s="640"/>
      <c r="AA461" s="625"/>
      <c r="AB461" s="625"/>
      <c r="AC461" s="625"/>
      <c r="AD461" s="626"/>
    </row>
    <row r="462" ht="24.75" customHeight="1">
      <c r="A462" s="608">
        <v>227.0</v>
      </c>
      <c r="B462" s="616" t="s">
        <v>1101</v>
      </c>
      <c r="C462" s="606" t="s">
        <v>283</v>
      </c>
      <c r="D462" s="617" t="s">
        <v>33</v>
      </c>
      <c r="E462" s="616" t="s">
        <v>1101</v>
      </c>
      <c r="F462" s="616"/>
      <c r="G462" s="616" t="s">
        <v>1101</v>
      </c>
      <c r="H462" s="609" t="str">
        <f>H460+F461</f>
        <v>87335.28</v>
      </c>
      <c r="I462" s="622">
        <v>453.68</v>
      </c>
      <c r="J462" s="616">
        <v>72.5</v>
      </c>
      <c r="K462" s="616" t="str">
        <f>F461+F463</f>
        <v>752</v>
      </c>
      <c r="L462" s="616" t="str">
        <f>K462/2</f>
        <v>376</v>
      </c>
      <c r="M462" s="616">
        <v>130.0</v>
      </c>
      <c r="N462" s="616">
        <v>196.0</v>
      </c>
      <c r="O462" s="616">
        <v>326.0</v>
      </c>
      <c r="P462" s="616">
        <v>147.0</v>
      </c>
      <c r="Q462" s="616">
        <v>195.0</v>
      </c>
      <c r="R462" s="616">
        <v>342.0</v>
      </c>
      <c r="S462" s="616" t="s">
        <v>1856</v>
      </c>
      <c r="T462" s="616" t="s">
        <v>1857</v>
      </c>
      <c r="U462" s="616">
        <v>596021.796</v>
      </c>
      <c r="V462" s="616">
        <v>2644892.247</v>
      </c>
      <c r="W462" s="616"/>
      <c r="X462" s="138" t="s">
        <v>1803</v>
      </c>
      <c r="Y462" s="138" t="s">
        <v>1699</v>
      </c>
      <c r="Z462" s="620" t="s">
        <v>1700</v>
      </c>
      <c r="AA462" s="625"/>
      <c r="AB462" s="625"/>
      <c r="AC462" s="625"/>
      <c r="AD462" s="626"/>
    </row>
    <row r="463" ht="24.75" customHeight="1">
      <c r="A463" s="598"/>
      <c r="B463" s="616"/>
      <c r="C463" s="606"/>
      <c r="D463" s="617"/>
      <c r="E463" s="616"/>
      <c r="F463" s="616">
        <v>382.0</v>
      </c>
      <c r="G463" s="616"/>
      <c r="H463" s="600"/>
      <c r="I463" s="616"/>
      <c r="J463" s="616"/>
      <c r="K463" s="616"/>
      <c r="L463" s="616"/>
      <c r="M463" s="616"/>
      <c r="N463" s="616"/>
      <c r="O463" s="616"/>
      <c r="P463" s="616"/>
      <c r="Q463" s="616"/>
      <c r="R463" s="616"/>
      <c r="S463" s="616"/>
      <c r="T463" s="616"/>
      <c r="U463" s="616"/>
      <c r="V463" s="616"/>
      <c r="W463" s="616" t="s">
        <v>1205</v>
      </c>
      <c r="X463" s="606"/>
      <c r="Y463" s="606"/>
      <c r="Z463" s="640"/>
      <c r="AA463" s="625"/>
      <c r="AB463" s="625"/>
      <c r="AC463" s="625"/>
      <c r="AD463" s="626"/>
    </row>
    <row r="464" ht="24.75" customHeight="1">
      <c r="A464" s="608">
        <v>228.0</v>
      </c>
      <c r="B464" s="616" t="s">
        <v>1101</v>
      </c>
      <c r="C464" s="606" t="s">
        <v>284</v>
      </c>
      <c r="D464" s="617" t="s">
        <v>34</v>
      </c>
      <c r="E464" s="616" t="s">
        <v>1101</v>
      </c>
      <c r="F464" s="616"/>
      <c r="G464" s="616" t="s">
        <v>1101</v>
      </c>
      <c r="H464" s="609" t="str">
        <f>H462+F463</f>
        <v>87717.28</v>
      </c>
      <c r="I464" s="616">
        <v>449.806</v>
      </c>
      <c r="J464" s="616">
        <v>75.5</v>
      </c>
      <c r="K464" s="616" t="str">
        <f>F463+F465</f>
        <v>766</v>
      </c>
      <c r="L464" s="616" t="str">
        <f>K464/2</f>
        <v>383</v>
      </c>
      <c r="M464" s="616">
        <v>186.0</v>
      </c>
      <c r="N464" s="616">
        <v>152.0</v>
      </c>
      <c r="O464" s="616">
        <v>338.0</v>
      </c>
      <c r="P464" s="616">
        <v>188.0</v>
      </c>
      <c r="Q464" s="616">
        <v>165.0</v>
      </c>
      <c r="R464" s="616">
        <v>353.0</v>
      </c>
      <c r="S464" s="616" t="s">
        <v>1858</v>
      </c>
      <c r="T464" s="616" t="s">
        <v>1859</v>
      </c>
      <c r="U464" s="616">
        <v>596374.291</v>
      </c>
      <c r="V464" s="616">
        <v>2644745.036</v>
      </c>
      <c r="W464" s="616"/>
      <c r="X464" s="138" t="s">
        <v>1803</v>
      </c>
      <c r="Y464" s="138" t="s">
        <v>1699</v>
      </c>
      <c r="Z464" s="620" t="s">
        <v>1700</v>
      </c>
      <c r="AA464" s="625"/>
      <c r="AB464" s="625"/>
      <c r="AC464" s="625"/>
      <c r="AD464" s="626"/>
    </row>
    <row r="465" ht="24.75" customHeight="1">
      <c r="A465" s="598"/>
      <c r="B465" s="616"/>
      <c r="C465" s="606"/>
      <c r="D465" s="617"/>
      <c r="E465" s="616"/>
      <c r="F465" s="616">
        <v>384.0</v>
      </c>
      <c r="G465" s="616"/>
      <c r="H465" s="600"/>
      <c r="I465" s="616"/>
      <c r="J465" s="616"/>
      <c r="K465" s="616"/>
      <c r="L465" s="616"/>
      <c r="M465" s="616"/>
      <c r="N465" s="616"/>
      <c r="O465" s="616"/>
      <c r="P465" s="616"/>
      <c r="Q465" s="616"/>
      <c r="R465" s="616"/>
      <c r="S465" s="616"/>
      <c r="T465" s="616"/>
      <c r="U465" s="616"/>
      <c r="V465" s="616"/>
      <c r="W465" s="616" t="s">
        <v>1240</v>
      </c>
      <c r="X465" s="606"/>
      <c r="Y465" s="606"/>
      <c r="Z465" s="640"/>
      <c r="AA465" s="625"/>
      <c r="AB465" s="625"/>
      <c r="AC465" s="625"/>
      <c r="AD465" s="626"/>
    </row>
    <row r="466" ht="24.75" customHeight="1">
      <c r="A466" s="608">
        <v>229.0</v>
      </c>
      <c r="B466" s="616" t="s">
        <v>1101</v>
      </c>
      <c r="C466" s="606" t="s">
        <v>285</v>
      </c>
      <c r="D466" s="617" t="s">
        <v>12</v>
      </c>
      <c r="E466" s="616" t="s">
        <v>1101</v>
      </c>
      <c r="F466" s="616"/>
      <c r="G466" s="616" t="s">
        <v>1101</v>
      </c>
      <c r="H466" s="609" t="str">
        <f>H464+F465</f>
        <v>88101.28</v>
      </c>
      <c r="I466" s="616">
        <v>453.993</v>
      </c>
      <c r="J466" s="616">
        <v>78.5</v>
      </c>
      <c r="K466" s="616" t="str">
        <f>F465+F467</f>
        <v>766</v>
      </c>
      <c r="L466" s="616" t="str">
        <f>K466/2</f>
        <v>383</v>
      </c>
      <c r="M466" s="616">
        <v>233.0</v>
      </c>
      <c r="N466" s="616">
        <v>208.0</v>
      </c>
      <c r="O466" s="616">
        <v>441.0</v>
      </c>
      <c r="P466" s="616">
        <v>220.0</v>
      </c>
      <c r="Q466" s="616">
        <v>203.0</v>
      </c>
      <c r="R466" s="616">
        <v>423.0</v>
      </c>
      <c r="S466" s="616" t="s">
        <v>1860</v>
      </c>
      <c r="T466" s="616" t="s">
        <v>1861</v>
      </c>
      <c r="U466" s="616">
        <v>596728.632</v>
      </c>
      <c r="V466" s="616">
        <v>2644597.053</v>
      </c>
      <c r="W466" s="616"/>
      <c r="X466" s="138" t="s">
        <v>1862</v>
      </c>
      <c r="Y466" s="138" t="s">
        <v>1863</v>
      </c>
      <c r="Z466" s="620" t="s">
        <v>31</v>
      </c>
      <c r="AA466" s="625"/>
      <c r="AB466" s="625"/>
      <c r="AC466" s="625"/>
      <c r="AD466" s="626"/>
    </row>
    <row r="467" ht="24.75" customHeight="1">
      <c r="A467" s="598"/>
      <c r="B467" s="616"/>
      <c r="C467" s="606"/>
      <c r="D467" s="617"/>
      <c r="E467" s="616"/>
      <c r="F467" s="616">
        <v>382.0</v>
      </c>
      <c r="G467" s="616"/>
      <c r="H467" s="600"/>
      <c r="I467" s="616"/>
      <c r="J467" s="616"/>
      <c r="K467" s="616"/>
      <c r="L467" s="616"/>
      <c r="M467" s="616"/>
      <c r="N467" s="616"/>
      <c r="O467" s="616"/>
      <c r="P467" s="616"/>
      <c r="Q467" s="616"/>
      <c r="R467" s="616"/>
      <c r="S467" s="616"/>
      <c r="T467" s="616"/>
      <c r="U467" s="616"/>
      <c r="V467" s="616"/>
      <c r="W467" s="616" t="s">
        <v>1205</v>
      </c>
      <c r="X467" s="606"/>
      <c r="Y467" s="606"/>
      <c r="Z467" s="640"/>
      <c r="AA467" s="625"/>
      <c r="AB467" s="625"/>
      <c r="AC467" s="625"/>
      <c r="AD467" s="626"/>
    </row>
    <row r="468" ht="24.75" customHeight="1">
      <c r="A468" s="608">
        <v>230.0</v>
      </c>
      <c r="B468" s="617" t="s">
        <v>1864</v>
      </c>
      <c r="C468" s="138" t="s">
        <v>286</v>
      </c>
      <c r="D468" s="617" t="s">
        <v>16</v>
      </c>
      <c r="E468" s="617" t="s">
        <v>1865</v>
      </c>
      <c r="F468" s="637"/>
      <c r="G468" s="616" t="str">
        <f>SUM(F445:F467)</f>
        <v>4736</v>
      </c>
      <c r="H468" s="609" t="str">
        <f>H466+F467</f>
        <v>88483.28</v>
      </c>
      <c r="I468" s="637">
        <v>457.088</v>
      </c>
      <c r="J468" s="138">
        <v>70.72</v>
      </c>
      <c r="K468" s="638" t="str">
        <f>F467+F469</f>
        <v>739</v>
      </c>
      <c r="L468" s="616" t="str">
        <f>K468/2</f>
        <v>369.5</v>
      </c>
      <c r="M468" s="617">
        <v>175.0</v>
      </c>
      <c r="N468" s="617">
        <v>157.0</v>
      </c>
      <c r="O468" s="617">
        <v>332.0</v>
      </c>
      <c r="P468" s="617">
        <v>180.0</v>
      </c>
      <c r="Q468" s="617">
        <v>164.0</v>
      </c>
      <c r="R468" s="617">
        <v>344.0</v>
      </c>
      <c r="S468" s="617" t="s">
        <v>1866</v>
      </c>
      <c r="T468" s="617" t="s">
        <v>1867</v>
      </c>
      <c r="U468" s="618">
        <v>597081.153</v>
      </c>
      <c r="V468" s="618">
        <v>2644449.831</v>
      </c>
      <c r="W468" s="619"/>
      <c r="X468" s="138" t="s">
        <v>1862</v>
      </c>
      <c r="Y468" s="138" t="s">
        <v>1863</v>
      </c>
      <c r="Z468" s="620" t="s">
        <v>31</v>
      </c>
      <c r="AA468" s="625"/>
      <c r="AB468" s="625"/>
      <c r="AC468" s="625"/>
      <c r="AD468" s="626"/>
    </row>
    <row r="469" ht="24.75" customHeight="1">
      <c r="A469" s="598"/>
      <c r="B469" s="617"/>
      <c r="C469" s="617"/>
      <c r="D469" s="617"/>
      <c r="E469" s="617"/>
      <c r="F469" s="142">
        <v>357.0</v>
      </c>
      <c r="G469" s="617"/>
      <c r="H469" s="600"/>
      <c r="I469" s="637"/>
      <c r="J469" s="637"/>
      <c r="K469" s="616"/>
      <c r="L469" s="616"/>
      <c r="M469" s="617"/>
      <c r="N469" s="617"/>
      <c r="O469" s="617"/>
      <c r="P469" s="617"/>
      <c r="Q469" s="617"/>
      <c r="R469" s="617"/>
      <c r="S469" s="617"/>
      <c r="T469" s="617"/>
      <c r="U469" s="618"/>
      <c r="V469" s="618"/>
      <c r="W469" s="619" t="s">
        <v>1868</v>
      </c>
      <c r="X469" s="606"/>
      <c r="Y469" s="606"/>
      <c r="Z469" s="640"/>
      <c r="AA469" s="625"/>
      <c r="AB469" s="625"/>
      <c r="AC469" s="625"/>
      <c r="AD469" s="626"/>
    </row>
    <row r="470" ht="24.75" customHeight="1">
      <c r="A470" s="608">
        <v>231.0</v>
      </c>
      <c r="B470" s="617" t="s">
        <v>1101</v>
      </c>
      <c r="C470" s="617" t="s">
        <v>287</v>
      </c>
      <c r="D470" s="617" t="s">
        <v>33</v>
      </c>
      <c r="E470" s="617" t="s">
        <v>1101</v>
      </c>
      <c r="F470" s="142"/>
      <c r="G470" s="617" t="s">
        <v>1101</v>
      </c>
      <c r="H470" s="609" t="str">
        <f>H468+F469</f>
        <v>88840.28</v>
      </c>
      <c r="I470" s="637">
        <v>460.635</v>
      </c>
      <c r="J470" s="616">
        <v>72.5</v>
      </c>
      <c r="K470" s="638" t="str">
        <f>F469+F471</f>
        <v>708</v>
      </c>
      <c r="L470" s="616" t="str">
        <f>K470/2</f>
        <v>354</v>
      </c>
      <c r="M470" s="617">
        <v>200.0</v>
      </c>
      <c r="N470" s="617">
        <v>165.0</v>
      </c>
      <c r="O470" s="617">
        <v>365.0</v>
      </c>
      <c r="P470" s="617">
        <v>194.0</v>
      </c>
      <c r="Q470" s="617">
        <v>168.0</v>
      </c>
      <c r="R470" s="617">
        <v>362.0</v>
      </c>
      <c r="S470" s="617" t="s">
        <v>1869</v>
      </c>
      <c r="T470" s="617" t="s">
        <v>1870</v>
      </c>
      <c r="U470" s="618">
        <v>597422.687</v>
      </c>
      <c r="V470" s="618">
        <v>2644345.89</v>
      </c>
      <c r="W470" s="619"/>
      <c r="X470" s="138" t="s">
        <v>1862</v>
      </c>
      <c r="Y470" s="138" t="s">
        <v>1863</v>
      </c>
      <c r="Z470" s="620" t="s">
        <v>31</v>
      </c>
      <c r="AA470" s="625"/>
      <c r="AB470" s="625"/>
      <c r="AC470" s="625"/>
      <c r="AD470" s="626"/>
    </row>
    <row r="471" ht="24.75" customHeight="1">
      <c r="A471" s="598"/>
      <c r="B471" s="617"/>
      <c r="C471" s="617"/>
      <c r="D471" s="617"/>
      <c r="E471" s="617"/>
      <c r="F471" s="142">
        <v>351.0</v>
      </c>
      <c r="G471" s="617"/>
      <c r="H471" s="600"/>
      <c r="I471" s="637"/>
      <c r="J471" s="637"/>
      <c r="K471" s="616"/>
      <c r="L471" s="616"/>
      <c r="M471" s="617"/>
      <c r="N471" s="617"/>
      <c r="O471" s="617"/>
      <c r="P471" s="617"/>
      <c r="Q471" s="617"/>
      <c r="R471" s="617"/>
      <c r="S471" s="617"/>
      <c r="T471" s="617"/>
      <c r="U471" s="618"/>
      <c r="V471" s="618"/>
      <c r="W471" s="619" t="s">
        <v>1871</v>
      </c>
      <c r="X471" s="606"/>
      <c r="Y471" s="606"/>
      <c r="Z471" s="640"/>
      <c r="AA471" s="625"/>
      <c r="AB471" s="625"/>
      <c r="AC471" s="625"/>
      <c r="AD471" s="626"/>
    </row>
    <row r="472" ht="24.75" customHeight="1">
      <c r="A472" s="608">
        <v>232.0</v>
      </c>
      <c r="B472" s="617" t="s">
        <v>1101</v>
      </c>
      <c r="C472" s="617" t="s">
        <v>288</v>
      </c>
      <c r="D472" s="617" t="s">
        <v>11</v>
      </c>
      <c r="E472" s="617" t="s">
        <v>1101</v>
      </c>
      <c r="F472" s="142"/>
      <c r="G472" s="617" t="s">
        <v>1101</v>
      </c>
      <c r="H472" s="609" t="str">
        <f>H470+F471</f>
        <v>89191.28</v>
      </c>
      <c r="I472" s="637">
        <v>463.934</v>
      </c>
      <c r="J472" s="616">
        <v>71.0</v>
      </c>
      <c r="K472" s="638" t="str">
        <f>F471+F473</f>
        <v>764</v>
      </c>
      <c r="L472" s="616" t="str">
        <f>K472/2</f>
        <v>382</v>
      </c>
      <c r="M472" s="617">
        <v>187.0</v>
      </c>
      <c r="N472" s="617">
        <v>212.0</v>
      </c>
      <c r="O472" s="617">
        <v>399.0</v>
      </c>
      <c r="P472" s="617">
        <v>183.0</v>
      </c>
      <c r="Q472" s="617">
        <v>210.0</v>
      </c>
      <c r="R472" s="617">
        <v>393.0</v>
      </c>
      <c r="S472" s="617" t="s">
        <v>1872</v>
      </c>
      <c r="T472" s="617" t="s">
        <v>1873</v>
      </c>
      <c r="U472" s="618">
        <v>597758.48</v>
      </c>
      <c r="V472" s="618">
        <v>2644243.696</v>
      </c>
      <c r="W472" s="619"/>
      <c r="X472" s="138" t="s">
        <v>1862</v>
      </c>
      <c r="Y472" s="138" t="s">
        <v>1863</v>
      </c>
      <c r="Z472" s="620" t="s">
        <v>31</v>
      </c>
      <c r="AA472" s="625"/>
      <c r="AB472" s="625"/>
      <c r="AC472" s="625"/>
      <c r="AD472" s="626"/>
    </row>
    <row r="473" ht="12.75" customHeight="1">
      <c r="A473" s="598"/>
      <c r="B473" s="617"/>
      <c r="C473" s="617"/>
      <c r="D473" s="617"/>
      <c r="E473" s="617"/>
      <c r="F473" s="142">
        <v>413.0</v>
      </c>
      <c r="G473" s="617"/>
      <c r="H473" s="600"/>
      <c r="I473" s="637"/>
      <c r="J473" s="637"/>
      <c r="K473" s="616"/>
      <c r="L473" s="616"/>
      <c r="M473" s="617"/>
      <c r="N473" s="617"/>
      <c r="O473" s="617"/>
      <c r="P473" s="617"/>
      <c r="Q473" s="617"/>
      <c r="R473" s="617"/>
      <c r="S473" s="617"/>
      <c r="T473" s="617"/>
      <c r="U473" s="618"/>
      <c r="V473" s="618"/>
      <c r="W473" s="619" t="s">
        <v>1874</v>
      </c>
      <c r="X473" s="606"/>
      <c r="Y473" s="606"/>
      <c r="Z473" s="640"/>
      <c r="AA473" s="625"/>
      <c r="AB473" s="625"/>
      <c r="AC473" s="625"/>
      <c r="AD473" s="626"/>
    </row>
    <row r="474" ht="24.75" customHeight="1">
      <c r="A474" s="608">
        <v>233.0</v>
      </c>
      <c r="B474" s="617" t="s">
        <v>1101</v>
      </c>
      <c r="C474" s="617" t="s">
        <v>289</v>
      </c>
      <c r="D474" s="617" t="s">
        <v>34</v>
      </c>
      <c r="E474" s="617" t="s">
        <v>1101</v>
      </c>
      <c r="F474" s="142"/>
      <c r="G474" s="617" t="s">
        <v>1101</v>
      </c>
      <c r="H474" s="609" t="str">
        <f>H472+F473</f>
        <v>89604.28</v>
      </c>
      <c r="I474" s="637">
        <v>458.511</v>
      </c>
      <c r="J474" s="616">
        <v>75.5</v>
      </c>
      <c r="K474" s="638" t="str">
        <f>F473+F475</f>
        <v>836</v>
      </c>
      <c r="L474" s="616" t="str">
        <f>K474/2</f>
        <v>418</v>
      </c>
      <c r="M474" s="617">
        <v>202.0</v>
      </c>
      <c r="N474" s="617">
        <v>202.0</v>
      </c>
      <c r="O474" s="617">
        <v>404.0</v>
      </c>
      <c r="P474" s="617">
        <v>204.0</v>
      </c>
      <c r="Q474" s="617">
        <v>206.0</v>
      </c>
      <c r="R474" s="617">
        <v>410.0</v>
      </c>
      <c r="S474" s="617" t="s">
        <v>1875</v>
      </c>
      <c r="T474" s="617" t="s">
        <v>1876</v>
      </c>
      <c r="U474" s="618">
        <v>598153.588</v>
      </c>
      <c r="V474" s="618">
        <v>2644123.451</v>
      </c>
      <c r="W474" s="619"/>
      <c r="X474" s="138" t="s">
        <v>1862</v>
      </c>
      <c r="Y474" s="138" t="s">
        <v>1863</v>
      </c>
      <c r="Z474" s="620" t="s">
        <v>31</v>
      </c>
      <c r="AA474" s="625"/>
      <c r="AB474" s="625"/>
      <c r="AC474" s="625"/>
      <c r="AD474" s="626"/>
    </row>
    <row r="475" ht="24.75" customHeight="1">
      <c r="A475" s="598"/>
      <c r="B475" s="617"/>
      <c r="C475" s="617"/>
      <c r="D475" s="617"/>
      <c r="E475" s="617"/>
      <c r="F475" s="142">
        <v>423.0</v>
      </c>
      <c r="G475" s="617"/>
      <c r="H475" s="600"/>
      <c r="I475" s="637"/>
      <c r="J475" s="637"/>
      <c r="K475" s="616"/>
      <c r="L475" s="616"/>
      <c r="M475" s="617"/>
      <c r="N475" s="617"/>
      <c r="O475" s="617"/>
      <c r="P475" s="617"/>
      <c r="Q475" s="617"/>
      <c r="R475" s="617"/>
      <c r="S475" s="617"/>
      <c r="T475" s="617"/>
      <c r="U475" s="618"/>
      <c r="V475" s="618"/>
      <c r="W475" s="619" t="s">
        <v>1877</v>
      </c>
      <c r="X475" s="606"/>
      <c r="Y475" s="606"/>
      <c r="Z475" s="640"/>
      <c r="AA475" s="625"/>
      <c r="AB475" s="625"/>
      <c r="AC475" s="625"/>
      <c r="AD475" s="626"/>
    </row>
    <row r="476" ht="24.75" customHeight="1">
      <c r="A476" s="608">
        <v>234.0</v>
      </c>
      <c r="B476" s="617" t="s">
        <v>1101</v>
      </c>
      <c r="C476" s="617" t="s">
        <v>290</v>
      </c>
      <c r="D476" s="617" t="s">
        <v>11</v>
      </c>
      <c r="E476" s="617" t="s">
        <v>1101</v>
      </c>
      <c r="F476" s="142"/>
      <c r="G476" s="617" t="s">
        <v>1101</v>
      </c>
      <c r="H476" s="609" t="str">
        <f>H474+F475</f>
        <v>90027.28</v>
      </c>
      <c r="I476" s="637">
        <v>464.903</v>
      </c>
      <c r="J476" s="616">
        <v>71.0</v>
      </c>
      <c r="K476" s="638" t="str">
        <f>F475+F477</f>
        <v>813</v>
      </c>
      <c r="L476" s="616" t="str">
        <f>K476/2</f>
        <v>406.5</v>
      </c>
      <c r="M476" s="617">
        <v>221.0</v>
      </c>
      <c r="N476" s="617">
        <v>184.0</v>
      </c>
      <c r="O476" s="617">
        <v>405.0</v>
      </c>
      <c r="P476" s="617">
        <v>219.0</v>
      </c>
      <c r="Q476" s="617">
        <v>188.0</v>
      </c>
      <c r="R476" s="617">
        <v>407.0</v>
      </c>
      <c r="S476" s="617" t="s">
        <v>1878</v>
      </c>
      <c r="T476" s="617" t="s">
        <v>1879</v>
      </c>
      <c r="U476" s="618">
        <v>598558.262</v>
      </c>
      <c r="V476" s="618">
        <v>2644000.294</v>
      </c>
      <c r="W476" s="619"/>
      <c r="X476" s="138" t="s">
        <v>1862</v>
      </c>
      <c r="Y476" s="138" t="s">
        <v>1863</v>
      </c>
      <c r="Z476" s="620" t="s">
        <v>31</v>
      </c>
      <c r="AA476" s="625"/>
      <c r="AB476" s="625"/>
      <c r="AC476" s="625"/>
      <c r="AD476" s="626"/>
    </row>
    <row r="477" ht="12.75" customHeight="1">
      <c r="A477" s="598"/>
      <c r="B477" s="617"/>
      <c r="C477" s="617"/>
      <c r="D477" s="617"/>
      <c r="E477" s="617"/>
      <c r="F477" s="142">
        <v>390.0</v>
      </c>
      <c r="G477" s="617"/>
      <c r="H477" s="600"/>
      <c r="I477" s="637"/>
      <c r="J477" s="637"/>
      <c r="K477" s="616"/>
      <c r="L477" s="616"/>
      <c r="M477" s="617"/>
      <c r="N477" s="617"/>
      <c r="O477" s="617"/>
      <c r="P477" s="617"/>
      <c r="Q477" s="617"/>
      <c r="R477" s="617"/>
      <c r="S477" s="617"/>
      <c r="T477" s="617"/>
      <c r="U477" s="618"/>
      <c r="V477" s="618"/>
      <c r="W477" s="619" t="s">
        <v>1880</v>
      </c>
      <c r="X477" s="606"/>
      <c r="Y477" s="606"/>
      <c r="Z477" s="640"/>
      <c r="AA477" s="625"/>
      <c r="AB477" s="625"/>
      <c r="AC477" s="625"/>
      <c r="AD477" s="626"/>
    </row>
    <row r="478" ht="24.75" customHeight="1">
      <c r="A478" s="608">
        <v>235.0</v>
      </c>
      <c r="B478" s="617" t="s">
        <v>1101</v>
      </c>
      <c r="C478" s="617" t="s">
        <v>291</v>
      </c>
      <c r="D478" s="617" t="s">
        <v>33</v>
      </c>
      <c r="E478" s="617" t="s">
        <v>1101</v>
      </c>
      <c r="F478" s="142"/>
      <c r="G478" s="617" t="s">
        <v>1101</v>
      </c>
      <c r="H478" s="609" t="str">
        <f>H476+F477</f>
        <v>90417.28</v>
      </c>
      <c r="I478" s="637">
        <v>465.405</v>
      </c>
      <c r="J478" s="616">
        <v>72.5</v>
      </c>
      <c r="K478" s="638" t="str">
        <f>F477+F479</f>
        <v>796</v>
      </c>
      <c r="L478" s="616" t="str">
        <f>K478/2</f>
        <v>398</v>
      </c>
      <c r="M478" s="617">
        <v>206.0</v>
      </c>
      <c r="N478" s="617">
        <v>165.0</v>
      </c>
      <c r="O478" s="617">
        <v>371.0</v>
      </c>
      <c r="P478" s="617">
        <v>203.0</v>
      </c>
      <c r="Q478" s="617">
        <v>177.0</v>
      </c>
      <c r="R478" s="617">
        <v>380.0</v>
      </c>
      <c r="S478" s="617" t="s">
        <v>1881</v>
      </c>
      <c r="T478" s="617" t="s">
        <v>1882</v>
      </c>
      <c r="U478" s="618">
        <v>598931.367</v>
      </c>
      <c r="V478" s="618">
        <v>2643886.745</v>
      </c>
      <c r="W478" s="619"/>
      <c r="X478" s="138" t="s">
        <v>1862</v>
      </c>
      <c r="Y478" s="138" t="s">
        <v>1863</v>
      </c>
      <c r="Z478" s="620" t="s">
        <v>31</v>
      </c>
      <c r="AA478" s="625"/>
      <c r="AB478" s="625"/>
      <c r="AC478" s="625"/>
      <c r="AD478" s="626"/>
    </row>
    <row r="479" ht="24.75" customHeight="1">
      <c r="A479" s="598"/>
      <c r="B479" s="617"/>
      <c r="C479" s="617"/>
      <c r="D479" s="617"/>
      <c r="E479" s="617"/>
      <c r="F479" s="142">
        <v>406.0</v>
      </c>
      <c r="G479" s="617"/>
      <c r="H479" s="600"/>
      <c r="I479" s="637"/>
      <c r="J479" s="637"/>
      <c r="K479" s="616"/>
      <c r="L479" s="616"/>
      <c r="M479" s="617"/>
      <c r="N479" s="617"/>
      <c r="O479" s="617"/>
      <c r="P479" s="617"/>
      <c r="Q479" s="617"/>
      <c r="R479" s="617"/>
      <c r="S479" s="617"/>
      <c r="T479" s="617"/>
      <c r="U479" s="618"/>
      <c r="V479" s="618"/>
      <c r="W479" s="619"/>
      <c r="X479" s="606"/>
      <c r="Y479" s="606"/>
      <c r="Z479" s="640"/>
      <c r="AA479" s="625"/>
      <c r="AB479" s="625"/>
      <c r="AC479" s="625"/>
      <c r="AD479" s="626"/>
    </row>
    <row r="480" ht="24.75" customHeight="1">
      <c r="A480" s="608">
        <v>236.0</v>
      </c>
      <c r="B480" s="617" t="s">
        <v>1101</v>
      </c>
      <c r="C480" s="617" t="s">
        <v>292</v>
      </c>
      <c r="D480" s="617" t="s">
        <v>34</v>
      </c>
      <c r="E480" s="617" t="s">
        <v>1101</v>
      </c>
      <c r="F480" s="142"/>
      <c r="G480" s="617" t="s">
        <v>1101</v>
      </c>
      <c r="H480" s="609" t="str">
        <f>H478+F479</f>
        <v>90823.28</v>
      </c>
      <c r="I480" s="637">
        <v>469.712</v>
      </c>
      <c r="J480" s="616">
        <v>75.5</v>
      </c>
      <c r="K480" s="638" t="str">
        <f>F479+F481</f>
        <v>796</v>
      </c>
      <c r="L480" s="616" t="str">
        <f>K480/2</f>
        <v>398</v>
      </c>
      <c r="M480" s="617">
        <v>242.0</v>
      </c>
      <c r="N480" s="617">
        <v>257.0</v>
      </c>
      <c r="O480" s="617">
        <v>499.0</v>
      </c>
      <c r="P480" s="617">
        <v>230.0</v>
      </c>
      <c r="Q480" s="617">
        <v>238.0</v>
      </c>
      <c r="R480" s="617">
        <v>468.0</v>
      </c>
      <c r="S480" s="617" t="s">
        <v>1883</v>
      </c>
      <c r="T480" s="617" t="s">
        <v>1884</v>
      </c>
      <c r="U480" s="618">
        <v>599319.777</v>
      </c>
      <c r="V480" s="618">
        <v>2643768.538</v>
      </c>
      <c r="W480" s="619"/>
      <c r="X480" s="138" t="s">
        <v>1862</v>
      </c>
      <c r="Y480" s="138" t="s">
        <v>1863</v>
      </c>
      <c r="Z480" s="620" t="s">
        <v>31</v>
      </c>
      <c r="AA480" s="625"/>
      <c r="AB480" s="625"/>
      <c r="AC480" s="625"/>
      <c r="AD480" s="626"/>
    </row>
    <row r="481" ht="24.75" customHeight="1">
      <c r="A481" s="598"/>
      <c r="B481" s="617"/>
      <c r="C481" s="617"/>
      <c r="D481" s="617"/>
      <c r="E481" s="617"/>
      <c r="F481" s="142">
        <v>390.0</v>
      </c>
      <c r="G481" s="617"/>
      <c r="H481" s="600"/>
      <c r="I481" s="637"/>
      <c r="J481" s="637"/>
      <c r="K481" s="616"/>
      <c r="L481" s="616"/>
      <c r="M481" s="617"/>
      <c r="N481" s="617"/>
      <c r="O481" s="617"/>
      <c r="P481" s="617"/>
      <c r="Q481" s="617"/>
      <c r="R481" s="617"/>
      <c r="S481" s="617"/>
      <c r="T481" s="617"/>
      <c r="U481" s="618"/>
      <c r="V481" s="618"/>
      <c r="W481" s="619" t="s">
        <v>1885</v>
      </c>
      <c r="X481" s="606"/>
      <c r="Y481" s="606"/>
      <c r="Z481" s="640"/>
      <c r="AA481" s="625"/>
      <c r="AB481" s="625"/>
      <c r="AC481" s="625"/>
      <c r="AD481" s="626"/>
    </row>
    <row r="482" ht="24.75" customHeight="1">
      <c r="A482" s="608">
        <v>237.0</v>
      </c>
      <c r="B482" s="617" t="s">
        <v>1101</v>
      </c>
      <c r="C482" s="617" t="s">
        <v>293</v>
      </c>
      <c r="D482" s="617" t="s">
        <v>11</v>
      </c>
      <c r="E482" s="617" t="s">
        <v>1101</v>
      </c>
      <c r="F482" s="142"/>
      <c r="G482" s="617" t="s">
        <v>1101</v>
      </c>
      <c r="H482" s="609" t="str">
        <f>H480+F481</f>
        <v>91213.28</v>
      </c>
      <c r="I482" s="637">
        <v>462.941</v>
      </c>
      <c r="J482" s="616">
        <v>71.0</v>
      </c>
      <c r="K482" s="638" t="str">
        <f>F481+F483</f>
        <v>783</v>
      </c>
      <c r="L482" s="616" t="str">
        <f>K482/2</f>
        <v>391.5</v>
      </c>
      <c r="M482" s="617">
        <v>133.0</v>
      </c>
      <c r="N482" s="617">
        <v>224.0</v>
      </c>
      <c r="O482" s="617">
        <v>357.0</v>
      </c>
      <c r="P482" s="617">
        <v>153.0</v>
      </c>
      <c r="Q482" s="617">
        <v>216.0</v>
      </c>
      <c r="R482" s="617">
        <v>369.0</v>
      </c>
      <c r="S482" s="617" t="s">
        <v>1886</v>
      </c>
      <c r="T482" s="617" t="s">
        <v>1887</v>
      </c>
      <c r="U482" s="618">
        <v>599692.882</v>
      </c>
      <c r="V482" s="618">
        <v>2643654.989</v>
      </c>
      <c r="W482" s="623" t="s">
        <v>1354</v>
      </c>
      <c r="X482" s="138" t="s">
        <v>1888</v>
      </c>
      <c r="Y482" s="138" t="s">
        <v>1863</v>
      </c>
      <c r="Z482" s="620" t="s">
        <v>31</v>
      </c>
      <c r="AA482" s="627">
        <v>0.0</v>
      </c>
      <c r="AB482" s="627">
        <v>0.0</v>
      </c>
      <c r="AC482" s="627">
        <v>1.5</v>
      </c>
      <c r="AD482" s="644">
        <v>2.0</v>
      </c>
    </row>
    <row r="483" ht="24.75" customHeight="1">
      <c r="A483" s="598"/>
      <c r="B483" s="617"/>
      <c r="C483" s="617"/>
      <c r="D483" s="617"/>
      <c r="E483" s="617"/>
      <c r="F483" s="142">
        <v>393.0</v>
      </c>
      <c r="G483" s="617"/>
      <c r="H483" s="600"/>
      <c r="I483" s="637"/>
      <c r="J483" s="637"/>
      <c r="K483" s="616"/>
      <c r="L483" s="616"/>
      <c r="M483" s="617"/>
      <c r="N483" s="617"/>
      <c r="O483" s="617"/>
      <c r="P483" s="617"/>
      <c r="Q483" s="617"/>
      <c r="R483" s="617"/>
      <c r="S483" s="617"/>
      <c r="T483" s="617"/>
      <c r="U483" s="618"/>
      <c r="V483" s="618"/>
      <c r="W483" s="619" t="s">
        <v>1139</v>
      </c>
      <c r="X483" s="606"/>
      <c r="Y483" s="606"/>
      <c r="Z483" s="640"/>
      <c r="AA483" s="625"/>
      <c r="AB483" s="625"/>
      <c r="AC483" s="625"/>
      <c r="AD483" s="626"/>
    </row>
    <row r="484" ht="24.75" customHeight="1">
      <c r="A484" s="608">
        <v>238.0</v>
      </c>
      <c r="B484" s="617" t="s">
        <v>1101</v>
      </c>
      <c r="C484" s="617" t="s">
        <v>294</v>
      </c>
      <c r="D484" s="617" t="s">
        <v>33</v>
      </c>
      <c r="E484" s="617" t="s">
        <v>1101</v>
      </c>
      <c r="F484" s="142"/>
      <c r="G484" s="617" t="s">
        <v>1101</v>
      </c>
      <c r="H484" s="609" t="str">
        <f>H482+F483</f>
        <v>91606.28</v>
      </c>
      <c r="I484" s="637">
        <v>456.475</v>
      </c>
      <c r="J484" s="616">
        <v>72.5</v>
      </c>
      <c r="K484" s="638" t="str">
        <f>F483+F485</f>
        <v>819</v>
      </c>
      <c r="L484" s="616" t="str">
        <f>K484/2</f>
        <v>409.5</v>
      </c>
      <c r="M484" s="617">
        <v>170.0</v>
      </c>
      <c r="N484" s="617">
        <v>208.0</v>
      </c>
      <c r="O484" s="617">
        <v>378.0</v>
      </c>
      <c r="P484" s="617">
        <v>178.0</v>
      </c>
      <c r="Q484" s="617">
        <v>210.0</v>
      </c>
      <c r="R484" s="617">
        <v>388.0</v>
      </c>
      <c r="S484" s="617" t="s">
        <v>1889</v>
      </c>
      <c r="T484" s="617" t="s">
        <v>1890</v>
      </c>
      <c r="U484" s="618">
        <v>600068.856</v>
      </c>
      <c r="V484" s="618">
        <v>2643540.567</v>
      </c>
      <c r="W484" s="619"/>
      <c r="X484" s="138" t="s">
        <v>1888</v>
      </c>
      <c r="Y484" s="138" t="s">
        <v>1863</v>
      </c>
      <c r="Z484" s="620" t="s">
        <v>31</v>
      </c>
      <c r="AA484" s="625"/>
      <c r="AB484" s="625"/>
      <c r="AC484" s="625"/>
      <c r="AD484" s="626"/>
    </row>
    <row r="485" ht="12.75" customHeight="1">
      <c r="A485" s="598"/>
      <c r="B485" s="617"/>
      <c r="C485" s="617"/>
      <c r="D485" s="617"/>
      <c r="E485" s="617"/>
      <c r="F485" s="142">
        <v>426.0</v>
      </c>
      <c r="G485" s="617"/>
      <c r="H485" s="600"/>
      <c r="I485" s="637"/>
      <c r="J485" s="637"/>
      <c r="K485" s="616"/>
      <c r="L485" s="616"/>
      <c r="M485" s="617"/>
      <c r="N485" s="617"/>
      <c r="O485" s="617"/>
      <c r="P485" s="617"/>
      <c r="Q485" s="617"/>
      <c r="R485" s="617"/>
      <c r="S485" s="617"/>
      <c r="T485" s="617"/>
      <c r="U485" s="618"/>
      <c r="V485" s="618"/>
      <c r="W485" s="619" t="s">
        <v>1891</v>
      </c>
      <c r="X485" s="606"/>
      <c r="Y485" s="606"/>
      <c r="Z485" s="640"/>
      <c r="AA485" s="625"/>
      <c r="AB485" s="625"/>
      <c r="AC485" s="625"/>
      <c r="AD485" s="626"/>
    </row>
    <row r="486" ht="24.75" customHeight="1">
      <c r="A486" s="608">
        <v>239.0</v>
      </c>
      <c r="B486" s="617" t="s">
        <v>1101</v>
      </c>
      <c r="C486" s="617" t="s">
        <v>296</v>
      </c>
      <c r="D486" s="617" t="s">
        <v>34</v>
      </c>
      <c r="E486" s="617" t="s">
        <v>1101</v>
      </c>
      <c r="F486" s="142"/>
      <c r="G486" s="617" t="s">
        <v>1101</v>
      </c>
      <c r="H486" s="609" t="str">
        <f>H484+F485</f>
        <v>92032.28</v>
      </c>
      <c r="I486" s="637">
        <v>454.559</v>
      </c>
      <c r="J486" s="616">
        <v>75.5</v>
      </c>
      <c r="K486" s="638" t="str">
        <f>F485+F487</f>
        <v>833</v>
      </c>
      <c r="L486" s="616" t="str">
        <f>K486/2</f>
        <v>416.5</v>
      </c>
      <c r="M486" s="617">
        <v>219.0</v>
      </c>
      <c r="N486" s="617">
        <v>231.0</v>
      </c>
      <c r="O486" s="617">
        <v>450.0</v>
      </c>
      <c r="P486" s="617">
        <v>218.0</v>
      </c>
      <c r="Q486" s="617">
        <v>223.0</v>
      </c>
      <c r="R486" s="617">
        <v>441.0</v>
      </c>
      <c r="S486" s="617" t="s">
        <v>1892</v>
      </c>
      <c r="T486" s="617" t="s">
        <v>1893</v>
      </c>
      <c r="U486" s="618">
        <v>600476.4</v>
      </c>
      <c r="V486" s="618">
        <v>2643416.536</v>
      </c>
      <c r="W486" s="619"/>
      <c r="X486" s="138" t="s">
        <v>1894</v>
      </c>
      <c r="Y486" s="138" t="s">
        <v>1863</v>
      </c>
      <c r="Z486" s="620" t="s">
        <v>31</v>
      </c>
      <c r="AA486" s="625"/>
      <c r="AB486" s="625"/>
      <c r="AC486" s="625"/>
      <c r="AD486" s="626"/>
    </row>
    <row r="487" ht="24.75" customHeight="1">
      <c r="A487" s="598"/>
      <c r="B487" s="617"/>
      <c r="C487" s="617"/>
      <c r="D487" s="617"/>
      <c r="E487" s="617"/>
      <c r="F487" s="142">
        <v>407.0</v>
      </c>
      <c r="G487" s="617"/>
      <c r="H487" s="600"/>
      <c r="I487" s="637"/>
      <c r="J487" s="637"/>
      <c r="K487" s="616"/>
      <c r="L487" s="616"/>
      <c r="M487" s="617"/>
      <c r="N487" s="617"/>
      <c r="O487" s="617"/>
      <c r="P487" s="617"/>
      <c r="Q487" s="617"/>
      <c r="R487" s="617"/>
      <c r="S487" s="617"/>
      <c r="T487" s="617"/>
      <c r="U487" s="618"/>
      <c r="V487" s="618"/>
      <c r="W487" s="619" t="s">
        <v>1895</v>
      </c>
      <c r="X487" s="606"/>
      <c r="Y487" s="606"/>
      <c r="Z487" s="640"/>
      <c r="AA487" s="625"/>
      <c r="AB487" s="625"/>
      <c r="AC487" s="625"/>
      <c r="AD487" s="626"/>
    </row>
    <row r="488" ht="24.75" customHeight="1">
      <c r="A488" s="608">
        <v>240.0</v>
      </c>
      <c r="B488" s="617" t="s">
        <v>1896</v>
      </c>
      <c r="C488" s="617" t="s">
        <v>297</v>
      </c>
      <c r="D488" s="617" t="s">
        <v>16</v>
      </c>
      <c r="E488" s="617" t="s">
        <v>1897</v>
      </c>
      <c r="F488" s="142"/>
      <c r="G488" s="142" t="str">
        <f>SUM(F469:F487)</f>
        <v>3956</v>
      </c>
      <c r="H488" s="609" t="str">
        <f>H486+F487</f>
        <v>92439.28</v>
      </c>
      <c r="I488" s="637">
        <v>452.437</v>
      </c>
      <c r="J488" s="138">
        <v>70.72</v>
      </c>
      <c r="K488" s="638" t="str">
        <f>F487+F489</f>
        <v>811</v>
      </c>
      <c r="L488" s="616" t="str">
        <f>K488/2</f>
        <v>405.5</v>
      </c>
      <c r="M488" s="617">
        <v>177.0</v>
      </c>
      <c r="N488" s="617">
        <v>164.0</v>
      </c>
      <c r="O488" s="617">
        <v>341.0</v>
      </c>
      <c r="P488" s="617">
        <v>186.0</v>
      </c>
      <c r="Q488" s="617">
        <v>175.0</v>
      </c>
      <c r="R488" s="617">
        <v>361.0</v>
      </c>
      <c r="S488" s="617" t="s">
        <v>1898</v>
      </c>
      <c r="T488" s="617" t="s">
        <v>1899</v>
      </c>
      <c r="U488" s="618">
        <v>600865.784</v>
      </c>
      <c r="V488" s="618">
        <v>2643298.033</v>
      </c>
      <c r="W488" s="619"/>
      <c r="X488" s="138" t="s">
        <v>1894</v>
      </c>
      <c r="Y488" s="138" t="s">
        <v>1863</v>
      </c>
      <c r="Z488" s="620" t="s">
        <v>31</v>
      </c>
      <c r="AA488" s="625"/>
      <c r="AB488" s="625"/>
      <c r="AC488" s="625"/>
      <c r="AD488" s="626"/>
    </row>
    <row r="489" ht="24.75" customHeight="1">
      <c r="A489" s="598"/>
      <c r="B489" s="617"/>
      <c r="C489" s="617"/>
      <c r="D489" s="617"/>
      <c r="E489" s="617"/>
      <c r="F489" s="142">
        <v>404.0</v>
      </c>
      <c r="G489" s="142"/>
      <c r="H489" s="600"/>
      <c r="I489" s="637"/>
      <c r="J489" s="637"/>
      <c r="K489" s="616"/>
      <c r="L489" s="616"/>
      <c r="M489" s="617"/>
      <c r="N489" s="617"/>
      <c r="O489" s="617"/>
      <c r="P489" s="617"/>
      <c r="Q489" s="617"/>
      <c r="R489" s="617"/>
      <c r="S489" s="617"/>
      <c r="T489" s="617"/>
      <c r="U489" s="618"/>
      <c r="V489" s="618"/>
      <c r="W489" s="619" t="s">
        <v>1900</v>
      </c>
      <c r="X489" s="606"/>
      <c r="Y489" s="606"/>
      <c r="Z489" s="640"/>
      <c r="AA489" s="625"/>
      <c r="AB489" s="625"/>
      <c r="AC489" s="625"/>
      <c r="AD489" s="626"/>
    </row>
    <row r="490" ht="24.75" customHeight="1">
      <c r="A490" s="608">
        <v>241.0</v>
      </c>
      <c r="B490" s="617" t="s">
        <v>1101</v>
      </c>
      <c r="C490" s="617" t="s">
        <v>298</v>
      </c>
      <c r="D490" s="617" t="s">
        <v>12</v>
      </c>
      <c r="E490" s="617" t="s">
        <v>1101</v>
      </c>
      <c r="F490" s="142"/>
      <c r="G490" s="142" t="s">
        <v>1101</v>
      </c>
      <c r="H490" s="609" t="str">
        <f>H488+F489</f>
        <v>92843.28</v>
      </c>
      <c r="I490" s="637">
        <v>453.942</v>
      </c>
      <c r="J490" s="616">
        <v>78.5</v>
      </c>
      <c r="K490" s="638" t="str">
        <f>F489+F491</f>
        <v>822</v>
      </c>
      <c r="L490" s="616" t="str">
        <f>K490/2</f>
        <v>411</v>
      </c>
      <c r="M490" s="617">
        <v>241.0</v>
      </c>
      <c r="N490" s="617">
        <v>251.0</v>
      </c>
      <c r="O490" s="617">
        <v>492.0</v>
      </c>
      <c r="P490" s="617">
        <v>230.0</v>
      </c>
      <c r="Q490" s="617">
        <v>239.0</v>
      </c>
      <c r="R490" s="617">
        <v>469.0</v>
      </c>
      <c r="S490" s="617" t="s">
        <v>1901</v>
      </c>
      <c r="T490" s="617" t="s">
        <v>1902</v>
      </c>
      <c r="U490" s="618">
        <v>601239.1</v>
      </c>
      <c r="V490" s="618">
        <v>2643143.594</v>
      </c>
      <c r="W490" s="619"/>
      <c r="X490" s="138" t="s">
        <v>1894</v>
      </c>
      <c r="Y490" s="138" t="s">
        <v>1863</v>
      </c>
      <c r="Z490" s="620" t="s">
        <v>31</v>
      </c>
      <c r="AA490" s="625"/>
      <c r="AB490" s="625"/>
      <c r="AC490" s="625"/>
      <c r="AD490" s="626"/>
    </row>
    <row r="491" ht="24.75" customHeight="1">
      <c r="A491" s="598"/>
      <c r="B491" s="617"/>
      <c r="C491" s="617"/>
      <c r="D491" s="617"/>
      <c r="E491" s="617"/>
      <c r="F491" s="142">
        <v>418.0</v>
      </c>
      <c r="G491" s="142"/>
      <c r="H491" s="600"/>
      <c r="I491" s="637"/>
      <c r="J491" s="637"/>
      <c r="K491" s="616"/>
      <c r="L491" s="616"/>
      <c r="M491" s="617"/>
      <c r="N491" s="617"/>
      <c r="O491" s="617"/>
      <c r="P491" s="617"/>
      <c r="Q491" s="617"/>
      <c r="R491" s="617"/>
      <c r="S491" s="617"/>
      <c r="T491" s="617"/>
      <c r="U491" s="618"/>
      <c r="V491" s="618"/>
      <c r="W491" s="619" t="s">
        <v>1139</v>
      </c>
      <c r="X491" s="606"/>
      <c r="Y491" s="606"/>
      <c r="Z491" s="640"/>
      <c r="AA491" s="625"/>
      <c r="AB491" s="625"/>
      <c r="AC491" s="625"/>
      <c r="AD491" s="626"/>
    </row>
    <row r="492" ht="24.75" customHeight="1">
      <c r="A492" s="608">
        <v>242.0</v>
      </c>
      <c r="B492" s="617" t="s">
        <v>1101</v>
      </c>
      <c r="C492" s="617" t="s">
        <v>299</v>
      </c>
      <c r="D492" s="617" t="s">
        <v>33</v>
      </c>
      <c r="E492" s="617" t="s">
        <v>1101</v>
      </c>
      <c r="F492" s="142"/>
      <c r="G492" s="142" t="s">
        <v>1101</v>
      </c>
      <c r="H492" s="609" t="str">
        <f>H490+F491</f>
        <v>93261.28</v>
      </c>
      <c r="I492" s="637">
        <v>451.646</v>
      </c>
      <c r="J492" s="616">
        <v>72.5</v>
      </c>
      <c r="K492" s="638" t="str">
        <f>F491+F493</f>
        <v>831</v>
      </c>
      <c r="L492" s="616" t="str">
        <f>K492/2</f>
        <v>415.5</v>
      </c>
      <c r="M492" s="617">
        <v>168.0</v>
      </c>
      <c r="N492" s="617">
        <v>189.0</v>
      </c>
      <c r="O492" s="617">
        <v>357.0</v>
      </c>
      <c r="P492" s="617">
        <v>180.0</v>
      </c>
      <c r="Q492" s="617">
        <v>195.0</v>
      </c>
      <c r="R492" s="617">
        <v>375.0</v>
      </c>
      <c r="S492" s="617" t="s">
        <v>1903</v>
      </c>
      <c r="T492" s="617" t="s">
        <v>1904</v>
      </c>
      <c r="U492" s="618">
        <v>601625.352</v>
      </c>
      <c r="V492" s="618">
        <v>2642983.804</v>
      </c>
      <c r="W492" s="619"/>
      <c r="X492" s="138" t="s">
        <v>1894</v>
      </c>
      <c r="Y492" s="138" t="s">
        <v>1863</v>
      </c>
      <c r="Z492" s="620" t="s">
        <v>31</v>
      </c>
      <c r="AA492" s="625"/>
      <c r="AB492" s="625"/>
      <c r="AC492" s="625"/>
      <c r="AD492" s="626"/>
    </row>
    <row r="493" ht="24.75" customHeight="1">
      <c r="A493" s="598"/>
      <c r="B493" s="617"/>
      <c r="C493" s="617"/>
      <c r="D493" s="617"/>
      <c r="E493" s="617"/>
      <c r="F493" s="142">
        <v>413.0</v>
      </c>
      <c r="G493" s="142"/>
      <c r="H493" s="600"/>
      <c r="I493" s="637"/>
      <c r="J493" s="637"/>
      <c r="K493" s="616"/>
      <c r="L493" s="616"/>
      <c r="M493" s="617"/>
      <c r="N493" s="617"/>
      <c r="O493" s="617"/>
      <c r="P493" s="617"/>
      <c r="Q493" s="617"/>
      <c r="R493" s="617"/>
      <c r="S493" s="617"/>
      <c r="T493" s="617"/>
      <c r="U493" s="618"/>
      <c r="V493" s="618"/>
      <c r="W493" s="619" t="s">
        <v>1905</v>
      </c>
      <c r="X493" s="606"/>
      <c r="Y493" s="606"/>
      <c r="Z493" s="640"/>
      <c r="AA493" s="625"/>
      <c r="AB493" s="625"/>
      <c r="AC493" s="625"/>
      <c r="AD493" s="626"/>
    </row>
    <row r="494" ht="24.75" customHeight="1">
      <c r="A494" s="608">
        <v>243.0</v>
      </c>
      <c r="B494" s="617" t="s">
        <v>1101</v>
      </c>
      <c r="C494" s="617" t="s">
        <v>300</v>
      </c>
      <c r="D494" s="617" t="s">
        <v>34</v>
      </c>
      <c r="E494" s="617" t="s">
        <v>1101</v>
      </c>
      <c r="F494" s="142"/>
      <c r="G494" s="142" t="s">
        <v>1101</v>
      </c>
      <c r="H494" s="609" t="str">
        <f>H492+F493</f>
        <v>93674.28</v>
      </c>
      <c r="I494" s="637">
        <v>452.114</v>
      </c>
      <c r="J494" s="616">
        <v>75.5</v>
      </c>
      <c r="K494" s="638" t="str">
        <f>F493+F495</f>
        <v>823</v>
      </c>
      <c r="L494" s="616" t="str">
        <f>K494/2</f>
        <v>411.5</v>
      </c>
      <c r="M494" s="617">
        <v>224.0</v>
      </c>
      <c r="N494" s="617">
        <v>220.0</v>
      </c>
      <c r="O494" s="617">
        <v>444.0</v>
      </c>
      <c r="P494" s="617">
        <v>220.0</v>
      </c>
      <c r="Q494" s="617">
        <v>216.0</v>
      </c>
      <c r="R494" s="617">
        <v>436.0</v>
      </c>
      <c r="S494" s="617" t="s">
        <v>1906</v>
      </c>
      <c r="T494" s="617" t="s">
        <v>1907</v>
      </c>
      <c r="U494" s="618">
        <v>602006.985</v>
      </c>
      <c r="V494" s="618">
        <v>2642825.925</v>
      </c>
      <c r="W494" s="619"/>
      <c r="X494" s="138" t="s">
        <v>1894</v>
      </c>
      <c r="Y494" s="138" t="s">
        <v>1863</v>
      </c>
      <c r="Z494" s="620" t="s">
        <v>31</v>
      </c>
      <c r="AA494" s="625"/>
      <c r="AB494" s="625"/>
      <c r="AC494" s="625"/>
      <c r="AD494" s="626"/>
    </row>
    <row r="495" ht="24.75" customHeight="1">
      <c r="A495" s="598"/>
      <c r="B495" s="617"/>
      <c r="C495" s="617"/>
      <c r="D495" s="617"/>
      <c r="E495" s="617"/>
      <c r="F495" s="142">
        <v>410.0</v>
      </c>
      <c r="G495" s="142"/>
      <c r="H495" s="600"/>
      <c r="I495" s="637"/>
      <c r="J495" s="637"/>
      <c r="K495" s="616"/>
      <c r="L495" s="616"/>
      <c r="M495" s="617"/>
      <c r="N495" s="617"/>
      <c r="O495" s="617"/>
      <c r="P495" s="617"/>
      <c r="Q495" s="617"/>
      <c r="R495" s="617"/>
      <c r="S495" s="617"/>
      <c r="T495" s="617"/>
      <c r="U495" s="618"/>
      <c r="V495" s="618"/>
      <c r="W495" s="619" t="s">
        <v>1908</v>
      </c>
      <c r="X495" s="606"/>
      <c r="Y495" s="606"/>
      <c r="Z495" s="640"/>
      <c r="AA495" s="625"/>
      <c r="AB495" s="625"/>
      <c r="AC495" s="625"/>
      <c r="AD495" s="626"/>
    </row>
    <row r="496" ht="24.75" customHeight="1">
      <c r="A496" s="608">
        <v>244.0</v>
      </c>
      <c r="B496" s="617" t="s">
        <v>1101</v>
      </c>
      <c r="C496" s="617" t="s">
        <v>301</v>
      </c>
      <c r="D496" s="617" t="s">
        <v>33</v>
      </c>
      <c r="E496" s="617" t="s">
        <v>1101</v>
      </c>
      <c r="F496" s="142"/>
      <c r="G496" s="142" t="s">
        <v>1101</v>
      </c>
      <c r="H496" s="609" t="str">
        <f>H494+F495</f>
        <v>94084.28</v>
      </c>
      <c r="I496" s="637">
        <v>452.147</v>
      </c>
      <c r="J496" s="616">
        <v>72.5</v>
      </c>
      <c r="K496" s="638" t="str">
        <f>F495+F497</f>
        <v>836</v>
      </c>
      <c r="L496" s="616" t="str">
        <f>K496/2</f>
        <v>418</v>
      </c>
      <c r="M496" s="617">
        <v>190.0</v>
      </c>
      <c r="N496" s="617">
        <v>226.0</v>
      </c>
      <c r="O496" s="617">
        <v>416.0</v>
      </c>
      <c r="P496" s="617">
        <v>195.0</v>
      </c>
      <c r="Q496" s="617">
        <v>222.0</v>
      </c>
      <c r="R496" s="617">
        <v>417.0</v>
      </c>
      <c r="S496" s="617" t="s">
        <v>1909</v>
      </c>
      <c r="T496" s="617" t="s">
        <v>1910</v>
      </c>
      <c r="U496" s="618">
        <v>602385.845</v>
      </c>
      <c r="V496" s="618">
        <v>2642669.192</v>
      </c>
      <c r="W496" s="619"/>
      <c r="X496" s="138" t="s">
        <v>1894</v>
      </c>
      <c r="Y496" s="138" t="s">
        <v>1863</v>
      </c>
      <c r="Z496" s="620" t="s">
        <v>31</v>
      </c>
      <c r="AA496" s="625"/>
      <c r="AB496" s="625"/>
      <c r="AC496" s="625"/>
      <c r="AD496" s="626"/>
    </row>
    <row r="497" ht="24.75" customHeight="1">
      <c r="A497" s="598"/>
      <c r="B497" s="617"/>
      <c r="C497" s="617"/>
      <c r="D497" s="617"/>
      <c r="E497" s="617"/>
      <c r="F497" s="142">
        <v>426.0</v>
      </c>
      <c r="G497" s="142"/>
      <c r="H497" s="600"/>
      <c r="I497" s="637"/>
      <c r="J497" s="637"/>
      <c r="K497" s="616"/>
      <c r="L497" s="616"/>
      <c r="M497" s="617"/>
      <c r="N497" s="617"/>
      <c r="O497" s="617"/>
      <c r="P497" s="617"/>
      <c r="Q497" s="617"/>
      <c r="R497" s="617"/>
      <c r="S497" s="617"/>
      <c r="T497" s="617"/>
      <c r="U497" s="618"/>
      <c r="V497" s="618"/>
      <c r="W497" s="619" t="s">
        <v>1395</v>
      </c>
      <c r="X497" s="606"/>
      <c r="Y497" s="606"/>
      <c r="Z497" s="640"/>
      <c r="AA497" s="625"/>
      <c r="AB497" s="625"/>
      <c r="AC497" s="625"/>
      <c r="AD497" s="626"/>
    </row>
    <row r="498" ht="24.75" customHeight="1">
      <c r="A498" s="608">
        <v>245.0</v>
      </c>
      <c r="B498" s="617" t="s">
        <v>1101</v>
      </c>
      <c r="C498" s="617" t="s">
        <v>302</v>
      </c>
      <c r="D498" s="617" t="s">
        <v>33</v>
      </c>
      <c r="E498" s="617" t="s">
        <v>1101</v>
      </c>
      <c r="F498" s="142"/>
      <c r="G498" s="142" t="s">
        <v>1101</v>
      </c>
      <c r="H498" s="609" t="str">
        <f>H496+F497</f>
        <v>94510.28</v>
      </c>
      <c r="I498" s="637">
        <v>449.67</v>
      </c>
      <c r="J498" s="616">
        <v>72.5</v>
      </c>
      <c r="K498" s="638" t="str">
        <f>F497+F499</f>
        <v>823</v>
      </c>
      <c r="L498" s="616" t="str">
        <f>K498/2</f>
        <v>411.5</v>
      </c>
      <c r="M498" s="617">
        <v>201.0</v>
      </c>
      <c r="N498" s="617">
        <v>167.0</v>
      </c>
      <c r="O498" s="617">
        <v>368.0</v>
      </c>
      <c r="P498" s="617">
        <v>205.0</v>
      </c>
      <c r="Q498" s="617">
        <v>176.0</v>
      </c>
      <c r="R498" s="617">
        <v>381.0</v>
      </c>
      <c r="S498" s="617" t="s">
        <v>1911</v>
      </c>
      <c r="T498" s="617" t="s">
        <v>1912</v>
      </c>
      <c r="U498" s="618">
        <v>602779.49</v>
      </c>
      <c r="V498" s="618">
        <v>2642506.344</v>
      </c>
      <c r="W498" s="619"/>
      <c r="X498" s="138" t="s">
        <v>1913</v>
      </c>
      <c r="Y498" s="138" t="s">
        <v>1863</v>
      </c>
      <c r="Z498" s="620" t="s">
        <v>31</v>
      </c>
      <c r="AA498" s="625"/>
      <c r="AB498" s="625"/>
      <c r="AC498" s="625"/>
      <c r="AD498" s="626"/>
    </row>
    <row r="499" ht="24.75" customHeight="1">
      <c r="A499" s="598"/>
      <c r="B499" s="617"/>
      <c r="C499" s="617"/>
      <c r="D499" s="617"/>
      <c r="E499" s="617"/>
      <c r="F499" s="142">
        <v>397.0</v>
      </c>
      <c r="G499" s="142"/>
      <c r="H499" s="600"/>
      <c r="I499" s="637"/>
      <c r="J499" s="637"/>
      <c r="K499" s="616"/>
      <c r="L499" s="616"/>
      <c r="M499" s="617"/>
      <c r="N499" s="617"/>
      <c r="O499" s="617"/>
      <c r="P499" s="617"/>
      <c r="Q499" s="617"/>
      <c r="R499" s="617"/>
      <c r="S499" s="617"/>
      <c r="T499" s="617"/>
      <c r="U499" s="618"/>
      <c r="V499" s="618"/>
      <c r="W499" s="619" t="s">
        <v>1914</v>
      </c>
      <c r="X499" s="606"/>
      <c r="Y499" s="606"/>
      <c r="Z499" s="640"/>
      <c r="AA499" s="625"/>
      <c r="AB499" s="625"/>
      <c r="AC499" s="625"/>
      <c r="AD499" s="626"/>
    </row>
    <row r="500" ht="24.75" customHeight="1">
      <c r="A500" s="608">
        <v>246.0</v>
      </c>
      <c r="B500" s="617" t="s">
        <v>1101</v>
      </c>
      <c r="C500" s="617" t="s">
        <v>303</v>
      </c>
      <c r="D500" s="617" t="s">
        <v>12</v>
      </c>
      <c r="E500" s="617" t="s">
        <v>1101</v>
      </c>
      <c r="F500" s="142"/>
      <c r="G500" s="142" t="s">
        <v>1101</v>
      </c>
      <c r="H500" s="609" t="str">
        <f>H498+F499</f>
        <v>94907.28</v>
      </c>
      <c r="I500" s="637">
        <v>449.78</v>
      </c>
      <c r="J500" s="616">
        <v>78.5</v>
      </c>
      <c r="K500" s="638" t="str">
        <f>F499+F501</f>
        <v>801</v>
      </c>
      <c r="L500" s="616" t="str">
        <f>K500/2</f>
        <v>400.5</v>
      </c>
      <c r="M500" s="617">
        <v>231.0</v>
      </c>
      <c r="N500" s="617">
        <v>108.0</v>
      </c>
      <c r="O500" s="617">
        <v>339.0</v>
      </c>
      <c r="P500" s="617">
        <v>222.0</v>
      </c>
      <c r="Q500" s="617" t="s">
        <v>1915</v>
      </c>
      <c r="R500" s="617">
        <v>358.0</v>
      </c>
      <c r="S500" s="617" t="s">
        <v>1916</v>
      </c>
      <c r="T500" s="617" t="s">
        <v>1917</v>
      </c>
      <c r="U500" s="618">
        <v>603146.337</v>
      </c>
      <c r="V500" s="618">
        <v>2642354.581</v>
      </c>
      <c r="W500" s="619"/>
      <c r="X500" s="138" t="s">
        <v>1918</v>
      </c>
      <c r="Y500" s="138" t="s">
        <v>1863</v>
      </c>
      <c r="Z500" s="620" t="s">
        <v>31</v>
      </c>
      <c r="AA500" s="625"/>
      <c r="AB500" s="625"/>
      <c r="AC500" s="625"/>
      <c r="AD500" s="626"/>
    </row>
    <row r="501" ht="24.75" customHeight="1">
      <c r="A501" s="598"/>
      <c r="B501" s="617"/>
      <c r="C501" s="617"/>
      <c r="D501" s="617"/>
      <c r="E501" s="617"/>
      <c r="F501" s="142">
        <v>404.0</v>
      </c>
      <c r="G501" s="142"/>
      <c r="H501" s="600"/>
      <c r="I501" s="637"/>
      <c r="J501" s="637"/>
      <c r="K501" s="616"/>
      <c r="L501" s="616"/>
      <c r="M501" s="617"/>
      <c r="N501" s="617"/>
      <c r="O501" s="617"/>
      <c r="P501" s="617"/>
      <c r="Q501" s="617"/>
      <c r="R501" s="617"/>
      <c r="S501" s="617"/>
      <c r="T501" s="617"/>
      <c r="U501" s="618"/>
      <c r="V501" s="618"/>
      <c r="W501" s="619" t="s">
        <v>1590</v>
      </c>
      <c r="X501" s="606"/>
      <c r="Y501" s="606"/>
      <c r="Z501" s="640"/>
      <c r="AA501" s="625"/>
      <c r="AB501" s="625"/>
      <c r="AC501" s="625"/>
      <c r="AD501" s="626"/>
    </row>
    <row r="502" ht="24.75" customHeight="1">
      <c r="A502" s="608">
        <v>247.0</v>
      </c>
      <c r="B502" s="617" t="s">
        <v>1919</v>
      </c>
      <c r="C502" s="617" t="s">
        <v>304</v>
      </c>
      <c r="D502" s="617" t="s">
        <v>147</v>
      </c>
      <c r="E502" s="617" t="s">
        <v>1920</v>
      </c>
      <c r="F502" s="142"/>
      <c r="G502" s="142" t="str">
        <f>SUM(F489:F501)</f>
        <v>2872</v>
      </c>
      <c r="H502" s="609" t="str">
        <f>H500+F501</f>
        <v>95311.28</v>
      </c>
      <c r="I502" s="637">
        <v>455.992</v>
      </c>
      <c r="J502" s="637">
        <v>88.72</v>
      </c>
      <c r="K502" s="638" t="str">
        <f>F501+F503</f>
        <v>628</v>
      </c>
      <c r="L502" s="616" t="str">
        <f>K502/2</f>
        <v>314</v>
      </c>
      <c r="M502" s="617">
        <v>297.0</v>
      </c>
      <c r="N502" s="617">
        <v>166.0</v>
      </c>
      <c r="O502" s="617">
        <v>463.0</v>
      </c>
      <c r="P502" s="617">
        <v>269.0</v>
      </c>
      <c r="Q502" s="617">
        <v>136.0</v>
      </c>
      <c r="R502" s="617">
        <v>405.0</v>
      </c>
      <c r="S502" s="617" t="s">
        <v>1921</v>
      </c>
      <c r="T502" s="617" t="s">
        <v>1922</v>
      </c>
      <c r="U502" s="618">
        <v>603519.994</v>
      </c>
      <c r="V502" s="618">
        <v>2642200.001</v>
      </c>
      <c r="W502" s="619"/>
      <c r="X502" s="138" t="s">
        <v>1918</v>
      </c>
      <c r="Y502" s="138" t="s">
        <v>1863</v>
      </c>
      <c r="Z502" s="620" t="s">
        <v>31</v>
      </c>
      <c r="AA502" s="625"/>
      <c r="AB502" s="625"/>
      <c r="AC502" s="625"/>
      <c r="AD502" s="626"/>
    </row>
    <row r="503" ht="24.75" customHeight="1">
      <c r="A503" s="598"/>
      <c r="B503" s="617"/>
      <c r="C503" s="617"/>
      <c r="D503" s="617"/>
      <c r="E503" s="617"/>
      <c r="F503" s="142">
        <v>224.0</v>
      </c>
      <c r="G503" s="142"/>
      <c r="H503" s="600"/>
      <c r="I503" s="637"/>
      <c r="J503" s="637"/>
      <c r="K503" s="616"/>
      <c r="L503" s="616"/>
      <c r="M503" s="617"/>
      <c r="N503" s="617"/>
      <c r="O503" s="617"/>
      <c r="P503" s="617"/>
      <c r="Q503" s="617"/>
      <c r="R503" s="617"/>
      <c r="S503" s="617"/>
      <c r="T503" s="617"/>
      <c r="U503" s="618"/>
      <c r="V503" s="618"/>
      <c r="W503" s="623" t="s">
        <v>1923</v>
      </c>
      <c r="X503" s="606"/>
      <c r="Y503" s="606"/>
      <c r="Z503" s="640"/>
      <c r="AA503" s="625"/>
      <c r="AB503" s="625"/>
      <c r="AC503" s="625"/>
      <c r="AD503" s="626"/>
    </row>
    <row r="504" ht="24.75" customHeight="1">
      <c r="A504" s="608">
        <v>248.0</v>
      </c>
      <c r="B504" s="617" t="s">
        <v>1924</v>
      </c>
      <c r="C504" s="617" t="s">
        <v>305</v>
      </c>
      <c r="D504" s="617" t="s">
        <v>115</v>
      </c>
      <c r="E504" s="617" t="s">
        <v>1925</v>
      </c>
      <c r="F504" s="142"/>
      <c r="G504" s="142">
        <v>224.0</v>
      </c>
      <c r="H504" s="609" t="str">
        <f>H502+F503</f>
        <v>95535.28</v>
      </c>
      <c r="I504" s="637">
        <v>460.381</v>
      </c>
      <c r="J504" s="637">
        <v>79.72</v>
      </c>
      <c r="K504" s="638" t="str">
        <f>F503+F505</f>
        <v>646</v>
      </c>
      <c r="L504" s="616" t="str">
        <f>K504/2</f>
        <v>323</v>
      </c>
      <c r="M504" s="617">
        <v>58.0</v>
      </c>
      <c r="N504" s="617">
        <v>269.0</v>
      </c>
      <c r="O504" s="617">
        <v>327.0</v>
      </c>
      <c r="P504" s="617">
        <v>88.0</v>
      </c>
      <c r="Q504" s="617">
        <v>250.0</v>
      </c>
      <c r="R504" s="617">
        <v>338.0</v>
      </c>
      <c r="S504" s="617" t="s">
        <v>1926</v>
      </c>
      <c r="T504" s="617" t="s">
        <v>1927</v>
      </c>
      <c r="U504" s="618">
        <v>603743.631</v>
      </c>
      <c r="V504" s="618">
        <v>2642190.931</v>
      </c>
      <c r="W504" s="619"/>
      <c r="X504" s="138" t="s">
        <v>1918</v>
      </c>
      <c r="Y504" s="138" t="s">
        <v>1863</v>
      </c>
      <c r="Z504" s="620" t="s">
        <v>31</v>
      </c>
      <c r="AA504" s="625"/>
      <c r="AB504" s="625"/>
      <c r="AC504" s="625"/>
      <c r="AD504" s="626"/>
    </row>
    <row r="505" ht="24.75" customHeight="1">
      <c r="A505" s="598"/>
      <c r="B505" s="617"/>
      <c r="C505" s="617"/>
      <c r="D505" s="617"/>
      <c r="E505" s="617"/>
      <c r="F505" s="142">
        <v>422.0</v>
      </c>
      <c r="G505" s="142"/>
      <c r="H505" s="600"/>
      <c r="I505" s="637"/>
      <c r="J505" s="637"/>
      <c r="K505" s="616"/>
      <c r="L505" s="616"/>
      <c r="M505" s="617"/>
      <c r="N505" s="617"/>
      <c r="O505" s="617"/>
      <c r="P505" s="617"/>
      <c r="Q505" s="617"/>
      <c r="R505" s="617"/>
      <c r="S505" s="617"/>
      <c r="T505" s="617"/>
      <c r="U505" s="618"/>
      <c r="V505" s="618"/>
      <c r="W505" s="619" t="s">
        <v>1395</v>
      </c>
      <c r="X505" s="606"/>
      <c r="Y505" s="606"/>
      <c r="Z505" s="640"/>
      <c r="AA505" s="625"/>
      <c r="AB505" s="625"/>
      <c r="AC505" s="625"/>
      <c r="AD505" s="626"/>
    </row>
    <row r="506" ht="24.75" customHeight="1">
      <c r="A506" s="608">
        <v>249.0</v>
      </c>
      <c r="B506" s="617" t="s">
        <v>1101</v>
      </c>
      <c r="C506" s="617" t="s">
        <v>306</v>
      </c>
      <c r="D506" s="617" t="s">
        <v>33</v>
      </c>
      <c r="E506" s="617" t="s">
        <v>1101</v>
      </c>
      <c r="F506" s="142"/>
      <c r="G506" s="142" t="s">
        <v>1101</v>
      </c>
      <c r="H506" s="609" t="str">
        <f>H504+F505</f>
        <v>95957.28</v>
      </c>
      <c r="I506" s="637">
        <v>458.358</v>
      </c>
      <c r="J506" s="616">
        <v>72.5</v>
      </c>
      <c r="K506" s="638" t="str">
        <f>F505+F507</f>
        <v>765</v>
      </c>
      <c r="L506" s="616" t="str">
        <f>K506/2</f>
        <v>382.5</v>
      </c>
      <c r="M506" s="617">
        <v>154.0</v>
      </c>
      <c r="N506" s="617">
        <v>174.0</v>
      </c>
      <c r="O506" s="617">
        <v>328.0</v>
      </c>
      <c r="P506" s="617">
        <v>174.0</v>
      </c>
      <c r="Q506" s="617">
        <v>173.0</v>
      </c>
      <c r="R506" s="617">
        <v>347.0</v>
      </c>
      <c r="S506" s="617" t="s">
        <v>1928</v>
      </c>
      <c r="T506" s="617" t="s">
        <v>1929</v>
      </c>
      <c r="U506" s="618">
        <v>604093.499</v>
      </c>
      <c r="V506" s="618">
        <v>2641954.973</v>
      </c>
      <c r="W506" s="619"/>
      <c r="X506" s="138" t="s">
        <v>1918</v>
      </c>
      <c r="Y506" s="138" t="s">
        <v>1863</v>
      </c>
      <c r="Z506" s="620" t="s">
        <v>31</v>
      </c>
      <c r="AA506" s="625"/>
      <c r="AB506" s="625"/>
      <c r="AC506" s="625"/>
      <c r="AD506" s="626"/>
    </row>
    <row r="507" ht="24.75" customHeight="1">
      <c r="A507" s="598"/>
      <c r="B507" s="617"/>
      <c r="C507" s="617"/>
      <c r="D507" s="617"/>
      <c r="E507" s="617"/>
      <c r="F507" s="142">
        <v>343.0</v>
      </c>
      <c r="G507" s="142"/>
      <c r="H507" s="600"/>
      <c r="I507" s="637"/>
      <c r="J507" s="637"/>
      <c r="K507" s="616"/>
      <c r="L507" s="616"/>
      <c r="M507" s="617"/>
      <c r="N507" s="617"/>
      <c r="O507" s="617"/>
      <c r="P507" s="617"/>
      <c r="Q507" s="617"/>
      <c r="R507" s="617"/>
      <c r="S507" s="617"/>
      <c r="T507" s="617"/>
      <c r="U507" s="618"/>
      <c r="V507" s="618"/>
      <c r="W507" s="619" t="s">
        <v>1930</v>
      </c>
      <c r="X507" s="606"/>
      <c r="Y507" s="606"/>
      <c r="Z507" s="640"/>
      <c r="AA507" s="625"/>
      <c r="AB507" s="625"/>
      <c r="AC507" s="625"/>
      <c r="AD507" s="626"/>
    </row>
    <row r="508" ht="24.75" customHeight="1">
      <c r="A508" s="608">
        <v>250.0</v>
      </c>
      <c r="B508" s="617" t="s">
        <v>1101</v>
      </c>
      <c r="C508" s="617" t="s">
        <v>307</v>
      </c>
      <c r="D508" s="617" t="s">
        <v>15</v>
      </c>
      <c r="E508" s="617" t="s">
        <v>1101</v>
      </c>
      <c r="F508" s="142"/>
      <c r="G508" s="142" t="s">
        <v>1101</v>
      </c>
      <c r="H508" s="609" t="str">
        <f>H506+F507</f>
        <v>96300.28</v>
      </c>
      <c r="I508" s="637">
        <v>461.041</v>
      </c>
      <c r="J508" s="616">
        <v>69.5</v>
      </c>
      <c r="K508" s="638" t="str">
        <f>F507+F509</f>
        <v>703</v>
      </c>
      <c r="L508" s="616" t="str">
        <f>K508/2</f>
        <v>351.5</v>
      </c>
      <c r="M508" s="617">
        <v>170.0</v>
      </c>
      <c r="N508" s="617">
        <v>189.0</v>
      </c>
      <c r="O508" s="617">
        <v>359.0</v>
      </c>
      <c r="P508" s="617">
        <v>171.0</v>
      </c>
      <c r="Q508" s="617">
        <v>186.0</v>
      </c>
      <c r="R508" s="617">
        <v>357.0</v>
      </c>
      <c r="S508" s="617" t="s">
        <v>1931</v>
      </c>
      <c r="T508" s="617" t="s">
        <v>1932</v>
      </c>
      <c r="U508" s="618">
        <v>604377.871</v>
      </c>
      <c r="V508" s="618">
        <v>2641763.187</v>
      </c>
      <c r="W508" s="619"/>
      <c r="X508" s="138" t="s">
        <v>1918</v>
      </c>
      <c r="Y508" s="138" t="s">
        <v>1863</v>
      </c>
      <c r="Z508" s="620" t="s">
        <v>31</v>
      </c>
      <c r="AA508" s="625"/>
      <c r="AB508" s="625"/>
      <c r="AC508" s="625"/>
      <c r="AD508" s="626"/>
    </row>
    <row r="509" ht="24.75" customHeight="1">
      <c r="A509" s="598"/>
      <c r="B509" s="617"/>
      <c r="C509" s="617"/>
      <c r="D509" s="617"/>
      <c r="E509" s="617"/>
      <c r="F509" s="137" t="str">
        <f>350+10</f>
        <v>360</v>
      </c>
      <c r="G509" s="142"/>
      <c r="H509" s="600"/>
      <c r="I509" s="637"/>
      <c r="J509" s="637"/>
      <c r="K509" s="616"/>
      <c r="L509" s="616"/>
      <c r="M509" s="617"/>
      <c r="N509" s="617"/>
      <c r="O509" s="617"/>
      <c r="P509" s="617"/>
      <c r="Q509" s="617"/>
      <c r="R509" s="617"/>
      <c r="S509" s="617"/>
      <c r="T509" s="617"/>
      <c r="U509" s="618"/>
      <c r="V509" s="618"/>
      <c r="W509" s="619" t="s">
        <v>1435</v>
      </c>
      <c r="X509" s="606"/>
      <c r="Y509" s="606"/>
      <c r="Z509" s="640"/>
      <c r="AA509" s="625"/>
      <c r="AB509" s="625"/>
      <c r="AC509" s="625"/>
      <c r="AD509" s="626"/>
    </row>
    <row r="510" ht="24.75" customHeight="1">
      <c r="A510" s="608">
        <v>251.0</v>
      </c>
      <c r="B510" s="617" t="s">
        <v>1101</v>
      </c>
      <c r="C510" s="617" t="s">
        <v>308</v>
      </c>
      <c r="D510" s="617" t="s">
        <v>15</v>
      </c>
      <c r="E510" s="617" t="s">
        <v>1101</v>
      </c>
      <c r="F510" s="137"/>
      <c r="G510" s="142" t="s">
        <v>1101</v>
      </c>
      <c r="H510" s="609" t="str">
        <f>H508+F509</f>
        <v>96660.28</v>
      </c>
      <c r="I510" s="637">
        <v>459.485</v>
      </c>
      <c r="J510" s="616">
        <v>69.5</v>
      </c>
      <c r="K510" s="638" t="str">
        <f>F509+F511</f>
        <v>700</v>
      </c>
      <c r="L510" s="639" t="str">
        <f>K510/2</f>
        <v>349.8</v>
      </c>
      <c r="M510" s="617">
        <v>171.0</v>
      </c>
      <c r="N510" s="617">
        <v>121.0</v>
      </c>
      <c r="O510" s="617">
        <v>292.0</v>
      </c>
      <c r="P510" s="617">
        <v>175.0</v>
      </c>
      <c r="Q510" s="617">
        <v>138.0</v>
      </c>
      <c r="R510" s="617">
        <v>313.0</v>
      </c>
      <c r="S510" s="617" t="s">
        <v>1933</v>
      </c>
      <c r="T510" s="617" t="s">
        <v>1934</v>
      </c>
      <c r="U510" s="617">
        <v>604676.334</v>
      </c>
      <c r="V510" s="617">
        <v>2641561.897</v>
      </c>
      <c r="W510" s="619"/>
      <c r="X510" s="138" t="s">
        <v>1935</v>
      </c>
      <c r="Y510" s="138" t="s">
        <v>1863</v>
      </c>
      <c r="Z510" s="620" t="s">
        <v>31</v>
      </c>
      <c r="AA510" s="625"/>
      <c r="AB510" s="625"/>
      <c r="AC510" s="625"/>
      <c r="AD510" s="626"/>
    </row>
    <row r="511" ht="24.75" customHeight="1">
      <c r="A511" s="598"/>
      <c r="B511" s="617"/>
      <c r="C511" s="617"/>
      <c r="D511" s="617"/>
      <c r="E511" s="617"/>
      <c r="F511" s="137" t="str">
        <f>349.682-10</f>
        <v>340</v>
      </c>
      <c r="G511" s="142"/>
      <c r="H511" s="600"/>
      <c r="I511" s="637"/>
      <c r="J511" s="637"/>
      <c r="K511" s="638"/>
      <c r="L511" s="639"/>
      <c r="M511" s="617"/>
      <c r="N511" s="617"/>
      <c r="O511" s="617"/>
      <c r="P511" s="617"/>
      <c r="Q511" s="617"/>
      <c r="R511" s="617"/>
      <c r="S511" s="617"/>
      <c r="T511" s="617"/>
      <c r="U511" s="618"/>
      <c r="V511" s="618"/>
      <c r="W511" s="619" t="s">
        <v>1936</v>
      </c>
      <c r="X511" s="606"/>
      <c r="Y511" s="606"/>
      <c r="Z511" s="640"/>
      <c r="AA511" s="625"/>
      <c r="AB511" s="625"/>
      <c r="AC511" s="625"/>
      <c r="AD511" s="626"/>
    </row>
    <row r="512" ht="24.75" customHeight="1">
      <c r="A512" s="608">
        <v>252.0</v>
      </c>
      <c r="B512" s="138" t="s">
        <v>1937</v>
      </c>
      <c r="C512" s="138" t="s">
        <v>309</v>
      </c>
      <c r="D512" s="138" t="s">
        <v>36</v>
      </c>
      <c r="E512" s="138" t="s">
        <v>1938</v>
      </c>
      <c r="F512" s="599"/>
      <c r="G512" s="137" t="str">
        <f>SUM(F505:F511)</f>
        <v>1465</v>
      </c>
      <c r="H512" s="609" t="str">
        <f>H510+F511</f>
        <v>96999.96</v>
      </c>
      <c r="I512" s="599">
        <v>464.21</v>
      </c>
      <c r="J512" s="138">
        <v>70.72</v>
      </c>
      <c r="K512" s="638" t="str">
        <f>F511+F513</f>
        <v>749</v>
      </c>
      <c r="L512" s="639" t="str">
        <f>K512/2</f>
        <v>374.3</v>
      </c>
      <c r="M512" s="617">
        <v>219.0</v>
      </c>
      <c r="N512" s="617">
        <v>152.0</v>
      </c>
      <c r="O512" s="617">
        <v>371.0</v>
      </c>
      <c r="P512" s="617">
        <v>203.0</v>
      </c>
      <c r="Q512" s="617">
        <v>168.0</v>
      </c>
      <c r="R512" s="617">
        <v>371.0</v>
      </c>
      <c r="S512" s="138" t="s">
        <v>1939</v>
      </c>
      <c r="T512" s="138" t="s">
        <v>1940</v>
      </c>
      <c r="U512" s="601">
        <v>604957.957</v>
      </c>
      <c r="V512" s="601">
        <v>2641371.965</v>
      </c>
      <c r="W512" s="603"/>
      <c r="X512" s="138" t="s">
        <v>1935</v>
      </c>
      <c r="Y512" s="138" t="s">
        <v>1863</v>
      </c>
      <c r="Z512" s="605" t="s">
        <v>31</v>
      </c>
      <c r="AA512" s="629"/>
      <c r="AB512" s="629"/>
      <c r="AC512" s="629"/>
      <c r="AD512" s="630"/>
    </row>
    <row r="513" ht="24.75" customHeight="1">
      <c r="A513" s="598"/>
      <c r="B513" s="138"/>
      <c r="C513" s="138"/>
      <c r="D513" s="138"/>
      <c r="E513" s="138"/>
      <c r="F513" s="599">
        <v>409.0</v>
      </c>
      <c r="G513" s="599"/>
      <c r="H513" s="600"/>
      <c r="I513" s="599"/>
      <c r="J513" s="138"/>
      <c r="K513" s="599"/>
      <c r="L513" s="599"/>
      <c r="M513" s="138"/>
      <c r="N513" s="138"/>
      <c r="O513" s="138"/>
      <c r="P513" s="138"/>
      <c r="Q513" s="138"/>
      <c r="R513" s="138"/>
      <c r="S513" s="138"/>
      <c r="T513" s="138"/>
      <c r="U513" s="601"/>
      <c r="V513" s="601"/>
      <c r="W513" s="603" t="s">
        <v>1941</v>
      </c>
      <c r="X513" s="606"/>
      <c r="Y513" s="606"/>
      <c r="Z513" s="641"/>
      <c r="AA513" s="629"/>
      <c r="AB513" s="629"/>
      <c r="AC513" s="629"/>
      <c r="AD513" s="630"/>
    </row>
    <row r="514" ht="24.75" customHeight="1">
      <c r="A514" s="608">
        <v>253.0</v>
      </c>
      <c r="B514" s="138" t="s">
        <v>1101</v>
      </c>
      <c r="C514" s="138" t="s">
        <v>316</v>
      </c>
      <c r="D514" s="138" t="s">
        <v>35</v>
      </c>
      <c r="E514" s="138" t="s">
        <v>1101</v>
      </c>
      <c r="F514" s="599"/>
      <c r="G514" s="599"/>
      <c r="H514" s="609" t="str">
        <f>H512+F513</f>
        <v>97408.96</v>
      </c>
      <c r="I514" s="599">
        <v>472.854</v>
      </c>
      <c r="J514" s="138">
        <v>74.0</v>
      </c>
      <c r="K514" s="599">
        <v>800.063</v>
      </c>
      <c r="L514" s="599">
        <v>400.0315</v>
      </c>
      <c r="M514" s="138">
        <v>258.0</v>
      </c>
      <c r="N514" s="138">
        <v>197.0</v>
      </c>
      <c r="O514" s="138">
        <v>455.0</v>
      </c>
      <c r="P514" s="138">
        <v>242.0</v>
      </c>
      <c r="Q514" s="138">
        <v>197.0</v>
      </c>
      <c r="R514" s="138">
        <v>439.0</v>
      </c>
      <c r="S514" s="138" t="s">
        <v>1942</v>
      </c>
      <c r="T514" s="138" t="s">
        <v>1943</v>
      </c>
      <c r="U514" s="601">
        <v>605361.563</v>
      </c>
      <c r="V514" s="601">
        <v>2641305.759</v>
      </c>
      <c r="W514" s="603"/>
      <c r="X514" s="138" t="s">
        <v>1935</v>
      </c>
      <c r="Y514" s="138" t="s">
        <v>1863</v>
      </c>
      <c r="Z514" s="605" t="s">
        <v>31</v>
      </c>
      <c r="AA514" s="629"/>
      <c r="AB514" s="629"/>
      <c r="AC514" s="629"/>
      <c r="AD514" s="630"/>
    </row>
    <row r="515" ht="24.75" customHeight="1">
      <c r="A515" s="598"/>
      <c r="B515" s="138"/>
      <c r="C515" s="138"/>
      <c r="D515" s="138"/>
      <c r="E515" s="138"/>
      <c r="F515" s="599">
        <v>391.063</v>
      </c>
      <c r="G515" s="599"/>
      <c r="H515" s="600"/>
      <c r="I515" s="599"/>
      <c r="J515" s="138"/>
      <c r="K515" s="599"/>
      <c r="L515" s="599"/>
      <c r="M515" s="138"/>
      <c r="N515" s="138"/>
      <c r="O515" s="138"/>
      <c r="P515" s="138"/>
      <c r="Q515" s="138"/>
      <c r="R515" s="138"/>
      <c r="S515" s="138"/>
      <c r="T515" s="138"/>
      <c r="U515" s="601"/>
      <c r="V515" s="601"/>
      <c r="W515" s="603" t="s">
        <v>1187</v>
      </c>
      <c r="X515" s="606"/>
      <c r="Y515" s="606"/>
      <c r="Z515" s="641"/>
      <c r="AA515" s="629"/>
      <c r="AB515" s="629"/>
      <c r="AC515" s="629"/>
      <c r="AD515" s="630"/>
    </row>
    <row r="516" ht="24.75" customHeight="1">
      <c r="A516" s="608">
        <v>254.0</v>
      </c>
      <c r="B516" s="138" t="s">
        <v>1944</v>
      </c>
      <c r="C516" s="138" t="s">
        <v>317</v>
      </c>
      <c r="D516" s="138" t="s">
        <v>113</v>
      </c>
      <c r="E516" s="138" t="s">
        <v>1945</v>
      </c>
      <c r="F516" s="645"/>
      <c r="G516" s="599" t="str">
        <f>SUM(F513:F515)</f>
        <v>800.06</v>
      </c>
      <c r="H516" s="609" t="str">
        <f>H514+F515</f>
        <v>97800.02</v>
      </c>
      <c r="I516" s="599">
        <v>471.117</v>
      </c>
      <c r="J516" s="616">
        <v>73.72</v>
      </c>
      <c r="K516" s="599">
        <v>777.1379999999999</v>
      </c>
      <c r="L516" s="599">
        <v>388.56899999999996</v>
      </c>
      <c r="M516" s="138">
        <v>195.0</v>
      </c>
      <c r="N516" s="138">
        <v>251.0</v>
      </c>
      <c r="O516" s="138">
        <v>446.0</v>
      </c>
      <c r="P516" s="138">
        <v>195.0</v>
      </c>
      <c r="Q516" s="138">
        <v>233.0</v>
      </c>
      <c r="R516" s="138">
        <v>428.0</v>
      </c>
      <c r="S516" s="138" t="s">
        <v>1946</v>
      </c>
      <c r="T516" s="138" t="s">
        <v>1947</v>
      </c>
      <c r="U516" s="601">
        <v>605747.468</v>
      </c>
      <c r="V516" s="601">
        <v>2641242.456</v>
      </c>
      <c r="W516" s="603"/>
      <c r="X516" s="138" t="s">
        <v>1935</v>
      </c>
      <c r="Y516" s="138" t="s">
        <v>1863</v>
      </c>
      <c r="Z516" s="605" t="s">
        <v>31</v>
      </c>
      <c r="AA516" s="629"/>
      <c r="AB516" s="629"/>
      <c r="AC516" s="629"/>
      <c r="AD516" s="630"/>
    </row>
    <row r="517" ht="12.75" customHeight="1">
      <c r="A517" s="598"/>
      <c r="B517" s="138"/>
      <c r="C517" s="138"/>
      <c r="D517" s="138"/>
      <c r="E517" s="138"/>
      <c r="F517" s="599">
        <v>386.075</v>
      </c>
      <c r="G517" s="599"/>
      <c r="H517" s="600"/>
      <c r="I517" s="599"/>
      <c r="J517" s="138"/>
      <c r="K517" s="599"/>
      <c r="L517" s="599"/>
      <c r="M517" s="138"/>
      <c r="N517" s="138"/>
      <c r="O517" s="138"/>
      <c r="P517" s="138"/>
      <c r="Q517" s="138"/>
      <c r="R517" s="138"/>
      <c r="S517" s="138"/>
      <c r="T517" s="138"/>
      <c r="U517" s="601"/>
      <c r="V517" s="601"/>
      <c r="W517" s="603" t="s">
        <v>1948</v>
      </c>
      <c r="X517" s="606"/>
      <c r="Y517" s="606"/>
      <c r="Z517" s="641"/>
      <c r="AA517" s="629"/>
      <c r="AB517" s="629"/>
      <c r="AC517" s="629"/>
      <c r="AD517" s="630"/>
    </row>
    <row r="518" ht="24.75" customHeight="1">
      <c r="A518" s="608">
        <v>255.0</v>
      </c>
      <c r="B518" s="138" t="s">
        <v>1949</v>
      </c>
      <c r="C518" s="138" t="s">
        <v>318</v>
      </c>
      <c r="D518" s="138" t="s">
        <v>312</v>
      </c>
      <c r="E518" s="138" t="s">
        <v>1950</v>
      </c>
      <c r="F518" s="599"/>
      <c r="G518" s="599" t="str">
        <f>SUM(F517)</f>
        <v>386.08</v>
      </c>
      <c r="H518" s="609" t="str">
        <f>H516+F517</f>
        <v>98186.10</v>
      </c>
      <c r="I518" s="599">
        <v>465.359</v>
      </c>
      <c r="J518" s="138">
        <v>70.72</v>
      </c>
      <c r="K518" s="599">
        <v>758.962</v>
      </c>
      <c r="L518" s="599">
        <v>379.481</v>
      </c>
      <c r="M518" s="138">
        <v>136.0</v>
      </c>
      <c r="N518" s="138">
        <v>203.0</v>
      </c>
      <c r="O518" s="138">
        <v>339.0</v>
      </c>
      <c r="P518" s="138">
        <v>155.0</v>
      </c>
      <c r="Q518" s="138">
        <v>198.0</v>
      </c>
      <c r="R518" s="138">
        <v>353.0</v>
      </c>
      <c r="S518" s="138" t="s">
        <v>1951</v>
      </c>
      <c r="T518" s="138" t="s">
        <v>1952</v>
      </c>
      <c r="U518" s="601">
        <v>606109.0</v>
      </c>
      <c r="V518" s="601">
        <v>2641107.0</v>
      </c>
      <c r="W518" s="603"/>
      <c r="X518" s="138" t="s">
        <v>1953</v>
      </c>
      <c r="Y518" s="138" t="s">
        <v>1863</v>
      </c>
      <c r="Z518" s="605" t="s">
        <v>31</v>
      </c>
      <c r="AA518" s="629"/>
      <c r="AB518" s="629"/>
      <c r="AC518" s="629"/>
      <c r="AD518" s="630"/>
    </row>
    <row r="519" ht="12.75" customHeight="1">
      <c r="A519" s="598"/>
      <c r="B519" s="138"/>
      <c r="C519" s="138"/>
      <c r="D519" s="138"/>
      <c r="E519" s="138"/>
      <c r="F519" s="599">
        <v>372.887</v>
      </c>
      <c r="G519" s="599"/>
      <c r="H519" s="600"/>
      <c r="I519" s="599"/>
      <c r="J519" s="138"/>
      <c r="K519" s="599"/>
      <c r="L519" s="599"/>
      <c r="M519" s="138"/>
      <c r="N519" s="138"/>
      <c r="O519" s="138"/>
      <c r="P519" s="138"/>
      <c r="Q519" s="138"/>
      <c r="R519" s="138"/>
      <c r="S519" s="138"/>
      <c r="T519" s="138"/>
      <c r="U519" s="601"/>
      <c r="V519" s="601"/>
      <c r="W519" s="632" t="s">
        <v>1954</v>
      </c>
      <c r="X519" s="606"/>
      <c r="Y519" s="606"/>
      <c r="Z519" s="641"/>
      <c r="AA519" s="629"/>
      <c r="AB519" s="629"/>
      <c r="AC519" s="629"/>
      <c r="AD519" s="630"/>
    </row>
    <row r="520" ht="24.75" customHeight="1">
      <c r="A520" s="608">
        <v>256.0</v>
      </c>
      <c r="B520" s="138" t="s">
        <v>1955</v>
      </c>
      <c r="C520" s="138" t="s">
        <v>319</v>
      </c>
      <c r="D520" s="138" t="s">
        <v>313</v>
      </c>
      <c r="E520" s="138" t="s">
        <v>1956</v>
      </c>
      <c r="F520" s="599"/>
      <c r="G520" s="599" t="str">
        <f>SUM(F519)</f>
        <v>372.89</v>
      </c>
      <c r="H520" s="609" t="str">
        <f>H518+F519</f>
        <v>98558.99</v>
      </c>
      <c r="I520" s="599">
        <v>462.537</v>
      </c>
      <c r="J520" s="138">
        <v>70.72</v>
      </c>
      <c r="K520" s="599">
        <v>705.887</v>
      </c>
      <c r="L520" s="599">
        <v>352.9435</v>
      </c>
      <c r="M520" s="138">
        <v>170.0</v>
      </c>
      <c r="N520" s="138">
        <v>90.0</v>
      </c>
      <c r="O520" s="138">
        <v>260.0</v>
      </c>
      <c r="P520" s="138">
        <v>176.0</v>
      </c>
      <c r="Q520" s="138">
        <v>119.0</v>
      </c>
      <c r="R520" s="138">
        <v>295.0</v>
      </c>
      <c r="S520" s="138" t="s">
        <v>1957</v>
      </c>
      <c r="T520" s="138" t="s">
        <v>1958</v>
      </c>
      <c r="U520" s="601">
        <v>606446.73</v>
      </c>
      <c r="V520" s="601">
        <v>2640948.939</v>
      </c>
      <c r="W520" s="603"/>
      <c r="X520" s="138" t="s">
        <v>1953</v>
      </c>
      <c r="Y520" s="138" t="s">
        <v>1863</v>
      </c>
      <c r="Z520" s="605" t="s">
        <v>31</v>
      </c>
      <c r="AA520" s="629"/>
      <c r="AB520" s="629"/>
      <c r="AC520" s="629"/>
      <c r="AD520" s="630"/>
    </row>
    <row r="521" ht="24.75" customHeight="1">
      <c r="A521" s="598"/>
      <c r="B521" s="138"/>
      <c r="C521" s="138"/>
      <c r="D521" s="138"/>
      <c r="E521" s="138"/>
      <c r="F521" s="599">
        <v>333.0</v>
      </c>
      <c r="G521" s="599"/>
      <c r="H521" s="600"/>
      <c r="I521" s="599"/>
      <c r="J521" s="138"/>
      <c r="K521" s="599"/>
      <c r="L521" s="599"/>
      <c r="M521" s="138"/>
      <c r="N521" s="138"/>
      <c r="O521" s="138"/>
      <c r="P521" s="138"/>
      <c r="Q521" s="138"/>
      <c r="R521" s="138"/>
      <c r="S521" s="138"/>
      <c r="T521" s="138"/>
      <c r="U521" s="601"/>
      <c r="V521" s="601"/>
      <c r="W521" s="603" t="s">
        <v>1187</v>
      </c>
      <c r="X521" s="606"/>
      <c r="Y521" s="606"/>
      <c r="Z521" s="641"/>
      <c r="AA521" s="629"/>
      <c r="AB521" s="629"/>
      <c r="AC521" s="629"/>
      <c r="AD521" s="630"/>
    </row>
    <row r="522" ht="24.75" customHeight="1">
      <c r="A522" s="608">
        <v>257.0</v>
      </c>
      <c r="B522" s="138" t="s">
        <v>1101</v>
      </c>
      <c r="C522" s="138" t="s">
        <v>320</v>
      </c>
      <c r="D522" s="138" t="s">
        <v>34</v>
      </c>
      <c r="E522" s="138" t="s">
        <v>1101</v>
      </c>
      <c r="F522" s="599"/>
      <c r="G522" s="599"/>
      <c r="H522" s="609" t="str">
        <f>H520+F521</f>
        <v>98891.99</v>
      </c>
      <c r="I522" s="599">
        <v>469.401</v>
      </c>
      <c r="J522" s="138">
        <v>75.5</v>
      </c>
      <c r="K522" s="599">
        <v>690.142</v>
      </c>
      <c r="L522" s="599">
        <v>345.071</v>
      </c>
      <c r="M522" s="138">
        <v>243.0</v>
      </c>
      <c r="N522" s="138">
        <v>100.0</v>
      </c>
      <c r="O522" s="138">
        <v>343.0</v>
      </c>
      <c r="P522" s="138">
        <v>215.0</v>
      </c>
      <c r="Q522" s="138">
        <v>129.0</v>
      </c>
      <c r="R522" s="138">
        <v>344.0</v>
      </c>
      <c r="S522" s="138" t="s">
        <v>1959</v>
      </c>
      <c r="T522" s="138" t="s">
        <v>1960</v>
      </c>
      <c r="U522" s="601">
        <v>606704.12</v>
      </c>
      <c r="V522" s="601">
        <v>2640737.658</v>
      </c>
      <c r="W522" s="603"/>
      <c r="X522" s="138" t="s">
        <v>1953</v>
      </c>
      <c r="Y522" s="138" t="s">
        <v>1863</v>
      </c>
      <c r="Z522" s="605" t="s">
        <v>31</v>
      </c>
      <c r="AA522" s="629"/>
      <c r="AB522" s="629"/>
      <c r="AC522" s="629"/>
      <c r="AD522" s="630"/>
    </row>
    <row r="523" ht="24.75" customHeight="1">
      <c r="A523" s="598"/>
      <c r="B523" s="138"/>
      <c r="C523" s="138"/>
      <c r="D523" s="138"/>
      <c r="E523" s="138"/>
      <c r="F523" s="599">
        <v>357.142</v>
      </c>
      <c r="G523" s="599"/>
      <c r="H523" s="600"/>
      <c r="I523" s="599"/>
      <c r="J523" s="138"/>
      <c r="K523" s="599"/>
      <c r="L523" s="599"/>
      <c r="M523" s="138"/>
      <c r="N523" s="138"/>
      <c r="O523" s="138"/>
      <c r="P523" s="138"/>
      <c r="Q523" s="138"/>
      <c r="R523" s="138"/>
      <c r="S523" s="138"/>
      <c r="T523" s="138"/>
      <c r="U523" s="601"/>
      <c r="V523" s="601"/>
      <c r="W523" s="603" t="s">
        <v>1961</v>
      </c>
      <c r="X523" s="606"/>
      <c r="Y523" s="606"/>
      <c r="Z523" s="641"/>
      <c r="AA523" s="629"/>
      <c r="AB523" s="629"/>
      <c r="AC523" s="629"/>
      <c r="AD523" s="630"/>
    </row>
    <row r="524" ht="24.75" customHeight="1">
      <c r="A524" s="608">
        <v>258.0</v>
      </c>
      <c r="B524" s="138" t="s">
        <v>1962</v>
      </c>
      <c r="C524" s="138" t="s">
        <v>321</v>
      </c>
      <c r="D524" s="138" t="s">
        <v>147</v>
      </c>
      <c r="E524" s="138" t="s">
        <v>1963</v>
      </c>
      <c r="F524" s="599"/>
      <c r="G524" s="599" t="str">
        <f>SUM(F521:F523)</f>
        <v>690.14</v>
      </c>
      <c r="H524" s="609" t="str">
        <f>H522+F523</f>
        <v>99249.13</v>
      </c>
      <c r="I524" s="599">
        <v>467.149</v>
      </c>
      <c r="J524" s="138">
        <v>88.72</v>
      </c>
      <c r="K524" s="599">
        <v>591.313</v>
      </c>
      <c r="L524" s="599">
        <v>295.6565</v>
      </c>
      <c r="M524" s="138">
        <v>259.0</v>
      </c>
      <c r="N524" s="138">
        <v>199.0</v>
      </c>
      <c r="O524" s="138">
        <v>458.0</v>
      </c>
      <c r="P524" s="138">
        <v>230.0</v>
      </c>
      <c r="Q524" s="138">
        <v>155.0</v>
      </c>
      <c r="R524" s="138">
        <v>385.0</v>
      </c>
      <c r="S524" s="138" t="s">
        <v>1964</v>
      </c>
      <c r="T524" s="138" t="s">
        <v>1965</v>
      </c>
      <c r="U524" s="601">
        <v>606980.17</v>
      </c>
      <c r="V524" s="601">
        <v>2640511.06</v>
      </c>
      <c r="W524" s="603"/>
      <c r="X524" s="138" t="s">
        <v>1966</v>
      </c>
      <c r="Y524" s="138" t="s">
        <v>1863</v>
      </c>
      <c r="Z524" s="605" t="s">
        <v>31</v>
      </c>
      <c r="AA524" s="629"/>
      <c r="AB524" s="629"/>
      <c r="AC524" s="629"/>
      <c r="AD524" s="630"/>
    </row>
    <row r="525" ht="12.75" customHeight="1">
      <c r="A525" s="598"/>
      <c r="B525" s="138"/>
      <c r="C525" s="138"/>
      <c r="D525" s="138"/>
      <c r="E525" s="138"/>
      <c r="F525" s="599">
        <v>234.171</v>
      </c>
      <c r="G525" s="599"/>
      <c r="H525" s="600"/>
      <c r="I525" s="599"/>
      <c r="J525" s="138"/>
      <c r="K525" s="599"/>
      <c r="L525" s="599"/>
      <c r="M525" s="138"/>
      <c r="N525" s="138"/>
      <c r="O525" s="138"/>
      <c r="P525" s="138"/>
      <c r="Q525" s="138"/>
      <c r="R525" s="138"/>
      <c r="S525" s="138"/>
      <c r="T525" s="138"/>
      <c r="U525" s="601"/>
      <c r="V525" s="601"/>
      <c r="W525" s="632" t="s">
        <v>1967</v>
      </c>
      <c r="X525" s="606"/>
      <c r="Y525" s="606"/>
      <c r="Z525" s="641"/>
      <c r="AA525" s="629"/>
      <c r="AB525" s="629"/>
      <c r="AC525" s="629"/>
      <c r="AD525" s="630"/>
    </row>
    <row r="526" ht="24.75" customHeight="1">
      <c r="A526" s="608">
        <v>259.0</v>
      </c>
      <c r="B526" s="138" t="s">
        <v>1968</v>
      </c>
      <c r="C526" s="138" t="s">
        <v>322</v>
      </c>
      <c r="D526" s="138" t="s">
        <v>170</v>
      </c>
      <c r="E526" s="138" t="s">
        <v>1969</v>
      </c>
      <c r="F526" s="138"/>
      <c r="G526" s="138">
        <v>234.17</v>
      </c>
      <c r="H526" s="599" t="str">
        <f>H524+F525</f>
        <v>99483.30</v>
      </c>
      <c r="I526" s="138">
        <v>467.785</v>
      </c>
      <c r="J526" s="138">
        <v>79.72</v>
      </c>
      <c r="K526" s="138">
        <v>586.171</v>
      </c>
      <c r="L526" s="138">
        <v>293.0855</v>
      </c>
      <c r="M526" s="138">
        <v>36.0</v>
      </c>
      <c r="N526" s="138">
        <v>193.0</v>
      </c>
      <c r="O526" s="138">
        <v>229.0</v>
      </c>
      <c r="P526" s="138">
        <v>80.0</v>
      </c>
      <c r="Q526" s="138">
        <v>187.0</v>
      </c>
      <c r="R526" s="138">
        <v>267.0</v>
      </c>
      <c r="S526" s="138" t="s">
        <v>1970</v>
      </c>
      <c r="T526" s="138" t="s">
        <v>1971</v>
      </c>
      <c r="U526" s="138">
        <v>607070.102</v>
      </c>
      <c r="V526" s="138">
        <v>2640294.846</v>
      </c>
      <c r="W526" s="632" t="s">
        <v>1972</v>
      </c>
      <c r="X526" s="138" t="s">
        <v>1966</v>
      </c>
      <c r="Y526" s="138" t="s">
        <v>1863</v>
      </c>
      <c r="Z526" s="605" t="s">
        <v>31</v>
      </c>
      <c r="AA526" s="623">
        <v>1.0</v>
      </c>
      <c r="AB526" s="623">
        <v>1.0</v>
      </c>
      <c r="AC526" s="623">
        <v>1.0</v>
      </c>
      <c r="AD526" s="624">
        <v>1.0</v>
      </c>
    </row>
    <row r="527" ht="24.75" customHeight="1">
      <c r="A527" s="598"/>
      <c r="B527" s="138"/>
      <c r="C527" s="138"/>
      <c r="D527" s="138"/>
      <c r="E527" s="138"/>
      <c r="F527" s="138">
        <v>352.0</v>
      </c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603" t="s">
        <v>1973</v>
      </c>
      <c r="X527" s="606"/>
      <c r="Y527" s="606"/>
      <c r="Z527" s="641"/>
      <c r="AA527" s="629"/>
      <c r="AB527" s="629"/>
      <c r="AC527" s="629"/>
      <c r="AD527" s="630"/>
    </row>
    <row r="528" ht="24.75" customHeight="1">
      <c r="A528" s="608">
        <v>260.0</v>
      </c>
      <c r="B528" s="138" t="s">
        <v>1101</v>
      </c>
      <c r="C528" s="138" t="s">
        <v>323</v>
      </c>
      <c r="D528" s="138" t="s">
        <v>12</v>
      </c>
      <c r="E528" s="138" t="s">
        <v>1101</v>
      </c>
      <c r="F528" s="138"/>
      <c r="G528" s="138" t="s">
        <v>1101</v>
      </c>
      <c r="H528" s="599" t="str">
        <f>H526+F527</f>
        <v>99835.30</v>
      </c>
      <c r="I528" s="138">
        <v>469.093</v>
      </c>
      <c r="J528" s="138">
        <v>78.5</v>
      </c>
      <c r="K528" s="138">
        <v>705.0</v>
      </c>
      <c r="L528" s="138">
        <v>352.5</v>
      </c>
      <c r="M528" s="138">
        <v>159.0</v>
      </c>
      <c r="N528" s="138">
        <v>118.0</v>
      </c>
      <c r="O528" s="138">
        <v>277.0</v>
      </c>
      <c r="P528" s="138">
        <v>166.0</v>
      </c>
      <c r="Q528" s="138">
        <v>140.0</v>
      </c>
      <c r="R528" s="138">
        <v>306.0</v>
      </c>
      <c r="S528" s="138" t="s">
        <v>1974</v>
      </c>
      <c r="T528" s="138" t="s">
        <v>1975</v>
      </c>
      <c r="U528" s="138">
        <v>607403.304</v>
      </c>
      <c r="V528" s="138">
        <v>2640181.355</v>
      </c>
      <c r="W528" s="603"/>
      <c r="X528" s="138" t="s">
        <v>1966</v>
      </c>
      <c r="Y528" s="138" t="s">
        <v>1863</v>
      </c>
      <c r="Z528" s="605" t="s">
        <v>31</v>
      </c>
      <c r="AA528" s="629"/>
      <c r="AB528" s="629"/>
      <c r="AC528" s="629"/>
      <c r="AD528" s="630"/>
    </row>
    <row r="529" ht="24.75" customHeight="1">
      <c r="A529" s="598"/>
      <c r="B529" s="138"/>
      <c r="C529" s="138"/>
      <c r="D529" s="138"/>
      <c r="E529" s="138"/>
      <c r="F529" s="138">
        <v>353.0</v>
      </c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632"/>
      <c r="X529" s="606"/>
      <c r="Y529" s="606"/>
      <c r="Z529" s="641"/>
      <c r="AA529" s="629"/>
      <c r="AB529" s="629"/>
      <c r="AC529" s="629"/>
      <c r="AD529" s="630"/>
    </row>
    <row r="530" ht="24.75" customHeight="1">
      <c r="A530" s="608">
        <v>261.0</v>
      </c>
      <c r="B530" s="138" t="s">
        <v>1101</v>
      </c>
      <c r="C530" s="138" t="s">
        <v>324</v>
      </c>
      <c r="D530" s="138" t="s">
        <v>34</v>
      </c>
      <c r="E530" s="138" t="s">
        <v>1101</v>
      </c>
      <c r="F530" s="138"/>
      <c r="G530" s="138" t="s">
        <v>1101</v>
      </c>
      <c r="H530" s="599" t="str">
        <f>H528+F529</f>
        <v>100188.30</v>
      </c>
      <c r="I530" s="138">
        <v>481.401</v>
      </c>
      <c r="J530" s="138">
        <v>75.5</v>
      </c>
      <c r="K530" s="138">
        <v>705.606</v>
      </c>
      <c r="L530" s="138">
        <v>352.803</v>
      </c>
      <c r="M530" s="138">
        <v>236.0</v>
      </c>
      <c r="N530" s="138">
        <v>106.0</v>
      </c>
      <c r="O530" s="138">
        <v>342.0</v>
      </c>
      <c r="P530" s="138">
        <v>214.0</v>
      </c>
      <c r="Q530" s="138">
        <v>132.0</v>
      </c>
      <c r="R530" s="138">
        <v>346.0</v>
      </c>
      <c r="S530" s="138" t="s">
        <v>1976</v>
      </c>
      <c r="T530" s="138" t="s">
        <v>1977</v>
      </c>
      <c r="U530" s="138">
        <v>607737.453</v>
      </c>
      <c r="V530" s="138">
        <v>2640067.541</v>
      </c>
      <c r="W530" s="646"/>
      <c r="X530" s="138" t="s">
        <v>1966</v>
      </c>
      <c r="Y530" s="138" t="s">
        <v>1863</v>
      </c>
      <c r="Z530" s="605" t="s">
        <v>31</v>
      </c>
      <c r="AA530" s="629"/>
      <c r="AB530" s="629"/>
      <c r="AC530" s="629"/>
      <c r="AD530" s="630"/>
    </row>
    <row r="531" ht="24.75" customHeight="1">
      <c r="A531" s="598"/>
      <c r="B531" s="138"/>
      <c r="C531" s="138"/>
      <c r="D531" s="138"/>
      <c r="E531" s="138"/>
      <c r="F531" s="138">
        <v>352.606</v>
      </c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603" t="s">
        <v>1978</v>
      </c>
      <c r="X531" s="606"/>
      <c r="Y531" s="606"/>
      <c r="Z531" s="641"/>
      <c r="AA531" s="629"/>
      <c r="AB531" s="629"/>
      <c r="AC531" s="629"/>
      <c r="AD531" s="630"/>
    </row>
    <row r="532" ht="24.75" customHeight="1">
      <c r="A532" s="608">
        <v>262.0</v>
      </c>
      <c r="B532" s="138" t="s">
        <v>1979</v>
      </c>
      <c r="C532" s="138" t="s">
        <v>325</v>
      </c>
      <c r="D532" s="138" t="s">
        <v>149</v>
      </c>
      <c r="E532" s="138" t="s">
        <v>1980</v>
      </c>
      <c r="F532" s="138"/>
      <c r="G532" s="138">
        <v>1057.6100000000001</v>
      </c>
      <c r="H532" s="599" t="str">
        <f>H530+F531</f>
        <v>100540.90</v>
      </c>
      <c r="I532" s="138">
        <v>486.487</v>
      </c>
      <c r="J532" s="138">
        <v>79.72</v>
      </c>
      <c r="K532" s="138">
        <v>620.606</v>
      </c>
      <c r="L532" s="138">
        <v>310.303</v>
      </c>
      <c r="M532" s="138">
        <v>247.0</v>
      </c>
      <c r="N532" s="138">
        <v>117.0</v>
      </c>
      <c r="O532" s="138">
        <v>364.0</v>
      </c>
      <c r="P532" s="138">
        <v>221.0</v>
      </c>
      <c r="Q532" s="138">
        <v>126.0</v>
      </c>
      <c r="R532" s="138">
        <v>347.0</v>
      </c>
      <c r="S532" s="138" t="s">
        <v>1981</v>
      </c>
      <c r="T532" s="138" t="s">
        <v>1982</v>
      </c>
      <c r="U532" s="138">
        <v>608071.229</v>
      </c>
      <c r="V532" s="138">
        <v>2639953.855</v>
      </c>
      <c r="W532" s="632" t="s">
        <v>1138</v>
      </c>
      <c r="X532" s="138" t="s">
        <v>1983</v>
      </c>
      <c r="Y532" s="138" t="s">
        <v>1863</v>
      </c>
      <c r="Z532" s="605" t="s">
        <v>31</v>
      </c>
      <c r="AA532" s="647">
        <v>0.5</v>
      </c>
      <c r="AB532" s="647">
        <v>2.0</v>
      </c>
      <c r="AC532" s="647">
        <v>1.0</v>
      </c>
      <c r="AD532" s="648">
        <v>0.0</v>
      </c>
    </row>
    <row r="533" ht="24.75" customHeight="1">
      <c r="A533" s="598"/>
      <c r="B533" s="138"/>
      <c r="C533" s="138"/>
      <c r="D533" s="138"/>
      <c r="E533" s="138"/>
      <c r="F533" s="138">
        <v>268.0</v>
      </c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603" t="s">
        <v>1984</v>
      </c>
      <c r="X533" s="606"/>
      <c r="Y533" s="606"/>
      <c r="Z533" s="641"/>
      <c r="AA533" s="629"/>
      <c r="AB533" s="629"/>
      <c r="AC533" s="629"/>
      <c r="AD533" s="630"/>
    </row>
    <row r="534" ht="24.75" customHeight="1">
      <c r="A534" s="608">
        <v>263.0</v>
      </c>
      <c r="B534" s="138" t="s">
        <v>1101</v>
      </c>
      <c r="C534" s="138" t="s">
        <v>326</v>
      </c>
      <c r="D534" s="138" t="s">
        <v>314</v>
      </c>
      <c r="E534" s="138" t="s">
        <v>1101</v>
      </c>
      <c r="F534" s="138"/>
      <c r="G534" s="138">
        <v>268.0</v>
      </c>
      <c r="H534" s="599" t="str">
        <f>H532+F533</f>
        <v>100808.90</v>
      </c>
      <c r="I534" s="138">
        <v>479.29</v>
      </c>
      <c r="J534" s="138">
        <v>88.72</v>
      </c>
      <c r="K534" s="138">
        <v>574.0</v>
      </c>
      <c r="L534" s="138">
        <v>287.0</v>
      </c>
      <c r="M534" s="138">
        <v>151.0</v>
      </c>
      <c r="N534" s="138">
        <v>340.0</v>
      </c>
      <c r="O534" s="138">
        <v>491.0</v>
      </c>
      <c r="P534" s="138">
        <v>143.0</v>
      </c>
      <c r="Q534" s="138">
        <v>261.0</v>
      </c>
      <c r="R534" s="138">
        <v>404.0</v>
      </c>
      <c r="S534" s="138" t="s">
        <v>1985</v>
      </c>
      <c r="T534" s="138" t="s">
        <v>1986</v>
      </c>
      <c r="U534" s="138">
        <v>608336.17</v>
      </c>
      <c r="V534" s="138">
        <v>2639913.479</v>
      </c>
      <c r="W534" s="632" t="s">
        <v>1138</v>
      </c>
      <c r="X534" s="138" t="s">
        <v>1983</v>
      </c>
      <c r="Y534" s="138" t="s">
        <v>1863</v>
      </c>
      <c r="Z534" s="605" t="s">
        <v>31</v>
      </c>
      <c r="AA534" s="647">
        <v>0.0</v>
      </c>
      <c r="AB534" s="647">
        <v>0.0</v>
      </c>
      <c r="AC534" s="647">
        <v>2.0</v>
      </c>
      <c r="AD534" s="648">
        <v>3.0</v>
      </c>
    </row>
    <row r="535" ht="12.75" customHeight="1">
      <c r="A535" s="598"/>
      <c r="B535" s="138"/>
      <c r="C535" s="138"/>
      <c r="D535" s="138"/>
      <c r="E535" s="138"/>
      <c r="F535" s="138">
        <v>306.0</v>
      </c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603" t="s">
        <v>1987</v>
      </c>
      <c r="X535" s="606"/>
      <c r="Y535" s="606"/>
      <c r="Z535" s="641"/>
      <c r="AA535" s="629"/>
      <c r="AB535" s="629"/>
      <c r="AC535" s="629"/>
      <c r="AD535" s="630"/>
    </row>
    <row r="536" ht="24.75" customHeight="1">
      <c r="A536" s="608">
        <v>264.0</v>
      </c>
      <c r="B536" s="138" t="s">
        <v>1101</v>
      </c>
      <c r="C536" s="138" t="s">
        <v>327</v>
      </c>
      <c r="D536" s="138" t="s">
        <v>315</v>
      </c>
      <c r="E536" s="138" t="s">
        <v>1101</v>
      </c>
      <c r="F536" s="138"/>
      <c r="G536" s="138">
        <v>306.0</v>
      </c>
      <c r="H536" s="599" t="str">
        <f>H534+F535</f>
        <v>101114.90</v>
      </c>
      <c r="I536" s="138">
        <v>466.95</v>
      </c>
      <c r="J536" s="138">
        <v>76.72</v>
      </c>
      <c r="K536" s="138">
        <v>603.0</v>
      </c>
      <c r="L536" s="138">
        <v>301.5</v>
      </c>
      <c r="M536" s="138">
        <v>-33.0</v>
      </c>
      <c r="N536" s="138">
        <v>77.0</v>
      </c>
      <c r="O536" s="138">
        <v>44.0</v>
      </c>
      <c r="P536" s="138">
        <v>47.0</v>
      </c>
      <c r="Q536" s="138">
        <v>102.0</v>
      </c>
      <c r="R536" s="138">
        <v>149.0</v>
      </c>
      <c r="S536" s="138" t="s">
        <v>1988</v>
      </c>
      <c r="T536" s="138" t="s">
        <v>1989</v>
      </c>
      <c r="U536" s="138">
        <v>608638.677</v>
      </c>
      <c r="V536" s="138">
        <v>2639867.377</v>
      </c>
      <c r="W536" s="603"/>
      <c r="X536" s="138" t="s">
        <v>1983</v>
      </c>
      <c r="Y536" s="138" t="s">
        <v>1863</v>
      </c>
      <c r="Z536" s="605" t="s">
        <v>31</v>
      </c>
      <c r="AA536" s="629"/>
      <c r="AB536" s="629"/>
      <c r="AC536" s="629"/>
      <c r="AD536" s="630"/>
    </row>
    <row r="537" ht="24.75" customHeight="1">
      <c r="A537" s="598"/>
      <c r="B537" s="138"/>
      <c r="C537" s="138"/>
      <c r="D537" s="138"/>
      <c r="E537" s="138"/>
      <c r="F537" s="138">
        <v>297.0</v>
      </c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603" t="s">
        <v>1384</v>
      </c>
      <c r="X537" s="606"/>
      <c r="Y537" s="606"/>
      <c r="Z537" s="641"/>
      <c r="AA537" s="629"/>
      <c r="AB537" s="629"/>
      <c r="AC537" s="629"/>
      <c r="AD537" s="630"/>
    </row>
    <row r="538" ht="24.75" customHeight="1">
      <c r="A538" s="608">
        <v>265.0</v>
      </c>
      <c r="B538" s="138" t="s">
        <v>1101</v>
      </c>
      <c r="C538" s="138" t="s">
        <v>328</v>
      </c>
      <c r="D538" s="138" t="s">
        <v>15</v>
      </c>
      <c r="E538" s="138" t="s">
        <v>1101</v>
      </c>
      <c r="F538" s="138"/>
      <c r="G538" s="138" t="s">
        <v>1101</v>
      </c>
      <c r="H538" s="599" t="str">
        <f>H536+F537</f>
        <v>101411.90</v>
      </c>
      <c r="I538" s="138">
        <v>485.7</v>
      </c>
      <c r="J538" s="138">
        <v>69.5</v>
      </c>
      <c r="K538" s="138">
        <v>711.403</v>
      </c>
      <c r="L538" s="138">
        <v>355.7015</v>
      </c>
      <c r="M538" s="138">
        <v>221.0</v>
      </c>
      <c r="N538" s="138">
        <v>185.0</v>
      </c>
      <c r="O538" s="138">
        <v>406.0</v>
      </c>
      <c r="P538" s="138">
        <v>196.0</v>
      </c>
      <c r="Q538" s="138">
        <v>193.0</v>
      </c>
      <c r="R538" s="138">
        <v>389.0</v>
      </c>
      <c r="S538" s="138" t="s">
        <v>1990</v>
      </c>
      <c r="T538" s="138" t="s">
        <v>1991</v>
      </c>
      <c r="U538" s="138">
        <v>608932.287</v>
      </c>
      <c r="V538" s="138">
        <v>2639822.632</v>
      </c>
      <c r="W538" s="632" t="s">
        <v>1138</v>
      </c>
      <c r="X538" s="138" t="s">
        <v>1983</v>
      </c>
      <c r="Y538" s="138" t="s">
        <v>1863</v>
      </c>
      <c r="Z538" s="605" t="s">
        <v>31</v>
      </c>
      <c r="AA538" s="647">
        <v>0.0</v>
      </c>
      <c r="AB538" s="647">
        <v>3.0</v>
      </c>
      <c r="AC538" s="647">
        <v>2.5</v>
      </c>
      <c r="AD538" s="648">
        <v>1.0</v>
      </c>
    </row>
    <row r="539" ht="24.75" customHeight="1">
      <c r="A539" s="598"/>
      <c r="B539" s="138"/>
      <c r="C539" s="138"/>
      <c r="D539" s="138"/>
      <c r="E539" s="138"/>
      <c r="F539" s="138">
        <v>414.403</v>
      </c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603" t="s">
        <v>1992</v>
      </c>
      <c r="X539" s="606"/>
      <c r="Y539" s="606"/>
      <c r="Z539" s="641"/>
      <c r="AA539" s="629"/>
      <c r="AB539" s="629"/>
      <c r="AC539" s="629"/>
      <c r="AD539" s="630"/>
    </row>
    <row r="540" ht="24.75" customHeight="1">
      <c r="A540" s="608">
        <v>266.0</v>
      </c>
      <c r="B540" s="138" t="s">
        <v>1993</v>
      </c>
      <c r="C540" s="138" t="s">
        <v>329</v>
      </c>
      <c r="D540" s="138" t="s">
        <v>51</v>
      </c>
      <c r="E540" s="138" t="s">
        <v>1994</v>
      </c>
      <c r="F540" s="138"/>
      <c r="G540" s="138">
        <v>711.4</v>
      </c>
      <c r="H540" s="599" t="str">
        <f>H538+F539</f>
        <v>101826.31</v>
      </c>
      <c r="I540" s="138">
        <v>486.929</v>
      </c>
      <c r="J540" s="138">
        <v>70.72</v>
      </c>
      <c r="K540" s="138">
        <v>746.403</v>
      </c>
      <c r="L540" s="138">
        <v>373.2015</v>
      </c>
      <c r="M540" s="138">
        <v>230.0</v>
      </c>
      <c r="N540" s="138">
        <v>349.0</v>
      </c>
      <c r="O540" s="138">
        <v>579.0</v>
      </c>
      <c r="P540" s="138">
        <v>223.0</v>
      </c>
      <c r="Q540" s="138">
        <v>278.0</v>
      </c>
      <c r="R540" s="138">
        <v>501.0</v>
      </c>
      <c r="S540" s="138" t="s">
        <v>1995</v>
      </c>
      <c r="T540" s="138" t="s">
        <v>1996</v>
      </c>
      <c r="U540" s="138">
        <v>609341.96</v>
      </c>
      <c r="V540" s="138">
        <v>2639760.199</v>
      </c>
      <c r="W540" s="632" t="s">
        <v>1138</v>
      </c>
      <c r="X540" s="138" t="s">
        <v>1983</v>
      </c>
      <c r="Y540" s="138" t="s">
        <v>1863</v>
      </c>
      <c r="Z540" s="605" t="s">
        <v>31</v>
      </c>
      <c r="AA540" s="647">
        <v>0.5</v>
      </c>
      <c r="AB540" s="647">
        <v>0.0</v>
      </c>
      <c r="AC540" s="647">
        <v>1.0</v>
      </c>
      <c r="AD540" s="648">
        <v>1.0</v>
      </c>
    </row>
    <row r="541" ht="24.75" customHeight="1">
      <c r="A541" s="598"/>
      <c r="B541" s="138"/>
      <c r="C541" s="138"/>
      <c r="D541" s="138"/>
      <c r="E541" s="138"/>
      <c r="F541" s="138">
        <v>332.0</v>
      </c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603" t="s">
        <v>1997</v>
      </c>
      <c r="X541" s="606"/>
      <c r="Y541" s="606"/>
      <c r="Z541" s="641"/>
      <c r="AA541" s="629"/>
      <c r="AB541" s="629"/>
      <c r="AC541" s="629"/>
      <c r="AD541" s="630"/>
    </row>
    <row r="542" ht="24.75" customHeight="1">
      <c r="A542" s="608">
        <v>267.0</v>
      </c>
      <c r="B542" s="138" t="s">
        <v>1101</v>
      </c>
      <c r="C542" s="138" t="s">
        <v>334</v>
      </c>
      <c r="D542" s="138" t="s">
        <v>251</v>
      </c>
      <c r="E542" s="138" t="s">
        <v>1101</v>
      </c>
      <c r="F542" s="138"/>
      <c r="G542" s="138">
        <v>332.0</v>
      </c>
      <c r="H542" s="599" t="str">
        <f>H540+F541</f>
        <v>102158.31</v>
      </c>
      <c r="I542" s="138">
        <v>457.348</v>
      </c>
      <c r="J542" s="138">
        <v>73.72</v>
      </c>
      <c r="K542" s="138">
        <v>742.0</v>
      </c>
      <c r="L542" s="138">
        <v>371.0</v>
      </c>
      <c r="M542" s="138">
        <v>-16.0</v>
      </c>
      <c r="N542" s="138">
        <v>202.0</v>
      </c>
      <c r="O542" s="138">
        <v>186.0</v>
      </c>
      <c r="P542" s="138">
        <v>56.0</v>
      </c>
      <c r="Q542" s="138">
        <v>203.0</v>
      </c>
      <c r="R542" s="138">
        <v>259.0</v>
      </c>
      <c r="S542" s="138" t="s">
        <v>1998</v>
      </c>
      <c r="T542" s="138" t="s">
        <v>1999</v>
      </c>
      <c r="U542" s="138">
        <v>609659.036</v>
      </c>
      <c r="V542" s="138">
        <v>2639661.778</v>
      </c>
      <c r="W542" s="603"/>
      <c r="X542" s="138" t="s">
        <v>1983</v>
      </c>
      <c r="Y542" s="138" t="s">
        <v>1863</v>
      </c>
      <c r="Z542" s="605" t="s">
        <v>31</v>
      </c>
      <c r="AA542" s="629"/>
      <c r="AB542" s="629"/>
      <c r="AC542" s="629"/>
      <c r="AD542" s="630"/>
    </row>
    <row r="543" ht="24.75" customHeight="1">
      <c r="A543" s="598"/>
      <c r="B543" s="138"/>
      <c r="C543" s="138"/>
      <c r="D543" s="138"/>
      <c r="E543" s="138"/>
      <c r="F543" s="138">
        <v>410.0</v>
      </c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603" t="s">
        <v>1187</v>
      </c>
      <c r="X543" s="606"/>
      <c r="Y543" s="606"/>
      <c r="Z543" s="641"/>
      <c r="AA543" s="629"/>
      <c r="AB543" s="629"/>
      <c r="AC543" s="629"/>
      <c r="AD543" s="630"/>
    </row>
    <row r="544" ht="24.75" customHeight="1">
      <c r="A544" s="608">
        <v>268.0</v>
      </c>
      <c r="B544" s="138" t="s">
        <v>1101</v>
      </c>
      <c r="C544" s="138" t="s">
        <v>335</v>
      </c>
      <c r="D544" s="138" t="s">
        <v>35</v>
      </c>
      <c r="E544" s="138" t="s">
        <v>1101</v>
      </c>
      <c r="F544" s="138"/>
      <c r="G544" s="138" t="s">
        <v>1101</v>
      </c>
      <c r="H544" s="599" t="str">
        <f>H542+F543</f>
        <v>102568.31</v>
      </c>
      <c r="I544" s="138">
        <v>459.582</v>
      </c>
      <c r="J544" s="138">
        <v>74.0</v>
      </c>
      <c r="K544" s="138">
        <v>824.0</v>
      </c>
      <c r="L544" s="138">
        <v>412.0</v>
      </c>
      <c r="M544" s="138">
        <v>209.0</v>
      </c>
      <c r="N544" s="138">
        <v>170.0</v>
      </c>
      <c r="O544" s="138">
        <v>379.0</v>
      </c>
      <c r="P544" s="138">
        <v>208.0</v>
      </c>
      <c r="Q544" s="138">
        <v>181.0</v>
      </c>
      <c r="R544" s="138">
        <v>389.0</v>
      </c>
      <c r="S544" s="138" t="s">
        <v>2000</v>
      </c>
      <c r="T544" s="138" t="s">
        <v>2001</v>
      </c>
      <c r="U544" s="138">
        <v>610050.606</v>
      </c>
      <c r="V544" s="138">
        <v>2639540.233</v>
      </c>
      <c r="W544" s="603"/>
      <c r="X544" s="138" t="s">
        <v>1983</v>
      </c>
      <c r="Y544" s="138" t="s">
        <v>1863</v>
      </c>
      <c r="Z544" s="605" t="s">
        <v>31</v>
      </c>
      <c r="AA544" s="629"/>
      <c r="AB544" s="629"/>
      <c r="AC544" s="629"/>
      <c r="AD544" s="630"/>
    </row>
    <row r="545" ht="12.75" customHeight="1">
      <c r="A545" s="598"/>
      <c r="B545" s="138"/>
      <c r="C545" s="138"/>
      <c r="D545" s="138"/>
      <c r="E545" s="138"/>
      <c r="F545" s="138">
        <v>414.0</v>
      </c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603" t="s">
        <v>2002</v>
      </c>
      <c r="X545" s="606"/>
      <c r="Y545" s="606"/>
      <c r="Z545" s="641"/>
      <c r="AA545" s="629"/>
      <c r="AB545" s="629"/>
      <c r="AC545" s="629"/>
      <c r="AD545" s="630"/>
    </row>
    <row r="546" ht="24.75" customHeight="1">
      <c r="A546" s="608">
        <v>269.0</v>
      </c>
      <c r="B546" s="138" t="s">
        <v>1101</v>
      </c>
      <c r="C546" s="138" t="s">
        <v>336</v>
      </c>
      <c r="D546" s="138" t="s">
        <v>34</v>
      </c>
      <c r="E546" s="138" t="s">
        <v>1101</v>
      </c>
      <c r="F546" s="138"/>
      <c r="G546" s="138" t="s">
        <v>1101</v>
      </c>
      <c r="H546" s="599" t="str">
        <f>H544+F545</f>
        <v>102982.31</v>
      </c>
      <c r="I546" s="138">
        <v>465.57</v>
      </c>
      <c r="J546" s="138">
        <v>75.5</v>
      </c>
      <c r="K546" s="138">
        <v>821.0</v>
      </c>
      <c r="L546" s="138">
        <v>410.5</v>
      </c>
      <c r="M546" s="138">
        <v>245.0</v>
      </c>
      <c r="N546" s="138">
        <v>235.0</v>
      </c>
      <c r="O546" s="138">
        <v>480.0</v>
      </c>
      <c r="P546" s="138">
        <v>234.0</v>
      </c>
      <c r="Q546" s="138">
        <v>226.0</v>
      </c>
      <c r="R546" s="138">
        <v>460.0</v>
      </c>
      <c r="S546" s="138" t="s">
        <v>2003</v>
      </c>
      <c r="T546" s="138" t="s">
        <v>2004</v>
      </c>
      <c r="U546" s="138">
        <v>610445.996</v>
      </c>
      <c r="V546" s="138">
        <v>2639417.503</v>
      </c>
      <c r="W546" s="603"/>
      <c r="X546" s="138" t="s">
        <v>1983</v>
      </c>
      <c r="Y546" s="138" t="s">
        <v>1863</v>
      </c>
      <c r="Z546" s="605" t="s">
        <v>31</v>
      </c>
      <c r="AA546" s="629"/>
      <c r="AB546" s="629"/>
      <c r="AC546" s="629"/>
      <c r="AD546" s="630"/>
    </row>
    <row r="547" ht="12.75" customHeight="1">
      <c r="A547" s="598"/>
      <c r="B547" s="138"/>
      <c r="C547" s="138"/>
      <c r="D547" s="138"/>
      <c r="E547" s="138"/>
      <c r="F547" s="138">
        <v>407.0</v>
      </c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603" t="s">
        <v>2005</v>
      </c>
      <c r="X547" s="606"/>
      <c r="Y547" s="606"/>
      <c r="Z547" s="641"/>
      <c r="AA547" s="629"/>
      <c r="AB547" s="629"/>
      <c r="AC547" s="629"/>
      <c r="AD547" s="630"/>
    </row>
    <row r="548" ht="24.75" customHeight="1">
      <c r="A548" s="608">
        <v>270.0</v>
      </c>
      <c r="B548" s="138" t="s">
        <v>1101</v>
      </c>
      <c r="C548" s="138" t="s">
        <v>337</v>
      </c>
      <c r="D548" s="138" t="s">
        <v>33</v>
      </c>
      <c r="E548" s="138" t="s">
        <v>1101</v>
      </c>
      <c r="F548" s="138"/>
      <c r="G548" s="138" t="s">
        <v>1101</v>
      </c>
      <c r="H548" s="599" t="str">
        <f>H546+F547</f>
        <v>103389.31</v>
      </c>
      <c r="I548" s="138">
        <v>462.423</v>
      </c>
      <c r="J548" s="138">
        <v>72.5</v>
      </c>
      <c r="K548" s="138">
        <v>828.884</v>
      </c>
      <c r="L548" s="138">
        <v>414.442</v>
      </c>
      <c r="M548" s="138">
        <v>173.0</v>
      </c>
      <c r="N548" s="138">
        <v>178.0</v>
      </c>
      <c r="O548" s="138">
        <v>351.0</v>
      </c>
      <c r="P548" s="138">
        <v>182.0</v>
      </c>
      <c r="Q548" s="138">
        <v>188.0</v>
      </c>
      <c r="R548" s="138">
        <v>370.0</v>
      </c>
      <c r="S548" s="138" t="s">
        <v>2006</v>
      </c>
      <c r="T548" s="138" t="s">
        <v>2007</v>
      </c>
      <c r="U548" s="138">
        <v>610834.701</v>
      </c>
      <c r="V548" s="138">
        <v>2639296.847</v>
      </c>
      <c r="W548" s="603"/>
      <c r="X548" s="138" t="s">
        <v>1983</v>
      </c>
      <c r="Y548" s="138" t="s">
        <v>1863</v>
      </c>
      <c r="Z548" s="605" t="s">
        <v>31</v>
      </c>
      <c r="AA548" s="629"/>
      <c r="AB548" s="629"/>
      <c r="AC548" s="629"/>
      <c r="AD548" s="630"/>
    </row>
    <row r="549" ht="24.75" customHeight="1">
      <c r="A549" s="598"/>
      <c r="B549" s="138"/>
      <c r="C549" s="138"/>
      <c r="D549" s="138"/>
      <c r="E549" s="138"/>
      <c r="F549" s="138">
        <v>421.884</v>
      </c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603" t="s">
        <v>2008</v>
      </c>
      <c r="X549" s="606"/>
      <c r="Y549" s="606"/>
      <c r="Z549" s="641"/>
      <c r="AA549" s="629"/>
      <c r="AB549" s="629"/>
      <c r="AC549" s="629"/>
      <c r="AD549" s="630"/>
    </row>
    <row r="550" ht="24.75" customHeight="1">
      <c r="A550" s="608">
        <v>271.0</v>
      </c>
      <c r="B550" s="138" t="s">
        <v>2009</v>
      </c>
      <c r="C550" s="138" t="s">
        <v>338</v>
      </c>
      <c r="D550" s="138" t="s">
        <v>249</v>
      </c>
      <c r="E550" s="138" t="s">
        <v>2010</v>
      </c>
      <c r="F550" s="138"/>
      <c r="G550" s="138">
        <v>1652.88</v>
      </c>
      <c r="H550" s="599" t="str">
        <f>H548+F549</f>
        <v>103811.19</v>
      </c>
      <c r="I550" s="138">
        <v>463.252</v>
      </c>
      <c r="J550" s="138">
        <v>76.72</v>
      </c>
      <c r="K550" s="138">
        <v>954.078</v>
      </c>
      <c r="L550" s="138">
        <v>477.039</v>
      </c>
      <c r="M550" s="138">
        <v>245.0</v>
      </c>
      <c r="N550" s="138">
        <v>254.0</v>
      </c>
      <c r="O550" s="138">
        <v>499.0</v>
      </c>
      <c r="P550" s="138">
        <v>236.0</v>
      </c>
      <c r="Q550" s="138">
        <v>257.0</v>
      </c>
      <c r="R550" s="138">
        <v>493.0</v>
      </c>
      <c r="S550" s="138" t="s">
        <v>2011</v>
      </c>
      <c r="T550" s="138" t="s">
        <v>2012</v>
      </c>
      <c r="U550" s="138">
        <v>611237.62</v>
      </c>
      <c r="V550" s="138">
        <v>2639171.78</v>
      </c>
      <c r="W550" s="632" t="s">
        <v>2013</v>
      </c>
      <c r="X550" s="138" t="s">
        <v>1983</v>
      </c>
      <c r="Y550" s="138" t="s">
        <v>1863</v>
      </c>
      <c r="Z550" s="605" t="s">
        <v>31</v>
      </c>
      <c r="AA550" s="629"/>
      <c r="AB550" s="629"/>
      <c r="AC550" s="629"/>
      <c r="AD550" s="634"/>
    </row>
    <row r="551" ht="24.75" customHeight="1">
      <c r="A551" s="598"/>
      <c r="B551" s="617"/>
      <c r="C551" s="138"/>
      <c r="D551" s="138"/>
      <c r="E551" s="138"/>
      <c r="F551" s="138">
        <v>532.192</v>
      </c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619" t="s">
        <v>2014</v>
      </c>
      <c r="X551" s="606"/>
      <c r="Y551" s="606"/>
      <c r="Z551" s="640"/>
      <c r="AA551" s="625"/>
      <c r="AB551" s="625"/>
      <c r="AC551" s="625"/>
      <c r="AD551" s="626"/>
    </row>
    <row r="552" ht="24.75" customHeight="1">
      <c r="A552" s="608">
        <v>272.0</v>
      </c>
      <c r="B552" s="617" t="s">
        <v>2015</v>
      </c>
      <c r="C552" s="617" t="s">
        <v>339</v>
      </c>
      <c r="D552" s="138" t="s">
        <v>169</v>
      </c>
      <c r="E552" s="617" t="s">
        <v>2016</v>
      </c>
      <c r="F552" s="142"/>
      <c r="G552" s="142" t="str">
        <f>F551</f>
        <v>532</v>
      </c>
      <c r="H552" s="609" t="str">
        <f>H550+F551</f>
        <v>104343.38</v>
      </c>
      <c r="I552" s="617">
        <v>455.45</v>
      </c>
      <c r="J552" s="617">
        <v>88.72</v>
      </c>
      <c r="K552" s="638" t="str">
        <f>F551+F553</f>
        <v>947</v>
      </c>
      <c r="L552" s="616" t="str">
        <f>K552/2</f>
        <v>473.596</v>
      </c>
      <c r="M552" s="617">
        <v>284.0</v>
      </c>
      <c r="N552" s="617">
        <v>314.0</v>
      </c>
      <c r="O552" s="617">
        <v>598.0</v>
      </c>
      <c r="P552" s="617">
        <v>282.0</v>
      </c>
      <c r="Q552" s="617">
        <v>280.0</v>
      </c>
      <c r="R552" s="617">
        <v>562.0</v>
      </c>
      <c r="S552" s="617" t="s">
        <v>2017</v>
      </c>
      <c r="T552" s="617" t="s">
        <v>2018</v>
      </c>
      <c r="U552" s="618">
        <v>611681.464</v>
      </c>
      <c r="V552" s="618">
        <v>2638878.126</v>
      </c>
      <c r="W552" s="623" t="s">
        <v>1354</v>
      </c>
      <c r="X552" s="138" t="s">
        <v>1983</v>
      </c>
      <c r="Y552" s="138" t="s">
        <v>1863</v>
      </c>
      <c r="Z552" s="620" t="s">
        <v>31</v>
      </c>
      <c r="AA552" s="647">
        <v>0.0</v>
      </c>
      <c r="AB552" s="647">
        <v>1.0</v>
      </c>
      <c r="AC552" s="647">
        <v>1.0</v>
      </c>
      <c r="AD552" s="648">
        <v>2.5</v>
      </c>
    </row>
    <row r="553" ht="24.75" customHeight="1">
      <c r="A553" s="598"/>
      <c r="B553" s="617"/>
      <c r="C553" s="617"/>
      <c r="D553" s="617"/>
      <c r="E553" s="617"/>
      <c r="F553" s="142">
        <v>415.0</v>
      </c>
      <c r="G553" s="617"/>
      <c r="H553" s="600"/>
      <c r="I553" s="617"/>
      <c r="J553" s="617"/>
      <c r="K553" s="616"/>
      <c r="L553" s="616"/>
      <c r="M553" s="617"/>
      <c r="N553" s="617"/>
      <c r="O553" s="617"/>
      <c r="P553" s="617"/>
      <c r="Q553" s="617"/>
      <c r="R553" s="617"/>
      <c r="S553" s="617"/>
      <c r="T553" s="617"/>
      <c r="U553" s="618"/>
      <c r="V553" s="618"/>
      <c r="W553" s="619" t="s">
        <v>2019</v>
      </c>
      <c r="X553" s="606"/>
      <c r="Y553" s="606"/>
      <c r="Z553" s="640"/>
      <c r="AA553" s="625"/>
      <c r="AB553" s="625"/>
      <c r="AC553" s="625"/>
      <c r="AD553" s="626"/>
    </row>
    <row r="554" ht="24.75" customHeight="1">
      <c r="A554" s="608">
        <v>273.0</v>
      </c>
      <c r="B554" s="617" t="s">
        <v>1101</v>
      </c>
      <c r="C554" s="617" t="s">
        <v>340</v>
      </c>
      <c r="D554" s="617" t="s">
        <v>14</v>
      </c>
      <c r="E554" s="617" t="s">
        <v>1101</v>
      </c>
      <c r="F554" s="142"/>
      <c r="G554" s="617" t="s">
        <v>1101</v>
      </c>
      <c r="H554" s="609" t="str">
        <f>H552+F553</f>
        <v>104758.38</v>
      </c>
      <c r="I554" s="617">
        <v>444.124</v>
      </c>
      <c r="J554" s="616">
        <v>81.5</v>
      </c>
      <c r="K554" s="137">
        <v>764.861</v>
      </c>
      <c r="L554" s="599">
        <v>382.4305</v>
      </c>
      <c r="M554" s="138">
        <v>102.0</v>
      </c>
      <c r="N554" s="138">
        <v>221.0</v>
      </c>
      <c r="O554" s="138">
        <v>323.0</v>
      </c>
      <c r="P554" s="138">
        <v>137.0</v>
      </c>
      <c r="Q554" s="138">
        <v>207.0</v>
      </c>
      <c r="R554" s="138">
        <v>344.0</v>
      </c>
      <c r="S554" s="138" t="s">
        <v>2020</v>
      </c>
      <c r="T554" s="138" t="s">
        <v>2021</v>
      </c>
      <c r="U554" s="601">
        <v>612091.074</v>
      </c>
      <c r="V554" s="601">
        <v>2638811.456</v>
      </c>
      <c r="W554" s="616"/>
      <c r="X554" s="138" t="s">
        <v>2022</v>
      </c>
      <c r="Y554" s="138" t="s">
        <v>2023</v>
      </c>
      <c r="Z554" s="620" t="s">
        <v>31</v>
      </c>
      <c r="AA554" s="625"/>
      <c r="AB554" s="625"/>
      <c r="AC554" s="625"/>
      <c r="AD554" s="626"/>
    </row>
    <row r="555" ht="24.75" customHeight="1">
      <c r="A555" s="598"/>
      <c r="B555" s="617"/>
      <c r="C555" s="617"/>
      <c r="D555" s="617"/>
      <c r="E555" s="617"/>
      <c r="F555" s="142">
        <v>350.0</v>
      </c>
      <c r="G555" s="617"/>
      <c r="H555" s="600"/>
      <c r="I555" s="617"/>
      <c r="J555" s="617"/>
      <c r="K555" s="137"/>
      <c r="L555" s="599"/>
      <c r="M555" s="138"/>
      <c r="N555" s="138"/>
      <c r="O555" s="138"/>
      <c r="P555" s="138"/>
      <c r="Q555" s="138"/>
      <c r="R555" s="138"/>
      <c r="S555" s="138"/>
      <c r="T555" s="138"/>
      <c r="U555" s="601"/>
      <c r="V555" s="601"/>
      <c r="W555" s="619" t="s">
        <v>2024</v>
      </c>
      <c r="X555" s="606"/>
      <c r="Y555" s="606"/>
      <c r="Z555" s="640"/>
      <c r="AA555" s="625"/>
      <c r="AB555" s="625"/>
      <c r="AC555" s="625"/>
      <c r="AD555" s="626"/>
    </row>
    <row r="556" ht="24.75" customHeight="1">
      <c r="A556" s="608">
        <v>274.0</v>
      </c>
      <c r="B556" s="617" t="s">
        <v>2025</v>
      </c>
      <c r="C556" s="617" t="s">
        <v>341</v>
      </c>
      <c r="D556" s="138" t="s">
        <v>332</v>
      </c>
      <c r="E556" s="617" t="s">
        <v>2026</v>
      </c>
      <c r="F556" s="142"/>
      <c r="G556" s="638" t="str">
        <f>SUM(F553:F555)</f>
        <v>765</v>
      </c>
      <c r="H556" s="609" t="str">
        <f>H554+F555</f>
        <v>105108.38</v>
      </c>
      <c r="I556" s="617">
        <v>439.64</v>
      </c>
      <c r="J556" s="138">
        <v>70.72</v>
      </c>
      <c r="K556" s="137">
        <v>598.874</v>
      </c>
      <c r="L556" s="599">
        <v>299.437</v>
      </c>
      <c r="M556" s="138">
        <v>129.0</v>
      </c>
      <c r="N556" s="138">
        <v>121.0</v>
      </c>
      <c r="O556" s="138">
        <v>250.0</v>
      </c>
      <c r="P556" s="138">
        <v>144.0</v>
      </c>
      <c r="Q556" s="138">
        <v>123.0</v>
      </c>
      <c r="R556" s="138">
        <v>267.0</v>
      </c>
      <c r="S556" s="138" t="s">
        <v>2027</v>
      </c>
      <c r="T556" s="138" t="s">
        <v>2028</v>
      </c>
      <c r="U556" s="601">
        <v>612436.39</v>
      </c>
      <c r="V556" s="601">
        <v>2638755.25</v>
      </c>
      <c r="W556" s="616"/>
      <c r="X556" s="138" t="s">
        <v>2022</v>
      </c>
      <c r="Y556" s="138" t="s">
        <v>2023</v>
      </c>
      <c r="Z556" s="620" t="s">
        <v>31</v>
      </c>
      <c r="AA556" s="625"/>
      <c r="AB556" s="625"/>
      <c r="AC556" s="625"/>
      <c r="AD556" s="626"/>
    </row>
    <row r="557" ht="24.75" customHeight="1">
      <c r="A557" s="598"/>
      <c r="B557" s="617"/>
      <c r="C557" s="617"/>
      <c r="D557" s="138"/>
      <c r="E557" s="617"/>
      <c r="F557" s="142">
        <v>249.013</v>
      </c>
      <c r="G557" s="617"/>
      <c r="H557" s="600"/>
      <c r="I557" s="617"/>
      <c r="J557" s="617"/>
      <c r="K557" s="137"/>
      <c r="L557" s="599"/>
      <c r="M557" s="138"/>
      <c r="N557" s="138"/>
      <c r="O557" s="138"/>
      <c r="P557" s="138"/>
      <c r="Q557" s="138"/>
      <c r="R557" s="138"/>
      <c r="S557" s="138"/>
      <c r="T557" s="138"/>
      <c r="U557" s="601"/>
      <c r="V557" s="601"/>
      <c r="W557" s="623" t="s">
        <v>2029</v>
      </c>
      <c r="X557" s="606"/>
      <c r="Y557" s="606"/>
      <c r="Z557" s="640"/>
      <c r="AA557" s="625"/>
      <c r="AB557" s="625"/>
      <c r="AC557" s="625"/>
      <c r="AD557" s="626"/>
    </row>
    <row r="558" ht="24.75" customHeight="1">
      <c r="A558" s="608">
        <v>275.0</v>
      </c>
      <c r="B558" s="617" t="s">
        <v>2030</v>
      </c>
      <c r="C558" s="617" t="s">
        <v>342</v>
      </c>
      <c r="D558" s="138" t="s">
        <v>167</v>
      </c>
      <c r="E558" s="617" t="s">
        <v>2031</v>
      </c>
      <c r="F558" s="142"/>
      <c r="G558" s="142" t="str">
        <f>F557</f>
        <v>249</v>
      </c>
      <c r="H558" s="609" t="str">
        <f>H556+F557</f>
        <v>105357.40</v>
      </c>
      <c r="I558" s="617">
        <v>436.98</v>
      </c>
      <c r="J558" s="138">
        <v>70.72</v>
      </c>
      <c r="K558" s="137">
        <v>600.013</v>
      </c>
      <c r="L558" s="599">
        <v>300.0065</v>
      </c>
      <c r="M558" s="138">
        <v>128.0</v>
      </c>
      <c r="N558" s="138">
        <v>176.0</v>
      </c>
      <c r="O558" s="138">
        <v>304.0</v>
      </c>
      <c r="P558" s="138">
        <v>127.0</v>
      </c>
      <c r="Q558" s="138">
        <v>176.0</v>
      </c>
      <c r="R558" s="138">
        <v>303.0</v>
      </c>
      <c r="S558" s="138" t="s">
        <v>2032</v>
      </c>
      <c r="T558" s="138" t="s">
        <v>2033</v>
      </c>
      <c r="U558" s="601">
        <v>612639.11</v>
      </c>
      <c r="V558" s="601">
        <v>2638610.64</v>
      </c>
      <c r="W558" s="616"/>
      <c r="X558" s="138" t="s">
        <v>2022</v>
      </c>
      <c r="Y558" s="138" t="s">
        <v>2023</v>
      </c>
      <c r="Z558" s="620" t="s">
        <v>31</v>
      </c>
      <c r="AA558" s="625"/>
      <c r="AB558" s="625"/>
      <c r="AC558" s="625"/>
      <c r="AD558" s="626"/>
    </row>
    <row r="559" ht="24.75" customHeight="1">
      <c r="A559" s="598"/>
      <c r="B559" s="617"/>
      <c r="C559" s="617"/>
      <c r="D559" s="617"/>
      <c r="E559" s="617"/>
      <c r="F559" s="142">
        <v>351.0</v>
      </c>
      <c r="G559" s="617"/>
      <c r="H559" s="600"/>
      <c r="I559" s="617"/>
      <c r="J559" s="617"/>
      <c r="K559" s="137"/>
      <c r="L559" s="599"/>
      <c r="M559" s="138"/>
      <c r="N559" s="138"/>
      <c r="O559" s="138"/>
      <c r="P559" s="138"/>
      <c r="Q559" s="138"/>
      <c r="R559" s="138"/>
      <c r="S559" s="138"/>
      <c r="T559" s="138"/>
      <c r="U559" s="601"/>
      <c r="V559" s="601"/>
      <c r="W559" s="619" t="s">
        <v>2034</v>
      </c>
      <c r="X559" s="606"/>
      <c r="Y559" s="606"/>
      <c r="Z559" s="640"/>
      <c r="AA559" s="625"/>
      <c r="AB559" s="625"/>
      <c r="AC559" s="625"/>
      <c r="AD559" s="626"/>
    </row>
    <row r="560" ht="24.75" customHeight="1">
      <c r="A560" s="608">
        <v>276.0</v>
      </c>
      <c r="B560" s="617" t="s">
        <v>1101</v>
      </c>
      <c r="C560" s="617" t="s">
        <v>343</v>
      </c>
      <c r="D560" s="617" t="s">
        <v>12</v>
      </c>
      <c r="E560" s="617" t="s">
        <v>1101</v>
      </c>
      <c r="F560" s="142"/>
      <c r="G560" s="617" t="s">
        <v>1101</v>
      </c>
      <c r="H560" s="609" t="str">
        <f>H558+F559</f>
        <v>105708.40</v>
      </c>
      <c r="I560" s="617">
        <v>439.892</v>
      </c>
      <c r="J560" s="616">
        <v>78.5</v>
      </c>
      <c r="K560" s="137">
        <v>658.26</v>
      </c>
      <c r="L560" s="599">
        <v>329.13</v>
      </c>
      <c r="M560" s="138">
        <v>175.0</v>
      </c>
      <c r="N560" s="138">
        <v>99.0</v>
      </c>
      <c r="O560" s="138">
        <v>274.0</v>
      </c>
      <c r="P560" s="138">
        <v>176.0</v>
      </c>
      <c r="Q560" s="138">
        <v>121.0</v>
      </c>
      <c r="R560" s="138">
        <v>297.0</v>
      </c>
      <c r="S560" s="138" t="s">
        <v>2035</v>
      </c>
      <c r="T560" s="138" t="s">
        <v>2036</v>
      </c>
      <c r="U560" s="601">
        <v>612934.948</v>
      </c>
      <c r="V560" s="601">
        <v>2638421.745</v>
      </c>
      <c r="W560" s="616"/>
      <c r="X560" s="138" t="s">
        <v>2022</v>
      </c>
      <c r="Y560" s="138" t="s">
        <v>2023</v>
      </c>
      <c r="Z560" s="620" t="s">
        <v>31</v>
      </c>
      <c r="AA560" s="625"/>
      <c r="AB560" s="625"/>
      <c r="AC560" s="625"/>
      <c r="AD560" s="626"/>
    </row>
    <row r="561" ht="24.75" customHeight="1">
      <c r="A561" s="598"/>
      <c r="B561" s="617"/>
      <c r="C561" s="617"/>
      <c r="D561" s="617"/>
      <c r="E561" s="617"/>
      <c r="F561" s="142">
        <v>307.261</v>
      </c>
      <c r="G561" s="617"/>
      <c r="H561" s="600"/>
      <c r="I561" s="617"/>
      <c r="J561" s="617"/>
      <c r="K561" s="616"/>
      <c r="L561" s="616"/>
      <c r="M561" s="617"/>
      <c r="N561" s="617"/>
      <c r="O561" s="617"/>
      <c r="P561" s="617"/>
      <c r="Q561" s="617"/>
      <c r="R561" s="617"/>
      <c r="S561" s="617"/>
      <c r="T561" s="617"/>
      <c r="U561" s="618"/>
      <c r="V561" s="618"/>
      <c r="W561" s="619" t="s">
        <v>2037</v>
      </c>
      <c r="X561" s="606"/>
      <c r="Y561" s="606"/>
      <c r="Z561" s="640"/>
      <c r="AA561" s="625"/>
      <c r="AB561" s="625"/>
      <c r="AC561" s="625"/>
      <c r="AD561" s="626"/>
    </row>
    <row r="562" ht="24.75" customHeight="1">
      <c r="A562" s="608">
        <v>277.0</v>
      </c>
      <c r="B562" s="617" t="s">
        <v>2038</v>
      </c>
      <c r="C562" s="617" t="s">
        <v>344</v>
      </c>
      <c r="D562" s="617" t="s">
        <v>333</v>
      </c>
      <c r="E562" s="617" t="s">
        <v>2039</v>
      </c>
      <c r="F562" s="142"/>
      <c r="G562" s="638" t="str">
        <f>SUM(F559:F561)</f>
        <v>658</v>
      </c>
      <c r="H562" s="609" t="str">
        <f>H560+F561</f>
        <v>106015.66</v>
      </c>
      <c r="I562" s="617">
        <v>441.3</v>
      </c>
      <c r="J562" s="617">
        <v>82.72</v>
      </c>
      <c r="K562" s="638" t="str">
        <f>F561+F563</f>
        <v>558</v>
      </c>
      <c r="L562" s="616" t="str">
        <f>K562/2</f>
        <v>278.909</v>
      </c>
      <c r="M562" s="617">
        <v>209.0</v>
      </c>
      <c r="N562" s="617">
        <v>182.0</v>
      </c>
      <c r="O562" s="617">
        <v>391.0</v>
      </c>
      <c r="P562" s="617">
        <v>187.0</v>
      </c>
      <c r="Q562" s="617">
        <v>152.0</v>
      </c>
      <c r="R562" s="617">
        <v>339.0</v>
      </c>
      <c r="S562" s="617" t="s">
        <v>2040</v>
      </c>
      <c r="T562" s="617" t="s">
        <v>2041</v>
      </c>
      <c r="U562" s="618">
        <v>613193.92</v>
      </c>
      <c r="V562" s="618">
        <v>2638256.39</v>
      </c>
      <c r="W562" s="616"/>
      <c r="X562" s="138" t="s">
        <v>2022</v>
      </c>
      <c r="Y562" s="138" t="s">
        <v>2023</v>
      </c>
      <c r="Z562" s="620" t="s">
        <v>31</v>
      </c>
      <c r="AA562" s="625"/>
      <c r="AB562" s="625"/>
      <c r="AC562" s="625"/>
      <c r="AD562" s="626"/>
    </row>
    <row r="563" ht="12.75" customHeight="1">
      <c r="A563" s="598"/>
      <c r="B563" s="617"/>
      <c r="C563" s="617"/>
      <c r="D563" s="617"/>
      <c r="E563" s="617"/>
      <c r="F563" s="142">
        <v>250.557</v>
      </c>
      <c r="G563" s="617"/>
      <c r="H563" s="600"/>
      <c r="I563" s="617"/>
      <c r="J563" s="617"/>
      <c r="K563" s="616"/>
      <c r="L563" s="616"/>
      <c r="M563" s="617"/>
      <c r="N563" s="617"/>
      <c r="O563" s="617"/>
      <c r="P563" s="617"/>
      <c r="Q563" s="617"/>
      <c r="R563" s="617"/>
      <c r="S563" s="617"/>
      <c r="T563" s="617"/>
      <c r="U563" s="618"/>
      <c r="V563" s="618"/>
      <c r="W563" s="623" t="s">
        <v>2042</v>
      </c>
      <c r="X563" s="606"/>
      <c r="Y563" s="606"/>
      <c r="Z563" s="640"/>
      <c r="AA563" s="625"/>
      <c r="AB563" s="625"/>
      <c r="AC563" s="625"/>
      <c r="AD563" s="626"/>
    </row>
    <row r="564" ht="24.75" customHeight="1">
      <c r="A564" s="608">
        <v>278.0</v>
      </c>
      <c r="B564" s="617" t="s">
        <v>2043</v>
      </c>
      <c r="C564" s="617" t="s">
        <v>345</v>
      </c>
      <c r="D564" s="617" t="s">
        <v>148</v>
      </c>
      <c r="E564" s="617" t="s">
        <v>2044</v>
      </c>
      <c r="F564" s="142"/>
      <c r="G564" s="142" t="str">
        <f>F563</f>
        <v>251</v>
      </c>
      <c r="H564" s="609" t="str">
        <f>H562+F563</f>
        <v>106266.21</v>
      </c>
      <c r="I564" s="617">
        <v>436.106</v>
      </c>
      <c r="J564" s="617">
        <v>82.72</v>
      </c>
      <c r="K564" s="638" t="str">
        <f>F563+F565</f>
        <v>674</v>
      </c>
      <c r="L564" s="616" t="str">
        <f>K564/2</f>
        <v>336.7785</v>
      </c>
      <c r="M564" s="617">
        <v>69.0</v>
      </c>
      <c r="N564" s="617">
        <v>324.0</v>
      </c>
      <c r="O564" s="617">
        <v>393.0</v>
      </c>
      <c r="P564" s="617">
        <v>99.0</v>
      </c>
      <c r="Q564" s="617">
        <v>286.0</v>
      </c>
      <c r="R564" s="617">
        <v>385.0</v>
      </c>
      <c r="S564" s="617" t="s">
        <v>2045</v>
      </c>
      <c r="T564" s="617" t="s">
        <v>2046</v>
      </c>
      <c r="U564" s="618">
        <v>613410.22</v>
      </c>
      <c r="V564" s="618">
        <v>2638129.927</v>
      </c>
      <c r="W564" s="616"/>
      <c r="X564" s="138" t="s">
        <v>2022</v>
      </c>
      <c r="Y564" s="138" t="s">
        <v>2023</v>
      </c>
      <c r="Z564" s="620" t="s">
        <v>31</v>
      </c>
      <c r="AA564" s="625"/>
      <c r="AB564" s="625"/>
      <c r="AC564" s="625"/>
      <c r="AD564" s="626"/>
    </row>
    <row r="565" ht="24.75" customHeight="1">
      <c r="A565" s="598"/>
      <c r="B565" s="617"/>
      <c r="C565" s="617"/>
      <c r="D565" s="617"/>
      <c r="E565" s="617"/>
      <c r="F565" s="142">
        <v>423.0</v>
      </c>
      <c r="G565" s="617"/>
      <c r="H565" s="600"/>
      <c r="I565" s="617"/>
      <c r="J565" s="617"/>
      <c r="K565" s="616"/>
      <c r="L565" s="616"/>
      <c r="M565" s="617"/>
      <c r="N565" s="617"/>
      <c r="O565" s="617"/>
      <c r="P565" s="617"/>
      <c r="Q565" s="617"/>
      <c r="R565" s="617"/>
      <c r="S565" s="617"/>
      <c r="T565" s="617"/>
      <c r="U565" s="618"/>
      <c r="V565" s="618"/>
      <c r="W565" s="619" t="s">
        <v>1240</v>
      </c>
      <c r="X565" s="606"/>
      <c r="Y565" s="606"/>
      <c r="Z565" s="640"/>
      <c r="AA565" s="625"/>
      <c r="AB565" s="625"/>
      <c r="AC565" s="625"/>
      <c r="AD565" s="626"/>
    </row>
    <row r="566" ht="24.75" customHeight="1">
      <c r="A566" s="608">
        <v>279.0</v>
      </c>
      <c r="B566" s="617" t="s">
        <v>1101</v>
      </c>
      <c r="C566" s="617" t="s">
        <v>346</v>
      </c>
      <c r="D566" s="617" t="s">
        <v>15</v>
      </c>
      <c r="E566" s="617" t="s">
        <v>1101</v>
      </c>
      <c r="F566" s="142"/>
      <c r="G566" s="617" t="s">
        <v>1101</v>
      </c>
      <c r="H566" s="609" t="str">
        <f>H564+F565</f>
        <v>106689.21</v>
      </c>
      <c r="I566" s="617">
        <v>429.568</v>
      </c>
      <c r="J566" s="616">
        <v>69.5</v>
      </c>
      <c r="K566" s="638" t="str">
        <f>F565+F567</f>
        <v>762</v>
      </c>
      <c r="L566" s="616" t="str">
        <f>K566/2</f>
        <v>381</v>
      </c>
      <c r="M566" s="617">
        <v>100.0</v>
      </c>
      <c r="N566" s="617">
        <v>163.0</v>
      </c>
      <c r="O566" s="617">
        <v>263.0</v>
      </c>
      <c r="P566" s="617">
        <v>139.0</v>
      </c>
      <c r="Q566" s="617">
        <v>166.0</v>
      </c>
      <c r="R566" s="617">
        <v>305.0</v>
      </c>
      <c r="S566" s="617" t="s">
        <v>2047</v>
      </c>
      <c r="T566" s="617" t="s">
        <v>2048</v>
      </c>
      <c r="U566" s="618">
        <v>613831.075</v>
      </c>
      <c r="V566" s="618">
        <v>2638087.383</v>
      </c>
      <c r="W566" s="616"/>
      <c r="X566" s="138" t="s">
        <v>2022</v>
      </c>
      <c r="Y566" s="138" t="s">
        <v>2023</v>
      </c>
      <c r="Z566" s="620" t="s">
        <v>31</v>
      </c>
      <c r="AA566" s="625"/>
      <c r="AB566" s="625"/>
      <c r="AC566" s="625"/>
      <c r="AD566" s="626"/>
    </row>
    <row r="567" ht="24.75" customHeight="1">
      <c r="A567" s="598"/>
      <c r="B567" s="617"/>
      <c r="C567" s="617"/>
      <c r="D567" s="617"/>
      <c r="E567" s="617"/>
      <c r="F567" s="142">
        <v>339.0</v>
      </c>
      <c r="G567" s="617"/>
      <c r="H567" s="600"/>
      <c r="I567" s="617"/>
      <c r="J567" s="617"/>
      <c r="K567" s="616"/>
      <c r="L567" s="616"/>
      <c r="M567" s="617"/>
      <c r="N567" s="617"/>
      <c r="O567" s="617"/>
      <c r="P567" s="617"/>
      <c r="Q567" s="617"/>
      <c r="R567" s="617"/>
      <c r="S567" s="617"/>
      <c r="T567" s="617"/>
      <c r="U567" s="618"/>
      <c r="V567" s="618"/>
      <c r="W567" s="619" t="s">
        <v>2049</v>
      </c>
      <c r="X567" s="606"/>
      <c r="Y567" s="606"/>
      <c r="Z567" s="640"/>
      <c r="AA567" s="625"/>
      <c r="AB567" s="625"/>
      <c r="AC567" s="625"/>
      <c r="AD567" s="626"/>
    </row>
    <row r="568" ht="24.75" customHeight="1">
      <c r="A568" s="608">
        <v>280.0</v>
      </c>
      <c r="B568" s="617" t="s">
        <v>1101</v>
      </c>
      <c r="C568" s="617" t="s">
        <v>347</v>
      </c>
      <c r="D568" s="617" t="s">
        <v>15</v>
      </c>
      <c r="E568" s="617" t="s">
        <v>1101</v>
      </c>
      <c r="F568" s="142"/>
      <c r="G568" s="617" t="s">
        <v>1101</v>
      </c>
      <c r="H568" s="609" t="str">
        <f>H566+F567</f>
        <v>107028.21</v>
      </c>
      <c r="I568" s="617">
        <v>430.538</v>
      </c>
      <c r="J568" s="616">
        <v>69.5</v>
      </c>
      <c r="K568" s="638" t="str">
        <f>F567+F569</f>
        <v>679</v>
      </c>
      <c r="L568" s="616" t="str">
        <f>K568/2</f>
        <v>339.5</v>
      </c>
      <c r="M568" s="617">
        <v>176.0</v>
      </c>
      <c r="N568" s="617">
        <v>194.0</v>
      </c>
      <c r="O568" s="617">
        <v>370.0</v>
      </c>
      <c r="P568" s="617">
        <v>174.0</v>
      </c>
      <c r="Q568" s="617">
        <v>186.0</v>
      </c>
      <c r="R568" s="617">
        <v>360.0</v>
      </c>
      <c r="S568" s="617" t="s">
        <v>2050</v>
      </c>
      <c r="T568" s="617" t="s">
        <v>2051</v>
      </c>
      <c r="U568" s="618">
        <v>614168.356</v>
      </c>
      <c r="V568" s="618">
        <v>2638053.288</v>
      </c>
      <c r="W568" s="616"/>
      <c r="X568" s="138" t="s">
        <v>2022</v>
      </c>
      <c r="Y568" s="138" t="s">
        <v>2023</v>
      </c>
      <c r="Z568" s="620" t="s">
        <v>31</v>
      </c>
      <c r="AA568" s="625"/>
      <c r="AB568" s="625"/>
      <c r="AC568" s="625"/>
      <c r="AD568" s="626"/>
    </row>
    <row r="569" ht="24.75" customHeight="1">
      <c r="A569" s="598"/>
      <c r="B569" s="617"/>
      <c r="C569" s="617"/>
      <c r="D569" s="617"/>
      <c r="E569" s="617"/>
      <c r="F569" s="142">
        <v>340.0</v>
      </c>
      <c r="G569" s="617"/>
      <c r="H569" s="600"/>
      <c r="I569" s="617"/>
      <c r="J569" s="617"/>
      <c r="K569" s="616"/>
      <c r="L569" s="616"/>
      <c r="M569" s="617"/>
      <c r="N569" s="617"/>
      <c r="O569" s="617"/>
      <c r="P569" s="617"/>
      <c r="Q569" s="617"/>
      <c r="R569" s="617"/>
      <c r="S569" s="617"/>
      <c r="T569" s="617"/>
      <c r="U569" s="618"/>
      <c r="V569" s="618"/>
      <c r="W569" s="619" t="s">
        <v>2052</v>
      </c>
      <c r="X569" s="606"/>
      <c r="Y569" s="606"/>
      <c r="Z569" s="640"/>
      <c r="AA569" s="625"/>
      <c r="AB569" s="625"/>
      <c r="AC569" s="625"/>
      <c r="AD569" s="626"/>
    </row>
    <row r="570" ht="24.75" customHeight="1">
      <c r="A570" s="608">
        <v>281.0</v>
      </c>
      <c r="B570" s="617" t="s">
        <v>1101</v>
      </c>
      <c r="C570" s="617" t="s">
        <v>348</v>
      </c>
      <c r="D570" s="617" t="s">
        <v>15</v>
      </c>
      <c r="E570" s="617" t="s">
        <v>1101</v>
      </c>
      <c r="F570" s="142"/>
      <c r="G570" s="617" t="s">
        <v>1101</v>
      </c>
      <c r="H570" s="609" t="str">
        <f>H568+F569</f>
        <v>107368.21</v>
      </c>
      <c r="I570" s="617">
        <v>426.827</v>
      </c>
      <c r="J570" s="616">
        <v>69.5</v>
      </c>
      <c r="K570" s="638" t="str">
        <f>F569+F571</f>
        <v>679</v>
      </c>
      <c r="L570" s="616" t="str">
        <f>K570/2</f>
        <v>339.5305</v>
      </c>
      <c r="M570" s="617">
        <v>146.0</v>
      </c>
      <c r="N570" s="617">
        <v>159.0</v>
      </c>
      <c r="O570" s="617">
        <v>305.0</v>
      </c>
      <c r="P570" s="617">
        <v>155.0</v>
      </c>
      <c r="Q570" s="617">
        <v>163.0</v>
      </c>
      <c r="R570" s="617">
        <v>318.0</v>
      </c>
      <c r="S570" s="617" t="s">
        <v>2053</v>
      </c>
      <c r="T570" s="617" t="s">
        <v>2054</v>
      </c>
      <c r="U570" s="618">
        <v>614506.632</v>
      </c>
      <c r="V570" s="618">
        <v>2638019.092</v>
      </c>
      <c r="W570" s="616"/>
      <c r="X570" s="138" t="s">
        <v>2055</v>
      </c>
      <c r="Y570" s="138" t="s">
        <v>2023</v>
      </c>
      <c r="Z570" s="620" t="s">
        <v>31</v>
      </c>
      <c r="AA570" s="625"/>
      <c r="AB570" s="625"/>
      <c r="AC570" s="625"/>
      <c r="AD570" s="626"/>
    </row>
    <row r="571" ht="24.75" customHeight="1">
      <c r="A571" s="598"/>
      <c r="B571" s="617"/>
      <c r="C571" s="617"/>
      <c r="D571" s="617"/>
      <c r="E571" s="617"/>
      <c r="F571" s="142">
        <v>339.061</v>
      </c>
      <c r="G571" s="617"/>
      <c r="H571" s="600"/>
      <c r="I571" s="617"/>
      <c r="J571" s="617"/>
      <c r="K571" s="616"/>
      <c r="L571" s="616"/>
      <c r="M571" s="617"/>
      <c r="N571" s="617"/>
      <c r="O571" s="617"/>
      <c r="P571" s="617"/>
      <c r="Q571" s="617"/>
      <c r="R571" s="617"/>
      <c r="S571" s="617"/>
      <c r="T571" s="617"/>
      <c r="U571" s="618"/>
      <c r="V571" s="618"/>
      <c r="W571" s="619"/>
      <c r="X571" s="606"/>
      <c r="Y571" s="606"/>
      <c r="Z571" s="640"/>
      <c r="AA571" s="625"/>
      <c r="AB571" s="625"/>
      <c r="AC571" s="625"/>
      <c r="AD571" s="626"/>
    </row>
    <row r="572" ht="24.75" customHeight="1">
      <c r="A572" s="608">
        <v>282.0</v>
      </c>
      <c r="B572" s="617" t="s">
        <v>2056</v>
      </c>
      <c r="C572" s="617" t="s">
        <v>349</v>
      </c>
      <c r="D572" s="617" t="s">
        <v>114</v>
      </c>
      <c r="E572" s="617" t="s">
        <v>2057</v>
      </c>
      <c r="F572" s="142"/>
      <c r="G572" s="638" t="str">
        <f>SUM(F565:F571)</f>
        <v>1441</v>
      </c>
      <c r="H572" s="609" t="str">
        <f>H570+F571</f>
        <v>107707.28</v>
      </c>
      <c r="I572" s="617">
        <v>425.402</v>
      </c>
      <c r="J572" s="138">
        <v>70.72</v>
      </c>
      <c r="K572" s="638" t="str">
        <f>F571+F573</f>
        <v>722</v>
      </c>
      <c r="L572" s="616" t="str">
        <f>K572/2</f>
        <v>361.0305</v>
      </c>
      <c r="M572" s="617">
        <v>180.0</v>
      </c>
      <c r="N572" s="617">
        <v>202.0</v>
      </c>
      <c r="O572" s="617">
        <v>382.0</v>
      </c>
      <c r="P572" s="617">
        <v>177.0</v>
      </c>
      <c r="Q572" s="617">
        <v>199.0</v>
      </c>
      <c r="R572" s="617">
        <v>376.0</v>
      </c>
      <c r="S572" s="617" t="s">
        <v>2058</v>
      </c>
      <c r="T572" s="617" t="s">
        <v>2059</v>
      </c>
      <c r="U572" s="618">
        <v>614843.974</v>
      </c>
      <c r="V572" s="618">
        <v>2637984.991</v>
      </c>
      <c r="W572" s="619"/>
      <c r="X572" s="138" t="s">
        <v>2055</v>
      </c>
      <c r="Y572" s="138" t="s">
        <v>2023</v>
      </c>
      <c r="Z572" s="620" t="s">
        <v>31</v>
      </c>
      <c r="AA572" s="625"/>
      <c r="AB572" s="625"/>
      <c r="AC572" s="625"/>
      <c r="AD572" s="626"/>
    </row>
    <row r="573" ht="24.75" customHeight="1">
      <c r="A573" s="598"/>
      <c r="B573" s="617"/>
      <c r="C573" s="617"/>
      <c r="D573" s="617"/>
      <c r="E573" s="617"/>
      <c r="F573" s="142">
        <v>383.0</v>
      </c>
      <c r="G573" s="617"/>
      <c r="H573" s="600"/>
      <c r="I573" s="617"/>
      <c r="J573" s="617"/>
      <c r="K573" s="616"/>
      <c r="L573" s="616"/>
      <c r="M573" s="617"/>
      <c r="N573" s="617"/>
      <c r="O573" s="617"/>
      <c r="P573" s="617"/>
      <c r="Q573" s="617"/>
      <c r="R573" s="617"/>
      <c r="S573" s="617"/>
      <c r="T573" s="617"/>
      <c r="U573" s="618"/>
      <c r="V573" s="618"/>
      <c r="W573" s="619" t="s">
        <v>1240</v>
      </c>
      <c r="X573" s="606"/>
      <c r="Y573" s="606"/>
      <c r="Z573" s="640"/>
      <c r="AA573" s="625"/>
      <c r="AB573" s="625"/>
      <c r="AC573" s="625"/>
      <c r="AD573" s="626"/>
    </row>
    <row r="574" ht="24.75" customHeight="1">
      <c r="A574" s="608">
        <v>283.0</v>
      </c>
      <c r="B574" s="617" t="s">
        <v>1101</v>
      </c>
      <c r="C574" s="617" t="s">
        <v>350</v>
      </c>
      <c r="D574" s="617" t="s">
        <v>12</v>
      </c>
      <c r="E574" s="617" t="s">
        <v>1101</v>
      </c>
      <c r="F574" s="142"/>
      <c r="G574" s="617" t="s">
        <v>1101</v>
      </c>
      <c r="H574" s="609" t="str">
        <f>H572+F573</f>
        <v>108090.28</v>
      </c>
      <c r="I574" s="617">
        <v>417.627</v>
      </c>
      <c r="J574" s="616">
        <v>78.5</v>
      </c>
      <c r="K574" s="638" t="str">
        <f>F573+F575</f>
        <v>783</v>
      </c>
      <c r="L574" s="616" t="str">
        <f>K574/2</f>
        <v>391.5</v>
      </c>
      <c r="M574" s="617">
        <v>182.0</v>
      </c>
      <c r="N574" s="617">
        <v>263.0</v>
      </c>
      <c r="O574" s="617">
        <v>445.0</v>
      </c>
      <c r="P574" s="617">
        <v>185.0</v>
      </c>
      <c r="Q574" s="617">
        <v>243.0</v>
      </c>
      <c r="R574" s="617">
        <v>428.0</v>
      </c>
      <c r="S574" s="617" t="s">
        <v>2060</v>
      </c>
      <c r="T574" s="617" t="s">
        <v>2061</v>
      </c>
      <c r="U574" s="618">
        <v>615102.804</v>
      </c>
      <c r="V574" s="618">
        <v>2637702.686</v>
      </c>
      <c r="W574" s="616"/>
      <c r="X574" s="138" t="s">
        <v>2055</v>
      </c>
      <c r="Y574" s="138" t="s">
        <v>2023</v>
      </c>
      <c r="Z574" s="620" t="s">
        <v>31</v>
      </c>
      <c r="AA574" s="625"/>
      <c r="AB574" s="625"/>
      <c r="AC574" s="625"/>
      <c r="AD574" s="626"/>
    </row>
    <row r="575" ht="24.75" customHeight="1">
      <c r="A575" s="598"/>
      <c r="B575" s="617"/>
      <c r="C575" s="617"/>
      <c r="D575" s="617"/>
      <c r="E575" s="617"/>
      <c r="F575" s="142">
        <v>400.0</v>
      </c>
      <c r="G575" s="617"/>
      <c r="H575" s="600"/>
      <c r="I575" s="617"/>
      <c r="J575" s="617"/>
      <c r="K575" s="616"/>
      <c r="L575" s="616"/>
      <c r="M575" s="617"/>
      <c r="N575" s="617"/>
      <c r="O575" s="617"/>
      <c r="P575" s="617"/>
      <c r="Q575" s="617"/>
      <c r="R575" s="617"/>
      <c r="S575" s="617"/>
      <c r="T575" s="617"/>
      <c r="U575" s="618"/>
      <c r="V575" s="618"/>
      <c r="W575" s="619" t="s">
        <v>2062</v>
      </c>
      <c r="X575" s="606"/>
      <c r="Y575" s="606"/>
      <c r="Z575" s="640"/>
      <c r="AA575" s="625"/>
      <c r="AB575" s="625"/>
      <c r="AC575" s="625"/>
      <c r="AD575" s="626"/>
    </row>
    <row r="576" ht="24.75" customHeight="1">
      <c r="A576" s="608">
        <v>284.0</v>
      </c>
      <c r="B576" s="617" t="s">
        <v>2063</v>
      </c>
      <c r="C576" s="617" t="s">
        <v>351</v>
      </c>
      <c r="D576" s="617" t="s">
        <v>36</v>
      </c>
      <c r="E576" s="617" t="s">
        <v>2064</v>
      </c>
      <c r="F576" s="142"/>
      <c r="G576" s="638" t="str">
        <f>SUM(F573:F575)</f>
        <v>783</v>
      </c>
      <c r="H576" s="609" t="str">
        <f>H574+F575</f>
        <v>108490.28</v>
      </c>
      <c r="I576" s="617">
        <v>411.959</v>
      </c>
      <c r="J576" s="138">
        <v>70.72</v>
      </c>
      <c r="K576" s="638" t="str">
        <f>F575+F577</f>
        <v>786</v>
      </c>
      <c r="L576" s="616" t="str">
        <f>K576/2</f>
        <v>393</v>
      </c>
      <c r="M576" s="617">
        <v>137.0</v>
      </c>
      <c r="N576" s="617">
        <v>197.0</v>
      </c>
      <c r="O576" s="617">
        <v>334.0</v>
      </c>
      <c r="P576" s="617">
        <v>158.0</v>
      </c>
      <c r="Q576" s="617">
        <v>196.0</v>
      </c>
      <c r="R576" s="617">
        <v>354.0</v>
      </c>
      <c r="S576" s="617" t="s">
        <v>2065</v>
      </c>
      <c r="T576" s="617" t="s">
        <v>2066</v>
      </c>
      <c r="U576" s="618">
        <v>615372.954</v>
      </c>
      <c r="V576" s="618">
        <v>2637408.036</v>
      </c>
      <c r="W576" s="616"/>
      <c r="X576" s="138" t="s">
        <v>2055</v>
      </c>
      <c r="Y576" s="138" t="s">
        <v>2023</v>
      </c>
      <c r="Z576" s="620" t="s">
        <v>31</v>
      </c>
      <c r="AA576" s="625"/>
      <c r="AB576" s="625"/>
      <c r="AC576" s="625"/>
      <c r="AD576" s="626"/>
    </row>
    <row r="577" ht="24.75" customHeight="1">
      <c r="A577" s="598"/>
      <c r="B577" s="617"/>
      <c r="C577" s="617"/>
      <c r="D577" s="617"/>
      <c r="E577" s="617"/>
      <c r="F577" s="142">
        <v>386.0</v>
      </c>
      <c r="G577" s="617"/>
      <c r="H577" s="600"/>
      <c r="I577" s="617"/>
      <c r="J577" s="617"/>
      <c r="K577" s="616"/>
      <c r="L577" s="616"/>
      <c r="M577" s="617"/>
      <c r="N577" s="617"/>
      <c r="O577" s="617"/>
      <c r="P577" s="617"/>
      <c r="Q577" s="617"/>
      <c r="R577" s="617"/>
      <c r="S577" s="617"/>
      <c r="T577" s="617"/>
      <c r="U577" s="618"/>
      <c r="V577" s="618"/>
      <c r="W577" s="619" t="s">
        <v>2067</v>
      </c>
      <c r="X577" s="606"/>
      <c r="Y577" s="606"/>
      <c r="Z577" s="640"/>
      <c r="AA577" s="625"/>
      <c r="AB577" s="625"/>
      <c r="AC577" s="625"/>
      <c r="AD577" s="626"/>
    </row>
    <row r="578" ht="24.75" customHeight="1">
      <c r="A578" s="608">
        <v>285.0</v>
      </c>
      <c r="B578" s="617" t="s">
        <v>1101</v>
      </c>
      <c r="C578" s="617" t="s">
        <v>352</v>
      </c>
      <c r="D578" s="617" t="s">
        <v>11</v>
      </c>
      <c r="E578" s="617" t="s">
        <v>1101</v>
      </c>
      <c r="F578" s="142"/>
      <c r="G578" s="617" t="s">
        <v>1101</v>
      </c>
      <c r="H578" s="609" t="str">
        <f>H576+F577</f>
        <v>108876.28</v>
      </c>
      <c r="I578" s="617">
        <v>412.71</v>
      </c>
      <c r="J578" s="616">
        <v>71.0</v>
      </c>
      <c r="K578" s="638" t="str">
        <f>F577+F579</f>
        <v>779</v>
      </c>
      <c r="L578" s="616" t="str">
        <f>K578/2</f>
        <v>389.5</v>
      </c>
      <c r="M578" s="617">
        <v>189.0</v>
      </c>
      <c r="N578" s="617">
        <v>169.0</v>
      </c>
      <c r="O578" s="617">
        <v>358.0</v>
      </c>
      <c r="P578" s="617">
        <v>191.0</v>
      </c>
      <c r="Q578" s="617">
        <v>178.0</v>
      </c>
      <c r="R578" s="617">
        <v>369.0</v>
      </c>
      <c r="S578" s="617" t="s">
        <v>2068</v>
      </c>
      <c r="T578" s="617" t="s">
        <v>2069</v>
      </c>
      <c r="U578" s="618">
        <v>615722.859</v>
      </c>
      <c r="V578" s="618">
        <v>2637245.056</v>
      </c>
      <c r="W578" s="616"/>
      <c r="X578" s="138" t="s">
        <v>2055</v>
      </c>
      <c r="Y578" s="138" t="s">
        <v>2023</v>
      </c>
      <c r="Z578" s="620" t="s">
        <v>31</v>
      </c>
      <c r="AA578" s="625"/>
      <c r="AB578" s="625"/>
      <c r="AC578" s="625"/>
      <c r="AD578" s="626"/>
    </row>
    <row r="579" ht="24.75" customHeight="1">
      <c r="A579" s="598"/>
      <c r="B579" s="617"/>
      <c r="C579" s="617"/>
      <c r="D579" s="617"/>
      <c r="E579" s="617"/>
      <c r="F579" s="142">
        <v>393.0</v>
      </c>
      <c r="G579" s="617"/>
      <c r="H579" s="600"/>
      <c r="I579" s="617"/>
      <c r="J579" s="617"/>
      <c r="K579" s="616"/>
      <c r="L579" s="616"/>
      <c r="M579" s="617"/>
      <c r="N579" s="617"/>
      <c r="O579" s="617"/>
      <c r="P579" s="617"/>
      <c r="Q579" s="617"/>
      <c r="R579" s="617"/>
      <c r="S579" s="617"/>
      <c r="T579" s="617"/>
      <c r="U579" s="618"/>
      <c r="V579" s="618"/>
      <c r="W579" s="619" t="s">
        <v>1240</v>
      </c>
      <c r="X579" s="606"/>
      <c r="Y579" s="606"/>
      <c r="Z579" s="640"/>
      <c r="AA579" s="625"/>
      <c r="AB579" s="625"/>
      <c r="AC579" s="625"/>
      <c r="AD579" s="626"/>
    </row>
    <row r="580" ht="24.75" customHeight="1">
      <c r="A580" s="608">
        <v>286.0</v>
      </c>
      <c r="B580" s="617" t="s">
        <v>1101</v>
      </c>
      <c r="C580" s="617" t="s">
        <v>353</v>
      </c>
      <c r="D580" s="617" t="s">
        <v>33</v>
      </c>
      <c r="E580" s="617" t="s">
        <v>1101</v>
      </c>
      <c r="F580" s="142"/>
      <c r="G580" s="617" t="s">
        <v>1101</v>
      </c>
      <c r="H580" s="609" t="str">
        <f>H578+F579</f>
        <v>109269.28</v>
      </c>
      <c r="I580" s="637">
        <v>416.226</v>
      </c>
      <c r="J580" s="616">
        <v>72.5</v>
      </c>
      <c r="K580" s="638" t="str">
        <f>F579+F581</f>
        <v>815</v>
      </c>
      <c r="L580" s="616" t="str">
        <f>K580/2</f>
        <v>407.5</v>
      </c>
      <c r="M580" s="617">
        <v>224.0</v>
      </c>
      <c r="N580" s="617">
        <v>174.0</v>
      </c>
      <c r="O580" s="617">
        <v>398.0</v>
      </c>
      <c r="P580" s="617">
        <v>216.0</v>
      </c>
      <c r="Q580" s="617">
        <v>186.0</v>
      </c>
      <c r="R580" s="617">
        <v>402.0</v>
      </c>
      <c r="S580" s="617" t="s">
        <v>2070</v>
      </c>
      <c r="T580" s="617" t="s">
        <v>2071</v>
      </c>
      <c r="U580" s="618">
        <v>616079.11</v>
      </c>
      <c r="V580" s="618">
        <v>2637079.121</v>
      </c>
      <c r="W580" s="616"/>
      <c r="X580" s="138" t="s">
        <v>2055</v>
      </c>
      <c r="Y580" s="138" t="s">
        <v>2023</v>
      </c>
      <c r="Z580" s="620" t="s">
        <v>31</v>
      </c>
      <c r="AA580" s="625"/>
      <c r="AB580" s="625"/>
      <c r="AC580" s="625"/>
      <c r="AD580" s="626"/>
    </row>
    <row r="581" ht="24.75" customHeight="1">
      <c r="A581" s="598"/>
      <c r="B581" s="617"/>
      <c r="C581" s="617"/>
      <c r="D581" s="617"/>
      <c r="E581" s="617"/>
      <c r="F581" s="142">
        <v>422.0</v>
      </c>
      <c r="G581" s="617"/>
      <c r="H581" s="600"/>
      <c r="I581" s="617"/>
      <c r="J581" s="617"/>
      <c r="K581" s="616"/>
      <c r="L581" s="616"/>
      <c r="M581" s="617"/>
      <c r="N581" s="617"/>
      <c r="O581" s="617"/>
      <c r="P581" s="617"/>
      <c r="Q581" s="617"/>
      <c r="R581" s="617"/>
      <c r="S581" s="617"/>
      <c r="T581" s="617"/>
      <c r="U581" s="618"/>
      <c r="V581" s="618"/>
      <c r="W581" s="619" t="s">
        <v>2072</v>
      </c>
      <c r="X581" s="606"/>
      <c r="Y581" s="606"/>
      <c r="Z581" s="640"/>
      <c r="AA581" s="625"/>
      <c r="AB581" s="625"/>
      <c r="AC581" s="625"/>
      <c r="AD581" s="626"/>
    </row>
    <row r="582" ht="24.75" customHeight="1">
      <c r="A582" s="608">
        <v>287.0</v>
      </c>
      <c r="B582" s="617" t="s">
        <v>1101</v>
      </c>
      <c r="C582" s="617" t="s">
        <v>354</v>
      </c>
      <c r="D582" s="617" t="s">
        <v>12</v>
      </c>
      <c r="E582" s="617" t="s">
        <v>1101</v>
      </c>
      <c r="F582" s="142"/>
      <c r="G582" s="617" t="s">
        <v>1101</v>
      </c>
      <c r="H582" s="609" t="str">
        <f>H580+F581</f>
        <v>109691.28</v>
      </c>
      <c r="I582" s="617">
        <v>417.548</v>
      </c>
      <c r="J582" s="616">
        <v>78.5</v>
      </c>
      <c r="K582" s="638" t="str">
        <f>F581+F583</f>
        <v>830</v>
      </c>
      <c r="L582" s="616" t="str">
        <f>K582/2</f>
        <v>415</v>
      </c>
      <c r="M582" s="617">
        <v>249.0</v>
      </c>
      <c r="N582" s="617">
        <v>242.0</v>
      </c>
      <c r="O582" s="617">
        <v>491.0</v>
      </c>
      <c r="P582" s="617">
        <v>237.0</v>
      </c>
      <c r="Q582" s="617">
        <v>230.0</v>
      </c>
      <c r="R582" s="617">
        <v>467.0</v>
      </c>
      <c r="S582" s="617" t="s">
        <v>2073</v>
      </c>
      <c r="T582" s="617" t="s">
        <v>2074</v>
      </c>
      <c r="U582" s="618">
        <v>616461.649</v>
      </c>
      <c r="V582" s="618">
        <v>2636900.941</v>
      </c>
      <c r="W582" s="616"/>
      <c r="X582" s="138" t="s">
        <v>2075</v>
      </c>
      <c r="Y582" s="138" t="s">
        <v>2023</v>
      </c>
      <c r="Z582" s="620" t="s">
        <v>31</v>
      </c>
      <c r="AA582" s="625"/>
      <c r="AB582" s="625"/>
      <c r="AC582" s="625"/>
      <c r="AD582" s="626"/>
    </row>
    <row r="583" ht="24.75" customHeight="1">
      <c r="A583" s="598"/>
      <c r="B583" s="617"/>
      <c r="C583" s="617"/>
      <c r="D583" s="617"/>
      <c r="E583" s="617"/>
      <c r="F583" s="142">
        <v>408.0</v>
      </c>
      <c r="G583" s="617"/>
      <c r="H583" s="600"/>
      <c r="I583" s="617"/>
      <c r="J583" s="617"/>
      <c r="K583" s="616"/>
      <c r="L583" s="616"/>
      <c r="M583" s="617"/>
      <c r="N583" s="617"/>
      <c r="O583" s="617"/>
      <c r="P583" s="617"/>
      <c r="Q583" s="617"/>
      <c r="R583" s="617"/>
      <c r="S583" s="617"/>
      <c r="T583" s="617"/>
      <c r="U583" s="618"/>
      <c r="V583" s="618"/>
      <c r="W583" s="619"/>
      <c r="X583" s="606"/>
      <c r="Y583" s="606"/>
      <c r="Z583" s="640"/>
      <c r="AA583" s="625"/>
      <c r="AB583" s="625"/>
      <c r="AC583" s="625"/>
      <c r="AD583" s="626"/>
    </row>
    <row r="584" ht="24.75" customHeight="1">
      <c r="A584" s="608">
        <v>288.0</v>
      </c>
      <c r="B584" s="617" t="s">
        <v>1101</v>
      </c>
      <c r="C584" s="617" t="s">
        <v>355</v>
      </c>
      <c r="D584" s="617" t="s">
        <v>11</v>
      </c>
      <c r="E584" s="617" t="s">
        <v>1101</v>
      </c>
      <c r="F584" s="142"/>
      <c r="G584" s="617" t="s">
        <v>1101</v>
      </c>
      <c r="H584" s="609" t="str">
        <f>H582+F583</f>
        <v>110099.28</v>
      </c>
      <c r="I584" s="617">
        <v>417.939</v>
      </c>
      <c r="J584" s="616">
        <v>71.0</v>
      </c>
      <c r="K584" s="638" t="str">
        <f>F583+F585</f>
        <v>778</v>
      </c>
      <c r="L584" s="616" t="str">
        <f>K584/2</f>
        <v>389</v>
      </c>
      <c r="M584" s="617">
        <v>167.0</v>
      </c>
      <c r="N584" s="617">
        <v>195.0</v>
      </c>
      <c r="O584" s="617">
        <v>362.0</v>
      </c>
      <c r="P584" s="617">
        <v>179.0</v>
      </c>
      <c r="Q584" s="617">
        <v>193.0</v>
      </c>
      <c r="R584" s="617">
        <v>372.0</v>
      </c>
      <c r="S584" s="617" t="s">
        <v>2076</v>
      </c>
      <c r="T584" s="617" t="s">
        <v>2077</v>
      </c>
      <c r="U584" s="618">
        <v>616831.497</v>
      </c>
      <c r="V584" s="618">
        <v>2636728.673</v>
      </c>
      <c r="W584" s="616"/>
      <c r="X584" s="138" t="s">
        <v>2075</v>
      </c>
      <c r="Y584" s="138" t="s">
        <v>2023</v>
      </c>
      <c r="Z584" s="620" t="s">
        <v>31</v>
      </c>
      <c r="AA584" s="625"/>
      <c r="AB584" s="625"/>
      <c r="AC584" s="625"/>
      <c r="AD584" s="626"/>
    </row>
    <row r="585" ht="12.75" customHeight="1">
      <c r="A585" s="598"/>
      <c r="B585" s="617"/>
      <c r="C585" s="617"/>
      <c r="D585" s="617"/>
      <c r="E585" s="617"/>
      <c r="F585" s="142">
        <v>370.0</v>
      </c>
      <c r="G585" s="617"/>
      <c r="H585" s="600"/>
      <c r="I585" s="617"/>
      <c r="J585" s="617"/>
      <c r="K585" s="616"/>
      <c r="L585" s="616"/>
      <c r="M585" s="617"/>
      <c r="N585" s="617"/>
      <c r="O585" s="617"/>
      <c r="P585" s="617"/>
      <c r="Q585" s="617"/>
      <c r="R585" s="617"/>
      <c r="S585" s="617"/>
      <c r="T585" s="617"/>
      <c r="U585" s="618"/>
      <c r="V585" s="618"/>
      <c r="W585" s="619" t="s">
        <v>2078</v>
      </c>
      <c r="X585" s="606"/>
      <c r="Y585" s="606"/>
      <c r="Z585" s="640"/>
      <c r="AA585" s="625"/>
      <c r="AB585" s="625"/>
      <c r="AC585" s="625"/>
      <c r="AD585" s="626"/>
    </row>
    <row r="586" ht="24.75" customHeight="1">
      <c r="A586" s="608">
        <v>289.0</v>
      </c>
      <c r="B586" s="617" t="s">
        <v>1101</v>
      </c>
      <c r="C586" s="617" t="s">
        <v>356</v>
      </c>
      <c r="D586" s="617" t="s">
        <v>15</v>
      </c>
      <c r="E586" s="617" t="s">
        <v>1101</v>
      </c>
      <c r="F586" s="142"/>
      <c r="G586" s="617" t="s">
        <v>1101</v>
      </c>
      <c r="H586" s="609" t="str">
        <f>H584+F585</f>
        <v>110469.28</v>
      </c>
      <c r="I586" s="617">
        <v>417.676</v>
      </c>
      <c r="J586" s="616">
        <v>69.5</v>
      </c>
      <c r="K586" s="638" t="str">
        <f>F585+F587</f>
        <v>715</v>
      </c>
      <c r="L586" s="616" t="str">
        <f>K586/2</f>
        <v>357.5</v>
      </c>
      <c r="M586" s="617">
        <v>175.0</v>
      </c>
      <c r="N586" s="617">
        <v>144.0</v>
      </c>
      <c r="O586" s="617">
        <v>319.0</v>
      </c>
      <c r="P586" s="617">
        <v>178.0</v>
      </c>
      <c r="Q586" s="617">
        <v>153.0</v>
      </c>
      <c r="R586" s="617">
        <v>331.0</v>
      </c>
      <c r="S586" s="617" t="s">
        <v>2079</v>
      </c>
      <c r="T586" s="617" t="s">
        <v>2080</v>
      </c>
      <c r="U586" s="618">
        <v>617166.898</v>
      </c>
      <c r="V586" s="618">
        <v>2636572.449</v>
      </c>
      <c r="W586" s="616"/>
      <c r="X586" s="138" t="s">
        <v>2075</v>
      </c>
      <c r="Y586" s="138" t="s">
        <v>2023</v>
      </c>
      <c r="Z586" s="620" t="s">
        <v>31</v>
      </c>
      <c r="AA586" s="625"/>
      <c r="AB586" s="625"/>
      <c r="AC586" s="625"/>
      <c r="AD586" s="626"/>
    </row>
    <row r="587" ht="24.75" customHeight="1">
      <c r="A587" s="598"/>
      <c r="B587" s="617"/>
      <c r="C587" s="617"/>
      <c r="D587" s="617"/>
      <c r="E587" s="617"/>
      <c r="F587" s="142">
        <v>345.0</v>
      </c>
      <c r="G587" s="617"/>
      <c r="H587" s="600"/>
      <c r="I587" s="617"/>
      <c r="J587" s="617"/>
      <c r="K587" s="616"/>
      <c r="L587" s="616"/>
      <c r="M587" s="617"/>
      <c r="N587" s="617"/>
      <c r="O587" s="617"/>
      <c r="P587" s="617"/>
      <c r="Q587" s="617"/>
      <c r="R587" s="617"/>
      <c r="S587" s="617"/>
      <c r="T587" s="617"/>
      <c r="U587" s="618"/>
      <c r="V587" s="618"/>
      <c r="W587" s="619" t="s">
        <v>1240</v>
      </c>
      <c r="X587" s="606"/>
      <c r="Y587" s="606"/>
      <c r="Z587" s="640"/>
      <c r="AA587" s="625"/>
      <c r="AB587" s="625"/>
      <c r="AC587" s="625"/>
      <c r="AD587" s="626"/>
    </row>
    <row r="588" ht="24.75" customHeight="1">
      <c r="A588" s="608">
        <v>290.0</v>
      </c>
      <c r="B588" s="617" t="s">
        <v>1101</v>
      </c>
      <c r="C588" s="617" t="s">
        <v>357</v>
      </c>
      <c r="D588" s="617" t="s">
        <v>33</v>
      </c>
      <c r="E588" s="617" t="s">
        <v>1101</v>
      </c>
      <c r="F588" s="142"/>
      <c r="G588" s="617" t="s">
        <v>1101</v>
      </c>
      <c r="H588" s="609" t="str">
        <f>H586+F587</f>
        <v>110814.28</v>
      </c>
      <c r="I588" s="637">
        <v>419.33</v>
      </c>
      <c r="J588" s="616">
        <v>72.5</v>
      </c>
      <c r="K588" s="638" t="str">
        <f>F587+F589</f>
        <v>697</v>
      </c>
      <c r="L588" s="616" t="str">
        <f>K588/2</f>
        <v>348.5</v>
      </c>
      <c r="M588" s="617">
        <v>202.0</v>
      </c>
      <c r="N588" s="617">
        <v>100.0</v>
      </c>
      <c r="O588" s="617">
        <v>302.0</v>
      </c>
      <c r="P588" s="617">
        <v>193.0</v>
      </c>
      <c r="Q588" s="617">
        <v>124.0</v>
      </c>
      <c r="R588" s="617">
        <v>317.0</v>
      </c>
      <c r="S588" s="617" t="s">
        <v>2081</v>
      </c>
      <c r="T588" s="617" t="s">
        <v>2082</v>
      </c>
      <c r="U588" s="618">
        <v>617479.637</v>
      </c>
      <c r="V588" s="618">
        <v>2636426.78</v>
      </c>
      <c r="W588" s="616"/>
      <c r="X588" s="138" t="s">
        <v>2075</v>
      </c>
      <c r="Y588" s="138" t="s">
        <v>2023</v>
      </c>
      <c r="Z588" s="620" t="s">
        <v>31</v>
      </c>
      <c r="AA588" s="625"/>
      <c r="AB588" s="625"/>
      <c r="AC588" s="625"/>
      <c r="AD588" s="626"/>
    </row>
    <row r="589" ht="24.75" customHeight="1">
      <c r="A589" s="598"/>
      <c r="B589" s="617"/>
      <c r="C589" s="617"/>
      <c r="D589" s="617"/>
      <c r="E589" s="617"/>
      <c r="F589" s="142">
        <v>352.0</v>
      </c>
      <c r="G589" s="617"/>
      <c r="H589" s="600"/>
      <c r="I589" s="617"/>
      <c r="J589" s="617"/>
      <c r="K589" s="616"/>
      <c r="L589" s="616"/>
      <c r="M589" s="617"/>
      <c r="N589" s="617"/>
      <c r="O589" s="617"/>
      <c r="P589" s="617"/>
      <c r="Q589" s="617"/>
      <c r="R589" s="617"/>
      <c r="S589" s="617"/>
      <c r="T589" s="617"/>
      <c r="U589" s="618"/>
      <c r="V589" s="618"/>
      <c r="W589" s="619"/>
      <c r="X589" s="606"/>
      <c r="Y589" s="606"/>
      <c r="Z589" s="640"/>
      <c r="AA589" s="625"/>
      <c r="AB589" s="625"/>
      <c r="AC589" s="625"/>
      <c r="AD589" s="626"/>
    </row>
    <row r="590" ht="24.75" customHeight="1">
      <c r="A590" s="608">
        <v>291.0</v>
      </c>
      <c r="B590" s="617" t="s">
        <v>1101</v>
      </c>
      <c r="C590" s="617" t="s">
        <v>358</v>
      </c>
      <c r="D590" s="617" t="s">
        <v>15</v>
      </c>
      <c r="E590" s="617" t="s">
        <v>1101</v>
      </c>
      <c r="F590" s="142"/>
      <c r="G590" s="617" t="s">
        <v>1101</v>
      </c>
      <c r="H590" s="609" t="str">
        <f>H588+F589</f>
        <v>111166.28</v>
      </c>
      <c r="I590" s="617">
        <v>434.784</v>
      </c>
      <c r="J590" s="616">
        <v>69.5</v>
      </c>
      <c r="K590" s="638" t="str">
        <f>F589+F591</f>
        <v>792</v>
      </c>
      <c r="L590" s="616" t="str">
        <f>K590/2</f>
        <v>396</v>
      </c>
      <c r="M590" s="617">
        <v>252.0</v>
      </c>
      <c r="N590" s="617">
        <v>273.0</v>
      </c>
      <c r="O590" s="617">
        <v>525.0</v>
      </c>
      <c r="P590" s="617">
        <v>229.0</v>
      </c>
      <c r="Q590" s="617">
        <v>257.0</v>
      </c>
      <c r="R590" s="617">
        <v>486.0</v>
      </c>
      <c r="S590" s="617" t="s">
        <v>2083</v>
      </c>
      <c r="T590" s="617" t="s">
        <v>2084</v>
      </c>
      <c r="U590" s="618">
        <v>617798.722</v>
      </c>
      <c r="V590" s="618">
        <v>2636278.156</v>
      </c>
      <c r="W590" s="619"/>
      <c r="X590" s="138" t="s">
        <v>2075</v>
      </c>
      <c r="Y590" s="138" t="s">
        <v>2023</v>
      </c>
      <c r="Z590" s="620" t="s">
        <v>31</v>
      </c>
      <c r="AA590" s="625"/>
      <c r="AB590" s="625"/>
      <c r="AC590" s="625"/>
      <c r="AD590" s="626"/>
    </row>
    <row r="591" ht="24.75" customHeight="1">
      <c r="A591" s="598"/>
      <c r="B591" s="617"/>
      <c r="C591" s="617"/>
      <c r="D591" s="617"/>
      <c r="E591" s="617"/>
      <c r="F591" s="142">
        <v>440.0</v>
      </c>
      <c r="G591" s="617"/>
      <c r="H591" s="600"/>
      <c r="I591" s="617"/>
      <c r="J591" s="617"/>
      <c r="K591" s="616"/>
      <c r="L591" s="616"/>
      <c r="M591" s="617"/>
      <c r="N591" s="617"/>
      <c r="O591" s="617"/>
      <c r="P591" s="617"/>
      <c r="Q591" s="617"/>
      <c r="R591" s="617"/>
      <c r="S591" s="617"/>
      <c r="T591" s="617"/>
      <c r="U591" s="618"/>
      <c r="V591" s="618"/>
      <c r="W591" s="619"/>
      <c r="X591" s="606"/>
      <c r="Y591" s="606"/>
      <c r="Z591" s="640"/>
      <c r="AA591" s="625"/>
      <c r="AB591" s="625"/>
      <c r="AC591" s="625"/>
      <c r="AD591" s="626"/>
    </row>
    <row r="592" ht="24.75" customHeight="1">
      <c r="A592" s="608">
        <v>292.0</v>
      </c>
      <c r="B592" s="617" t="s">
        <v>1101</v>
      </c>
      <c r="C592" s="617" t="s">
        <v>359</v>
      </c>
      <c r="D592" s="617" t="s">
        <v>35</v>
      </c>
      <c r="E592" s="617" t="s">
        <v>1101</v>
      </c>
      <c r="F592" s="142"/>
      <c r="G592" s="617" t="s">
        <v>1101</v>
      </c>
      <c r="H592" s="609" t="str">
        <f>H590+F591</f>
        <v>111606.28</v>
      </c>
      <c r="I592" s="617">
        <v>419.428</v>
      </c>
      <c r="J592" s="616">
        <v>74.0</v>
      </c>
      <c r="K592" s="638" t="str">
        <f>F591+F593</f>
        <v>820</v>
      </c>
      <c r="L592" s="616" t="str">
        <f>K592/2</f>
        <v>410</v>
      </c>
      <c r="M592" s="617">
        <v>167.0</v>
      </c>
      <c r="N592" s="617">
        <v>199.0</v>
      </c>
      <c r="O592" s="617">
        <v>366.0</v>
      </c>
      <c r="P592" s="617">
        <v>184.0</v>
      </c>
      <c r="Q592" s="617">
        <v>196.0</v>
      </c>
      <c r="R592" s="617">
        <v>380.0</v>
      </c>
      <c r="S592" s="617" t="s">
        <v>2085</v>
      </c>
      <c r="T592" s="617" t="s">
        <v>2086</v>
      </c>
      <c r="U592" s="618">
        <v>618197.577</v>
      </c>
      <c r="V592" s="618">
        <v>2636092.376</v>
      </c>
      <c r="W592" s="616"/>
      <c r="X592" s="138" t="s">
        <v>2075</v>
      </c>
      <c r="Y592" s="138" t="s">
        <v>2023</v>
      </c>
      <c r="Z592" s="620" t="s">
        <v>31</v>
      </c>
      <c r="AA592" s="625"/>
      <c r="AB592" s="625"/>
      <c r="AC592" s="625"/>
      <c r="AD592" s="626"/>
    </row>
    <row r="593" ht="24.75" customHeight="1">
      <c r="A593" s="598"/>
      <c r="B593" s="617"/>
      <c r="C593" s="617"/>
      <c r="D593" s="617"/>
      <c r="E593" s="617"/>
      <c r="F593" s="142">
        <v>380.0</v>
      </c>
      <c r="G593" s="617"/>
      <c r="H593" s="600"/>
      <c r="I593" s="617"/>
      <c r="J593" s="617"/>
      <c r="K593" s="616"/>
      <c r="L593" s="616"/>
      <c r="M593" s="617"/>
      <c r="N593" s="617"/>
      <c r="O593" s="617"/>
      <c r="P593" s="617"/>
      <c r="Q593" s="617"/>
      <c r="R593" s="617"/>
      <c r="S593" s="617"/>
      <c r="T593" s="617"/>
      <c r="U593" s="618"/>
      <c r="V593" s="618"/>
      <c r="W593" s="619" t="s">
        <v>2049</v>
      </c>
      <c r="X593" s="606"/>
      <c r="Y593" s="606"/>
      <c r="Z593" s="640"/>
      <c r="AA593" s="625"/>
      <c r="AB593" s="625"/>
      <c r="AC593" s="625"/>
      <c r="AD593" s="626"/>
    </row>
    <row r="594" ht="24.75" customHeight="1">
      <c r="A594" s="608">
        <v>293.0</v>
      </c>
      <c r="B594" s="617" t="s">
        <v>1101</v>
      </c>
      <c r="C594" s="617" t="s">
        <v>360</v>
      </c>
      <c r="D594" s="617" t="s">
        <v>15</v>
      </c>
      <c r="E594" s="617" t="s">
        <v>1101</v>
      </c>
      <c r="F594" s="142"/>
      <c r="G594" s="617" t="s">
        <v>1101</v>
      </c>
      <c r="H594" s="609" t="str">
        <f>H592+F593</f>
        <v>111986.28</v>
      </c>
      <c r="I594" s="617">
        <v>422.442</v>
      </c>
      <c r="J594" s="616">
        <v>69.5</v>
      </c>
      <c r="K594" s="638" t="str">
        <f>F593+F595</f>
        <v>796</v>
      </c>
      <c r="L594" s="616" t="str">
        <f>K594/2</f>
        <v>398</v>
      </c>
      <c r="M594" s="617">
        <v>182.0</v>
      </c>
      <c r="N594" s="617">
        <v>127.0</v>
      </c>
      <c r="O594" s="617">
        <v>309.0</v>
      </c>
      <c r="P594" s="617">
        <v>185.0</v>
      </c>
      <c r="Q594" s="617">
        <v>153.0</v>
      </c>
      <c r="R594" s="617">
        <v>338.0</v>
      </c>
      <c r="S594" s="617" t="s">
        <v>2087</v>
      </c>
      <c r="T594" s="617" t="s">
        <v>2088</v>
      </c>
      <c r="U594" s="618">
        <v>618542.043</v>
      </c>
      <c r="V594" s="618">
        <v>2635931.93</v>
      </c>
      <c r="W594" s="616"/>
      <c r="X594" s="138" t="s">
        <v>2075</v>
      </c>
      <c r="Y594" s="138" t="s">
        <v>2023</v>
      </c>
      <c r="Z594" s="620" t="s">
        <v>31</v>
      </c>
      <c r="AA594" s="625"/>
      <c r="AB594" s="625"/>
      <c r="AC594" s="625"/>
      <c r="AD594" s="626"/>
    </row>
    <row r="595" ht="24.75" customHeight="1">
      <c r="A595" s="598"/>
      <c r="B595" s="617"/>
      <c r="C595" s="617"/>
      <c r="D595" s="617"/>
      <c r="E595" s="617"/>
      <c r="F595" s="142">
        <v>416.0</v>
      </c>
      <c r="G595" s="617"/>
      <c r="H595" s="600"/>
      <c r="I595" s="617"/>
      <c r="J595" s="617"/>
      <c r="K595" s="616"/>
      <c r="L595" s="616"/>
      <c r="M595" s="617"/>
      <c r="N595" s="617"/>
      <c r="O595" s="617"/>
      <c r="P595" s="617"/>
      <c r="Q595" s="617"/>
      <c r="R595" s="617"/>
      <c r="S595" s="617"/>
      <c r="T595" s="617"/>
      <c r="U595" s="618"/>
      <c r="V595" s="618"/>
      <c r="W595" s="619" t="s">
        <v>2089</v>
      </c>
      <c r="X595" s="606"/>
      <c r="Y595" s="606"/>
      <c r="Z595" s="640"/>
      <c r="AA595" s="625"/>
      <c r="AB595" s="625"/>
      <c r="AC595" s="625"/>
      <c r="AD595" s="626"/>
    </row>
    <row r="596" ht="24.75" customHeight="1">
      <c r="A596" s="608">
        <v>294.0</v>
      </c>
      <c r="B596" s="617" t="s">
        <v>1101</v>
      </c>
      <c r="C596" s="617" t="s">
        <v>361</v>
      </c>
      <c r="D596" s="617" t="s">
        <v>14</v>
      </c>
      <c r="E596" s="617" t="s">
        <v>1101</v>
      </c>
      <c r="F596" s="142"/>
      <c r="G596" s="617" t="s">
        <v>1101</v>
      </c>
      <c r="H596" s="609" t="str">
        <f>H594+F595</f>
        <v>112402.28</v>
      </c>
      <c r="I596" s="617">
        <v>426.214</v>
      </c>
      <c r="J596" s="616">
        <v>81.5</v>
      </c>
      <c r="K596" s="638" t="str">
        <f>F595+F597</f>
        <v>822</v>
      </c>
      <c r="L596" s="616" t="str">
        <f>K596/2</f>
        <v>411</v>
      </c>
      <c r="M596" s="617">
        <v>290.0</v>
      </c>
      <c r="N596" s="617">
        <v>284.0</v>
      </c>
      <c r="O596" s="617">
        <v>574.0</v>
      </c>
      <c r="P596" s="617">
        <v>265.0</v>
      </c>
      <c r="Q596" s="617">
        <v>259.0</v>
      </c>
      <c r="R596" s="617">
        <v>524.0</v>
      </c>
      <c r="S596" s="617" t="s">
        <v>2090</v>
      </c>
      <c r="T596" s="617" t="s">
        <v>2091</v>
      </c>
      <c r="U596" s="618">
        <v>618919.143</v>
      </c>
      <c r="V596" s="618">
        <v>2635756.284</v>
      </c>
      <c r="W596" s="623" t="s">
        <v>1354</v>
      </c>
      <c r="X596" s="138" t="s">
        <v>2092</v>
      </c>
      <c r="Y596" s="138" t="s">
        <v>2023</v>
      </c>
      <c r="Z596" s="620" t="s">
        <v>31</v>
      </c>
      <c r="AA596" s="627">
        <v>1.0</v>
      </c>
      <c r="AB596" s="627">
        <v>0.0</v>
      </c>
      <c r="AC596" s="627">
        <v>0.0</v>
      </c>
      <c r="AD596" s="628">
        <v>0.0</v>
      </c>
    </row>
    <row r="597" ht="24.75" customHeight="1">
      <c r="A597" s="598"/>
      <c r="B597" s="617"/>
      <c r="C597" s="617"/>
      <c r="D597" s="617"/>
      <c r="E597" s="617"/>
      <c r="F597" s="142">
        <v>406.0</v>
      </c>
      <c r="G597" s="617"/>
      <c r="H597" s="600"/>
      <c r="I597" s="617"/>
      <c r="J597" s="617"/>
      <c r="K597" s="616"/>
      <c r="L597" s="616"/>
      <c r="M597" s="617"/>
      <c r="N597" s="617"/>
      <c r="O597" s="617"/>
      <c r="P597" s="617"/>
      <c r="Q597" s="617"/>
      <c r="R597" s="617"/>
      <c r="S597" s="617"/>
      <c r="T597" s="617"/>
      <c r="U597" s="618"/>
      <c r="V597" s="618"/>
      <c r="W597" s="619" t="s">
        <v>1695</v>
      </c>
      <c r="X597" s="606"/>
      <c r="Y597" s="606"/>
      <c r="Z597" s="640"/>
      <c r="AA597" s="625"/>
      <c r="AB597" s="625"/>
      <c r="AC597" s="625"/>
      <c r="AD597" s="626"/>
    </row>
    <row r="598" ht="24.75" customHeight="1">
      <c r="A598" s="608">
        <v>295.0</v>
      </c>
      <c r="B598" s="617" t="s">
        <v>1101</v>
      </c>
      <c r="C598" s="617" t="s">
        <v>362</v>
      </c>
      <c r="D598" s="617" t="s">
        <v>12</v>
      </c>
      <c r="E598" s="617" t="s">
        <v>1101</v>
      </c>
      <c r="F598" s="142"/>
      <c r="G598" s="617" t="s">
        <v>1101</v>
      </c>
      <c r="H598" s="609" t="str">
        <f>H596+F597</f>
        <v>112808.28</v>
      </c>
      <c r="I598" s="617">
        <v>414.059</v>
      </c>
      <c r="J598" s="616">
        <v>78.5</v>
      </c>
      <c r="K598" s="638" t="str">
        <f>F597+F599</f>
        <v>839</v>
      </c>
      <c r="L598" s="616" t="str">
        <f>K598/2</f>
        <v>419.589</v>
      </c>
      <c r="M598" s="617">
        <v>123.0</v>
      </c>
      <c r="N598" s="617">
        <v>249.0</v>
      </c>
      <c r="O598" s="617">
        <v>372.0</v>
      </c>
      <c r="P598" s="617">
        <v>149.0</v>
      </c>
      <c r="Q598" s="617">
        <v>239.0</v>
      </c>
      <c r="R598" s="617">
        <v>388.0</v>
      </c>
      <c r="S598" s="617" t="s">
        <v>2093</v>
      </c>
      <c r="T598" s="617" t="s">
        <v>2094</v>
      </c>
      <c r="U598" s="618">
        <v>619287.178</v>
      </c>
      <c r="V598" s="618">
        <v>2635584.86</v>
      </c>
      <c r="W598" s="635"/>
      <c r="X598" s="138" t="s">
        <v>2092</v>
      </c>
      <c r="Y598" s="138" t="s">
        <v>2023</v>
      </c>
      <c r="Z598" s="620" t="s">
        <v>31</v>
      </c>
      <c r="AA598" s="625"/>
      <c r="AB598" s="625"/>
      <c r="AC598" s="625"/>
      <c r="AD598" s="626"/>
    </row>
    <row r="599" ht="24.75" customHeight="1">
      <c r="A599" s="598"/>
      <c r="B599" s="617"/>
      <c r="C599" s="617"/>
      <c r="D599" s="617"/>
      <c r="E599" s="617"/>
      <c r="F599" s="142">
        <v>433.178</v>
      </c>
      <c r="G599" s="617"/>
      <c r="H599" s="600"/>
      <c r="I599" s="617"/>
      <c r="J599" s="617"/>
      <c r="K599" s="616"/>
      <c r="L599" s="616"/>
      <c r="M599" s="617"/>
      <c r="N599" s="617"/>
      <c r="O599" s="617"/>
      <c r="P599" s="617"/>
      <c r="Q599" s="617"/>
      <c r="R599" s="617"/>
      <c r="S599" s="617"/>
      <c r="T599" s="617"/>
      <c r="U599" s="618"/>
      <c r="V599" s="618"/>
      <c r="W599" s="619" t="s">
        <v>2095</v>
      </c>
      <c r="X599" s="606"/>
      <c r="Y599" s="606"/>
      <c r="Z599" s="640"/>
      <c r="AA599" s="625"/>
      <c r="AB599" s="625"/>
      <c r="AC599" s="625"/>
      <c r="AD599" s="626"/>
    </row>
    <row r="600" ht="24.75" customHeight="1">
      <c r="A600" s="608">
        <v>296.0</v>
      </c>
      <c r="B600" s="617" t="s">
        <v>2096</v>
      </c>
      <c r="C600" s="617" t="s">
        <v>363</v>
      </c>
      <c r="D600" s="617" t="s">
        <v>16</v>
      </c>
      <c r="E600" s="617" t="s">
        <v>2097</v>
      </c>
      <c r="F600" s="142"/>
      <c r="G600" s="638" t="str">
        <f>SUM(F577:F599)</f>
        <v>4751</v>
      </c>
      <c r="H600" s="609" t="str">
        <f>H598+F599</f>
        <v>113241.45</v>
      </c>
      <c r="I600" s="617">
        <v>413.6</v>
      </c>
      <c r="J600" s="138">
        <v>70.72</v>
      </c>
      <c r="K600" s="638" t="str">
        <f>F599+F601</f>
        <v>786</v>
      </c>
      <c r="L600" s="616" t="str">
        <f>K600/2</f>
        <v>393.213</v>
      </c>
      <c r="M600" s="617">
        <v>185.0</v>
      </c>
      <c r="N600" s="617">
        <v>116.0</v>
      </c>
      <c r="O600" s="617">
        <v>301.0</v>
      </c>
      <c r="P600" s="617">
        <v>195.0</v>
      </c>
      <c r="Q600" s="617">
        <v>135.0</v>
      </c>
      <c r="R600" s="617">
        <v>330.0</v>
      </c>
      <c r="S600" s="617" t="s">
        <v>2098</v>
      </c>
      <c r="T600" s="617" t="s">
        <v>2099</v>
      </c>
      <c r="U600" s="618">
        <v>619679.85</v>
      </c>
      <c r="V600" s="618">
        <v>2635401.96</v>
      </c>
      <c r="W600" s="619"/>
      <c r="X600" s="138" t="s">
        <v>2092</v>
      </c>
      <c r="Y600" s="138" t="s">
        <v>2023</v>
      </c>
      <c r="Z600" s="620" t="s">
        <v>31</v>
      </c>
      <c r="AA600" s="625"/>
      <c r="AB600" s="625"/>
      <c r="AC600" s="625"/>
      <c r="AD600" s="626"/>
    </row>
    <row r="601" ht="24.75" customHeight="1">
      <c r="A601" s="598"/>
      <c r="B601" s="617"/>
      <c r="C601" s="617"/>
      <c r="D601" s="617"/>
      <c r="E601" s="617"/>
      <c r="F601" s="142">
        <v>353.248</v>
      </c>
      <c r="G601" s="617"/>
      <c r="H601" s="600"/>
      <c r="I601" s="617"/>
      <c r="J601" s="617"/>
      <c r="K601" s="616"/>
      <c r="L601" s="616"/>
      <c r="M601" s="617"/>
      <c r="N601" s="617"/>
      <c r="O601" s="617"/>
      <c r="P601" s="617"/>
      <c r="Q601" s="617"/>
      <c r="R601" s="617"/>
      <c r="S601" s="617"/>
      <c r="T601" s="617"/>
      <c r="U601" s="618"/>
      <c r="V601" s="618"/>
      <c r="W601" s="619" t="s">
        <v>2100</v>
      </c>
      <c r="X601" s="606"/>
      <c r="Y601" s="606"/>
      <c r="Z601" s="640"/>
      <c r="AA601" s="625"/>
      <c r="AB601" s="625"/>
      <c r="AC601" s="625"/>
      <c r="AD601" s="626"/>
    </row>
    <row r="602" ht="24.75" customHeight="1">
      <c r="A602" s="608">
        <v>297.0</v>
      </c>
      <c r="B602" s="617" t="s">
        <v>1101</v>
      </c>
      <c r="C602" s="617" t="s">
        <v>364</v>
      </c>
      <c r="D602" s="617" t="s">
        <v>12</v>
      </c>
      <c r="E602" s="617" t="s">
        <v>2101</v>
      </c>
      <c r="F602" s="142"/>
      <c r="G602" s="617" t="s">
        <v>1101</v>
      </c>
      <c r="H602" s="609" t="str">
        <f>H600+F601</f>
        <v>113594.70</v>
      </c>
      <c r="I602" s="617">
        <v>417.697</v>
      </c>
      <c r="J602" s="616">
        <v>78.5</v>
      </c>
      <c r="K602" s="638" t="str">
        <f>F601+F603</f>
        <v>760</v>
      </c>
      <c r="L602" s="616" t="str">
        <f>K602/2</f>
        <v>380.124</v>
      </c>
      <c r="M602" s="617">
        <v>238.0</v>
      </c>
      <c r="N602" s="617">
        <v>301.0</v>
      </c>
      <c r="O602" s="617">
        <v>539.0</v>
      </c>
      <c r="P602" s="617">
        <v>219.0</v>
      </c>
      <c r="Q602" s="617">
        <v>271.0</v>
      </c>
      <c r="R602" s="617">
        <v>490.0</v>
      </c>
      <c r="S602" s="617" t="s">
        <v>2102</v>
      </c>
      <c r="T602" s="617" t="s">
        <v>2103</v>
      </c>
      <c r="U602" s="618">
        <v>619995.389</v>
      </c>
      <c r="V602" s="618">
        <v>2635243.154</v>
      </c>
      <c r="W602" s="623" t="s">
        <v>1354</v>
      </c>
      <c r="X602" s="138" t="s">
        <v>2104</v>
      </c>
      <c r="Y602" s="138" t="s">
        <v>2023</v>
      </c>
      <c r="Z602" s="620" t="s">
        <v>31</v>
      </c>
      <c r="AA602" s="627">
        <v>2.5</v>
      </c>
      <c r="AB602" s="649">
        <v>2.5</v>
      </c>
      <c r="AC602" s="627">
        <v>0.0</v>
      </c>
      <c r="AD602" s="628">
        <v>0.0</v>
      </c>
    </row>
    <row r="603" ht="24.75" customHeight="1">
      <c r="A603" s="598"/>
      <c r="B603" s="617"/>
      <c r="C603" s="617"/>
      <c r="D603" s="617"/>
      <c r="E603" s="617"/>
      <c r="F603" s="142">
        <v>407.0</v>
      </c>
      <c r="G603" s="617"/>
      <c r="H603" s="600"/>
      <c r="I603" s="617"/>
      <c r="J603" s="617"/>
      <c r="K603" s="616"/>
      <c r="L603" s="616"/>
      <c r="M603" s="617"/>
      <c r="N603" s="617"/>
      <c r="O603" s="617"/>
      <c r="P603" s="617"/>
      <c r="Q603" s="617"/>
      <c r="R603" s="617"/>
      <c r="S603" s="617"/>
      <c r="T603" s="617"/>
      <c r="U603" s="618"/>
      <c r="V603" s="618"/>
      <c r="W603" s="619" t="s">
        <v>2105</v>
      </c>
      <c r="X603" s="606"/>
      <c r="Y603" s="606"/>
      <c r="Z603" s="640"/>
      <c r="AA603" s="625"/>
      <c r="AB603" s="625"/>
      <c r="AC603" s="625"/>
      <c r="AD603" s="626"/>
    </row>
    <row r="604" ht="24.75" customHeight="1">
      <c r="A604" s="608">
        <v>298.0</v>
      </c>
      <c r="B604" s="617" t="s">
        <v>1101</v>
      </c>
      <c r="C604" s="617" t="s">
        <v>365</v>
      </c>
      <c r="D604" s="617" t="s">
        <v>11</v>
      </c>
      <c r="E604" s="617" t="s">
        <v>2106</v>
      </c>
      <c r="F604" s="142"/>
      <c r="G604" s="617" t="s">
        <v>1101</v>
      </c>
      <c r="H604" s="609" t="str">
        <f>H602+F603</f>
        <v>114001.70</v>
      </c>
      <c r="I604" s="617">
        <v>406.747</v>
      </c>
      <c r="J604" s="616">
        <v>71.0</v>
      </c>
      <c r="K604" s="638" t="str">
        <f>F603+F605</f>
        <v>823</v>
      </c>
      <c r="L604" s="616" t="str">
        <f>K604/2</f>
        <v>411.5</v>
      </c>
      <c r="M604" s="617">
        <v>107.0</v>
      </c>
      <c r="N604" s="617">
        <v>187.0</v>
      </c>
      <c r="O604" s="617">
        <v>294.0</v>
      </c>
      <c r="P604" s="617">
        <v>137.0</v>
      </c>
      <c r="Q604" s="617">
        <v>194.0</v>
      </c>
      <c r="R604" s="617">
        <v>331.0</v>
      </c>
      <c r="S604" s="617" t="s">
        <v>2107</v>
      </c>
      <c r="T604" s="617" t="s">
        <v>2108</v>
      </c>
      <c r="U604" s="618">
        <v>620356.505</v>
      </c>
      <c r="V604" s="618">
        <v>2635055.549</v>
      </c>
      <c r="W604" s="616"/>
      <c r="X604" s="138" t="s">
        <v>2104</v>
      </c>
      <c r="Y604" s="138" t="s">
        <v>2023</v>
      </c>
      <c r="Z604" s="620" t="s">
        <v>31</v>
      </c>
      <c r="AA604" s="625"/>
      <c r="AB604" s="625"/>
      <c r="AC604" s="625"/>
      <c r="AD604" s="626"/>
    </row>
    <row r="605" ht="24.75" customHeight="1">
      <c r="A605" s="598"/>
      <c r="B605" s="617"/>
      <c r="C605" s="617"/>
      <c r="D605" s="617"/>
      <c r="E605" s="617"/>
      <c r="F605" s="142">
        <v>416.0</v>
      </c>
      <c r="G605" s="617"/>
      <c r="H605" s="600"/>
      <c r="I605" s="617"/>
      <c r="J605" s="617"/>
      <c r="K605" s="616"/>
      <c r="L605" s="616"/>
      <c r="M605" s="617"/>
      <c r="N605" s="617"/>
      <c r="O605" s="617"/>
      <c r="P605" s="617"/>
      <c r="Q605" s="617"/>
      <c r="R605" s="617"/>
      <c r="S605" s="617"/>
      <c r="T605" s="617"/>
      <c r="U605" s="618"/>
      <c r="V605" s="618"/>
      <c r="W605" s="619" t="s">
        <v>2109</v>
      </c>
      <c r="X605" s="606"/>
      <c r="Y605" s="606"/>
      <c r="Z605" s="640"/>
      <c r="AA605" s="625"/>
      <c r="AB605" s="625"/>
      <c r="AC605" s="625"/>
      <c r="AD605" s="626"/>
    </row>
    <row r="606" ht="24.75" customHeight="1">
      <c r="A606" s="608">
        <v>299.0</v>
      </c>
      <c r="B606" s="617" t="s">
        <v>1101</v>
      </c>
      <c r="C606" s="617" t="s">
        <v>366</v>
      </c>
      <c r="D606" s="617" t="s">
        <v>12</v>
      </c>
      <c r="E606" s="617" t="s">
        <v>1101</v>
      </c>
      <c r="F606" s="142"/>
      <c r="G606" s="617" t="s">
        <v>1101</v>
      </c>
      <c r="H606" s="609" t="str">
        <f>H604+F605</f>
        <v>114417.70</v>
      </c>
      <c r="I606" s="617">
        <v>403.349</v>
      </c>
      <c r="J606" s="616">
        <v>78.5</v>
      </c>
      <c r="K606" s="638" t="str">
        <f>F605+F607</f>
        <v>789</v>
      </c>
      <c r="L606" s="616" t="str">
        <f>K606/2</f>
        <v>394.5</v>
      </c>
      <c r="M606" s="617">
        <v>230.0</v>
      </c>
      <c r="N606" s="617">
        <v>245.0</v>
      </c>
      <c r="O606" s="617">
        <v>475.0</v>
      </c>
      <c r="P606" s="617">
        <v>223.0</v>
      </c>
      <c r="Q606" s="617">
        <v>227.0</v>
      </c>
      <c r="R606" s="617">
        <v>450.0</v>
      </c>
      <c r="S606" s="617" t="s">
        <v>2110</v>
      </c>
      <c r="T606" s="617" t="s">
        <v>2111</v>
      </c>
      <c r="U606" s="618">
        <v>620728.447</v>
      </c>
      <c r="V606" s="618">
        <v>2634869.23</v>
      </c>
      <c r="W606" s="616"/>
      <c r="X606" s="138" t="s">
        <v>2104</v>
      </c>
      <c r="Y606" s="138" t="s">
        <v>2023</v>
      </c>
      <c r="Z606" s="620" t="s">
        <v>31</v>
      </c>
      <c r="AA606" s="625"/>
      <c r="AB606" s="625"/>
      <c r="AC606" s="625"/>
      <c r="AD606" s="626"/>
    </row>
    <row r="607" ht="12.75" customHeight="1">
      <c r="A607" s="598"/>
      <c r="B607" s="617"/>
      <c r="C607" s="617"/>
      <c r="D607" s="617"/>
      <c r="E607" s="617"/>
      <c r="F607" s="142">
        <v>373.0</v>
      </c>
      <c r="G607" s="617"/>
      <c r="H607" s="600"/>
      <c r="I607" s="617"/>
      <c r="J607" s="617"/>
      <c r="K607" s="616"/>
      <c r="L607" s="616"/>
      <c r="M607" s="617"/>
      <c r="N607" s="617"/>
      <c r="O607" s="617"/>
      <c r="P607" s="617"/>
      <c r="Q607" s="617"/>
      <c r="R607" s="617"/>
      <c r="S607" s="617"/>
      <c r="T607" s="617"/>
      <c r="U607" s="618"/>
      <c r="V607" s="618"/>
      <c r="W607" s="619" t="s">
        <v>2112</v>
      </c>
      <c r="X607" s="606"/>
      <c r="Y607" s="606"/>
      <c r="Z607" s="640"/>
      <c r="AA607" s="625"/>
      <c r="AB607" s="625"/>
      <c r="AC607" s="625"/>
      <c r="AD607" s="626"/>
    </row>
    <row r="608" ht="24.75" customHeight="1">
      <c r="A608" s="608">
        <v>300.0</v>
      </c>
      <c r="B608" s="617" t="s">
        <v>1101</v>
      </c>
      <c r="C608" s="617" t="s">
        <v>367</v>
      </c>
      <c r="D608" s="617" t="s">
        <v>15</v>
      </c>
      <c r="E608" s="617" t="s">
        <v>1101</v>
      </c>
      <c r="F608" s="142"/>
      <c r="G608" s="617" t="s">
        <v>1101</v>
      </c>
      <c r="H608" s="609" t="str">
        <f>H606+F607</f>
        <v>114790.70</v>
      </c>
      <c r="I608" s="617">
        <v>402.196</v>
      </c>
      <c r="J608" s="616">
        <v>69.5</v>
      </c>
      <c r="K608" s="638" t="str">
        <f>F607+F609</f>
        <v>762</v>
      </c>
      <c r="L608" s="616" t="str">
        <f>K608/2</f>
        <v>381</v>
      </c>
      <c r="M608" s="617">
        <v>128.0</v>
      </c>
      <c r="N608" s="617">
        <v>165.0</v>
      </c>
      <c r="O608" s="617">
        <v>293.0</v>
      </c>
      <c r="P608" s="617">
        <v>147.0</v>
      </c>
      <c r="Q608" s="617">
        <v>175.0</v>
      </c>
      <c r="R608" s="617">
        <v>322.0</v>
      </c>
      <c r="S608" s="617" t="s">
        <v>2113</v>
      </c>
      <c r="T608" s="617" t="s">
        <v>2114</v>
      </c>
      <c r="U608" s="618">
        <v>621061.944</v>
      </c>
      <c r="V608" s="618">
        <v>2634702.169</v>
      </c>
      <c r="W608" s="616"/>
      <c r="X608" s="138" t="s">
        <v>2104</v>
      </c>
      <c r="Y608" s="138" t="s">
        <v>2023</v>
      </c>
      <c r="Z608" s="620" t="s">
        <v>31</v>
      </c>
      <c r="AA608" s="625"/>
      <c r="AB608" s="625"/>
      <c r="AC608" s="625"/>
      <c r="AD608" s="626"/>
    </row>
    <row r="609" ht="24.75" customHeight="1">
      <c r="A609" s="598"/>
      <c r="B609" s="617"/>
      <c r="C609" s="617"/>
      <c r="D609" s="617"/>
      <c r="E609" s="617"/>
      <c r="F609" s="142">
        <v>389.0</v>
      </c>
      <c r="G609" s="617"/>
      <c r="H609" s="600"/>
      <c r="I609" s="617"/>
      <c r="J609" s="617"/>
      <c r="K609" s="616"/>
      <c r="L609" s="616"/>
      <c r="M609" s="617"/>
      <c r="N609" s="617"/>
      <c r="O609" s="617"/>
      <c r="P609" s="617"/>
      <c r="Q609" s="617"/>
      <c r="R609" s="617"/>
      <c r="S609" s="617"/>
      <c r="T609" s="617"/>
      <c r="U609" s="618"/>
      <c r="V609" s="618"/>
      <c r="W609" s="619" t="s">
        <v>2105</v>
      </c>
      <c r="X609" s="606"/>
      <c r="Y609" s="606"/>
      <c r="Z609" s="640"/>
      <c r="AA609" s="625"/>
      <c r="AB609" s="625"/>
      <c r="AC609" s="625"/>
      <c r="AD609" s="626"/>
    </row>
    <row r="610" ht="24.75" customHeight="1">
      <c r="A610" s="608">
        <v>301.0</v>
      </c>
      <c r="B610" s="617" t="s">
        <v>1101</v>
      </c>
      <c r="C610" s="617" t="s">
        <v>368</v>
      </c>
      <c r="D610" s="617" t="s">
        <v>34</v>
      </c>
      <c r="E610" s="617" t="s">
        <v>1101</v>
      </c>
      <c r="F610" s="142"/>
      <c r="G610" s="617" t="s">
        <v>1101</v>
      </c>
      <c r="H610" s="609" t="str">
        <f>H608+F609</f>
        <v>115179.70</v>
      </c>
      <c r="I610" s="617">
        <v>401.524</v>
      </c>
      <c r="J610" s="616">
        <v>75.5</v>
      </c>
      <c r="K610" s="638" t="str">
        <f>F609+F611</f>
        <v>788</v>
      </c>
      <c r="L610" s="616" t="str">
        <f>K610/2</f>
        <v>394</v>
      </c>
      <c r="M610" s="617">
        <v>224.0</v>
      </c>
      <c r="N610" s="617">
        <v>232.0</v>
      </c>
      <c r="O610" s="617">
        <v>456.0</v>
      </c>
      <c r="P610" s="617">
        <v>215.0</v>
      </c>
      <c r="Q610" s="617">
        <v>222.0</v>
      </c>
      <c r="R610" s="617">
        <v>437.0</v>
      </c>
      <c r="S610" s="617" t="s">
        <v>2115</v>
      </c>
      <c r="T610" s="617" t="s">
        <v>2116</v>
      </c>
      <c r="U610" s="618">
        <v>621409.746</v>
      </c>
      <c r="V610" s="618">
        <v>2634527.943</v>
      </c>
      <c r="W610" s="616"/>
      <c r="X610" s="138" t="s">
        <v>2104</v>
      </c>
      <c r="Y610" s="138" t="s">
        <v>2023</v>
      </c>
      <c r="Z610" s="620" t="s">
        <v>31</v>
      </c>
      <c r="AA610" s="625"/>
      <c r="AB610" s="625"/>
      <c r="AC610" s="625"/>
      <c r="AD610" s="626"/>
    </row>
    <row r="611" ht="24.75" customHeight="1">
      <c r="A611" s="598"/>
      <c r="B611" s="617"/>
      <c r="C611" s="617"/>
      <c r="D611" s="617"/>
      <c r="E611" s="617"/>
      <c r="F611" s="142">
        <v>399.0</v>
      </c>
      <c r="G611" s="617"/>
      <c r="H611" s="600"/>
      <c r="I611" s="617"/>
      <c r="J611" s="617"/>
      <c r="K611" s="616"/>
      <c r="L611" s="616"/>
      <c r="M611" s="617"/>
      <c r="N611" s="617"/>
      <c r="O611" s="617"/>
      <c r="P611" s="617"/>
      <c r="Q611" s="617"/>
      <c r="R611" s="617"/>
      <c r="S611" s="617"/>
      <c r="T611" s="617"/>
      <c r="U611" s="618"/>
      <c r="V611" s="618"/>
      <c r="W611" s="619" t="s">
        <v>1256</v>
      </c>
      <c r="X611" s="606"/>
      <c r="Y611" s="606"/>
      <c r="Z611" s="640"/>
      <c r="AA611" s="625"/>
      <c r="AB611" s="625"/>
      <c r="AC611" s="625"/>
      <c r="AD611" s="626"/>
    </row>
    <row r="612" ht="24.75" customHeight="1">
      <c r="A612" s="608">
        <v>302.0</v>
      </c>
      <c r="B612" s="617" t="s">
        <v>1101</v>
      </c>
      <c r="C612" s="617" t="s">
        <v>369</v>
      </c>
      <c r="D612" s="617" t="s">
        <v>11</v>
      </c>
      <c r="E612" s="617" t="s">
        <v>1101</v>
      </c>
      <c r="F612" s="142"/>
      <c r="G612" s="617" t="s">
        <v>1101</v>
      </c>
      <c r="H612" s="609" t="str">
        <f>H610+F611</f>
        <v>115578.70</v>
      </c>
      <c r="I612" s="617">
        <v>400.071</v>
      </c>
      <c r="J612" s="616">
        <v>71.0</v>
      </c>
      <c r="K612" s="638" t="str">
        <f>F611+F613</f>
        <v>811</v>
      </c>
      <c r="L612" s="616" t="str">
        <f>K612/2</f>
        <v>405.5</v>
      </c>
      <c r="M612" s="617">
        <v>168.0</v>
      </c>
      <c r="N612" s="617">
        <v>172.0</v>
      </c>
      <c r="O612" s="617">
        <v>340.0</v>
      </c>
      <c r="P612" s="617">
        <v>178.0</v>
      </c>
      <c r="Q612" s="617">
        <v>183.0</v>
      </c>
      <c r="R612" s="617">
        <v>361.0</v>
      </c>
      <c r="S612" s="617" t="s">
        <v>2117</v>
      </c>
      <c r="T612" s="617" t="s">
        <v>2118</v>
      </c>
      <c r="U612" s="618">
        <v>621766.488</v>
      </c>
      <c r="V612" s="618">
        <v>2634349.238</v>
      </c>
      <c r="W612" s="616"/>
      <c r="X612" s="138" t="s">
        <v>2104</v>
      </c>
      <c r="Y612" s="138" t="s">
        <v>2023</v>
      </c>
      <c r="Z612" s="620" t="s">
        <v>31</v>
      </c>
      <c r="AA612" s="625"/>
      <c r="AB612" s="625"/>
      <c r="AC612" s="625"/>
      <c r="AD612" s="626"/>
    </row>
    <row r="613" ht="24.75" customHeight="1">
      <c r="A613" s="598"/>
      <c r="B613" s="617"/>
      <c r="C613" s="617"/>
      <c r="D613" s="617"/>
      <c r="E613" s="617"/>
      <c r="F613" s="142">
        <v>412.0</v>
      </c>
      <c r="G613" s="617"/>
      <c r="H613" s="600"/>
      <c r="I613" s="617"/>
      <c r="J613" s="617"/>
      <c r="K613" s="616"/>
      <c r="L613" s="616"/>
      <c r="M613" s="617"/>
      <c r="N613" s="617"/>
      <c r="O613" s="617"/>
      <c r="P613" s="617"/>
      <c r="Q613" s="617"/>
      <c r="R613" s="617"/>
      <c r="S613" s="617"/>
      <c r="T613" s="617"/>
      <c r="U613" s="618"/>
      <c r="V613" s="618"/>
      <c r="W613" s="619" t="s">
        <v>2119</v>
      </c>
      <c r="X613" s="606"/>
      <c r="Y613" s="606"/>
      <c r="Z613" s="640"/>
      <c r="AA613" s="625"/>
      <c r="AB613" s="625"/>
      <c r="AC613" s="625"/>
      <c r="AD613" s="626"/>
    </row>
    <row r="614" ht="24.75" customHeight="1">
      <c r="A614" s="608">
        <v>303.0</v>
      </c>
      <c r="B614" s="617" t="s">
        <v>1101</v>
      </c>
      <c r="C614" s="617" t="s">
        <v>370</v>
      </c>
      <c r="D614" s="617" t="s">
        <v>12</v>
      </c>
      <c r="E614" s="617" t="s">
        <v>1101</v>
      </c>
      <c r="F614" s="142"/>
      <c r="G614" s="617" t="s">
        <v>1101</v>
      </c>
      <c r="H614" s="609" t="str">
        <f>H612+F613</f>
        <v>115990.70</v>
      </c>
      <c r="I614" s="617">
        <v>399.199</v>
      </c>
      <c r="J614" s="616">
        <v>78.5</v>
      </c>
      <c r="K614" s="638" t="str">
        <f>F613+F615</f>
        <v>830</v>
      </c>
      <c r="L614" s="616" t="str">
        <f>K614/2</f>
        <v>415</v>
      </c>
      <c r="M614" s="617">
        <v>241.0</v>
      </c>
      <c r="N614" s="617">
        <v>262.0</v>
      </c>
      <c r="O614" s="617">
        <v>503.0</v>
      </c>
      <c r="P614" s="617">
        <v>230.0</v>
      </c>
      <c r="Q614" s="617">
        <v>246.0</v>
      </c>
      <c r="R614" s="617">
        <v>476.0</v>
      </c>
      <c r="S614" s="617" t="s">
        <v>2120</v>
      </c>
      <c r="T614" s="617" t="s">
        <v>2121</v>
      </c>
      <c r="U614" s="618">
        <v>622134.854</v>
      </c>
      <c r="V614" s="618">
        <v>2634164.71</v>
      </c>
      <c r="W614" s="616"/>
      <c r="X614" s="138" t="s">
        <v>2104</v>
      </c>
      <c r="Y614" s="138" t="s">
        <v>2023</v>
      </c>
      <c r="Z614" s="620" t="s">
        <v>31</v>
      </c>
      <c r="AA614" s="625"/>
      <c r="AB614" s="625"/>
      <c r="AC614" s="625"/>
      <c r="AD614" s="626"/>
    </row>
    <row r="615" ht="12.75" customHeight="1">
      <c r="A615" s="598"/>
      <c r="B615" s="617"/>
      <c r="C615" s="617"/>
      <c r="D615" s="617"/>
      <c r="E615" s="617"/>
      <c r="F615" s="142">
        <v>418.0</v>
      </c>
      <c r="G615" s="617"/>
      <c r="H615" s="600"/>
      <c r="I615" s="617"/>
      <c r="J615" s="617"/>
      <c r="K615" s="616"/>
      <c r="L615" s="616"/>
      <c r="M615" s="617"/>
      <c r="N615" s="617"/>
      <c r="O615" s="617"/>
      <c r="P615" s="617"/>
      <c r="Q615" s="617"/>
      <c r="R615" s="617"/>
      <c r="S615" s="617"/>
      <c r="T615" s="617"/>
      <c r="U615" s="618"/>
      <c r="V615" s="618"/>
      <c r="W615" s="619" t="s">
        <v>2122</v>
      </c>
      <c r="X615" s="606"/>
      <c r="Y615" s="606"/>
      <c r="Z615" s="640"/>
      <c r="AA615" s="625"/>
      <c r="AB615" s="625"/>
      <c r="AC615" s="625"/>
      <c r="AD615" s="626"/>
    </row>
    <row r="616" ht="24.75" customHeight="1">
      <c r="A616" s="608">
        <v>304.0</v>
      </c>
      <c r="B616" s="617" t="s">
        <v>1101</v>
      </c>
      <c r="C616" s="617" t="s">
        <v>371</v>
      </c>
      <c r="D616" s="617" t="s">
        <v>15</v>
      </c>
      <c r="E616" s="617" t="s">
        <v>1101</v>
      </c>
      <c r="F616" s="142"/>
      <c r="G616" s="617" t="s">
        <v>1101</v>
      </c>
      <c r="H616" s="609" t="str">
        <f>H614+F615</f>
        <v>116408.70</v>
      </c>
      <c r="I616" s="617">
        <v>397.889</v>
      </c>
      <c r="J616" s="616">
        <v>69.5</v>
      </c>
      <c r="K616" s="638" t="str">
        <f>F615+F617</f>
        <v>812</v>
      </c>
      <c r="L616" s="616" t="str">
        <f>K616/2</f>
        <v>406.0535</v>
      </c>
      <c r="M616" s="617">
        <v>156.0</v>
      </c>
      <c r="N616" s="617">
        <v>155.0</v>
      </c>
      <c r="O616" s="617">
        <v>311.0</v>
      </c>
      <c r="P616" s="617">
        <v>173.0</v>
      </c>
      <c r="Q616" s="617">
        <v>169.0</v>
      </c>
      <c r="R616" s="617">
        <v>342.0</v>
      </c>
      <c r="S616" s="617" t="s">
        <v>2123</v>
      </c>
      <c r="T616" s="617" t="s">
        <v>2124</v>
      </c>
      <c r="U616" s="618">
        <v>622508.585</v>
      </c>
      <c r="V616" s="618">
        <v>2633977.495</v>
      </c>
      <c r="W616" s="616"/>
      <c r="X616" s="138" t="s">
        <v>2104</v>
      </c>
      <c r="Y616" s="138" t="s">
        <v>2023</v>
      </c>
      <c r="Z616" s="620" t="s">
        <v>31</v>
      </c>
      <c r="AA616" s="625"/>
      <c r="AB616" s="625"/>
      <c r="AC616" s="625"/>
      <c r="AD616" s="626"/>
    </row>
    <row r="617" ht="24.75" customHeight="1">
      <c r="A617" s="598"/>
      <c r="B617" s="617"/>
      <c r="C617" s="617"/>
      <c r="D617" s="617"/>
      <c r="E617" s="617"/>
      <c r="F617" s="142">
        <v>394.107</v>
      </c>
      <c r="G617" s="617"/>
      <c r="H617" s="600"/>
      <c r="I617" s="617"/>
      <c r="J617" s="617"/>
      <c r="K617" s="616"/>
      <c r="L617" s="616"/>
      <c r="M617" s="617"/>
      <c r="N617" s="617"/>
      <c r="O617" s="617"/>
      <c r="P617" s="617"/>
      <c r="Q617" s="617"/>
      <c r="R617" s="617"/>
      <c r="S617" s="617"/>
      <c r="T617" s="617"/>
      <c r="U617" s="618"/>
      <c r="V617" s="618"/>
      <c r="W617" s="619" t="s">
        <v>2125</v>
      </c>
      <c r="X617" s="606"/>
      <c r="Y617" s="606"/>
      <c r="Z617" s="640"/>
      <c r="AA617" s="625"/>
      <c r="AB617" s="625"/>
      <c r="AC617" s="625"/>
      <c r="AD617" s="626"/>
    </row>
    <row r="618" ht="24.75" customHeight="1">
      <c r="A618" s="608">
        <v>305.0</v>
      </c>
      <c r="B618" s="617" t="s">
        <v>2126</v>
      </c>
      <c r="C618" s="617" t="s">
        <v>372</v>
      </c>
      <c r="D618" s="617" t="s">
        <v>250</v>
      </c>
      <c r="E618" s="617" t="s">
        <v>2127</v>
      </c>
      <c r="F618" s="142"/>
      <c r="G618" s="638" t="str">
        <f>SUM(F601:F617)</f>
        <v>3561</v>
      </c>
      <c r="H618" s="609" t="str">
        <f>H616+F617</f>
        <v>116802.81</v>
      </c>
      <c r="I618" s="617">
        <v>396.634</v>
      </c>
      <c r="J618" s="616">
        <v>76.72</v>
      </c>
      <c r="K618" s="638" t="str">
        <f>F617+F619</f>
        <v>793</v>
      </c>
      <c r="L618" s="616" t="str">
        <f>K618/2</f>
        <v>396.5535</v>
      </c>
      <c r="M618" s="617">
        <v>240.0</v>
      </c>
      <c r="N618" s="617">
        <v>245.0</v>
      </c>
      <c r="O618" s="617">
        <v>485.0</v>
      </c>
      <c r="P618" s="617">
        <v>227.0</v>
      </c>
      <c r="Q618" s="617">
        <v>231.0</v>
      </c>
      <c r="R618" s="617">
        <v>458.0</v>
      </c>
      <c r="S618" s="617" t="s">
        <v>2128</v>
      </c>
      <c r="T618" s="617" t="s">
        <v>2129</v>
      </c>
      <c r="U618" s="618">
        <v>622860.953</v>
      </c>
      <c r="V618" s="618">
        <v>2633800.981</v>
      </c>
      <c r="W618" s="616"/>
      <c r="X618" s="138" t="s">
        <v>2104</v>
      </c>
      <c r="Y618" s="138" t="s">
        <v>2023</v>
      </c>
      <c r="Z618" s="620" t="s">
        <v>31</v>
      </c>
      <c r="AA618" s="625"/>
      <c r="AB618" s="625"/>
      <c r="AC618" s="625"/>
      <c r="AD618" s="626"/>
    </row>
    <row r="619" ht="12.75" customHeight="1">
      <c r="A619" s="598"/>
      <c r="B619" s="617"/>
      <c r="C619" s="617"/>
      <c r="D619" s="617"/>
      <c r="E619" s="617"/>
      <c r="F619" s="142">
        <v>399.0</v>
      </c>
      <c r="G619" s="617"/>
      <c r="H619" s="600"/>
      <c r="I619" s="617"/>
      <c r="J619" s="617"/>
      <c r="K619" s="616"/>
      <c r="L619" s="616"/>
      <c r="M619" s="617"/>
      <c r="N619" s="617"/>
      <c r="O619" s="617"/>
      <c r="P619" s="617"/>
      <c r="Q619" s="617"/>
      <c r="R619" s="617"/>
      <c r="S619" s="617"/>
      <c r="T619" s="617"/>
      <c r="U619" s="618"/>
      <c r="V619" s="618"/>
      <c r="W619" s="619" t="s">
        <v>2122</v>
      </c>
      <c r="X619" s="606"/>
      <c r="Y619" s="606"/>
      <c r="Z619" s="640"/>
      <c r="AA619" s="625"/>
      <c r="AB619" s="625"/>
      <c r="AC619" s="625"/>
      <c r="AD619" s="626"/>
    </row>
    <row r="620" ht="24.75" customHeight="1">
      <c r="A620" s="608">
        <v>306.0</v>
      </c>
      <c r="B620" s="617" t="s">
        <v>1101</v>
      </c>
      <c r="C620" s="617" t="s">
        <v>373</v>
      </c>
      <c r="D620" s="617" t="s">
        <v>15</v>
      </c>
      <c r="E620" s="617" t="s">
        <v>1101</v>
      </c>
      <c r="F620" s="142"/>
      <c r="G620" s="617" t="s">
        <v>1101</v>
      </c>
      <c r="H620" s="609" t="str">
        <f>H618+F619</f>
        <v>117201.81</v>
      </c>
      <c r="I620" s="617">
        <v>397.221</v>
      </c>
      <c r="J620" s="616">
        <v>69.5</v>
      </c>
      <c r="K620" s="638" t="str">
        <f>F619+F621</f>
        <v>747</v>
      </c>
      <c r="L620" s="616" t="str">
        <f>K620/2</f>
        <v>373.5</v>
      </c>
      <c r="M620" s="617">
        <v>155.0</v>
      </c>
      <c r="N620" s="617">
        <v>214.0</v>
      </c>
      <c r="O620" s="617">
        <v>369.0</v>
      </c>
      <c r="P620" s="617">
        <v>169.0</v>
      </c>
      <c r="Q620" s="617">
        <v>202.0</v>
      </c>
      <c r="R620" s="617">
        <v>371.0</v>
      </c>
      <c r="S620" s="617" t="s">
        <v>2130</v>
      </c>
      <c r="T620" s="617" t="s">
        <v>2131</v>
      </c>
      <c r="U620" s="618">
        <v>623185.315</v>
      </c>
      <c r="V620" s="618">
        <v>2633568.623</v>
      </c>
      <c r="W620" s="616"/>
      <c r="X620" s="138" t="s">
        <v>2104</v>
      </c>
      <c r="Y620" s="138" t="s">
        <v>2023</v>
      </c>
      <c r="Z620" s="620" t="s">
        <v>31</v>
      </c>
      <c r="AA620" s="625"/>
      <c r="AB620" s="625"/>
      <c r="AC620" s="625"/>
      <c r="AD620" s="626"/>
    </row>
    <row r="621" ht="24.75" customHeight="1">
      <c r="A621" s="598"/>
      <c r="B621" s="617"/>
      <c r="C621" s="617"/>
      <c r="D621" s="617"/>
      <c r="E621" s="617"/>
      <c r="F621" s="142">
        <v>348.0</v>
      </c>
      <c r="G621" s="617"/>
      <c r="H621" s="600"/>
      <c r="I621" s="617"/>
      <c r="J621" s="617"/>
      <c r="K621" s="616"/>
      <c r="L621" s="616"/>
      <c r="M621" s="617"/>
      <c r="N621" s="617"/>
      <c r="O621" s="617"/>
      <c r="P621" s="617"/>
      <c r="Q621" s="617"/>
      <c r="R621" s="617"/>
      <c r="S621" s="617"/>
      <c r="T621" s="617"/>
      <c r="U621" s="618"/>
      <c r="V621" s="618"/>
      <c r="W621" s="619" t="s">
        <v>2132</v>
      </c>
      <c r="X621" s="606"/>
      <c r="Y621" s="606"/>
      <c r="Z621" s="640"/>
      <c r="AA621" s="625"/>
      <c r="AB621" s="625"/>
      <c r="AC621" s="625"/>
      <c r="AD621" s="626"/>
    </row>
    <row r="622" ht="24.75" customHeight="1">
      <c r="A622" s="608">
        <v>307.0</v>
      </c>
      <c r="B622" s="617" t="s">
        <v>1101</v>
      </c>
      <c r="C622" s="617" t="s">
        <v>374</v>
      </c>
      <c r="D622" s="617" t="s">
        <v>15</v>
      </c>
      <c r="E622" s="617" t="s">
        <v>1101</v>
      </c>
      <c r="F622" s="142"/>
      <c r="G622" s="617" t="s">
        <v>1101</v>
      </c>
      <c r="H622" s="609" t="str">
        <f>H620+F621</f>
        <v>117549.81</v>
      </c>
      <c r="I622" s="617">
        <v>390.617</v>
      </c>
      <c r="J622" s="616">
        <v>69.5</v>
      </c>
      <c r="K622" s="638" t="str">
        <f>F621+F623</f>
        <v>706</v>
      </c>
      <c r="L622" s="616" t="str">
        <f>K622/2</f>
        <v>353</v>
      </c>
      <c r="M622" s="617">
        <v>134.0</v>
      </c>
      <c r="N622" s="617">
        <v>120.0</v>
      </c>
      <c r="O622" s="617">
        <v>254.0</v>
      </c>
      <c r="P622" s="617">
        <v>146.0</v>
      </c>
      <c r="Q622" s="617">
        <v>138.0</v>
      </c>
      <c r="R622" s="617">
        <v>284.0</v>
      </c>
      <c r="S622" s="617" t="s">
        <v>2133</v>
      </c>
      <c r="T622" s="617" t="s">
        <v>2134</v>
      </c>
      <c r="U622" s="618">
        <v>623468.217</v>
      </c>
      <c r="V622" s="618">
        <v>2633365.965</v>
      </c>
      <c r="W622" s="616"/>
      <c r="X622" s="138" t="s">
        <v>2135</v>
      </c>
      <c r="Y622" s="138" t="s">
        <v>2023</v>
      </c>
      <c r="Z622" s="620" t="s">
        <v>31</v>
      </c>
      <c r="AA622" s="625"/>
      <c r="AB622" s="625"/>
      <c r="AC622" s="625"/>
      <c r="AD622" s="626"/>
    </row>
    <row r="623" ht="12.75" customHeight="1">
      <c r="A623" s="598"/>
      <c r="B623" s="617"/>
      <c r="C623" s="617"/>
      <c r="D623" s="617"/>
      <c r="E623" s="617"/>
      <c r="F623" s="142">
        <v>358.0</v>
      </c>
      <c r="G623" s="617"/>
      <c r="H623" s="600"/>
      <c r="I623" s="617"/>
      <c r="J623" s="617"/>
      <c r="K623" s="616"/>
      <c r="L623" s="616"/>
      <c r="M623" s="617"/>
      <c r="N623" s="617"/>
      <c r="O623" s="617"/>
      <c r="P623" s="617"/>
      <c r="Q623" s="617"/>
      <c r="R623" s="617"/>
      <c r="S623" s="617"/>
      <c r="T623" s="617"/>
      <c r="U623" s="618"/>
      <c r="V623" s="618"/>
      <c r="W623" s="619" t="s">
        <v>2136</v>
      </c>
      <c r="X623" s="606"/>
      <c r="Y623" s="606"/>
      <c r="Z623" s="640"/>
      <c r="AA623" s="625"/>
      <c r="AB623" s="625"/>
      <c r="AC623" s="625"/>
      <c r="AD623" s="626"/>
    </row>
    <row r="624" ht="24.75" customHeight="1">
      <c r="A624" s="608">
        <v>308.0</v>
      </c>
      <c r="B624" s="617" t="s">
        <v>1101</v>
      </c>
      <c r="C624" s="617" t="s">
        <v>375</v>
      </c>
      <c r="D624" s="617" t="s">
        <v>14</v>
      </c>
      <c r="E624" s="617" t="s">
        <v>1101</v>
      </c>
      <c r="F624" s="142"/>
      <c r="G624" s="617" t="s">
        <v>1101</v>
      </c>
      <c r="H624" s="609" t="str">
        <f>H622+F623</f>
        <v>117907.81</v>
      </c>
      <c r="I624" s="617">
        <v>388.639</v>
      </c>
      <c r="J624" s="616">
        <v>81.5</v>
      </c>
      <c r="K624" s="638" t="str">
        <f>F623+F625</f>
        <v>836</v>
      </c>
      <c r="L624" s="616" t="str">
        <f>K624/2</f>
        <v>418.1025</v>
      </c>
      <c r="M624" s="617">
        <v>239.0</v>
      </c>
      <c r="N624" s="617">
        <v>264.0</v>
      </c>
      <c r="O624" s="617">
        <v>503.0</v>
      </c>
      <c r="P624" s="617">
        <v>221.0</v>
      </c>
      <c r="Q624" s="617">
        <v>257.0</v>
      </c>
      <c r="R624" s="617">
        <v>478.0</v>
      </c>
      <c r="S624" s="617" t="s">
        <v>2137</v>
      </c>
      <c r="T624" s="617" t="s">
        <v>2138</v>
      </c>
      <c r="U624" s="618">
        <v>623759.249</v>
      </c>
      <c r="V624" s="618">
        <v>2633157.483</v>
      </c>
      <c r="W624" s="623" t="s">
        <v>1354</v>
      </c>
      <c r="X624" s="138" t="s">
        <v>2135</v>
      </c>
      <c r="Y624" s="138" t="s">
        <v>2023</v>
      </c>
      <c r="Z624" s="620" t="s">
        <v>31</v>
      </c>
      <c r="AA624" s="627">
        <v>0.0</v>
      </c>
      <c r="AB624" s="627">
        <v>0.0</v>
      </c>
      <c r="AC624" s="627">
        <v>2.0</v>
      </c>
      <c r="AD624" s="628">
        <v>0.0</v>
      </c>
    </row>
    <row r="625" ht="24.75" customHeight="1">
      <c r="A625" s="598"/>
      <c r="B625" s="617"/>
      <c r="C625" s="617"/>
      <c r="D625" s="617"/>
      <c r="E625" s="617"/>
      <c r="F625" s="142">
        <v>478.205</v>
      </c>
      <c r="G625" s="617"/>
      <c r="H625" s="600"/>
      <c r="I625" s="617"/>
      <c r="J625" s="617"/>
      <c r="K625" s="616"/>
      <c r="L625" s="616"/>
      <c r="M625" s="617"/>
      <c r="N625" s="617"/>
      <c r="O625" s="617"/>
      <c r="P625" s="617"/>
      <c r="Q625" s="617"/>
      <c r="R625" s="617"/>
      <c r="S625" s="617"/>
      <c r="T625" s="617"/>
      <c r="U625" s="618"/>
      <c r="V625" s="618"/>
      <c r="W625" s="619" t="s">
        <v>2139</v>
      </c>
      <c r="X625" s="606"/>
      <c r="Y625" s="606"/>
      <c r="Z625" s="640"/>
      <c r="AA625" s="625"/>
      <c r="AB625" s="625"/>
      <c r="AC625" s="625"/>
      <c r="AD625" s="626"/>
    </row>
    <row r="626" ht="24.75" customHeight="1">
      <c r="A626" s="598">
        <v>309.0</v>
      </c>
      <c r="B626" s="650" t="s">
        <v>2140</v>
      </c>
      <c r="C626" s="650" t="s">
        <v>376</v>
      </c>
      <c r="D626" s="650" t="s">
        <v>250</v>
      </c>
      <c r="E626" s="650" t="s">
        <v>2141</v>
      </c>
      <c r="F626" s="650"/>
      <c r="G626" s="651" t="str">
        <f>SUM(F619:F625)</f>
        <v>1583</v>
      </c>
      <c r="H626" s="652" t="str">
        <f>H624+F625</f>
        <v>118386.01</v>
      </c>
      <c r="I626" s="650">
        <v>386.186</v>
      </c>
      <c r="J626" s="653">
        <v>76.72</v>
      </c>
      <c r="K626" s="654" t="str">
        <f>F625+F627</f>
        <v>118864</v>
      </c>
      <c r="L626" s="653" t="str">
        <f>K626/2</f>
        <v>59432.109</v>
      </c>
      <c r="M626" s="650">
        <v>215.0</v>
      </c>
      <c r="N626" s="650">
        <v>0.0</v>
      </c>
      <c r="O626" s="650">
        <v>215.0</v>
      </c>
      <c r="P626" s="650">
        <v>223.0</v>
      </c>
      <c r="Q626" s="650">
        <v>0.0</v>
      </c>
      <c r="R626" s="650">
        <v>223.0</v>
      </c>
      <c r="S626" s="650" t="s">
        <v>2142</v>
      </c>
      <c r="T626" s="650" t="s">
        <v>2143</v>
      </c>
      <c r="U626" s="655">
        <v>624148.0</v>
      </c>
      <c r="V626" s="655">
        <v>2632879.0</v>
      </c>
      <c r="W626" s="653"/>
      <c r="X626" s="656" t="s">
        <v>2135</v>
      </c>
      <c r="Y626" s="656" t="s">
        <v>2023</v>
      </c>
      <c r="Z626" s="657" t="s">
        <v>31</v>
      </c>
      <c r="AA626" s="658"/>
      <c r="AB626" s="658"/>
      <c r="AC626" s="658"/>
      <c r="AD626" s="659"/>
    </row>
    <row r="627" ht="24.75" customHeight="1">
      <c r="A627" s="660"/>
      <c r="B627" s="625"/>
      <c r="C627" s="625"/>
      <c r="D627" s="625"/>
      <c r="E627" s="625"/>
      <c r="F627" s="636" t="str">
        <f t="shared" ref="F627:G627" si="1">SUM(F9:F626)</f>
        <v>118386</v>
      </c>
      <c r="G627" s="636" t="str">
        <f t="shared" si="1"/>
        <v>118386</v>
      </c>
      <c r="H627" s="661"/>
      <c r="I627" s="661"/>
      <c r="J627" s="661"/>
      <c r="K627" s="661"/>
      <c r="L627" s="661"/>
      <c r="M627" s="625"/>
      <c r="N627" s="625"/>
      <c r="O627" s="625"/>
      <c r="P627" s="625"/>
      <c r="Q627" s="625"/>
      <c r="R627" s="625"/>
      <c r="S627" s="625"/>
      <c r="T627" s="625"/>
      <c r="U627" s="662"/>
      <c r="V627" s="662"/>
      <c r="W627" s="616"/>
      <c r="X627" s="625"/>
      <c r="Y627" s="625"/>
      <c r="Z627" s="625"/>
      <c r="AA627" s="625"/>
      <c r="AB627" s="625"/>
      <c r="AC627" s="625"/>
      <c r="AD627" s="626"/>
    </row>
    <row r="628" ht="24.75" customHeight="1">
      <c r="A628" s="663"/>
      <c r="B628" s="635"/>
      <c r="C628" s="635"/>
      <c r="D628" s="635"/>
      <c r="E628" s="635"/>
      <c r="F628" s="664"/>
      <c r="G628" s="665"/>
      <c r="H628" s="666"/>
      <c r="I628" s="666"/>
      <c r="J628" s="666"/>
      <c r="K628" s="666"/>
      <c r="L628" s="666"/>
      <c r="M628" s="635"/>
      <c r="N628" s="635"/>
      <c r="O628" s="635"/>
      <c r="P628" s="635"/>
      <c r="Q628" s="635"/>
      <c r="R628" s="635"/>
      <c r="S628" s="635"/>
      <c r="T628" s="635"/>
      <c r="U628" s="667"/>
      <c r="V628" s="667"/>
      <c r="W628" s="61"/>
      <c r="X628" s="635"/>
      <c r="Y628" s="635"/>
      <c r="Z628" s="635"/>
      <c r="AA628" s="635"/>
      <c r="AB628" s="635"/>
      <c r="AC628" s="635"/>
      <c r="AD628" s="668"/>
    </row>
    <row r="629" ht="12.75" customHeight="1">
      <c r="A629" s="669"/>
      <c r="B629" s="670"/>
      <c r="C629" s="670"/>
      <c r="D629" s="670"/>
      <c r="E629" s="670"/>
      <c r="F629" s="670"/>
      <c r="G629" s="670"/>
      <c r="H629" s="671"/>
      <c r="I629" s="671"/>
      <c r="J629" s="671"/>
      <c r="K629" s="671"/>
      <c r="L629" s="671"/>
      <c r="M629" s="670"/>
      <c r="N629" s="670"/>
      <c r="O629" s="670"/>
      <c r="P629" s="670"/>
      <c r="Q629" s="670"/>
      <c r="R629" s="670"/>
      <c r="S629" s="670"/>
      <c r="T629" s="670"/>
      <c r="U629" s="672"/>
      <c r="V629" s="672"/>
      <c r="W629" s="670"/>
      <c r="X629" s="670"/>
      <c r="Y629" s="670"/>
      <c r="Z629" s="670"/>
      <c r="AA629" s="670"/>
      <c r="AB629" s="670"/>
      <c r="AC629" s="670"/>
      <c r="AD629" s="673"/>
    </row>
    <row r="630" ht="12.75" customHeight="1">
      <c r="A630" s="674"/>
      <c r="B630" s="670"/>
      <c r="C630" s="670"/>
      <c r="D630" s="675"/>
      <c r="E630" s="675"/>
      <c r="F630" s="676"/>
      <c r="G630" s="677"/>
      <c r="H630" s="670"/>
      <c r="I630" s="671"/>
      <c r="J630" s="671"/>
      <c r="K630" s="671"/>
      <c r="L630" s="678"/>
      <c r="M630" s="671"/>
      <c r="N630" s="671"/>
      <c r="O630" s="671"/>
      <c r="P630" s="671"/>
      <c r="Q630" s="670"/>
      <c r="R630" s="670"/>
      <c r="S630" s="670"/>
      <c r="T630" s="670"/>
      <c r="U630" s="670"/>
      <c r="V630" s="670"/>
      <c r="W630" s="670"/>
      <c r="X630" s="670"/>
      <c r="Y630" s="670"/>
      <c r="Z630" s="670"/>
      <c r="AA630" s="670"/>
      <c r="AB630" s="670"/>
      <c r="AC630" s="670"/>
      <c r="AD630" s="673"/>
    </row>
    <row r="631" ht="12.75" customHeight="1">
      <c r="A631" s="674"/>
      <c r="B631" s="670"/>
      <c r="C631" s="670"/>
      <c r="D631" s="675"/>
      <c r="E631" s="675"/>
      <c r="F631" s="675"/>
      <c r="G631" s="670"/>
      <c r="H631" s="677"/>
      <c r="I631" s="671"/>
      <c r="J631" s="671"/>
      <c r="K631" s="671"/>
      <c r="L631" s="678"/>
      <c r="M631" s="671"/>
      <c r="N631" s="671"/>
      <c r="O631" s="671"/>
      <c r="P631" s="671"/>
      <c r="Q631" s="670"/>
      <c r="R631" s="670"/>
      <c r="S631" s="670"/>
      <c r="T631" s="670"/>
      <c r="U631" s="670"/>
      <c r="V631" s="670"/>
      <c r="W631" s="670"/>
      <c r="X631" s="670"/>
      <c r="Y631" s="670"/>
      <c r="Z631" s="670"/>
      <c r="AA631" s="670"/>
      <c r="AB631" s="670"/>
      <c r="AC631" s="670"/>
      <c r="AD631" s="673"/>
    </row>
    <row r="632" ht="21.75" customHeight="1">
      <c r="A632" s="669"/>
      <c r="B632" s="670"/>
      <c r="C632" s="670"/>
      <c r="D632" s="670"/>
      <c r="E632" s="670"/>
      <c r="F632" s="672"/>
      <c r="G632" s="670"/>
      <c r="H632" s="679" t="s">
        <v>2144</v>
      </c>
      <c r="I632" s="680"/>
      <c r="J632" s="680"/>
      <c r="K632" s="680"/>
      <c r="L632" s="680"/>
      <c r="M632" s="680"/>
      <c r="N632" s="680"/>
      <c r="O632" s="680"/>
      <c r="P632" s="680"/>
      <c r="Q632" s="680"/>
      <c r="R632" s="680"/>
      <c r="S632" s="681"/>
      <c r="T632" s="670"/>
      <c r="U632" s="670"/>
      <c r="V632" s="670"/>
      <c r="W632" s="670"/>
      <c r="X632" s="670"/>
      <c r="Y632" s="670"/>
      <c r="Z632" s="670"/>
      <c r="AA632" s="670"/>
      <c r="AB632" s="670"/>
      <c r="AC632" s="670"/>
      <c r="AD632" s="673"/>
    </row>
    <row r="633" ht="21.75" customHeight="1">
      <c r="A633" s="669"/>
      <c r="B633" s="670"/>
      <c r="C633" s="670"/>
      <c r="D633" s="670"/>
      <c r="E633" s="670"/>
      <c r="F633" s="670"/>
      <c r="G633" s="670"/>
      <c r="H633" s="682" t="s">
        <v>907</v>
      </c>
      <c r="I633" s="683" t="s">
        <v>2145</v>
      </c>
      <c r="J633" s="684"/>
      <c r="K633" s="684"/>
      <c r="L633" s="684"/>
      <c r="M633" s="684"/>
      <c r="N633" s="684"/>
      <c r="O633" s="684"/>
      <c r="P633" s="684"/>
      <c r="Q633" s="684"/>
      <c r="R633" s="685"/>
      <c r="S633" s="682" t="s">
        <v>2146</v>
      </c>
      <c r="T633" s="670"/>
      <c r="U633" s="670"/>
      <c r="V633" s="670"/>
      <c r="W633" s="670"/>
      <c r="X633" s="670"/>
      <c r="Y633" s="670"/>
      <c r="Z633" s="670"/>
      <c r="AA633" s="670"/>
      <c r="AB633" s="670"/>
      <c r="AC633" s="670"/>
      <c r="AD633" s="673"/>
    </row>
    <row r="634" ht="22.5" customHeight="1">
      <c r="A634" s="669"/>
      <c r="B634" s="670"/>
      <c r="C634" s="670"/>
      <c r="D634" s="670"/>
      <c r="E634" s="670"/>
      <c r="F634" s="670"/>
      <c r="G634" s="670"/>
      <c r="H634" s="686"/>
      <c r="I634" s="687">
        <v>-3.0</v>
      </c>
      <c r="J634" s="687">
        <v>-1.5</v>
      </c>
      <c r="K634" s="687" t="s">
        <v>2147</v>
      </c>
      <c r="L634" s="687" t="s">
        <v>2148</v>
      </c>
      <c r="M634" s="687" t="s">
        <v>2149</v>
      </c>
      <c r="N634" s="687" t="s">
        <v>2150</v>
      </c>
      <c r="O634" s="687" t="s">
        <v>2151</v>
      </c>
      <c r="P634" s="687" t="s">
        <v>2152</v>
      </c>
      <c r="Q634" s="687" t="s">
        <v>2153</v>
      </c>
      <c r="R634" s="687" t="s">
        <v>2154</v>
      </c>
      <c r="S634" s="686"/>
      <c r="T634" s="670"/>
      <c r="U634" s="670"/>
      <c r="V634" s="670"/>
      <c r="W634" s="670"/>
      <c r="X634" s="670"/>
      <c r="Y634" s="670"/>
      <c r="Z634" s="670"/>
      <c r="AA634" s="670"/>
      <c r="AB634" s="670"/>
      <c r="AC634" s="670"/>
      <c r="AD634" s="673"/>
    </row>
    <row r="635" ht="22.5" customHeight="1">
      <c r="A635" s="669"/>
      <c r="B635" s="670"/>
      <c r="C635" s="670"/>
      <c r="D635" s="670"/>
      <c r="E635" s="670"/>
      <c r="F635" s="670"/>
      <c r="G635" s="670"/>
      <c r="H635" s="688" t="s">
        <v>2155</v>
      </c>
      <c r="I635" s="689" t="str">
        <f>COUNTIF($D$10:$D$626,"DA(-)3")</f>
        <v>40</v>
      </c>
      <c r="J635" s="689" t="str">
        <f>COUNTIF($D$10:$D$626,"DA(-)1.5")</f>
        <v>15</v>
      </c>
      <c r="K635" s="689" t="str">
        <f>COUNTIF($D$10:$D626,"DA+0")</f>
        <v>77</v>
      </c>
      <c r="L635" s="689" t="str">
        <f>COUNTIF($D$10:$D$626,"DA+1.5")</f>
        <v>20</v>
      </c>
      <c r="M635" s="689" t="str">
        <f>COUNTIF($D$10:$D$626,"DA+3")</f>
        <v>40</v>
      </c>
      <c r="N635" s="689" t="str">
        <f>COUNTIF($D$10:$D$626,"DA+6")</f>
        <v>32</v>
      </c>
      <c r="O635" s="689" t="str">
        <f>COUNTIF($D$10:$D$626,"DA+9")</f>
        <v>6</v>
      </c>
      <c r="P635" s="689" t="str">
        <f>COUNTIF($D$10:$D$626,"DA+12")</f>
        <v>0</v>
      </c>
      <c r="Q635" s="689" t="str">
        <f>COUNTIF($D$10:$D$626,"DA+18")</f>
        <v>0</v>
      </c>
      <c r="R635" s="689" t="str">
        <f>COUNTIF($D$10:$D$626,"DA+25")</f>
        <v>0</v>
      </c>
      <c r="S635" s="689" t="str">
        <f t="shared" ref="S635:S642" si="2">SUM(I635:R635)</f>
        <v>230</v>
      </c>
      <c r="T635" s="670"/>
      <c r="U635" s="670"/>
      <c r="V635" s="670"/>
      <c r="W635" s="670"/>
      <c r="X635" s="670"/>
      <c r="Y635" s="670"/>
      <c r="Z635" s="670"/>
      <c r="AA635" s="670"/>
      <c r="AB635" s="670"/>
      <c r="AC635" s="670"/>
      <c r="AD635" s="673"/>
    </row>
    <row r="636" ht="22.5" customHeight="1">
      <c r="A636" s="669"/>
      <c r="B636" s="670"/>
      <c r="C636" s="670"/>
      <c r="D636" s="670"/>
      <c r="E636" s="670"/>
      <c r="F636" s="670"/>
      <c r="G636" s="670"/>
      <c r="H636" s="688" t="s">
        <v>2156</v>
      </c>
      <c r="I636" s="689" t="str">
        <f>COUNTIF($D$10:$D$626,"DB1(-)3")</f>
        <v>0</v>
      </c>
      <c r="J636" s="689" t="str">
        <f>COUNTIF($D$10:$D$626,"DB1(-)1.5")</f>
        <v>1</v>
      </c>
      <c r="K636" s="689" t="str">
        <f>COUNTIF($D$10:$D626,"DB1+0")</f>
        <v>7</v>
      </c>
      <c r="L636" s="689" t="str">
        <f>COUNTIF($D$10:$D$626,"DB1+1.5")</f>
        <v>0</v>
      </c>
      <c r="M636" s="689" t="str">
        <f>COUNTIF($D$10:$D$626,"DB1+3")</f>
        <v>2</v>
      </c>
      <c r="N636" s="689" t="str">
        <f>COUNTIF($D$10:$D$626,"DB1+6")</f>
        <v>1</v>
      </c>
      <c r="O636" s="689" t="str">
        <f>COUNTIF($D$10:$D$626,"DB1+9")</f>
        <v>3</v>
      </c>
      <c r="P636" s="689" t="str">
        <f>COUNTIF($D$10:$D$626,"DB1+12")</f>
        <v>1</v>
      </c>
      <c r="Q636" s="689" t="str">
        <f>COUNTIF($D$10:$D$626,"DB1+18")</f>
        <v>1</v>
      </c>
      <c r="R636" s="689" t="str">
        <f>COUNTIF($D$10:$D$626,"DB1+25")</f>
        <v>0</v>
      </c>
      <c r="S636" s="689" t="str">
        <f t="shared" si="2"/>
        <v>16</v>
      </c>
      <c r="T636" s="670"/>
      <c r="U636" s="670"/>
      <c r="V636" s="670"/>
      <c r="W636" s="670"/>
      <c r="X636" s="670"/>
      <c r="Y636" s="670"/>
      <c r="Z636" s="670"/>
      <c r="AA636" s="670"/>
      <c r="AB636" s="670"/>
      <c r="AC636" s="670"/>
      <c r="AD636" s="673"/>
    </row>
    <row r="637" ht="22.5" customHeight="1">
      <c r="A637" s="669"/>
      <c r="B637" s="670"/>
      <c r="C637" s="670"/>
      <c r="D637" s="670"/>
      <c r="E637" s="670"/>
      <c r="F637" s="670"/>
      <c r="G637" s="670"/>
      <c r="H637" s="688" t="s">
        <v>2157</v>
      </c>
      <c r="I637" s="689" t="str">
        <f>COUNTIF($D$10:$D$626,"DB2(-)3")</f>
        <v>0</v>
      </c>
      <c r="J637" s="689" t="str">
        <f>COUNTIF($D$10:$D$626,"DB2(-)1.5")</f>
        <v>1</v>
      </c>
      <c r="K637" s="689" t="str">
        <f>COUNTIF($D$10:$D626,"DB2+0")</f>
        <v>4</v>
      </c>
      <c r="L637" s="689" t="str">
        <f>COUNTIF($D$10:$D$626,"DB2+1.5")</f>
        <v>0</v>
      </c>
      <c r="M637" s="689" t="str">
        <f>COUNTIF($D$10:$D$626,"DB2+3")</f>
        <v>3</v>
      </c>
      <c r="N637" s="689" t="str">
        <f>COUNTIF($D$10:$D$626,"DB2+6")</f>
        <v>3</v>
      </c>
      <c r="O637" s="689" t="str">
        <f>COUNTIF($D$10:$D$626,"DB2+9")</f>
        <v>2</v>
      </c>
      <c r="P637" s="689" t="str">
        <f>COUNTIF($D$10:$D$626,"DB2+12")</f>
        <v>0</v>
      </c>
      <c r="Q637" s="689" t="str">
        <f>COUNTIF($D$10:$D$626,"DB2+18")</f>
        <v>0</v>
      </c>
      <c r="R637" s="689" t="str">
        <f>COUNTIF($D$10:$D$626,"DB2+25")</f>
        <v>0</v>
      </c>
      <c r="S637" s="689" t="str">
        <f t="shared" si="2"/>
        <v>13</v>
      </c>
      <c r="T637" s="670"/>
      <c r="U637" s="670"/>
      <c r="V637" s="670"/>
      <c r="W637" s="670"/>
      <c r="X637" s="670"/>
      <c r="Y637" s="670"/>
      <c r="Z637" s="670"/>
      <c r="AA637" s="670"/>
      <c r="AB637" s="670"/>
      <c r="AC637" s="670"/>
      <c r="AD637" s="673"/>
    </row>
    <row r="638" ht="22.5" customHeight="1">
      <c r="A638" s="669"/>
      <c r="B638" s="670"/>
      <c r="C638" s="670"/>
      <c r="D638" s="670"/>
      <c r="E638" s="670"/>
      <c r="F638" s="670"/>
      <c r="G638" s="670"/>
      <c r="H638" s="688" t="s">
        <v>2158</v>
      </c>
      <c r="I638" s="689" t="str">
        <f>COUNTIF($D$10:$D$626,"DC1(-)3")</f>
        <v>0</v>
      </c>
      <c r="J638" s="689" t="str">
        <f>COUNTIF($D$10:$D$626,"DC1(-)1.5")</f>
        <v>0</v>
      </c>
      <c r="K638" s="689" t="str">
        <f>COUNTIF($D$10:$D626,"DC1+0")</f>
        <v>7</v>
      </c>
      <c r="L638" s="689" t="str">
        <f>COUNTIF($D$10:$D$626,"DC1+1.5")</f>
        <v>0</v>
      </c>
      <c r="M638" s="689" t="str">
        <f>COUNTIF($D$10:$D$626,"DC1+3")</f>
        <v>3</v>
      </c>
      <c r="N638" s="689" t="str">
        <f>COUNTIF($D$10:$D$626,"DC1+6")</f>
        <v>2</v>
      </c>
      <c r="O638" s="689" t="str">
        <f>COUNTIF($D$10:$D$626,"DC1+9")</f>
        <v>0</v>
      </c>
      <c r="P638" s="689" t="str">
        <f>COUNTIF($D$10:$D$626,"DC1+12")</f>
        <v>0</v>
      </c>
      <c r="Q638" s="689" t="str">
        <f>COUNTIF($D$10:$D$626,"DC1+18")</f>
        <v>0</v>
      </c>
      <c r="R638" s="689" t="str">
        <f>COUNTIF($D$10:$D$626,"DC1+25")</f>
        <v>0</v>
      </c>
      <c r="S638" s="689" t="str">
        <f t="shared" si="2"/>
        <v>12</v>
      </c>
      <c r="T638" s="670"/>
      <c r="U638" s="670"/>
      <c r="V638" s="670"/>
      <c r="W638" s="670"/>
      <c r="X638" s="670"/>
      <c r="Y638" s="670"/>
      <c r="Z638" s="670"/>
      <c r="AA638" s="670"/>
      <c r="AB638" s="670"/>
      <c r="AC638" s="670"/>
      <c r="AD638" s="673"/>
    </row>
    <row r="639" ht="22.5" customHeight="1">
      <c r="A639" s="669"/>
      <c r="B639" s="670"/>
      <c r="C639" s="670"/>
      <c r="D639" s="670"/>
      <c r="E639" s="670"/>
      <c r="F639" s="670"/>
      <c r="G639" s="670"/>
      <c r="H639" s="688" t="s">
        <v>2159</v>
      </c>
      <c r="I639" s="689" t="str">
        <f>COUNTIF($D$10:$D$626,"DC2(-)3")</f>
        <v>0</v>
      </c>
      <c r="J639" s="689" t="str">
        <f>COUNTIF($D$10:$D$626,"DC2(-)1.5")</f>
        <v>0</v>
      </c>
      <c r="K639" s="689" t="str">
        <f>COUNTIF($D$10:$D626,"DC2+0")</f>
        <v>8</v>
      </c>
      <c r="L639" s="689" t="str">
        <f>COUNTIF($D$10:$D$626,"DC2+1.5")</f>
        <v>0</v>
      </c>
      <c r="M639" s="689" t="str">
        <f>COUNTIF($D$10:$D$626,"DC2+3")</f>
        <v>1</v>
      </c>
      <c r="N639" s="689" t="str">
        <f>COUNTIF($D$10:$D$626,"DC2+6")</f>
        <v>1</v>
      </c>
      <c r="O639" s="689" t="str">
        <f>COUNTIF($D$10:$D$626,"DC2+9")</f>
        <v>0</v>
      </c>
      <c r="P639" s="689" t="str">
        <f>COUNTIF($D$10:$D$626,"DC2+12")</f>
        <v>2</v>
      </c>
      <c r="Q639" s="689" t="str">
        <f>COUNTIF($D$10:$D$626,"DC2+18")</f>
        <v>3</v>
      </c>
      <c r="R639" s="689" t="str">
        <f>COUNTIF($D$10:$D$626,"DC2+25")</f>
        <v>0</v>
      </c>
      <c r="S639" s="689" t="str">
        <f t="shared" si="2"/>
        <v>15</v>
      </c>
      <c r="T639" s="670"/>
      <c r="U639" s="670"/>
      <c r="V639" s="670"/>
      <c r="W639" s="670"/>
      <c r="X639" s="670"/>
      <c r="Y639" s="670"/>
      <c r="Z639" s="670"/>
      <c r="AA639" s="670"/>
      <c r="AB639" s="670"/>
      <c r="AC639" s="670"/>
      <c r="AD639" s="673"/>
    </row>
    <row r="640" ht="22.5" customHeight="1">
      <c r="A640" s="669"/>
      <c r="B640" s="670"/>
      <c r="C640" s="670"/>
      <c r="D640" s="670"/>
      <c r="E640" s="670"/>
      <c r="F640" s="670"/>
      <c r="G640" s="670"/>
      <c r="H640" s="688" t="s">
        <v>2160</v>
      </c>
      <c r="I640" s="689" t="str">
        <f>COUNTIF($D$10:$D$626,"DD45(-)3")</f>
        <v>0</v>
      </c>
      <c r="J640" s="689" t="str">
        <f>COUNTIF($D$10:$D$626,"DD45(-)1.5")</f>
        <v>0</v>
      </c>
      <c r="K640" s="689" t="str">
        <f>COUNTIF($D$10:$D626,"DD45+0")</f>
        <v>5</v>
      </c>
      <c r="L640" s="689" t="str">
        <f>COUNTIF($D$10:$D$626,"DD45+1.5")</f>
        <v>0</v>
      </c>
      <c r="M640" s="689" t="str">
        <f>COUNTIF($D$10:$D$626,"DD45+3")</f>
        <v>2</v>
      </c>
      <c r="N640" s="689" t="str">
        <f>COUNTIF($D$10:$D$626,"DD45+6")</f>
        <v>1</v>
      </c>
      <c r="O640" s="689" t="str">
        <f>COUNTIF($D$10:$D$626,"DD45+9")</f>
        <v>4</v>
      </c>
      <c r="P640" s="689" t="str">
        <f>COUNTIF($D$10:$D$626,"DD45+12")</f>
        <v>1</v>
      </c>
      <c r="Q640" s="689" t="str">
        <f>COUNTIF($D$10:$D$626,"DD45+18")</f>
        <v>2</v>
      </c>
      <c r="R640" s="689" t="str">
        <f>COUNTIF($D$10:$D$626,"DD45+25")</f>
        <v>0</v>
      </c>
      <c r="S640" s="689" t="str">
        <f t="shared" si="2"/>
        <v>15</v>
      </c>
      <c r="T640" s="670"/>
      <c r="U640" s="670"/>
      <c r="V640" s="670"/>
      <c r="W640" s="670"/>
      <c r="X640" s="670"/>
      <c r="Y640" s="670"/>
      <c r="Z640" s="670"/>
      <c r="AA640" s="670"/>
      <c r="AB640" s="670"/>
      <c r="AC640" s="670"/>
      <c r="AD640" s="673"/>
    </row>
    <row r="641" ht="22.5" customHeight="1">
      <c r="A641" s="669"/>
      <c r="B641" s="670"/>
      <c r="C641" s="670"/>
      <c r="D641" s="670"/>
      <c r="E641" s="670"/>
      <c r="F641" s="670"/>
      <c r="G641" s="670"/>
      <c r="H641" s="688" t="s">
        <v>2161</v>
      </c>
      <c r="I641" s="689" t="str">
        <f>COUNTIF($D$10:$D$626,"DD60(-)3")</f>
        <v>0</v>
      </c>
      <c r="J641" s="689" t="str">
        <f>COUNTIF($D$10:$D$626,"DD60(-)1.5")</f>
        <v>0</v>
      </c>
      <c r="K641" s="689" t="str">
        <f>COUNTIF($D$10:$D626,"DD60+0")</f>
        <v>3</v>
      </c>
      <c r="L641" s="689" t="str">
        <f>COUNTIF($D$10:$D$626,"DD60+1.5")</f>
        <v>0</v>
      </c>
      <c r="M641" s="689" t="str">
        <f>COUNTIF($D$10:$D$626,"DD60+3")</f>
        <v>0</v>
      </c>
      <c r="N641" s="689" t="str">
        <f>COUNTIF($D$10:$D$626,"DD60+6")</f>
        <v>1</v>
      </c>
      <c r="O641" s="689" t="str">
        <f>COUNTIF($D$10:$D$626,"DD60+9")</f>
        <v>2</v>
      </c>
      <c r="P641" s="689" t="str">
        <f>COUNTIF($D$10:$D$626,"DD60+12")</f>
        <v>0</v>
      </c>
      <c r="Q641" s="689" t="str">
        <f>COUNTIF($D$10:$D$626,"DD60+18")</f>
        <v>0</v>
      </c>
      <c r="R641" s="689" t="str">
        <f>COUNTIF($D$10:$D$626,"DD60+25")</f>
        <v>2</v>
      </c>
      <c r="S641" s="689" t="str">
        <f t="shared" si="2"/>
        <v>8</v>
      </c>
      <c r="T641" s="670"/>
      <c r="U641" s="670"/>
      <c r="V641" s="670"/>
      <c r="W641" s="670"/>
      <c r="X641" s="670"/>
      <c r="Y641" s="670"/>
      <c r="Z641" s="670"/>
      <c r="AA641" s="670"/>
      <c r="AB641" s="670"/>
      <c r="AC641" s="670"/>
      <c r="AD641" s="673"/>
    </row>
    <row r="642" ht="22.5" customHeight="1">
      <c r="A642" s="669"/>
      <c r="B642" s="670"/>
      <c r="C642" s="670"/>
      <c r="D642" s="670"/>
      <c r="E642" s="670"/>
      <c r="F642" s="670"/>
      <c r="G642" s="670"/>
      <c r="H642" s="689" t="s">
        <v>905</v>
      </c>
      <c r="I642" s="689" t="str">
        <f t="shared" ref="I642:R642" si="3">SUM(I635:I641)</f>
        <v>40</v>
      </c>
      <c r="J642" s="689" t="str">
        <f t="shared" si="3"/>
        <v>17</v>
      </c>
      <c r="K642" s="689" t="str">
        <f t="shared" si="3"/>
        <v>111</v>
      </c>
      <c r="L642" s="689" t="str">
        <f t="shared" si="3"/>
        <v>20</v>
      </c>
      <c r="M642" s="689" t="str">
        <f t="shared" si="3"/>
        <v>51</v>
      </c>
      <c r="N642" s="689" t="str">
        <f t="shared" si="3"/>
        <v>41</v>
      </c>
      <c r="O642" s="689" t="str">
        <f t="shared" si="3"/>
        <v>17</v>
      </c>
      <c r="P642" s="689" t="str">
        <f t="shared" si="3"/>
        <v>4</v>
      </c>
      <c r="Q642" s="689" t="str">
        <f t="shared" si="3"/>
        <v>6</v>
      </c>
      <c r="R642" s="689" t="str">
        <f t="shared" si="3"/>
        <v>2</v>
      </c>
      <c r="S642" s="689" t="str">
        <f t="shared" si="2"/>
        <v>309</v>
      </c>
      <c r="T642" s="670"/>
      <c r="U642" s="670"/>
      <c r="V642" s="670"/>
      <c r="W642" s="670"/>
      <c r="X642" s="670"/>
      <c r="Y642" s="670"/>
      <c r="Z642" s="670"/>
      <c r="AA642" s="670"/>
      <c r="AB642" s="670"/>
      <c r="AC642" s="670"/>
      <c r="AD642" s="673"/>
    </row>
    <row r="643" ht="22.5" customHeight="1">
      <c r="A643" s="690"/>
      <c r="B643" s="691"/>
      <c r="C643" s="691"/>
      <c r="D643" s="691"/>
      <c r="E643" s="691"/>
      <c r="F643" s="691"/>
      <c r="G643" s="691"/>
      <c r="H643" s="691"/>
      <c r="I643" s="691"/>
      <c r="J643" s="691"/>
      <c r="K643" s="691"/>
      <c r="L643" s="691"/>
      <c r="M643" s="691"/>
      <c r="N643" s="691"/>
      <c r="O643" s="691"/>
      <c r="P643" s="691"/>
      <c r="Q643" s="691"/>
      <c r="R643" s="691"/>
      <c r="S643" s="691"/>
      <c r="T643" s="691"/>
      <c r="U643" s="691"/>
      <c r="V643" s="691"/>
      <c r="W643" s="691"/>
      <c r="X643" s="691"/>
      <c r="Y643" s="691"/>
      <c r="Z643" s="691"/>
      <c r="AA643" s="691"/>
      <c r="AB643" s="691"/>
      <c r="AC643" s="691"/>
      <c r="AD643" s="692"/>
    </row>
  </sheetData>
  <autoFilter ref="$A$6:$O$627"/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8.71"/>
  </cols>
  <sheetData>
    <row r="1" ht="14.25" customHeight="1"/>
    <row r="2" ht="14.25" customHeight="1"/>
    <row r="3" ht="14.25" customHeight="1">
      <c r="D3" s="693" t="s">
        <v>2162</v>
      </c>
    </row>
    <row r="4" ht="14.25" customHeight="1"/>
    <row r="5" ht="14.25" customHeight="1">
      <c r="E5" s="694" t="s">
        <v>2163</v>
      </c>
    </row>
    <row r="6" ht="14.25" customHeight="1">
      <c r="E6" s="694" t="s">
        <v>2164</v>
      </c>
    </row>
    <row r="7" ht="14.25" customHeight="1">
      <c r="E7" s="694" t="s">
        <v>2165</v>
      </c>
    </row>
    <row r="8" ht="14.25" customHeight="1">
      <c r="E8" s="694" t="s">
        <v>2166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D3:G4"/>
  </mergeCells>
  <hyperlinks>
    <hyperlink display="'VC-765kV MKTL'!A1" location="'VC-765kV MKTL'!A1" ref="D3"/>
    <hyperlink display="FOUNDATION!A1" location="FOUNDATION!A1" ref="E5"/>
    <hyperlink display="EARTHING!A1" location="EARTHING!A1" ref="E6"/>
    <hyperlink display="ERECTION!A1" location="ERECTION!A1" ref="E7"/>
    <hyperlink display="TS!A1" location="null!A1" ref="E8"/>
  </hyperlink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8.71"/>
    <col customWidth="1" min="3" max="3" width="22.29"/>
    <col customWidth="1" min="4" max="5" width="26.0"/>
    <col customWidth="1" hidden="1" min="6" max="6" width="19.43"/>
    <col customWidth="1" hidden="1" min="7" max="7" width="21.29"/>
    <col customWidth="1" hidden="1" min="8" max="8" width="20.0"/>
    <col customWidth="1" min="9" max="9" width="45.57"/>
    <col customWidth="1" min="10" max="10" width="40.29"/>
    <col customWidth="1" min="11" max="11" width="8.71"/>
  </cols>
  <sheetData>
    <row r="1" ht="21.0" hidden="1" customHeight="1">
      <c r="A1" s="695" t="s">
        <v>2167</v>
      </c>
      <c r="B1" s="696" t="s">
        <v>2168</v>
      </c>
      <c r="C1" s="696">
        <v>118.288</v>
      </c>
      <c r="D1" s="52">
        <v>106.341</v>
      </c>
      <c r="E1" s="52">
        <v>106.341</v>
      </c>
      <c r="F1" s="52"/>
      <c r="G1" s="52"/>
      <c r="H1" s="52"/>
    </row>
    <row r="2" ht="21.0" hidden="1" customHeight="1">
      <c r="A2" s="695" t="s">
        <v>392</v>
      </c>
      <c r="B2" s="696" t="s">
        <v>2168</v>
      </c>
      <c r="C2" s="696">
        <v>118.288</v>
      </c>
      <c r="D2" s="52">
        <v>106.341</v>
      </c>
      <c r="E2" s="52">
        <v>106.341</v>
      </c>
      <c r="F2" s="52"/>
      <c r="G2" s="52"/>
      <c r="H2" s="52"/>
    </row>
    <row r="3" ht="126.0" hidden="1" customHeight="1">
      <c r="A3" s="695" t="s">
        <v>2169</v>
      </c>
      <c r="B3" s="696" t="s">
        <v>2168</v>
      </c>
      <c r="C3" s="696">
        <v>0.0</v>
      </c>
      <c r="D3" s="697">
        <v>1.558</v>
      </c>
      <c r="E3" s="320" t="s">
        <v>2170</v>
      </c>
      <c r="F3" s="320"/>
      <c r="G3" s="698" t="b">
        <v>1</v>
      </c>
      <c r="H3" s="320"/>
    </row>
    <row r="4" ht="21.0" hidden="1" customHeight="1">
      <c r="A4" s="695" t="s">
        <v>396</v>
      </c>
      <c r="B4" s="696" t="s">
        <v>2168</v>
      </c>
      <c r="C4" s="696">
        <v>118.288</v>
      </c>
      <c r="D4" s="52">
        <v>106.341</v>
      </c>
      <c r="E4" s="52">
        <v>106.341</v>
      </c>
      <c r="F4" s="52"/>
      <c r="G4" s="52"/>
      <c r="H4" s="52"/>
    </row>
    <row r="5" ht="21.0" hidden="1" customHeight="1">
      <c r="A5" s="695" t="s">
        <v>2171</v>
      </c>
      <c r="B5" s="696"/>
      <c r="C5" s="699"/>
      <c r="D5" s="52"/>
      <c r="E5" s="52"/>
      <c r="F5" s="52"/>
      <c r="G5" s="52"/>
      <c r="H5" s="52"/>
    </row>
    <row r="6" ht="21.0" hidden="1" customHeight="1">
      <c r="A6" s="695" t="s">
        <v>2172</v>
      </c>
      <c r="B6" s="696" t="s">
        <v>398</v>
      </c>
      <c r="C6" s="696">
        <v>9.0</v>
      </c>
      <c r="D6" s="52">
        <v>8.0</v>
      </c>
      <c r="E6" s="52">
        <v>8.0</v>
      </c>
      <c r="F6" s="52"/>
      <c r="G6" s="52"/>
      <c r="H6" s="52"/>
    </row>
    <row r="7" ht="21.0" hidden="1" customHeight="1">
      <c r="A7" s="695" t="s">
        <v>112</v>
      </c>
      <c r="B7" s="696" t="s">
        <v>398</v>
      </c>
      <c r="C7" s="696">
        <v>3.0</v>
      </c>
      <c r="D7" s="52">
        <v>1.0</v>
      </c>
      <c r="E7" s="52">
        <v>1.0</v>
      </c>
      <c r="F7" s="52"/>
      <c r="G7" s="52"/>
      <c r="H7" s="52"/>
    </row>
    <row r="8" ht="21.0" hidden="1" customHeight="1">
      <c r="A8" s="695" t="s">
        <v>165</v>
      </c>
      <c r="B8" s="696" t="s">
        <v>398</v>
      </c>
      <c r="C8" s="696">
        <v>1.0</v>
      </c>
      <c r="D8" s="52">
        <v>1.0</v>
      </c>
      <c r="E8" s="52" t="s">
        <v>2173</v>
      </c>
      <c r="F8" s="52"/>
      <c r="G8" s="52"/>
      <c r="H8" s="52"/>
    </row>
    <row r="9" ht="21.0" hidden="1" customHeight="1">
      <c r="A9" s="695" t="s">
        <v>2174</v>
      </c>
      <c r="B9" s="696" t="s">
        <v>398</v>
      </c>
      <c r="C9" s="696">
        <v>1.0</v>
      </c>
      <c r="D9" s="52">
        <v>1.0</v>
      </c>
      <c r="E9" s="52" t="s">
        <v>2173</v>
      </c>
      <c r="F9" s="52"/>
      <c r="G9" s="52"/>
      <c r="H9" s="52"/>
    </row>
    <row r="10" ht="21.0" hidden="1" customHeight="1">
      <c r="A10" s="695" t="s">
        <v>2175</v>
      </c>
      <c r="B10" s="696" t="s">
        <v>398</v>
      </c>
      <c r="C10" s="696">
        <v>1.0</v>
      </c>
      <c r="D10" s="700">
        <v>0.0</v>
      </c>
      <c r="E10" s="700">
        <v>0.0</v>
      </c>
      <c r="F10" s="52"/>
      <c r="G10" s="52"/>
      <c r="H10" s="52"/>
    </row>
    <row r="11" ht="27.0" hidden="1" customHeight="1">
      <c r="A11" s="695" t="s">
        <v>2176</v>
      </c>
      <c r="B11" s="696" t="s">
        <v>398</v>
      </c>
      <c r="C11" s="696">
        <v>0.0</v>
      </c>
      <c r="D11" s="697">
        <v>1.0</v>
      </c>
      <c r="E11" s="320"/>
      <c r="F11" s="320"/>
      <c r="G11" s="320"/>
      <c r="H11" s="698" t="b">
        <v>1</v>
      </c>
    </row>
    <row r="12" ht="21.0" hidden="1" customHeight="1">
      <c r="A12" s="701" t="s">
        <v>2177</v>
      </c>
      <c r="B12" s="334" t="s">
        <v>398</v>
      </c>
      <c r="C12" s="334"/>
      <c r="D12" s="184"/>
      <c r="E12" s="184"/>
      <c r="F12" s="184"/>
      <c r="G12" s="184"/>
      <c r="H12" s="184"/>
    </row>
    <row r="13" ht="21.0" hidden="1" customHeight="1">
      <c r="A13" s="184" t="s">
        <v>2167</v>
      </c>
      <c r="B13" s="334" t="s">
        <v>2168</v>
      </c>
      <c r="C13" s="702">
        <v>117.85085099999999</v>
      </c>
      <c r="D13" s="702">
        <v>117.85085099999999</v>
      </c>
      <c r="E13" s="702">
        <v>117.85085099999999</v>
      </c>
      <c r="F13" s="184"/>
      <c r="G13" s="184"/>
      <c r="H13" s="184"/>
    </row>
    <row r="14" ht="21.0" hidden="1" customHeight="1">
      <c r="A14" s="184" t="s">
        <v>392</v>
      </c>
      <c r="B14" s="334" t="s">
        <v>2168</v>
      </c>
      <c r="C14" s="702">
        <v>117.85085099999999</v>
      </c>
      <c r="D14" s="702">
        <v>117.85085099999999</v>
      </c>
      <c r="E14" s="702">
        <v>117.85085099999999</v>
      </c>
      <c r="F14" s="184"/>
      <c r="G14" s="184"/>
      <c r="H14" s="184"/>
    </row>
    <row r="15" ht="21.0" hidden="1" customHeight="1">
      <c r="A15" s="184" t="s">
        <v>2169</v>
      </c>
      <c r="B15" s="334" t="s">
        <v>2168</v>
      </c>
      <c r="C15" s="700">
        <v>0.0</v>
      </c>
      <c r="D15" s="700">
        <v>0.0</v>
      </c>
      <c r="E15" s="700">
        <v>0.0</v>
      </c>
      <c r="F15" s="184"/>
      <c r="G15" s="184"/>
      <c r="H15" s="184"/>
    </row>
    <row r="16" ht="21.0" hidden="1" customHeight="1">
      <c r="A16" s="184" t="s">
        <v>396</v>
      </c>
      <c r="B16" s="334" t="s">
        <v>2168</v>
      </c>
      <c r="C16" s="702" t="str">
        <f t="shared" ref="C16:E16" si="1">C13</f>
        <v>118</v>
      </c>
      <c r="D16" s="702" t="str">
        <f t="shared" si="1"/>
        <v>118</v>
      </c>
      <c r="E16" s="702" t="str">
        <f t="shared" si="1"/>
        <v>118</v>
      </c>
      <c r="F16" s="184"/>
      <c r="G16" s="184"/>
      <c r="H16" s="184"/>
    </row>
    <row r="17" ht="21.0" hidden="1" customHeight="1">
      <c r="A17" s="184" t="s">
        <v>2171</v>
      </c>
      <c r="B17" s="334"/>
      <c r="C17" s="702"/>
      <c r="D17" s="702"/>
      <c r="E17" s="702"/>
      <c r="F17" s="184"/>
      <c r="G17" s="184"/>
      <c r="H17" s="184"/>
    </row>
    <row r="18" ht="21.0" hidden="1" customHeight="1">
      <c r="A18" s="701" t="s">
        <v>2172</v>
      </c>
      <c r="B18" s="334" t="s">
        <v>398</v>
      </c>
      <c r="C18" s="702">
        <v>6.0</v>
      </c>
      <c r="D18" s="702">
        <v>6.0</v>
      </c>
      <c r="E18" s="702">
        <v>6.0</v>
      </c>
      <c r="F18" s="184"/>
      <c r="G18" s="184"/>
      <c r="H18" s="184"/>
    </row>
    <row r="19" ht="126.0" hidden="1" customHeight="1">
      <c r="A19" s="703" t="s">
        <v>112</v>
      </c>
      <c r="B19" s="704" t="s">
        <v>398</v>
      </c>
      <c r="C19" s="705">
        <v>2.0</v>
      </c>
      <c r="D19" s="705">
        <v>2.0</v>
      </c>
      <c r="E19" s="705">
        <v>1.0</v>
      </c>
      <c r="F19" s="706"/>
      <c r="G19" s="698" t="b">
        <v>1</v>
      </c>
      <c r="H19" s="706"/>
    </row>
    <row r="20" ht="21.0" hidden="1" customHeight="1">
      <c r="A20" s="703" t="s">
        <v>165</v>
      </c>
      <c r="B20" s="704" t="s">
        <v>398</v>
      </c>
      <c r="C20" s="705">
        <v>1.0</v>
      </c>
      <c r="D20" s="705">
        <v>1.0</v>
      </c>
      <c r="E20" s="698">
        <v>0.0</v>
      </c>
      <c r="F20" s="706"/>
      <c r="G20" s="698" t="b">
        <v>1</v>
      </c>
      <c r="H20" s="706"/>
    </row>
    <row r="21" ht="21.0" hidden="1" customHeight="1">
      <c r="A21" s="701" t="s">
        <v>2174</v>
      </c>
      <c r="B21" s="334" t="s">
        <v>398</v>
      </c>
      <c r="C21" s="702">
        <v>1.0</v>
      </c>
      <c r="D21" s="702">
        <v>1.0</v>
      </c>
      <c r="E21" s="702">
        <v>1.0</v>
      </c>
      <c r="F21" s="184"/>
      <c r="G21" s="184"/>
      <c r="H21" s="184"/>
    </row>
    <row r="22" ht="21.0" hidden="1" customHeight="1">
      <c r="A22" s="701" t="s">
        <v>2175</v>
      </c>
      <c r="B22" s="334" t="s">
        <v>398</v>
      </c>
      <c r="C22" s="700">
        <v>0.0</v>
      </c>
      <c r="D22" s="700">
        <v>0.0</v>
      </c>
      <c r="E22" s="700">
        <v>0.0</v>
      </c>
      <c r="F22" s="184"/>
      <c r="G22" s="184"/>
      <c r="H22" s="184"/>
    </row>
    <row r="23" ht="147.0" hidden="1" customHeight="1">
      <c r="A23" s="703" t="s">
        <v>2178</v>
      </c>
      <c r="B23" s="704" t="s">
        <v>398</v>
      </c>
      <c r="C23" s="705">
        <v>2.0</v>
      </c>
      <c r="D23" s="705">
        <v>2.0</v>
      </c>
      <c r="E23" s="698">
        <v>0.0</v>
      </c>
      <c r="F23" s="706"/>
      <c r="G23" s="698" t="b">
        <v>1</v>
      </c>
      <c r="H23" s="706"/>
    </row>
    <row r="24" ht="21.0" hidden="1" customHeight="1">
      <c r="A24" s="701" t="s">
        <v>2177</v>
      </c>
      <c r="B24" s="334" t="s">
        <v>398</v>
      </c>
      <c r="C24" s="702"/>
      <c r="D24" s="702"/>
      <c r="E24" s="700"/>
      <c r="F24" s="184"/>
      <c r="G24" s="184"/>
      <c r="H24" s="184"/>
    </row>
    <row r="25" ht="21.0" hidden="1" customHeight="1">
      <c r="A25" s="706" t="s">
        <v>2167</v>
      </c>
      <c r="B25" s="704" t="s">
        <v>2168</v>
      </c>
      <c r="C25" s="707">
        <v>78.579</v>
      </c>
      <c r="D25" s="707">
        <v>78.579</v>
      </c>
      <c r="E25" s="707">
        <v>78.579</v>
      </c>
      <c r="F25" s="706"/>
      <c r="G25" s="706"/>
      <c r="H25" s="706"/>
    </row>
    <row r="26" ht="21.0" hidden="1" customHeight="1">
      <c r="A26" s="706" t="s">
        <v>392</v>
      </c>
      <c r="B26" s="704" t="s">
        <v>2168</v>
      </c>
      <c r="C26" s="707">
        <v>78.579</v>
      </c>
      <c r="D26" s="707">
        <v>78.579</v>
      </c>
      <c r="E26" s="707">
        <v>78.579</v>
      </c>
      <c r="F26" s="698" t="b">
        <v>1</v>
      </c>
      <c r="G26" s="706"/>
      <c r="H26" s="706"/>
    </row>
    <row r="27" ht="21.0" hidden="1" customHeight="1">
      <c r="A27" s="706" t="s">
        <v>2169</v>
      </c>
      <c r="B27" s="704" t="s">
        <v>2168</v>
      </c>
      <c r="C27" s="698">
        <v>0.0</v>
      </c>
      <c r="D27" s="698">
        <v>0.0</v>
      </c>
      <c r="E27" s="698">
        <v>0.0</v>
      </c>
      <c r="F27" s="706"/>
      <c r="G27" s="706"/>
      <c r="H27" s="706"/>
    </row>
    <row r="28" ht="21.0" hidden="1" customHeight="1">
      <c r="A28" s="706" t="s">
        <v>396</v>
      </c>
      <c r="B28" s="704" t="s">
        <v>2168</v>
      </c>
      <c r="C28" s="707">
        <v>66.683</v>
      </c>
      <c r="D28" s="707">
        <v>53.932</v>
      </c>
      <c r="E28" s="707">
        <v>53.932</v>
      </c>
      <c r="F28" s="698" t="b">
        <v>1</v>
      </c>
      <c r="G28" s="706"/>
      <c r="H28" s="706"/>
    </row>
    <row r="29" ht="21.0" hidden="1" customHeight="1">
      <c r="A29" s="706" t="s">
        <v>2171</v>
      </c>
      <c r="B29" s="704"/>
      <c r="C29" s="705"/>
      <c r="D29" s="705"/>
      <c r="E29" s="705"/>
      <c r="F29" s="706"/>
      <c r="G29" s="706"/>
      <c r="H29" s="706"/>
    </row>
    <row r="30" ht="264.75" hidden="1" customHeight="1">
      <c r="A30" s="703" t="s">
        <v>2172</v>
      </c>
      <c r="B30" s="704" t="s">
        <v>398</v>
      </c>
      <c r="C30" s="698">
        <v>2.0</v>
      </c>
      <c r="D30" s="698">
        <v>1.0</v>
      </c>
      <c r="E30" s="698">
        <v>1.0</v>
      </c>
      <c r="F30" s="698" t="b">
        <v>1</v>
      </c>
      <c r="G30" s="706"/>
      <c r="H30" s="706"/>
    </row>
    <row r="31" ht="21.0" hidden="1" customHeight="1">
      <c r="A31" s="703" t="s">
        <v>112</v>
      </c>
      <c r="B31" s="704" t="s">
        <v>398</v>
      </c>
      <c r="C31" s="698">
        <v>0.0</v>
      </c>
      <c r="D31" s="698">
        <v>0.0</v>
      </c>
      <c r="E31" s="698">
        <v>0.0</v>
      </c>
      <c r="F31" s="706"/>
      <c r="G31" s="706"/>
      <c r="H31" s="706"/>
    </row>
    <row r="32" ht="21.0" hidden="1" customHeight="1">
      <c r="A32" s="703" t="s">
        <v>165</v>
      </c>
      <c r="B32" s="704" t="s">
        <v>398</v>
      </c>
      <c r="C32" s="698">
        <v>0.0</v>
      </c>
      <c r="D32" s="698">
        <v>0.0</v>
      </c>
      <c r="E32" s="698">
        <v>0.0</v>
      </c>
      <c r="F32" s="706"/>
      <c r="G32" s="706"/>
      <c r="H32" s="706"/>
    </row>
    <row r="33" ht="244.5" hidden="1" customHeight="1">
      <c r="A33" s="708" t="s">
        <v>2174</v>
      </c>
      <c r="B33" s="122" t="s">
        <v>398</v>
      </c>
      <c r="C33" s="709">
        <v>0.0</v>
      </c>
      <c r="D33" s="709">
        <v>0.0</v>
      </c>
      <c r="E33" s="709">
        <v>0.0</v>
      </c>
      <c r="F33" s="709" t="b">
        <v>1</v>
      </c>
      <c r="G33" s="710"/>
      <c r="H33" s="710"/>
    </row>
    <row r="34" ht="21.0" hidden="1" customHeight="1">
      <c r="A34" s="703" t="s">
        <v>2175</v>
      </c>
      <c r="B34" s="704" t="s">
        <v>398</v>
      </c>
      <c r="C34" s="698">
        <v>0.0</v>
      </c>
      <c r="D34" s="698">
        <v>0.0</v>
      </c>
      <c r="E34" s="698">
        <v>0.0</v>
      </c>
      <c r="F34" s="706"/>
      <c r="G34" s="706"/>
      <c r="H34" s="706"/>
    </row>
    <row r="35" ht="122.25" hidden="1" customHeight="1">
      <c r="A35" s="703" t="s">
        <v>2178</v>
      </c>
      <c r="B35" s="704" t="s">
        <v>398</v>
      </c>
      <c r="C35" s="705">
        <v>1.0</v>
      </c>
      <c r="D35" s="705">
        <v>1.0</v>
      </c>
      <c r="E35" s="698">
        <v>0.0</v>
      </c>
      <c r="F35" s="698" t="b">
        <v>1</v>
      </c>
      <c r="G35" s="706"/>
      <c r="H35" s="706"/>
    </row>
    <row r="36" ht="21.0" hidden="1" customHeight="1">
      <c r="A36" s="703" t="s">
        <v>2177</v>
      </c>
      <c r="B36" s="704" t="s">
        <v>398</v>
      </c>
      <c r="C36" s="705"/>
      <c r="D36" s="705"/>
      <c r="E36" s="705"/>
      <c r="F36" s="706"/>
      <c r="G36" s="706"/>
      <c r="H36" s="706"/>
    </row>
    <row r="37" ht="21.0" hidden="1" customHeight="1">
      <c r="A37" s="184" t="s">
        <v>2167</v>
      </c>
      <c r="B37" s="334" t="s">
        <v>2168</v>
      </c>
      <c r="C37" s="702">
        <v>136.706</v>
      </c>
      <c r="D37" s="702">
        <v>136.706</v>
      </c>
      <c r="E37" s="702">
        <v>136.706</v>
      </c>
      <c r="F37" s="184"/>
      <c r="G37" s="184"/>
      <c r="H37" s="184"/>
    </row>
    <row r="38" ht="21.0" hidden="1" customHeight="1">
      <c r="A38" s="184" t="s">
        <v>392</v>
      </c>
      <c r="B38" s="334" t="s">
        <v>2168</v>
      </c>
      <c r="C38" s="702">
        <v>136.706</v>
      </c>
      <c r="D38" s="702">
        <v>136.706</v>
      </c>
      <c r="E38" s="702">
        <v>133.729</v>
      </c>
      <c r="F38" s="700" t="b">
        <v>1</v>
      </c>
      <c r="G38" s="700"/>
      <c r="H38" s="184"/>
    </row>
    <row r="39" ht="21.0" hidden="1" customHeight="1">
      <c r="A39" s="184" t="s">
        <v>2169</v>
      </c>
      <c r="B39" s="334" t="s">
        <v>2168</v>
      </c>
      <c r="C39" s="700">
        <v>0.0</v>
      </c>
      <c r="D39" s="700">
        <v>0.0</v>
      </c>
      <c r="E39" s="700">
        <v>0.0</v>
      </c>
      <c r="F39" s="184"/>
      <c r="G39" s="184"/>
      <c r="H39" s="184"/>
    </row>
    <row r="40" ht="21.0" hidden="1" customHeight="1">
      <c r="A40" s="184" t="s">
        <v>396</v>
      </c>
      <c r="B40" s="334" t="s">
        <v>2168</v>
      </c>
      <c r="C40" s="702">
        <v>136.706</v>
      </c>
      <c r="D40" s="702">
        <v>133.729</v>
      </c>
      <c r="E40" s="702">
        <v>133.083</v>
      </c>
      <c r="F40" s="700" t="b">
        <v>1</v>
      </c>
      <c r="G40" s="700"/>
      <c r="H40" s="184"/>
    </row>
    <row r="41" ht="21.0" hidden="1" customHeight="1">
      <c r="A41" s="184" t="s">
        <v>2171</v>
      </c>
      <c r="B41" s="334"/>
      <c r="C41" s="702"/>
      <c r="D41" s="702"/>
      <c r="E41" s="702"/>
      <c r="F41" s="184"/>
      <c r="G41" s="184"/>
      <c r="H41" s="184"/>
    </row>
    <row r="42" ht="21.0" hidden="1" customHeight="1">
      <c r="A42" s="703" t="s">
        <v>2172</v>
      </c>
      <c r="B42" s="704" t="s">
        <v>398</v>
      </c>
      <c r="C42" s="705">
        <v>12.0</v>
      </c>
      <c r="D42" s="705">
        <v>12.0</v>
      </c>
      <c r="E42" s="698">
        <v>0.0</v>
      </c>
      <c r="F42" s="706"/>
      <c r="G42" s="698"/>
      <c r="H42" s="698"/>
    </row>
    <row r="43" ht="21.0" hidden="1" customHeight="1">
      <c r="A43" s="703" t="s">
        <v>112</v>
      </c>
      <c r="B43" s="704" t="s">
        <v>398</v>
      </c>
      <c r="C43" s="705">
        <v>2.0</v>
      </c>
      <c r="D43" s="705">
        <v>2.0</v>
      </c>
      <c r="E43" s="698">
        <v>0.0</v>
      </c>
      <c r="F43" s="706"/>
      <c r="G43" s="698"/>
      <c r="H43" s="706"/>
    </row>
    <row r="44" ht="21.0" hidden="1" customHeight="1">
      <c r="A44" s="701" t="s">
        <v>165</v>
      </c>
      <c r="B44" s="334" t="s">
        <v>398</v>
      </c>
      <c r="C44" s="702">
        <v>1.0</v>
      </c>
      <c r="D44" s="702">
        <v>1.0</v>
      </c>
      <c r="E44" s="700">
        <v>0.0</v>
      </c>
      <c r="F44" s="184"/>
      <c r="G44" s="700" t="b">
        <v>1</v>
      </c>
      <c r="H44" s="184"/>
    </row>
    <row r="45" ht="21.0" hidden="1" customHeight="1">
      <c r="A45" s="703" t="s">
        <v>2174</v>
      </c>
      <c r="B45" s="704" t="s">
        <v>398</v>
      </c>
      <c r="C45" s="705">
        <v>1.0</v>
      </c>
      <c r="D45" s="705">
        <v>1.0</v>
      </c>
      <c r="E45" s="698">
        <v>0.0</v>
      </c>
      <c r="F45" s="706"/>
      <c r="G45" s="698"/>
      <c r="H45" s="706"/>
    </row>
    <row r="46" ht="21.0" hidden="1" customHeight="1">
      <c r="A46" s="701" t="s">
        <v>2175</v>
      </c>
      <c r="B46" s="334" t="s">
        <v>398</v>
      </c>
      <c r="C46" s="700">
        <v>0.0</v>
      </c>
      <c r="D46" s="700">
        <v>0.0</v>
      </c>
      <c r="E46" s="700">
        <v>0.0</v>
      </c>
      <c r="F46" s="184"/>
      <c r="G46" s="184"/>
      <c r="H46" s="184"/>
    </row>
    <row r="47" ht="102.0" hidden="1" customHeight="1">
      <c r="A47" s="703" t="s">
        <v>2178</v>
      </c>
      <c r="B47" s="704" t="s">
        <v>398</v>
      </c>
      <c r="C47" s="711">
        <v>25.0</v>
      </c>
      <c r="D47" s="711">
        <v>25.0</v>
      </c>
      <c r="E47" s="712">
        <v>0.0</v>
      </c>
      <c r="F47" s="712"/>
      <c r="G47" s="712"/>
      <c r="H47" s="713"/>
    </row>
    <row r="48" ht="21.0" hidden="1" customHeight="1">
      <c r="A48" s="703" t="s">
        <v>2177</v>
      </c>
      <c r="B48" s="704" t="s">
        <v>398</v>
      </c>
      <c r="C48" s="705">
        <v>1.0</v>
      </c>
      <c r="D48" s="705">
        <v>1.0</v>
      </c>
      <c r="E48" s="698">
        <v>0.0</v>
      </c>
      <c r="F48" s="706"/>
      <c r="G48" s="698"/>
      <c r="H48" s="706"/>
    </row>
    <row r="49" ht="21.0" hidden="1" customHeight="1">
      <c r="A49" s="706" t="s">
        <v>2167</v>
      </c>
      <c r="B49" s="704" t="s">
        <v>2168</v>
      </c>
      <c r="C49" s="707">
        <v>222.811</v>
      </c>
      <c r="D49" s="707">
        <v>222.811</v>
      </c>
      <c r="E49" s="707">
        <v>222.811</v>
      </c>
      <c r="F49" s="706"/>
      <c r="G49" s="706"/>
      <c r="H49" s="706"/>
    </row>
    <row r="50" ht="21.0" hidden="1" customHeight="1">
      <c r="A50" s="706" t="s">
        <v>392</v>
      </c>
      <c r="B50" s="704" t="s">
        <v>2168</v>
      </c>
      <c r="C50" s="707">
        <v>222.811</v>
      </c>
      <c r="D50" s="707">
        <v>205.936</v>
      </c>
      <c r="E50" s="707">
        <v>199.134</v>
      </c>
      <c r="F50" s="698" t="b">
        <v>1</v>
      </c>
      <c r="G50" s="706"/>
      <c r="H50" s="706"/>
    </row>
    <row r="51" ht="21.0" hidden="1" customHeight="1">
      <c r="A51" s="706" t="s">
        <v>2169</v>
      </c>
      <c r="B51" s="704" t="s">
        <v>2168</v>
      </c>
      <c r="C51" s="698">
        <v>0.0</v>
      </c>
      <c r="D51" s="698">
        <v>0.0</v>
      </c>
      <c r="E51" s="698">
        <v>0.0</v>
      </c>
      <c r="F51" s="706"/>
      <c r="G51" s="706"/>
      <c r="H51" s="706"/>
    </row>
    <row r="52" ht="21.0" hidden="1" customHeight="1">
      <c r="A52" s="706" t="s">
        <v>396</v>
      </c>
      <c r="B52" s="704" t="s">
        <v>2168</v>
      </c>
      <c r="C52" s="707">
        <v>222.811</v>
      </c>
      <c r="D52" s="707">
        <v>199.134</v>
      </c>
      <c r="E52" s="707">
        <v>199.134</v>
      </c>
      <c r="F52" s="698" t="b">
        <v>1</v>
      </c>
      <c r="G52" s="706"/>
      <c r="H52" s="706"/>
    </row>
    <row r="53" ht="21.0" hidden="1" customHeight="1">
      <c r="A53" s="706" t="s">
        <v>2171</v>
      </c>
      <c r="B53" s="704"/>
      <c r="C53" s="705"/>
      <c r="D53" s="705"/>
      <c r="E53" s="705"/>
      <c r="F53" s="706"/>
      <c r="G53" s="706"/>
      <c r="H53" s="706"/>
    </row>
    <row r="54" ht="409.5" hidden="1" customHeight="1">
      <c r="A54" s="708" t="s">
        <v>2172</v>
      </c>
      <c r="B54" s="122" t="s">
        <v>398</v>
      </c>
      <c r="C54" s="709">
        <v>19.0</v>
      </c>
      <c r="D54" s="709">
        <v>17.0</v>
      </c>
      <c r="E54" s="709">
        <v>8.0</v>
      </c>
      <c r="F54" s="709" t="b">
        <v>1</v>
      </c>
      <c r="G54" s="710"/>
      <c r="H54" s="710"/>
    </row>
    <row r="55" ht="21.0" hidden="1" customHeight="1">
      <c r="A55" s="703" t="s">
        <v>112</v>
      </c>
      <c r="B55" s="704" t="s">
        <v>398</v>
      </c>
      <c r="C55" s="705">
        <v>8.0</v>
      </c>
      <c r="D55" s="705">
        <v>8.0</v>
      </c>
      <c r="E55" s="698">
        <v>0.0</v>
      </c>
      <c r="F55" s="698" t="b">
        <v>1</v>
      </c>
      <c r="G55" s="706"/>
      <c r="H55" s="706"/>
    </row>
    <row r="56" ht="21.0" hidden="1" customHeight="1">
      <c r="A56" s="703" t="s">
        <v>165</v>
      </c>
      <c r="B56" s="704" t="s">
        <v>398</v>
      </c>
      <c r="C56" s="698">
        <v>3.0</v>
      </c>
      <c r="D56" s="698">
        <v>3.0</v>
      </c>
      <c r="E56" s="698">
        <v>0.0</v>
      </c>
      <c r="F56" s="706"/>
      <c r="G56" s="706"/>
      <c r="H56" s="706"/>
    </row>
    <row r="57" ht="21.0" hidden="1" customHeight="1">
      <c r="A57" s="703" t="s">
        <v>2174</v>
      </c>
      <c r="B57" s="704" t="s">
        <v>398</v>
      </c>
      <c r="C57" s="705">
        <v>2.0</v>
      </c>
      <c r="D57" s="698">
        <v>0.0</v>
      </c>
      <c r="E57" s="698">
        <v>0.0</v>
      </c>
      <c r="F57" s="706"/>
      <c r="G57" s="706"/>
      <c r="H57" s="706"/>
    </row>
    <row r="58" ht="21.0" hidden="1" customHeight="1">
      <c r="A58" s="703" t="s">
        <v>2175</v>
      </c>
      <c r="B58" s="704" t="s">
        <v>398</v>
      </c>
      <c r="C58" s="698">
        <v>0.0</v>
      </c>
      <c r="D58" s="698">
        <v>0.0</v>
      </c>
      <c r="E58" s="698">
        <v>0.0</v>
      </c>
      <c r="F58" s="706"/>
      <c r="G58" s="706"/>
      <c r="H58" s="706"/>
    </row>
    <row r="59" ht="21.0" hidden="1" customHeight="1">
      <c r="A59" s="703" t="s">
        <v>2178</v>
      </c>
      <c r="B59" s="704" t="s">
        <v>398</v>
      </c>
      <c r="C59" s="705">
        <v>1.0</v>
      </c>
      <c r="D59" s="705">
        <v>1.0</v>
      </c>
      <c r="E59" s="698">
        <v>0.0</v>
      </c>
      <c r="F59" s="706"/>
      <c r="G59" s="706"/>
      <c r="H59" s="706"/>
    </row>
    <row r="60" ht="21.0" hidden="1" customHeight="1">
      <c r="A60" s="703" t="s">
        <v>2179</v>
      </c>
      <c r="B60" s="704" t="s">
        <v>398</v>
      </c>
      <c r="C60" s="705">
        <v>7.0</v>
      </c>
      <c r="D60" s="705">
        <v>7.0</v>
      </c>
      <c r="E60" s="698">
        <v>0.0</v>
      </c>
      <c r="F60" s="698" t="b">
        <v>1</v>
      </c>
      <c r="G60" s="706"/>
      <c r="H60" s="706"/>
    </row>
    <row r="61" ht="21.0" hidden="1" customHeight="1">
      <c r="A61" s="184" t="s">
        <v>2167</v>
      </c>
      <c r="B61" s="334" t="s">
        <v>2168</v>
      </c>
      <c r="C61" s="714">
        <v>123.182</v>
      </c>
      <c r="D61" s="714">
        <v>123.182</v>
      </c>
      <c r="E61" s="714">
        <v>110.754</v>
      </c>
      <c r="F61" s="700" t="b">
        <v>1</v>
      </c>
      <c r="G61" s="184"/>
      <c r="H61" s="184"/>
    </row>
    <row r="62" ht="21.0" hidden="1" customHeight="1">
      <c r="A62" s="184" t="s">
        <v>392</v>
      </c>
      <c r="B62" s="334" t="s">
        <v>2168</v>
      </c>
      <c r="C62" s="714">
        <v>123.182</v>
      </c>
      <c r="D62" s="714">
        <v>105.651</v>
      </c>
      <c r="E62" s="714">
        <v>105.651</v>
      </c>
      <c r="F62" s="700" t="b">
        <v>1</v>
      </c>
      <c r="G62" s="184"/>
      <c r="H62" s="184"/>
    </row>
    <row r="63" ht="21.0" hidden="1" customHeight="1">
      <c r="A63" s="184" t="s">
        <v>2169</v>
      </c>
      <c r="B63" s="334" t="s">
        <v>2168</v>
      </c>
      <c r="C63" s="700">
        <v>0.0</v>
      </c>
      <c r="D63" s="700">
        <v>0.0</v>
      </c>
      <c r="E63" s="700">
        <v>0.0</v>
      </c>
      <c r="F63" s="184"/>
      <c r="G63" s="184"/>
      <c r="H63" s="184"/>
    </row>
    <row r="64" ht="21.0" hidden="1" customHeight="1">
      <c r="A64" s="184" t="s">
        <v>396</v>
      </c>
      <c r="B64" s="334" t="s">
        <v>2168</v>
      </c>
      <c r="C64" s="715">
        <v>123.182</v>
      </c>
      <c r="D64" s="716">
        <v>60.862</v>
      </c>
      <c r="E64" s="716">
        <v>60.862</v>
      </c>
      <c r="F64" s="700" t="b">
        <v>1</v>
      </c>
      <c r="G64" s="184"/>
      <c r="H64" s="184"/>
    </row>
    <row r="65" ht="21.0" hidden="1" customHeight="1">
      <c r="A65" s="184" t="s">
        <v>2171</v>
      </c>
      <c r="B65" s="334"/>
      <c r="C65" s="702"/>
      <c r="D65" s="702"/>
      <c r="E65" s="702"/>
      <c r="F65" s="184"/>
      <c r="G65" s="184"/>
      <c r="H65" s="184"/>
    </row>
    <row r="66" ht="21.0" hidden="1" customHeight="1">
      <c r="A66" s="701" t="s">
        <v>2172</v>
      </c>
      <c r="B66" s="334" t="s">
        <v>398</v>
      </c>
      <c r="C66" s="702">
        <v>6.0</v>
      </c>
      <c r="D66" s="702">
        <v>6.0</v>
      </c>
      <c r="E66" s="700">
        <v>6.0</v>
      </c>
      <c r="F66" s="700"/>
      <c r="G66" s="184"/>
      <c r="H66" s="184"/>
    </row>
    <row r="67" ht="244.5" hidden="1" customHeight="1">
      <c r="A67" s="703" t="s">
        <v>112</v>
      </c>
      <c r="B67" s="704" t="s">
        <v>398</v>
      </c>
      <c r="C67" s="705">
        <v>2.0</v>
      </c>
      <c r="D67" s="705">
        <v>1.0</v>
      </c>
      <c r="E67" s="698">
        <v>0.0</v>
      </c>
      <c r="F67" s="698" t="b">
        <v>1</v>
      </c>
      <c r="G67" s="706"/>
      <c r="H67" s="706"/>
    </row>
    <row r="68" ht="21.0" hidden="1" customHeight="1">
      <c r="A68" s="701" t="s">
        <v>165</v>
      </c>
      <c r="B68" s="334" t="s">
        <v>398</v>
      </c>
      <c r="C68" s="702">
        <v>1.0</v>
      </c>
      <c r="D68" s="702">
        <v>1.0</v>
      </c>
      <c r="E68" s="700">
        <v>0.0</v>
      </c>
      <c r="F68" s="700" t="b">
        <v>1</v>
      </c>
      <c r="G68" s="184"/>
      <c r="H68" s="184"/>
    </row>
    <row r="69" ht="21.0" hidden="1" customHeight="1">
      <c r="A69" s="701" t="s">
        <v>2174</v>
      </c>
      <c r="B69" s="334" t="s">
        <v>398</v>
      </c>
      <c r="C69" s="700">
        <v>0.0</v>
      </c>
      <c r="D69" s="700">
        <v>0.0</v>
      </c>
      <c r="E69" s="700">
        <v>0.0</v>
      </c>
      <c r="F69" s="184"/>
      <c r="G69" s="184"/>
      <c r="H69" s="184"/>
    </row>
    <row r="70" ht="21.0" hidden="1" customHeight="1">
      <c r="A70" s="701" t="s">
        <v>2175</v>
      </c>
      <c r="B70" s="334" t="s">
        <v>398</v>
      </c>
      <c r="C70" s="700">
        <v>0.0</v>
      </c>
      <c r="D70" s="700">
        <v>0.0</v>
      </c>
      <c r="E70" s="700">
        <v>0.0</v>
      </c>
      <c r="F70" s="184"/>
      <c r="G70" s="184"/>
      <c r="H70" s="184"/>
    </row>
    <row r="71" ht="21.0" hidden="1" customHeight="1">
      <c r="A71" s="701" t="s">
        <v>2178</v>
      </c>
      <c r="B71" s="334" t="s">
        <v>398</v>
      </c>
      <c r="C71" s="702">
        <v>1.0</v>
      </c>
      <c r="D71" s="702">
        <v>0.0</v>
      </c>
      <c r="E71" s="700">
        <v>0.0</v>
      </c>
      <c r="F71" s="700"/>
      <c r="G71" s="184"/>
      <c r="H71" s="184"/>
    </row>
    <row r="72" ht="21.0" hidden="1" customHeight="1">
      <c r="A72" s="701" t="s">
        <v>2180</v>
      </c>
      <c r="B72" s="334" t="s">
        <v>398</v>
      </c>
      <c r="C72" s="702">
        <v>1.0</v>
      </c>
      <c r="D72" s="702">
        <v>0.0</v>
      </c>
      <c r="E72" s="700">
        <v>0.0</v>
      </c>
      <c r="F72" s="700"/>
      <c r="G72" s="184"/>
      <c r="H72" s="184"/>
    </row>
    <row r="73" ht="21.0" hidden="1" customHeight="1">
      <c r="A73" s="701" t="s">
        <v>2181</v>
      </c>
      <c r="B73" s="334" t="s">
        <v>398</v>
      </c>
      <c r="C73" s="702">
        <v>1.0</v>
      </c>
      <c r="D73" s="702">
        <v>0.0</v>
      </c>
      <c r="E73" s="700">
        <v>0.0</v>
      </c>
      <c r="F73" s="700"/>
      <c r="G73" s="184"/>
      <c r="H73" s="184"/>
    </row>
    <row r="74" ht="21.0" hidden="1" customHeight="1">
      <c r="A74" s="701" t="s">
        <v>2182</v>
      </c>
      <c r="B74" s="334" t="s">
        <v>398</v>
      </c>
      <c r="C74" s="702">
        <v>0.0</v>
      </c>
      <c r="D74" s="702">
        <v>0.0</v>
      </c>
      <c r="E74" s="700">
        <v>0.0</v>
      </c>
      <c r="F74" s="700"/>
      <c r="G74" s="184"/>
      <c r="H74" s="184"/>
    </row>
    <row r="75" ht="21.0" hidden="1" customHeight="1">
      <c r="A75" s="184" t="s">
        <v>2167</v>
      </c>
      <c r="B75" s="334" t="s">
        <v>2168</v>
      </c>
      <c r="C75" s="702">
        <v>122.071</v>
      </c>
      <c r="D75" s="702">
        <v>122.071</v>
      </c>
      <c r="E75" s="702">
        <v>122.071</v>
      </c>
      <c r="F75" s="184"/>
      <c r="G75" s="184"/>
      <c r="H75" s="184"/>
    </row>
    <row r="76" ht="21.0" hidden="1" customHeight="1">
      <c r="A76" s="184" t="s">
        <v>392</v>
      </c>
      <c r="B76" s="334" t="s">
        <v>2168</v>
      </c>
      <c r="C76" s="702">
        <v>122.071</v>
      </c>
      <c r="D76" s="702">
        <v>122.071</v>
      </c>
      <c r="E76" s="702">
        <v>122.0</v>
      </c>
      <c r="F76" s="184"/>
      <c r="G76" s="184"/>
      <c r="H76" s="184"/>
    </row>
    <row r="77" ht="21.0" hidden="1" customHeight="1">
      <c r="A77" s="184" t="s">
        <v>2169</v>
      </c>
      <c r="B77" s="334" t="s">
        <v>2168</v>
      </c>
      <c r="C77" s="702"/>
      <c r="D77" s="702">
        <v>0.0</v>
      </c>
      <c r="E77" s="702">
        <v>0.0</v>
      </c>
      <c r="F77" s="184"/>
      <c r="G77" s="184"/>
      <c r="H77" s="184"/>
    </row>
    <row r="78" ht="21.0" hidden="1" customHeight="1">
      <c r="A78" s="184" t="s">
        <v>396</v>
      </c>
      <c r="B78" s="334" t="s">
        <v>2168</v>
      </c>
      <c r="C78" s="702">
        <v>122.071</v>
      </c>
      <c r="D78" s="702">
        <v>122.071</v>
      </c>
      <c r="E78" s="702">
        <v>122.0</v>
      </c>
      <c r="F78" s="184"/>
      <c r="G78" s="184"/>
      <c r="H78" s="184"/>
    </row>
    <row r="79" ht="21.0" hidden="1" customHeight="1">
      <c r="A79" s="184" t="s">
        <v>2171</v>
      </c>
      <c r="B79" s="334"/>
      <c r="C79" s="702"/>
      <c r="D79" s="702"/>
      <c r="E79" s="702"/>
      <c r="F79" s="184"/>
      <c r="G79" s="184"/>
      <c r="H79" s="184"/>
    </row>
    <row r="80" ht="162.75" hidden="1" customHeight="1">
      <c r="A80" s="701" t="s">
        <v>2172</v>
      </c>
      <c r="B80" s="334" t="s">
        <v>398</v>
      </c>
      <c r="C80" s="702">
        <v>27.0</v>
      </c>
      <c r="D80" s="702">
        <v>27.0</v>
      </c>
      <c r="E80" s="702">
        <v>17.0</v>
      </c>
      <c r="F80" s="184"/>
      <c r="G80" s="700" t="b">
        <v>1</v>
      </c>
      <c r="H80" s="184"/>
    </row>
    <row r="81" ht="387.0" hidden="1" customHeight="1">
      <c r="A81" s="701" t="s">
        <v>112</v>
      </c>
      <c r="B81" s="334" t="s">
        <v>398</v>
      </c>
      <c r="C81" s="702">
        <v>7.0</v>
      </c>
      <c r="D81" s="702">
        <v>7.0</v>
      </c>
      <c r="E81" s="700">
        <v>0.0</v>
      </c>
      <c r="F81" s="184"/>
      <c r="G81" s="700" t="b">
        <v>1</v>
      </c>
      <c r="H81" s="184"/>
    </row>
    <row r="82" ht="408.0" hidden="1" customHeight="1">
      <c r="A82" s="701" t="s">
        <v>165</v>
      </c>
      <c r="B82" s="334" t="s">
        <v>398</v>
      </c>
      <c r="C82" s="702">
        <v>5.0</v>
      </c>
      <c r="D82" s="702">
        <v>5.0</v>
      </c>
      <c r="E82" s="700">
        <v>0.0</v>
      </c>
      <c r="F82" s="184"/>
      <c r="G82" s="700" t="b">
        <v>1</v>
      </c>
      <c r="H82" s="184"/>
    </row>
    <row r="83" ht="21.0" hidden="1" customHeight="1">
      <c r="A83" s="701" t="s">
        <v>2174</v>
      </c>
      <c r="B83" s="334" t="s">
        <v>398</v>
      </c>
      <c r="C83" s="702">
        <v>1.0</v>
      </c>
      <c r="D83" s="702">
        <v>1.0</v>
      </c>
      <c r="E83" s="700">
        <v>0.0</v>
      </c>
      <c r="F83" s="184"/>
      <c r="G83" s="184"/>
      <c r="H83" s="184"/>
    </row>
    <row r="84" ht="21.0" hidden="1" customHeight="1">
      <c r="A84" s="701" t="s">
        <v>2175</v>
      </c>
      <c r="B84" s="334" t="s">
        <v>398</v>
      </c>
      <c r="C84" s="700">
        <v>0.0</v>
      </c>
      <c r="D84" s="700">
        <v>0.0</v>
      </c>
      <c r="E84" s="700">
        <v>0.0</v>
      </c>
      <c r="F84" s="184"/>
      <c r="G84" s="184"/>
      <c r="H84" s="184"/>
    </row>
    <row r="85" ht="21.0" hidden="1" customHeight="1">
      <c r="A85" s="701" t="s">
        <v>2178</v>
      </c>
      <c r="B85" s="334" t="s">
        <v>398</v>
      </c>
      <c r="C85" s="700">
        <v>0.0</v>
      </c>
      <c r="D85" s="700">
        <v>0.0</v>
      </c>
      <c r="E85" s="700">
        <v>0.0</v>
      </c>
      <c r="F85" s="184"/>
      <c r="G85" s="184"/>
      <c r="H85" s="184"/>
    </row>
    <row r="86" ht="81.0" hidden="1" customHeight="1">
      <c r="A86" s="701" t="s">
        <v>2182</v>
      </c>
      <c r="B86" s="334" t="s">
        <v>398</v>
      </c>
      <c r="C86" s="717">
        <v>10.0</v>
      </c>
      <c r="D86" s="717">
        <v>10.0</v>
      </c>
      <c r="E86" s="700">
        <v>0.0</v>
      </c>
      <c r="F86" s="184"/>
      <c r="G86" s="184"/>
      <c r="H86" s="184"/>
    </row>
    <row r="87" ht="21.0" hidden="1" customHeight="1">
      <c r="A87" s="184" t="s">
        <v>2167</v>
      </c>
      <c r="B87" s="334" t="s">
        <v>2168</v>
      </c>
      <c r="C87" s="702">
        <v>115.134</v>
      </c>
      <c r="D87" s="702">
        <v>115.134</v>
      </c>
      <c r="E87" s="702">
        <v>115.134</v>
      </c>
      <c r="F87" s="184"/>
      <c r="G87" s="184"/>
      <c r="H87" s="184"/>
    </row>
    <row r="88" ht="21.0" hidden="1" customHeight="1">
      <c r="A88" s="184" t="s">
        <v>392</v>
      </c>
      <c r="B88" s="334" t="s">
        <v>2168</v>
      </c>
      <c r="C88" s="702">
        <v>115.134</v>
      </c>
      <c r="D88" s="702">
        <v>115.134</v>
      </c>
      <c r="E88" s="702">
        <v>115.134</v>
      </c>
      <c r="F88" s="184"/>
      <c r="G88" s="184"/>
      <c r="H88" s="184"/>
    </row>
    <row r="89" ht="21.0" hidden="1" customHeight="1">
      <c r="A89" s="184" t="s">
        <v>2169</v>
      </c>
      <c r="B89" s="334" t="s">
        <v>2168</v>
      </c>
      <c r="C89" s="700">
        <v>0.0</v>
      </c>
      <c r="D89" s="700">
        <v>0.0</v>
      </c>
      <c r="E89" s="700">
        <v>0.0</v>
      </c>
      <c r="F89" s="184"/>
      <c r="G89" s="184"/>
      <c r="H89" s="184"/>
    </row>
    <row r="90" ht="21.0" hidden="1" customHeight="1">
      <c r="A90" s="184" t="s">
        <v>396</v>
      </c>
      <c r="B90" s="334" t="s">
        <v>2168</v>
      </c>
      <c r="C90" s="702">
        <v>115.134</v>
      </c>
      <c r="D90" s="702">
        <v>115.134</v>
      </c>
      <c r="E90" s="702">
        <v>115.134</v>
      </c>
      <c r="F90" s="184"/>
      <c r="G90" s="184"/>
      <c r="H90" s="184"/>
    </row>
    <row r="91" ht="21.0" hidden="1" customHeight="1">
      <c r="A91" s="184" t="s">
        <v>2171</v>
      </c>
      <c r="B91" s="334"/>
      <c r="C91" s="184"/>
      <c r="D91" s="184"/>
      <c r="E91" s="184"/>
      <c r="F91" s="184"/>
      <c r="G91" s="184"/>
      <c r="H91" s="184"/>
    </row>
    <row r="92" ht="21.0" hidden="1" customHeight="1">
      <c r="A92" s="701" t="s">
        <v>2172</v>
      </c>
      <c r="B92" s="334" t="s">
        <v>398</v>
      </c>
      <c r="C92" s="52">
        <v>21.0</v>
      </c>
      <c r="D92" s="52">
        <v>21.0</v>
      </c>
      <c r="E92" s="52">
        <v>21.0</v>
      </c>
      <c r="F92" s="184"/>
      <c r="G92" s="184"/>
      <c r="H92" s="184"/>
    </row>
    <row r="93" ht="21.0" hidden="1" customHeight="1">
      <c r="A93" s="701" t="s">
        <v>112</v>
      </c>
      <c r="B93" s="334" t="s">
        <v>398</v>
      </c>
      <c r="C93" s="52">
        <v>3.0</v>
      </c>
      <c r="D93" s="52">
        <v>3.0</v>
      </c>
      <c r="E93" s="52">
        <v>3.0</v>
      </c>
      <c r="F93" s="184"/>
      <c r="G93" s="184"/>
      <c r="H93" s="184"/>
    </row>
    <row r="94" ht="21.0" hidden="1" customHeight="1">
      <c r="A94" s="701" t="s">
        <v>165</v>
      </c>
      <c r="B94" s="334" t="s">
        <v>398</v>
      </c>
      <c r="C94" s="52">
        <v>3.0</v>
      </c>
      <c r="D94" s="52">
        <v>3.0</v>
      </c>
      <c r="E94" s="700">
        <v>3.0</v>
      </c>
      <c r="F94" s="184"/>
      <c r="G94" s="184"/>
      <c r="H94" s="184"/>
    </row>
    <row r="95" ht="21.0" hidden="1" customHeight="1">
      <c r="A95" s="701" t="s">
        <v>2174</v>
      </c>
      <c r="B95" s="334" t="s">
        <v>398</v>
      </c>
      <c r="C95" s="700">
        <v>1.0</v>
      </c>
      <c r="D95" s="700">
        <v>1.0</v>
      </c>
      <c r="E95" s="700">
        <v>0.0</v>
      </c>
      <c r="F95" s="700" t="b">
        <v>1</v>
      </c>
      <c r="G95" s="184"/>
      <c r="H95" s="184"/>
    </row>
    <row r="96" ht="21.0" hidden="1" customHeight="1">
      <c r="A96" s="701" t="s">
        <v>2175</v>
      </c>
      <c r="B96" s="334" t="s">
        <v>398</v>
      </c>
      <c r="C96" s="700">
        <v>1.0</v>
      </c>
      <c r="D96" s="700">
        <v>1.0</v>
      </c>
      <c r="E96" s="700">
        <v>1.0</v>
      </c>
      <c r="F96" s="184"/>
      <c r="G96" s="184"/>
      <c r="H96" s="184"/>
    </row>
    <row r="97" ht="21.0" hidden="1" customHeight="1">
      <c r="A97" s="701" t="s">
        <v>2178</v>
      </c>
      <c r="B97" s="334" t="s">
        <v>398</v>
      </c>
      <c r="C97" s="700">
        <v>1.0</v>
      </c>
      <c r="D97" s="700">
        <v>1.0</v>
      </c>
      <c r="E97" s="700">
        <v>0.0</v>
      </c>
      <c r="F97" s="700" t="b">
        <v>1</v>
      </c>
      <c r="G97" s="184"/>
      <c r="H97" s="184"/>
    </row>
    <row r="98" ht="21.0" hidden="1" customHeight="1">
      <c r="A98" s="701" t="s">
        <v>2182</v>
      </c>
      <c r="B98" s="334" t="s">
        <v>398</v>
      </c>
      <c r="C98" s="700">
        <v>4.0</v>
      </c>
      <c r="D98" s="700">
        <v>4.0</v>
      </c>
      <c r="E98" s="700">
        <v>4.0</v>
      </c>
      <c r="F98" s="184"/>
      <c r="G98" s="184"/>
      <c r="H98" s="184"/>
    </row>
    <row r="99" ht="21.0" hidden="1" customHeight="1">
      <c r="A99" s="184" t="s">
        <v>2167</v>
      </c>
      <c r="B99" s="334" t="s">
        <v>2168</v>
      </c>
      <c r="C99" s="702">
        <v>127.83</v>
      </c>
      <c r="D99" s="702">
        <v>127.83</v>
      </c>
      <c r="E99" s="702">
        <v>127.83</v>
      </c>
      <c r="F99" s="718"/>
      <c r="G99" s="718"/>
      <c r="H99" s="718"/>
    </row>
    <row r="100" ht="27.0" hidden="1" customHeight="1">
      <c r="A100" s="184" t="s">
        <v>392</v>
      </c>
      <c r="B100" s="334" t="s">
        <v>2168</v>
      </c>
      <c r="C100" s="702">
        <v>127.83</v>
      </c>
      <c r="D100" s="702">
        <v>123.958</v>
      </c>
      <c r="E100" s="702">
        <v>123.958</v>
      </c>
      <c r="F100" s="700" t="b">
        <v>1</v>
      </c>
      <c r="G100" s="718"/>
      <c r="H100" s="718"/>
    </row>
    <row r="101" ht="21.0" hidden="1" customHeight="1">
      <c r="A101" s="184" t="s">
        <v>2169</v>
      </c>
      <c r="B101" s="334" t="s">
        <v>2168</v>
      </c>
      <c r="C101" s="702">
        <v>3.896</v>
      </c>
      <c r="D101" s="702">
        <v>3.896</v>
      </c>
      <c r="E101" s="700">
        <v>0.0</v>
      </c>
      <c r="F101" s="700" t="b">
        <v>1</v>
      </c>
      <c r="G101" s="718"/>
      <c r="H101" s="718"/>
    </row>
    <row r="102" ht="21.0" hidden="1" customHeight="1">
      <c r="A102" s="184" t="s">
        <v>396</v>
      </c>
      <c r="B102" s="334" t="s">
        <v>2168</v>
      </c>
      <c r="C102" s="702">
        <v>127.83</v>
      </c>
      <c r="D102" s="702">
        <v>123.958</v>
      </c>
      <c r="E102" s="702">
        <v>123.958</v>
      </c>
      <c r="F102" s="718"/>
      <c r="G102" s="718"/>
      <c r="H102" s="718"/>
    </row>
    <row r="103" ht="21.0" hidden="1" customHeight="1">
      <c r="A103" s="184" t="s">
        <v>2171</v>
      </c>
      <c r="B103" s="334"/>
      <c r="C103" s="702"/>
      <c r="D103" s="702"/>
      <c r="E103" s="702"/>
      <c r="F103" s="718"/>
      <c r="G103" s="718"/>
      <c r="H103" s="718"/>
    </row>
    <row r="104" ht="36.0" hidden="1" customHeight="1">
      <c r="A104" s="701" t="s">
        <v>2172</v>
      </c>
      <c r="B104" s="334" t="s">
        <v>398</v>
      </c>
      <c r="C104" s="702">
        <v>48.0</v>
      </c>
      <c r="D104" s="702">
        <v>48.0</v>
      </c>
      <c r="E104" s="702">
        <v>19.0</v>
      </c>
      <c r="F104" s="700" t="b">
        <v>1</v>
      </c>
      <c r="G104" s="718"/>
      <c r="H104" s="718"/>
    </row>
    <row r="105" ht="21.0" hidden="1" customHeight="1">
      <c r="A105" s="701" t="s">
        <v>112</v>
      </c>
      <c r="B105" s="334" t="s">
        <v>398</v>
      </c>
      <c r="C105" s="702">
        <v>8.0</v>
      </c>
      <c r="D105" s="702">
        <v>8.0</v>
      </c>
      <c r="E105" s="700">
        <v>0.0</v>
      </c>
      <c r="F105" s="700" t="b">
        <v>1</v>
      </c>
      <c r="G105" s="718"/>
      <c r="H105" s="718"/>
    </row>
    <row r="106" ht="21.0" hidden="1" customHeight="1">
      <c r="A106" s="701" t="s">
        <v>165</v>
      </c>
      <c r="B106" s="334" t="s">
        <v>398</v>
      </c>
      <c r="C106" s="702">
        <v>6.0</v>
      </c>
      <c r="D106" s="702">
        <v>6.0</v>
      </c>
      <c r="E106" s="702">
        <v>1.0</v>
      </c>
      <c r="F106" s="700" t="b">
        <v>1</v>
      </c>
      <c r="G106" s="718"/>
      <c r="H106" s="718"/>
    </row>
    <row r="107" ht="21.0" hidden="1" customHeight="1">
      <c r="A107" s="701" t="s">
        <v>2174</v>
      </c>
      <c r="B107" s="334" t="s">
        <v>398</v>
      </c>
      <c r="C107" s="702">
        <v>1.0</v>
      </c>
      <c r="D107" s="700">
        <v>0.0</v>
      </c>
      <c r="E107" s="700">
        <v>0.0</v>
      </c>
      <c r="F107" s="700" t="b">
        <v>1</v>
      </c>
      <c r="G107" s="718"/>
      <c r="H107" s="718"/>
    </row>
    <row r="108" ht="21.0" hidden="1" customHeight="1">
      <c r="A108" s="701" t="s">
        <v>2175</v>
      </c>
      <c r="B108" s="334" t="s">
        <v>398</v>
      </c>
      <c r="C108" s="702">
        <v>2.0</v>
      </c>
      <c r="D108" s="702">
        <v>2.0</v>
      </c>
      <c r="E108" s="702">
        <v>1.0</v>
      </c>
      <c r="F108" s="700" t="b">
        <v>1</v>
      </c>
      <c r="G108" s="718"/>
      <c r="H108" s="718"/>
    </row>
    <row r="109" ht="81.0" hidden="1" customHeight="1">
      <c r="A109" s="701" t="s">
        <v>2178</v>
      </c>
      <c r="B109" s="334" t="s">
        <v>398</v>
      </c>
      <c r="C109" s="702">
        <v>3.0</v>
      </c>
      <c r="D109" s="702">
        <v>3.0</v>
      </c>
      <c r="E109" s="700">
        <v>0.0</v>
      </c>
      <c r="F109" s="700" t="b">
        <v>1</v>
      </c>
      <c r="G109" s="718"/>
      <c r="H109" s="718"/>
    </row>
    <row r="110" ht="21.0" hidden="1" customHeight="1">
      <c r="A110" s="701" t="s">
        <v>2183</v>
      </c>
      <c r="B110" s="334" t="s">
        <v>398</v>
      </c>
      <c r="C110" s="702">
        <v>18.0</v>
      </c>
      <c r="D110" s="702">
        <v>15.0</v>
      </c>
      <c r="E110" s="700">
        <v>0.0</v>
      </c>
      <c r="F110" s="700" t="b">
        <v>1</v>
      </c>
      <c r="G110" s="718"/>
      <c r="H110" s="718"/>
    </row>
    <row r="111" ht="21.0" hidden="1" customHeight="1">
      <c r="A111" s="184" t="s">
        <v>2167</v>
      </c>
      <c r="B111" s="334" t="s">
        <v>2168</v>
      </c>
      <c r="C111" s="719">
        <v>177.044</v>
      </c>
      <c r="D111" s="719">
        <v>177.044</v>
      </c>
      <c r="E111" s="719">
        <v>177.044</v>
      </c>
      <c r="F111" s="718"/>
      <c r="G111" s="718"/>
      <c r="H111" s="718"/>
    </row>
    <row r="112" ht="21.0" hidden="1" customHeight="1">
      <c r="A112" s="184" t="s">
        <v>392</v>
      </c>
      <c r="B112" s="334" t="s">
        <v>2168</v>
      </c>
      <c r="C112" s="719">
        <v>177.044</v>
      </c>
      <c r="D112" s="719">
        <v>177.044</v>
      </c>
      <c r="E112" s="719">
        <v>177.044</v>
      </c>
      <c r="F112" s="718"/>
      <c r="G112" s="718"/>
      <c r="H112" s="718"/>
    </row>
    <row r="113" ht="21.0" hidden="1" customHeight="1">
      <c r="A113" s="184" t="s">
        <v>2169</v>
      </c>
      <c r="B113" s="334" t="s">
        <v>2168</v>
      </c>
      <c r="C113" s="700">
        <v>0.0</v>
      </c>
      <c r="D113" s="700">
        <v>0.0</v>
      </c>
      <c r="E113" s="700">
        <v>0.0</v>
      </c>
      <c r="F113" s="718"/>
      <c r="G113" s="718"/>
      <c r="H113" s="718"/>
    </row>
    <row r="114" ht="21.0" hidden="1" customHeight="1">
      <c r="A114" s="184" t="s">
        <v>396</v>
      </c>
      <c r="B114" s="334" t="s">
        <v>2168</v>
      </c>
      <c r="C114" s="719">
        <v>177.044</v>
      </c>
      <c r="D114" s="719">
        <v>177.044</v>
      </c>
      <c r="E114" s="719">
        <v>177.044</v>
      </c>
      <c r="F114" s="718"/>
      <c r="G114" s="718"/>
      <c r="H114" s="718"/>
    </row>
    <row r="115" ht="21.0" hidden="1" customHeight="1">
      <c r="A115" s="184" t="s">
        <v>2171</v>
      </c>
      <c r="B115" s="334"/>
      <c r="C115" s="702"/>
      <c r="D115" s="702"/>
      <c r="E115" s="702"/>
      <c r="F115" s="718"/>
      <c r="G115" s="718"/>
      <c r="H115" s="718"/>
    </row>
    <row r="116" ht="21.0" hidden="1" customHeight="1">
      <c r="A116" s="701" t="s">
        <v>2172</v>
      </c>
      <c r="B116" s="334" t="s">
        <v>398</v>
      </c>
      <c r="C116" s="700">
        <v>68.0</v>
      </c>
      <c r="D116" s="700">
        <v>68.0</v>
      </c>
      <c r="E116" s="700">
        <v>65.0</v>
      </c>
      <c r="F116" s="700" t="b">
        <v>1</v>
      </c>
      <c r="G116" s="718"/>
      <c r="H116" s="718"/>
    </row>
    <row r="117" ht="21.0" hidden="1" customHeight="1">
      <c r="A117" s="701" t="s">
        <v>112</v>
      </c>
      <c r="B117" s="334" t="s">
        <v>398</v>
      </c>
      <c r="C117" s="702">
        <v>9.0</v>
      </c>
      <c r="D117" s="702">
        <v>9.0</v>
      </c>
      <c r="E117" s="700">
        <v>6.0</v>
      </c>
      <c r="F117" s="700" t="b">
        <v>1</v>
      </c>
      <c r="G117" s="718"/>
      <c r="H117" s="718"/>
    </row>
    <row r="118" ht="21.0" hidden="1" customHeight="1">
      <c r="A118" s="701" t="s">
        <v>165</v>
      </c>
      <c r="B118" s="334" t="s">
        <v>398</v>
      </c>
      <c r="C118" s="700">
        <v>9.0</v>
      </c>
      <c r="D118" s="700">
        <v>9.0</v>
      </c>
      <c r="E118" s="700">
        <v>9.0</v>
      </c>
      <c r="F118" s="718"/>
      <c r="G118" s="718"/>
      <c r="H118" s="718"/>
    </row>
    <row r="119" ht="21.0" hidden="1" customHeight="1">
      <c r="A119" s="701" t="s">
        <v>2174</v>
      </c>
      <c r="B119" s="334" t="s">
        <v>398</v>
      </c>
      <c r="C119" s="702">
        <v>1.0</v>
      </c>
      <c r="D119" s="702">
        <v>1.0</v>
      </c>
      <c r="E119" s="700">
        <v>1.0</v>
      </c>
      <c r="F119" s="718"/>
      <c r="G119" s="718"/>
      <c r="H119" s="718"/>
    </row>
    <row r="120" ht="21.0" hidden="1" customHeight="1">
      <c r="A120" s="701" t="s">
        <v>2175</v>
      </c>
      <c r="B120" s="334" t="s">
        <v>398</v>
      </c>
      <c r="C120" s="700">
        <v>3.0</v>
      </c>
      <c r="D120" s="700">
        <v>3.0</v>
      </c>
      <c r="E120" s="700">
        <v>3.0</v>
      </c>
      <c r="F120" s="718"/>
      <c r="G120" s="718"/>
      <c r="H120" s="718"/>
    </row>
    <row r="121" ht="21.0" hidden="1" customHeight="1">
      <c r="A121" s="701" t="s">
        <v>2178</v>
      </c>
      <c r="B121" s="334" t="s">
        <v>398</v>
      </c>
      <c r="C121" s="702">
        <v>1.0</v>
      </c>
      <c r="D121" s="702">
        <v>1.0</v>
      </c>
      <c r="E121" s="700">
        <v>1.0</v>
      </c>
      <c r="F121" s="718"/>
      <c r="G121" s="718"/>
      <c r="H121" s="718"/>
    </row>
    <row r="122" ht="21.0" hidden="1" customHeight="1">
      <c r="A122" s="720" t="s">
        <v>2177</v>
      </c>
      <c r="B122" s="721" t="s">
        <v>398</v>
      </c>
      <c r="C122" s="722"/>
      <c r="D122" s="722"/>
      <c r="E122" s="722"/>
      <c r="F122" s="723"/>
      <c r="G122" s="723"/>
      <c r="H122" s="723"/>
    </row>
    <row r="123" ht="21.0" customHeight="1">
      <c r="A123" s="724" t="s">
        <v>2184</v>
      </c>
      <c r="B123" s="2"/>
      <c r="C123" s="725"/>
      <c r="D123" s="726" t="s">
        <v>2185</v>
      </c>
      <c r="E123" s="727"/>
      <c r="F123" s="727"/>
      <c r="G123" s="727"/>
      <c r="H123" s="727"/>
      <c r="I123" s="727"/>
      <c r="J123" s="728"/>
    </row>
    <row r="124" ht="14.25" customHeight="1">
      <c r="A124" s="729" t="s">
        <v>2186</v>
      </c>
      <c r="B124" s="729" t="s">
        <v>387</v>
      </c>
      <c r="C124" s="729" t="s">
        <v>388</v>
      </c>
      <c r="D124" s="729" t="s">
        <v>2187</v>
      </c>
      <c r="E124" s="729" t="s">
        <v>2188</v>
      </c>
      <c r="F124" s="730"/>
      <c r="G124" s="731"/>
      <c r="H124" s="732"/>
      <c r="I124" s="733" t="s">
        <v>391</v>
      </c>
      <c r="J124" s="219"/>
    </row>
    <row r="125" ht="15.0" customHeight="1">
      <c r="A125" s="235"/>
      <c r="B125" s="235"/>
      <c r="C125" s="235"/>
      <c r="D125" s="235"/>
      <c r="E125" s="235"/>
      <c r="F125" s="730"/>
      <c r="G125" s="734"/>
      <c r="H125" s="732"/>
      <c r="I125" s="735"/>
      <c r="J125" s="736"/>
    </row>
    <row r="126" ht="14.25" customHeight="1">
      <c r="A126" s="737" t="s">
        <v>2167</v>
      </c>
      <c r="B126" s="738" t="s">
        <v>2168</v>
      </c>
      <c r="C126" s="738">
        <v>118.288</v>
      </c>
      <c r="D126" s="738">
        <v>118.406</v>
      </c>
      <c r="E126" s="739">
        <v>113.533</v>
      </c>
      <c r="F126" s="730"/>
      <c r="G126" s="730"/>
      <c r="H126" s="732"/>
      <c r="I126" s="740"/>
      <c r="J126" s="155"/>
    </row>
    <row r="127" ht="14.25" customHeight="1">
      <c r="A127" s="737" t="s">
        <v>392</v>
      </c>
      <c r="B127" s="738" t="s">
        <v>2168</v>
      </c>
      <c r="C127" s="738">
        <v>118.288</v>
      </c>
      <c r="D127" s="738">
        <v>118.406</v>
      </c>
      <c r="E127" s="738">
        <v>108.989</v>
      </c>
      <c r="F127" s="730"/>
      <c r="G127" s="730"/>
      <c r="H127" s="732"/>
      <c r="I127" s="740"/>
      <c r="J127" s="155"/>
    </row>
    <row r="128" ht="14.25" customHeight="1">
      <c r="A128" s="737" t="s">
        <v>2169</v>
      </c>
      <c r="B128" s="738" t="s">
        <v>2168</v>
      </c>
      <c r="C128" s="738">
        <v>0.0</v>
      </c>
      <c r="D128" s="738">
        <v>0.0</v>
      </c>
      <c r="E128" s="738">
        <v>0.0</v>
      </c>
      <c r="F128" s="730"/>
      <c r="G128" s="730"/>
      <c r="H128" s="732"/>
      <c r="I128" s="740"/>
      <c r="J128" s="155"/>
    </row>
    <row r="129" ht="14.25" customHeight="1">
      <c r="A129" s="737" t="s">
        <v>396</v>
      </c>
      <c r="B129" s="738" t="s">
        <v>2168</v>
      </c>
      <c r="C129" s="738">
        <v>118.288</v>
      </c>
      <c r="D129" s="738">
        <v>108.171</v>
      </c>
      <c r="E129" s="738">
        <v>108.171</v>
      </c>
      <c r="F129" s="730"/>
      <c r="G129" s="730"/>
      <c r="H129" s="732"/>
      <c r="I129" s="740" t="s">
        <v>2189</v>
      </c>
      <c r="J129" s="155"/>
    </row>
    <row r="130" ht="19.5" customHeight="1">
      <c r="A130" s="737" t="s">
        <v>2171</v>
      </c>
      <c r="B130" s="738"/>
      <c r="C130" s="741"/>
      <c r="D130" s="741"/>
      <c r="E130" s="741"/>
      <c r="F130" s="730"/>
      <c r="G130" s="730"/>
      <c r="H130" s="732"/>
      <c r="I130" s="740"/>
      <c r="J130" s="155"/>
    </row>
    <row r="131" ht="30.0" customHeight="1">
      <c r="A131" s="737" t="s">
        <v>2172</v>
      </c>
      <c r="B131" s="738" t="s">
        <v>398</v>
      </c>
      <c r="C131" s="738">
        <v>9.0</v>
      </c>
      <c r="D131" s="738">
        <v>8.0</v>
      </c>
      <c r="E131" s="738">
        <v>6.0</v>
      </c>
      <c r="F131" s="730"/>
      <c r="G131" s="730"/>
      <c r="H131" s="732"/>
      <c r="I131" s="742"/>
      <c r="J131" s="743"/>
    </row>
    <row r="132" ht="30.75" customHeight="1">
      <c r="A132" s="737" t="s">
        <v>112</v>
      </c>
      <c r="B132" s="738" t="s">
        <v>398</v>
      </c>
      <c r="C132" s="738">
        <v>3.0</v>
      </c>
      <c r="D132" s="739">
        <v>3.0</v>
      </c>
      <c r="E132" s="738">
        <v>0.0</v>
      </c>
      <c r="F132" s="730"/>
      <c r="G132" s="730"/>
      <c r="H132" s="732"/>
      <c r="I132" s="744" t="s">
        <v>2190</v>
      </c>
      <c r="J132" s="248"/>
    </row>
    <row r="133" ht="14.25" customHeight="1">
      <c r="A133" s="737" t="s">
        <v>165</v>
      </c>
      <c r="B133" s="738" t="s">
        <v>398</v>
      </c>
      <c r="C133" s="738">
        <v>1.0</v>
      </c>
      <c r="D133" s="738">
        <v>1.0</v>
      </c>
      <c r="E133" s="738">
        <v>0.0</v>
      </c>
      <c r="F133" s="730"/>
      <c r="G133" s="730"/>
      <c r="H133" s="732"/>
      <c r="I133" s="744" t="s">
        <v>2190</v>
      </c>
      <c r="J133" s="260"/>
    </row>
    <row r="134" ht="14.25" customHeight="1">
      <c r="A134" s="737" t="s">
        <v>2174</v>
      </c>
      <c r="B134" s="738" t="s">
        <v>398</v>
      </c>
      <c r="C134" s="738">
        <v>1.0</v>
      </c>
      <c r="D134" s="738">
        <v>1.0</v>
      </c>
      <c r="E134" s="738">
        <v>0.0</v>
      </c>
      <c r="F134" s="730"/>
      <c r="G134" s="730"/>
      <c r="H134" s="732"/>
      <c r="I134" s="744" t="s">
        <v>2190</v>
      </c>
      <c r="J134" s="745"/>
    </row>
    <row r="135" ht="14.25" customHeight="1">
      <c r="A135" s="737" t="s">
        <v>2175</v>
      </c>
      <c r="B135" s="738" t="s">
        <v>398</v>
      </c>
      <c r="C135" s="738">
        <v>1.0</v>
      </c>
      <c r="D135" s="739" t="s">
        <v>2191</v>
      </c>
      <c r="E135" s="739" t="s">
        <v>2192</v>
      </c>
      <c r="F135" s="730"/>
      <c r="G135" s="730"/>
      <c r="I135" s="740"/>
      <c r="J135" s="155"/>
    </row>
    <row r="136" ht="14.25" customHeight="1">
      <c r="A136" s="746" t="s">
        <v>2176</v>
      </c>
      <c r="B136" s="747" t="s">
        <v>398</v>
      </c>
      <c r="C136" s="747">
        <v>0.0</v>
      </c>
      <c r="D136" s="747">
        <v>0.0</v>
      </c>
      <c r="E136" s="747">
        <v>0.0</v>
      </c>
      <c r="F136" s="731"/>
      <c r="G136" s="731"/>
      <c r="I136" s="740"/>
      <c r="J136" s="155"/>
    </row>
    <row r="137" ht="14.25" customHeight="1">
      <c r="A137" s="748" t="s">
        <v>2193</v>
      </c>
      <c r="B137" s="2"/>
      <c r="C137" s="2"/>
      <c r="D137" s="2"/>
      <c r="E137" s="2"/>
      <c r="F137" s="2"/>
      <c r="G137" s="2"/>
      <c r="H137" s="2"/>
      <c r="I137" s="2"/>
      <c r="J137" s="155"/>
    </row>
    <row r="138" ht="14.25" customHeight="1">
      <c r="A138" s="748" t="s">
        <v>2194</v>
      </c>
      <c r="B138" s="2"/>
      <c r="C138" s="2"/>
      <c r="D138" s="2"/>
      <c r="E138" s="2"/>
      <c r="F138" s="2"/>
      <c r="G138" s="2"/>
      <c r="H138" s="2"/>
      <c r="I138" s="2"/>
      <c r="J138" s="155"/>
    </row>
    <row r="139" ht="14.25" customHeight="1">
      <c r="A139" s="748" t="s">
        <v>2195</v>
      </c>
      <c r="B139" s="2"/>
      <c r="C139" s="2"/>
      <c r="D139" s="2"/>
      <c r="E139" s="2"/>
      <c r="F139" s="2"/>
      <c r="G139" s="2"/>
      <c r="H139" s="2"/>
      <c r="I139" s="2"/>
      <c r="J139" s="155"/>
    </row>
  </sheetData>
  <mergeCells count="18">
    <mergeCell ref="I129:J129"/>
    <mergeCell ref="I130:J130"/>
    <mergeCell ref="I136:J136"/>
    <mergeCell ref="A137:J137"/>
    <mergeCell ref="A138:J138"/>
    <mergeCell ref="A139:J139"/>
    <mergeCell ref="I127:J127"/>
    <mergeCell ref="I128:J128"/>
    <mergeCell ref="I135:J135"/>
    <mergeCell ref="I126:J126"/>
    <mergeCell ref="I124:J125"/>
    <mergeCell ref="A123:C123"/>
    <mergeCell ref="D123:J123"/>
    <mergeCell ref="A124:A125"/>
    <mergeCell ref="B124:B125"/>
    <mergeCell ref="C124:C125"/>
    <mergeCell ref="D124:D125"/>
    <mergeCell ref="E124:E125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11.29"/>
    <col customWidth="1" min="2" max="2" width="11.29"/>
    <col customWidth="1" min="3" max="3" width="12.43"/>
    <col customWidth="1" min="4" max="4" width="16.29"/>
    <col customWidth="1" min="5" max="5" width="12.29"/>
    <col customWidth="1" min="6" max="6" width="24.57"/>
    <col customWidth="1" min="7" max="7" width="26.0"/>
    <col customWidth="1" min="8" max="8" width="62.57"/>
    <col customWidth="1" min="9" max="9" width="36.0"/>
    <col customWidth="1" min="10" max="10" width="28.29"/>
    <col customWidth="1" min="11" max="11" width="22.29"/>
    <col customWidth="1" min="12" max="12" width="40.57"/>
    <col customWidth="1" min="13" max="13" width="56.43"/>
  </cols>
  <sheetData>
    <row r="1" ht="34.5" customHeight="1">
      <c r="A1" s="749" t="s">
        <v>2196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55"/>
    </row>
    <row r="2" ht="17.25" customHeight="1">
      <c r="A2" s="750" t="s">
        <v>2197</v>
      </c>
      <c r="B2" s="751" t="s">
        <v>2198</v>
      </c>
      <c r="C2" s="752" t="s">
        <v>2199</v>
      </c>
      <c r="D2" s="752" t="s">
        <v>2200</v>
      </c>
      <c r="E2" s="752" t="s">
        <v>2201</v>
      </c>
      <c r="F2" s="752" t="s">
        <v>408</v>
      </c>
      <c r="G2" s="752" t="s">
        <v>2202</v>
      </c>
      <c r="H2" s="752" t="s">
        <v>2203</v>
      </c>
      <c r="I2" s="752" t="s">
        <v>2204</v>
      </c>
      <c r="J2" s="752" t="s">
        <v>1027</v>
      </c>
      <c r="K2" s="753" t="s">
        <v>2205</v>
      </c>
      <c r="L2" s="754" t="s">
        <v>2206</v>
      </c>
      <c r="M2" s="754" t="s">
        <v>391</v>
      </c>
    </row>
    <row r="3" ht="17.25" customHeight="1">
      <c r="A3" s="755">
        <v>1.0</v>
      </c>
      <c r="B3" s="756">
        <v>1.0</v>
      </c>
      <c r="C3" s="757" t="s">
        <v>76</v>
      </c>
      <c r="D3" s="758" t="s">
        <v>69</v>
      </c>
      <c r="E3" s="759" t="s">
        <v>77</v>
      </c>
      <c r="F3" s="758" t="s">
        <v>2207</v>
      </c>
      <c r="G3" s="760" t="s">
        <v>2208</v>
      </c>
      <c r="H3" s="761" t="s">
        <v>839</v>
      </c>
      <c r="I3" s="762" t="s">
        <v>840</v>
      </c>
      <c r="J3" s="763" t="s">
        <v>2209</v>
      </c>
      <c r="K3" s="760" t="s">
        <v>2210</v>
      </c>
      <c r="L3" s="760" t="s">
        <v>2211</v>
      </c>
      <c r="M3" s="760"/>
    </row>
    <row r="4" ht="27.75" customHeight="1">
      <c r="A4" s="764" t="str">
        <f t="shared" ref="A4:A7" si="1">A3+1</f>
        <v>2</v>
      </c>
      <c r="B4" s="765">
        <v>2.0</v>
      </c>
      <c r="C4" s="766" t="s">
        <v>157</v>
      </c>
      <c r="D4" s="767" t="s">
        <v>2212</v>
      </c>
      <c r="E4" s="766" t="s">
        <v>158</v>
      </c>
      <c r="F4" s="768" t="s">
        <v>148</v>
      </c>
      <c r="G4" s="769" t="s">
        <v>2208</v>
      </c>
      <c r="H4" s="770" t="s">
        <v>850</v>
      </c>
      <c r="I4" s="769" t="s">
        <v>2213</v>
      </c>
      <c r="J4" s="768" t="s">
        <v>2209</v>
      </c>
      <c r="K4" s="769" t="s">
        <v>2210</v>
      </c>
      <c r="L4" s="769" t="s">
        <v>2211</v>
      </c>
      <c r="M4" s="769"/>
    </row>
    <row r="5" ht="27.75" customHeight="1">
      <c r="A5" s="771" t="str">
        <f t="shared" si="1"/>
        <v>3</v>
      </c>
      <c r="B5" s="756">
        <v>3.0</v>
      </c>
      <c r="C5" s="772" t="s">
        <v>176</v>
      </c>
      <c r="D5" s="758" t="s">
        <v>168</v>
      </c>
      <c r="E5" s="772" t="s">
        <v>177</v>
      </c>
      <c r="F5" s="763" t="s">
        <v>169</v>
      </c>
      <c r="G5" s="760" t="s">
        <v>2208</v>
      </c>
      <c r="H5" s="761" t="s">
        <v>857</v>
      </c>
      <c r="I5" s="760" t="s">
        <v>2213</v>
      </c>
      <c r="J5" s="763" t="s">
        <v>2209</v>
      </c>
      <c r="K5" s="760" t="s">
        <v>2210</v>
      </c>
      <c r="L5" s="760" t="s">
        <v>2211</v>
      </c>
      <c r="M5" s="760"/>
    </row>
    <row r="6" ht="27.75" customHeight="1">
      <c r="A6" s="764" t="str">
        <f t="shared" si="1"/>
        <v>4</v>
      </c>
      <c r="B6" s="765">
        <v>4.0</v>
      </c>
      <c r="C6" s="766" t="s">
        <v>194</v>
      </c>
      <c r="D6" s="767" t="s">
        <v>115</v>
      </c>
      <c r="E6" s="766" t="s">
        <v>195</v>
      </c>
      <c r="F6" s="768" t="s">
        <v>186</v>
      </c>
      <c r="G6" s="769" t="s">
        <v>2208</v>
      </c>
      <c r="H6" s="770" t="s">
        <v>861</v>
      </c>
      <c r="I6" s="769" t="s">
        <v>2213</v>
      </c>
      <c r="J6" s="768" t="s">
        <v>2209</v>
      </c>
      <c r="K6" s="769" t="s">
        <v>2210</v>
      </c>
      <c r="L6" s="769" t="s">
        <v>2211</v>
      </c>
      <c r="M6" s="769"/>
    </row>
    <row r="7" ht="27.75" customHeight="1">
      <c r="A7" s="771" t="str">
        <f t="shared" si="1"/>
        <v>5</v>
      </c>
      <c r="B7" s="756">
        <v>5.0</v>
      </c>
      <c r="C7" s="772" t="s">
        <v>211</v>
      </c>
      <c r="D7" s="758" t="s">
        <v>202</v>
      </c>
      <c r="E7" s="772" t="s">
        <v>212</v>
      </c>
      <c r="F7" s="758" t="s">
        <v>115</v>
      </c>
      <c r="G7" s="760" t="s">
        <v>2208</v>
      </c>
      <c r="H7" s="761" t="s">
        <v>864</v>
      </c>
      <c r="I7" s="760" t="s">
        <v>2213</v>
      </c>
      <c r="J7" s="763" t="s">
        <v>2209</v>
      </c>
      <c r="K7" s="760" t="s">
        <v>2210</v>
      </c>
      <c r="L7" s="760" t="s">
        <v>2211</v>
      </c>
      <c r="M7" s="760"/>
    </row>
    <row r="8" ht="27.75" customHeight="1">
      <c r="A8" s="764" t="str">
        <f>A11+1</f>
        <v>8</v>
      </c>
      <c r="B8" s="765">
        <v>6.0</v>
      </c>
      <c r="C8" s="766" t="s">
        <v>254</v>
      </c>
      <c r="D8" s="768" t="s">
        <v>186</v>
      </c>
      <c r="E8" s="766" t="s">
        <v>255</v>
      </c>
      <c r="F8" s="768" t="s">
        <v>249</v>
      </c>
      <c r="G8" s="769" t="s">
        <v>2208</v>
      </c>
      <c r="H8" s="770" t="s">
        <v>878</v>
      </c>
      <c r="I8" s="769" t="s">
        <v>2214</v>
      </c>
      <c r="J8" s="768" t="s">
        <v>2209</v>
      </c>
      <c r="K8" s="769" t="s">
        <v>2210</v>
      </c>
      <c r="L8" s="769" t="s">
        <v>2215</v>
      </c>
      <c r="M8" s="769"/>
    </row>
    <row r="9" ht="27.75" customHeight="1">
      <c r="A9" s="771"/>
      <c r="B9" s="756">
        <v>7.0</v>
      </c>
      <c r="C9" s="772" t="s">
        <v>304</v>
      </c>
      <c r="D9" s="763" t="s">
        <v>2216</v>
      </c>
      <c r="E9" s="772" t="s">
        <v>305</v>
      </c>
      <c r="F9" s="763" t="s">
        <v>170</v>
      </c>
      <c r="G9" s="760" t="s">
        <v>2208</v>
      </c>
      <c r="H9" s="761" t="s">
        <v>884</v>
      </c>
      <c r="I9" s="760" t="s">
        <v>2217</v>
      </c>
      <c r="J9" s="763" t="s">
        <v>2209</v>
      </c>
      <c r="K9" s="760" t="s">
        <v>2210</v>
      </c>
      <c r="L9" s="760" t="s">
        <v>2218</v>
      </c>
      <c r="M9" s="760"/>
    </row>
    <row r="10" ht="27.75" customHeight="1">
      <c r="A10" s="764" t="str">
        <f>A7+1</f>
        <v>6</v>
      </c>
      <c r="B10" s="765">
        <v>8.0</v>
      </c>
      <c r="C10" s="766" t="s">
        <v>321</v>
      </c>
      <c r="D10" s="767" t="s">
        <v>115</v>
      </c>
      <c r="E10" s="766" t="s">
        <v>322</v>
      </c>
      <c r="F10" s="768" t="s">
        <v>2219</v>
      </c>
      <c r="G10" s="769" t="s">
        <v>2208</v>
      </c>
      <c r="H10" s="770" t="s">
        <v>867</v>
      </c>
      <c r="I10" s="769" t="s">
        <v>2213</v>
      </c>
      <c r="J10" s="773" t="s">
        <v>870</v>
      </c>
      <c r="K10" s="769" t="s">
        <v>2220</v>
      </c>
      <c r="L10" s="769" t="s">
        <v>2221</v>
      </c>
      <c r="M10" s="769"/>
    </row>
    <row r="11" ht="27.75" customHeight="1">
      <c r="A11" s="771" t="str">
        <f>A10+1</f>
        <v>7</v>
      </c>
      <c r="B11" s="756">
        <v>9.0</v>
      </c>
      <c r="C11" s="772" t="s">
        <v>344</v>
      </c>
      <c r="D11" s="758" t="s">
        <v>333</v>
      </c>
      <c r="E11" s="772" t="s">
        <v>345</v>
      </c>
      <c r="F11" s="763" t="s">
        <v>2219</v>
      </c>
      <c r="G11" s="760" t="s">
        <v>2208</v>
      </c>
      <c r="H11" s="761" t="s">
        <v>873</v>
      </c>
      <c r="I11" s="760" t="s">
        <v>2213</v>
      </c>
      <c r="J11" s="763" t="s">
        <v>2209</v>
      </c>
      <c r="K11" s="760" t="s">
        <v>2210</v>
      </c>
      <c r="L11" s="760" t="s">
        <v>2218</v>
      </c>
      <c r="M11" s="760"/>
    </row>
    <row r="12" ht="27.75" customHeight="1">
      <c r="A12" s="764" t="str">
        <f>A8+1</f>
        <v>9</v>
      </c>
      <c r="B12" s="765">
        <v>10.0</v>
      </c>
      <c r="C12" s="766" t="s">
        <v>124</v>
      </c>
      <c r="D12" s="767" t="s">
        <v>113</v>
      </c>
      <c r="E12" s="766" t="s">
        <v>125</v>
      </c>
      <c r="F12" s="768" t="s">
        <v>114</v>
      </c>
      <c r="G12" s="769" t="s">
        <v>2222</v>
      </c>
      <c r="H12" s="774" t="s">
        <v>889</v>
      </c>
      <c r="I12" s="769" t="s">
        <v>2223</v>
      </c>
      <c r="J12" s="768" t="s">
        <v>2209</v>
      </c>
      <c r="K12" s="769" t="s">
        <v>2210</v>
      </c>
      <c r="L12" s="769" t="s">
        <v>2218</v>
      </c>
      <c r="M12" s="769"/>
    </row>
    <row r="13" ht="27.75" customHeight="1">
      <c r="A13" s="771" t="str">
        <f t="shared" ref="A13:A15" si="2">A12+1</f>
        <v>10</v>
      </c>
      <c r="B13" s="756">
        <v>11.0</v>
      </c>
      <c r="C13" s="772" t="s">
        <v>199</v>
      </c>
      <c r="D13" s="758" t="s">
        <v>113</v>
      </c>
      <c r="E13" s="772" t="s">
        <v>200</v>
      </c>
      <c r="F13" s="763" t="s">
        <v>36</v>
      </c>
      <c r="G13" s="760" t="s">
        <v>2222</v>
      </c>
      <c r="H13" s="762" t="s">
        <v>894</v>
      </c>
      <c r="I13" s="760" t="s">
        <v>2223</v>
      </c>
      <c r="J13" s="763" t="s">
        <v>2209</v>
      </c>
      <c r="K13" s="760" t="s">
        <v>2210</v>
      </c>
      <c r="L13" s="760" t="s">
        <v>2218</v>
      </c>
      <c r="M13" s="760"/>
    </row>
    <row r="14" ht="27.75" customHeight="1">
      <c r="A14" s="764" t="str">
        <f t="shared" si="2"/>
        <v>11</v>
      </c>
      <c r="B14" s="765">
        <v>12.0</v>
      </c>
      <c r="C14" s="766" t="s">
        <v>341</v>
      </c>
      <c r="D14" s="767" t="s">
        <v>747</v>
      </c>
      <c r="E14" s="766" t="s">
        <v>342</v>
      </c>
      <c r="F14" s="768" t="s">
        <v>16</v>
      </c>
      <c r="G14" s="769" t="s">
        <v>2222</v>
      </c>
      <c r="H14" s="762" t="s">
        <v>897</v>
      </c>
      <c r="I14" s="769" t="s">
        <v>2223</v>
      </c>
      <c r="J14" s="775" t="s">
        <v>2209</v>
      </c>
      <c r="K14" s="760" t="s">
        <v>2210</v>
      </c>
      <c r="L14" s="769" t="s">
        <v>2218</v>
      </c>
      <c r="M14" s="769"/>
    </row>
    <row r="15" ht="27.75" customHeight="1">
      <c r="A15" s="771" t="str">
        <f t="shared" si="2"/>
        <v>12</v>
      </c>
      <c r="B15" s="756">
        <v>13.0</v>
      </c>
      <c r="C15" s="772" t="s">
        <v>183</v>
      </c>
      <c r="D15" s="758" t="s">
        <v>9</v>
      </c>
      <c r="E15" s="772" t="s">
        <v>184</v>
      </c>
      <c r="F15" s="758" t="s">
        <v>2224</v>
      </c>
      <c r="G15" s="760" t="s">
        <v>2225</v>
      </c>
      <c r="H15" s="762" t="s">
        <v>901</v>
      </c>
      <c r="I15" s="760" t="s">
        <v>2226</v>
      </c>
      <c r="J15" s="776" t="s">
        <v>2209</v>
      </c>
      <c r="K15" s="777" t="s">
        <v>2210</v>
      </c>
      <c r="L15" s="760" t="s">
        <v>2227</v>
      </c>
      <c r="M15" s="760"/>
    </row>
    <row r="16" ht="17.25" customHeight="1">
      <c r="A16" s="765"/>
      <c r="B16" s="765"/>
      <c r="C16" s="765"/>
      <c r="D16" s="765"/>
      <c r="E16" s="765"/>
      <c r="F16" s="765"/>
      <c r="G16" s="765"/>
      <c r="H16" s="765"/>
      <c r="I16" s="765"/>
      <c r="J16" s="765"/>
      <c r="K16" s="765"/>
      <c r="L16" s="765"/>
      <c r="M16" s="765"/>
    </row>
    <row r="17" ht="17.25" customHeight="1">
      <c r="A17" s="765"/>
      <c r="B17" s="765"/>
      <c r="C17" s="765"/>
      <c r="D17" s="765"/>
      <c r="E17" s="765"/>
      <c r="F17" s="765"/>
      <c r="G17" s="765"/>
      <c r="H17" s="765"/>
      <c r="I17" s="765"/>
      <c r="J17" s="765"/>
      <c r="K17" s="765"/>
      <c r="L17" s="765"/>
      <c r="M17" s="765"/>
    </row>
    <row r="18" ht="17.25" customHeight="1">
      <c r="A18" s="765"/>
      <c r="B18" s="765"/>
      <c r="C18" s="765"/>
      <c r="D18" s="765"/>
      <c r="E18" s="765"/>
      <c r="F18" s="765"/>
      <c r="G18" s="765"/>
      <c r="H18" s="765"/>
      <c r="I18" s="765"/>
      <c r="J18" s="765"/>
      <c r="K18" s="765"/>
      <c r="L18" s="765"/>
      <c r="M18" s="765"/>
    </row>
    <row r="19" ht="17.25" customHeight="1">
      <c r="A19" s="765"/>
      <c r="B19" s="765"/>
      <c r="C19" s="765"/>
      <c r="D19" s="765"/>
      <c r="E19" s="765"/>
      <c r="F19" s="765"/>
      <c r="G19" s="765"/>
      <c r="H19" s="765"/>
      <c r="I19" s="765"/>
      <c r="J19" s="765"/>
      <c r="K19" s="765"/>
      <c r="L19" s="765"/>
      <c r="M19" s="765"/>
    </row>
    <row r="20" ht="17.25" customHeight="1">
      <c r="A20" s="765"/>
      <c r="B20" s="765"/>
      <c r="C20" s="765"/>
      <c r="D20" s="765"/>
      <c r="E20" s="765"/>
      <c r="F20" s="765"/>
      <c r="G20" s="765"/>
      <c r="H20" s="765"/>
      <c r="I20" s="765"/>
      <c r="J20" s="765"/>
      <c r="K20" s="765"/>
      <c r="L20" s="765"/>
      <c r="M20" s="765"/>
    </row>
    <row r="21" ht="17.25" customHeight="1">
      <c r="A21" s="765"/>
      <c r="B21" s="765"/>
      <c r="C21" s="765"/>
      <c r="D21" s="765"/>
      <c r="E21" s="765"/>
      <c r="F21" s="765"/>
      <c r="G21" s="765"/>
      <c r="H21" s="765"/>
      <c r="I21" s="765"/>
      <c r="J21" s="765"/>
      <c r="K21" s="765"/>
      <c r="L21" s="765"/>
      <c r="M21" s="765"/>
    </row>
    <row r="22" ht="17.25" customHeight="1">
      <c r="A22" s="765"/>
      <c r="B22" s="765"/>
      <c r="C22" s="765"/>
      <c r="D22" s="765"/>
      <c r="E22" s="765"/>
      <c r="F22" s="765"/>
      <c r="G22" s="765"/>
      <c r="H22" s="765"/>
      <c r="I22" s="765"/>
      <c r="J22" s="765"/>
      <c r="K22" s="765"/>
      <c r="L22" s="765"/>
      <c r="M22" s="765"/>
    </row>
    <row r="23" ht="17.25" customHeight="1">
      <c r="A23" s="765"/>
      <c r="B23" s="765"/>
      <c r="C23" s="765"/>
      <c r="D23" s="765"/>
      <c r="E23" s="765"/>
      <c r="F23" s="765"/>
      <c r="G23" s="765"/>
      <c r="H23" s="765"/>
      <c r="I23" s="765"/>
      <c r="J23" s="765"/>
      <c r="K23" s="765"/>
      <c r="L23" s="765"/>
      <c r="M23" s="765"/>
    </row>
    <row r="24" ht="17.25" customHeight="1">
      <c r="A24" s="765"/>
      <c r="B24" s="765"/>
      <c r="C24" s="765"/>
      <c r="D24" s="765"/>
      <c r="E24" s="765"/>
      <c r="F24" s="765"/>
      <c r="G24" s="765"/>
      <c r="H24" s="765"/>
      <c r="I24" s="765"/>
      <c r="J24" s="765"/>
      <c r="K24" s="765"/>
      <c r="L24" s="765"/>
      <c r="M24" s="765"/>
    </row>
    <row r="25" ht="17.25" customHeight="1">
      <c r="A25" s="765"/>
      <c r="B25" s="765"/>
      <c r="C25" s="765"/>
      <c r="D25" s="765"/>
      <c r="E25" s="765"/>
      <c r="F25" s="765"/>
      <c r="G25" s="765"/>
      <c r="H25" s="765"/>
      <c r="I25" s="765"/>
      <c r="J25" s="765"/>
      <c r="K25" s="765"/>
      <c r="L25" s="765"/>
      <c r="M25" s="765"/>
    </row>
    <row r="26" ht="17.25" customHeight="1">
      <c r="A26" s="765"/>
      <c r="B26" s="765"/>
      <c r="C26" s="765"/>
      <c r="D26" s="765"/>
      <c r="E26" s="765"/>
      <c r="F26" s="765"/>
      <c r="G26" s="765"/>
      <c r="H26" s="765"/>
      <c r="I26" s="765"/>
      <c r="J26" s="765"/>
      <c r="K26" s="765"/>
      <c r="L26" s="765"/>
      <c r="M26" s="765"/>
    </row>
    <row r="27" ht="17.25" customHeight="1">
      <c r="A27" s="765"/>
      <c r="B27" s="765"/>
      <c r="C27" s="765"/>
      <c r="D27" s="765"/>
      <c r="E27" s="765"/>
      <c r="F27" s="765"/>
      <c r="G27" s="765"/>
      <c r="H27" s="765"/>
      <c r="I27" s="765"/>
      <c r="J27" s="765"/>
      <c r="K27" s="765"/>
      <c r="L27" s="765"/>
      <c r="M27" s="765"/>
    </row>
    <row r="28" ht="17.25" customHeight="1">
      <c r="A28" s="765"/>
      <c r="B28" s="765"/>
      <c r="C28" s="765"/>
      <c r="D28" s="765"/>
      <c r="E28" s="765"/>
      <c r="F28" s="765"/>
      <c r="G28" s="765"/>
      <c r="H28" s="765"/>
      <c r="I28" s="765"/>
      <c r="J28" s="765"/>
      <c r="K28" s="765"/>
      <c r="L28" s="765"/>
      <c r="M28" s="765"/>
    </row>
    <row r="29" ht="17.25" customHeight="1">
      <c r="A29" s="765"/>
      <c r="B29" s="765"/>
      <c r="C29" s="765"/>
      <c r="D29" s="765"/>
      <c r="E29" s="765"/>
      <c r="F29" s="765"/>
      <c r="G29" s="765"/>
      <c r="H29" s="765"/>
      <c r="I29" s="765"/>
      <c r="J29" s="765"/>
      <c r="K29" s="765"/>
      <c r="L29" s="765"/>
      <c r="M29" s="765"/>
    </row>
    <row r="30" ht="17.25" customHeight="1">
      <c r="A30" s="765"/>
      <c r="B30" s="765"/>
      <c r="C30" s="765"/>
      <c r="D30" s="765"/>
      <c r="E30" s="765"/>
      <c r="F30" s="765"/>
      <c r="G30" s="765"/>
      <c r="H30" s="765"/>
      <c r="I30" s="765"/>
      <c r="J30" s="765"/>
      <c r="K30" s="765"/>
      <c r="L30" s="765"/>
      <c r="M30" s="765"/>
    </row>
    <row r="31" ht="17.25" customHeight="1">
      <c r="A31" s="765"/>
      <c r="B31" s="765"/>
      <c r="C31" s="765"/>
      <c r="D31" s="765"/>
      <c r="E31" s="765"/>
      <c r="F31" s="765"/>
      <c r="G31" s="765"/>
      <c r="H31" s="765"/>
      <c r="I31" s="765"/>
      <c r="J31" s="765"/>
      <c r="K31" s="765"/>
      <c r="L31" s="765"/>
      <c r="M31" s="765"/>
    </row>
    <row r="32" ht="17.25" customHeight="1">
      <c r="A32" s="765"/>
      <c r="B32" s="765"/>
      <c r="C32" s="765"/>
      <c r="D32" s="765"/>
      <c r="E32" s="765"/>
      <c r="F32" s="765"/>
      <c r="G32" s="765"/>
      <c r="H32" s="765"/>
      <c r="I32" s="765"/>
      <c r="J32" s="765"/>
      <c r="K32" s="765"/>
      <c r="L32" s="765"/>
      <c r="M32" s="765"/>
    </row>
    <row r="33" ht="17.25" customHeight="1">
      <c r="A33" s="765"/>
      <c r="B33" s="765"/>
      <c r="C33" s="765"/>
      <c r="D33" s="765"/>
      <c r="E33" s="765"/>
      <c r="F33" s="765"/>
      <c r="G33" s="765"/>
      <c r="H33" s="765"/>
      <c r="I33" s="765"/>
      <c r="J33" s="765"/>
      <c r="K33" s="765"/>
      <c r="L33" s="765"/>
      <c r="M33" s="765"/>
    </row>
    <row r="34" ht="17.25" customHeight="1">
      <c r="A34" s="765"/>
      <c r="B34" s="765"/>
      <c r="C34" s="765"/>
      <c r="D34" s="765"/>
      <c r="E34" s="765"/>
      <c r="F34" s="765"/>
      <c r="G34" s="765"/>
      <c r="H34" s="765"/>
      <c r="I34" s="765"/>
      <c r="J34" s="765"/>
      <c r="K34" s="765"/>
      <c r="L34" s="765"/>
      <c r="M34" s="765"/>
    </row>
    <row r="35" ht="17.25" customHeight="1">
      <c r="A35" s="765"/>
      <c r="B35" s="765"/>
      <c r="C35" s="765"/>
      <c r="D35" s="765"/>
      <c r="E35" s="765"/>
      <c r="F35" s="765"/>
      <c r="G35" s="765"/>
      <c r="H35" s="765"/>
      <c r="I35" s="765"/>
      <c r="J35" s="765"/>
      <c r="K35" s="765"/>
      <c r="L35" s="765"/>
      <c r="M35" s="765"/>
    </row>
    <row r="36" ht="17.25" customHeight="1">
      <c r="A36" s="765"/>
      <c r="B36" s="765"/>
      <c r="C36" s="765"/>
      <c r="D36" s="765"/>
      <c r="E36" s="765"/>
      <c r="F36" s="765"/>
      <c r="G36" s="765"/>
      <c r="H36" s="765"/>
      <c r="I36" s="765"/>
      <c r="J36" s="765"/>
      <c r="K36" s="765"/>
      <c r="L36" s="765"/>
      <c r="M36" s="765"/>
    </row>
    <row r="37" ht="17.25" customHeight="1">
      <c r="A37" s="765"/>
      <c r="B37" s="765"/>
      <c r="C37" s="765"/>
      <c r="D37" s="765"/>
      <c r="E37" s="765"/>
      <c r="F37" s="765"/>
      <c r="G37" s="765"/>
      <c r="H37" s="765"/>
      <c r="I37" s="765"/>
      <c r="J37" s="765"/>
      <c r="K37" s="765"/>
      <c r="L37" s="765"/>
      <c r="M37" s="765"/>
    </row>
    <row r="38" ht="17.25" customHeight="1">
      <c r="A38" s="765"/>
      <c r="B38" s="765"/>
      <c r="C38" s="765"/>
      <c r="D38" s="765"/>
      <c r="E38" s="765"/>
      <c r="F38" s="765"/>
      <c r="G38" s="765"/>
      <c r="H38" s="765"/>
      <c r="I38" s="765"/>
      <c r="J38" s="765"/>
      <c r="K38" s="765"/>
      <c r="L38" s="765"/>
      <c r="M38" s="765"/>
    </row>
    <row r="39" ht="17.25" customHeight="1">
      <c r="A39" s="765"/>
      <c r="B39" s="765"/>
      <c r="C39" s="765"/>
      <c r="D39" s="765"/>
      <c r="E39" s="765"/>
      <c r="F39" s="765"/>
      <c r="G39" s="765"/>
      <c r="H39" s="765"/>
      <c r="I39" s="765"/>
      <c r="J39" s="765"/>
      <c r="K39" s="765"/>
      <c r="L39" s="765"/>
      <c r="M39" s="765"/>
    </row>
    <row r="40" ht="17.25" customHeight="1">
      <c r="A40" s="765"/>
      <c r="B40" s="765"/>
      <c r="C40" s="765"/>
      <c r="D40" s="765"/>
      <c r="E40" s="765"/>
      <c r="F40" s="765"/>
      <c r="G40" s="765"/>
      <c r="H40" s="765"/>
      <c r="I40" s="765"/>
      <c r="J40" s="765"/>
      <c r="K40" s="765"/>
      <c r="L40" s="765"/>
      <c r="M40" s="765"/>
    </row>
    <row r="41" ht="17.25" customHeight="1">
      <c r="A41" s="765"/>
      <c r="B41" s="765"/>
      <c r="C41" s="765"/>
      <c r="D41" s="765"/>
      <c r="E41" s="765"/>
      <c r="F41" s="765"/>
      <c r="G41" s="765"/>
      <c r="H41" s="765"/>
      <c r="I41" s="765"/>
      <c r="J41" s="765"/>
      <c r="K41" s="765"/>
      <c r="L41" s="765"/>
      <c r="M41" s="765"/>
    </row>
    <row r="42" ht="17.25" customHeight="1">
      <c r="A42" s="765"/>
      <c r="B42" s="765"/>
      <c r="C42" s="765"/>
      <c r="D42" s="765"/>
      <c r="E42" s="765"/>
      <c r="F42" s="765"/>
      <c r="G42" s="765"/>
      <c r="H42" s="765"/>
      <c r="I42" s="765"/>
      <c r="J42" s="765"/>
      <c r="K42" s="765"/>
      <c r="L42" s="765"/>
      <c r="M42" s="765"/>
    </row>
    <row r="43" ht="17.25" customHeight="1">
      <c r="A43" s="765"/>
      <c r="B43" s="765"/>
      <c r="C43" s="765"/>
      <c r="D43" s="765"/>
      <c r="E43" s="765"/>
      <c r="F43" s="765"/>
      <c r="G43" s="765"/>
      <c r="H43" s="765"/>
      <c r="I43" s="765"/>
      <c r="J43" s="765"/>
      <c r="K43" s="765"/>
      <c r="L43" s="765"/>
      <c r="M43" s="765"/>
    </row>
    <row r="44" ht="17.25" customHeight="1">
      <c r="A44" s="765"/>
      <c r="B44" s="765"/>
      <c r="C44" s="765"/>
      <c r="D44" s="765"/>
      <c r="E44" s="765"/>
      <c r="F44" s="765"/>
      <c r="G44" s="765"/>
      <c r="H44" s="765"/>
      <c r="I44" s="765"/>
      <c r="J44" s="765"/>
      <c r="K44" s="765"/>
      <c r="L44" s="765"/>
      <c r="M44" s="765"/>
    </row>
    <row r="45" ht="17.25" customHeight="1">
      <c r="A45" s="765"/>
      <c r="B45" s="765"/>
      <c r="C45" s="765"/>
      <c r="D45" s="765"/>
      <c r="E45" s="765"/>
      <c r="F45" s="765"/>
      <c r="G45" s="765"/>
      <c r="H45" s="765"/>
      <c r="I45" s="765"/>
      <c r="J45" s="765"/>
      <c r="K45" s="765"/>
      <c r="L45" s="765"/>
      <c r="M45" s="765"/>
    </row>
    <row r="46" ht="17.25" customHeight="1">
      <c r="A46" s="765"/>
      <c r="B46" s="765"/>
      <c r="C46" s="765"/>
      <c r="D46" s="765"/>
      <c r="E46" s="765"/>
      <c r="F46" s="765"/>
      <c r="G46" s="765"/>
      <c r="H46" s="765"/>
      <c r="I46" s="765"/>
      <c r="J46" s="765"/>
      <c r="K46" s="765"/>
      <c r="L46" s="765"/>
      <c r="M46" s="765"/>
    </row>
    <row r="47" ht="17.25" customHeight="1">
      <c r="A47" s="765"/>
      <c r="B47" s="765"/>
      <c r="C47" s="765"/>
      <c r="D47" s="765"/>
      <c r="E47" s="765"/>
      <c r="F47" s="765"/>
      <c r="G47" s="765"/>
      <c r="H47" s="765"/>
      <c r="I47" s="765"/>
      <c r="J47" s="765"/>
      <c r="K47" s="765"/>
      <c r="L47" s="765"/>
      <c r="M47" s="765"/>
    </row>
    <row r="48" ht="17.25" customHeight="1">
      <c r="A48" s="765"/>
      <c r="B48" s="765"/>
      <c r="C48" s="765"/>
      <c r="D48" s="765"/>
      <c r="E48" s="765"/>
      <c r="F48" s="765"/>
      <c r="G48" s="765"/>
      <c r="H48" s="765"/>
      <c r="I48" s="765"/>
      <c r="J48" s="765"/>
      <c r="K48" s="765"/>
      <c r="L48" s="765"/>
      <c r="M48" s="765"/>
    </row>
    <row r="49" ht="17.25" customHeight="1">
      <c r="A49" s="765"/>
      <c r="B49" s="765"/>
      <c r="C49" s="765"/>
      <c r="D49" s="765"/>
      <c r="E49" s="765"/>
      <c r="F49" s="765"/>
      <c r="G49" s="765"/>
      <c r="H49" s="765"/>
      <c r="I49" s="765"/>
      <c r="J49" s="765"/>
      <c r="K49" s="765"/>
      <c r="L49" s="765"/>
      <c r="M49" s="765"/>
    </row>
    <row r="50" ht="17.25" customHeight="1">
      <c r="A50" s="765"/>
      <c r="B50" s="765"/>
      <c r="C50" s="765"/>
      <c r="D50" s="765"/>
      <c r="E50" s="765"/>
      <c r="F50" s="765"/>
      <c r="G50" s="765"/>
      <c r="H50" s="765"/>
      <c r="I50" s="765"/>
      <c r="J50" s="765"/>
      <c r="K50" s="765"/>
      <c r="L50" s="765"/>
      <c r="M50" s="765"/>
    </row>
    <row r="51" ht="17.25" customHeight="1">
      <c r="A51" s="765"/>
      <c r="B51" s="765"/>
      <c r="C51" s="765"/>
      <c r="D51" s="765"/>
      <c r="E51" s="765"/>
      <c r="F51" s="765"/>
      <c r="G51" s="765"/>
      <c r="H51" s="765"/>
      <c r="I51" s="765"/>
      <c r="J51" s="765"/>
      <c r="K51" s="765"/>
      <c r="L51" s="765"/>
      <c r="M51" s="765"/>
    </row>
    <row r="52" ht="17.25" customHeight="1">
      <c r="A52" s="765"/>
      <c r="B52" s="765"/>
      <c r="C52" s="765"/>
      <c r="D52" s="765"/>
      <c r="E52" s="765"/>
      <c r="F52" s="765"/>
      <c r="G52" s="765"/>
      <c r="H52" s="765"/>
      <c r="I52" s="765"/>
      <c r="J52" s="765"/>
      <c r="K52" s="765"/>
      <c r="L52" s="765"/>
      <c r="M52" s="765"/>
    </row>
    <row r="53" ht="17.25" customHeight="1">
      <c r="A53" s="765"/>
      <c r="B53" s="765"/>
      <c r="C53" s="765"/>
      <c r="D53" s="765"/>
      <c r="E53" s="765"/>
      <c r="F53" s="765"/>
      <c r="G53" s="765"/>
      <c r="H53" s="765"/>
      <c r="I53" s="765"/>
      <c r="J53" s="765"/>
      <c r="K53" s="765"/>
      <c r="L53" s="765"/>
      <c r="M53" s="765"/>
    </row>
    <row r="54" ht="17.25" customHeight="1">
      <c r="A54" s="765"/>
      <c r="B54" s="765"/>
      <c r="C54" s="765"/>
      <c r="D54" s="765"/>
      <c r="E54" s="765"/>
      <c r="F54" s="765"/>
      <c r="G54" s="765"/>
      <c r="H54" s="765"/>
      <c r="I54" s="765"/>
      <c r="J54" s="765"/>
      <c r="K54" s="765"/>
      <c r="L54" s="765"/>
      <c r="M54" s="765"/>
    </row>
    <row r="55" ht="17.25" customHeight="1">
      <c r="A55" s="765"/>
      <c r="B55" s="765"/>
      <c r="C55" s="765"/>
      <c r="D55" s="765"/>
      <c r="E55" s="765"/>
      <c r="F55" s="765"/>
      <c r="G55" s="765"/>
      <c r="H55" s="765"/>
      <c r="I55" s="765"/>
      <c r="J55" s="765"/>
      <c r="K55" s="765"/>
      <c r="L55" s="765"/>
      <c r="M55" s="765"/>
    </row>
    <row r="56" ht="17.25" customHeight="1">
      <c r="A56" s="765"/>
      <c r="B56" s="765"/>
      <c r="C56" s="765"/>
      <c r="D56" s="765"/>
      <c r="E56" s="765"/>
      <c r="F56" s="765"/>
      <c r="G56" s="765"/>
      <c r="H56" s="765"/>
      <c r="I56" s="765"/>
      <c r="J56" s="765"/>
      <c r="K56" s="765"/>
      <c r="L56" s="765"/>
      <c r="M56" s="765"/>
    </row>
    <row r="57" ht="17.25" customHeight="1">
      <c r="A57" s="765"/>
      <c r="B57" s="765"/>
      <c r="C57" s="765"/>
      <c r="D57" s="765"/>
      <c r="E57" s="765"/>
      <c r="F57" s="765"/>
      <c r="G57" s="765"/>
      <c r="H57" s="765"/>
      <c r="I57" s="765"/>
      <c r="J57" s="765"/>
      <c r="K57" s="765"/>
      <c r="L57" s="765"/>
      <c r="M57" s="765"/>
    </row>
    <row r="58" ht="17.25" customHeight="1">
      <c r="A58" s="765"/>
      <c r="B58" s="765"/>
      <c r="C58" s="765"/>
      <c r="D58" s="765"/>
      <c r="E58" s="765"/>
      <c r="F58" s="765"/>
      <c r="G58" s="765"/>
      <c r="H58" s="765"/>
      <c r="I58" s="765"/>
      <c r="J58" s="765"/>
      <c r="K58" s="765"/>
      <c r="L58" s="765"/>
      <c r="M58" s="765"/>
    </row>
    <row r="59" ht="17.25" customHeight="1">
      <c r="A59" s="765"/>
      <c r="B59" s="765"/>
      <c r="C59" s="765"/>
      <c r="D59" s="765"/>
      <c r="E59" s="765"/>
      <c r="F59" s="765"/>
      <c r="G59" s="765"/>
      <c r="H59" s="765"/>
      <c r="I59" s="765"/>
      <c r="J59" s="765"/>
      <c r="K59" s="765"/>
      <c r="L59" s="765"/>
      <c r="M59" s="765"/>
    </row>
    <row r="60" ht="17.25" customHeight="1">
      <c r="A60" s="765"/>
      <c r="B60" s="765"/>
      <c r="C60" s="765"/>
      <c r="D60" s="765"/>
      <c r="E60" s="765"/>
      <c r="F60" s="765"/>
      <c r="G60" s="765"/>
      <c r="H60" s="765"/>
      <c r="I60" s="765"/>
      <c r="J60" s="765"/>
      <c r="K60" s="765"/>
      <c r="L60" s="765"/>
      <c r="M60" s="765"/>
    </row>
    <row r="61" ht="17.25" customHeight="1">
      <c r="A61" s="765"/>
      <c r="B61" s="765"/>
      <c r="C61" s="765"/>
      <c r="D61" s="765"/>
      <c r="E61" s="765"/>
      <c r="F61" s="765"/>
      <c r="G61" s="765"/>
      <c r="H61" s="765"/>
      <c r="I61" s="765"/>
      <c r="J61" s="765"/>
      <c r="K61" s="765"/>
      <c r="L61" s="765"/>
      <c r="M61" s="765"/>
    </row>
    <row r="62" ht="17.25" customHeight="1">
      <c r="A62" s="765"/>
      <c r="B62" s="765"/>
      <c r="C62" s="765"/>
      <c r="D62" s="765"/>
      <c r="E62" s="765"/>
      <c r="F62" s="765"/>
      <c r="G62" s="765"/>
      <c r="H62" s="765"/>
      <c r="I62" s="765"/>
      <c r="J62" s="765"/>
      <c r="K62" s="765"/>
      <c r="L62" s="765"/>
      <c r="M62" s="765"/>
    </row>
    <row r="63" ht="17.25" customHeight="1">
      <c r="A63" s="765"/>
      <c r="B63" s="765"/>
      <c r="C63" s="765"/>
      <c r="D63" s="765"/>
      <c r="E63" s="765"/>
      <c r="F63" s="765"/>
      <c r="G63" s="765"/>
      <c r="H63" s="765"/>
      <c r="I63" s="765"/>
      <c r="J63" s="765"/>
      <c r="K63" s="765"/>
      <c r="L63" s="765"/>
      <c r="M63" s="765"/>
    </row>
    <row r="64" ht="17.25" customHeight="1">
      <c r="A64" s="765"/>
      <c r="B64" s="765"/>
      <c r="C64" s="765"/>
      <c r="D64" s="765"/>
      <c r="E64" s="765"/>
      <c r="F64" s="765"/>
      <c r="G64" s="765"/>
      <c r="H64" s="765"/>
      <c r="I64" s="765"/>
      <c r="J64" s="765"/>
      <c r="K64" s="765"/>
      <c r="L64" s="765"/>
      <c r="M64" s="765"/>
    </row>
    <row r="65" ht="17.25" customHeight="1">
      <c r="A65" s="765"/>
      <c r="B65" s="765"/>
      <c r="C65" s="765"/>
      <c r="D65" s="765"/>
      <c r="E65" s="765"/>
      <c r="F65" s="765"/>
      <c r="G65" s="765"/>
      <c r="H65" s="765"/>
      <c r="I65" s="765"/>
      <c r="J65" s="765"/>
      <c r="K65" s="765"/>
      <c r="L65" s="765"/>
      <c r="M65" s="765"/>
    </row>
    <row r="66" ht="17.25" customHeight="1">
      <c r="A66" s="765"/>
      <c r="B66" s="765"/>
      <c r="C66" s="765"/>
      <c r="D66" s="765"/>
      <c r="E66" s="765"/>
      <c r="F66" s="765"/>
      <c r="G66" s="765"/>
      <c r="H66" s="765"/>
      <c r="I66" s="765"/>
      <c r="J66" s="765"/>
      <c r="K66" s="765"/>
      <c r="L66" s="765"/>
      <c r="M66" s="765"/>
    </row>
    <row r="67" ht="17.25" customHeight="1">
      <c r="A67" s="765"/>
      <c r="B67" s="765"/>
      <c r="C67" s="765"/>
      <c r="D67" s="765"/>
      <c r="E67" s="765"/>
      <c r="F67" s="765"/>
      <c r="G67" s="765"/>
      <c r="H67" s="765"/>
      <c r="I67" s="765"/>
      <c r="J67" s="765"/>
      <c r="K67" s="765"/>
      <c r="L67" s="765"/>
      <c r="M67" s="765"/>
    </row>
    <row r="68" ht="17.25" customHeight="1">
      <c r="A68" s="765"/>
      <c r="B68" s="765"/>
      <c r="C68" s="765"/>
      <c r="D68" s="765"/>
      <c r="E68" s="765"/>
      <c r="F68" s="765"/>
      <c r="G68" s="765"/>
      <c r="H68" s="765"/>
      <c r="I68" s="765"/>
      <c r="J68" s="765"/>
      <c r="K68" s="765"/>
      <c r="L68" s="765"/>
      <c r="M68" s="765"/>
    </row>
    <row r="69" ht="17.25" customHeight="1">
      <c r="A69" s="765"/>
      <c r="B69" s="765"/>
      <c r="C69" s="765"/>
      <c r="D69" s="765"/>
      <c r="E69" s="765"/>
      <c r="F69" s="765"/>
      <c r="G69" s="765"/>
      <c r="H69" s="765"/>
      <c r="I69" s="765"/>
      <c r="J69" s="765"/>
      <c r="K69" s="765"/>
      <c r="L69" s="765"/>
      <c r="M69" s="765"/>
    </row>
    <row r="70" ht="17.25" customHeight="1">
      <c r="A70" s="765"/>
      <c r="B70" s="765"/>
      <c r="C70" s="765"/>
      <c r="D70" s="765"/>
      <c r="E70" s="765"/>
      <c r="F70" s="765"/>
      <c r="G70" s="765"/>
      <c r="H70" s="765"/>
      <c r="I70" s="765"/>
      <c r="J70" s="765"/>
      <c r="K70" s="765"/>
      <c r="L70" s="765"/>
      <c r="M70" s="765"/>
    </row>
    <row r="71" ht="17.25" customHeight="1">
      <c r="A71" s="765"/>
      <c r="B71" s="765"/>
      <c r="C71" s="765"/>
      <c r="D71" s="765"/>
      <c r="E71" s="765"/>
      <c r="F71" s="765"/>
      <c r="G71" s="765"/>
      <c r="H71" s="765"/>
      <c r="I71" s="765"/>
      <c r="J71" s="765"/>
      <c r="K71" s="765"/>
      <c r="L71" s="765"/>
      <c r="M71" s="765"/>
    </row>
    <row r="72" ht="17.25" customHeight="1">
      <c r="A72" s="765"/>
      <c r="B72" s="765"/>
      <c r="C72" s="765"/>
      <c r="D72" s="765"/>
      <c r="E72" s="765"/>
      <c r="F72" s="765"/>
      <c r="G72" s="765"/>
      <c r="H72" s="765"/>
      <c r="I72" s="765"/>
      <c r="J72" s="765"/>
      <c r="K72" s="765"/>
      <c r="L72" s="765"/>
      <c r="M72" s="765"/>
    </row>
    <row r="73" ht="17.25" customHeight="1">
      <c r="A73" s="765"/>
      <c r="B73" s="765"/>
      <c r="C73" s="765"/>
      <c r="D73" s="765"/>
      <c r="E73" s="765"/>
      <c r="F73" s="765"/>
      <c r="G73" s="765"/>
      <c r="H73" s="765"/>
      <c r="I73" s="765"/>
      <c r="J73" s="765"/>
      <c r="K73" s="765"/>
      <c r="L73" s="765"/>
      <c r="M73" s="765"/>
    </row>
    <row r="74" ht="17.25" customHeight="1">
      <c r="A74" s="765"/>
      <c r="B74" s="765"/>
      <c r="C74" s="765"/>
      <c r="D74" s="765"/>
      <c r="E74" s="765"/>
      <c r="F74" s="765"/>
      <c r="G74" s="765"/>
      <c r="H74" s="765"/>
      <c r="I74" s="765"/>
      <c r="J74" s="765"/>
      <c r="K74" s="765"/>
      <c r="L74" s="765"/>
      <c r="M74" s="765"/>
    </row>
    <row r="75" ht="17.25" customHeight="1">
      <c r="A75" s="765"/>
      <c r="B75" s="765"/>
      <c r="C75" s="765"/>
      <c r="D75" s="765"/>
      <c r="E75" s="765"/>
      <c r="F75" s="765"/>
      <c r="G75" s="765"/>
      <c r="H75" s="765"/>
      <c r="I75" s="765"/>
      <c r="J75" s="765"/>
      <c r="K75" s="765"/>
      <c r="L75" s="765"/>
      <c r="M75" s="765"/>
    </row>
    <row r="76" ht="17.25" customHeight="1">
      <c r="A76" s="765"/>
      <c r="B76" s="765"/>
      <c r="C76" s="765"/>
      <c r="D76" s="765"/>
      <c r="E76" s="765"/>
      <c r="F76" s="765"/>
      <c r="G76" s="765"/>
      <c r="H76" s="765"/>
      <c r="I76" s="765"/>
      <c r="J76" s="765"/>
      <c r="K76" s="765"/>
      <c r="L76" s="765"/>
      <c r="M76" s="765"/>
    </row>
    <row r="77" ht="17.25" customHeight="1">
      <c r="A77" s="765"/>
      <c r="B77" s="765"/>
      <c r="C77" s="765"/>
      <c r="D77" s="765"/>
      <c r="E77" s="765"/>
      <c r="F77" s="765"/>
      <c r="G77" s="765"/>
      <c r="H77" s="765"/>
      <c r="I77" s="765"/>
      <c r="J77" s="765"/>
      <c r="K77" s="765"/>
      <c r="L77" s="765"/>
      <c r="M77" s="765"/>
    </row>
    <row r="78" ht="17.25" customHeight="1">
      <c r="A78" s="765"/>
      <c r="B78" s="765"/>
      <c r="C78" s="765"/>
      <c r="D78" s="765"/>
      <c r="E78" s="765"/>
      <c r="F78" s="765"/>
      <c r="G78" s="765"/>
      <c r="H78" s="765"/>
      <c r="I78" s="765"/>
      <c r="J78" s="765"/>
      <c r="K78" s="765"/>
      <c r="L78" s="765"/>
      <c r="M78" s="765"/>
    </row>
    <row r="79" ht="17.25" customHeight="1">
      <c r="A79" s="765"/>
      <c r="B79" s="765"/>
      <c r="C79" s="765"/>
      <c r="D79" s="765"/>
      <c r="E79" s="765"/>
      <c r="F79" s="765"/>
      <c r="G79" s="765"/>
      <c r="H79" s="765"/>
      <c r="I79" s="765"/>
      <c r="J79" s="765"/>
      <c r="K79" s="765"/>
      <c r="L79" s="765"/>
      <c r="M79" s="765"/>
    </row>
    <row r="80" ht="17.25" customHeight="1">
      <c r="A80" s="765"/>
      <c r="B80" s="765"/>
      <c r="C80" s="765"/>
      <c r="D80" s="765"/>
      <c r="E80" s="765"/>
      <c r="F80" s="765"/>
      <c r="G80" s="765"/>
      <c r="H80" s="765"/>
      <c r="I80" s="765"/>
      <c r="J80" s="765"/>
      <c r="K80" s="765"/>
      <c r="L80" s="765"/>
      <c r="M80" s="765"/>
    </row>
    <row r="81" ht="17.25" customHeight="1">
      <c r="A81" s="765"/>
      <c r="B81" s="765"/>
      <c r="C81" s="765"/>
      <c r="D81" s="765"/>
      <c r="E81" s="765"/>
      <c r="F81" s="765"/>
      <c r="G81" s="765"/>
      <c r="H81" s="765"/>
      <c r="I81" s="765"/>
      <c r="J81" s="765"/>
      <c r="K81" s="765"/>
      <c r="L81" s="765"/>
      <c r="M81" s="765"/>
    </row>
    <row r="82" ht="17.25" customHeight="1">
      <c r="A82" s="765"/>
      <c r="B82" s="765"/>
      <c r="C82" s="765"/>
      <c r="D82" s="765"/>
      <c r="E82" s="765"/>
      <c r="F82" s="765"/>
      <c r="G82" s="765"/>
      <c r="H82" s="765"/>
      <c r="I82" s="765"/>
      <c r="J82" s="765"/>
      <c r="K82" s="765"/>
      <c r="L82" s="765"/>
      <c r="M82" s="765"/>
    </row>
    <row r="83" ht="17.25" customHeight="1">
      <c r="A83" s="765"/>
      <c r="B83" s="765"/>
      <c r="C83" s="765"/>
      <c r="D83" s="765"/>
      <c r="E83" s="765"/>
      <c r="F83" s="765"/>
      <c r="G83" s="765"/>
      <c r="H83" s="765"/>
      <c r="I83" s="765"/>
      <c r="J83" s="765"/>
      <c r="K83" s="765"/>
      <c r="L83" s="765"/>
      <c r="M83" s="765"/>
    </row>
    <row r="84" ht="17.25" customHeight="1">
      <c r="A84" s="765"/>
      <c r="B84" s="765"/>
      <c r="C84" s="765"/>
      <c r="D84" s="765"/>
      <c r="E84" s="765"/>
      <c r="F84" s="765"/>
      <c r="G84" s="765"/>
      <c r="H84" s="765"/>
      <c r="I84" s="765"/>
      <c r="J84" s="765"/>
      <c r="K84" s="765"/>
      <c r="L84" s="765"/>
      <c r="M84" s="765"/>
    </row>
    <row r="85" ht="17.25" customHeight="1">
      <c r="A85" s="765"/>
      <c r="B85" s="765"/>
      <c r="C85" s="765"/>
      <c r="D85" s="765"/>
      <c r="E85" s="765"/>
      <c r="F85" s="765"/>
      <c r="G85" s="765"/>
      <c r="H85" s="765"/>
      <c r="I85" s="765"/>
      <c r="J85" s="765"/>
      <c r="K85" s="765"/>
      <c r="L85" s="765"/>
      <c r="M85" s="765"/>
    </row>
    <row r="86" ht="17.25" customHeight="1">
      <c r="A86" s="765"/>
      <c r="B86" s="765"/>
      <c r="C86" s="765"/>
      <c r="D86" s="765"/>
      <c r="E86" s="765"/>
      <c r="F86" s="765"/>
      <c r="G86" s="765"/>
      <c r="H86" s="765"/>
      <c r="I86" s="765"/>
      <c r="J86" s="765"/>
      <c r="K86" s="765"/>
      <c r="L86" s="765"/>
      <c r="M86" s="765"/>
    </row>
    <row r="87" ht="17.25" customHeight="1">
      <c r="A87" s="765"/>
      <c r="B87" s="765"/>
      <c r="C87" s="765"/>
      <c r="D87" s="765"/>
      <c r="E87" s="765"/>
      <c r="F87" s="765"/>
      <c r="G87" s="765"/>
      <c r="H87" s="765"/>
      <c r="I87" s="765"/>
      <c r="J87" s="765"/>
      <c r="K87" s="765"/>
      <c r="L87" s="765"/>
      <c r="M87" s="765"/>
    </row>
    <row r="88" ht="17.25" customHeight="1">
      <c r="A88" s="765"/>
      <c r="B88" s="765"/>
      <c r="C88" s="765"/>
      <c r="D88" s="765"/>
      <c r="E88" s="765"/>
      <c r="F88" s="765"/>
      <c r="G88" s="765"/>
      <c r="H88" s="765"/>
      <c r="I88" s="765"/>
      <c r="J88" s="765"/>
      <c r="K88" s="765"/>
      <c r="L88" s="765"/>
      <c r="M88" s="765"/>
    </row>
    <row r="89" ht="17.25" customHeight="1">
      <c r="A89" s="765"/>
      <c r="B89" s="765"/>
      <c r="C89" s="765"/>
      <c r="D89" s="765"/>
      <c r="E89" s="765"/>
      <c r="F89" s="765"/>
      <c r="G89" s="765"/>
      <c r="H89" s="765"/>
      <c r="I89" s="765"/>
      <c r="J89" s="765"/>
      <c r="K89" s="765"/>
      <c r="L89" s="765"/>
      <c r="M89" s="765"/>
    </row>
    <row r="90" ht="17.25" customHeight="1">
      <c r="A90" s="765"/>
      <c r="B90" s="765"/>
      <c r="C90" s="765"/>
      <c r="D90" s="765"/>
      <c r="E90" s="765"/>
      <c r="F90" s="765"/>
      <c r="G90" s="765"/>
      <c r="H90" s="765"/>
      <c r="I90" s="765"/>
      <c r="J90" s="765"/>
      <c r="K90" s="765"/>
      <c r="L90" s="765"/>
      <c r="M90" s="765"/>
    </row>
    <row r="91" ht="17.25" customHeight="1">
      <c r="A91" s="765"/>
      <c r="B91" s="765"/>
      <c r="C91" s="765"/>
      <c r="D91" s="765"/>
      <c r="E91" s="765"/>
      <c r="F91" s="765"/>
      <c r="G91" s="765"/>
      <c r="H91" s="765"/>
      <c r="I91" s="765"/>
      <c r="J91" s="765"/>
      <c r="K91" s="765"/>
      <c r="L91" s="765"/>
      <c r="M91" s="765"/>
    </row>
    <row r="92" ht="17.25" customHeight="1">
      <c r="A92" s="765"/>
      <c r="B92" s="765"/>
      <c r="C92" s="765"/>
      <c r="D92" s="765"/>
      <c r="E92" s="765"/>
      <c r="F92" s="765"/>
      <c r="G92" s="765"/>
      <c r="H92" s="765"/>
      <c r="I92" s="765"/>
      <c r="J92" s="765"/>
      <c r="K92" s="765"/>
      <c r="L92" s="765"/>
      <c r="M92" s="765"/>
    </row>
    <row r="93" ht="17.25" customHeight="1">
      <c r="A93" s="765"/>
      <c r="B93" s="765"/>
      <c r="C93" s="765"/>
      <c r="D93" s="765"/>
      <c r="E93" s="765"/>
      <c r="F93" s="765"/>
      <c r="G93" s="765"/>
      <c r="H93" s="765"/>
      <c r="I93" s="765"/>
      <c r="J93" s="765"/>
      <c r="K93" s="765"/>
      <c r="L93" s="765"/>
      <c r="M93" s="765"/>
    </row>
    <row r="94" ht="17.25" customHeight="1">
      <c r="A94" s="765"/>
      <c r="B94" s="765"/>
      <c r="C94" s="765"/>
      <c r="D94" s="765"/>
      <c r="E94" s="765"/>
      <c r="F94" s="765"/>
      <c r="G94" s="765"/>
      <c r="H94" s="765"/>
      <c r="I94" s="765"/>
      <c r="J94" s="765"/>
      <c r="K94" s="765"/>
      <c r="L94" s="765"/>
      <c r="M94" s="765"/>
    </row>
    <row r="95" ht="17.25" customHeight="1">
      <c r="A95" s="765"/>
      <c r="B95" s="765"/>
      <c r="C95" s="765"/>
      <c r="D95" s="765"/>
      <c r="E95" s="765"/>
      <c r="F95" s="765"/>
      <c r="G95" s="765"/>
      <c r="H95" s="765"/>
      <c r="I95" s="765"/>
      <c r="J95" s="765"/>
      <c r="K95" s="765"/>
      <c r="L95" s="765"/>
      <c r="M95" s="765"/>
    </row>
    <row r="96" ht="17.25" customHeight="1">
      <c r="A96" s="765"/>
      <c r="B96" s="765"/>
      <c r="C96" s="765"/>
      <c r="D96" s="765"/>
      <c r="E96" s="765"/>
      <c r="F96" s="765"/>
      <c r="G96" s="765"/>
      <c r="H96" s="765"/>
      <c r="I96" s="765"/>
      <c r="J96" s="765"/>
      <c r="K96" s="765"/>
      <c r="L96" s="765"/>
      <c r="M96" s="765"/>
    </row>
    <row r="97" ht="17.25" customHeight="1">
      <c r="A97" s="765"/>
      <c r="B97" s="765"/>
      <c r="C97" s="765"/>
      <c r="D97" s="765"/>
      <c r="E97" s="765"/>
      <c r="F97" s="765"/>
      <c r="G97" s="765"/>
      <c r="H97" s="765"/>
      <c r="I97" s="765"/>
      <c r="J97" s="765"/>
      <c r="K97" s="765"/>
      <c r="L97" s="765"/>
      <c r="M97" s="765"/>
    </row>
    <row r="98" ht="17.25" customHeight="1">
      <c r="A98" s="765"/>
      <c r="B98" s="765"/>
      <c r="C98" s="765"/>
      <c r="D98" s="765"/>
      <c r="E98" s="765"/>
      <c r="F98" s="765"/>
      <c r="G98" s="765"/>
      <c r="H98" s="765"/>
      <c r="I98" s="765"/>
      <c r="J98" s="765"/>
      <c r="K98" s="765"/>
      <c r="L98" s="765"/>
      <c r="M98" s="765"/>
    </row>
    <row r="99" ht="17.25" customHeight="1">
      <c r="A99" s="765"/>
      <c r="B99" s="765"/>
      <c r="C99" s="765"/>
      <c r="D99" s="765"/>
      <c r="E99" s="765"/>
      <c r="F99" s="765"/>
      <c r="G99" s="765"/>
      <c r="H99" s="765"/>
      <c r="I99" s="765"/>
      <c r="J99" s="765"/>
      <c r="K99" s="765"/>
      <c r="L99" s="765"/>
      <c r="M99" s="765"/>
    </row>
    <row r="100" ht="17.25" customHeight="1">
      <c r="A100" s="765"/>
      <c r="B100" s="765"/>
      <c r="C100" s="765"/>
      <c r="D100" s="765"/>
      <c r="E100" s="765"/>
      <c r="F100" s="765"/>
      <c r="G100" s="765"/>
      <c r="H100" s="765"/>
      <c r="I100" s="765"/>
      <c r="J100" s="765"/>
      <c r="K100" s="765"/>
      <c r="L100" s="765"/>
      <c r="M100" s="765"/>
    </row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3.43"/>
    <col customWidth="1" min="3" max="3" width="7.29"/>
    <col customWidth="1" min="4" max="4" width="9.57"/>
    <col customWidth="1" min="5" max="6" width="12.57"/>
    <col customWidth="1" min="7" max="7" width="8.71"/>
    <col customWidth="1" min="8" max="8" width="9.43"/>
    <col customWidth="1" min="9" max="9" width="8.71"/>
    <col customWidth="1" min="10" max="10" width="9.57"/>
    <col customWidth="1" min="11" max="11" width="9.71"/>
    <col customWidth="1" min="12" max="12" width="9.57"/>
    <col customWidth="1" min="13" max="13" width="10.0"/>
    <col customWidth="1" min="14" max="14" width="8.71"/>
    <col customWidth="1" min="15" max="15" width="9.0"/>
    <col customWidth="1" min="16" max="16" width="10.29"/>
    <col customWidth="1" min="17" max="18" width="8.71"/>
    <col customWidth="1" min="19" max="19" width="9.43"/>
    <col customWidth="1" min="20" max="20" width="8.71"/>
    <col customWidth="1" min="21" max="21" width="9.29"/>
    <col customWidth="1" min="22" max="23" width="8.71"/>
    <col customWidth="1" min="24" max="24" width="9.57"/>
    <col customWidth="1" min="25" max="25" width="8.71"/>
    <col customWidth="1" min="26" max="26" width="10.29"/>
    <col customWidth="1" min="27" max="27" width="9.57"/>
    <col customWidth="1" min="28" max="28" width="9.43"/>
    <col customWidth="1" min="29" max="29" width="8.71"/>
    <col customWidth="1" min="30" max="30" width="9.29"/>
    <col customWidth="1" min="31" max="32" width="8.71"/>
    <col customWidth="1" min="33" max="33" width="9.57"/>
    <col customWidth="1" min="34" max="34" width="8.71"/>
    <col customWidth="1" min="35" max="35" width="9.57"/>
    <col customWidth="1" min="36" max="36" width="8.71"/>
    <col customWidth="1" min="37" max="37" width="11.29"/>
    <col customWidth="1" min="38" max="38" width="16.43"/>
    <col customWidth="1" min="39" max="39" width="8.29"/>
    <col customWidth="1" min="40" max="40" width="10.43"/>
    <col customWidth="1" min="41" max="41" width="9.57"/>
    <col customWidth="1" min="42" max="42" width="9.43"/>
  </cols>
  <sheetData>
    <row r="1" ht="12.75" customHeight="1">
      <c r="A1" s="778" t="s">
        <v>2228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94"/>
      <c r="AP1" s="779"/>
    </row>
    <row r="2" ht="12.75" customHeight="1">
      <c r="A2" s="780" t="s">
        <v>2229</v>
      </c>
      <c r="B2" s="781"/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  <c r="O2" s="781"/>
      <c r="P2" s="781"/>
      <c r="Q2" s="781"/>
      <c r="R2" s="781"/>
      <c r="S2" s="781"/>
      <c r="T2" s="781"/>
      <c r="U2" s="781"/>
      <c r="V2" s="781"/>
      <c r="W2" s="781"/>
      <c r="X2" s="781"/>
      <c r="Y2" s="781"/>
      <c r="Z2" s="781"/>
      <c r="AA2" s="781"/>
      <c r="AB2" s="781"/>
      <c r="AC2" s="781"/>
      <c r="AD2" s="781"/>
      <c r="AE2" s="781"/>
      <c r="AF2" s="781"/>
      <c r="AG2" s="781"/>
      <c r="AH2" s="781"/>
      <c r="AI2" s="781"/>
      <c r="AJ2" s="781"/>
      <c r="AK2" s="781"/>
      <c r="AL2" s="781"/>
      <c r="AM2" s="781"/>
      <c r="AN2" s="781"/>
      <c r="AO2" s="782"/>
      <c r="AP2" s="779"/>
    </row>
    <row r="3" ht="14.25" customHeight="1">
      <c r="A3" s="783" t="s">
        <v>956</v>
      </c>
      <c r="B3" s="783" t="s">
        <v>2230</v>
      </c>
      <c r="C3" s="783" t="s">
        <v>2231</v>
      </c>
      <c r="D3" s="783" t="s">
        <v>2232</v>
      </c>
      <c r="E3" s="783" t="s">
        <v>2233</v>
      </c>
      <c r="F3" s="783" t="s">
        <v>2234</v>
      </c>
      <c r="G3" s="783" t="s">
        <v>2235</v>
      </c>
      <c r="H3" s="783" t="s">
        <v>2236</v>
      </c>
      <c r="I3" s="783" t="s">
        <v>2237</v>
      </c>
      <c r="J3" s="783" t="s">
        <v>2238</v>
      </c>
      <c r="K3" s="783" t="s">
        <v>2239</v>
      </c>
      <c r="L3" s="783" t="s">
        <v>2240</v>
      </c>
      <c r="M3" s="783" t="s">
        <v>2241</v>
      </c>
      <c r="N3" s="783" t="s">
        <v>2242</v>
      </c>
      <c r="O3" s="783" t="s">
        <v>2243</v>
      </c>
      <c r="P3" s="783" t="s">
        <v>2244</v>
      </c>
      <c r="Q3" s="783" t="s">
        <v>2245</v>
      </c>
      <c r="R3" s="783" t="s">
        <v>2246</v>
      </c>
      <c r="S3" s="783" t="s">
        <v>2247</v>
      </c>
      <c r="T3" s="783" t="s">
        <v>2248</v>
      </c>
      <c r="U3" s="783" t="s">
        <v>2249</v>
      </c>
      <c r="V3" s="783" t="s">
        <v>2250</v>
      </c>
      <c r="W3" s="783" t="s">
        <v>2251</v>
      </c>
      <c r="X3" s="783" t="s">
        <v>2252</v>
      </c>
      <c r="Y3" s="783" t="s">
        <v>2253</v>
      </c>
      <c r="Z3" s="783" t="s">
        <v>2254</v>
      </c>
      <c r="AA3" s="783" t="s">
        <v>2255</v>
      </c>
      <c r="AB3" s="783" t="s">
        <v>2256</v>
      </c>
      <c r="AC3" s="783" t="s">
        <v>2257</v>
      </c>
      <c r="AD3" s="783" t="s">
        <v>2258</v>
      </c>
      <c r="AE3" s="783" t="s">
        <v>2259</v>
      </c>
      <c r="AF3" s="783" t="s">
        <v>2260</v>
      </c>
      <c r="AG3" s="783" t="s">
        <v>2261</v>
      </c>
      <c r="AH3" s="783" t="s">
        <v>2262</v>
      </c>
      <c r="AI3" s="783" t="s">
        <v>2263</v>
      </c>
      <c r="AJ3" s="783" t="s">
        <v>2264</v>
      </c>
      <c r="AK3" s="783" t="s">
        <v>2265</v>
      </c>
      <c r="AL3" s="783" t="s">
        <v>1027</v>
      </c>
      <c r="AM3" s="784" t="s">
        <v>2266</v>
      </c>
      <c r="AN3" s="94"/>
      <c r="AO3" s="95"/>
      <c r="AP3" s="785"/>
    </row>
    <row r="4" ht="16.5" customHeight="1">
      <c r="A4" s="175"/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786" t="s">
        <v>2267</v>
      </c>
      <c r="AN4" s="786" t="s">
        <v>2268</v>
      </c>
      <c r="AO4" s="786" t="s">
        <v>2269</v>
      </c>
      <c r="AP4" s="785"/>
    </row>
    <row r="5" ht="12.75" customHeight="1">
      <c r="A5" s="787">
        <v>1.0</v>
      </c>
      <c r="B5" s="788" t="s">
        <v>2270</v>
      </c>
      <c r="C5" s="789" t="s">
        <v>70</v>
      </c>
      <c r="D5" s="788" t="s">
        <v>33</v>
      </c>
      <c r="E5" s="788" t="str">
        <f>36159.756/1000</f>
        <v>36.159756</v>
      </c>
      <c r="F5" s="790">
        <v>27.12</v>
      </c>
      <c r="G5" s="791">
        <v>4.519</v>
      </c>
      <c r="H5" s="791">
        <v>4.519</v>
      </c>
      <c r="I5" s="791"/>
      <c r="J5" s="791"/>
      <c r="K5" s="791"/>
      <c r="L5" s="791"/>
      <c r="M5" s="791"/>
      <c r="N5" s="791"/>
      <c r="O5" s="791"/>
      <c r="P5" s="791"/>
      <c r="Q5" s="791"/>
      <c r="R5" s="791"/>
      <c r="S5" s="791"/>
      <c r="T5" s="791"/>
      <c r="U5" s="791"/>
      <c r="V5" s="791"/>
      <c r="W5" s="791"/>
      <c r="X5" s="791"/>
      <c r="Y5" s="791"/>
      <c r="Z5" s="791"/>
      <c r="AA5" s="791"/>
      <c r="AB5" s="791"/>
      <c r="AC5" s="791"/>
      <c r="AD5" s="791"/>
      <c r="AE5" s="791"/>
      <c r="AF5" s="791"/>
      <c r="AG5" s="791"/>
      <c r="AH5" s="791"/>
      <c r="AI5" s="791"/>
      <c r="AJ5" s="791"/>
      <c r="AK5" s="792" t="str">
        <f t="shared" ref="AK5:AK20" si="1">SUM(G5:AJ5)</f>
        <v>9.038</v>
      </c>
      <c r="AL5" s="792" t="s">
        <v>389</v>
      </c>
      <c r="AM5" s="793">
        <v>10.0</v>
      </c>
      <c r="AN5" s="794">
        <v>5.0</v>
      </c>
      <c r="AO5" s="795">
        <v>6.0</v>
      </c>
      <c r="AP5" s="796"/>
    </row>
    <row r="6" ht="12.75" customHeight="1">
      <c r="A6" s="787">
        <v>2.0</v>
      </c>
      <c r="B6" s="788" t="s">
        <v>2270</v>
      </c>
      <c r="C6" s="789" t="s">
        <v>57</v>
      </c>
      <c r="D6" s="788" t="s">
        <v>34</v>
      </c>
      <c r="E6" s="788" t="str">
        <f>37931.088/1000</f>
        <v>37.931088</v>
      </c>
      <c r="F6" s="790"/>
      <c r="G6" s="791"/>
      <c r="H6" s="791"/>
      <c r="I6" s="791">
        <v>7.0</v>
      </c>
      <c r="J6" s="791">
        <v>8.0</v>
      </c>
      <c r="K6" s="791">
        <v>7.0</v>
      </c>
      <c r="L6" s="791">
        <v>7.5</v>
      </c>
      <c r="M6" s="791">
        <v>7.7</v>
      </c>
      <c r="N6" s="791"/>
      <c r="O6" s="791"/>
      <c r="P6" s="791"/>
      <c r="Q6" s="791"/>
      <c r="R6" s="791"/>
      <c r="S6" s="791"/>
      <c r="T6" s="791"/>
      <c r="U6" s="791"/>
      <c r="V6" s="791"/>
      <c r="W6" s="791"/>
      <c r="X6" s="791"/>
      <c r="Y6" s="791"/>
      <c r="Z6" s="791"/>
      <c r="AA6" s="791"/>
      <c r="AB6" s="791"/>
      <c r="AC6" s="791"/>
      <c r="AD6" s="791"/>
      <c r="AE6" s="791"/>
      <c r="AF6" s="791"/>
      <c r="AG6" s="791"/>
      <c r="AH6" s="791"/>
      <c r="AI6" s="791"/>
      <c r="AJ6" s="791"/>
      <c r="AK6" s="792" t="str">
        <f t="shared" si="1"/>
        <v>37.200</v>
      </c>
      <c r="AL6" s="792" t="s">
        <v>389</v>
      </c>
      <c r="AM6" s="418"/>
      <c r="AN6" s="418"/>
      <c r="AO6" s="418"/>
      <c r="AP6" s="796"/>
    </row>
    <row r="7" ht="12.75" customHeight="1">
      <c r="A7" s="787">
        <v>3.0</v>
      </c>
      <c r="B7" s="788" t="s">
        <v>2270</v>
      </c>
      <c r="C7" s="797" t="s">
        <v>74</v>
      </c>
      <c r="D7" s="788" t="s">
        <v>15</v>
      </c>
      <c r="E7" s="788" t="str">
        <f t="shared" ref="E7:E8" si="2">34789.81/1000</f>
        <v>34.78981</v>
      </c>
      <c r="F7" s="790"/>
      <c r="G7" s="791"/>
      <c r="H7" s="791"/>
      <c r="I7" s="791"/>
      <c r="J7" s="791"/>
      <c r="K7" s="791"/>
      <c r="L7" s="791"/>
      <c r="M7" s="791"/>
      <c r="N7" s="791">
        <v>6.78</v>
      </c>
      <c r="O7" s="791">
        <v>11.0</v>
      </c>
      <c r="P7" s="791">
        <v>9.0</v>
      </c>
      <c r="Q7" s="791">
        <v>8.0</v>
      </c>
      <c r="R7" s="791"/>
      <c r="S7" s="791"/>
      <c r="T7" s="791"/>
      <c r="U7" s="791"/>
      <c r="V7" s="791"/>
      <c r="W7" s="791"/>
      <c r="X7" s="791"/>
      <c r="Y7" s="791"/>
      <c r="Z7" s="791"/>
      <c r="AA7" s="791"/>
      <c r="AB7" s="791"/>
      <c r="AC7" s="791"/>
      <c r="AD7" s="791"/>
      <c r="AE7" s="791"/>
      <c r="AF7" s="791"/>
      <c r="AG7" s="791"/>
      <c r="AH7" s="791"/>
      <c r="AI7" s="791"/>
      <c r="AJ7" s="791"/>
      <c r="AK7" s="792" t="str">
        <f t="shared" si="1"/>
        <v>34.780</v>
      </c>
      <c r="AL7" s="792" t="s">
        <v>389</v>
      </c>
      <c r="AM7" s="418"/>
      <c r="AN7" s="418"/>
      <c r="AO7" s="418"/>
      <c r="AP7" s="796"/>
    </row>
    <row r="8" ht="12.75" customHeight="1">
      <c r="A8" s="787">
        <v>4.0</v>
      </c>
      <c r="B8" s="788" t="s">
        <v>2270</v>
      </c>
      <c r="C8" s="797" t="s">
        <v>80</v>
      </c>
      <c r="D8" s="788" t="s">
        <v>15</v>
      </c>
      <c r="E8" s="788" t="str">
        <f t="shared" si="2"/>
        <v>34.78981</v>
      </c>
      <c r="F8" s="790"/>
      <c r="G8" s="791"/>
      <c r="H8" s="791"/>
      <c r="I8" s="791"/>
      <c r="J8" s="791"/>
      <c r="K8" s="791"/>
      <c r="L8" s="791"/>
      <c r="M8" s="791"/>
      <c r="N8" s="791"/>
      <c r="O8" s="791"/>
      <c r="P8" s="791"/>
      <c r="Q8" s="791"/>
      <c r="R8" s="791">
        <v>5.78</v>
      </c>
      <c r="S8" s="791">
        <v>7.0</v>
      </c>
      <c r="T8" s="791">
        <v>8.0</v>
      </c>
      <c r="U8" s="791">
        <v>7.0</v>
      </c>
      <c r="V8" s="791">
        <v>7.0</v>
      </c>
      <c r="W8" s="791"/>
      <c r="X8" s="791"/>
      <c r="Y8" s="791"/>
      <c r="Z8" s="791"/>
      <c r="AA8" s="791"/>
      <c r="AB8" s="791"/>
      <c r="AC8" s="791"/>
      <c r="AD8" s="791"/>
      <c r="AE8" s="791"/>
      <c r="AF8" s="791"/>
      <c r="AG8" s="791"/>
      <c r="AH8" s="791"/>
      <c r="AI8" s="791"/>
      <c r="AJ8" s="791"/>
      <c r="AK8" s="792" t="str">
        <f t="shared" si="1"/>
        <v>34.780</v>
      </c>
      <c r="AL8" s="792" t="s">
        <v>389</v>
      </c>
      <c r="AM8" s="418"/>
      <c r="AN8" s="418"/>
      <c r="AO8" s="418"/>
      <c r="AP8" s="796"/>
    </row>
    <row r="9" ht="12.75" customHeight="1">
      <c r="A9" s="787">
        <v>5.0</v>
      </c>
      <c r="B9" s="788" t="s">
        <v>2270</v>
      </c>
      <c r="C9" s="797" t="s">
        <v>85</v>
      </c>
      <c r="D9" s="788" t="s">
        <v>51</v>
      </c>
      <c r="E9" s="788" t="str">
        <f>59500.628/1000</f>
        <v>59.500628</v>
      </c>
      <c r="F9" s="790"/>
      <c r="G9" s="791"/>
      <c r="H9" s="791"/>
      <c r="I9" s="791"/>
      <c r="J9" s="791"/>
      <c r="K9" s="791"/>
      <c r="L9" s="791"/>
      <c r="M9" s="791"/>
      <c r="N9" s="791"/>
      <c r="O9" s="791"/>
      <c r="P9" s="791"/>
      <c r="Q9" s="791"/>
      <c r="R9" s="791"/>
      <c r="S9" s="791"/>
      <c r="T9" s="791"/>
      <c r="U9" s="791"/>
      <c r="V9" s="791"/>
      <c r="W9" s="791">
        <v>8.0</v>
      </c>
      <c r="X9" s="791">
        <v>3.0</v>
      </c>
      <c r="Y9" s="791">
        <v>3.0</v>
      </c>
      <c r="Z9" s="791">
        <v>4.0</v>
      </c>
      <c r="AA9" s="791">
        <v>1.5</v>
      </c>
      <c r="AB9" s="791">
        <v>3.0</v>
      </c>
      <c r="AC9" s="791">
        <v>4.0</v>
      </c>
      <c r="AD9" s="791">
        <v>8.0</v>
      </c>
      <c r="AE9" s="791">
        <v>8.0</v>
      </c>
      <c r="AF9" s="791">
        <v>8.0</v>
      </c>
      <c r="AG9" s="791">
        <v>9.0</v>
      </c>
      <c r="AH9" s="791"/>
      <c r="AI9" s="791"/>
      <c r="AJ9" s="791"/>
      <c r="AK9" s="792" t="str">
        <f t="shared" si="1"/>
        <v>59.500</v>
      </c>
      <c r="AL9" s="792" t="s">
        <v>389</v>
      </c>
      <c r="AM9" s="418"/>
      <c r="AN9" s="418"/>
      <c r="AO9" s="418"/>
      <c r="AP9" s="796"/>
    </row>
    <row r="10" ht="12.75" customHeight="1">
      <c r="A10" s="787">
        <v>6.0</v>
      </c>
      <c r="B10" s="788" t="s">
        <v>2271</v>
      </c>
      <c r="C10" s="797" t="s">
        <v>101</v>
      </c>
      <c r="D10" s="788" t="s">
        <v>12</v>
      </c>
      <c r="E10" s="788" t="str">
        <f>43804.424/1000</f>
        <v>43.804424</v>
      </c>
      <c r="F10" s="790"/>
      <c r="G10" s="791"/>
      <c r="H10" s="791"/>
      <c r="I10" s="791"/>
      <c r="J10" s="791"/>
      <c r="K10" s="791"/>
      <c r="L10" s="791"/>
      <c r="M10" s="791"/>
      <c r="N10" s="791"/>
      <c r="O10" s="791"/>
      <c r="P10" s="791"/>
      <c r="Q10" s="791"/>
      <c r="R10" s="791"/>
      <c r="S10" s="791"/>
      <c r="T10" s="791"/>
      <c r="U10" s="791"/>
      <c r="V10" s="791">
        <v>6.0</v>
      </c>
      <c r="W10" s="791">
        <v>8.0</v>
      </c>
      <c r="X10" s="791">
        <v>4.0</v>
      </c>
      <c r="Y10" s="791">
        <v>4.0</v>
      </c>
      <c r="Z10" s="791">
        <v>4.0</v>
      </c>
      <c r="AA10" s="791">
        <v>2.0</v>
      </c>
      <c r="AB10" s="791">
        <v>2.0</v>
      </c>
      <c r="AC10" s="791">
        <v>4.0</v>
      </c>
      <c r="AD10" s="791">
        <v>4.0</v>
      </c>
      <c r="AE10" s="791">
        <v>5.8</v>
      </c>
      <c r="AF10" s="791"/>
      <c r="AG10" s="791"/>
      <c r="AH10" s="791"/>
      <c r="AI10" s="791"/>
      <c r="AJ10" s="791"/>
      <c r="AK10" s="792" t="str">
        <f t="shared" si="1"/>
        <v>43.800</v>
      </c>
      <c r="AL10" s="792" t="s">
        <v>389</v>
      </c>
      <c r="AM10" s="418"/>
      <c r="AN10" s="418"/>
      <c r="AO10" s="418"/>
      <c r="AP10" s="796"/>
    </row>
    <row r="11" ht="12.75" customHeight="1">
      <c r="A11" s="787">
        <v>7.0</v>
      </c>
      <c r="B11" s="788" t="s">
        <v>2272</v>
      </c>
      <c r="C11" s="789" t="s">
        <v>109</v>
      </c>
      <c r="D11" s="788" t="s">
        <v>33</v>
      </c>
      <c r="E11" s="788" t="str">
        <f t="shared" ref="E11:E12" si="3">36159.756/1000</f>
        <v>36.159756</v>
      </c>
      <c r="F11" s="790"/>
      <c r="G11" s="791"/>
      <c r="H11" s="791"/>
      <c r="I11" s="791"/>
      <c r="J11" s="791"/>
      <c r="K11" s="791"/>
      <c r="L11" s="791"/>
      <c r="M11" s="791"/>
      <c r="N11" s="791"/>
      <c r="O11" s="791"/>
      <c r="P11" s="791"/>
      <c r="Q11" s="791"/>
      <c r="R11" s="791"/>
      <c r="S11" s="791"/>
      <c r="T11" s="791"/>
      <c r="U11" s="791"/>
      <c r="V11" s="791">
        <v>2.0</v>
      </c>
      <c r="W11" s="791">
        <v>5.0</v>
      </c>
      <c r="X11" s="791">
        <v>3.8</v>
      </c>
      <c r="Y11" s="791">
        <v>5.0</v>
      </c>
      <c r="Z11" s="791">
        <v>3.0</v>
      </c>
      <c r="AA11" s="791">
        <v>5.0</v>
      </c>
      <c r="AB11" s="791">
        <v>3.0</v>
      </c>
      <c r="AC11" s="791">
        <v>4.0</v>
      </c>
      <c r="AD11" s="791">
        <v>5.359</v>
      </c>
      <c r="AE11" s="791"/>
      <c r="AF11" s="791"/>
      <c r="AG11" s="791"/>
      <c r="AH11" s="791"/>
      <c r="AI11" s="791"/>
      <c r="AJ11" s="791"/>
      <c r="AK11" s="792" t="str">
        <f t="shared" si="1"/>
        <v>36.159</v>
      </c>
      <c r="AL11" s="792" t="s">
        <v>389</v>
      </c>
      <c r="AM11" s="418"/>
      <c r="AN11" s="418"/>
      <c r="AO11" s="418"/>
      <c r="AP11" s="796"/>
    </row>
    <row r="12" ht="12.75" customHeight="1">
      <c r="A12" s="787">
        <v>8.0</v>
      </c>
      <c r="B12" s="788" t="s">
        <v>2273</v>
      </c>
      <c r="C12" s="797" t="s">
        <v>142</v>
      </c>
      <c r="D12" s="788" t="s">
        <v>33</v>
      </c>
      <c r="E12" s="788" t="str">
        <f t="shared" si="3"/>
        <v>36.159756</v>
      </c>
      <c r="F12" s="790"/>
      <c r="G12" s="791"/>
      <c r="H12" s="791"/>
      <c r="I12" s="791"/>
      <c r="J12" s="791"/>
      <c r="K12" s="791"/>
      <c r="L12" s="791"/>
      <c r="M12" s="791"/>
      <c r="N12" s="791"/>
      <c r="O12" s="791"/>
      <c r="P12" s="791"/>
      <c r="Q12" s="791"/>
      <c r="R12" s="791"/>
      <c r="S12" s="791"/>
      <c r="T12" s="791"/>
      <c r="U12" s="791"/>
      <c r="V12" s="791"/>
      <c r="W12" s="791"/>
      <c r="X12" s="791"/>
      <c r="Y12" s="791"/>
      <c r="Z12" s="791"/>
      <c r="AA12" s="791"/>
      <c r="AB12" s="791"/>
      <c r="AC12" s="791"/>
      <c r="AD12" s="791"/>
      <c r="AE12" s="791"/>
      <c r="AF12" s="791"/>
      <c r="AG12" s="791">
        <v>3.0</v>
      </c>
      <c r="AH12" s="791">
        <v>5.0</v>
      </c>
      <c r="AI12" s="791">
        <v>3.0</v>
      </c>
      <c r="AJ12" s="791">
        <v>1.0</v>
      </c>
      <c r="AK12" s="792" t="str">
        <f t="shared" si="1"/>
        <v>12.000</v>
      </c>
      <c r="AL12" s="792"/>
      <c r="AM12" s="418"/>
      <c r="AN12" s="418"/>
      <c r="AO12" s="418"/>
      <c r="AP12" s="796"/>
    </row>
    <row r="13" ht="12.75" customHeight="1">
      <c r="A13" s="787">
        <v>9.0</v>
      </c>
      <c r="B13" s="788" t="s">
        <v>2274</v>
      </c>
      <c r="C13" s="789" t="s">
        <v>30</v>
      </c>
      <c r="D13" s="788" t="s">
        <v>15</v>
      </c>
      <c r="E13" s="788" t="str">
        <f>34789.81/1000</f>
        <v>34.78981</v>
      </c>
      <c r="F13" s="790"/>
      <c r="G13" s="791"/>
      <c r="H13" s="791"/>
      <c r="I13" s="791"/>
      <c r="J13" s="791"/>
      <c r="K13" s="791"/>
      <c r="L13" s="791"/>
      <c r="M13" s="791"/>
      <c r="N13" s="791"/>
      <c r="O13" s="791"/>
      <c r="P13" s="791"/>
      <c r="Q13" s="791"/>
      <c r="R13" s="791"/>
      <c r="S13" s="791"/>
      <c r="T13" s="791"/>
      <c r="U13" s="791"/>
      <c r="V13" s="791"/>
      <c r="W13" s="791"/>
      <c r="X13" s="791"/>
      <c r="Y13" s="791"/>
      <c r="Z13" s="791">
        <v>8.0</v>
      </c>
      <c r="AA13" s="791">
        <v>8.0</v>
      </c>
      <c r="AB13" s="791">
        <v>5.0</v>
      </c>
      <c r="AC13" s="791">
        <v>6.0</v>
      </c>
      <c r="AD13" s="791">
        <v>3.0</v>
      </c>
      <c r="AE13" s="791">
        <v>4.78</v>
      </c>
      <c r="AF13" s="791"/>
      <c r="AG13" s="791"/>
      <c r="AH13" s="791"/>
      <c r="AI13" s="791"/>
      <c r="AJ13" s="791"/>
      <c r="AK13" s="792" t="str">
        <f t="shared" si="1"/>
        <v>34.780</v>
      </c>
      <c r="AL13" s="792" t="s">
        <v>389</v>
      </c>
      <c r="AM13" s="418"/>
      <c r="AN13" s="418"/>
      <c r="AO13" s="418"/>
      <c r="AP13" s="796"/>
    </row>
    <row r="14" ht="12.75" customHeight="1">
      <c r="A14" s="787">
        <v>10.0</v>
      </c>
      <c r="B14" s="788" t="s">
        <v>520</v>
      </c>
      <c r="C14" s="789" t="s">
        <v>106</v>
      </c>
      <c r="D14" s="788" t="s">
        <v>34</v>
      </c>
      <c r="E14" s="788" t="str">
        <f>37931.088/1000</f>
        <v>37.931088</v>
      </c>
      <c r="F14" s="790"/>
      <c r="G14" s="791"/>
      <c r="H14" s="791"/>
      <c r="I14" s="791"/>
      <c r="J14" s="791"/>
      <c r="K14" s="791"/>
      <c r="L14" s="791"/>
      <c r="M14" s="791"/>
      <c r="N14" s="791"/>
      <c r="O14" s="791"/>
      <c r="P14" s="791"/>
      <c r="Q14" s="791"/>
      <c r="R14" s="791"/>
      <c r="S14" s="791"/>
      <c r="T14" s="791"/>
      <c r="U14" s="791"/>
      <c r="V14" s="791"/>
      <c r="W14" s="791"/>
      <c r="X14" s="791"/>
      <c r="Y14" s="791"/>
      <c r="Z14" s="791"/>
      <c r="AA14" s="791"/>
      <c r="AB14" s="791"/>
      <c r="AC14" s="791"/>
      <c r="AD14" s="791"/>
      <c r="AE14" s="791"/>
      <c r="AF14" s="791">
        <v>3.0</v>
      </c>
      <c r="AG14" s="791">
        <v>5.0</v>
      </c>
      <c r="AH14" s="791">
        <v>5.0</v>
      </c>
      <c r="AI14" s="791">
        <v>3.0</v>
      </c>
      <c r="AJ14" s="791">
        <v>5.0</v>
      </c>
      <c r="AK14" s="792" t="str">
        <f t="shared" si="1"/>
        <v>21.000</v>
      </c>
      <c r="AL14" s="792"/>
      <c r="AM14" s="418"/>
      <c r="AN14" s="418"/>
      <c r="AO14" s="418"/>
      <c r="AP14" s="798"/>
    </row>
    <row r="15" ht="12.75" customHeight="1">
      <c r="A15" s="799">
        <v>11.0</v>
      </c>
      <c r="B15" s="788" t="s">
        <v>518</v>
      </c>
      <c r="C15" s="789" t="s">
        <v>100</v>
      </c>
      <c r="D15" s="788" t="s">
        <v>33</v>
      </c>
      <c r="E15" s="788" t="str">
        <f t="shared" ref="E15:E17" si="4">36159.756/1000</f>
        <v>36.159756</v>
      </c>
      <c r="F15" s="800"/>
      <c r="G15" s="801"/>
      <c r="H15" s="801"/>
      <c r="I15" s="801"/>
      <c r="J15" s="801"/>
      <c r="K15" s="791"/>
      <c r="L15" s="791"/>
      <c r="M15" s="791"/>
      <c r="N15" s="791"/>
      <c r="O15" s="791"/>
      <c r="P15" s="791"/>
      <c r="Q15" s="791"/>
      <c r="R15" s="791"/>
      <c r="S15" s="791"/>
      <c r="T15" s="791"/>
      <c r="U15" s="791"/>
      <c r="V15" s="791"/>
      <c r="W15" s="791"/>
      <c r="X15" s="791"/>
      <c r="Y15" s="791"/>
      <c r="Z15" s="791"/>
      <c r="AA15" s="791"/>
      <c r="AB15" s="791"/>
      <c r="AC15" s="791"/>
      <c r="AD15" s="791"/>
      <c r="AE15" s="791"/>
      <c r="AF15" s="791"/>
      <c r="AG15" s="791">
        <v>3.0</v>
      </c>
      <c r="AH15" s="791">
        <v>6.0</v>
      </c>
      <c r="AI15" s="791">
        <v>5.0</v>
      </c>
      <c r="AJ15" s="791">
        <v>4.0</v>
      </c>
      <c r="AK15" s="792" t="str">
        <f t="shared" si="1"/>
        <v>18.000</v>
      </c>
      <c r="AL15" s="792"/>
      <c r="AM15" s="418"/>
      <c r="AN15" s="418"/>
      <c r="AO15" s="418"/>
      <c r="AP15" s="798"/>
    </row>
    <row r="16" ht="12.75" customHeight="1">
      <c r="A16" s="799">
        <v>12.0</v>
      </c>
      <c r="B16" s="788" t="s">
        <v>505</v>
      </c>
      <c r="C16" s="789" t="s">
        <v>54</v>
      </c>
      <c r="D16" s="788" t="s">
        <v>33</v>
      </c>
      <c r="E16" s="788" t="str">
        <f t="shared" si="4"/>
        <v>36.159756</v>
      </c>
      <c r="F16" s="800"/>
      <c r="G16" s="801"/>
      <c r="H16" s="801"/>
      <c r="I16" s="801"/>
      <c r="J16" s="801"/>
      <c r="K16" s="791"/>
      <c r="L16" s="791"/>
      <c r="M16" s="791"/>
      <c r="N16" s="791"/>
      <c r="O16" s="791"/>
      <c r="P16" s="791"/>
      <c r="Q16" s="791"/>
      <c r="R16" s="791"/>
      <c r="S16" s="791"/>
      <c r="T16" s="791"/>
      <c r="U16" s="791"/>
      <c r="V16" s="791"/>
      <c r="W16" s="791"/>
      <c r="X16" s="791"/>
      <c r="Y16" s="791"/>
      <c r="Z16" s="791"/>
      <c r="AA16" s="791"/>
      <c r="AB16" s="791"/>
      <c r="AC16" s="791"/>
      <c r="AD16" s="791"/>
      <c r="AE16" s="791"/>
      <c r="AF16" s="791"/>
      <c r="AG16" s="791"/>
      <c r="AH16" s="791">
        <v>4.0</v>
      </c>
      <c r="AI16" s="791">
        <v>3.0</v>
      </c>
      <c r="AJ16" s="791">
        <v>3.0</v>
      </c>
      <c r="AK16" s="792" t="str">
        <f t="shared" si="1"/>
        <v>10.000</v>
      </c>
      <c r="AL16" s="792"/>
      <c r="AM16" s="418"/>
      <c r="AN16" s="418"/>
      <c r="AO16" s="418"/>
      <c r="AP16" s="798"/>
    </row>
    <row r="17" ht="12.75" customHeight="1">
      <c r="A17" s="799">
        <v>13.0</v>
      </c>
      <c r="B17" s="788" t="s">
        <v>2274</v>
      </c>
      <c r="C17" s="789" t="s">
        <v>40</v>
      </c>
      <c r="D17" s="788" t="s">
        <v>33</v>
      </c>
      <c r="E17" s="788" t="str">
        <f t="shared" si="4"/>
        <v>36.159756</v>
      </c>
      <c r="F17" s="800"/>
      <c r="G17" s="801"/>
      <c r="H17" s="801"/>
      <c r="I17" s="801"/>
      <c r="J17" s="801"/>
      <c r="K17" s="791"/>
      <c r="L17" s="791"/>
      <c r="M17" s="791"/>
      <c r="N17" s="791"/>
      <c r="O17" s="791"/>
      <c r="P17" s="791"/>
      <c r="Q17" s="791"/>
      <c r="R17" s="791"/>
      <c r="S17" s="791"/>
      <c r="T17" s="791"/>
      <c r="U17" s="791"/>
      <c r="V17" s="791"/>
      <c r="W17" s="791"/>
      <c r="X17" s="791"/>
      <c r="Y17" s="791"/>
      <c r="Z17" s="791"/>
      <c r="AA17" s="791"/>
      <c r="AB17" s="791"/>
      <c r="AC17" s="791"/>
      <c r="AD17" s="791"/>
      <c r="AE17" s="791"/>
      <c r="AF17" s="791"/>
      <c r="AG17" s="791"/>
      <c r="AH17" s="791"/>
      <c r="AI17" s="791"/>
      <c r="AJ17" s="791"/>
      <c r="AK17" s="792" t="str">
        <f t="shared" si="1"/>
        <v>0.000</v>
      </c>
      <c r="AL17" s="792"/>
      <c r="AM17" s="418"/>
      <c r="AN17" s="418"/>
      <c r="AO17" s="418"/>
      <c r="AP17" s="798"/>
    </row>
    <row r="18" ht="12.75" customHeight="1">
      <c r="A18" s="799">
        <v>14.0</v>
      </c>
      <c r="B18" s="788"/>
      <c r="C18" s="802"/>
      <c r="D18" s="788"/>
      <c r="E18" s="788"/>
      <c r="F18" s="800"/>
      <c r="G18" s="801"/>
      <c r="H18" s="801"/>
      <c r="I18" s="801"/>
      <c r="J18" s="801"/>
      <c r="K18" s="791"/>
      <c r="L18" s="791"/>
      <c r="M18" s="791"/>
      <c r="N18" s="791"/>
      <c r="O18" s="791"/>
      <c r="P18" s="791"/>
      <c r="Q18" s="791"/>
      <c r="R18" s="791"/>
      <c r="S18" s="791"/>
      <c r="T18" s="791"/>
      <c r="U18" s="791"/>
      <c r="V18" s="791"/>
      <c r="W18" s="791"/>
      <c r="X18" s="791"/>
      <c r="Y18" s="791"/>
      <c r="Z18" s="791"/>
      <c r="AA18" s="791"/>
      <c r="AB18" s="791"/>
      <c r="AC18" s="791"/>
      <c r="AD18" s="791"/>
      <c r="AE18" s="791"/>
      <c r="AF18" s="791"/>
      <c r="AG18" s="791"/>
      <c r="AH18" s="791"/>
      <c r="AI18" s="791"/>
      <c r="AJ18" s="791"/>
      <c r="AK18" s="792" t="str">
        <f t="shared" si="1"/>
        <v>0.000</v>
      </c>
      <c r="AL18" s="792"/>
      <c r="AM18" s="418"/>
      <c r="AN18" s="418"/>
      <c r="AO18" s="418"/>
      <c r="AP18" s="798"/>
    </row>
    <row r="19" ht="12.75" customHeight="1">
      <c r="A19" s="799"/>
      <c r="B19" s="788"/>
      <c r="C19" s="788"/>
      <c r="D19" s="788"/>
      <c r="E19" s="788"/>
      <c r="F19" s="800"/>
      <c r="G19" s="801"/>
      <c r="H19" s="801"/>
      <c r="I19" s="801"/>
      <c r="J19" s="801"/>
      <c r="K19" s="791"/>
      <c r="L19" s="791"/>
      <c r="M19" s="791"/>
      <c r="N19" s="791"/>
      <c r="O19" s="791"/>
      <c r="P19" s="791"/>
      <c r="Q19" s="791"/>
      <c r="R19" s="791"/>
      <c r="S19" s="791"/>
      <c r="T19" s="791"/>
      <c r="U19" s="791"/>
      <c r="V19" s="791"/>
      <c r="W19" s="791"/>
      <c r="X19" s="791"/>
      <c r="Y19" s="791"/>
      <c r="Z19" s="791"/>
      <c r="AA19" s="791"/>
      <c r="AB19" s="791"/>
      <c r="AC19" s="791"/>
      <c r="AD19" s="791"/>
      <c r="AE19" s="791"/>
      <c r="AF19" s="791"/>
      <c r="AG19" s="791"/>
      <c r="AH19" s="791"/>
      <c r="AI19" s="791"/>
      <c r="AJ19" s="791"/>
      <c r="AK19" s="792" t="str">
        <f t="shared" si="1"/>
        <v>0.000</v>
      </c>
      <c r="AL19" s="792"/>
      <c r="AM19" s="418"/>
      <c r="AN19" s="418"/>
      <c r="AO19" s="418"/>
      <c r="AP19" s="798"/>
    </row>
    <row r="20" ht="12.75" customHeight="1">
      <c r="A20" s="803" t="s">
        <v>905</v>
      </c>
      <c r="B20" s="94"/>
      <c r="C20" s="94"/>
      <c r="D20" s="95"/>
      <c r="E20" s="804"/>
      <c r="F20" s="804"/>
      <c r="G20" s="804"/>
      <c r="H20" s="804"/>
      <c r="I20" s="804"/>
      <c r="J20" s="804"/>
      <c r="K20" s="804"/>
      <c r="L20" s="804"/>
      <c r="M20" s="804"/>
      <c r="N20" s="804"/>
      <c r="O20" s="804"/>
      <c r="P20" s="804"/>
      <c r="Q20" s="804"/>
      <c r="R20" s="804"/>
      <c r="S20" s="804"/>
      <c r="T20" s="804"/>
      <c r="U20" s="804"/>
      <c r="V20" s="804"/>
      <c r="W20" s="804"/>
      <c r="X20" s="804"/>
      <c r="Y20" s="804"/>
      <c r="Z20" s="804"/>
      <c r="AA20" s="804"/>
      <c r="AB20" s="804"/>
      <c r="AC20" s="804"/>
      <c r="AD20" s="804"/>
      <c r="AE20" s="804"/>
      <c r="AF20" s="804"/>
      <c r="AG20" s="804"/>
      <c r="AH20" s="804"/>
      <c r="AI20" s="804"/>
      <c r="AJ20" s="804"/>
      <c r="AK20" s="805" t="str">
        <f t="shared" si="1"/>
        <v>0.000</v>
      </c>
      <c r="AL20" s="806"/>
      <c r="AM20" s="175"/>
      <c r="AN20" s="175"/>
      <c r="AO20" s="175"/>
      <c r="AP20" s="798"/>
    </row>
    <row r="21" ht="12.75" customHeight="1">
      <c r="A21" s="779"/>
      <c r="B21" s="779"/>
      <c r="C21" s="779"/>
      <c r="D21" s="779"/>
      <c r="E21" s="807"/>
      <c r="F21" s="807"/>
      <c r="G21" s="807"/>
      <c r="H21" s="807"/>
      <c r="I21" s="807"/>
      <c r="J21" s="807"/>
      <c r="K21" s="807"/>
      <c r="L21" s="807"/>
      <c r="M21" s="807"/>
      <c r="N21" s="807"/>
      <c r="O21" s="807"/>
      <c r="P21" s="807"/>
      <c r="Q21" s="807"/>
      <c r="R21" s="807"/>
      <c r="S21" s="807"/>
      <c r="T21" s="807"/>
      <c r="U21" s="807"/>
      <c r="V21" s="807"/>
      <c r="W21" s="807"/>
      <c r="X21" s="807"/>
      <c r="Y21" s="807"/>
      <c r="Z21" s="807"/>
      <c r="AA21" s="807"/>
      <c r="AB21" s="807"/>
      <c r="AC21" s="807"/>
      <c r="AD21" s="807"/>
      <c r="AE21" s="807"/>
      <c r="AF21" s="807"/>
      <c r="AG21" s="807"/>
      <c r="AH21" s="807"/>
      <c r="AI21" s="807"/>
      <c r="AJ21" s="807"/>
      <c r="AK21" s="779"/>
      <c r="AL21" s="779"/>
      <c r="AM21" s="779"/>
      <c r="AN21" s="779"/>
      <c r="AO21" s="779"/>
      <c r="AP21" s="779"/>
    </row>
    <row r="22" ht="12.75" customHeight="1">
      <c r="A22" s="779"/>
      <c r="B22" s="779"/>
      <c r="C22" s="779"/>
      <c r="D22" s="779"/>
      <c r="E22" s="807"/>
      <c r="F22" s="807"/>
      <c r="G22" s="807"/>
      <c r="H22" s="807"/>
      <c r="I22" s="807"/>
      <c r="J22" s="807"/>
      <c r="K22" s="807"/>
      <c r="L22" s="807"/>
      <c r="M22" s="807"/>
      <c r="N22" s="807"/>
      <c r="O22" s="807"/>
      <c r="P22" s="807"/>
      <c r="Q22" s="807"/>
      <c r="R22" s="807"/>
      <c r="S22" s="807"/>
      <c r="T22" s="807"/>
      <c r="U22" s="807"/>
      <c r="V22" s="807"/>
      <c r="W22" s="807"/>
      <c r="X22" s="807"/>
      <c r="Y22" s="807"/>
      <c r="Z22" s="807"/>
      <c r="AA22" s="807"/>
      <c r="AB22" s="807"/>
      <c r="AC22" s="807"/>
      <c r="AD22" s="807"/>
      <c r="AE22" s="807"/>
      <c r="AF22" s="807"/>
      <c r="AG22" s="807"/>
      <c r="AH22" s="807"/>
      <c r="AI22" s="807"/>
      <c r="AJ22" s="807"/>
      <c r="AK22" s="779"/>
      <c r="AL22" s="779"/>
      <c r="AM22" s="779"/>
      <c r="AN22" s="779"/>
      <c r="AO22" s="779"/>
      <c r="AP22" s="779"/>
    </row>
    <row r="23" ht="12.75" customHeight="1">
      <c r="A23" s="779"/>
      <c r="B23" s="779"/>
      <c r="C23" s="779"/>
      <c r="D23" s="779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/>
      <c r="X23" s="807"/>
      <c r="Y23" s="807"/>
      <c r="Z23" s="807"/>
      <c r="AA23" s="807"/>
      <c r="AB23" s="807"/>
      <c r="AC23" s="807"/>
      <c r="AD23" s="807"/>
      <c r="AE23" s="807"/>
      <c r="AF23" s="807"/>
      <c r="AG23" s="807"/>
      <c r="AH23" s="807"/>
      <c r="AI23" s="807"/>
      <c r="AJ23" s="807"/>
      <c r="AK23" s="779"/>
      <c r="AL23" s="779"/>
      <c r="AM23" s="779"/>
      <c r="AN23" s="779"/>
      <c r="AO23" s="779"/>
      <c r="AP23" s="779"/>
    </row>
    <row r="24" ht="12.75" customHeight="1">
      <c r="A24" s="779"/>
      <c r="B24" s="779"/>
      <c r="C24" s="779"/>
      <c r="D24" s="779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807"/>
      <c r="T24" s="807"/>
      <c r="U24" s="807"/>
      <c r="V24" s="807"/>
      <c r="W24" s="807"/>
      <c r="X24" s="807"/>
      <c r="Y24" s="807"/>
      <c r="Z24" s="807"/>
      <c r="AA24" s="807"/>
      <c r="AB24" s="807"/>
      <c r="AC24" s="807"/>
      <c r="AD24" s="807"/>
      <c r="AE24" s="807"/>
      <c r="AF24" s="807"/>
      <c r="AG24" s="807"/>
      <c r="AH24" s="807"/>
      <c r="AI24" s="807"/>
      <c r="AJ24" s="807"/>
      <c r="AK24" s="779"/>
      <c r="AL24" s="779"/>
      <c r="AM24" s="779"/>
      <c r="AN24" s="779"/>
      <c r="AO24" s="779"/>
      <c r="AP24" s="779"/>
    </row>
    <row r="25" ht="12.75" customHeight="1">
      <c r="A25" s="779"/>
      <c r="B25" s="779"/>
      <c r="C25" s="779"/>
      <c r="D25" s="779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779"/>
      <c r="AL25" s="779"/>
      <c r="AM25" s="779"/>
      <c r="AN25" s="779"/>
      <c r="AO25" s="779"/>
      <c r="AP25" s="779"/>
    </row>
    <row r="26" ht="12.75" customHeight="1">
      <c r="A26" s="779"/>
      <c r="B26" s="779"/>
      <c r="C26" s="779"/>
      <c r="D26" s="779"/>
      <c r="E26" s="779"/>
      <c r="F26" s="779"/>
      <c r="G26" s="779"/>
      <c r="H26" s="779"/>
      <c r="I26" s="779"/>
      <c r="J26" s="779"/>
      <c r="K26" s="779"/>
      <c r="L26" s="779"/>
      <c r="M26" s="779"/>
      <c r="N26" s="779"/>
      <c r="O26" s="779"/>
      <c r="P26" s="779"/>
      <c r="Q26" s="779"/>
      <c r="R26" s="779"/>
      <c r="S26" s="779"/>
      <c r="T26" s="779"/>
      <c r="U26" s="779"/>
      <c r="V26" s="779"/>
      <c r="W26" s="779"/>
      <c r="X26" s="779"/>
      <c r="Y26" s="779"/>
      <c r="Z26" s="779"/>
      <c r="AA26" s="779"/>
      <c r="AB26" s="779"/>
      <c r="AC26" s="779"/>
      <c r="AD26" s="779"/>
      <c r="AE26" s="779"/>
      <c r="AF26" s="779"/>
      <c r="AG26" s="779"/>
      <c r="AH26" s="779"/>
      <c r="AI26" s="779"/>
      <c r="AJ26" s="779"/>
      <c r="AK26" s="779"/>
      <c r="AL26" s="779"/>
      <c r="AM26" s="779"/>
      <c r="AN26" s="779"/>
      <c r="AO26" s="779"/>
      <c r="AP26" s="779"/>
    </row>
    <row r="27" ht="12.75" customHeight="1">
      <c r="A27" s="779"/>
      <c r="B27" s="779"/>
      <c r="C27" s="779"/>
      <c r="D27" s="779"/>
      <c r="E27" s="779"/>
      <c r="F27" s="779"/>
      <c r="G27" s="779"/>
      <c r="H27" s="779"/>
      <c r="I27" s="779"/>
      <c r="J27" s="779"/>
      <c r="K27" s="779"/>
      <c r="L27" s="779"/>
      <c r="M27" s="779"/>
      <c r="N27" s="779"/>
      <c r="O27" s="779"/>
      <c r="P27" s="779"/>
      <c r="Q27" s="779"/>
      <c r="R27" s="779"/>
      <c r="S27" s="779"/>
      <c r="T27" s="779"/>
      <c r="U27" s="779"/>
      <c r="V27" s="779"/>
      <c r="W27" s="779"/>
      <c r="X27" s="779"/>
      <c r="Y27" s="779"/>
      <c r="Z27" s="779"/>
      <c r="AA27" s="779"/>
      <c r="AB27" s="779"/>
      <c r="AC27" s="779"/>
      <c r="AD27" s="779"/>
      <c r="AE27" s="779"/>
      <c r="AF27" s="779"/>
      <c r="AG27" s="779"/>
      <c r="AH27" s="779"/>
      <c r="AI27" s="779"/>
      <c r="AJ27" s="779"/>
      <c r="AK27" s="779"/>
      <c r="AL27" s="779"/>
      <c r="AM27" s="779"/>
      <c r="AN27" s="779"/>
      <c r="AO27" s="779"/>
      <c r="AP27" s="779"/>
    </row>
    <row r="28" ht="12.75" customHeight="1">
      <c r="A28" s="779"/>
      <c r="B28" s="779"/>
      <c r="C28" s="779"/>
      <c r="D28" s="779"/>
      <c r="E28" s="779"/>
      <c r="F28" s="779"/>
      <c r="G28" s="779"/>
      <c r="H28" s="779"/>
      <c r="I28" s="779"/>
      <c r="J28" s="779"/>
      <c r="K28" s="779"/>
      <c r="L28" s="779"/>
      <c r="M28" s="779"/>
      <c r="N28" s="779"/>
      <c r="O28" s="779"/>
      <c r="P28" s="779"/>
      <c r="Q28" s="779"/>
      <c r="R28" s="779"/>
      <c r="S28" s="779"/>
      <c r="T28" s="779"/>
      <c r="U28" s="779"/>
      <c r="V28" s="779"/>
      <c r="W28" s="779"/>
      <c r="X28" s="779"/>
      <c r="Y28" s="779"/>
      <c r="Z28" s="779"/>
      <c r="AA28" s="779"/>
      <c r="AB28" s="779"/>
      <c r="AC28" s="779"/>
      <c r="AD28" s="779"/>
      <c r="AE28" s="779"/>
      <c r="AF28" s="779"/>
      <c r="AG28" s="779"/>
      <c r="AH28" s="779"/>
      <c r="AI28" s="779"/>
      <c r="AJ28" s="779"/>
      <c r="AK28" s="779"/>
      <c r="AL28" s="779"/>
      <c r="AM28" s="779"/>
      <c r="AN28" s="779"/>
      <c r="AO28" s="779"/>
      <c r="AP28" s="779"/>
    </row>
    <row r="29" ht="12.75" customHeight="1">
      <c r="A29" s="779"/>
      <c r="B29" s="779"/>
      <c r="C29" s="779"/>
      <c r="D29" s="779"/>
      <c r="E29" s="779"/>
      <c r="F29" s="779"/>
      <c r="G29" s="779"/>
      <c r="H29" s="779"/>
      <c r="I29" s="779"/>
      <c r="J29" s="779"/>
      <c r="K29" s="779"/>
      <c r="L29" s="779"/>
      <c r="M29" s="779"/>
      <c r="N29" s="779"/>
      <c r="O29" s="779"/>
      <c r="P29" s="779"/>
      <c r="Q29" s="779"/>
      <c r="R29" s="779"/>
      <c r="S29" s="779"/>
      <c r="T29" s="779"/>
      <c r="U29" s="779"/>
      <c r="V29" s="779"/>
      <c r="W29" s="779"/>
      <c r="X29" s="779"/>
      <c r="Y29" s="779"/>
      <c r="Z29" s="779"/>
      <c r="AA29" s="779"/>
      <c r="AB29" s="779"/>
      <c r="AC29" s="779"/>
      <c r="AD29" s="779"/>
      <c r="AE29" s="779"/>
      <c r="AF29" s="779"/>
      <c r="AG29" s="779"/>
      <c r="AH29" s="779"/>
      <c r="AI29" s="779"/>
      <c r="AJ29" s="779"/>
      <c r="AK29" s="779"/>
      <c r="AL29" s="779"/>
      <c r="AM29" s="779"/>
      <c r="AN29" s="779"/>
      <c r="AO29" s="779"/>
      <c r="AP29" s="779"/>
    </row>
    <row r="30" ht="12.75" customHeight="1">
      <c r="A30" s="779"/>
      <c r="B30" s="779"/>
      <c r="C30" s="779"/>
      <c r="D30" s="779"/>
      <c r="E30" s="779"/>
      <c r="F30" s="779"/>
      <c r="G30" s="779"/>
      <c r="H30" s="779"/>
      <c r="I30" s="779"/>
      <c r="J30" s="779"/>
      <c r="K30" s="779"/>
      <c r="L30" s="779"/>
      <c r="M30" s="779"/>
      <c r="N30" s="779"/>
      <c r="O30" s="779"/>
      <c r="P30" s="779"/>
      <c r="Q30" s="779"/>
      <c r="R30" s="779"/>
      <c r="S30" s="779"/>
      <c r="T30" s="779"/>
      <c r="U30" s="779"/>
      <c r="V30" s="779"/>
      <c r="W30" s="779"/>
      <c r="X30" s="779"/>
      <c r="Y30" s="779"/>
      <c r="Z30" s="779"/>
      <c r="AA30" s="779"/>
      <c r="AB30" s="779"/>
      <c r="AC30" s="779"/>
      <c r="AD30" s="779"/>
      <c r="AE30" s="779"/>
      <c r="AF30" s="779"/>
      <c r="AG30" s="779"/>
      <c r="AH30" s="779"/>
      <c r="AI30" s="779"/>
      <c r="AJ30" s="779"/>
      <c r="AK30" s="779"/>
      <c r="AL30" s="779"/>
      <c r="AM30" s="779"/>
      <c r="AN30" s="779"/>
      <c r="AO30" s="779"/>
      <c r="AP30" s="779"/>
    </row>
    <row r="31" ht="12.75" customHeight="1">
      <c r="A31" s="779"/>
      <c r="B31" s="779"/>
      <c r="C31" s="779"/>
      <c r="D31" s="779"/>
      <c r="E31" s="779"/>
      <c r="F31" s="779"/>
      <c r="G31" s="779"/>
      <c r="H31" s="779"/>
      <c r="I31" s="779"/>
      <c r="J31" s="779"/>
      <c r="K31" s="779"/>
      <c r="L31" s="779"/>
      <c r="M31" s="779"/>
      <c r="N31" s="779"/>
      <c r="O31" s="779"/>
      <c r="P31" s="779"/>
      <c r="Q31" s="779"/>
      <c r="R31" s="779"/>
      <c r="S31" s="779"/>
      <c r="T31" s="779"/>
      <c r="U31" s="779"/>
      <c r="V31" s="779"/>
      <c r="W31" s="779"/>
      <c r="X31" s="779"/>
      <c r="Y31" s="779"/>
      <c r="Z31" s="779"/>
      <c r="AA31" s="779"/>
      <c r="AB31" s="779"/>
      <c r="AC31" s="779"/>
      <c r="AD31" s="779"/>
      <c r="AE31" s="779"/>
      <c r="AF31" s="779"/>
      <c r="AG31" s="779"/>
      <c r="AH31" s="779"/>
      <c r="AI31" s="779"/>
      <c r="AJ31" s="779"/>
      <c r="AK31" s="779"/>
      <c r="AL31" s="779"/>
      <c r="AM31" s="779"/>
      <c r="AN31" s="779"/>
      <c r="AO31" s="779"/>
      <c r="AP31" s="779"/>
    </row>
    <row r="32" ht="12.75" customHeight="1">
      <c r="A32" s="779"/>
      <c r="B32" s="779"/>
      <c r="C32" s="779"/>
      <c r="D32" s="779"/>
      <c r="E32" s="779"/>
      <c r="F32" s="779"/>
      <c r="G32" s="779"/>
      <c r="H32" s="779"/>
      <c r="I32" s="779"/>
      <c r="J32" s="779"/>
      <c r="K32" s="779"/>
      <c r="L32" s="779"/>
      <c r="M32" s="779"/>
      <c r="N32" s="779"/>
      <c r="O32" s="779"/>
      <c r="P32" s="779"/>
      <c r="Q32" s="779"/>
      <c r="R32" s="779"/>
      <c r="S32" s="779"/>
      <c r="T32" s="779"/>
      <c r="U32" s="779"/>
      <c r="V32" s="779"/>
      <c r="W32" s="779"/>
      <c r="X32" s="779"/>
      <c r="Y32" s="779"/>
      <c r="Z32" s="779"/>
      <c r="AA32" s="779"/>
      <c r="AB32" s="779"/>
      <c r="AC32" s="779"/>
      <c r="AD32" s="779"/>
      <c r="AE32" s="779"/>
      <c r="AF32" s="779"/>
      <c r="AG32" s="779"/>
      <c r="AH32" s="779"/>
      <c r="AI32" s="779"/>
      <c r="AJ32" s="779"/>
      <c r="AK32" s="779"/>
      <c r="AL32" s="779"/>
      <c r="AM32" s="779"/>
      <c r="AN32" s="779"/>
      <c r="AO32" s="779"/>
      <c r="AP32" s="779"/>
    </row>
    <row r="33" ht="12.75" customHeight="1">
      <c r="A33" s="779"/>
      <c r="B33" s="779"/>
      <c r="C33" s="779"/>
      <c r="D33" s="779"/>
      <c r="E33" s="779"/>
      <c r="F33" s="779"/>
      <c r="G33" s="779"/>
      <c r="H33" s="779"/>
      <c r="I33" s="779"/>
      <c r="J33" s="779"/>
      <c r="K33" s="779"/>
      <c r="L33" s="779"/>
      <c r="M33" s="779"/>
      <c r="N33" s="779"/>
      <c r="O33" s="779"/>
      <c r="P33" s="779"/>
      <c r="Q33" s="779"/>
      <c r="R33" s="779"/>
      <c r="S33" s="779"/>
      <c r="T33" s="779"/>
      <c r="U33" s="779"/>
      <c r="V33" s="779"/>
      <c r="W33" s="779"/>
      <c r="X33" s="779"/>
      <c r="Y33" s="779"/>
      <c r="Z33" s="779"/>
      <c r="AA33" s="779"/>
      <c r="AB33" s="779"/>
      <c r="AC33" s="779"/>
      <c r="AD33" s="779"/>
      <c r="AE33" s="779"/>
      <c r="AF33" s="779"/>
      <c r="AG33" s="779"/>
      <c r="AH33" s="779"/>
      <c r="AI33" s="779"/>
      <c r="AJ33" s="779"/>
      <c r="AK33" s="779"/>
      <c r="AL33" s="779"/>
      <c r="AM33" s="779"/>
      <c r="AN33" s="779"/>
      <c r="AO33" s="779"/>
      <c r="AP33" s="779"/>
    </row>
    <row r="34" ht="12.75" customHeight="1">
      <c r="A34" s="779"/>
      <c r="B34" s="779"/>
      <c r="C34" s="779"/>
      <c r="D34" s="779"/>
      <c r="E34" s="779"/>
      <c r="F34" s="779"/>
      <c r="G34" s="779"/>
      <c r="H34" s="779"/>
      <c r="I34" s="779"/>
      <c r="J34" s="779"/>
      <c r="K34" s="779"/>
      <c r="L34" s="779"/>
      <c r="M34" s="779"/>
      <c r="N34" s="779"/>
      <c r="O34" s="779"/>
      <c r="P34" s="779"/>
      <c r="Q34" s="779"/>
      <c r="R34" s="779"/>
      <c r="S34" s="779"/>
      <c r="T34" s="779"/>
      <c r="U34" s="779"/>
      <c r="V34" s="779"/>
      <c r="W34" s="779"/>
      <c r="X34" s="779"/>
      <c r="Y34" s="779"/>
      <c r="Z34" s="779"/>
      <c r="AA34" s="779"/>
      <c r="AB34" s="779"/>
      <c r="AC34" s="779"/>
      <c r="AD34" s="779"/>
      <c r="AE34" s="779"/>
      <c r="AF34" s="779"/>
      <c r="AG34" s="779"/>
      <c r="AH34" s="779"/>
      <c r="AI34" s="779"/>
      <c r="AJ34" s="779"/>
      <c r="AK34" s="779"/>
      <c r="AL34" s="779"/>
      <c r="AM34" s="779"/>
      <c r="AN34" s="779"/>
      <c r="AO34" s="779"/>
      <c r="AP34" s="779"/>
    </row>
    <row r="35" ht="12.75" customHeight="1">
      <c r="A35" s="779"/>
      <c r="B35" s="779"/>
      <c r="C35" s="779"/>
      <c r="D35" s="779"/>
      <c r="E35" s="779"/>
      <c r="F35" s="779"/>
      <c r="G35" s="779"/>
      <c r="H35" s="779"/>
      <c r="I35" s="779"/>
      <c r="J35" s="779"/>
      <c r="K35" s="779"/>
      <c r="L35" s="779"/>
      <c r="M35" s="779"/>
      <c r="N35" s="779"/>
      <c r="O35" s="779"/>
      <c r="P35" s="779"/>
      <c r="Q35" s="779"/>
      <c r="R35" s="779"/>
      <c r="S35" s="779"/>
      <c r="T35" s="779"/>
      <c r="U35" s="779"/>
      <c r="V35" s="779"/>
      <c r="W35" s="779"/>
      <c r="X35" s="779"/>
      <c r="Y35" s="779"/>
      <c r="Z35" s="779"/>
      <c r="AA35" s="779"/>
      <c r="AB35" s="779"/>
      <c r="AC35" s="779"/>
      <c r="AD35" s="779"/>
      <c r="AE35" s="779"/>
      <c r="AF35" s="779"/>
      <c r="AG35" s="779"/>
      <c r="AH35" s="779"/>
      <c r="AI35" s="779"/>
      <c r="AJ35" s="779"/>
      <c r="AK35" s="779"/>
      <c r="AL35" s="779"/>
      <c r="AM35" s="779"/>
      <c r="AN35" s="779"/>
      <c r="AO35" s="779"/>
      <c r="AP35" s="779"/>
    </row>
    <row r="36" ht="12.75" customHeight="1">
      <c r="A36" s="779"/>
      <c r="B36" s="779"/>
      <c r="C36" s="779"/>
      <c r="D36" s="779"/>
      <c r="E36" s="779"/>
      <c r="F36" s="779"/>
      <c r="G36" s="779"/>
      <c r="H36" s="779"/>
      <c r="I36" s="779"/>
      <c r="J36" s="779"/>
      <c r="K36" s="779"/>
      <c r="L36" s="779"/>
      <c r="M36" s="779"/>
      <c r="N36" s="779"/>
      <c r="O36" s="779"/>
      <c r="P36" s="779"/>
      <c r="Q36" s="779"/>
      <c r="R36" s="779"/>
      <c r="S36" s="779"/>
      <c r="T36" s="779"/>
      <c r="U36" s="779"/>
      <c r="V36" s="779"/>
      <c r="W36" s="779"/>
      <c r="X36" s="779"/>
      <c r="Y36" s="779"/>
      <c r="Z36" s="779"/>
      <c r="AA36" s="779"/>
      <c r="AB36" s="779"/>
      <c r="AC36" s="779"/>
      <c r="AD36" s="779"/>
      <c r="AE36" s="779"/>
      <c r="AF36" s="779"/>
      <c r="AG36" s="779"/>
      <c r="AH36" s="779"/>
      <c r="AI36" s="779"/>
      <c r="AJ36" s="779"/>
      <c r="AK36" s="779"/>
      <c r="AL36" s="779"/>
      <c r="AM36" s="779"/>
      <c r="AN36" s="779"/>
      <c r="AO36" s="779"/>
      <c r="AP36" s="779"/>
    </row>
    <row r="37" ht="12.75" customHeight="1">
      <c r="A37" s="779"/>
      <c r="B37" s="779"/>
      <c r="C37" s="779"/>
      <c r="D37" s="779"/>
      <c r="E37" s="779"/>
      <c r="F37" s="779"/>
      <c r="G37" s="779"/>
      <c r="H37" s="779"/>
      <c r="I37" s="779"/>
      <c r="J37" s="779"/>
      <c r="K37" s="779"/>
      <c r="L37" s="779"/>
      <c r="M37" s="779"/>
      <c r="N37" s="779"/>
      <c r="O37" s="779"/>
      <c r="P37" s="779"/>
      <c r="Q37" s="779"/>
      <c r="R37" s="779"/>
      <c r="S37" s="779"/>
      <c r="T37" s="779"/>
      <c r="U37" s="779"/>
      <c r="V37" s="779"/>
      <c r="W37" s="779"/>
      <c r="X37" s="779"/>
      <c r="Y37" s="779"/>
      <c r="Z37" s="779"/>
      <c r="AA37" s="779"/>
      <c r="AB37" s="779"/>
      <c r="AC37" s="779"/>
      <c r="AD37" s="779"/>
      <c r="AE37" s="779"/>
      <c r="AF37" s="779"/>
      <c r="AG37" s="779"/>
      <c r="AH37" s="779"/>
      <c r="AI37" s="779"/>
      <c r="AJ37" s="779"/>
      <c r="AK37" s="779"/>
      <c r="AL37" s="779"/>
      <c r="AM37" s="779"/>
      <c r="AN37" s="779"/>
      <c r="AO37" s="779"/>
      <c r="AP37" s="779"/>
    </row>
    <row r="38" ht="12.75" customHeight="1">
      <c r="A38" s="779"/>
      <c r="B38" s="779"/>
      <c r="C38" s="779"/>
      <c r="D38" s="779"/>
      <c r="E38" s="779"/>
      <c r="F38" s="779"/>
      <c r="G38" s="779"/>
      <c r="H38" s="779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79"/>
      <c r="U38" s="779"/>
      <c r="V38" s="779"/>
      <c r="W38" s="779"/>
      <c r="X38" s="779"/>
      <c r="Y38" s="779"/>
      <c r="Z38" s="779"/>
      <c r="AA38" s="779"/>
      <c r="AB38" s="779"/>
      <c r="AC38" s="779"/>
      <c r="AD38" s="779"/>
      <c r="AE38" s="779"/>
      <c r="AF38" s="779"/>
      <c r="AG38" s="779"/>
      <c r="AH38" s="779"/>
      <c r="AI38" s="779"/>
      <c r="AJ38" s="779"/>
      <c r="AK38" s="779"/>
      <c r="AL38" s="779"/>
      <c r="AM38" s="779"/>
      <c r="AN38" s="779"/>
      <c r="AO38" s="779"/>
      <c r="AP38" s="779"/>
    </row>
    <row r="39" ht="12.75" customHeight="1">
      <c r="A39" s="779"/>
      <c r="B39" s="779"/>
      <c r="C39" s="779"/>
      <c r="D39" s="779"/>
      <c r="E39" s="779"/>
      <c r="F39" s="779"/>
      <c r="G39" s="779"/>
      <c r="H39" s="779"/>
      <c r="I39" s="779"/>
      <c r="J39" s="779"/>
      <c r="K39" s="779"/>
      <c r="L39" s="779"/>
      <c r="M39" s="779"/>
      <c r="N39" s="779"/>
      <c r="O39" s="779"/>
      <c r="P39" s="779"/>
      <c r="Q39" s="779"/>
      <c r="R39" s="779"/>
      <c r="S39" s="779"/>
      <c r="T39" s="779"/>
      <c r="U39" s="779"/>
      <c r="V39" s="779"/>
      <c r="W39" s="779"/>
      <c r="X39" s="779"/>
      <c r="Y39" s="779"/>
      <c r="Z39" s="779"/>
      <c r="AA39" s="779"/>
      <c r="AB39" s="779"/>
      <c r="AC39" s="779"/>
      <c r="AD39" s="779"/>
      <c r="AE39" s="779"/>
      <c r="AF39" s="779"/>
      <c r="AG39" s="779"/>
      <c r="AH39" s="779"/>
      <c r="AI39" s="779"/>
      <c r="AJ39" s="779"/>
      <c r="AK39" s="779"/>
      <c r="AL39" s="779"/>
      <c r="AM39" s="779"/>
      <c r="AN39" s="779"/>
      <c r="AO39" s="779"/>
      <c r="AP39" s="779"/>
    </row>
    <row r="40" ht="12.75" customHeight="1">
      <c r="A40" s="779"/>
      <c r="B40" s="779"/>
      <c r="C40" s="779"/>
      <c r="D40" s="779"/>
      <c r="E40" s="779"/>
      <c r="F40" s="779"/>
      <c r="G40" s="779"/>
      <c r="H40" s="779"/>
      <c r="I40" s="779"/>
      <c r="J40" s="779"/>
      <c r="K40" s="779"/>
      <c r="L40" s="779"/>
      <c r="M40" s="779"/>
      <c r="N40" s="779"/>
      <c r="O40" s="779"/>
      <c r="P40" s="779"/>
      <c r="Q40" s="779"/>
      <c r="R40" s="779"/>
      <c r="S40" s="779"/>
      <c r="T40" s="779"/>
      <c r="U40" s="779"/>
      <c r="V40" s="779"/>
      <c r="W40" s="779"/>
      <c r="X40" s="779"/>
      <c r="Y40" s="779"/>
      <c r="Z40" s="779"/>
      <c r="AA40" s="779"/>
      <c r="AB40" s="779"/>
      <c r="AC40" s="779"/>
      <c r="AD40" s="779"/>
      <c r="AE40" s="779"/>
      <c r="AF40" s="779"/>
      <c r="AG40" s="779"/>
      <c r="AH40" s="779"/>
      <c r="AI40" s="779"/>
      <c r="AJ40" s="779"/>
      <c r="AK40" s="779"/>
      <c r="AL40" s="779"/>
      <c r="AM40" s="779"/>
      <c r="AN40" s="779"/>
      <c r="AO40" s="779"/>
      <c r="AP40" s="779"/>
    </row>
    <row r="41" ht="12.75" customHeight="1">
      <c r="A41" s="779"/>
      <c r="B41" s="779"/>
      <c r="C41" s="779"/>
      <c r="D41" s="779"/>
      <c r="E41" s="779"/>
      <c r="F41" s="779"/>
      <c r="G41" s="779"/>
      <c r="H41" s="779"/>
      <c r="I41" s="779"/>
      <c r="J41" s="779"/>
      <c r="K41" s="779"/>
      <c r="L41" s="779"/>
      <c r="M41" s="779"/>
      <c r="N41" s="779"/>
      <c r="O41" s="779"/>
      <c r="P41" s="779"/>
      <c r="Q41" s="779"/>
      <c r="R41" s="779"/>
      <c r="S41" s="779"/>
      <c r="T41" s="779"/>
      <c r="U41" s="779"/>
      <c r="V41" s="779"/>
      <c r="W41" s="779"/>
      <c r="X41" s="779"/>
      <c r="Y41" s="779"/>
      <c r="Z41" s="779"/>
      <c r="AA41" s="779"/>
      <c r="AB41" s="779"/>
      <c r="AC41" s="779"/>
      <c r="AD41" s="779"/>
      <c r="AE41" s="779"/>
      <c r="AF41" s="779"/>
      <c r="AG41" s="779"/>
      <c r="AH41" s="779"/>
      <c r="AI41" s="779"/>
      <c r="AJ41" s="779"/>
      <c r="AK41" s="779"/>
      <c r="AL41" s="779"/>
      <c r="AM41" s="779"/>
      <c r="AN41" s="779"/>
      <c r="AO41" s="779"/>
      <c r="AP41" s="779"/>
    </row>
    <row r="42" ht="12.75" customHeight="1">
      <c r="A42" s="779"/>
      <c r="B42" s="779"/>
      <c r="C42" s="779"/>
      <c r="D42" s="779"/>
      <c r="E42" s="779"/>
      <c r="F42" s="779"/>
      <c r="G42" s="779"/>
      <c r="H42" s="779"/>
      <c r="I42" s="779"/>
      <c r="J42" s="779"/>
      <c r="K42" s="779"/>
      <c r="L42" s="779"/>
      <c r="M42" s="779"/>
      <c r="N42" s="779"/>
      <c r="O42" s="779"/>
      <c r="P42" s="779"/>
      <c r="Q42" s="779"/>
      <c r="R42" s="779"/>
      <c r="S42" s="779"/>
      <c r="T42" s="779"/>
      <c r="U42" s="779"/>
      <c r="V42" s="779"/>
      <c r="W42" s="779"/>
      <c r="X42" s="779"/>
      <c r="Y42" s="779"/>
      <c r="Z42" s="779"/>
      <c r="AA42" s="779"/>
      <c r="AB42" s="779"/>
      <c r="AC42" s="779"/>
      <c r="AD42" s="779"/>
      <c r="AE42" s="779"/>
      <c r="AF42" s="779"/>
      <c r="AG42" s="779"/>
      <c r="AH42" s="779"/>
      <c r="AI42" s="779"/>
      <c r="AJ42" s="779"/>
      <c r="AK42" s="779"/>
      <c r="AL42" s="779"/>
      <c r="AM42" s="779"/>
      <c r="AN42" s="779"/>
      <c r="AO42" s="779"/>
      <c r="AP42" s="779"/>
    </row>
    <row r="43" ht="12.75" customHeight="1">
      <c r="A43" s="779"/>
      <c r="B43" s="779"/>
      <c r="C43" s="779"/>
      <c r="D43" s="779"/>
      <c r="E43" s="779"/>
      <c r="F43" s="779"/>
      <c r="G43" s="779"/>
      <c r="H43" s="779"/>
      <c r="I43" s="779"/>
      <c r="J43" s="779"/>
      <c r="K43" s="779"/>
      <c r="L43" s="779"/>
      <c r="M43" s="779"/>
      <c r="N43" s="779"/>
      <c r="O43" s="779"/>
      <c r="P43" s="779"/>
      <c r="Q43" s="779"/>
      <c r="R43" s="779"/>
      <c r="S43" s="779"/>
      <c r="T43" s="779"/>
      <c r="U43" s="779"/>
      <c r="V43" s="779"/>
      <c r="W43" s="779"/>
      <c r="X43" s="779"/>
      <c r="Y43" s="779"/>
      <c r="Z43" s="779"/>
      <c r="AA43" s="779"/>
      <c r="AB43" s="779"/>
      <c r="AC43" s="779"/>
      <c r="AD43" s="779"/>
      <c r="AE43" s="779"/>
      <c r="AF43" s="779"/>
      <c r="AG43" s="779"/>
      <c r="AH43" s="779"/>
      <c r="AI43" s="779"/>
      <c r="AJ43" s="779"/>
      <c r="AK43" s="779"/>
      <c r="AL43" s="779"/>
      <c r="AM43" s="779"/>
      <c r="AN43" s="779"/>
      <c r="AO43" s="779"/>
      <c r="AP43" s="779"/>
    </row>
    <row r="44" ht="12.75" customHeight="1">
      <c r="A44" s="779"/>
      <c r="B44" s="779"/>
      <c r="C44" s="779"/>
      <c r="D44" s="779"/>
      <c r="E44" s="779"/>
      <c r="F44" s="779"/>
      <c r="G44" s="779"/>
      <c r="H44" s="779"/>
      <c r="I44" s="779"/>
      <c r="J44" s="779"/>
      <c r="K44" s="779"/>
      <c r="L44" s="779"/>
      <c r="M44" s="779"/>
      <c r="N44" s="779"/>
      <c r="O44" s="779"/>
      <c r="P44" s="779"/>
      <c r="Q44" s="779"/>
      <c r="R44" s="779"/>
      <c r="S44" s="779"/>
      <c r="T44" s="779"/>
      <c r="U44" s="779"/>
      <c r="V44" s="779"/>
      <c r="W44" s="779"/>
      <c r="X44" s="779"/>
      <c r="Y44" s="779"/>
      <c r="Z44" s="779"/>
      <c r="AA44" s="779"/>
      <c r="AB44" s="779"/>
      <c r="AC44" s="779"/>
      <c r="AD44" s="779"/>
      <c r="AE44" s="779"/>
      <c r="AF44" s="779"/>
      <c r="AG44" s="779"/>
      <c r="AH44" s="779"/>
      <c r="AI44" s="779"/>
      <c r="AJ44" s="779"/>
      <c r="AK44" s="779"/>
      <c r="AL44" s="779"/>
      <c r="AM44" s="779"/>
      <c r="AN44" s="779"/>
      <c r="AO44" s="779"/>
      <c r="AP44" s="779"/>
    </row>
    <row r="45" ht="12.75" customHeight="1">
      <c r="A45" s="779"/>
      <c r="B45" s="779"/>
      <c r="C45" s="779"/>
      <c r="D45" s="779"/>
      <c r="E45" s="779"/>
      <c r="F45" s="779"/>
      <c r="G45" s="779"/>
      <c r="H45" s="779"/>
      <c r="I45" s="779"/>
      <c r="J45" s="779"/>
      <c r="K45" s="779"/>
      <c r="L45" s="779"/>
      <c r="M45" s="779"/>
      <c r="N45" s="779"/>
      <c r="O45" s="779"/>
      <c r="P45" s="779"/>
      <c r="Q45" s="779"/>
      <c r="R45" s="779"/>
      <c r="S45" s="779"/>
      <c r="T45" s="779"/>
      <c r="U45" s="779"/>
      <c r="V45" s="779"/>
      <c r="W45" s="779"/>
      <c r="X45" s="779"/>
      <c r="Y45" s="779"/>
      <c r="Z45" s="779"/>
      <c r="AA45" s="779"/>
      <c r="AB45" s="779"/>
      <c r="AC45" s="779"/>
      <c r="AD45" s="779"/>
      <c r="AE45" s="779"/>
      <c r="AF45" s="779"/>
      <c r="AG45" s="779"/>
      <c r="AH45" s="779"/>
      <c r="AI45" s="779"/>
      <c r="AJ45" s="779"/>
      <c r="AK45" s="779"/>
      <c r="AL45" s="779"/>
      <c r="AM45" s="779"/>
      <c r="AN45" s="779"/>
      <c r="AO45" s="779"/>
      <c r="AP45" s="779"/>
    </row>
    <row r="46" ht="12.75" customHeight="1">
      <c r="A46" s="779"/>
      <c r="B46" s="779"/>
      <c r="C46" s="779"/>
      <c r="D46" s="779"/>
      <c r="E46" s="779"/>
      <c r="F46" s="779"/>
      <c r="G46" s="779"/>
      <c r="H46" s="779"/>
      <c r="I46" s="779"/>
      <c r="J46" s="779"/>
      <c r="K46" s="779"/>
      <c r="L46" s="779"/>
      <c r="M46" s="779"/>
      <c r="N46" s="779"/>
      <c r="O46" s="779"/>
      <c r="P46" s="779"/>
      <c r="Q46" s="779"/>
      <c r="R46" s="779"/>
      <c r="S46" s="779"/>
      <c r="T46" s="779"/>
      <c r="U46" s="779"/>
      <c r="V46" s="779"/>
      <c r="W46" s="779"/>
      <c r="X46" s="779"/>
      <c r="Y46" s="779"/>
      <c r="Z46" s="779"/>
      <c r="AA46" s="779"/>
      <c r="AB46" s="779"/>
      <c r="AC46" s="779"/>
      <c r="AD46" s="779"/>
      <c r="AE46" s="779"/>
      <c r="AF46" s="779"/>
      <c r="AG46" s="779"/>
      <c r="AH46" s="779"/>
      <c r="AI46" s="779"/>
      <c r="AJ46" s="779"/>
      <c r="AK46" s="779"/>
      <c r="AL46" s="779"/>
      <c r="AM46" s="779"/>
      <c r="AN46" s="779"/>
      <c r="AO46" s="779"/>
      <c r="AP46" s="779"/>
    </row>
    <row r="47" ht="12.75" customHeight="1">
      <c r="A47" s="779"/>
      <c r="B47" s="779"/>
      <c r="C47" s="779"/>
      <c r="D47" s="779"/>
      <c r="E47" s="779"/>
      <c r="F47" s="779"/>
      <c r="G47" s="779"/>
      <c r="H47" s="779"/>
      <c r="I47" s="779"/>
      <c r="J47" s="779"/>
      <c r="K47" s="779"/>
      <c r="L47" s="779"/>
      <c r="M47" s="779"/>
      <c r="N47" s="779"/>
      <c r="O47" s="779"/>
      <c r="P47" s="779"/>
      <c r="Q47" s="779"/>
      <c r="R47" s="779"/>
      <c r="S47" s="779"/>
      <c r="T47" s="779"/>
      <c r="U47" s="779"/>
      <c r="V47" s="779"/>
      <c r="W47" s="779"/>
      <c r="X47" s="779"/>
      <c r="Y47" s="779"/>
      <c r="Z47" s="779"/>
      <c r="AA47" s="779"/>
      <c r="AB47" s="779"/>
      <c r="AC47" s="779"/>
      <c r="AD47" s="779"/>
      <c r="AE47" s="779"/>
      <c r="AF47" s="779"/>
      <c r="AG47" s="779"/>
      <c r="AH47" s="779"/>
      <c r="AI47" s="779"/>
      <c r="AJ47" s="779"/>
      <c r="AK47" s="779"/>
      <c r="AL47" s="779"/>
      <c r="AM47" s="779"/>
      <c r="AN47" s="779"/>
      <c r="AO47" s="779"/>
      <c r="AP47" s="779"/>
    </row>
    <row r="48" ht="12.75" customHeight="1">
      <c r="A48" s="779"/>
      <c r="B48" s="779"/>
      <c r="C48" s="779"/>
      <c r="D48" s="779"/>
      <c r="E48" s="779"/>
      <c r="F48" s="779"/>
      <c r="G48" s="779"/>
      <c r="H48" s="779"/>
      <c r="I48" s="779"/>
      <c r="J48" s="779"/>
      <c r="K48" s="779"/>
      <c r="L48" s="779"/>
      <c r="M48" s="779"/>
      <c r="N48" s="779"/>
      <c r="O48" s="779"/>
      <c r="P48" s="779"/>
      <c r="Q48" s="779"/>
      <c r="R48" s="779"/>
      <c r="S48" s="779"/>
      <c r="T48" s="779"/>
      <c r="U48" s="779"/>
      <c r="V48" s="779"/>
      <c r="W48" s="779"/>
      <c r="X48" s="779"/>
      <c r="Y48" s="779"/>
      <c r="Z48" s="779"/>
      <c r="AA48" s="779"/>
      <c r="AB48" s="779"/>
      <c r="AC48" s="779"/>
      <c r="AD48" s="779"/>
      <c r="AE48" s="779"/>
      <c r="AF48" s="779"/>
      <c r="AG48" s="779"/>
      <c r="AH48" s="779"/>
      <c r="AI48" s="779"/>
      <c r="AJ48" s="779"/>
      <c r="AK48" s="779"/>
      <c r="AL48" s="779"/>
      <c r="AM48" s="779"/>
      <c r="AN48" s="779"/>
      <c r="AO48" s="779"/>
      <c r="AP48" s="779"/>
    </row>
    <row r="49" ht="12.75" customHeight="1">
      <c r="A49" s="779"/>
      <c r="B49" s="779"/>
      <c r="C49" s="779"/>
      <c r="D49" s="779"/>
      <c r="E49" s="779"/>
      <c r="F49" s="779"/>
      <c r="G49" s="779"/>
      <c r="H49" s="779"/>
      <c r="I49" s="779"/>
      <c r="J49" s="779"/>
      <c r="K49" s="779"/>
      <c r="L49" s="779"/>
      <c r="M49" s="779"/>
      <c r="N49" s="779"/>
      <c r="O49" s="779"/>
      <c r="P49" s="779"/>
      <c r="Q49" s="779"/>
      <c r="R49" s="779"/>
      <c r="S49" s="779"/>
      <c r="T49" s="779"/>
      <c r="U49" s="779"/>
      <c r="V49" s="779"/>
      <c r="W49" s="779"/>
      <c r="X49" s="779"/>
      <c r="Y49" s="779"/>
      <c r="Z49" s="779"/>
      <c r="AA49" s="779"/>
      <c r="AB49" s="779"/>
      <c r="AC49" s="779"/>
      <c r="AD49" s="779"/>
      <c r="AE49" s="779"/>
      <c r="AF49" s="779"/>
      <c r="AG49" s="779"/>
      <c r="AH49" s="779"/>
      <c r="AI49" s="779"/>
      <c r="AJ49" s="779"/>
      <c r="AK49" s="779"/>
      <c r="AL49" s="779"/>
      <c r="AM49" s="779"/>
      <c r="AN49" s="779"/>
      <c r="AO49" s="779"/>
      <c r="AP49" s="779"/>
    </row>
    <row r="50" ht="12.75" customHeight="1">
      <c r="A50" s="779"/>
      <c r="B50" s="779"/>
      <c r="C50" s="779"/>
      <c r="D50" s="779"/>
      <c r="E50" s="779"/>
      <c r="F50" s="779"/>
      <c r="G50" s="779"/>
      <c r="H50" s="779"/>
      <c r="I50" s="779"/>
      <c r="J50" s="779"/>
      <c r="K50" s="779"/>
      <c r="L50" s="779"/>
      <c r="M50" s="779"/>
      <c r="N50" s="779"/>
      <c r="O50" s="779"/>
      <c r="P50" s="779"/>
      <c r="Q50" s="779"/>
      <c r="R50" s="779"/>
      <c r="S50" s="779"/>
      <c r="T50" s="779"/>
      <c r="U50" s="779"/>
      <c r="V50" s="779"/>
      <c r="W50" s="779"/>
      <c r="X50" s="779"/>
      <c r="Y50" s="779"/>
      <c r="Z50" s="779"/>
      <c r="AA50" s="779"/>
      <c r="AB50" s="779"/>
      <c r="AC50" s="779"/>
      <c r="AD50" s="779"/>
      <c r="AE50" s="779"/>
      <c r="AF50" s="779"/>
      <c r="AG50" s="779"/>
      <c r="AH50" s="779"/>
      <c r="AI50" s="779"/>
      <c r="AJ50" s="779"/>
      <c r="AK50" s="779"/>
      <c r="AL50" s="779"/>
      <c r="AM50" s="779"/>
      <c r="AN50" s="779"/>
      <c r="AO50" s="779"/>
      <c r="AP50" s="779"/>
    </row>
    <row r="51" ht="12.75" customHeight="1">
      <c r="A51" s="779"/>
      <c r="B51" s="779"/>
      <c r="C51" s="779"/>
      <c r="D51" s="779"/>
      <c r="E51" s="779"/>
      <c r="F51" s="779"/>
      <c r="G51" s="779"/>
      <c r="H51" s="779"/>
      <c r="I51" s="779"/>
      <c r="J51" s="779"/>
      <c r="K51" s="779"/>
      <c r="L51" s="779"/>
      <c r="M51" s="779"/>
      <c r="N51" s="779"/>
      <c r="O51" s="779"/>
      <c r="P51" s="779"/>
      <c r="Q51" s="779"/>
      <c r="R51" s="779"/>
      <c r="S51" s="779"/>
      <c r="T51" s="779"/>
      <c r="U51" s="779"/>
      <c r="V51" s="779"/>
      <c r="W51" s="779"/>
      <c r="X51" s="779"/>
      <c r="Y51" s="779"/>
      <c r="Z51" s="779"/>
      <c r="AA51" s="779"/>
      <c r="AB51" s="779"/>
      <c r="AC51" s="779"/>
      <c r="AD51" s="779"/>
      <c r="AE51" s="779"/>
      <c r="AF51" s="779"/>
      <c r="AG51" s="779"/>
      <c r="AH51" s="779"/>
      <c r="AI51" s="779"/>
      <c r="AJ51" s="779"/>
      <c r="AK51" s="779"/>
      <c r="AL51" s="779"/>
      <c r="AM51" s="779"/>
      <c r="AN51" s="779"/>
      <c r="AO51" s="779"/>
      <c r="AP51" s="779"/>
    </row>
    <row r="52" ht="12.75" customHeight="1">
      <c r="A52" s="779"/>
      <c r="B52" s="779"/>
      <c r="C52" s="779"/>
      <c r="D52" s="779"/>
      <c r="E52" s="779"/>
      <c r="F52" s="779"/>
      <c r="G52" s="779"/>
      <c r="H52" s="779"/>
      <c r="I52" s="779"/>
      <c r="J52" s="779"/>
      <c r="K52" s="779"/>
      <c r="L52" s="779"/>
      <c r="M52" s="779"/>
      <c r="N52" s="779"/>
      <c r="O52" s="779"/>
      <c r="P52" s="779"/>
      <c r="Q52" s="779"/>
      <c r="R52" s="779"/>
      <c r="S52" s="779"/>
      <c r="T52" s="779"/>
      <c r="U52" s="779"/>
      <c r="V52" s="779"/>
      <c r="W52" s="779"/>
      <c r="X52" s="779"/>
      <c r="Y52" s="779"/>
      <c r="Z52" s="779"/>
      <c r="AA52" s="779"/>
      <c r="AB52" s="779"/>
      <c r="AC52" s="779"/>
      <c r="AD52" s="779"/>
      <c r="AE52" s="779"/>
      <c r="AF52" s="779"/>
      <c r="AG52" s="779"/>
      <c r="AH52" s="779"/>
      <c r="AI52" s="779"/>
      <c r="AJ52" s="779"/>
      <c r="AK52" s="779"/>
      <c r="AL52" s="779"/>
      <c r="AM52" s="779"/>
      <c r="AN52" s="779"/>
      <c r="AO52" s="779"/>
      <c r="AP52" s="779"/>
    </row>
    <row r="53" ht="12.75" customHeight="1">
      <c r="A53" s="779"/>
      <c r="B53" s="779"/>
      <c r="C53" s="779"/>
      <c r="D53" s="779"/>
      <c r="E53" s="779"/>
      <c r="F53" s="779"/>
      <c r="G53" s="779"/>
      <c r="H53" s="779"/>
      <c r="I53" s="779"/>
      <c r="J53" s="779"/>
      <c r="K53" s="779"/>
      <c r="L53" s="779"/>
      <c r="M53" s="779"/>
      <c r="N53" s="779"/>
      <c r="O53" s="779"/>
      <c r="P53" s="779"/>
      <c r="Q53" s="779"/>
      <c r="R53" s="779"/>
      <c r="S53" s="779"/>
      <c r="T53" s="779"/>
      <c r="U53" s="779"/>
      <c r="V53" s="779"/>
      <c r="W53" s="779"/>
      <c r="X53" s="779"/>
      <c r="Y53" s="779"/>
      <c r="Z53" s="779"/>
      <c r="AA53" s="779"/>
      <c r="AB53" s="779"/>
      <c r="AC53" s="779"/>
      <c r="AD53" s="779"/>
      <c r="AE53" s="779"/>
      <c r="AF53" s="779"/>
      <c r="AG53" s="779"/>
      <c r="AH53" s="779"/>
      <c r="AI53" s="779"/>
      <c r="AJ53" s="779"/>
      <c r="AK53" s="779"/>
      <c r="AL53" s="779"/>
      <c r="AM53" s="779"/>
      <c r="AN53" s="779"/>
      <c r="AO53" s="779"/>
      <c r="AP53" s="779"/>
    </row>
    <row r="54" ht="12.75" customHeight="1">
      <c r="A54" s="779"/>
      <c r="B54" s="779"/>
      <c r="C54" s="779"/>
      <c r="D54" s="779"/>
      <c r="E54" s="779"/>
      <c r="F54" s="779"/>
      <c r="G54" s="779"/>
      <c r="H54" s="779"/>
      <c r="I54" s="779"/>
      <c r="J54" s="779"/>
      <c r="K54" s="779"/>
      <c r="L54" s="779"/>
      <c r="M54" s="779"/>
      <c r="N54" s="779"/>
      <c r="O54" s="779"/>
      <c r="P54" s="779"/>
      <c r="Q54" s="779"/>
      <c r="R54" s="779"/>
      <c r="S54" s="779"/>
      <c r="T54" s="779"/>
      <c r="U54" s="779"/>
      <c r="V54" s="779"/>
      <c r="W54" s="779"/>
      <c r="X54" s="779"/>
      <c r="Y54" s="779"/>
      <c r="Z54" s="779"/>
      <c r="AA54" s="779"/>
      <c r="AB54" s="779"/>
      <c r="AC54" s="779"/>
      <c r="AD54" s="779"/>
      <c r="AE54" s="779"/>
      <c r="AF54" s="779"/>
      <c r="AG54" s="779"/>
      <c r="AH54" s="779"/>
      <c r="AI54" s="779"/>
      <c r="AJ54" s="779"/>
      <c r="AK54" s="779"/>
      <c r="AL54" s="779"/>
      <c r="AM54" s="779"/>
      <c r="AN54" s="779"/>
      <c r="AO54" s="779"/>
      <c r="AP54" s="779"/>
    </row>
    <row r="55" ht="12.75" customHeight="1">
      <c r="A55" s="779"/>
      <c r="B55" s="779"/>
      <c r="C55" s="779"/>
      <c r="D55" s="779"/>
      <c r="E55" s="779"/>
      <c r="F55" s="779"/>
      <c r="G55" s="779"/>
      <c r="H55" s="779"/>
      <c r="I55" s="779"/>
      <c r="J55" s="779"/>
      <c r="K55" s="779"/>
      <c r="L55" s="779"/>
      <c r="M55" s="779"/>
      <c r="N55" s="779"/>
      <c r="O55" s="779"/>
      <c r="P55" s="779"/>
      <c r="Q55" s="779"/>
      <c r="R55" s="779"/>
      <c r="S55" s="779"/>
      <c r="T55" s="779"/>
      <c r="U55" s="779"/>
      <c r="V55" s="779"/>
      <c r="W55" s="779"/>
      <c r="X55" s="779"/>
      <c r="Y55" s="779"/>
      <c r="Z55" s="779"/>
      <c r="AA55" s="779"/>
      <c r="AB55" s="779"/>
      <c r="AC55" s="779"/>
      <c r="AD55" s="779"/>
      <c r="AE55" s="779"/>
      <c r="AF55" s="779"/>
      <c r="AG55" s="779"/>
      <c r="AH55" s="779"/>
      <c r="AI55" s="779"/>
      <c r="AJ55" s="779"/>
      <c r="AK55" s="779"/>
      <c r="AL55" s="779"/>
      <c r="AM55" s="779"/>
      <c r="AN55" s="779"/>
      <c r="AO55" s="779"/>
      <c r="AP55" s="779"/>
    </row>
    <row r="56" ht="12.75" customHeight="1">
      <c r="A56" s="779"/>
      <c r="B56" s="779"/>
      <c r="C56" s="779"/>
      <c r="D56" s="779"/>
      <c r="E56" s="779"/>
      <c r="F56" s="779"/>
      <c r="G56" s="779"/>
      <c r="H56" s="779"/>
      <c r="I56" s="779"/>
      <c r="J56" s="779"/>
      <c r="K56" s="779"/>
      <c r="L56" s="779"/>
      <c r="M56" s="779"/>
      <c r="N56" s="779"/>
      <c r="O56" s="779"/>
      <c r="P56" s="779"/>
      <c r="Q56" s="779"/>
      <c r="R56" s="779"/>
      <c r="S56" s="779"/>
      <c r="T56" s="779"/>
      <c r="U56" s="779"/>
      <c r="V56" s="779"/>
      <c r="W56" s="779"/>
      <c r="X56" s="779"/>
      <c r="Y56" s="779"/>
      <c r="Z56" s="779"/>
      <c r="AA56" s="779"/>
      <c r="AB56" s="779"/>
      <c r="AC56" s="779"/>
      <c r="AD56" s="779"/>
      <c r="AE56" s="779"/>
      <c r="AF56" s="779"/>
      <c r="AG56" s="779"/>
      <c r="AH56" s="779"/>
      <c r="AI56" s="779"/>
      <c r="AJ56" s="779"/>
      <c r="AK56" s="779"/>
      <c r="AL56" s="779"/>
      <c r="AM56" s="779"/>
      <c r="AN56" s="779"/>
      <c r="AO56" s="779"/>
      <c r="AP56" s="779"/>
    </row>
    <row r="57" ht="12.75" customHeight="1">
      <c r="A57" s="779"/>
      <c r="B57" s="779"/>
      <c r="C57" s="779"/>
      <c r="D57" s="779"/>
      <c r="E57" s="779"/>
      <c r="F57" s="779"/>
      <c r="G57" s="779"/>
      <c r="H57" s="779"/>
      <c r="I57" s="779"/>
      <c r="J57" s="779"/>
      <c r="K57" s="779"/>
      <c r="L57" s="779"/>
      <c r="M57" s="779"/>
      <c r="N57" s="779"/>
      <c r="O57" s="779"/>
      <c r="P57" s="779"/>
      <c r="Q57" s="779"/>
      <c r="R57" s="779"/>
      <c r="S57" s="779"/>
      <c r="T57" s="779"/>
      <c r="U57" s="779"/>
      <c r="V57" s="779"/>
      <c r="W57" s="779"/>
      <c r="X57" s="779"/>
      <c r="Y57" s="779"/>
      <c r="Z57" s="779"/>
      <c r="AA57" s="779"/>
      <c r="AB57" s="779"/>
      <c r="AC57" s="779"/>
      <c r="AD57" s="779"/>
      <c r="AE57" s="779"/>
      <c r="AF57" s="779"/>
      <c r="AG57" s="779"/>
      <c r="AH57" s="779"/>
      <c r="AI57" s="779"/>
      <c r="AJ57" s="779"/>
      <c r="AK57" s="779"/>
      <c r="AL57" s="779"/>
      <c r="AM57" s="779"/>
      <c r="AN57" s="779"/>
      <c r="AO57" s="779"/>
      <c r="AP57" s="779"/>
    </row>
    <row r="58" ht="12.75" customHeight="1">
      <c r="A58" s="779"/>
      <c r="B58" s="779"/>
      <c r="C58" s="779"/>
      <c r="D58" s="779"/>
      <c r="E58" s="779"/>
      <c r="F58" s="779"/>
      <c r="G58" s="779"/>
      <c r="H58" s="779"/>
      <c r="I58" s="779"/>
      <c r="J58" s="779"/>
      <c r="K58" s="779"/>
      <c r="L58" s="779"/>
      <c r="M58" s="779"/>
      <c r="N58" s="779"/>
      <c r="O58" s="779"/>
      <c r="P58" s="779"/>
      <c r="Q58" s="779"/>
      <c r="R58" s="779"/>
      <c r="S58" s="779"/>
      <c r="T58" s="779"/>
      <c r="U58" s="779"/>
      <c r="V58" s="779"/>
      <c r="W58" s="779"/>
      <c r="X58" s="779"/>
      <c r="Y58" s="779"/>
      <c r="Z58" s="779"/>
      <c r="AA58" s="779"/>
      <c r="AB58" s="779"/>
      <c r="AC58" s="779"/>
      <c r="AD58" s="779"/>
      <c r="AE58" s="779"/>
      <c r="AF58" s="779"/>
      <c r="AG58" s="779"/>
      <c r="AH58" s="779"/>
      <c r="AI58" s="779"/>
      <c r="AJ58" s="779"/>
      <c r="AK58" s="779"/>
      <c r="AL58" s="779"/>
      <c r="AM58" s="779"/>
      <c r="AN58" s="779"/>
      <c r="AO58" s="779"/>
      <c r="AP58" s="779"/>
    </row>
    <row r="59" ht="12.75" customHeight="1">
      <c r="A59" s="779"/>
      <c r="B59" s="779"/>
      <c r="C59" s="779"/>
      <c r="D59" s="779"/>
      <c r="E59" s="779"/>
      <c r="F59" s="779"/>
      <c r="G59" s="779"/>
      <c r="H59" s="779"/>
      <c r="I59" s="779"/>
      <c r="J59" s="779"/>
      <c r="K59" s="779"/>
      <c r="L59" s="779"/>
      <c r="M59" s="779"/>
      <c r="N59" s="779"/>
      <c r="O59" s="779"/>
      <c r="P59" s="779"/>
      <c r="Q59" s="779"/>
      <c r="R59" s="779"/>
      <c r="S59" s="779"/>
      <c r="T59" s="779"/>
      <c r="U59" s="779"/>
      <c r="V59" s="779"/>
      <c r="W59" s="779"/>
      <c r="X59" s="779"/>
      <c r="Y59" s="779"/>
      <c r="Z59" s="779"/>
      <c r="AA59" s="779"/>
      <c r="AB59" s="779"/>
      <c r="AC59" s="779"/>
      <c r="AD59" s="779"/>
      <c r="AE59" s="779"/>
      <c r="AF59" s="779"/>
      <c r="AG59" s="779"/>
      <c r="AH59" s="779"/>
      <c r="AI59" s="779"/>
      <c r="AJ59" s="779"/>
      <c r="AK59" s="779"/>
      <c r="AL59" s="779"/>
      <c r="AM59" s="779"/>
      <c r="AN59" s="779"/>
      <c r="AO59" s="779"/>
      <c r="AP59" s="779"/>
    </row>
    <row r="60" ht="12.75" customHeight="1">
      <c r="A60" s="779"/>
      <c r="B60" s="779"/>
      <c r="C60" s="779"/>
      <c r="D60" s="779"/>
      <c r="E60" s="779"/>
      <c r="F60" s="779"/>
      <c r="G60" s="779"/>
      <c r="H60" s="779"/>
      <c r="I60" s="779"/>
      <c r="J60" s="779"/>
      <c r="K60" s="779"/>
      <c r="L60" s="779"/>
      <c r="M60" s="779"/>
      <c r="N60" s="779"/>
      <c r="O60" s="779"/>
      <c r="P60" s="779"/>
      <c r="Q60" s="779"/>
      <c r="R60" s="779"/>
      <c r="S60" s="779"/>
      <c r="T60" s="779"/>
      <c r="U60" s="779"/>
      <c r="V60" s="779"/>
      <c r="W60" s="779"/>
      <c r="X60" s="779"/>
      <c r="Y60" s="779"/>
      <c r="Z60" s="779"/>
      <c r="AA60" s="779"/>
      <c r="AB60" s="779"/>
      <c r="AC60" s="779"/>
      <c r="AD60" s="779"/>
      <c r="AE60" s="779"/>
      <c r="AF60" s="779"/>
      <c r="AG60" s="779"/>
      <c r="AH60" s="779"/>
      <c r="AI60" s="779"/>
      <c r="AJ60" s="779"/>
      <c r="AK60" s="779"/>
      <c r="AL60" s="779"/>
      <c r="AM60" s="779"/>
      <c r="AN60" s="779"/>
      <c r="AO60" s="779"/>
      <c r="AP60" s="779"/>
    </row>
    <row r="61" ht="12.75" customHeight="1">
      <c r="A61" s="779"/>
      <c r="B61" s="779"/>
      <c r="C61" s="779"/>
      <c r="D61" s="779"/>
      <c r="E61" s="779"/>
      <c r="F61" s="779"/>
      <c r="G61" s="779"/>
      <c r="H61" s="779"/>
      <c r="I61" s="779"/>
      <c r="J61" s="779"/>
      <c r="K61" s="779"/>
      <c r="L61" s="779"/>
      <c r="M61" s="779"/>
      <c r="N61" s="779"/>
      <c r="O61" s="779"/>
      <c r="P61" s="779"/>
      <c r="Q61" s="779"/>
      <c r="R61" s="779"/>
      <c r="S61" s="779"/>
      <c r="T61" s="779"/>
      <c r="U61" s="779"/>
      <c r="V61" s="779"/>
      <c r="W61" s="779"/>
      <c r="X61" s="779"/>
      <c r="Y61" s="779"/>
      <c r="Z61" s="779"/>
      <c r="AA61" s="779"/>
      <c r="AB61" s="779"/>
      <c r="AC61" s="779"/>
      <c r="AD61" s="779"/>
      <c r="AE61" s="779"/>
      <c r="AF61" s="779"/>
      <c r="AG61" s="779"/>
      <c r="AH61" s="779"/>
      <c r="AI61" s="779"/>
      <c r="AJ61" s="779"/>
      <c r="AK61" s="779"/>
      <c r="AL61" s="779"/>
      <c r="AM61" s="779"/>
      <c r="AN61" s="779"/>
      <c r="AO61" s="779"/>
      <c r="AP61" s="779"/>
    </row>
    <row r="62" ht="12.75" customHeight="1">
      <c r="A62" s="779"/>
      <c r="B62" s="779"/>
      <c r="C62" s="779"/>
      <c r="D62" s="779"/>
      <c r="E62" s="779"/>
      <c r="F62" s="779"/>
      <c r="G62" s="779"/>
      <c r="H62" s="779"/>
      <c r="I62" s="779"/>
      <c r="J62" s="779"/>
      <c r="K62" s="779"/>
      <c r="L62" s="779"/>
      <c r="M62" s="779"/>
      <c r="N62" s="779"/>
      <c r="O62" s="779"/>
      <c r="P62" s="779"/>
      <c r="Q62" s="779"/>
      <c r="R62" s="779"/>
      <c r="S62" s="779"/>
      <c r="T62" s="779"/>
      <c r="U62" s="779"/>
      <c r="V62" s="779"/>
      <c r="W62" s="779"/>
      <c r="X62" s="779"/>
      <c r="Y62" s="779"/>
      <c r="Z62" s="779"/>
      <c r="AA62" s="779"/>
      <c r="AB62" s="779"/>
      <c r="AC62" s="779"/>
      <c r="AD62" s="779"/>
      <c r="AE62" s="779"/>
      <c r="AF62" s="779"/>
      <c r="AG62" s="779"/>
      <c r="AH62" s="779"/>
      <c r="AI62" s="779"/>
      <c r="AJ62" s="779"/>
      <c r="AK62" s="779"/>
      <c r="AL62" s="779"/>
      <c r="AM62" s="779"/>
      <c r="AN62" s="779"/>
      <c r="AO62" s="779"/>
      <c r="AP62" s="779"/>
    </row>
    <row r="63" ht="12.75" customHeight="1">
      <c r="A63" s="779"/>
      <c r="B63" s="779"/>
      <c r="C63" s="779"/>
      <c r="D63" s="779"/>
      <c r="E63" s="779"/>
      <c r="F63" s="779"/>
      <c r="G63" s="779"/>
      <c r="H63" s="779"/>
      <c r="I63" s="779"/>
      <c r="J63" s="779"/>
      <c r="K63" s="779"/>
      <c r="L63" s="779"/>
      <c r="M63" s="779"/>
      <c r="N63" s="779"/>
      <c r="O63" s="779"/>
      <c r="P63" s="779"/>
      <c r="Q63" s="779"/>
      <c r="R63" s="779"/>
      <c r="S63" s="779"/>
      <c r="T63" s="779"/>
      <c r="U63" s="779"/>
      <c r="V63" s="779"/>
      <c r="W63" s="779"/>
      <c r="X63" s="779"/>
      <c r="Y63" s="779"/>
      <c r="Z63" s="779"/>
      <c r="AA63" s="779"/>
      <c r="AB63" s="779"/>
      <c r="AC63" s="779"/>
      <c r="AD63" s="779"/>
      <c r="AE63" s="779"/>
      <c r="AF63" s="779"/>
      <c r="AG63" s="779"/>
      <c r="AH63" s="779"/>
      <c r="AI63" s="779"/>
      <c r="AJ63" s="779"/>
      <c r="AK63" s="779"/>
      <c r="AL63" s="779"/>
      <c r="AM63" s="779"/>
      <c r="AN63" s="779"/>
      <c r="AO63" s="779"/>
      <c r="AP63" s="779"/>
    </row>
    <row r="64" ht="12.75" customHeight="1">
      <c r="A64" s="779"/>
      <c r="B64" s="779"/>
      <c r="C64" s="779"/>
      <c r="D64" s="779"/>
      <c r="E64" s="779"/>
      <c r="F64" s="779"/>
      <c r="G64" s="779"/>
      <c r="H64" s="779"/>
      <c r="I64" s="779"/>
      <c r="J64" s="779"/>
      <c r="K64" s="779"/>
      <c r="L64" s="779"/>
      <c r="M64" s="779"/>
      <c r="N64" s="779"/>
      <c r="O64" s="779"/>
      <c r="P64" s="779"/>
      <c r="Q64" s="779"/>
      <c r="R64" s="779"/>
      <c r="S64" s="779"/>
      <c r="T64" s="779"/>
      <c r="U64" s="779"/>
      <c r="V64" s="779"/>
      <c r="W64" s="779"/>
      <c r="X64" s="779"/>
      <c r="Y64" s="779"/>
      <c r="Z64" s="779"/>
      <c r="AA64" s="779"/>
      <c r="AB64" s="779"/>
      <c r="AC64" s="779"/>
      <c r="AD64" s="779"/>
      <c r="AE64" s="779"/>
      <c r="AF64" s="779"/>
      <c r="AG64" s="779"/>
      <c r="AH64" s="779"/>
      <c r="AI64" s="779"/>
      <c r="AJ64" s="779"/>
      <c r="AK64" s="779"/>
      <c r="AL64" s="779"/>
      <c r="AM64" s="779"/>
      <c r="AN64" s="779"/>
      <c r="AO64" s="779"/>
      <c r="AP64" s="779"/>
    </row>
    <row r="65" ht="12.75" customHeight="1">
      <c r="A65" s="779"/>
      <c r="B65" s="779"/>
      <c r="C65" s="779"/>
      <c r="D65" s="779"/>
      <c r="E65" s="779"/>
      <c r="F65" s="779"/>
      <c r="G65" s="779"/>
      <c r="H65" s="779"/>
      <c r="I65" s="779"/>
      <c r="J65" s="779"/>
      <c r="K65" s="779"/>
      <c r="L65" s="779"/>
      <c r="M65" s="779"/>
      <c r="N65" s="779"/>
      <c r="O65" s="779"/>
      <c r="P65" s="779"/>
      <c r="Q65" s="779"/>
      <c r="R65" s="779"/>
      <c r="S65" s="779"/>
      <c r="T65" s="779"/>
      <c r="U65" s="779"/>
      <c r="V65" s="779"/>
      <c r="W65" s="779"/>
      <c r="X65" s="779"/>
      <c r="Y65" s="779"/>
      <c r="Z65" s="779"/>
      <c r="AA65" s="779"/>
      <c r="AB65" s="779"/>
      <c r="AC65" s="779"/>
      <c r="AD65" s="779"/>
      <c r="AE65" s="779"/>
      <c r="AF65" s="779"/>
      <c r="AG65" s="779"/>
      <c r="AH65" s="779"/>
      <c r="AI65" s="779"/>
      <c r="AJ65" s="779"/>
      <c r="AK65" s="779"/>
      <c r="AL65" s="779"/>
      <c r="AM65" s="779"/>
      <c r="AN65" s="779"/>
      <c r="AO65" s="779"/>
      <c r="AP65" s="779"/>
    </row>
    <row r="66" ht="12.75" customHeight="1">
      <c r="A66" s="779"/>
      <c r="B66" s="779"/>
      <c r="C66" s="779"/>
      <c r="D66" s="779"/>
      <c r="E66" s="779"/>
      <c r="F66" s="779"/>
      <c r="G66" s="779"/>
      <c r="H66" s="779"/>
      <c r="I66" s="779"/>
      <c r="J66" s="779"/>
      <c r="K66" s="779"/>
      <c r="L66" s="779"/>
      <c r="M66" s="779"/>
      <c r="N66" s="779"/>
      <c r="O66" s="779"/>
      <c r="P66" s="779"/>
      <c r="Q66" s="779"/>
      <c r="R66" s="779"/>
      <c r="S66" s="779"/>
      <c r="T66" s="779"/>
      <c r="U66" s="779"/>
      <c r="V66" s="779"/>
      <c r="W66" s="779"/>
      <c r="X66" s="779"/>
      <c r="Y66" s="779"/>
      <c r="Z66" s="779"/>
      <c r="AA66" s="779"/>
      <c r="AB66" s="779"/>
      <c r="AC66" s="779"/>
      <c r="AD66" s="779"/>
      <c r="AE66" s="779"/>
      <c r="AF66" s="779"/>
      <c r="AG66" s="779"/>
      <c r="AH66" s="779"/>
      <c r="AI66" s="779"/>
      <c r="AJ66" s="779"/>
      <c r="AK66" s="779"/>
      <c r="AL66" s="779"/>
      <c r="AM66" s="779"/>
      <c r="AN66" s="779"/>
      <c r="AO66" s="779"/>
      <c r="AP66" s="779"/>
    </row>
    <row r="67" ht="12.75" customHeight="1">
      <c r="A67" s="779"/>
      <c r="B67" s="779"/>
      <c r="C67" s="779"/>
      <c r="D67" s="779"/>
      <c r="E67" s="779"/>
      <c r="F67" s="779"/>
      <c r="G67" s="779"/>
      <c r="H67" s="779"/>
      <c r="I67" s="779"/>
      <c r="J67" s="779"/>
      <c r="K67" s="779"/>
      <c r="L67" s="779"/>
      <c r="M67" s="779"/>
      <c r="N67" s="779"/>
      <c r="O67" s="779"/>
      <c r="P67" s="779"/>
      <c r="Q67" s="779"/>
      <c r="R67" s="779"/>
      <c r="S67" s="779"/>
      <c r="T67" s="779"/>
      <c r="U67" s="779"/>
      <c r="V67" s="779"/>
      <c r="W67" s="779"/>
      <c r="X67" s="779"/>
      <c r="Y67" s="779"/>
      <c r="Z67" s="779"/>
      <c r="AA67" s="779"/>
      <c r="AB67" s="779"/>
      <c r="AC67" s="779"/>
      <c r="AD67" s="779"/>
      <c r="AE67" s="779"/>
      <c r="AF67" s="779"/>
      <c r="AG67" s="779"/>
      <c r="AH67" s="779"/>
      <c r="AI67" s="779"/>
      <c r="AJ67" s="779"/>
      <c r="AK67" s="779"/>
      <c r="AL67" s="779"/>
      <c r="AM67" s="779"/>
      <c r="AN67" s="779"/>
      <c r="AO67" s="779"/>
      <c r="AP67" s="779"/>
    </row>
    <row r="68" ht="12.75" customHeight="1">
      <c r="A68" s="779"/>
      <c r="B68" s="779"/>
      <c r="C68" s="779"/>
      <c r="D68" s="779"/>
      <c r="E68" s="779"/>
      <c r="F68" s="779"/>
      <c r="G68" s="779"/>
      <c r="H68" s="779"/>
      <c r="I68" s="779"/>
      <c r="J68" s="779"/>
      <c r="K68" s="779"/>
      <c r="L68" s="779"/>
      <c r="M68" s="779"/>
      <c r="N68" s="779"/>
      <c r="O68" s="779"/>
      <c r="P68" s="779"/>
      <c r="Q68" s="779"/>
      <c r="R68" s="779"/>
      <c r="S68" s="779"/>
      <c r="T68" s="779"/>
      <c r="U68" s="779"/>
      <c r="V68" s="779"/>
      <c r="W68" s="779"/>
      <c r="X68" s="779"/>
      <c r="Y68" s="779"/>
      <c r="Z68" s="779"/>
      <c r="AA68" s="779"/>
      <c r="AB68" s="779"/>
      <c r="AC68" s="779"/>
      <c r="AD68" s="779"/>
      <c r="AE68" s="779"/>
      <c r="AF68" s="779"/>
      <c r="AG68" s="779"/>
      <c r="AH68" s="779"/>
      <c r="AI68" s="779"/>
      <c r="AJ68" s="779"/>
      <c r="AK68" s="779"/>
      <c r="AL68" s="779"/>
      <c r="AM68" s="779"/>
      <c r="AN68" s="779"/>
      <c r="AO68" s="779"/>
      <c r="AP68" s="779"/>
    </row>
    <row r="69" ht="12.75" customHeight="1">
      <c r="A69" s="779"/>
      <c r="B69" s="779"/>
      <c r="C69" s="779"/>
      <c r="D69" s="779"/>
      <c r="E69" s="779"/>
      <c r="F69" s="779"/>
      <c r="G69" s="779"/>
      <c r="H69" s="779"/>
      <c r="I69" s="779"/>
      <c r="J69" s="779"/>
      <c r="K69" s="779"/>
      <c r="L69" s="779"/>
      <c r="M69" s="779"/>
      <c r="N69" s="779"/>
      <c r="O69" s="779"/>
      <c r="P69" s="779"/>
      <c r="Q69" s="779"/>
      <c r="R69" s="779"/>
      <c r="S69" s="779"/>
      <c r="T69" s="779"/>
      <c r="U69" s="779"/>
      <c r="V69" s="779"/>
      <c r="W69" s="779"/>
      <c r="X69" s="779"/>
      <c r="Y69" s="779"/>
      <c r="Z69" s="779"/>
      <c r="AA69" s="779"/>
      <c r="AB69" s="779"/>
      <c r="AC69" s="779"/>
      <c r="AD69" s="779"/>
      <c r="AE69" s="779"/>
      <c r="AF69" s="779"/>
      <c r="AG69" s="779"/>
      <c r="AH69" s="779"/>
      <c r="AI69" s="779"/>
      <c r="AJ69" s="779"/>
      <c r="AK69" s="779"/>
      <c r="AL69" s="779"/>
      <c r="AM69" s="779"/>
      <c r="AN69" s="779"/>
      <c r="AO69" s="779"/>
      <c r="AP69" s="779"/>
    </row>
    <row r="70" ht="12.75" customHeight="1">
      <c r="A70" s="779"/>
      <c r="B70" s="779"/>
      <c r="C70" s="779"/>
      <c r="D70" s="779"/>
      <c r="E70" s="779"/>
      <c r="F70" s="779"/>
      <c r="G70" s="779"/>
      <c r="H70" s="779"/>
      <c r="I70" s="779"/>
      <c r="J70" s="779"/>
      <c r="K70" s="779"/>
      <c r="L70" s="779"/>
      <c r="M70" s="779"/>
      <c r="N70" s="779"/>
      <c r="O70" s="779"/>
      <c r="P70" s="779"/>
      <c r="Q70" s="779"/>
      <c r="R70" s="779"/>
      <c r="S70" s="779"/>
      <c r="T70" s="779"/>
      <c r="U70" s="779"/>
      <c r="V70" s="779"/>
      <c r="W70" s="779"/>
      <c r="X70" s="779"/>
      <c r="Y70" s="779"/>
      <c r="Z70" s="779"/>
      <c r="AA70" s="779"/>
      <c r="AB70" s="779"/>
      <c r="AC70" s="779"/>
      <c r="AD70" s="779"/>
      <c r="AE70" s="779"/>
      <c r="AF70" s="779"/>
      <c r="AG70" s="779"/>
      <c r="AH70" s="779"/>
      <c r="AI70" s="779"/>
      <c r="AJ70" s="779"/>
      <c r="AK70" s="779"/>
      <c r="AL70" s="779"/>
      <c r="AM70" s="779"/>
      <c r="AN70" s="779"/>
      <c r="AO70" s="779"/>
      <c r="AP70" s="779"/>
    </row>
    <row r="71" ht="12.75" customHeight="1">
      <c r="A71" s="779"/>
      <c r="B71" s="779"/>
      <c r="C71" s="779"/>
      <c r="D71" s="779"/>
      <c r="E71" s="779"/>
      <c r="F71" s="779"/>
      <c r="G71" s="779"/>
      <c r="H71" s="779"/>
      <c r="I71" s="779"/>
      <c r="J71" s="779"/>
      <c r="K71" s="779"/>
      <c r="L71" s="779"/>
      <c r="M71" s="779"/>
      <c r="N71" s="779"/>
      <c r="O71" s="779"/>
      <c r="P71" s="779"/>
      <c r="Q71" s="779"/>
      <c r="R71" s="779"/>
      <c r="S71" s="779"/>
      <c r="T71" s="779"/>
      <c r="U71" s="779"/>
      <c r="V71" s="779"/>
      <c r="W71" s="779"/>
      <c r="X71" s="779"/>
      <c r="Y71" s="779"/>
      <c r="Z71" s="779"/>
      <c r="AA71" s="779"/>
      <c r="AB71" s="779"/>
      <c r="AC71" s="779"/>
      <c r="AD71" s="779"/>
      <c r="AE71" s="779"/>
      <c r="AF71" s="779"/>
      <c r="AG71" s="779"/>
      <c r="AH71" s="779"/>
      <c r="AI71" s="779"/>
      <c r="AJ71" s="779"/>
      <c r="AK71" s="779"/>
      <c r="AL71" s="779"/>
      <c r="AM71" s="779"/>
      <c r="AN71" s="779"/>
      <c r="AO71" s="779"/>
      <c r="AP71" s="779"/>
    </row>
    <row r="72" ht="12.75" customHeight="1">
      <c r="A72" s="779"/>
      <c r="B72" s="779"/>
      <c r="C72" s="779"/>
      <c r="D72" s="779"/>
      <c r="E72" s="779"/>
      <c r="F72" s="779"/>
      <c r="G72" s="779"/>
      <c r="H72" s="779"/>
      <c r="I72" s="779"/>
      <c r="J72" s="779"/>
      <c r="K72" s="779"/>
      <c r="L72" s="779"/>
      <c r="M72" s="779"/>
      <c r="N72" s="779"/>
      <c r="O72" s="779"/>
      <c r="P72" s="779"/>
      <c r="Q72" s="779"/>
      <c r="R72" s="779"/>
      <c r="S72" s="779"/>
      <c r="T72" s="779"/>
      <c r="U72" s="779"/>
      <c r="V72" s="779"/>
      <c r="W72" s="779"/>
      <c r="X72" s="779"/>
      <c r="Y72" s="779"/>
      <c r="Z72" s="779"/>
      <c r="AA72" s="779"/>
      <c r="AB72" s="779"/>
      <c r="AC72" s="779"/>
      <c r="AD72" s="779"/>
      <c r="AE72" s="779"/>
      <c r="AF72" s="779"/>
      <c r="AG72" s="779"/>
      <c r="AH72" s="779"/>
      <c r="AI72" s="779"/>
      <c r="AJ72" s="779"/>
      <c r="AK72" s="779"/>
      <c r="AL72" s="779"/>
      <c r="AM72" s="779"/>
      <c r="AN72" s="779"/>
      <c r="AO72" s="779"/>
      <c r="AP72" s="779"/>
    </row>
    <row r="73" ht="12.75" customHeight="1">
      <c r="A73" s="779"/>
      <c r="B73" s="779"/>
      <c r="C73" s="779"/>
      <c r="D73" s="779"/>
      <c r="E73" s="779"/>
      <c r="F73" s="779"/>
      <c r="G73" s="779"/>
      <c r="H73" s="779"/>
      <c r="I73" s="779"/>
      <c r="J73" s="779"/>
      <c r="K73" s="779"/>
      <c r="L73" s="779"/>
      <c r="M73" s="779"/>
      <c r="N73" s="779"/>
      <c r="O73" s="779"/>
      <c r="P73" s="779"/>
      <c r="Q73" s="779"/>
      <c r="R73" s="779"/>
      <c r="S73" s="779"/>
      <c r="T73" s="779"/>
      <c r="U73" s="779"/>
      <c r="V73" s="779"/>
      <c r="W73" s="779"/>
      <c r="X73" s="779"/>
      <c r="Y73" s="779"/>
      <c r="Z73" s="779"/>
      <c r="AA73" s="779"/>
      <c r="AB73" s="779"/>
      <c r="AC73" s="779"/>
      <c r="AD73" s="779"/>
      <c r="AE73" s="779"/>
      <c r="AF73" s="779"/>
      <c r="AG73" s="779"/>
      <c r="AH73" s="779"/>
      <c r="AI73" s="779"/>
      <c r="AJ73" s="779"/>
      <c r="AK73" s="779"/>
      <c r="AL73" s="779"/>
      <c r="AM73" s="779"/>
      <c r="AN73" s="779"/>
      <c r="AO73" s="779"/>
      <c r="AP73" s="779"/>
    </row>
    <row r="74" ht="12.75" customHeight="1">
      <c r="A74" s="779"/>
      <c r="B74" s="779"/>
      <c r="C74" s="779"/>
      <c r="D74" s="779"/>
      <c r="E74" s="779"/>
      <c r="F74" s="779"/>
      <c r="G74" s="779"/>
      <c r="H74" s="779"/>
      <c r="I74" s="779"/>
      <c r="J74" s="779"/>
      <c r="K74" s="779"/>
      <c r="L74" s="779"/>
      <c r="M74" s="779"/>
      <c r="N74" s="779"/>
      <c r="O74" s="779"/>
      <c r="P74" s="779"/>
      <c r="Q74" s="779"/>
      <c r="R74" s="779"/>
      <c r="S74" s="779"/>
      <c r="T74" s="779"/>
      <c r="U74" s="779"/>
      <c r="V74" s="779"/>
      <c r="W74" s="779"/>
      <c r="X74" s="779"/>
      <c r="Y74" s="779"/>
      <c r="Z74" s="779"/>
      <c r="AA74" s="779"/>
      <c r="AB74" s="779"/>
      <c r="AC74" s="779"/>
      <c r="AD74" s="779"/>
      <c r="AE74" s="779"/>
      <c r="AF74" s="779"/>
      <c r="AG74" s="779"/>
      <c r="AH74" s="779"/>
      <c r="AI74" s="779"/>
      <c r="AJ74" s="779"/>
      <c r="AK74" s="779"/>
      <c r="AL74" s="779"/>
      <c r="AM74" s="779"/>
      <c r="AN74" s="779"/>
      <c r="AO74" s="779"/>
      <c r="AP74" s="779"/>
    </row>
    <row r="75" ht="12.75" customHeight="1">
      <c r="A75" s="779"/>
      <c r="B75" s="779"/>
      <c r="C75" s="779"/>
      <c r="D75" s="779"/>
      <c r="E75" s="779"/>
      <c r="F75" s="779"/>
      <c r="G75" s="779"/>
      <c r="H75" s="779"/>
      <c r="I75" s="779"/>
      <c r="J75" s="779"/>
      <c r="K75" s="779"/>
      <c r="L75" s="779"/>
      <c r="M75" s="779"/>
      <c r="N75" s="779"/>
      <c r="O75" s="779"/>
      <c r="P75" s="779"/>
      <c r="Q75" s="779"/>
      <c r="R75" s="779"/>
      <c r="S75" s="779"/>
      <c r="T75" s="779"/>
      <c r="U75" s="779"/>
      <c r="V75" s="779"/>
      <c r="W75" s="779"/>
      <c r="X75" s="779"/>
      <c r="Y75" s="779"/>
      <c r="Z75" s="779"/>
      <c r="AA75" s="779"/>
      <c r="AB75" s="779"/>
      <c r="AC75" s="779"/>
      <c r="AD75" s="779"/>
      <c r="AE75" s="779"/>
      <c r="AF75" s="779"/>
      <c r="AG75" s="779"/>
      <c r="AH75" s="779"/>
      <c r="AI75" s="779"/>
      <c r="AJ75" s="779"/>
      <c r="AK75" s="779"/>
      <c r="AL75" s="779"/>
      <c r="AM75" s="779"/>
      <c r="AN75" s="779"/>
      <c r="AO75" s="779"/>
      <c r="AP75" s="779"/>
    </row>
    <row r="76" ht="12.75" customHeight="1">
      <c r="A76" s="779"/>
      <c r="B76" s="779"/>
      <c r="C76" s="779"/>
      <c r="D76" s="779"/>
      <c r="E76" s="779"/>
      <c r="F76" s="779"/>
      <c r="G76" s="779"/>
      <c r="H76" s="779"/>
      <c r="I76" s="779"/>
      <c r="J76" s="779"/>
      <c r="K76" s="779"/>
      <c r="L76" s="779"/>
      <c r="M76" s="779"/>
      <c r="N76" s="779"/>
      <c r="O76" s="779"/>
      <c r="P76" s="779"/>
      <c r="Q76" s="779"/>
      <c r="R76" s="779"/>
      <c r="S76" s="779"/>
      <c r="T76" s="779"/>
      <c r="U76" s="779"/>
      <c r="V76" s="779"/>
      <c r="W76" s="779"/>
      <c r="X76" s="779"/>
      <c r="Y76" s="779"/>
      <c r="Z76" s="779"/>
      <c r="AA76" s="779"/>
      <c r="AB76" s="779"/>
      <c r="AC76" s="779"/>
      <c r="AD76" s="779"/>
      <c r="AE76" s="779"/>
      <c r="AF76" s="779"/>
      <c r="AG76" s="779"/>
      <c r="AH76" s="779"/>
      <c r="AI76" s="779"/>
      <c r="AJ76" s="779"/>
      <c r="AK76" s="779"/>
      <c r="AL76" s="779"/>
      <c r="AM76" s="779"/>
      <c r="AN76" s="779"/>
      <c r="AO76" s="779"/>
      <c r="AP76" s="779"/>
    </row>
    <row r="77" ht="12.75" customHeight="1">
      <c r="A77" s="779"/>
      <c r="B77" s="779"/>
      <c r="C77" s="779"/>
      <c r="D77" s="779"/>
      <c r="E77" s="779"/>
      <c r="F77" s="779"/>
      <c r="G77" s="779"/>
      <c r="H77" s="779"/>
      <c r="I77" s="779"/>
      <c r="J77" s="779"/>
      <c r="K77" s="779"/>
      <c r="L77" s="779"/>
      <c r="M77" s="779"/>
      <c r="N77" s="779"/>
      <c r="O77" s="779"/>
      <c r="P77" s="779"/>
      <c r="Q77" s="779"/>
      <c r="R77" s="779"/>
      <c r="S77" s="779"/>
      <c r="T77" s="779"/>
      <c r="U77" s="779"/>
      <c r="V77" s="779"/>
      <c r="W77" s="779"/>
      <c r="X77" s="779"/>
      <c r="Y77" s="779"/>
      <c r="Z77" s="779"/>
      <c r="AA77" s="779"/>
      <c r="AB77" s="779"/>
      <c r="AC77" s="779"/>
      <c r="AD77" s="779"/>
      <c r="AE77" s="779"/>
      <c r="AF77" s="779"/>
      <c r="AG77" s="779"/>
      <c r="AH77" s="779"/>
      <c r="AI77" s="779"/>
      <c r="AJ77" s="779"/>
      <c r="AK77" s="779"/>
      <c r="AL77" s="779"/>
      <c r="AM77" s="779"/>
      <c r="AN77" s="779"/>
      <c r="AO77" s="779"/>
      <c r="AP77" s="779"/>
    </row>
    <row r="78" ht="12.75" customHeight="1">
      <c r="A78" s="779"/>
      <c r="B78" s="779"/>
      <c r="C78" s="779"/>
      <c r="D78" s="779"/>
      <c r="E78" s="779"/>
      <c r="F78" s="779"/>
      <c r="G78" s="779"/>
      <c r="H78" s="779"/>
      <c r="I78" s="779"/>
      <c r="J78" s="779"/>
      <c r="K78" s="779"/>
      <c r="L78" s="779"/>
      <c r="M78" s="779"/>
      <c r="N78" s="779"/>
      <c r="O78" s="779"/>
      <c r="P78" s="779"/>
      <c r="Q78" s="779"/>
      <c r="R78" s="779"/>
      <c r="S78" s="779"/>
      <c r="T78" s="779"/>
      <c r="U78" s="779"/>
      <c r="V78" s="779"/>
      <c r="W78" s="779"/>
      <c r="X78" s="779"/>
      <c r="Y78" s="779"/>
      <c r="Z78" s="779"/>
      <c r="AA78" s="779"/>
      <c r="AB78" s="779"/>
      <c r="AC78" s="779"/>
      <c r="AD78" s="779"/>
      <c r="AE78" s="779"/>
      <c r="AF78" s="779"/>
      <c r="AG78" s="779"/>
      <c r="AH78" s="779"/>
      <c r="AI78" s="779"/>
      <c r="AJ78" s="779"/>
      <c r="AK78" s="779"/>
      <c r="AL78" s="779"/>
      <c r="AM78" s="779"/>
      <c r="AN78" s="779"/>
      <c r="AO78" s="779"/>
      <c r="AP78" s="779"/>
    </row>
    <row r="79" ht="12.75" customHeight="1">
      <c r="A79" s="779"/>
      <c r="B79" s="779"/>
      <c r="C79" s="779"/>
      <c r="D79" s="779"/>
      <c r="E79" s="779"/>
      <c r="F79" s="779"/>
      <c r="G79" s="779"/>
      <c r="H79" s="779"/>
      <c r="I79" s="779"/>
      <c r="J79" s="779"/>
      <c r="K79" s="779"/>
      <c r="L79" s="779"/>
      <c r="M79" s="779"/>
      <c r="N79" s="779"/>
      <c r="O79" s="779"/>
      <c r="P79" s="779"/>
      <c r="Q79" s="779"/>
      <c r="R79" s="779"/>
      <c r="S79" s="779"/>
      <c r="T79" s="779"/>
      <c r="U79" s="779"/>
      <c r="V79" s="779"/>
      <c r="W79" s="779"/>
      <c r="X79" s="779"/>
      <c r="Y79" s="779"/>
      <c r="Z79" s="779"/>
      <c r="AA79" s="779"/>
      <c r="AB79" s="779"/>
      <c r="AC79" s="779"/>
      <c r="AD79" s="779"/>
      <c r="AE79" s="779"/>
      <c r="AF79" s="779"/>
      <c r="AG79" s="779"/>
      <c r="AH79" s="779"/>
      <c r="AI79" s="779"/>
      <c r="AJ79" s="779"/>
      <c r="AK79" s="779"/>
      <c r="AL79" s="779"/>
      <c r="AM79" s="779"/>
      <c r="AN79" s="779"/>
      <c r="AO79" s="779"/>
      <c r="AP79" s="779"/>
    </row>
    <row r="80" ht="12.75" customHeight="1">
      <c r="A80" s="779"/>
      <c r="B80" s="779"/>
      <c r="C80" s="779"/>
      <c r="D80" s="779"/>
      <c r="E80" s="779"/>
      <c r="F80" s="779"/>
      <c r="G80" s="779"/>
      <c r="H80" s="779"/>
      <c r="I80" s="779"/>
      <c r="J80" s="779"/>
      <c r="K80" s="779"/>
      <c r="L80" s="779"/>
      <c r="M80" s="779"/>
      <c r="N80" s="779"/>
      <c r="O80" s="779"/>
      <c r="P80" s="779"/>
      <c r="Q80" s="779"/>
      <c r="R80" s="779"/>
      <c r="S80" s="779"/>
      <c r="T80" s="779"/>
      <c r="U80" s="779"/>
      <c r="V80" s="779"/>
      <c r="W80" s="779"/>
      <c r="X80" s="779"/>
      <c r="Y80" s="779"/>
      <c r="Z80" s="779"/>
      <c r="AA80" s="779"/>
      <c r="AB80" s="779"/>
      <c r="AC80" s="779"/>
      <c r="AD80" s="779"/>
      <c r="AE80" s="779"/>
      <c r="AF80" s="779"/>
      <c r="AG80" s="779"/>
      <c r="AH80" s="779"/>
      <c r="AI80" s="779"/>
      <c r="AJ80" s="779"/>
      <c r="AK80" s="779"/>
      <c r="AL80" s="779"/>
      <c r="AM80" s="779"/>
      <c r="AN80" s="779"/>
      <c r="AO80" s="779"/>
      <c r="AP80" s="779"/>
    </row>
    <row r="81" ht="12.75" customHeight="1">
      <c r="A81" s="779"/>
      <c r="B81" s="779"/>
      <c r="C81" s="779"/>
      <c r="D81" s="779"/>
      <c r="E81" s="779"/>
      <c r="F81" s="779"/>
      <c r="G81" s="779"/>
      <c r="H81" s="779"/>
      <c r="I81" s="779"/>
      <c r="J81" s="779"/>
      <c r="K81" s="779"/>
      <c r="L81" s="779"/>
      <c r="M81" s="779"/>
      <c r="N81" s="779"/>
      <c r="O81" s="779"/>
      <c r="P81" s="779"/>
      <c r="Q81" s="779"/>
      <c r="R81" s="779"/>
      <c r="S81" s="779"/>
      <c r="T81" s="779"/>
      <c r="U81" s="779"/>
      <c r="V81" s="779"/>
      <c r="W81" s="779"/>
      <c r="X81" s="779"/>
      <c r="Y81" s="779"/>
      <c r="Z81" s="779"/>
      <c r="AA81" s="779"/>
      <c r="AB81" s="779"/>
      <c r="AC81" s="779"/>
      <c r="AD81" s="779"/>
      <c r="AE81" s="779"/>
      <c r="AF81" s="779"/>
      <c r="AG81" s="779"/>
      <c r="AH81" s="779"/>
      <c r="AI81" s="779"/>
      <c r="AJ81" s="779"/>
      <c r="AK81" s="779"/>
      <c r="AL81" s="779"/>
      <c r="AM81" s="779"/>
      <c r="AN81" s="779"/>
      <c r="AO81" s="779"/>
      <c r="AP81" s="779"/>
    </row>
    <row r="82" ht="12.75" customHeight="1">
      <c r="A82" s="779"/>
      <c r="B82" s="779"/>
      <c r="C82" s="779"/>
      <c r="D82" s="779"/>
      <c r="E82" s="779"/>
      <c r="F82" s="779"/>
      <c r="G82" s="779"/>
      <c r="H82" s="779"/>
      <c r="I82" s="779"/>
      <c r="J82" s="779"/>
      <c r="K82" s="779"/>
      <c r="L82" s="779"/>
      <c r="M82" s="779"/>
      <c r="N82" s="779"/>
      <c r="O82" s="779"/>
      <c r="P82" s="779"/>
      <c r="Q82" s="779"/>
      <c r="R82" s="779"/>
      <c r="S82" s="779"/>
      <c r="T82" s="779"/>
      <c r="U82" s="779"/>
      <c r="V82" s="779"/>
      <c r="W82" s="779"/>
      <c r="X82" s="779"/>
      <c r="Y82" s="779"/>
      <c r="Z82" s="779"/>
      <c r="AA82" s="779"/>
      <c r="AB82" s="779"/>
      <c r="AC82" s="779"/>
      <c r="AD82" s="779"/>
      <c r="AE82" s="779"/>
      <c r="AF82" s="779"/>
      <c r="AG82" s="779"/>
      <c r="AH82" s="779"/>
      <c r="AI82" s="779"/>
      <c r="AJ82" s="779"/>
      <c r="AK82" s="779"/>
      <c r="AL82" s="779"/>
      <c r="AM82" s="779"/>
      <c r="AN82" s="779"/>
      <c r="AO82" s="779"/>
      <c r="AP82" s="779"/>
    </row>
    <row r="83" ht="12.75" customHeight="1">
      <c r="A83" s="779"/>
      <c r="B83" s="779"/>
      <c r="C83" s="779"/>
      <c r="D83" s="779"/>
      <c r="E83" s="779"/>
      <c r="F83" s="779"/>
      <c r="G83" s="779"/>
      <c r="H83" s="779"/>
      <c r="I83" s="779"/>
      <c r="J83" s="779"/>
      <c r="K83" s="779"/>
      <c r="L83" s="779"/>
      <c r="M83" s="779"/>
      <c r="N83" s="779"/>
      <c r="O83" s="779"/>
      <c r="P83" s="779"/>
      <c r="Q83" s="779"/>
      <c r="R83" s="779"/>
      <c r="S83" s="779"/>
      <c r="T83" s="779"/>
      <c r="U83" s="779"/>
      <c r="V83" s="779"/>
      <c r="W83" s="779"/>
      <c r="X83" s="779"/>
      <c r="Y83" s="779"/>
      <c r="Z83" s="779"/>
      <c r="AA83" s="779"/>
      <c r="AB83" s="779"/>
      <c r="AC83" s="779"/>
      <c r="AD83" s="779"/>
      <c r="AE83" s="779"/>
      <c r="AF83" s="779"/>
      <c r="AG83" s="779"/>
      <c r="AH83" s="779"/>
      <c r="AI83" s="779"/>
      <c r="AJ83" s="779"/>
      <c r="AK83" s="779"/>
      <c r="AL83" s="779"/>
      <c r="AM83" s="779"/>
      <c r="AN83" s="779"/>
      <c r="AO83" s="779"/>
      <c r="AP83" s="779"/>
    </row>
    <row r="84" ht="12.75" customHeight="1">
      <c r="A84" s="779"/>
      <c r="B84" s="779"/>
      <c r="C84" s="779"/>
      <c r="D84" s="779"/>
      <c r="E84" s="779"/>
      <c r="F84" s="779"/>
      <c r="G84" s="779"/>
      <c r="H84" s="779"/>
      <c r="I84" s="779"/>
      <c r="J84" s="779"/>
      <c r="K84" s="779"/>
      <c r="L84" s="779"/>
      <c r="M84" s="779"/>
      <c r="N84" s="779"/>
      <c r="O84" s="779"/>
      <c r="P84" s="779"/>
      <c r="Q84" s="779"/>
      <c r="R84" s="779"/>
      <c r="S84" s="779"/>
      <c r="T84" s="779"/>
      <c r="U84" s="779"/>
      <c r="V84" s="779"/>
      <c r="W84" s="779"/>
      <c r="X84" s="779"/>
      <c r="Y84" s="779"/>
      <c r="Z84" s="779"/>
      <c r="AA84" s="779"/>
      <c r="AB84" s="779"/>
      <c r="AC84" s="779"/>
      <c r="AD84" s="779"/>
      <c r="AE84" s="779"/>
      <c r="AF84" s="779"/>
      <c r="AG84" s="779"/>
      <c r="AH84" s="779"/>
      <c r="AI84" s="779"/>
      <c r="AJ84" s="779"/>
      <c r="AK84" s="779"/>
      <c r="AL84" s="779"/>
      <c r="AM84" s="779"/>
      <c r="AN84" s="779"/>
      <c r="AO84" s="779"/>
      <c r="AP84" s="779"/>
    </row>
    <row r="85" ht="12.75" customHeight="1">
      <c r="A85" s="779"/>
      <c r="B85" s="779"/>
      <c r="C85" s="779"/>
      <c r="D85" s="779"/>
      <c r="E85" s="779"/>
      <c r="F85" s="779"/>
      <c r="G85" s="779"/>
      <c r="H85" s="779"/>
      <c r="I85" s="779"/>
      <c r="J85" s="779"/>
      <c r="K85" s="779"/>
      <c r="L85" s="779"/>
      <c r="M85" s="779"/>
      <c r="N85" s="779"/>
      <c r="O85" s="779"/>
      <c r="P85" s="779"/>
      <c r="Q85" s="779"/>
      <c r="R85" s="779"/>
      <c r="S85" s="779"/>
      <c r="T85" s="779"/>
      <c r="U85" s="779"/>
      <c r="V85" s="779"/>
      <c r="W85" s="779"/>
      <c r="X85" s="779"/>
      <c r="Y85" s="779"/>
      <c r="Z85" s="779"/>
      <c r="AA85" s="779"/>
      <c r="AB85" s="779"/>
      <c r="AC85" s="779"/>
      <c r="AD85" s="779"/>
      <c r="AE85" s="779"/>
      <c r="AF85" s="779"/>
      <c r="AG85" s="779"/>
      <c r="AH85" s="779"/>
      <c r="AI85" s="779"/>
      <c r="AJ85" s="779"/>
      <c r="AK85" s="779"/>
      <c r="AL85" s="779"/>
      <c r="AM85" s="779"/>
      <c r="AN85" s="779"/>
      <c r="AO85" s="779"/>
      <c r="AP85" s="779"/>
    </row>
    <row r="86" ht="12.75" customHeight="1">
      <c r="A86" s="779"/>
      <c r="B86" s="779"/>
      <c r="C86" s="779"/>
      <c r="D86" s="779"/>
      <c r="E86" s="779"/>
      <c r="F86" s="779"/>
      <c r="G86" s="779"/>
      <c r="H86" s="779"/>
      <c r="I86" s="779"/>
      <c r="J86" s="779"/>
      <c r="K86" s="779"/>
      <c r="L86" s="779"/>
      <c r="M86" s="779"/>
      <c r="N86" s="779"/>
      <c r="O86" s="779"/>
      <c r="P86" s="779"/>
      <c r="Q86" s="779"/>
      <c r="R86" s="779"/>
      <c r="S86" s="779"/>
      <c r="T86" s="779"/>
      <c r="U86" s="779"/>
      <c r="V86" s="779"/>
      <c r="W86" s="779"/>
      <c r="X86" s="779"/>
      <c r="Y86" s="779"/>
      <c r="Z86" s="779"/>
      <c r="AA86" s="779"/>
      <c r="AB86" s="779"/>
      <c r="AC86" s="779"/>
      <c r="AD86" s="779"/>
      <c r="AE86" s="779"/>
      <c r="AF86" s="779"/>
      <c r="AG86" s="779"/>
      <c r="AH86" s="779"/>
      <c r="AI86" s="779"/>
      <c r="AJ86" s="779"/>
      <c r="AK86" s="779"/>
      <c r="AL86" s="779"/>
      <c r="AM86" s="779"/>
      <c r="AN86" s="779"/>
      <c r="AO86" s="779"/>
      <c r="AP86" s="779"/>
    </row>
    <row r="87" ht="12.75" customHeight="1">
      <c r="A87" s="779"/>
      <c r="B87" s="779"/>
      <c r="C87" s="779"/>
      <c r="D87" s="779"/>
      <c r="E87" s="779"/>
      <c r="F87" s="779"/>
      <c r="G87" s="779"/>
      <c r="H87" s="779"/>
      <c r="I87" s="779"/>
      <c r="J87" s="779"/>
      <c r="K87" s="779"/>
      <c r="L87" s="779"/>
      <c r="M87" s="779"/>
      <c r="N87" s="779"/>
      <c r="O87" s="779"/>
      <c r="P87" s="779"/>
      <c r="Q87" s="779"/>
      <c r="R87" s="779"/>
      <c r="S87" s="779"/>
      <c r="T87" s="779"/>
      <c r="U87" s="779"/>
      <c r="V87" s="779"/>
      <c r="W87" s="779"/>
      <c r="X87" s="779"/>
      <c r="Y87" s="779"/>
      <c r="Z87" s="779"/>
      <c r="AA87" s="779"/>
      <c r="AB87" s="779"/>
      <c r="AC87" s="779"/>
      <c r="AD87" s="779"/>
      <c r="AE87" s="779"/>
      <c r="AF87" s="779"/>
      <c r="AG87" s="779"/>
      <c r="AH87" s="779"/>
      <c r="AI87" s="779"/>
      <c r="AJ87" s="779"/>
      <c r="AK87" s="779"/>
      <c r="AL87" s="779"/>
      <c r="AM87" s="779"/>
      <c r="AN87" s="779"/>
      <c r="AO87" s="779"/>
      <c r="AP87" s="779"/>
    </row>
    <row r="88" ht="12.75" customHeight="1">
      <c r="A88" s="779"/>
      <c r="B88" s="779"/>
      <c r="C88" s="779"/>
      <c r="D88" s="779"/>
      <c r="E88" s="779"/>
      <c r="F88" s="779"/>
      <c r="G88" s="779"/>
      <c r="H88" s="779"/>
      <c r="I88" s="779"/>
      <c r="J88" s="779"/>
      <c r="K88" s="779"/>
      <c r="L88" s="779"/>
      <c r="M88" s="779"/>
      <c r="N88" s="779"/>
      <c r="O88" s="779"/>
      <c r="P88" s="779"/>
      <c r="Q88" s="779"/>
      <c r="R88" s="779"/>
      <c r="S88" s="779"/>
      <c r="T88" s="779"/>
      <c r="U88" s="779"/>
      <c r="V88" s="779"/>
      <c r="W88" s="779"/>
      <c r="X88" s="779"/>
      <c r="Y88" s="779"/>
      <c r="Z88" s="779"/>
      <c r="AA88" s="779"/>
      <c r="AB88" s="779"/>
      <c r="AC88" s="779"/>
      <c r="AD88" s="779"/>
      <c r="AE88" s="779"/>
      <c r="AF88" s="779"/>
      <c r="AG88" s="779"/>
      <c r="AH88" s="779"/>
      <c r="AI88" s="779"/>
      <c r="AJ88" s="779"/>
      <c r="AK88" s="779"/>
      <c r="AL88" s="779"/>
      <c r="AM88" s="779"/>
      <c r="AN88" s="779"/>
      <c r="AO88" s="779"/>
      <c r="AP88" s="779"/>
    </row>
    <row r="89" ht="12.75" customHeight="1">
      <c r="A89" s="779"/>
      <c r="B89" s="779"/>
      <c r="C89" s="779"/>
      <c r="D89" s="779"/>
      <c r="E89" s="779"/>
      <c r="F89" s="779"/>
      <c r="G89" s="779"/>
      <c r="H89" s="779"/>
      <c r="I89" s="779"/>
      <c r="J89" s="779"/>
      <c r="K89" s="779"/>
      <c r="L89" s="779"/>
      <c r="M89" s="779"/>
      <c r="N89" s="779"/>
      <c r="O89" s="779"/>
      <c r="P89" s="779"/>
      <c r="Q89" s="779"/>
      <c r="R89" s="779"/>
      <c r="S89" s="779"/>
      <c r="T89" s="779"/>
      <c r="U89" s="779"/>
      <c r="V89" s="779"/>
      <c r="W89" s="779"/>
      <c r="X89" s="779"/>
      <c r="Y89" s="779"/>
      <c r="Z89" s="779"/>
      <c r="AA89" s="779"/>
      <c r="AB89" s="779"/>
      <c r="AC89" s="779"/>
      <c r="AD89" s="779"/>
      <c r="AE89" s="779"/>
      <c r="AF89" s="779"/>
      <c r="AG89" s="779"/>
      <c r="AH89" s="779"/>
      <c r="AI89" s="779"/>
      <c r="AJ89" s="779"/>
      <c r="AK89" s="779"/>
      <c r="AL89" s="779"/>
      <c r="AM89" s="779"/>
      <c r="AN89" s="779"/>
      <c r="AO89" s="779"/>
      <c r="AP89" s="779"/>
    </row>
    <row r="90" ht="12.75" customHeight="1">
      <c r="A90" s="779"/>
      <c r="B90" s="779"/>
      <c r="C90" s="779"/>
      <c r="D90" s="779"/>
      <c r="E90" s="779"/>
      <c r="F90" s="779"/>
      <c r="G90" s="779"/>
      <c r="H90" s="779"/>
      <c r="I90" s="779"/>
      <c r="J90" s="779"/>
      <c r="K90" s="779"/>
      <c r="L90" s="779"/>
      <c r="M90" s="779"/>
      <c r="N90" s="779"/>
      <c r="O90" s="779"/>
      <c r="P90" s="779"/>
      <c r="Q90" s="779"/>
      <c r="R90" s="779"/>
      <c r="S90" s="779"/>
      <c r="T90" s="779"/>
      <c r="U90" s="779"/>
      <c r="V90" s="779"/>
      <c r="W90" s="779"/>
      <c r="X90" s="779"/>
      <c r="Y90" s="779"/>
      <c r="Z90" s="779"/>
      <c r="AA90" s="779"/>
      <c r="AB90" s="779"/>
      <c r="AC90" s="779"/>
      <c r="AD90" s="779"/>
      <c r="AE90" s="779"/>
      <c r="AF90" s="779"/>
      <c r="AG90" s="779"/>
      <c r="AH90" s="779"/>
      <c r="AI90" s="779"/>
      <c r="AJ90" s="779"/>
      <c r="AK90" s="779"/>
      <c r="AL90" s="779"/>
      <c r="AM90" s="779"/>
      <c r="AN90" s="779"/>
      <c r="AO90" s="779"/>
      <c r="AP90" s="779"/>
    </row>
    <row r="91" ht="12.75" customHeight="1">
      <c r="A91" s="779"/>
      <c r="B91" s="779"/>
      <c r="C91" s="779"/>
      <c r="D91" s="779"/>
      <c r="E91" s="779"/>
      <c r="F91" s="779"/>
      <c r="G91" s="779"/>
      <c r="H91" s="779"/>
      <c r="I91" s="779"/>
      <c r="J91" s="779"/>
      <c r="K91" s="779"/>
      <c r="L91" s="779"/>
      <c r="M91" s="779"/>
      <c r="N91" s="779"/>
      <c r="O91" s="779"/>
      <c r="P91" s="779"/>
      <c r="Q91" s="779"/>
      <c r="R91" s="779"/>
      <c r="S91" s="779"/>
      <c r="T91" s="779"/>
      <c r="U91" s="779"/>
      <c r="V91" s="779"/>
      <c r="W91" s="779"/>
      <c r="X91" s="779"/>
      <c r="Y91" s="779"/>
      <c r="Z91" s="779"/>
      <c r="AA91" s="779"/>
      <c r="AB91" s="779"/>
      <c r="AC91" s="779"/>
      <c r="AD91" s="779"/>
      <c r="AE91" s="779"/>
      <c r="AF91" s="779"/>
      <c r="AG91" s="779"/>
      <c r="AH91" s="779"/>
      <c r="AI91" s="779"/>
      <c r="AJ91" s="779"/>
      <c r="AK91" s="779"/>
      <c r="AL91" s="779"/>
      <c r="AM91" s="779"/>
      <c r="AN91" s="779"/>
      <c r="AO91" s="779"/>
      <c r="AP91" s="779"/>
    </row>
    <row r="92" ht="12.75" customHeight="1">
      <c r="A92" s="779"/>
      <c r="B92" s="779"/>
      <c r="C92" s="779"/>
      <c r="D92" s="779"/>
      <c r="E92" s="779"/>
      <c r="F92" s="779"/>
      <c r="G92" s="779"/>
      <c r="H92" s="779"/>
      <c r="I92" s="779"/>
      <c r="J92" s="779"/>
      <c r="K92" s="779"/>
      <c r="L92" s="779"/>
      <c r="M92" s="779"/>
      <c r="N92" s="779"/>
      <c r="O92" s="779"/>
      <c r="P92" s="779"/>
      <c r="Q92" s="779"/>
      <c r="R92" s="779"/>
      <c r="S92" s="779"/>
      <c r="T92" s="779"/>
      <c r="U92" s="779"/>
      <c r="V92" s="779"/>
      <c r="W92" s="779"/>
      <c r="X92" s="779"/>
      <c r="Y92" s="779"/>
      <c r="Z92" s="779"/>
      <c r="AA92" s="779"/>
      <c r="AB92" s="779"/>
      <c r="AC92" s="779"/>
      <c r="AD92" s="779"/>
      <c r="AE92" s="779"/>
      <c r="AF92" s="779"/>
      <c r="AG92" s="779"/>
      <c r="AH92" s="779"/>
      <c r="AI92" s="779"/>
      <c r="AJ92" s="779"/>
      <c r="AK92" s="779"/>
      <c r="AL92" s="779"/>
      <c r="AM92" s="779"/>
      <c r="AN92" s="779"/>
      <c r="AO92" s="779"/>
      <c r="AP92" s="779"/>
    </row>
    <row r="93" ht="12.75" customHeight="1">
      <c r="A93" s="779"/>
      <c r="B93" s="779"/>
      <c r="C93" s="779"/>
      <c r="D93" s="779"/>
      <c r="E93" s="779"/>
      <c r="F93" s="779"/>
      <c r="G93" s="779"/>
      <c r="H93" s="779"/>
      <c r="I93" s="779"/>
      <c r="J93" s="779"/>
      <c r="K93" s="779"/>
      <c r="L93" s="779"/>
      <c r="M93" s="779"/>
      <c r="N93" s="779"/>
      <c r="O93" s="779"/>
      <c r="P93" s="779"/>
      <c r="Q93" s="779"/>
      <c r="R93" s="779"/>
      <c r="S93" s="779"/>
      <c r="T93" s="779"/>
      <c r="U93" s="779"/>
      <c r="V93" s="779"/>
      <c r="W93" s="779"/>
      <c r="X93" s="779"/>
      <c r="Y93" s="779"/>
      <c r="Z93" s="779"/>
      <c r="AA93" s="779"/>
      <c r="AB93" s="779"/>
      <c r="AC93" s="779"/>
      <c r="AD93" s="779"/>
      <c r="AE93" s="779"/>
      <c r="AF93" s="779"/>
      <c r="AG93" s="779"/>
      <c r="AH93" s="779"/>
      <c r="AI93" s="779"/>
      <c r="AJ93" s="779"/>
      <c r="AK93" s="779"/>
      <c r="AL93" s="779"/>
      <c r="AM93" s="779"/>
      <c r="AN93" s="779"/>
      <c r="AO93" s="779"/>
      <c r="AP93" s="779"/>
    </row>
    <row r="94" ht="12.75" customHeight="1">
      <c r="A94" s="779"/>
      <c r="B94" s="779"/>
      <c r="C94" s="779"/>
      <c r="D94" s="779"/>
      <c r="E94" s="779"/>
      <c r="F94" s="779"/>
      <c r="G94" s="779"/>
      <c r="H94" s="779"/>
      <c r="I94" s="779"/>
      <c r="J94" s="779"/>
      <c r="K94" s="779"/>
      <c r="L94" s="779"/>
      <c r="M94" s="779"/>
      <c r="N94" s="779"/>
      <c r="O94" s="779"/>
      <c r="P94" s="779"/>
      <c r="Q94" s="779"/>
      <c r="R94" s="779"/>
      <c r="S94" s="779"/>
      <c r="T94" s="779"/>
      <c r="U94" s="779"/>
      <c r="V94" s="779"/>
      <c r="W94" s="779"/>
      <c r="X94" s="779"/>
      <c r="Y94" s="779"/>
      <c r="Z94" s="779"/>
      <c r="AA94" s="779"/>
      <c r="AB94" s="779"/>
      <c r="AC94" s="779"/>
      <c r="AD94" s="779"/>
      <c r="AE94" s="779"/>
      <c r="AF94" s="779"/>
      <c r="AG94" s="779"/>
      <c r="AH94" s="779"/>
      <c r="AI94" s="779"/>
      <c r="AJ94" s="779"/>
      <c r="AK94" s="779"/>
      <c r="AL94" s="779"/>
      <c r="AM94" s="779"/>
      <c r="AN94" s="779"/>
      <c r="AO94" s="779"/>
      <c r="AP94" s="779"/>
    </row>
    <row r="95" ht="12.75" customHeight="1">
      <c r="A95" s="779"/>
      <c r="B95" s="779"/>
      <c r="C95" s="779"/>
      <c r="D95" s="779"/>
      <c r="E95" s="779"/>
      <c r="F95" s="779"/>
      <c r="G95" s="779"/>
      <c r="H95" s="779"/>
      <c r="I95" s="779"/>
      <c r="J95" s="779"/>
      <c r="K95" s="779"/>
      <c r="L95" s="779"/>
      <c r="M95" s="779"/>
      <c r="N95" s="779"/>
      <c r="O95" s="779"/>
      <c r="P95" s="779"/>
      <c r="Q95" s="779"/>
      <c r="R95" s="779"/>
      <c r="S95" s="779"/>
      <c r="T95" s="779"/>
      <c r="U95" s="779"/>
      <c r="V95" s="779"/>
      <c r="W95" s="779"/>
      <c r="X95" s="779"/>
      <c r="Y95" s="779"/>
      <c r="Z95" s="779"/>
      <c r="AA95" s="779"/>
      <c r="AB95" s="779"/>
      <c r="AC95" s="779"/>
      <c r="AD95" s="779"/>
      <c r="AE95" s="779"/>
      <c r="AF95" s="779"/>
      <c r="AG95" s="779"/>
      <c r="AH95" s="779"/>
      <c r="AI95" s="779"/>
      <c r="AJ95" s="779"/>
      <c r="AK95" s="779"/>
      <c r="AL95" s="779"/>
      <c r="AM95" s="779"/>
      <c r="AN95" s="779"/>
      <c r="AO95" s="779"/>
      <c r="AP95" s="779"/>
    </row>
    <row r="96" ht="12.75" customHeight="1">
      <c r="A96" s="779"/>
      <c r="B96" s="779"/>
      <c r="C96" s="779"/>
      <c r="D96" s="779"/>
      <c r="E96" s="779"/>
      <c r="F96" s="779"/>
      <c r="G96" s="779"/>
      <c r="H96" s="779"/>
      <c r="I96" s="779"/>
      <c r="J96" s="779"/>
      <c r="K96" s="779"/>
      <c r="L96" s="779"/>
      <c r="M96" s="779"/>
      <c r="N96" s="779"/>
      <c r="O96" s="779"/>
      <c r="P96" s="779"/>
      <c r="Q96" s="779"/>
      <c r="R96" s="779"/>
      <c r="S96" s="779"/>
      <c r="T96" s="779"/>
      <c r="U96" s="779"/>
      <c r="V96" s="779"/>
      <c r="W96" s="779"/>
      <c r="X96" s="779"/>
      <c r="Y96" s="779"/>
      <c r="Z96" s="779"/>
      <c r="AA96" s="779"/>
      <c r="AB96" s="779"/>
      <c r="AC96" s="779"/>
      <c r="AD96" s="779"/>
      <c r="AE96" s="779"/>
      <c r="AF96" s="779"/>
      <c r="AG96" s="779"/>
      <c r="AH96" s="779"/>
      <c r="AI96" s="779"/>
      <c r="AJ96" s="779"/>
      <c r="AK96" s="779"/>
      <c r="AL96" s="779"/>
      <c r="AM96" s="779"/>
      <c r="AN96" s="779"/>
      <c r="AO96" s="779"/>
      <c r="AP96" s="779"/>
    </row>
    <row r="97" ht="12.75" customHeight="1">
      <c r="A97" s="779"/>
      <c r="B97" s="779"/>
      <c r="C97" s="779"/>
      <c r="D97" s="779"/>
      <c r="E97" s="779"/>
      <c r="F97" s="779"/>
      <c r="G97" s="779"/>
      <c r="H97" s="779"/>
      <c r="I97" s="779"/>
      <c r="J97" s="779"/>
      <c r="K97" s="779"/>
      <c r="L97" s="779"/>
      <c r="M97" s="779"/>
      <c r="N97" s="779"/>
      <c r="O97" s="779"/>
      <c r="P97" s="779"/>
      <c r="Q97" s="779"/>
      <c r="R97" s="779"/>
      <c r="S97" s="779"/>
      <c r="T97" s="779"/>
      <c r="U97" s="779"/>
      <c r="V97" s="779"/>
      <c r="W97" s="779"/>
      <c r="X97" s="779"/>
      <c r="Y97" s="779"/>
      <c r="Z97" s="779"/>
      <c r="AA97" s="779"/>
      <c r="AB97" s="779"/>
      <c r="AC97" s="779"/>
      <c r="AD97" s="779"/>
      <c r="AE97" s="779"/>
      <c r="AF97" s="779"/>
      <c r="AG97" s="779"/>
      <c r="AH97" s="779"/>
      <c r="AI97" s="779"/>
      <c r="AJ97" s="779"/>
      <c r="AK97" s="779"/>
      <c r="AL97" s="779"/>
      <c r="AM97" s="779"/>
      <c r="AN97" s="779"/>
      <c r="AO97" s="779"/>
      <c r="AP97" s="779"/>
    </row>
    <row r="98" ht="12.75" customHeight="1">
      <c r="A98" s="779"/>
      <c r="B98" s="779"/>
      <c r="C98" s="779"/>
      <c r="D98" s="779"/>
      <c r="E98" s="779"/>
      <c r="F98" s="779"/>
      <c r="G98" s="779"/>
      <c r="H98" s="779"/>
      <c r="I98" s="779"/>
      <c r="J98" s="779"/>
      <c r="K98" s="779"/>
      <c r="L98" s="779"/>
      <c r="M98" s="779"/>
      <c r="N98" s="779"/>
      <c r="O98" s="779"/>
      <c r="P98" s="779"/>
      <c r="Q98" s="779"/>
      <c r="R98" s="779"/>
      <c r="S98" s="779"/>
      <c r="T98" s="779"/>
      <c r="U98" s="779"/>
      <c r="V98" s="779"/>
      <c r="W98" s="779"/>
      <c r="X98" s="779"/>
      <c r="Y98" s="779"/>
      <c r="Z98" s="779"/>
      <c r="AA98" s="779"/>
      <c r="AB98" s="779"/>
      <c r="AC98" s="779"/>
      <c r="AD98" s="779"/>
      <c r="AE98" s="779"/>
      <c r="AF98" s="779"/>
      <c r="AG98" s="779"/>
      <c r="AH98" s="779"/>
      <c r="AI98" s="779"/>
      <c r="AJ98" s="779"/>
      <c r="AK98" s="779"/>
      <c r="AL98" s="779"/>
      <c r="AM98" s="779"/>
      <c r="AN98" s="779"/>
      <c r="AO98" s="779"/>
      <c r="AP98" s="779"/>
    </row>
    <row r="99" ht="12.75" customHeight="1">
      <c r="A99" s="779"/>
      <c r="B99" s="779"/>
      <c r="C99" s="779"/>
      <c r="D99" s="779"/>
      <c r="E99" s="779"/>
      <c r="F99" s="779"/>
      <c r="G99" s="779"/>
      <c r="H99" s="779"/>
      <c r="I99" s="779"/>
      <c r="J99" s="779"/>
      <c r="K99" s="779"/>
      <c r="L99" s="779"/>
      <c r="M99" s="779"/>
      <c r="N99" s="779"/>
      <c r="O99" s="779"/>
      <c r="P99" s="779"/>
      <c r="Q99" s="779"/>
      <c r="R99" s="779"/>
      <c r="S99" s="779"/>
      <c r="T99" s="779"/>
      <c r="U99" s="779"/>
      <c r="V99" s="779"/>
      <c r="W99" s="779"/>
      <c r="X99" s="779"/>
      <c r="Y99" s="779"/>
      <c r="Z99" s="779"/>
      <c r="AA99" s="779"/>
      <c r="AB99" s="779"/>
      <c r="AC99" s="779"/>
      <c r="AD99" s="779"/>
      <c r="AE99" s="779"/>
      <c r="AF99" s="779"/>
      <c r="AG99" s="779"/>
      <c r="AH99" s="779"/>
      <c r="AI99" s="779"/>
      <c r="AJ99" s="779"/>
      <c r="AK99" s="779"/>
      <c r="AL99" s="779"/>
      <c r="AM99" s="779"/>
      <c r="AN99" s="779"/>
      <c r="AO99" s="779"/>
      <c r="AP99" s="779"/>
    </row>
    <row r="100" ht="12.75" customHeight="1">
      <c r="A100" s="779"/>
      <c r="B100" s="779"/>
      <c r="C100" s="779"/>
      <c r="D100" s="779"/>
      <c r="E100" s="779"/>
      <c r="F100" s="779"/>
      <c r="G100" s="779"/>
      <c r="H100" s="779"/>
      <c r="I100" s="779"/>
      <c r="J100" s="779"/>
      <c r="K100" s="779"/>
      <c r="L100" s="779"/>
      <c r="M100" s="779"/>
      <c r="N100" s="779"/>
      <c r="O100" s="779"/>
      <c r="P100" s="779"/>
      <c r="Q100" s="779"/>
      <c r="R100" s="779"/>
      <c r="S100" s="779"/>
      <c r="T100" s="779"/>
      <c r="U100" s="779"/>
      <c r="V100" s="779"/>
      <c r="W100" s="779"/>
      <c r="X100" s="779"/>
      <c r="Y100" s="779"/>
      <c r="Z100" s="779"/>
      <c r="AA100" s="779"/>
      <c r="AB100" s="779"/>
      <c r="AC100" s="779"/>
      <c r="AD100" s="779"/>
      <c r="AE100" s="779"/>
      <c r="AF100" s="779"/>
      <c r="AG100" s="779"/>
      <c r="AH100" s="779"/>
      <c r="AI100" s="779"/>
      <c r="AJ100" s="779"/>
      <c r="AK100" s="779"/>
      <c r="AL100" s="808"/>
      <c r="AM100" s="779"/>
      <c r="AN100" s="779"/>
      <c r="AO100" s="779"/>
      <c r="AP100" s="779"/>
    </row>
  </sheetData>
  <mergeCells count="45">
    <mergeCell ref="AF3:AF4"/>
    <mergeCell ref="N3:N4"/>
    <mergeCell ref="O3:O4"/>
    <mergeCell ref="P3:P4"/>
    <mergeCell ref="Q3:Q4"/>
    <mergeCell ref="R3:R4"/>
    <mergeCell ref="T3:T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AM3:AO3"/>
    <mergeCell ref="AM5:AM20"/>
    <mergeCell ref="AN5:AN20"/>
    <mergeCell ref="AO5:AO20"/>
    <mergeCell ref="A20:D20"/>
    <mergeCell ref="AG3:AG4"/>
    <mergeCell ref="AH3:AH4"/>
    <mergeCell ref="M3:M4"/>
    <mergeCell ref="AI3:AI4"/>
    <mergeCell ref="AJ3:AJ4"/>
    <mergeCell ref="AK3:AK4"/>
    <mergeCell ref="AL3:AL4"/>
    <mergeCell ref="AA3:AA4"/>
    <mergeCell ref="AB3:AB4"/>
    <mergeCell ref="AC3:AC4"/>
    <mergeCell ref="AD3:AD4"/>
    <mergeCell ref="AE3:AE4"/>
    <mergeCell ref="S3:S4"/>
    <mergeCell ref="U3:U4"/>
    <mergeCell ref="V3:V4"/>
    <mergeCell ref="W3:W4"/>
    <mergeCell ref="X3:X4"/>
    <mergeCell ref="Y3:Y4"/>
    <mergeCell ref="Z3:Z4"/>
    <mergeCell ref="A1:AO1"/>
    <mergeCell ref="A2:AO2"/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baseType="lpstr" size="18">
      <vt:lpstr>VC-765kV MKTL</vt:lpstr>
      <vt:lpstr>SUMMARY</vt:lpstr>
      <vt:lpstr>FDN pivot</vt:lpstr>
      <vt:lpstr>Erc pivot</vt:lpstr>
      <vt:lpstr>ERECTION</vt:lpstr>
      <vt:lpstr>FOUNDATION</vt:lpstr>
      <vt:lpstr>XING</vt:lpstr>
      <vt:lpstr>EARTHING</vt:lpstr>
      <vt:lpstr>DPR</vt:lpstr>
      <vt:lpstr>SUPPLY</vt:lpstr>
      <vt:lpstr>CST Gantry To AP 68 Common Poin</vt:lpstr>
      <vt:lpstr>Sheet1</vt:lpstr>
      <vt:lpstr>SURVEY SUMMARY</vt:lpstr>
      <vt:lpstr>SURVEY STATUS</vt:lpstr>
      <vt:lpstr>Erection productivity</vt:lpstr>
      <vt:lpstr>DPR!Print_Area</vt:lpstr>
      <vt:lpstr>'VC-765kV MKTL'!Print_Area</vt:lpstr>
      <vt:lpstr>DPR!Print_Titles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Pawan Sharma</dc:creator>
  <cp:lastModifiedBy>Gannu Banna</cp:lastModifiedBy>
  <cp:lastPrinted>2026-05-07T07:04:50Z</cp:lastPrinted>
  <dcterms:modified xsi:type="dcterms:W3CDTF">2026-05-19T05:10:32Z</dcterms:modified>
</cp:coreProperties>
</file>