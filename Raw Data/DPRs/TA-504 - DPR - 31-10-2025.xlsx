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jects\DPR\TA-504\"/>
    </mc:Choice>
  </mc:AlternateContent>
  <xr:revisionPtr revIDLastSave="0" documentId="13_ncr:1_{FC5F8A56-292D-4409-A9EE-55C92D74833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pt-25" sheetId="1" r:id="rId1"/>
    <sheet name="Oct-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M8" i="2" s="1"/>
  <c r="L7" i="2" l="1"/>
  <c r="L5" i="2"/>
  <c r="M5" i="2" s="1"/>
  <c r="L6" i="2"/>
  <c r="M6" i="2" s="1"/>
  <c r="L3" i="2"/>
  <c r="M3" i="2" s="1"/>
  <c r="L4" i="2"/>
  <c r="M4" i="2" s="1"/>
  <c r="L2" i="2"/>
  <c r="M2" i="2" s="1"/>
  <c r="M7" i="2" l="1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F10" i="2"/>
  <c r="AR9" i="2"/>
  <c r="L9" i="2"/>
  <c r="L10" i="2" s="1"/>
  <c r="AR8" i="2"/>
  <c r="AR7" i="2"/>
  <c r="AR6" i="2"/>
  <c r="AR5" i="2"/>
  <c r="AR4" i="2"/>
  <c r="AR3" i="2"/>
  <c r="AR2" i="2"/>
  <c r="O1" i="2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N8" i="1"/>
  <c r="N9" i="1"/>
  <c r="O9" i="1" s="1"/>
  <c r="N10" i="1"/>
  <c r="O10" i="1" s="1"/>
  <c r="N11" i="1"/>
  <c r="O11" i="1" s="1"/>
  <c r="N12" i="1"/>
  <c r="O12" i="1" s="1"/>
  <c r="N13" i="1"/>
  <c r="M10" i="2" l="1"/>
  <c r="AR10" i="2"/>
  <c r="O8" i="1"/>
  <c r="N7" i="1"/>
  <c r="O7" i="1" s="1"/>
  <c r="N6" i="1"/>
  <c r="O6" i="1" s="1"/>
  <c r="AT5" i="1"/>
  <c r="AT4" i="1"/>
  <c r="AT6" i="1"/>
  <c r="AT7" i="1"/>
  <c r="AT8" i="1"/>
  <c r="AT9" i="1"/>
  <c r="AT10" i="1"/>
  <c r="AT11" i="1"/>
  <c r="AT12" i="1"/>
  <c r="AT13" i="1"/>
  <c r="N5" i="1"/>
  <c r="O5" i="1" s="1"/>
  <c r="N4" i="1"/>
  <c r="O4" i="1" s="1"/>
  <c r="AT14" i="1" l="1"/>
  <c r="Q3" i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P14" i="1" l="1"/>
  <c r="H14" i="1"/>
</calcChain>
</file>

<file path=xl/sharedStrings.xml><?xml version="1.0" encoding="utf-8"?>
<sst xmlns="http://schemas.openxmlformats.org/spreadsheetml/2006/main" count="102" uniqueCount="63">
  <si>
    <t>SL NO</t>
  </si>
  <si>
    <t>SUPERVISOR</t>
  </si>
  <si>
    <t>SECTION INCHARGE</t>
  </si>
  <si>
    <t>LOCATION NO</t>
  </si>
  <si>
    <t>TYPE OF TOWER</t>
  </si>
  <si>
    <t>WEIGHT IN MT</t>
  </si>
  <si>
    <t>Total Tonnage Completed</t>
  </si>
  <si>
    <t>Start Date</t>
  </si>
  <si>
    <t>Next Towers</t>
  </si>
  <si>
    <t>27/0</t>
  </si>
  <si>
    <t>26/0</t>
  </si>
  <si>
    <t>17/0</t>
  </si>
  <si>
    <t>Present Location</t>
  </si>
  <si>
    <t>Remarks</t>
  </si>
  <si>
    <t>Gang</t>
  </si>
  <si>
    <t>End Date</t>
  </si>
  <si>
    <t>Pinki Devi</t>
  </si>
  <si>
    <t>Ghanshyam Mahto</t>
  </si>
  <si>
    <t>DB2+0</t>
  </si>
  <si>
    <t>23/2</t>
  </si>
  <si>
    <t>DA+0</t>
  </si>
  <si>
    <t>Teklal Mahto</t>
  </si>
  <si>
    <t>Khemchand</t>
  </si>
  <si>
    <t>No. of Days taken</t>
  </si>
  <si>
    <t>18/0</t>
  </si>
  <si>
    <t>DB1+9</t>
  </si>
  <si>
    <t>30/2</t>
  </si>
  <si>
    <t>DA+3</t>
  </si>
  <si>
    <t>Neha Const.</t>
  </si>
  <si>
    <t>DATE-14-09-2025</t>
  </si>
  <si>
    <t>Date wise Productivity</t>
  </si>
  <si>
    <t>Nitesh Gupta</t>
  </si>
  <si>
    <t>Rahul Maharana</t>
  </si>
  <si>
    <t>Prasant Kumar</t>
  </si>
  <si>
    <t>11/0</t>
  </si>
  <si>
    <t>13/1</t>
  </si>
  <si>
    <t>16/3</t>
  </si>
  <si>
    <t>DB1+6</t>
  </si>
  <si>
    <t>Sainik Traders</t>
  </si>
  <si>
    <t>Karam Const.</t>
  </si>
  <si>
    <t>24/1</t>
  </si>
  <si>
    <t>29/2</t>
  </si>
  <si>
    <t>Ghyansham Mahto</t>
  </si>
  <si>
    <t>Akhtar</t>
  </si>
  <si>
    <t>Ashutosh</t>
  </si>
  <si>
    <t>Avg. Productivity per Day (MT)</t>
  </si>
  <si>
    <t>ERECTION PRODUCTIVITY- TA-504 for the month of September-2025</t>
  </si>
  <si>
    <t>12/0</t>
  </si>
  <si>
    <t>21/0</t>
  </si>
  <si>
    <t>DB2+6</t>
  </si>
  <si>
    <t>30/4</t>
  </si>
  <si>
    <t>Karam Mahto</t>
  </si>
  <si>
    <t>24/0</t>
  </si>
  <si>
    <t>27/1</t>
  </si>
  <si>
    <t>30/5</t>
  </si>
  <si>
    <t>26/4</t>
  </si>
  <si>
    <t>DA-3</t>
  </si>
  <si>
    <t>Starting Date</t>
  </si>
  <si>
    <t>Ending Date</t>
  </si>
  <si>
    <t>Sl. No.</t>
  </si>
  <si>
    <t>Gang Name</t>
  </si>
  <si>
    <t>No of Days Taken</t>
  </si>
  <si>
    <t>Productivity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</si>
</sst>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2" fillId="0" borderId="1" xfId="0" applyNumberFormat="1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2" fontId="3" fillId="0" borderId="1" xfId="0" quotePrefix="1" applyNumberFormat="1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4" fontId="1" fillId="5" borderId="7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2" fontId="0" fillId="0" borderId="22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4" fontId="0" fillId="0" borderId="25" xfId="0" applyNumberFormat="1" applyBorder="1" applyAlignment="1">
      <alignment horizontal="center" vertical="center" wrapText="1"/>
    </xf>
    <xf numFmtId="14" fontId="0" fillId="0" borderId="24" xfId="0" applyNumberForma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1" fillId="6" borderId="17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1" fillId="6" borderId="4" xfId="0" applyNumberFormat="1" applyFont="1" applyFill="1" applyBorder="1" applyAlignment="1">
      <alignment horizontal="center" vertical="center" wrapText="1"/>
    </xf>
    <xf numFmtId="1" fontId="1" fillId="6" borderId="4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14" fontId="1" fillId="5" borderId="27" xfId="0" applyNumberFormat="1" applyFont="1" applyFill="1" applyBorder="1" applyAlignment="1">
      <alignment horizontal="center" vertical="center" wrapText="1"/>
    </xf>
    <xf numFmtId="2" fontId="0" fillId="0" borderId="28" xfId="0" applyNumberFormat="1" applyBorder="1" applyAlignment="1">
      <alignment horizontal="center" vertical="center" wrapText="1"/>
    </xf>
    <xf numFmtId="165" fontId="0" fillId="0" borderId="29" xfId="0" applyNumberFormat="1" applyBorder="1" applyAlignment="1">
      <alignment horizontal="center" vertical="center" wrapText="1"/>
    </xf>
    <xf numFmtId="1" fontId="0" fillId="0" borderId="29" xfId="0" applyNumberFormat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0" fillId="0" borderId="31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2" fontId="1" fillId="6" borderId="33" xfId="0" applyNumberFormat="1" applyFont="1" applyFill="1" applyBorder="1" applyAlignment="1">
      <alignment horizontal="center" vertical="center" wrapText="1"/>
    </xf>
    <xf numFmtId="2" fontId="0" fillId="0" borderId="32" xfId="0" applyNumberForma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U14"/>
  <sheetViews>
    <sheetView workbookViewId="0">
      <pane xSplit="15" ySplit="3" topLeftCell="P4" activePane="bottomRight" state="frozen"/>
      <selection pane="topRight" activeCell="P1" sqref="P1"/>
      <selection pane="bottomLeft" activeCell="A4" sqref="A4"/>
      <selection pane="bottomRight" activeCell="H5" sqref="H5"/>
    </sheetView>
  </sheetViews>
  <sheetFormatPr defaultColWidth="9.1796875" defaultRowHeight="14.5" x14ac:dyDescent="0.35"/>
  <cols>
    <col min="1" max="1" width="2.1796875" style="6" customWidth="1"/>
    <col min="2" max="2" width="6.1796875" style="6" bestFit="1" customWidth="1"/>
    <col min="3" max="3" width="20.7265625" style="6" customWidth="1"/>
    <col min="4" max="4" width="20.81640625" style="6" customWidth="1"/>
    <col min="5" max="5" width="12.453125" style="6" customWidth="1"/>
    <col min="6" max="7" width="10.54296875" style="6" customWidth="1"/>
    <col min="8" max="8" width="8.81640625" style="6" customWidth="1"/>
    <col min="9" max="11" width="8.81640625" style="6" hidden="1" customWidth="1"/>
    <col min="12" max="12" width="10.453125" style="6" bestFit="1" customWidth="1"/>
    <col min="13" max="13" width="11.453125" style="6" bestFit="1" customWidth="1"/>
    <col min="14" max="45" width="11.453125" style="6" customWidth="1"/>
    <col min="46" max="46" width="18" style="6" bestFit="1" customWidth="1"/>
    <col min="47" max="47" width="17.54296875" style="6" customWidth="1"/>
    <col min="48" max="16384" width="9.1796875" style="6"/>
  </cols>
  <sheetData>
    <row r="1" spans="2:47" ht="24" customHeight="1" thickBot="1" x14ac:dyDescent="0.4">
      <c r="B1" s="42" t="s">
        <v>46</v>
      </c>
      <c r="C1" s="43"/>
      <c r="D1" s="43"/>
      <c r="E1" s="43"/>
      <c r="F1" s="43"/>
      <c r="G1" s="43"/>
      <c r="H1" s="44"/>
      <c r="L1" s="13"/>
      <c r="AU1" s="7" t="s">
        <v>29</v>
      </c>
    </row>
    <row r="2" spans="2:47" ht="24" customHeight="1" x14ac:dyDescent="0.35">
      <c r="B2" s="49" t="s">
        <v>0</v>
      </c>
      <c r="C2" s="40" t="s">
        <v>2</v>
      </c>
      <c r="D2" s="40" t="s">
        <v>1</v>
      </c>
      <c r="E2" s="40" t="s">
        <v>14</v>
      </c>
      <c r="F2" s="51" t="s">
        <v>12</v>
      </c>
      <c r="G2" s="52"/>
      <c r="H2" s="53"/>
      <c r="I2" s="48" t="s">
        <v>8</v>
      </c>
      <c r="J2" s="48"/>
      <c r="K2" s="48"/>
      <c r="L2" s="40" t="s">
        <v>7</v>
      </c>
      <c r="M2" s="40" t="s">
        <v>15</v>
      </c>
      <c r="N2" s="40" t="s">
        <v>23</v>
      </c>
      <c r="O2" s="40" t="s">
        <v>45</v>
      </c>
      <c r="P2" s="45" t="s">
        <v>30</v>
      </c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36" t="s">
        <v>6</v>
      </c>
      <c r="AU2" s="38" t="s">
        <v>13</v>
      </c>
    </row>
    <row r="3" spans="2:47" ht="36" customHeight="1" thickBot="1" x14ac:dyDescent="0.4">
      <c r="B3" s="50"/>
      <c r="C3" s="41"/>
      <c r="D3" s="41"/>
      <c r="E3" s="41"/>
      <c r="F3" s="16" t="s">
        <v>3</v>
      </c>
      <c r="G3" s="16" t="s">
        <v>4</v>
      </c>
      <c r="H3" s="16" t="s">
        <v>5</v>
      </c>
      <c r="I3" s="16" t="s">
        <v>3</v>
      </c>
      <c r="J3" s="16" t="s">
        <v>4</v>
      </c>
      <c r="K3" s="16" t="s">
        <v>5</v>
      </c>
      <c r="L3" s="41"/>
      <c r="M3" s="41"/>
      <c r="N3" s="41"/>
      <c r="O3" s="41"/>
      <c r="P3" s="17">
        <v>45901</v>
      </c>
      <c r="Q3" s="17">
        <f>P3+1</f>
        <v>45902</v>
      </c>
      <c r="R3" s="17">
        <f t="shared" ref="R3:AS3" si="0">Q3+1</f>
        <v>45903</v>
      </c>
      <c r="S3" s="17">
        <f t="shared" si="0"/>
        <v>45904</v>
      </c>
      <c r="T3" s="17">
        <f t="shared" si="0"/>
        <v>45905</v>
      </c>
      <c r="U3" s="17">
        <f t="shared" si="0"/>
        <v>45906</v>
      </c>
      <c r="V3" s="17">
        <f t="shared" si="0"/>
        <v>45907</v>
      </c>
      <c r="W3" s="17">
        <f t="shared" si="0"/>
        <v>45908</v>
      </c>
      <c r="X3" s="17">
        <f t="shared" si="0"/>
        <v>45909</v>
      </c>
      <c r="Y3" s="17">
        <f t="shared" si="0"/>
        <v>45910</v>
      </c>
      <c r="Z3" s="17">
        <f t="shared" si="0"/>
        <v>45911</v>
      </c>
      <c r="AA3" s="17">
        <f t="shared" si="0"/>
        <v>45912</v>
      </c>
      <c r="AB3" s="17">
        <f t="shared" si="0"/>
        <v>45913</v>
      </c>
      <c r="AC3" s="17">
        <f t="shared" si="0"/>
        <v>45914</v>
      </c>
      <c r="AD3" s="17">
        <f t="shared" si="0"/>
        <v>45915</v>
      </c>
      <c r="AE3" s="17">
        <f t="shared" si="0"/>
        <v>45916</v>
      </c>
      <c r="AF3" s="17">
        <f t="shared" si="0"/>
        <v>45917</v>
      </c>
      <c r="AG3" s="17">
        <f t="shared" si="0"/>
        <v>45918</v>
      </c>
      <c r="AH3" s="17">
        <f t="shared" si="0"/>
        <v>45919</v>
      </c>
      <c r="AI3" s="17">
        <f t="shared" si="0"/>
        <v>45920</v>
      </c>
      <c r="AJ3" s="17">
        <f t="shared" si="0"/>
        <v>45921</v>
      </c>
      <c r="AK3" s="17">
        <f t="shared" si="0"/>
        <v>45922</v>
      </c>
      <c r="AL3" s="17">
        <f t="shared" si="0"/>
        <v>45923</v>
      </c>
      <c r="AM3" s="17">
        <f t="shared" si="0"/>
        <v>45924</v>
      </c>
      <c r="AN3" s="17">
        <f t="shared" si="0"/>
        <v>45925</v>
      </c>
      <c r="AO3" s="17">
        <f t="shared" si="0"/>
        <v>45926</v>
      </c>
      <c r="AP3" s="17">
        <f t="shared" si="0"/>
        <v>45927</v>
      </c>
      <c r="AQ3" s="17">
        <f t="shared" si="0"/>
        <v>45928</v>
      </c>
      <c r="AR3" s="17">
        <f t="shared" si="0"/>
        <v>45929</v>
      </c>
      <c r="AS3" s="17">
        <f t="shared" si="0"/>
        <v>45930</v>
      </c>
      <c r="AT3" s="37"/>
      <c r="AU3" s="39"/>
    </row>
    <row r="4" spans="2:47" ht="16.5" customHeight="1" x14ac:dyDescent="0.35">
      <c r="B4" s="8">
        <v>1</v>
      </c>
      <c r="C4" s="9" t="s">
        <v>22</v>
      </c>
      <c r="D4" s="9" t="s">
        <v>21</v>
      </c>
      <c r="E4" s="2" t="s">
        <v>16</v>
      </c>
      <c r="F4" s="9" t="s">
        <v>11</v>
      </c>
      <c r="G4" s="9" t="s">
        <v>18</v>
      </c>
      <c r="H4" s="25">
        <v>59.500628000000006</v>
      </c>
      <c r="I4" s="9" t="s">
        <v>9</v>
      </c>
      <c r="J4" s="9"/>
      <c r="K4" s="9"/>
      <c r="L4" s="10">
        <v>45894</v>
      </c>
      <c r="M4" s="10">
        <v>45908</v>
      </c>
      <c r="N4" s="9">
        <f>M4-L4</f>
        <v>14</v>
      </c>
      <c r="O4" s="25">
        <f>H4/N4</f>
        <v>4.250044857142858</v>
      </c>
      <c r="P4" s="25">
        <v>4</v>
      </c>
      <c r="Q4" s="25">
        <v>4.2</v>
      </c>
      <c r="R4" s="25">
        <v>4.3</v>
      </c>
      <c r="S4" s="25">
        <v>5.0999999999999996</v>
      </c>
      <c r="T4" s="25">
        <v>5.2</v>
      </c>
      <c r="U4" s="25">
        <v>2.2000000000000002</v>
      </c>
      <c r="V4" s="25">
        <v>2.2000000000000002</v>
      </c>
      <c r="W4" s="25">
        <v>3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6"/>
      <c r="AL4" s="26"/>
      <c r="AM4" s="26"/>
      <c r="AN4" s="26"/>
      <c r="AO4" s="26"/>
      <c r="AP4" s="26"/>
      <c r="AQ4" s="26"/>
      <c r="AR4" s="26"/>
      <c r="AS4" s="26"/>
      <c r="AT4" s="24">
        <f t="shared" ref="AT4:AT5" si="1">SUM(P4:AS4)</f>
        <v>30.2</v>
      </c>
      <c r="AU4" s="30"/>
    </row>
    <row r="5" spans="2:47" ht="31" x14ac:dyDescent="0.35">
      <c r="B5" s="11">
        <v>2</v>
      </c>
      <c r="C5" s="9" t="s">
        <v>22</v>
      </c>
      <c r="D5" s="33" t="s">
        <v>31</v>
      </c>
      <c r="E5" s="1" t="s">
        <v>17</v>
      </c>
      <c r="F5" s="5" t="s">
        <v>19</v>
      </c>
      <c r="G5" s="5" t="s">
        <v>20</v>
      </c>
      <c r="H5" s="20">
        <v>36.159756000000002</v>
      </c>
      <c r="I5" s="5" t="s">
        <v>10</v>
      </c>
      <c r="J5" s="5"/>
      <c r="K5" s="5"/>
      <c r="L5" s="12">
        <v>45895</v>
      </c>
      <c r="M5" s="10">
        <v>45910</v>
      </c>
      <c r="N5" s="9">
        <f>M5-L5</f>
        <v>15</v>
      </c>
      <c r="O5" s="25">
        <f t="shared" ref="O5:O12" si="2">H5/N5</f>
        <v>2.4106504000000002</v>
      </c>
      <c r="P5" s="21">
        <v>2.2000000000000002</v>
      </c>
      <c r="Q5" s="21">
        <v>2.5</v>
      </c>
      <c r="R5" s="20">
        <v>2.7</v>
      </c>
      <c r="S5" s="20">
        <v>2</v>
      </c>
      <c r="T5" s="20">
        <v>2</v>
      </c>
      <c r="U5" s="20">
        <v>1.8</v>
      </c>
      <c r="V5" s="20">
        <v>2.5</v>
      </c>
      <c r="W5" s="20">
        <v>3.1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7"/>
      <c r="AL5" s="27"/>
      <c r="AM5" s="27"/>
      <c r="AN5" s="27"/>
      <c r="AO5" s="27"/>
      <c r="AP5" s="27"/>
      <c r="AQ5" s="27"/>
      <c r="AR5" s="27"/>
      <c r="AS5" s="27"/>
      <c r="AT5" s="24">
        <f t="shared" si="1"/>
        <v>18.8</v>
      </c>
      <c r="AU5" s="29"/>
    </row>
    <row r="6" spans="2:47" ht="15.5" x14ac:dyDescent="0.35">
      <c r="B6" s="11">
        <v>3</v>
      </c>
      <c r="C6" s="9" t="s">
        <v>33</v>
      </c>
      <c r="D6" s="33" t="s">
        <v>21</v>
      </c>
      <c r="E6" s="31" t="s">
        <v>16</v>
      </c>
      <c r="F6" s="5" t="s">
        <v>24</v>
      </c>
      <c r="G6" s="5" t="s">
        <v>25</v>
      </c>
      <c r="H6" s="20">
        <v>66.775700999999998</v>
      </c>
      <c r="I6" s="5"/>
      <c r="J6" s="5"/>
      <c r="K6" s="5"/>
      <c r="L6" s="12">
        <v>45909</v>
      </c>
      <c r="M6" s="10">
        <v>45921</v>
      </c>
      <c r="N6" s="9">
        <f>M6-L6</f>
        <v>12</v>
      </c>
      <c r="O6" s="25">
        <f t="shared" si="2"/>
        <v>5.5646417499999998</v>
      </c>
      <c r="P6" s="28"/>
      <c r="Q6" s="21"/>
      <c r="R6" s="20"/>
      <c r="S6" s="20"/>
      <c r="T6" s="20"/>
      <c r="U6" s="20"/>
      <c r="V6" s="20"/>
      <c r="W6" s="20"/>
      <c r="X6" s="20">
        <v>3.2</v>
      </c>
      <c r="Y6" s="20">
        <v>5.0999999999999996</v>
      </c>
      <c r="Z6" s="20">
        <v>5.5</v>
      </c>
      <c r="AA6" s="20">
        <v>5.8</v>
      </c>
      <c r="AB6" s="20">
        <v>5.8</v>
      </c>
      <c r="AC6" s="20">
        <v>5.5</v>
      </c>
      <c r="AD6" s="20">
        <v>5.9</v>
      </c>
      <c r="AE6" s="20">
        <v>5.8</v>
      </c>
      <c r="AF6" s="20">
        <v>6</v>
      </c>
      <c r="AG6" s="20">
        <v>5.2</v>
      </c>
      <c r="AH6" s="20">
        <v>5.9</v>
      </c>
      <c r="AI6" s="20">
        <v>6</v>
      </c>
      <c r="AJ6" s="20">
        <v>1.1000000000000001</v>
      </c>
      <c r="AK6" s="27"/>
      <c r="AL6" s="27"/>
      <c r="AM6" s="27"/>
      <c r="AN6" s="27"/>
      <c r="AO6" s="27"/>
      <c r="AP6" s="27"/>
      <c r="AQ6" s="27"/>
      <c r="AR6" s="27"/>
      <c r="AS6" s="27"/>
      <c r="AT6" s="24">
        <f t="shared" ref="AT6:AT13" si="3">SUM(P6:AS6)</f>
        <v>66.8</v>
      </c>
      <c r="AU6" s="29"/>
    </row>
    <row r="7" spans="2:47" ht="15.5" x14ac:dyDescent="0.35">
      <c r="B7" s="11">
        <v>4</v>
      </c>
      <c r="C7" s="9" t="s">
        <v>33</v>
      </c>
      <c r="D7" s="33" t="s">
        <v>32</v>
      </c>
      <c r="E7" s="31" t="s">
        <v>28</v>
      </c>
      <c r="F7" s="5" t="s">
        <v>26</v>
      </c>
      <c r="G7" s="5" t="s">
        <v>27</v>
      </c>
      <c r="H7" s="20">
        <v>37.931087999999995</v>
      </c>
      <c r="I7" s="14"/>
      <c r="J7" s="5"/>
      <c r="K7" s="5"/>
      <c r="L7" s="12">
        <v>45897</v>
      </c>
      <c r="M7" s="10">
        <v>45917</v>
      </c>
      <c r="N7" s="9">
        <f>M7-L7</f>
        <v>20</v>
      </c>
      <c r="O7" s="25">
        <f t="shared" si="2"/>
        <v>1.8965543999999999</v>
      </c>
      <c r="P7" s="21">
        <v>1</v>
      </c>
      <c r="Q7" s="21">
        <v>1.5</v>
      </c>
      <c r="R7" s="21">
        <v>1.1000000000000001</v>
      </c>
      <c r="S7" s="21">
        <v>1.3</v>
      </c>
      <c r="T7" s="21">
        <v>2.5</v>
      </c>
      <c r="U7" s="21">
        <v>1.6</v>
      </c>
      <c r="V7" s="21">
        <v>1.4</v>
      </c>
      <c r="W7" s="21">
        <v>3.2</v>
      </c>
      <c r="X7" s="21">
        <v>2.1</v>
      </c>
      <c r="Y7" s="21">
        <v>2.5</v>
      </c>
      <c r="Z7" s="21">
        <v>2.2000000000000002</v>
      </c>
      <c r="AA7" s="21">
        <v>2.2999999999999998</v>
      </c>
      <c r="AB7" s="21">
        <v>1.8</v>
      </c>
      <c r="AC7" s="21">
        <v>1.1000000000000001</v>
      </c>
      <c r="AD7" s="20">
        <v>1</v>
      </c>
      <c r="AE7" s="20">
        <v>1.2</v>
      </c>
      <c r="AF7" s="20">
        <v>1.5</v>
      </c>
      <c r="AG7" s="20"/>
      <c r="AH7" s="20"/>
      <c r="AI7" s="20"/>
      <c r="AJ7" s="20"/>
      <c r="AK7" s="27"/>
      <c r="AL7" s="27"/>
      <c r="AM7" s="27"/>
      <c r="AN7" s="27"/>
      <c r="AO7" s="27"/>
      <c r="AP7" s="27"/>
      <c r="AQ7" s="27"/>
      <c r="AR7" s="27"/>
      <c r="AS7" s="27"/>
      <c r="AT7" s="24">
        <f t="shared" si="3"/>
        <v>29.300000000000004</v>
      </c>
      <c r="AU7" s="29"/>
    </row>
    <row r="8" spans="2:47" ht="31" x14ac:dyDescent="0.35">
      <c r="B8" s="11">
        <v>5</v>
      </c>
      <c r="C8" s="9" t="s">
        <v>33</v>
      </c>
      <c r="D8" s="33" t="s">
        <v>43</v>
      </c>
      <c r="E8" s="31" t="s">
        <v>38</v>
      </c>
      <c r="F8" s="5" t="s">
        <v>34</v>
      </c>
      <c r="G8" s="5" t="s">
        <v>18</v>
      </c>
      <c r="H8" s="25">
        <v>59.500628000000006</v>
      </c>
      <c r="I8" s="14"/>
      <c r="J8" s="5"/>
      <c r="K8" s="5"/>
      <c r="L8" s="12">
        <v>45903</v>
      </c>
      <c r="M8" s="10">
        <v>45922</v>
      </c>
      <c r="N8" s="9">
        <f t="shared" ref="N8:N13" si="4">M8-L8</f>
        <v>19</v>
      </c>
      <c r="O8" s="25">
        <f t="shared" si="2"/>
        <v>3.1316120000000005</v>
      </c>
      <c r="P8" s="28"/>
      <c r="Q8" s="21"/>
      <c r="R8" s="20">
        <v>3.1316120000000005</v>
      </c>
      <c r="S8" s="20">
        <v>3.1316120000000005</v>
      </c>
      <c r="T8" s="20">
        <v>3.1316120000000005</v>
      </c>
      <c r="U8" s="20">
        <v>3.1316120000000005</v>
      </c>
      <c r="V8" s="20">
        <v>3.1316120000000005</v>
      </c>
      <c r="W8" s="20">
        <v>3.1316120000000005</v>
      </c>
      <c r="X8" s="20">
        <v>3.1316120000000005</v>
      </c>
      <c r="Y8" s="20">
        <v>3.1316120000000005</v>
      </c>
      <c r="Z8" s="20">
        <v>3.1316120000000005</v>
      </c>
      <c r="AA8" s="20">
        <v>3.1316120000000005</v>
      </c>
      <c r="AB8" s="20">
        <v>3.1316120000000005</v>
      </c>
      <c r="AC8" s="20">
        <v>3.1316120000000005</v>
      </c>
      <c r="AD8" s="20">
        <v>3.1316120000000005</v>
      </c>
      <c r="AE8" s="20">
        <v>3.1316120000000005</v>
      </c>
      <c r="AF8" s="20">
        <v>3.1316120000000005</v>
      </c>
      <c r="AG8" s="20">
        <v>3.1316120000000005</v>
      </c>
      <c r="AH8" s="20">
        <v>3.1316120000000005</v>
      </c>
      <c r="AI8" s="20">
        <v>3.1316120000000005</v>
      </c>
      <c r="AJ8" s="20">
        <v>3.1316120000000005</v>
      </c>
      <c r="AK8" s="27">
        <v>3.1316120000000005</v>
      </c>
      <c r="AL8" s="27"/>
      <c r="AM8" s="27"/>
      <c r="AN8" s="27"/>
      <c r="AO8" s="27"/>
      <c r="AP8" s="27"/>
      <c r="AQ8" s="27"/>
      <c r="AR8" s="27"/>
      <c r="AS8" s="27"/>
      <c r="AT8" s="24">
        <f t="shared" si="3"/>
        <v>62.632240000000039</v>
      </c>
      <c r="AU8" s="29"/>
    </row>
    <row r="9" spans="2:47" ht="31" x14ac:dyDescent="0.35">
      <c r="B9" s="11">
        <v>6</v>
      </c>
      <c r="C9" s="9" t="s">
        <v>33</v>
      </c>
      <c r="D9" s="33" t="s">
        <v>44</v>
      </c>
      <c r="E9" s="31" t="s">
        <v>39</v>
      </c>
      <c r="F9" s="5" t="s">
        <v>35</v>
      </c>
      <c r="G9" s="5" t="s">
        <v>20</v>
      </c>
      <c r="H9" s="20">
        <v>36.159756000000002</v>
      </c>
      <c r="I9" s="15"/>
      <c r="J9" s="4"/>
      <c r="K9" s="4"/>
      <c r="L9" s="12">
        <v>45897</v>
      </c>
      <c r="M9" s="10">
        <v>45925</v>
      </c>
      <c r="N9" s="9">
        <f t="shared" si="4"/>
        <v>28</v>
      </c>
      <c r="O9" s="25">
        <f t="shared" si="2"/>
        <v>1.2914198571428572</v>
      </c>
      <c r="P9" s="28">
        <v>1.2914198571428572</v>
      </c>
      <c r="Q9" s="21">
        <v>1.2914198571428572</v>
      </c>
      <c r="R9" s="20">
        <v>1.2914198571428572</v>
      </c>
      <c r="S9" s="20">
        <v>1.2914198571428572</v>
      </c>
      <c r="T9" s="20">
        <v>1.2914198571428572</v>
      </c>
      <c r="U9" s="20">
        <v>1.2914198571428572</v>
      </c>
      <c r="V9" s="20">
        <v>1.2914198571428572</v>
      </c>
      <c r="W9" s="20">
        <v>1.2914198571428572</v>
      </c>
      <c r="X9" s="20">
        <v>1.2914198571428572</v>
      </c>
      <c r="Y9" s="20">
        <v>1.2914198571428572</v>
      </c>
      <c r="Z9" s="20">
        <v>1.2914198571428572</v>
      </c>
      <c r="AA9" s="20">
        <v>1.2914198571428572</v>
      </c>
      <c r="AB9" s="20">
        <v>1.2914198571428572</v>
      </c>
      <c r="AC9" s="20">
        <v>1.2914198571428572</v>
      </c>
      <c r="AD9" s="20">
        <v>1.2914198571428572</v>
      </c>
      <c r="AE9" s="20">
        <v>1.2914198571428572</v>
      </c>
      <c r="AF9" s="20">
        <v>1.2914198571428572</v>
      </c>
      <c r="AG9" s="20">
        <v>1.2914198571428572</v>
      </c>
      <c r="AH9" s="20">
        <v>1.2914198571428572</v>
      </c>
      <c r="AI9" s="20">
        <v>1.2914198571428572</v>
      </c>
      <c r="AJ9" s="20">
        <v>1.2914198571428572</v>
      </c>
      <c r="AK9" s="27">
        <v>1.2914198571428572</v>
      </c>
      <c r="AL9" s="27">
        <v>1.2914198571428572</v>
      </c>
      <c r="AM9" s="27">
        <v>1.2914198571428572</v>
      </c>
      <c r="AN9" s="27">
        <v>1.2914198571428572</v>
      </c>
      <c r="AO9" s="27"/>
      <c r="AP9" s="27"/>
      <c r="AQ9" s="27"/>
      <c r="AR9" s="27"/>
      <c r="AS9" s="27"/>
      <c r="AT9" s="24">
        <f t="shared" si="3"/>
        <v>32.285496428571413</v>
      </c>
      <c r="AU9" s="29"/>
    </row>
    <row r="10" spans="2:47" ht="15.5" x14ac:dyDescent="0.35">
      <c r="B10" s="11">
        <v>7</v>
      </c>
      <c r="C10" s="9" t="s">
        <v>33</v>
      </c>
      <c r="D10" s="33" t="s">
        <v>21</v>
      </c>
      <c r="E10" s="31" t="s">
        <v>16</v>
      </c>
      <c r="F10" s="5" t="s">
        <v>36</v>
      </c>
      <c r="G10" s="5" t="s">
        <v>37</v>
      </c>
      <c r="H10" s="4">
        <v>65.022578999999993</v>
      </c>
      <c r="I10" s="4"/>
      <c r="J10" s="4"/>
      <c r="K10" s="4"/>
      <c r="L10" s="12">
        <v>45921</v>
      </c>
      <c r="M10" s="10">
        <v>45929</v>
      </c>
      <c r="N10" s="9">
        <f t="shared" si="4"/>
        <v>8</v>
      </c>
      <c r="O10" s="25">
        <f t="shared" si="2"/>
        <v>8.1278223749999992</v>
      </c>
      <c r="P10" s="28"/>
      <c r="Q10" s="21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>
        <v>8.1278223749999992</v>
      </c>
      <c r="AK10" s="27">
        <v>8.1278223749999992</v>
      </c>
      <c r="AL10" s="27">
        <v>8.1278223749999992</v>
      </c>
      <c r="AM10" s="27">
        <v>8.1278223749999992</v>
      </c>
      <c r="AN10" s="27">
        <v>8.1278223749999992</v>
      </c>
      <c r="AO10" s="27">
        <v>8.1278223749999992</v>
      </c>
      <c r="AP10" s="27">
        <v>8.1278223749999992</v>
      </c>
      <c r="AQ10" s="27">
        <v>8.1278223749999992</v>
      </c>
      <c r="AR10" s="27">
        <v>8.1278223749999992</v>
      </c>
      <c r="AS10" s="27"/>
      <c r="AT10" s="24">
        <f t="shared" si="3"/>
        <v>73.150401374999987</v>
      </c>
      <c r="AU10" s="29"/>
    </row>
    <row r="11" spans="2:47" ht="31" x14ac:dyDescent="0.35">
      <c r="B11" s="11">
        <v>8</v>
      </c>
      <c r="C11" s="9" t="s">
        <v>33</v>
      </c>
      <c r="D11" s="33" t="s">
        <v>31</v>
      </c>
      <c r="E11" s="31" t="s">
        <v>42</v>
      </c>
      <c r="F11" s="5" t="s">
        <v>40</v>
      </c>
      <c r="G11" s="5" t="s">
        <v>25</v>
      </c>
      <c r="H11" s="20">
        <v>66.775700999999998</v>
      </c>
      <c r="I11" s="5"/>
      <c r="J11" s="5"/>
      <c r="K11" s="5"/>
      <c r="L11" s="12">
        <v>45910</v>
      </c>
      <c r="M11" s="10">
        <v>45926</v>
      </c>
      <c r="N11" s="9">
        <f t="shared" si="4"/>
        <v>16</v>
      </c>
      <c r="O11" s="25">
        <f t="shared" si="2"/>
        <v>4.1734813124999999</v>
      </c>
      <c r="P11" s="28"/>
      <c r="Q11" s="21"/>
      <c r="R11" s="20"/>
      <c r="S11" s="20"/>
      <c r="T11" s="20"/>
      <c r="U11" s="20"/>
      <c r="V11" s="20"/>
      <c r="W11" s="20"/>
      <c r="X11" s="20"/>
      <c r="Y11" s="20">
        <v>4.1734813124999999</v>
      </c>
      <c r="Z11" s="20">
        <v>4.1734813124999999</v>
      </c>
      <c r="AA11" s="20">
        <v>4.1734813124999999</v>
      </c>
      <c r="AB11" s="20">
        <v>4.1734813124999999</v>
      </c>
      <c r="AC11" s="20">
        <v>4.1734813124999999</v>
      </c>
      <c r="AD11" s="20">
        <v>4.1734813124999999</v>
      </c>
      <c r="AE11" s="20">
        <v>4.1734813124999999</v>
      </c>
      <c r="AF11" s="20">
        <v>4.1734813124999999</v>
      </c>
      <c r="AG11" s="20">
        <v>4.1734813124999999</v>
      </c>
      <c r="AH11" s="20">
        <v>4.1734813124999999</v>
      </c>
      <c r="AI11" s="20">
        <v>4.1734813124999999</v>
      </c>
      <c r="AJ11" s="20">
        <v>4.1734813124999999</v>
      </c>
      <c r="AK11" s="27">
        <v>4.1734813124999999</v>
      </c>
      <c r="AL11" s="27">
        <v>4.1734813124999999</v>
      </c>
      <c r="AM11" s="27">
        <v>4.1734813124999999</v>
      </c>
      <c r="AN11" s="27">
        <v>4.1734813124999999</v>
      </c>
      <c r="AO11" s="27">
        <v>4.1734813124999999</v>
      </c>
      <c r="AP11" s="27"/>
      <c r="AQ11" s="27"/>
      <c r="AR11" s="27"/>
      <c r="AS11" s="27"/>
      <c r="AT11" s="24">
        <f t="shared" si="3"/>
        <v>70.949182312500014</v>
      </c>
      <c r="AU11" s="29"/>
    </row>
    <row r="12" spans="2:47" ht="16" thickBot="1" x14ac:dyDescent="0.4">
      <c r="B12" s="11">
        <v>9</v>
      </c>
      <c r="C12" s="9" t="s">
        <v>33</v>
      </c>
      <c r="D12" s="33" t="s">
        <v>32</v>
      </c>
      <c r="E12" s="31" t="s">
        <v>28</v>
      </c>
      <c r="F12" s="5" t="s">
        <v>41</v>
      </c>
      <c r="G12" s="5" t="s">
        <v>20</v>
      </c>
      <c r="H12" s="20">
        <v>36.159756000000002</v>
      </c>
      <c r="I12" s="5"/>
      <c r="J12" s="5"/>
      <c r="K12" s="5"/>
      <c r="L12" s="12">
        <v>45918</v>
      </c>
      <c r="M12" s="10">
        <v>45926</v>
      </c>
      <c r="N12" s="9">
        <f t="shared" si="4"/>
        <v>8</v>
      </c>
      <c r="O12" s="25">
        <f t="shared" si="2"/>
        <v>4.5199695000000002</v>
      </c>
      <c r="P12" s="28"/>
      <c r="Q12" s="21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>
        <v>4.5199695000000002</v>
      </c>
      <c r="AH12" s="20">
        <v>4.5199695000000002</v>
      </c>
      <c r="AI12" s="20">
        <v>4.5199695000000002</v>
      </c>
      <c r="AJ12" s="20">
        <v>4.5199695000000002</v>
      </c>
      <c r="AK12" s="27">
        <v>4.5199695000000002</v>
      </c>
      <c r="AL12" s="27">
        <v>4.5199695000000002</v>
      </c>
      <c r="AM12" s="27">
        <v>4.5199695000000002</v>
      </c>
      <c r="AN12" s="27">
        <v>4.5199695000000002</v>
      </c>
      <c r="AO12" s="27">
        <v>4.5199695000000002</v>
      </c>
      <c r="AP12" s="27"/>
      <c r="AQ12" s="27"/>
      <c r="AR12" s="27"/>
      <c r="AS12" s="27"/>
      <c r="AT12" s="24">
        <f t="shared" si="3"/>
        <v>40.679725500000011</v>
      </c>
      <c r="AU12" s="22"/>
    </row>
    <row r="13" spans="2:47" ht="15.5" hidden="1" x14ac:dyDescent="0.35">
      <c r="B13" s="11"/>
      <c r="C13" s="9" t="s">
        <v>33</v>
      </c>
      <c r="D13" s="1"/>
      <c r="E13" s="3"/>
      <c r="F13" s="5"/>
      <c r="G13" s="5"/>
      <c r="H13" s="5"/>
      <c r="I13" s="5"/>
      <c r="J13" s="5"/>
      <c r="K13" s="5"/>
      <c r="L13" s="12"/>
      <c r="M13" s="10"/>
      <c r="N13" s="9">
        <f t="shared" si="4"/>
        <v>0</v>
      </c>
      <c r="O13" s="9"/>
      <c r="P13" s="28"/>
      <c r="Q13" s="21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7"/>
      <c r="AL13" s="27"/>
      <c r="AM13" s="27"/>
      <c r="AN13" s="27"/>
      <c r="AO13" s="27"/>
      <c r="AP13" s="27"/>
      <c r="AQ13" s="27"/>
      <c r="AR13" s="27"/>
      <c r="AS13" s="27"/>
      <c r="AT13" s="24">
        <f t="shared" si="3"/>
        <v>0</v>
      </c>
      <c r="AU13" s="22"/>
    </row>
    <row r="14" spans="2:47" s="7" customFormat="1" ht="15" thickBot="1" x14ac:dyDescent="0.4">
      <c r="B14" s="18"/>
      <c r="C14" s="19"/>
      <c r="D14" s="19"/>
      <c r="E14" s="19"/>
      <c r="F14" s="19"/>
      <c r="G14" s="19"/>
      <c r="H14" s="35">
        <f>SUM(H4:H13)</f>
        <v>463.98559299999999</v>
      </c>
      <c r="I14" s="19"/>
      <c r="J14" s="19"/>
      <c r="K14" s="19"/>
      <c r="L14" s="19"/>
      <c r="M14" s="19"/>
      <c r="N14" s="19"/>
      <c r="O14" s="19"/>
      <c r="P14" s="34">
        <f>SUM(P4:P13)</f>
        <v>8.4914198571428567</v>
      </c>
      <c r="Q14" s="34">
        <f t="shared" ref="Q14:AS14" si="5">SUM(Q4:Q13)</f>
        <v>9.4914198571428567</v>
      </c>
      <c r="R14" s="34">
        <f t="shared" si="5"/>
        <v>12.523031857142858</v>
      </c>
      <c r="S14" s="34">
        <f t="shared" si="5"/>
        <v>12.823031857142858</v>
      </c>
      <c r="T14" s="34">
        <f t="shared" si="5"/>
        <v>14.123031857142857</v>
      </c>
      <c r="U14" s="34">
        <f t="shared" si="5"/>
        <v>10.023031857142858</v>
      </c>
      <c r="V14" s="34">
        <f t="shared" si="5"/>
        <v>10.523031857142858</v>
      </c>
      <c r="W14" s="34">
        <f t="shared" si="5"/>
        <v>13.723031857142859</v>
      </c>
      <c r="X14" s="34">
        <f t="shared" si="5"/>
        <v>9.7230318571428587</v>
      </c>
      <c r="Y14" s="34">
        <f t="shared" si="5"/>
        <v>16.196513169642856</v>
      </c>
      <c r="Z14" s="34">
        <f t="shared" si="5"/>
        <v>16.296513169642857</v>
      </c>
      <c r="AA14" s="34">
        <f t="shared" si="5"/>
        <v>16.696513169642856</v>
      </c>
      <c r="AB14" s="34">
        <f t="shared" si="5"/>
        <v>16.196513169642856</v>
      </c>
      <c r="AC14" s="34">
        <f t="shared" si="5"/>
        <v>15.196513169642857</v>
      </c>
      <c r="AD14" s="34">
        <f t="shared" si="5"/>
        <v>15.496513169642858</v>
      </c>
      <c r="AE14" s="34">
        <f t="shared" si="5"/>
        <v>15.596513169642858</v>
      </c>
      <c r="AF14" s="34">
        <f t="shared" si="5"/>
        <v>16.096513169642858</v>
      </c>
      <c r="AG14" s="34">
        <f t="shared" si="5"/>
        <v>18.316482669642859</v>
      </c>
      <c r="AH14" s="34">
        <f t="shared" si="5"/>
        <v>19.016482669642858</v>
      </c>
      <c r="AI14" s="34">
        <f t="shared" si="5"/>
        <v>19.116482669642856</v>
      </c>
      <c r="AJ14" s="34">
        <f t="shared" si="5"/>
        <v>22.344305044642859</v>
      </c>
      <c r="AK14" s="34">
        <f t="shared" si="5"/>
        <v>21.244305044642857</v>
      </c>
      <c r="AL14" s="34">
        <f t="shared" si="5"/>
        <v>18.112693044642857</v>
      </c>
      <c r="AM14" s="34">
        <f t="shared" si="5"/>
        <v>18.112693044642857</v>
      </c>
      <c r="AN14" s="34">
        <f t="shared" si="5"/>
        <v>18.112693044642857</v>
      </c>
      <c r="AO14" s="34">
        <f t="shared" si="5"/>
        <v>16.821273187499997</v>
      </c>
      <c r="AP14" s="34">
        <f t="shared" si="5"/>
        <v>8.1278223749999992</v>
      </c>
      <c r="AQ14" s="34">
        <f t="shared" si="5"/>
        <v>8.1278223749999992</v>
      </c>
      <c r="AR14" s="34">
        <f t="shared" si="5"/>
        <v>8.1278223749999992</v>
      </c>
      <c r="AS14" s="34">
        <f t="shared" si="5"/>
        <v>0</v>
      </c>
      <c r="AT14" s="32">
        <f>SUM(AT4:AT13)</f>
        <v>424.79704561607144</v>
      </c>
      <c r="AU14" s="23"/>
    </row>
  </sheetData>
  <mergeCells count="14">
    <mergeCell ref="AT2:AT3"/>
    <mergeCell ref="AU2:AU3"/>
    <mergeCell ref="N2:N3"/>
    <mergeCell ref="B1:H1"/>
    <mergeCell ref="P2:AS2"/>
    <mergeCell ref="I2:K2"/>
    <mergeCell ref="B2:B3"/>
    <mergeCell ref="C2:C3"/>
    <mergeCell ref="D2:D3"/>
    <mergeCell ref="F2:H2"/>
    <mergeCell ref="E2:E3"/>
    <mergeCell ref="L2:L3"/>
    <mergeCell ref="M2:M3"/>
    <mergeCell ref="O2:O3"/>
  </mergeCells>
  <phoneticPr fontId="5" type="noConversion"/>
  <pageMargins left="0.7" right="0.7" top="0.75" bottom="0.75" header="0.3" footer="0.3"/>
  <ignoredErrors>
    <ignoredError sqref="P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3616-3A95-4E69-86AD-3377DA0A8D50}">
  <dimension ref="B1:AU10"/>
  <sheetViews>
    <sheetView tabSelected="1" workbookViewId="0">
      <selection activeCell="AU13" sqref="AU13"/>
    </sheetView>
  </sheetViews>
  <sheetFormatPr defaultColWidth="9.1796875" defaultRowHeight="14.5" x14ac:dyDescent="0.35"/>
  <cols>
    <col min="1" max="1" width="2.1796875" style="6" customWidth="1"/>
    <col min="2" max="2" width="6.1796875" style="6" bestFit="1" customWidth="1"/>
    <col min="3" max="3" width="20.36328125" style="6" customWidth="1"/>
    <col min="4" max="5" width="10.54296875" style="6" customWidth="1"/>
    <col min="6" max="6" width="8.81640625" style="6" customWidth="1"/>
    <col min="7" max="9" width="8.81640625" style="6" hidden="1" customWidth="1"/>
    <col min="10" max="10" width="10.453125" style="6" bestFit="1" customWidth="1"/>
    <col min="11" max="11" width="11.453125" style="6" bestFit="1" customWidth="1"/>
    <col min="12" max="13" width="11.453125" style="6" customWidth="1"/>
    <col min="14" max="43" width="11.453125" style="6" hidden="1" customWidth="1"/>
    <col min="44" max="44" width="18" style="6" hidden="1" customWidth="1"/>
    <col min="45" max="45" width="17.54296875" style="6" hidden="1" customWidth="1"/>
    <col min="46" max="16384" width="9.1796875" style="6"/>
  </cols>
  <sheetData>
    <row r="1" spans="2:45" ht="36" customHeight="1" thickBot="1" x14ac:dyDescent="0.4">
      <c r="B1" s="65" t="s">
        <v>59</v>
      </c>
      <c r="C1" s="66" t="s">
        <v>60</v>
      </c>
      <c r="D1" s="66" t="s">
        <v>3</v>
      </c>
      <c r="E1" s="66" t="s">
        <v>4</v>
      </c>
      <c r="F1" s="66" t="s">
        <v>5</v>
      </c>
      <c r="G1" s="66" t="s">
        <v>3</v>
      </c>
      <c r="H1" s="66" t="s">
        <v>4</v>
      </c>
      <c r="I1" s="66" t="s">
        <v>5</v>
      </c>
      <c r="J1" s="66" t="s">
        <v>57</v>
      </c>
      <c r="K1" s="66" t="s">
        <v>58</v>
      </c>
      <c r="L1" s="66" t="s">
        <v>61</v>
      </c>
      <c r="M1" s="67" t="s">
        <v>62</v>
      </c>
      <c r="N1" s="56">
        <v>45931</v>
      </c>
      <c r="O1" s="17">
        <f>N1+1</f>
        <v>45932</v>
      </c>
      <c r="P1" s="17">
        <f t="shared" ref="P1:AQ1" si="0">O1+1</f>
        <v>45933</v>
      </c>
      <c r="Q1" s="17">
        <f t="shared" si="0"/>
        <v>45934</v>
      </c>
      <c r="R1" s="17">
        <f t="shared" si="0"/>
        <v>45935</v>
      </c>
      <c r="S1" s="17">
        <f t="shared" si="0"/>
        <v>45936</v>
      </c>
      <c r="T1" s="17">
        <f t="shared" si="0"/>
        <v>45937</v>
      </c>
      <c r="U1" s="17">
        <f t="shared" si="0"/>
        <v>45938</v>
      </c>
      <c r="V1" s="17">
        <f t="shared" si="0"/>
        <v>45939</v>
      </c>
      <c r="W1" s="17">
        <f t="shared" si="0"/>
        <v>45940</v>
      </c>
      <c r="X1" s="17">
        <f t="shared" si="0"/>
        <v>45941</v>
      </c>
      <c r="Y1" s="17">
        <f t="shared" si="0"/>
        <v>45942</v>
      </c>
      <c r="Z1" s="17">
        <f t="shared" si="0"/>
        <v>45943</v>
      </c>
      <c r="AA1" s="17">
        <f t="shared" si="0"/>
        <v>45944</v>
      </c>
      <c r="AB1" s="17">
        <f t="shared" si="0"/>
        <v>45945</v>
      </c>
      <c r="AC1" s="17">
        <f t="shared" si="0"/>
        <v>45946</v>
      </c>
      <c r="AD1" s="17">
        <f t="shared" si="0"/>
        <v>45947</v>
      </c>
      <c r="AE1" s="17">
        <f t="shared" si="0"/>
        <v>45948</v>
      </c>
      <c r="AF1" s="17">
        <f t="shared" si="0"/>
        <v>45949</v>
      </c>
      <c r="AG1" s="17">
        <f t="shared" si="0"/>
        <v>45950</v>
      </c>
      <c r="AH1" s="17">
        <f t="shared" si="0"/>
        <v>45951</v>
      </c>
      <c r="AI1" s="17">
        <f t="shared" si="0"/>
        <v>45952</v>
      </c>
      <c r="AJ1" s="17">
        <f t="shared" si="0"/>
        <v>45953</v>
      </c>
      <c r="AK1" s="17">
        <f t="shared" si="0"/>
        <v>45954</v>
      </c>
      <c r="AL1" s="17">
        <f t="shared" si="0"/>
        <v>45955</v>
      </c>
      <c r="AM1" s="17">
        <f t="shared" si="0"/>
        <v>45956</v>
      </c>
      <c r="AN1" s="17">
        <f t="shared" si="0"/>
        <v>45957</v>
      </c>
      <c r="AO1" s="17">
        <f t="shared" si="0"/>
        <v>45958</v>
      </c>
      <c r="AP1" s="17">
        <f t="shared" si="0"/>
        <v>45959</v>
      </c>
      <c r="AQ1" s="17">
        <f t="shared" si="0"/>
        <v>45960</v>
      </c>
      <c r="AR1" s="54"/>
      <c r="AS1" s="55"/>
    </row>
    <row r="2" spans="2:45" ht="16.5" customHeight="1" x14ac:dyDescent="0.35">
      <c r="B2" s="8">
        <v>1</v>
      </c>
      <c r="C2" s="2" t="s">
        <v>38</v>
      </c>
      <c r="D2" s="9" t="s">
        <v>47</v>
      </c>
      <c r="E2" s="9" t="s">
        <v>18</v>
      </c>
      <c r="F2" s="25">
        <v>59.500628000000006</v>
      </c>
      <c r="G2" s="9"/>
      <c r="H2" s="9"/>
      <c r="I2" s="9"/>
      <c r="J2" s="10">
        <v>45922</v>
      </c>
      <c r="K2" s="10">
        <v>45938</v>
      </c>
      <c r="L2" s="9">
        <f>K2-J2+1</f>
        <v>17</v>
      </c>
      <c r="M2" s="64">
        <f>F2/L2</f>
        <v>3.5000369411764711</v>
      </c>
      <c r="N2" s="57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6"/>
      <c r="AJ2" s="26"/>
      <c r="AK2" s="26"/>
      <c r="AL2" s="26"/>
      <c r="AM2" s="26"/>
      <c r="AN2" s="26"/>
      <c r="AO2" s="26"/>
      <c r="AP2" s="26"/>
      <c r="AQ2" s="26"/>
      <c r="AR2" s="24">
        <f t="shared" ref="AR2:AR9" si="1">SUM(N2:AQ2)</f>
        <v>0</v>
      </c>
      <c r="AS2" s="30"/>
    </row>
    <row r="3" spans="2:45" ht="15.5" x14ac:dyDescent="0.35">
      <c r="B3" s="11">
        <v>2</v>
      </c>
      <c r="C3" s="1" t="s">
        <v>16</v>
      </c>
      <c r="D3" s="5" t="s">
        <v>48</v>
      </c>
      <c r="E3" s="5" t="s">
        <v>49</v>
      </c>
      <c r="F3" s="20">
        <v>69.375963999999996</v>
      </c>
      <c r="G3" s="5"/>
      <c r="H3" s="5"/>
      <c r="I3" s="5"/>
      <c r="J3" s="12">
        <v>45930</v>
      </c>
      <c r="K3" s="12">
        <v>45939</v>
      </c>
      <c r="L3" s="5">
        <f t="shared" ref="L3:L4" si="2">K3-J3+1</f>
        <v>10</v>
      </c>
      <c r="M3" s="61">
        <f t="shared" ref="M3:M4" si="3">F3/L3</f>
        <v>6.9375963999999994</v>
      </c>
      <c r="N3" s="58"/>
      <c r="O3" s="21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7"/>
      <c r="AJ3" s="27"/>
      <c r="AK3" s="27"/>
      <c r="AL3" s="27"/>
      <c r="AM3" s="27"/>
      <c r="AN3" s="27"/>
      <c r="AO3" s="27"/>
      <c r="AP3" s="27"/>
      <c r="AQ3" s="27"/>
      <c r="AR3" s="24">
        <f t="shared" si="1"/>
        <v>0</v>
      </c>
      <c r="AS3" s="29"/>
    </row>
    <row r="4" spans="2:45" ht="17" customHeight="1" x14ac:dyDescent="0.35">
      <c r="B4" s="11">
        <v>3</v>
      </c>
      <c r="C4" s="31" t="s">
        <v>51</v>
      </c>
      <c r="D4" s="5" t="s">
        <v>50</v>
      </c>
      <c r="E4" s="5" t="s">
        <v>27</v>
      </c>
      <c r="F4" s="20">
        <v>37.931087999999995</v>
      </c>
      <c r="G4" s="5"/>
      <c r="H4" s="5"/>
      <c r="I4" s="5"/>
      <c r="J4" s="12">
        <v>45926</v>
      </c>
      <c r="K4" s="12">
        <v>45939</v>
      </c>
      <c r="L4" s="5">
        <f t="shared" si="2"/>
        <v>14</v>
      </c>
      <c r="M4" s="61">
        <f t="shared" si="3"/>
        <v>2.7093634285714283</v>
      </c>
      <c r="N4" s="59"/>
      <c r="O4" s="21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7"/>
      <c r="AJ4" s="27"/>
      <c r="AK4" s="27"/>
      <c r="AL4" s="27"/>
      <c r="AM4" s="27"/>
      <c r="AN4" s="27"/>
      <c r="AO4" s="27"/>
      <c r="AP4" s="27"/>
      <c r="AQ4" s="27"/>
      <c r="AR4" s="24">
        <f t="shared" si="1"/>
        <v>0</v>
      </c>
      <c r="AS4" s="29"/>
    </row>
    <row r="5" spans="2:45" ht="15.5" x14ac:dyDescent="0.35">
      <c r="B5" s="11">
        <v>4</v>
      </c>
      <c r="C5" s="31" t="s">
        <v>42</v>
      </c>
      <c r="D5" s="5" t="s">
        <v>52</v>
      </c>
      <c r="E5" s="5" t="s">
        <v>18</v>
      </c>
      <c r="F5" s="20">
        <v>59.5</v>
      </c>
      <c r="G5" s="14"/>
      <c r="H5" s="5"/>
      <c r="I5" s="5"/>
      <c r="J5" s="12">
        <v>45927</v>
      </c>
      <c r="K5" s="12">
        <v>45946</v>
      </c>
      <c r="L5" s="5">
        <f t="shared" ref="L5:L7" si="4">K5-J5+1</f>
        <v>20</v>
      </c>
      <c r="M5" s="61">
        <f t="shared" ref="M5:M7" si="5">F5/L5</f>
        <v>2.9750000000000001</v>
      </c>
      <c r="N5" s="58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0"/>
      <c r="AC5" s="20"/>
      <c r="AD5" s="20"/>
      <c r="AE5" s="20"/>
      <c r="AF5" s="20"/>
      <c r="AG5" s="20"/>
      <c r="AH5" s="20"/>
      <c r="AI5" s="27"/>
      <c r="AJ5" s="27"/>
      <c r="AK5" s="27"/>
      <c r="AL5" s="27"/>
      <c r="AM5" s="27"/>
      <c r="AN5" s="27"/>
      <c r="AO5" s="27"/>
      <c r="AP5" s="27"/>
      <c r="AQ5" s="27"/>
      <c r="AR5" s="24">
        <f t="shared" si="1"/>
        <v>0</v>
      </c>
      <c r="AS5" s="29"/>
    </row>
    <row r="6" spans="2:45" ht="15.5" x14ac:dyDescent="0.35">
      <c r="B6" s="11">
        <v>5</v>
      </c>
      <c r="C6" s="31" t="s">
        <v>16</v>
      </c>
      <c r="D6" s="5" t="s">
        <v>53</v>
      </c>
      <c r="E6" s="5" t="s">
        <v>27</v>
      </c>
      <c r="F6" s="20">
        <v>37.93</v>
      </c>
      <c r="G6" s="14"/>
      <c r="H6" s="5"/>
      <c r="I6" s="5"/>
      <c r="J6" s="12">
        <v>45940</v>
      </c>
      <c r="K6" s="12">
        <v>45946</v>
      </c>
      <c r="L6" s="5">
        <f t="shared" si="4"/>
        <v>7</v>
      </c>
      <c r="M6" s="61">
        <f t="shared" si="5"/>
        <v>5.4185714285714282</v>
      </c>
      <c r="N6" s="59"/>
      <c r="O6" s="21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7"/>
      <c r="AJ6" s="27"/>
      <c r="AK6" s="27"/>
      <c r="AL6" s="27"/>
      <c r="AM6" s="27"/>
      <c r="AN6" s="27"/>
      <c r="AO6" s="27"/>
      <c r="AP6" s="27"/>
      <c r="AQ6" s="27"/>
      <c r="AR6" s="24">
        <f t="shared" si="1"/>
        <v>0</v>
      </c>
      <c r="AS6" s="29"/>
    </row>
    <row r="7" spans="2:45" ht="15.5" x14ac:dyDescent="0.35">
      <c r="B7" s="11">
        <v>6</v>
      </c>
      <c r="C7" s="31" t="s">
        <v>51</v>
      </c>
      <c r="D7" s="14" t="s">
        <v>54</v>
      </c>
      <c r="E7" s="5" t="s">
        <v>20</v>
      </c>
      <c r="F7" s="20">
        <v>36.159756000000002</v>
      </c>
      <c r="G7" s="15"/>
      <c r="H7" s="4"/>
      <c r="I7" s="4"/>
      <c r="J7" s="12">
        <v>45940</v>
      </c>
      <c r="K7" s="12">
        <v>45948</v>
      </c>
      <c r="L7" s="5">
        <f t="shared" si="4"/>
        <v>9</v>
      </c>
      <c r="M7" s="61">
        <f t="shared" si="5"/>
        <v>4.0177506666666671</v>
      </c>
      <c r="N7" s="59"/>
      <c r="O7" s="21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7"/>
      <c r="AJ7" s="27"/>
      <c r="AK7" s="27"/>
      <c r="AL7" s="27"/>
      <c r="AM7" s="27"/>
      <c r="AN7" s="27"/>
      <c r="AO7" s="27"/>
      <c r="AP7" s="27"/>
      <c r="AQ7" s="27"/>
      <c r="AR7" s="24">
        <f t="shared" si="1"/>
        <v>0</v>
      </c>
      <c r="AS7" s="29"/>
    </row>
    <row r="8" spans="2:45" ht="16" thickBot="1" x14ac:dyDescent="0.4">
      <c r="B8" s="11">
        <v>7</v>
      </c>
      <c r="C8" s="31" t="s">
        <v>16</v>
      </c>
      <c r="D8" s="14" t="s">
        <v>55</v>
      </c>
      <c r="E8" s="5" t="s">
        <v>56</v>
      </c>
      <c r="F8" s="4">
        <v>34.789810000000003</v>
      </c>
      <c r="G8" s="4"/>
      <c r="H8" s="4"/>
      <c r="I8" s="4"/>
      <c r="J8" s="12">
        <v>45947</v>
      </c>
      <c r="K8" s="12">
        <v>45954</v>
      </c>
      <c r="L8" s="5">
        <f t="shared" ref="L8" si="6">K8-J8+1</f>
        <v>8</v>
      </c>
      <c r="M8" s="61">
        <f t="shared" ref="M8" si="7">F8/L8</f>
        <v>4.3487262500000003</v>
      </c>
      <c r="N8" s="59"/>
      <c r="O8" s="21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7"/>
      <c r="AJ8" s="27"/>
      <c r="AK8" s="27"/>
      <c r="AL8" s="27"/>
      <c r="AM8" s="27"/>
      <c r="AN8" s="27"/>
      <c r="AO8" s="27"/>
      <c r="AP8" s="27"/>
      <c r="AQ8" s="27"/>
      <c r="AR8" s="24">
        <f t="shared" si="1"/>
        <v>0</v>
      </c>
      <c r="AS8" s="29"/>
    </row>
    <row r="9" spans="2:45" ht="16" hidden="1" thickBot="1" x14ac:dyDescent="0.4">
      <c r="B9" s="11"/>
      <c r="C9" s="3"/>
      <c r="D9" s="5"/>
      <c r="E9" s="5"/>
      <c r="F9" s="5"/>
      <c r="G9" s="5"/>
      <c r="H9" s="5"/>
      <c r="I9" s="5"/>
      <c r="J9" s="12"/>
      <c r="K9" s="10"/>
      <c r="L9" s="9">
        <f t="shared" ref="L9" si="8">K9-J9</f>
        <v>0</v>
      </c>
      <c r="M9" s="62"/>
      <c r="N9" s="59"/>
      <c r="O9" s="21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7"/>
      <c r="AJ9" s="27"/>
      <c r="AK9" s="27"/>
      <c r="AL9" s="27"/>
      <c r="AM9" s="27"/>
      <c r="AN9" s="27"/>
      <c r="AO9" s="27"/>
      <c r="AP9" s="27"/>
      <c r="AQ9" s="27"/>
      <c r="AR9" s="24">
        <f t="shared" si="1"/>
        <v>0</v>
      </c>
      <c r="AS9" s="22"/>
    </row>
    <row r="10" spans="2:45" s="7" customFormat="1" ht="15" thickBot="1" x14ac:dyDescent="0.4">
      <c r="B10" s="18"/>
      <c r="C10" s="19"/>
      <c r="D10" s="19"/>
      <c r="E10" s="19"/>
      <c r="F10" s="34">
        <f>SUM(F2:F9)</f>
        <v>335.18724600000002</v>
      </c>
      <c r="G10" s="19"/>
      <c r="H10" s="19"/>
      <c r="I10" s="19"/>
      <c r="J10" s="19"/>
      <c r="K10" s="19"/>
      <c r="L10" s="35">
        <f>SUM(L2:L9)</f>
        <v>85</v>
      </c>
      <c r="M10" s="63">
        <f t="shared" ref="M10" si="9">F10/L10</f>
        <v>3.9433793647058826</v>
      </c>
      <c r="N10" s="60">
        <f>SUM(N2:N9)</f>
        <v>0</v>
      </c>
      <c r="O10" s="34">
        <f>SUM(O2:O9)</f>
        <v>0</v>
      </c>
      <c r="P10" s="34">
        <f>SUM(P2:P9)</f>
        <v>0</v>
      </c>
      <c r="Q10" s="34">
        <f>SUM(Q2:Q9)</f>
        <v>0</v>
      </c>
      <c r="R10" s="34">
        <f>SUM(R2:R9)</f>
        <v>0</v>
      </c>
      <c r="S10" s="34">
        <f>SUM(S2:S9)</f>
        <v>0</v>
      </c>
      <c r="T10" s="34">
        <f>SUM(T2:T9)</f>
        <v>0</v>
      </c>
      <c r="U10" s="34">
        <f>SUM(U2:U9)</f>
        <v>0</v>
      </c>
      <c r="V10" s="34">
        <f>SUM(V2:V9)</f>
        <v>0</v>
      </c>
      <c r="W10" s="34">
        <f>SUM(W2:W9)</f>
        <v>0</v>
      </c>
      <c r="X10" s="34">
        <f>SUM(X2:X9)</f>
        <v>0</v>
      </c>
      <c r="Y10" s="34">
        <f>SUM(Y2:Y9)</f>
        <v>0</v>
      </c>
      <c r="Z10" s="34">
        <f>SUM(Z2:Z9)</f>
        <v>0</v>
      </c>
      <c r="AA10" s="34">
        <f>SUM(AA2:AA9)</f>
        <v>0</v>
      </c>
      <c r="AB10" s="34">
        <f>SUM(AB2:AB9)</f>
        <v>0</v>
      </c>
      <c r="AC10" s="34">
        <f>SUM(AC2:AC9)</f>
        <v>0</v>
      </c>
      <c r="AD10" s="34">
        <f>SUM(AD2:AD9)</f>
        <v>0</v>
      </c>
      <c r="AE10" s="34">
        <f>SUM(AE2:AE9)</f>
        <v>0</v>
      </c>
      <c r="AF10" s="34">
        <f>SUM(AF2:AF9)</f>
        <v>0</v>
      </c>
      <c r="AG10" s="34">
        <f>SUM(AG2:AG9)</f>
        <v>0</v>
      </c>
      <c r="AH10" s="34">
        <f>SUM(AH2:AH9)</f>
        <v>0</v>
      </c>
      <c r="AI10" s="34">
        <f>SUM(AI2:AI9)</f>
        <v>0</v>
      </c>
      <c r="AJ10" s="34">
        <f>SUM(AJ2:AJ9)</f>
        <v>0</v>
      </c>
      <c r="AK10" s="34">
        <f>SUM(AK2:AK9)</f>
        <v>0</v>
      </c>
      <c r="AL10" s="34">
        <f>SUM(AL2:AL9)</f>
        <v>0</v>
      </c>
      <c r="AM10" s="34">
        <f>SUM(AM2:AM9)</f>
        <v>0</v>
      </c>
      <c r="AN10" s="34">
        <f>SUM(AN2:AN9)</f>
        <v>0</v>
      </c>
      <c r="AO10" s="34">
        <f>SUM(AO2:AO9)</f>
        <v>0</v>
      </c>
      <c r="AP10" s="34">
        <f>SUM(AP2:AP9)</f>
        <v>0</v>
      </c>
      <c r="AQ10" s="34">
        <f>SUM(AQ2:AQ9)</f>
        <v>0</v>
      </c>
      <c r="AR10" s="32">
        <f>SUM(AR2:AR9)</f>
        <v>0</v>
      </c>
      <c r="AS10" s="23"/>
    </row>
  </sheetData>
  <pageMargins left="0.7" right="0.7" top="0.75" bottom="0.75" header="0.3" footer="0.3"/>
  <ignoredErrors>
    <ignoredError sqref="M10" formula="1"/>
    <ignoredError sqref="N10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Sept-25</vt:lpstr>
      <vt:lpstr>Oct-25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Sanjib Kumar Samantaray</dc:creator>
  <cp:lastModifiedBy>Abir Kumar Das</cp:lastModifiedBy>
  <dcterms:created xsi:type="dcterms:W3CDTF">2015-06-05T18:17:20Z</dcterms:created>
  <dcterms:modified xsi:type="dcterms:W3CDTF">2025-11-01T07:23:41Z</dcterms:modified>
</cp:coreProperties>
</file>