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tabRatio="641" activeTab="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DETAILS'!$A$5:$G$37</definedName>
    <definedName name="_xlnm._FilterDatabase" localSheetId="4" hidden="1">'PENDING FDN DETAILS'!$A$3:$AD$13</definedName>
    <definedName name="_xlnm._FilterDatabase" localSheetId="1" hidden="1">Progress!$A$135:$P$218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4" i="36" l="1"/>
  <c r="A233" i="36"/>
  <c r="A132" i="36"/>
  <c r="A14" i="5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9" i="50"/>
  <c r="A10" i="50" s="1"/>
  <c r="A11" i="50" s="1"/>
  <c r="A12" i="50" s="1"/>
  <c r="T170" i="22" l="1"/>
  <c r="AB39" i="22"/>
  <c r="AB28" i="22"/>
  <c r="L12" i="22"/>
  <c r="AB47" i="22"/>
  <c r="A93" i="52" l="1"/>
  <c r="A94" i="52" s="1"/>
  <c r="A95" i="52" s="1"/>
  <c r="A96" i="52" s="1"/>
  <c r="A97" i="52" s="1"/>
  <c r="A98" i="52" s="1"/>
  <c r="A99" i="52" s="1"/>
  <c r="A232" i="36"/>
  <c r="A231" i="36"/>
  <c r="A92" i="52" l="1"/>
  <c r="A230" i="36" l="1"/>
  <c r="A229" i="36" l="1"/>
  <c r="A228" i="36" l="1"/>
  <c r="A47" i="44" l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227" i="36" l="1"/>
  <c r="A226" i="36" l="1"/>
  <c r="A225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4" i="36" l="1"/>
  <c r="D24" i="44" l="1"/>
  <c r="T173" i="22" l="1"/>
  <c r="S173" i="22"/>
  <c r="A223" i="36"/>
  <c r="A222" i="36"/>
  <c r="A221" i="36" l="1"/>
  <c r="A220" i="36" l="1"/>
  <c r="A219" i="36" l="1"/>
  <c r="K4" i="36"/>
  <c r="F4" i="36"/>
  <c r="K3" i="36"/>
  <c r="J3" i="36"/>
  <c r="F3" i="36"/>
  <c r="A7" i="51" l="1"/>
  <c r="A8" i="51" s="1"/>
  <c r="A9" i="51" s="1"/>
  <c r="A10" i="51" s="1"/>
  <c r="A11" i="51" s="1"/>
  <c r="A12" i="51" s="1"/>
  <c r="A13" i="51" s="1"/>
  <c r="A5" i="50" l="1"/>
  <c r="A6" i="50" s="1"/>
  <c r="A7" i="50" s="1"/>
  <c r="A8" i="50" s="1"/>
  <c r="X131" i="22"/>
  <c r="A152" i="36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Y105" i="22" s="1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Y148" i="22" s="1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AB152" i="22" l="1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C97" i="22"/>
  <c r="AA82" i="22"/>
  <c r="R172" i="22"/>
  <c r="Y78" i="22"/>
  <c r="X148" i="22"/>
  <c r="G173" i="22" s="1"/>
  <c r="G174" i="22" s="1"/>
  <c r="G175" i="22" s="1"/>
  <c r="M173" i="22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Y150" i="22" s="1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T175" i="22" l="1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<sst xmlns="http://schemas.openxmlformats.org/spreadsheetml/2006/main" count="3834" uniqueCount="831">
  <si>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</si>
  <si>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</si>
  <si>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</si>
  <si>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</si>
  <si>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</si>
  <si>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</si>
  <si>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</si>
  <si>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</si>
  <si>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</si>
  <si>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</si>
  <si>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</si>
  <si>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</si>
  <si>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</si>
  <si>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</si>
  <si>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</si>
  <si>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</si>
  <si>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</si>
  <si>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</si>
  <si>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</si>
  <si>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</si>
  <si>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</si>
  <si>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</si>
  <si>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</si>
  <si>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</si>
  <si>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</si>
  <si>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</si>
  <si>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</si>
  <si>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</si>
  <si>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</si>
  <si>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</si>
  <si>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</si>
  <si>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</si>
  <si>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</si>
  <si>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</si>
  <si>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</si>
  <si>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</si>
  <si>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</si>
  <si>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</si>
  <si>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</si>
  <si>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</si>
  <si>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</si>
  <si>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</si>
  <si>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</si>
  <si>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</si>
  <si>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</si>
  <si>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</si>
  <si>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</si>
  <si>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</si>
  <si>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</si>
  <si>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</si>
  <si>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</si>
  <si>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</si>
  <si>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</si>
  <si>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</si>
  <si>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</si>
  <si>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</si>
  <si>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</si>
  <si>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</si>
  <si>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</si>
  <si>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</si>
  <si>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</si>
  <si>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</si>
  <si>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</si>
  <si>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</si>
  <si>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</si>
  <si>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</si>
  <si>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</si>
  <si>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</si>
  <si>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</si>
  <si>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</si>
  <si>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</si>
  <si>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</si>
  <si>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</si>
  <si>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</si>
  <si>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</si>
  <si>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</si>
  <si>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</si>
  <si>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</si>
  <si>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</si>
  <si>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</si>
  <si>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</si>
  <si>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</si>
  <si>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</si>
  <si>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</si>
  <si>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</si>
  <si>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</si>
  <si>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</si>
  <si>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</si>
  <si>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</si>
  <si>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</si>
  <si>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</si>
  <si>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</si>
  <si>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</si>
  <si>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</si>
  <si>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</si>
  <si>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</si>
  <si>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</si>
  <si>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</si>
  <si>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</si>
  <si>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</si>
  <si>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</si>
  <si>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</si>
  <si>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</si>
  <si>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</si>
  <si>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</si>
  <si>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</si>
  <si>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</si>
  <si>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</si>
  <si>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</si>
  <si>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</si>
  <si>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</si>
  <si>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</si>
  <si>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</si>
  <si>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</si>
  <si>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</si>
  <si>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</si>
  <si>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</si>
  <si>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</si>
  <si>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</si>
  <si>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</si>
  <si>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</si>
  <si>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</si>
  <si>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</si>
  <si>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</si>
  <si>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</si>
  <si>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</si>
  <si>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</si>
  <si>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</si>
  <si>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</si>
  <si>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</si>
  <si>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</si>
  <si>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</si>
  <si>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</si>
  <si>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</si>
  <si>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</si>
  <si>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</si>
  <si>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</si>
  <si>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</si>
  <si>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</si>
  <si>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</si>
  <si>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</si>
  <si>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</si>
  <si>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</si>
  <si>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</si>
  <si>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</si>
  <si>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</si>
  <si>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</si>
  <si>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</si>
  <si>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</si>
  <si>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</si>
  <si>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</si>
  <si>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</si>
  <si>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</si>
  <si>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</si>
  <si>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</si>
  <si>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</si>
  <si>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</si>
  <si>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</si>
  <si>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</si>
  <si>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</si>
  <si>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</si>
  <si>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</si>
  <si>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</si>
  <si>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</si>
  <si>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</si>
  <si>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</si>
  <si>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</si>
  <si>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</si>
  <si>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</si>
  <si>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</si>
  <si>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</si>
  <si>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</si>
  <si>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</si>
  <si>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</si>
  <si>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</si>
  <si>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</si>
  <si>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</si>
  <si>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</si>
  <si>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</si>
  <si>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</si>
  <si>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</si>
  <si>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</si>
  <si>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</si>
  <si>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</si>
  <si>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</si>
  <si>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</si>
  <si>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</si>
  <si>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</si>
  <si>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</si>
  <si>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</si>
  <si>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</si>
  <si>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</si>
  <si>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</si>
  <si>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</si>
  <si>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</si>
  <si>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</si>
  <si>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</si>
  <si>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</si>
  <si>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</si>
  <si>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</si>
  <si>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</si>
  <si>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</si>
  <si>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</si>
  <si>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</si>
  <si>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</si>
  <si>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</si>
  <si>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</si>
  <si>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</si>
  <si>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</si>
  <si>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</si>
  <si>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</si>
  <si>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</si>
  <si>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</si>
  <si>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</si>
  <si>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</si>
  <si>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</si>
  <si>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</si>
  <si>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</si>
  <si>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</si>
  <si>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</si>
  <si>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</si>
  <si>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</si>
  <si>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</si>
  <si>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</si>
  <si>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</si>
  <si>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</si>
  <si>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</si>
  <si>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</si>
  <si>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</si>
  <si>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</si>
  <si>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</si>
  <si>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</si>
  <si>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</si>
  <si>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</si>
  <si>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</si>
  <si>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</si>
  <si>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</si>
  <si>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</si>
  <si>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</si>
  <si>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</si>
  <si>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</si>
  <si>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</si>
  <si>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</si>
  <si>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</si>
  <si>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</si>
  <si>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</si>
  <si>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</si>
  <si>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</si>
  <si>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</si>
  <si>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</si>
  <si>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</si>
  <si>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</si>
  <si>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</si>
  <si>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</si>
  <si>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</si>
  <si>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</si>
  <si>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</si>
  <si>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</si>
  <si>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</si>
  <si>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</si>
  <si>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</si>
  <si>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</si>
  <si>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</si>
  <si>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</si>
  <si>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</si>
  <si>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</si>
  <si>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</si>
  <si>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</si>
  <si>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</si>
  <si>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</si>
  <si>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</si>
  <si>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</si>
  <si>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</si>
  <si>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</si>
  <si>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</si>
  <si>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</si>
  <si>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</si>
  <si>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</si>
  <si>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</si>
  <si>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</si>
  <si>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</si>
  <si>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</si>
  <si>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</si>
  <si>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</si>
  <si>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</si>
  <si>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</si>
  <si>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</si>
  <si>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</si>
  <si>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</si>
  <si>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</si>
  <si>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</si>
  <si>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</si>
  <si>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</si>
  <si>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</si>
  <si>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</si>
  <si>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</si>
  <si>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</si>
  <si>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</si>
  <si>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</si>
  <si>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</si>
  <si>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</si>
  <si>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</si>
  <si>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</si>
  <si>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</si>
  <si>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</si>
  <si>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</si>
  <si>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</si>
  <si>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</si>
  <si>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</si>
  <si>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</si>
  <si>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</si>
  <si>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</si>
  <si>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</si>
  <si>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</si>
  <si>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</si>
  <si>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</si>
  <si>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</si>
  <si>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</si>
  <si>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</si>
  <si>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</si>
  <si>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</si>
  <si>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</si>
  <si>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</si>
  <si>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</si>
  <si>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</si>
  <si>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</si>
  <si>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</si>
  <si>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</si>
  <si>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</si>
  <si>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</si>
  <si>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</si>
  <si>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</si>
  <si>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</si>
  <si>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</si>
  <si>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</si>
  <si>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</si>
  <si>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</si>
  <si>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</si>
  <si>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</si>
  <si>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</si>
  <si>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</si>
  <si>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</si>
  <si>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</si>
  <si>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</si>
  <si>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</si>
  <si>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</si>
  <si>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</si>
  <si>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</si>
  <si>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</si>
  <si>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</si>
  <si>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</si>
  <si>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</si>
  <si>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</si>
  <si>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</si>
  <si>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</si>
  <si>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</si>
  <si>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</si>
  <si>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</si>
  <si>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</si>
  <si>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</si>
  <si>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</si>
  <si>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</si>
  <si>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</si>
  <si>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</si>
  <si>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</si>
  <si>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</si>
  <si>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</si>
  <si>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</si>
  <si>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</si>
  <si>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</si>
  <si>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</si>
  <si>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</si>
  <si>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</si>
  <si>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</si>
  <si>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</si>
  <si>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</si>
  <si>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</si>
  <si>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</si>
  <si>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</si>
  <si>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</si>
  <si>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</si>
  <si>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</si>
  <si>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</si>
  <si>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</si>
  <si>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</si>
  <si>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</si>
  <si>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</si>
  <si>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</si>
  <si>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</si>
  <si>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</si>
  <si>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</si>
  <si>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</si>
  <si>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</si>
  <si>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</si>
  <si>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</si>
  <si>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</si>
  <si>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</si>
  <si>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</si>
  <si>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</si>
  <si>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</si>
  <si>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</si>
  <si>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</si>
  <si>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</si>
  <si>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</si>
  <si>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</si>
  <si>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</si>
  <si>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</si>
  <si>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</si>
  <si>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</si>
  <si>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</si>
  <si>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</si>
  <si>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</si>
  <si>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</si>
  <si>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</si>
  <si>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</si>
  <si>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</si>
  <si>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</si>
  <si>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</si>
  <si>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</si>
  <si>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</si>
  <si>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</si>
  <si>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</si>
  <si>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</si>
  <si>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</si>
  <si>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</si>
  <si>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</si>
  <si>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</si>
  <si>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</si>
  <si>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</si>
  <si>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</si>
  <si>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</si>
  <si>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</si>
  <si>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</si>
  <si>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</si>
  <si>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</si>
  <si>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</si>
  <si>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</si>
  <si>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</si>
  <si>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</si>
  <si>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</si>
  <si>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</si>
  <si>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</si>
  <si>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</si>
  <si>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</si>
  <si>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</si>
  <si>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</si>
  <si>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</si>
  <si>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</si>
  <si>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</si>
  <si>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</si>
  <si>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</si>
  <si>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</si>
  <si>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</si>
  <si>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</si>
  <si>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</si>
  <si>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</si>
  <si>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</si>
  <si>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</si>
  <si>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</si>
  <si>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</si>
  <si>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</si>
  <si>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</si>
  <si>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</si>
  <si>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</si>
  <si>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</si>
  <si>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</si>
  <si>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</si>
  <si>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</si>
  <si>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</si>
  <si>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</si>
  <si>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</si>
  <si>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</si>
  <si>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</si>
  <si>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</si>
  <si>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</si>
  <si>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</si>
  <si>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</si>
  <si>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</si>
  <si>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</si>
  <si>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</si>
  <si>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</si>
  <si>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</si>
  <si>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</si>
  <si>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</si>
  <si>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</si>
  <si>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</si>
  <si>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</si>
  <si>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</si>
  <si>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</si>
  <si>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</si>
  <si>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</si>
  <si>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</si>
  <si>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</si>
  <si>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</si>
  <si>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</si>
  <si>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</si>
  <si>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</si>
  <si>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</si>
  <si>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</si>
  <si>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</si>
  <si>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</si>
  <si>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</si>
  <si>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</si>
  <si>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</si>
  <si>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</si>
  <si>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</si>
  <si>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</si>
  <si>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</si>
  <si>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</si>
  <si>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</si>
  <si>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</si>
  <si>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</si>
  <si>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</si>
  <si>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</si>
  <si>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</si>
  <si>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</si>
  <si>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</si>
  <si>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</si>
  <si>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</si>
  <si>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</si>
  <si>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</si>
  <si>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</si>
  <si>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</si>
  <si>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</si>
  <si>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</si>
  <si>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</si>
  <si>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</si>
  <si>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</si>
  <si>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</si>
  <si>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</si>
  <si>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</si>
  <si>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</si>
  <si>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</si>
  <si>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</si>
  <si>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</si>
  <si>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</si>
  <si>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</si>
  <si>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</si>
  <si>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</si>
  <si>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</si>
  <si>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</si>
  <si>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</si>
  <si>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</si>
  <si>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</si>
  <si>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</si>
  <si>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</si>
  <si>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</si>
  <si>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</si>
  <si>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</si>
  <si>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</si>
  <si>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</si>
  <si>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</si>
  <si>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</si>
  <si>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</si>
  <si>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</si>
  <si>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</si>
  <si>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</si>
  <si>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</si>
  <si>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</si>
  <si>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</si>
  <si>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</si>
  <si>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</si>
  <si>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</si>
  <si>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</si>
  <si>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</si>
  <si>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</si>
  <si>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</si>
  <si>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</si>
  <si>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</si>
  <si>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</si>
  <si>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</si>
  <si>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</si>
  <si>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</si>
  <si>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</si>
  <si>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</si>
  <si>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</si>
  <si>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</si>
  <si>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</si>
  <si>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</si>
  <si>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</si>
  <si>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</si>
  <si>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</si>
  <si>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</si>
  <si>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</si>
  <si>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</si>
  <si>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</si>
  <si>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</si>
  <si>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</si>
  <si>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</si>
  <si>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</si>
  <si>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</si>
  <si>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</si>
  <si>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</si>
  <si>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</si>
  <si>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</si>
  <si>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</si>
  <si>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</si>
  <si>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</si>
  <si>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</si>
  <si>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</si>
  <si>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</si>
  <si>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</si>
  <si>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</si>
  <si>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</si>
  <si>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</si>
  <si>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</si>
  <si>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</si>
  <si>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</si>
  <si>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</si>
  <si>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</si>
  <si>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</si>
  <si>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</si>
  <si>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</si>
  <si>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</si>
  <si>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</si>
  <si>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</si>
  <si>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</si>
  <si>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</si>
  <si>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</si>
  <si>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</si>
  <si>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</si>
  <si>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</si>
  <si>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</si>
  <si>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</si>
  <si>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</si>
  <si>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</si>
  <si>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</si>
  <si>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</si>
  <si>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</si>
  <si>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</si>
  <si>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</si>
  <si>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</si>
  <si>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</si>
  <si>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</si>
  <si>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</si>
  <si>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</si>
  <si>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</si>
  <si>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</si>
  <si>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</si>
  <si>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</si>
  <si>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</si>
  <si>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</si>
  <si>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</si>
  <si>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</si>
  <si>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</si>
  <si>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</si>
  <si>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</si>
  <si>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</si>
  <si>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</si>
  <si>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</si>
  <si>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</si>
  <si>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</si>
  <si>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</si>
  <si>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</si>
  <si>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</si>
  <si>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</si>
  <si>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</si>
  <si>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</si>
  <si>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</si>
  <si>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</si>
  <si>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</si>
  <si>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</si>
  <si>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</si>
  <si>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</si>
  <si>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</si>
  <si>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</si>
  <si>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</si>
  <si>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</si>
  <si>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</si>
  <si>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</si>
  <si>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</si>
  <si>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</si>
  <si>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</si>
  <si>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</si>
  <si>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</si>
  <si>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</si>
  <si>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</si>
  <si>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</si>
  <si>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</si>
  <si>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</si>
  <si>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</si>
  <si>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</si>
  <si>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</si>
  <si>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</si>
  <si>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</si>
  <si>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</si>
  <si>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</si>
  <si>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</si>
  <si>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</si>
  <si>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</si>
  <si>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</si>
  <si>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</si>
  <si>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</si>
  <si>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</si>
  <si>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</si>
  <si>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</si>
  <si>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</si>
  <si>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</si>
  <si>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</si>
  <si>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</si>
  <si>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</si>
  <si>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</si>
  <si>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</si>
  <si>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</si>
  <si>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</si>
  <si>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</si>
  <si>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</si>
  <si>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</si>
  <si>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</si>
  <si>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</si>
  <si>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</si>
  <si>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</si>
  <si>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</si>
  <si>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</si>
  <si>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</si>
  <si>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</si>
  <si>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</si>
  <si>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</si>
  <si>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</si>
  <si>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</si>
  <si>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</si>
  <si>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</si>
  <si>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</si>
  <si>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</si>
  <si>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</si>
  <si>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</si>
  <si>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</si>
  <si>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</si>
  <si>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</si>
  <si>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</si>
  <si>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</si>
  <si>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</si>
  <si>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</si>
  <si>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</si>
  <si>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</si>
  <si>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</si>
  <si>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</si>
  <si>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</si>
  <si>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</si>
  <si>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</si>
  <si>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</si>
  <si>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</si>
  <si>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</si>
  <si>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</si>
  <si>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</si>
  <si>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</si>
  <si>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</si>
  <si>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</si>
  <si>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</si>
  <si>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</si>
  <si>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</si>
  <si>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</si>
  <si>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</si>
  <si>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</si>
  <si>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</si>
  <si>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</si>
  <si>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</si>
  <si>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</si>
  <si>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</si>
  <si>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</si>
  <si>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</si>
  <si>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</si>
  <si>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</si>
  <si>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</si>
  <si>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</si>
  <si>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</si>
  <si>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</si>
  <si>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</si>
  <si>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</si>
  <si>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</si>
  <si>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</si>
  <si>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</si>
  <si>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</si>
  <si>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</si>
  <si>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</si>
  <si>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</si>
  <si>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</si>
  <si>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</si>
  <si>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</si>
  <si>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</si>
  <si>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</si>
  <si>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</si>
  <si>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</si>
  <si>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</si>
  <si>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</si>
  <si>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</si>
  <si>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</si>
  <si>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</si>
  <si>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</si>
  <si>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</si>
  <si>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</si>
  <si>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</si>
  <si>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</si>
  <si>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</si>
  <si>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</si>
  <si>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</si>
  <si>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</si>
  <si>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</si>
  <si>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</si>
  <si>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</si>
  <si>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</si>
  <si>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</si>
  <si>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</si>
  <si>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3rd section work.</t>
  </si>
  <si>
    <t>Erection work in Progress</t>
  </si>
  <si>
    <t>.</t>
  </si>
  <si>
    <t>Will Supplied in 4th Week of Nov'25</t>
  </si>
  <si>
    <t>36/0 - 36/1</t>
  </si>
  <si>
    <t>GANG - A1</t>
  </si>
  <si>
    <t>GANG - A2</t>
  </si>
  <si>
    <t>Work in Progress</t>
  </si>
  <si>
    <t>Mr. Arun Felbin</t>
  </si>
  <si>
    <t>51/0</t>
  </si>
  <si>
    <t>50/0</t>
  </si>
  <si>
    <t>DB1-3</t>
  </si>
  <si>
    <t xml:space="preserve"> Cage 02 section work under progress. </t>
  </si>
  <si>
    <t xml:space="preserve">1st section work under progress. 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</si>
  <si>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</si>
  <si>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</si>
  <si>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</si>
  <si>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</si>
  <si>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</si>
  <si>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 xml:space="preserve">Pilot payingout Arrangements work under progress. </t>
  </si>
  <si>
    <t>Required further work front for Foundation works In order to sustain the manpower.</t>
  </si>
  <si>
    <t>Excavation work under progress.</t>
  </si>
  <si>
    <t>All Pit Chimney concreting Completed. (Except RC)</t>
  </si>
  <si>
    <t>Ground Assembly work under progress</t>
  </si>
  <si>
    <t xml:space="preserve"> Bottom Section work under Progress.</t>
  </si>
  <si>
    <t>cage 01 Section work Under Progress</t>
  </si>
  <si>
    <t xml:space="preserve"> Pilot Paying Out Arrangements work under progress </t>
  </si>
  <si>
    <t>Insulator Hoisting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</si>
</sst>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77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2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7" xfId="0" applyFont="1" applyFill="1" applyBorder="1" applyAlignment="1">
      <alignment horizontal="center" vertical="center" wrapText="1"/>
    </xf>
    <xf numFmtId="0" fontId="123" fillId="63" borderId="108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0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0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2" fillId="57" borderId="61" xfId="0" applyFont="1" applyFill="1" applyBorder="1" applyAlignment="1">
      <alignment horizontal="center" vertical="center"/>
    </xf>
    <xf numFmtId="0" fontId="177" fillId="57" borderId="1" xfId="0" applyFont="1" applyFill="1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16" fillId="57" borderId="61" xfId="0" applyFont="1" applyFill="1" applyBorder="1" applyAlignment="1">
      <alignment horizontal="center" vertical="center"/>
    </xf>
    <xf numFmtId="0" fontId="182" fillId="0" borderId="0" xfId="0" applyFont="1" applyAlignment="1">
      <alignment horizontal="left" vertical="center"/>
    </xf>
    <xf numFmtId="0" fontId="182" fillId="68" borderId="83" xfId="0" applyFont="1" applyFill="1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0" fontId="191" fillId="68" borderId="113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06" fillId="71" borderId="113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19" fillId="71" borderId="11" xfId="0" applyFont="1" applyFill="1" applyBorder="1" applyAlignment="1">
      <alignment horizontal="center" vertical="center"/>
    </xf>
    <xf numFmtId="0" fontId="124" fillId="0" borderId="95" xfId="0" applyFont="1" applyBorder="1" applyAlignment="1">
      <alignment horizontal="left" vertical="center" wrapText="1"/>
    </xf>
    <xf numFmtId="0" fontId="124" fillId="0" borderId="103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82" fillId="71" borderId="10" xfId="0" applyFont="1" applyFill="1" applyBorder="1" applyAlignment="1">
      <alignment horizontal="center" vertical="center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6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3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3" fillId="68" borderId="21" xfId="0" applyFont="1" applyFill="1" applyBorder="1" applyAlignment="1">
      <alignment horizontal="center" vertical="center" wrapText="1"/>
    </xf>
    <xf numFmtId="0" fontId="193" fillId="68" borderId="23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8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4" fillId="3" borderId="1" xfId="0" applyFont="1" applyFill="1" applyBorder="1" applyAlignment="1">
      <alignment horizontal="center" vertical="center" wrapText="1"/>
    </xf>
    <xf numFmtId="0" fontId="195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4" fillId="3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20" fillId="68" borderId="1" xfId="0" applyFont="1" applyFill="1" applyBorder="1" applyAlignment="1">
      <alignment horizontal="left" wrapText="1"/>
    </xf>
    <xf numFmtId="14" fontId="0" fillId="0" borderId="1" xfId="0" applyNumberForma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117" fillId="64" borderId="117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8" xfId="0" applyFont="1" applyFill="1" applyBorder="1" applyAlignment="1">
      <alignment horizontal="center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67" fillId="74" borderId="1" xfId="0" applyFont="1" applyFill="1" applyBorder="1" applyAlignment="1">
      <alignment horizontal="center" vertical="center" wrapText="1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9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 wrapText="1"/>
    </xf>
    <xf numFmtId="0" fontId="94" fillId="3" borderId="1" xfId="0" applyFont="1" applyFill="1" applyBorder="1" applyAlignment="1">
      <alignment vertical="center" wrapText="1"/>
    </xf>
    <xf numFmtId="0" fontId="123" fillId="64" borderId="1" xfId="0" applyFont="1" applyFill="1" applyBorder="1" applyAlignment="1">
      <alignment horizontal="center"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6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7A5B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topLeftCell="A43" zoomScale="70" zoomScaleNormal="70" workbookViewId="0">
      <selection activeCell="J71" sqref="J71:J73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49" t="s">
        <v>487</v>
      </c>
      <c r="B1" s="172" t="s">
        <v>406</v>
      </c>
      <c r="C1" s="173" t="s">
        <v>407</v>
      </c>
      <c r="D1" s="174" t="s">
        <v>408</v>
      </c>
      <c r="E1" s="175">
        <v>45985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50"/>
      <c r="B2" s="172" t="s">
        <v>411</v>
      </c>
      <c r="C2" s="652" t="s">
        <v>412</v>
      </c>
      <c r="D2" s="653"/>
      <c r="E2" s="654"/>
      <c r="F2" s="172" t="s">
        <v>477</v>
      </c>
      <c r="G2" s="176" t="s">
        <v>478</v>
      </c>
      <c r="H2" s="172" t="s">
        <v>413</v>
      </c>
      <c r="I2" s="176" t="s">
        <v>811</v>
      </c>
      <c r="M2" s="165"/>
      <c r="N2" s="165"/>
      <c r="O2" s="165"/>
    </row>
    <row r="3" spans="1:16" ht="31.95" customHeight="1" thickTop="1" thickBot="1">
      <c r="A3" s="650"/>
      <c r="B3" s="172" t="s">
        <v>414</v>
      </c>
      <c r="C3" s="652" t="s">
        <v>415</v>
      </c>
      <c r="D3" s="653"/>
      <c r="E3" s="654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51"/>
      <c r="B4" s="172" t="s">
        <v>397</v>
      </c>
      <c r="C4" s="655" t="s">
        <v>416</v>
      </c>
      <c r="D4" s="656"/>
      <c r="E4" s="657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61" t="s">
        <v>370</v>
      </c>
      <c r="B8" s="662"/>
      <c r="C8" s="662"/>
      <c r="D8" s="662"/>
      <c r="E8" s="662"/>
      <c r="F8" s="662"/>
      <c r="G8" s="662"/>
      <c r="H8" s="662"/>
      <c r="I8" s="662"/>
      <c r="J8" s="662"/>
      <c r="K8" s="662"/>
      <c r="L8" s="663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66" t="s">
        <v>383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7"/>
      <c r="N14" s="668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664" t="s">
        <v>113</v>
      </c>
      <c r="N15" s="665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70"/>
      <c r="N16" s="671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72"/>
      <c r="N17" s="673"/>
    </row>
    <row r="18" spans="1:16" ht="15.6" thickTop="1" thickBot="1">
      <c r="P18" s="168"/>
    </row>
    <row r="19" spans="1:16" s="169" customFormat="1" ht="22.2" customHeight="1" thickTop="1" thickBot="1">
      <c r="A19" s="658" t="s">
        <v>423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60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115</v>
      </c>
      <c r="F21" s="372">
        <v>0</v>
      </c>
      <c r="G21" s="372">
        <v>12</v>
      </c>
      <c r="H21" s="374">
        <v>0</v>
      </c>
      <c r="I21" s="374">
        <v>3</v>
      </c>
      <c r="J21" s="372">
        <f>D21+F21</f>
        <v>127</v>
      </c>
      <c r="K21" s="373">
        <f>E21+I21</f>
        <v>118</v>
      </c>
      <c r="L21" s="372">
        <f>+C21-K21</f>
        <v>9</v>
      </c>
      <c r="M21" s="372">
        <v>2</v>
      </c>
      <c r="N21" s="372">
        <v>3</v>
      </c>
      <c r="O21" s="425"/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111</v>
      </c>
      <c r="F22" s="372">
        <v>0</v>
      </c>
      <c r="G22" s="372">
        <v>17</v>
      </c>
      <c r="H22" s="374">
        <v>0</v>
      </c>
      <c r="I22" s="374">
        <v>2</v>
      </c>
      <c r="J22" s="372">
        <f>D22+F22</f>
        <v>0</v>
      </c>
      <c r="K22" s="373">
        <f>E22+I22</f>
        <v>113</v>
      </c>
      <c r="L22" s="372">
        <f t="shared" ref="L22:L23" si="0">+C22-K22</f>
        <v>14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89</v>
      </c>
      <c r="F23" s="372">
        <v>0</v>
      </c>
      <c r="G23" s="372">
        <v>20</v>
      </c>
      <c r="H23" s="374">
        <v>0</v>
      </c>
      <c r="I23" s="374">
        <v>6</v>
      </c>
      <c r="J23" s="372">
        <v>127</v>
      </c>
      <c r="K23" s="373">
        <f>E23+I23</f>
        <v>95</v>
      </c>
      <c r="L23" s="372">
        <f t="shared" si="0"/>
        <v>32</v>
      </c>
      <c r="M23" s="372">
        <v>3</v>
      </c>
      <c r="N23" s="372">
        <v>3</v>
      </c>
      <c r="O23" s="497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29">
        <v>3.5790000000000002</v>
      </c>
      <c r="F24" s="372">
        <v>0</v>
      </c>
      <c r="G24" s="372">
        <v>9.4</v>
      </c>
      <c r="H24" s="374">
        <v>0</v>
      </c>
      <c r="I24" s="374">
        <v>4.96</v>
      </c>
      <c r="J24" s="372">
        <v>47.84</v>
      </c>
      <c r="K24" s="372">
        <f>+I24+E24</f>
        <v>8.5389999999999997</v>
      </c>
      <c r="L24" s="372">
        <f t="shared" ref="L24" si="1">+C24-K24</f>
        <v>39.301000000000002</v>
      </c>
      <c r="M24" s="372">
        <v>1.98</v>
      </c>
      <c r="N24" s="372">
        <v>1</v>
      </c>
      <c r="O24" s="497"/>
    </row>
    <row r="25" spans="1:16" ht="15.6" thickTop="1" thickBot="1">
      <c r="A25" s="170"/>
      <c r="G25" s="164" t="s">
        <v>805</v>
      </c>
      <c r="N25" s="678"/>
      <c r="O25" s="678"/>
    </row>
    <row r="26" spans="1:16" ht="17.399999999999999" customHeight="1" thickBot="1">
      <c r="A26" s="692" t="s">
        <v>797</v>
      </c>
      <c r="B26" s="693"/>
      <c r="C26" s="693"/>
      <c r="D26" s="693"/>
      <c r="E26" s="693"/>
      <c r="F26" s="693"/>
      <c r="G26" s="693"/>
      <c r="H26" s="693"/>
      <c r="I26" s="694"/>
    </row>
    <row r="27" spans="1:16" ht="42.6" customHeight="1" thickBot="1">
      <c r="A27" s="484" t="s">
        <v>12</v>
      </c>
      <c r="B27" s="485" t="s">
        <v>677</v>
      </c>
      <c r="C27" s="485" t="s">
        <v>678</v>
      </c>
      <c r="D27" s="676" t="s">
        <v>679</v>
      </c>
      <c r="E27" s="677"/>
      <c r="F27" s="676" t="s">
        <v>697</v>
      </c>
      <c r="G27" s="687"/>
      <c r="H27" s="681" t="s">
        <v>636</v>
      </c>
      <c r="I27" s="682"/>
    </row>
    <row r="28" spans="1:16" ht="42.6" customHeight="1">
      <c r="A28" s="583">
        <v>1</v>
      </c>
      <c r="B28" s="584" t="s">
        <v>105</v>
      </c>
      <c r="C28" s="585" t="s">
        <v>703</v>
      </c>
      <c r="D28" s="688" t="s">
        <v>669</v>
      </c>
      <c r="E28" s="688"/>
      <c r="F28" s="675" t="s">
        <v>798</v>
      </c>
      <c r="G28" s="675"/>
      <c r="H28" s="679"/>
      <c r="I28" s="680"/>
    </row>
    <row r="29" spans="1:16" ht="42.6" customHeight="1">
      <c r="A29" s="586">
        <v>2</v>
      </c>
      <c r="B29" s="587" t="s">
        <v>105</v>
      </c>
      <c r="C29" s="588" t="s">
        <v>704</v>
      </c>
      <c r="D29" s="674" t="s">
        <v>153</v>
      </c>
      <c r="E29" s="674"/>
      <c r="F29" s="675" t="s">
        <v>798</v>
      </c>
      <c r="G29" s="675"/>
      <c r="H29" s="685"/>
      <c r="I29" s="686"/>
    </row>
    <row r="30" spans="1:16" ht="42.6" customHeight="1" thickBot="1">
      <c r="A30" s="589">
        <v>3</v>
      </c>
      <c r="B30" s="590" t="s">
        <v>105</v>
      </c>
      <c r="C30" s="591" t="s">
        <v>705</v>
      </c>
      <c r="D30" s="674" t="s">
        <v>168</v>
      </c>
      <c r="E30" s="674"/>
      <c r="F30" s="669" t="s">
        <v>798</v>
      </c>
      <c r="G30" s="669"/>
      <c r="H30" s="683"/>
      <c r="I30" s="684"/>
    </row>
    <row r="31" spans="1:16" ht="30" customHeight="1" thickBot="1"/>
    <row r="32" spans="1:16" ht="21.6" customHeight="1" thickBot="1">
      <c r="A32" s="689" t="s">
        <v>788</v>
      </c>
      <c r="B32" s="690"/>
      <c r="C32" s="690"/>
      <c r="D32" s="690"/>
      <c r="E32" s="690"/>
      <c r="F32" s="690"/>
      <c r="G32" s="690"/>
      <c r="H32" s="690"/>
      <c r="I32" s="690"/>
      <c r="J32" s="690"/>
      <c r="K32" s="691"/>
    </row>
    <row r="33" spans="1:95" ht="30" customHeight="1" thickBot="1">
      <c r="A33" s="581" t="s">
        <v>12</v>
      </c>
      <c r="B33" s="582" t="s">
        <v>677</v>
      </c>
      <c r="C33" s="582" t="s">
        <v>678</v>
      </c>
      <c r="D33" s="698" t="s">
        <v>514</v>
      </c>
      <c r="E33" s="699"/>
      <c r="F33" s="698" t="s">
        <v>792</v>
      </c>
      <c r="G33" s="700"/>
      <c r="H33" s="698" t="s">
        <v>791</v>
      </c>
      <c r="I33" s="700"/>
      <c r="J33" s="689" t="s">
        <v>636</v>
      </c>
      <c r="K33" s="691"/>
    </row>
    <row r="34" spans="1:95" ht="46.8" customHeight="1" thickBot="1">
      <c r="A34" s="576">
        <v>1</v>
      </c>
      <c r="B34" s="577" t="s">
        <v>789</v>
      </c>
      <c r="C34" s="578" t="s">
        <v>790</v>
      </c>
      <c r="D34" s="701" t="s">
        <v>713</v>
      </c>
      <c r="E34" s="701"/>
      <c r="F34" s="702">
        <v>2.4260000000000002</v>
      </c>
      <c r="G34" s="703"/>
      <c r="H34" s="639" t="s">
        <v>793</v>
      </c>
      <c r="I34" s="640"/>
      <c r="J34" s="641"/>
      <c r="K34" s="642"/>
    </row>
    <row r="35" spans="1:95" ht="46.8" customHeight="1" thickBot="1">
      <c r="A35" s="579">
        <v>2</v>
      </c>
      <c r="B35" s="580" t="s">
        <v>789</v>
      </c>
      <c r="C35" s="578" t="s">
        <v>790</v>
      </c>
      <c r="D35" s="636" t="s">
        <v>801</v>
      </c>
      <c r="E35" s="636"/>
      <c r="F35" s="637">
        <v>1.98</v>
      </c>
      <c r="G35" s="638"/>
      <c r="H35" s="704" t="s">
        <v>822</v>
      </c>
      <c r="I35" s="705"/>
      <c r="J35" s="641"/>
      <c r="K35" s="642"/>
    </row>
    <row r="36" spans="1:95" ht="30" customHeight="1">
      <c r="A36" s="170"/>
    </row>
    <row r="37" spans="1:95" s="476" customFormat="1" ht="28.2" customHeight="1">
      <c r="A37" s="475" t="s">
        <v>674</v>
      </c>
    </row>
    <row r="38" spans="1:95" s="473" customFormat="1" ht="9" customHeight="1">
      <c r="A38" s="474"/>
      <c r="B38" s="635"/>
      <c r="C38" s="635"/>
      <c r="D38" s="635"/>
      <c r="E38" s="635"/>
      <c r="F38" s="635"/>
      <c r="G38" s="635"/>
    </row>
    <row r="39" spans="1:95" s="473" customFormat="1" ht="24.6" customHeight="1">
      <c r="A39" s="474" t="s">
        <v>676</v>
      </c>
      <c r="B39" s="635" t="s">
        <v>823</v>
      </c>
      <c r="C39" s="635"/>
      <c r="D39" s="635"/>
      <c r="E39" s="635"/>
      <c r="F39" s="635"/>
      <c r="G39" s="635"/>
      <c r="H39" s="635"/>
      <c r="I39" s="635"/>
      <c r="J39" s="635"/>
      <c r="K39" s="472"/>
      <c r="L39" s="472"/>
      <c r="M39" s="495"/>
      <c r="N39" s="495"/>
      <c r="O39" s="495"/>
    </row>
    <row r="40" spans="1:95" s="473" customFormat="1" ht="24.6" customHeight="1">
      <c r="A40" s="474" t="s">
        <v>676</v>
      </c>
      <c r="B40" s="635" t="s">
        <v>712</v>
      </c>
      <c r="C40" s="635"/>
      <c r="D40" s="635"/>
      <c r="E40" s="635"/>
      <c r="F40" s="635"/>
      <c r="G40" s="635"/>
      <c r="H40" s="635"/>
      <c r="I40" s="635"/>
      <c r="J40" s="635"/>
      <c r="K40" s="472"/>
      <c r="L40" s="472"/>
      <c r="M40" s="480"/>
      <c r="N40" s="480"/>
      <c r="O40" s="480"/>
    </row>
    <row r="41" spans="1:95" s="473" customFormat="1" ht="24.6" customHeight="1">
      <c r="A41" s="474" t="s">
        <v>676</v>
      </c>
      <c r="B41" s="635" t="s">
        <v>800</v>
      </c>
      <c r="C41" s="635"/>
      <c r="D41" s="635"/>
      <c r="E41" s="635"/>
      <c r="F41" s="635"/>
      <c r="G41" s="635"/>
      <c r="H41" s="635"/>
      <c r="I41" s="635"/>
      <c r="J41" s="635"/>
      <c r="K41" s="472"/>
      <c r="L41" s="472"/>
      <c r="M41" s="495"/>
      <c r="N41" s="495"/>
      <c r="O41" s="495"/>
    </row>
    <row r="42" spans="1:95" s="253" customFormat="1" ht="17.399999999999999" customHeight="1">
      <c r="A42" s="474"/>
      <c r="B42" s="635"/>
      <c r="C42" s="635"/>
      <c r="D42" s="635"/>
      <c r="E42" s="635"/>
      <c r="F42" s="635"/>
      <c r="G42" s="635"/>
      <c r="H42" s="635"/>
      <c r="I42" s="635"/>
      <c r="J42" s="635"/>
      <c r="K42" s="472"/>
      <c r="L42" s="472"/>
      <c r="M42" s="469"/>
      <c r="N42" s="469"/>
      <c r="O42" s="469"/>
    </row>
    <row r="43" spans="1:95" ht="15" thickBot="1"/>
    <row r="44" spans="1:95" ht="18.600000000000001" thickBot="1">
      <c r="A44" s="695" t="s">
        <v>480</v>
      </c>
      <c r="B44" s="696"/>
      <c r="C44" s="696"/>
      <c r="D44" s="696"/>
      <c r="E44" s="696"/>
      <c r="F44" s="696"/>
      <c r="G44" s="696"/>
      <c r="H44" s="696"/>
      <c r="I44" s="696"/>
      <c r="J44" s="697"/>
    </row>
    <row r="45" spans="1:95" s="545" customFormat="1" ht="66.599999999999994" customHeight="1" thickBot="1">
      <c r="A45" s="541" t="s">
        <v>767</v>
      </c>
      <c r="B45" s="542" t="s">
        <v>768</v>
      </c>
      <c r="C45" s="643" t="s">
        <v>769</v>
      </c>
      <c r="D45" s="644"/>
      <c r="E45" s="645"/>
      <c r="F45" s="542" t="s">
        <v>372</v>
      </c>
      <c r="G45" s="542" t="s">
        <v>481</v>
      </c>
      <c r="H45" s="543" t="s">
        <v>780</v>
      </c>
      <c r="I45" s="544" t="s">
        <v>770</v>
      </c>
      <c r="J45" s="544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6" customFormat="1" ht="33.6" customHeight="1">
      <c r="A46" s="592">
        <v>1</v>
      </c>
      <c r="B46" s="593" t="s">
        <v>482</v>
      </c>
      <c r="C46" s="646" t="s">
        <v>736</v>
      </c>
      <c r="D46" s="646"/>
      <c r="E46" s="646"/>
      <c r="F46" s="594" t="s">
        <v>483</v>
      </c>
      <c r="G46" s="595">
        <v>127</v>
      </c>
      <c r="H46" s="596">
        <v>127</v>
      </c>
      <c r="I46" s="597">
        <f>G46-H46</f>
        <v>0</v>
      </c>
      <c r="J46" s="598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6" customFormat="1" ht="33.6" customHeight="1">
      <c r="A47" s="547">
        <f>A46+1</f>
        <v>2</v>
      </c>
      <c r="B47" s="574" t="s">
        <v>484</v>
      </c>
      <c r="C47" s="647" t="s">
        <v>737</v>
      </c>
      <c r="D47" s="647"/>
      <c r="E47" s="647"/>
      <c r="F47" s="397" t="s">
        <v>483</v>
      </c>
      <c r="G47" s="557">
        <v>127</v>
      </c>
      <c r="H47" s="558">
        <v>127</v>
      </c>
      <c r="I47" s="564">
        <f t="shared" ref="I47:I81" si="2">G47-H47</f>
        <v>0</v>
      </c>
      <c r="J47" s="548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6" customFormat="1" ht="33.6" customHeight="1">
      <c r="A48" s="547">
        <f t="shared" ref="A48:A80" si="3">A47+1</f>
        <v>3</v>
      </c>
      <c r="B48" s="574" t="s">
        <v>485</v>
      </c>
      <c r="C48" s="647" t="s">
        <v>738</v>
      </c>
      <c r="D48" s="647"/>
      <c r="E48" s="647"/>
      <c r="F48" s="397" t="s">
        <v>486</v>
      </c>
      <c r="G48" s="557">
        <v>127</v>
      </c>
      <c r="H48" s="558">
        <v>127</v>
      </c>
      <c r="I48" s="564">
        <f t="shared" si="2"/>
        <v>0</v>
      </c>
      <c r="J48" s="548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49" customFormat="1" ht="33.6" customHeight="1">
      <c r="A49" s="547">
        <f t="shared" si="3"/>
        <v>4</v>
      </c>
      <c r="B49" s="574" t="s">
        <v>771</v>
      </c>
      <c r="C49" s="647" t="s">
        <v>739</v>
      </c>
      <c r="D49" s="647"/>
      <c r="E49" s="647"/>
      <c r="F49" s="397" t="s">
        <v>740</v>
      </c>
      <c r="G49" s="559">
        <v>49.5</v>
      </c>
      <c r="H49" s="560">
        <v>46.875</v>
      </c>
      <c r="I49" s="565">
        <f t="shared" si="2"/>
        <v>2.625</v>
      </c>
      <c r="J49" s="556" t="s">
        <v>806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49" customFormat="1" ht="33.6" customHeight="1">
      <c r="A50" s="547">
        <f t="shared" si="3"/>
        <v>5</v>
      </c>
      <c r="B50" s="574" t="s">
        <v>772</v>
      </c>
      <c r="C50" s="647" t="s">
        <v>741</v>
      </c>
      <c r="D50" s="647"/>
      <c r="E50" s="647"/>
      <c r="F50" s="397" t="s">
        <v>740</v>
      </c>
      <c r="G50" s="559">
        <v>1740</v>
      </c>
      <c r="H50" s="560">
        <v>1601.4110000000001</v>
      </c>
      <c r="I50" s="565">
        <f t="shared" si="2"/>
        <v>138.58899999999994</v>
      </c>
      <c r="J50" s="556" t="s">
        <v>806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9" customFormat="1" ht="33.6" customHeight="1">
      <c r="A51" s="547">
        <f t="shared" si="3"/>
        <v>6</v>
      </c>
      <c r="B51" s="574" t="s">
        <v>773</v>
      </c>
      <c r="C51" s="647" t="s">
        <v>783</v>
      </c>
      <c r="D51" s="647"/>
      <c r="E51" s="647"/>
      <c r="F51" s="397" t="s">
        <v>742</v>
      </c>
      <c r="G51" s="559">
        <v>2224</v>
      </c>
      <c r="H51" s="561">
        <v>2224</v>
      </c>
      <c r="I51" s="564">
        <f t="shared" si="2"/>
        <v>0</v>
      </c>
      <c r="J51" s="548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9" customFormat="1" ht="33.6" customHeight="1">
      <c r="A52" s="547">
        <f t="shared" si="3"/>
        <v>7</v>
      </c>
      <c r="B52" s="574" t="s">
        <v>773</v>
      </c>
      <c r="C52" s="647" t="s">
        <v>784</v>
      </c>
      <c r="D52" s="647"/>
      <c r="E52" s="647"/>
      <c r="F52" s="397" t="s">
        <v>742</v>
      </c>
      <c r="G52" s="559">
        <v>3781</v>
      </c>
      <c r="H52" s="561">
        <v>3781</v>
      </c>
      <c r="I52" s="564">
        <f t="shared" si="2"/>
        <v>0</v>
      </c>
      <c r="J52" s="548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9" customFormat="1" ht="33.6" customHeight="1">
      <c r="A53" s="547">
        <f t="shared" si="3"/>
        <v>8</v>
      </c>
      <c r="B53" s="574" t="s">
        <v>774</v>
      </c>
      <c r="C53" s="647" t="s">
        <v>785</v>
      </c>
      <c r="D53" s="647"/>
      <c r="E53" s="647"/>
      <c r="F53" s="397" t="s">
        <v>743</v>
      </c>
      <c r="G53" s="559">
        <v>528</v>
      </c>
      <c r="H53" s="561">
        <v>528</v>
      </c>
      <c r="I53" s="564">
        <f t="shared" si="2"/>
        <v>0</v>
      </c>
      <c r="J53" s="548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9" customFormat="1" ht="33.6" customHeight="1">
      <c r="A54" s="547">
        <f t="shared" si="3"/>
        <v>9</v>
      </c>
      <c r="B54" s="574" t="s">
        <v>774</v>
      </c>
      <c r="C54" s="647" t="s">
        <v>786</v>
      </c>
      <c r="D54" s="647"/>
      <c r="E54" s="647"/>
      <c r="F54" s="397" t="s">
        <v>743</v>
      </c>
      <c r="G54" s="559">
        <v>45</v>
      </c>
      <c r="H54" s="561">
        <v>45</v>
      </c>
      <c r="I54" s="564">
        <f t="shared" si="2"/>
        <v>0</v>
      </c>
      <c r="J54" s="548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9" customFormat="1" ht="33.6" customHeight="1">
      <c r="A55" s="547">
        <f t="shared" si="3"/>
        <v>10</v>
      </c>
      <c r="B55" s="574" t="s">
        <v>774</v>
      </c>
      <c r="C55" s="647" t="s">
        <v>787</v>
      </c>
      <c r="D55" s="647"/>
      <c r="E55" s="647"/>
      <c r="F55" s="397" t="s">
        <v>743</v>
      </c>
      <c r="G55" s="559">
        <v>468</v>
      </c>
      <c r="H55" s="561">
        <v>468</v>
      </c>
      <c r="I55" s="564">
        <f t="shared" si="2"/>
        <v>0</v>
      </c>
      <c r="J55" s="548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9" customFormat="1" ht="33.6" customHeight="1">
      <c r="A56" s="547">
        <f t="shared" si="3"/>
        <v>11</v>
      </c>
      <c r="B56" s="574" t="s">
        <v>775</v>
      </c>
      <c r="C56" s="647" t="s">
        <v>744</v>
      </c>
      <c r="D56" s="647"/>
      <c r="E56" s="647"/>
      <c r="F56" s="397" t="s">
        <v>742</v>
      </c>
      <c r="G56" s="559">
        <v>828</v>
      </c>
      <c r="H56" s="561">
        <v>828</v>
      </c>
      <c r="I56" s="564">
        <f t="shared" si="2"/>
        <v>0</v>
      </c>
      <c r="J56" s="548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9" customFormat="1" ht="33.6" customHeight="1">
      <c r="A57" s="547">
        <f t="shared" si="3"/>
        <v>12</v>
      </c>
      <c r="B57" s="574" t="s">
        <v>775</v>
      </c>
      <c r="C57" s="647" t="s">
        <v>745</v>
      </c>
      <c r="D57" s="647"/>
      <c r="E57" s="647"/>
      <c r="F57" s="397" t="s">
        <v>742</v>
      </c>
      <c r="G57" s="559">
        <v>338</v>
      </c>
      <c r="H57" s="561">
        <v>338</v>
      </c>
      <c r="I57" s="564">
        <f t="shared" si="2"/>
        <v>0</v>
      </c>
      <c r="J57" s="548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9" customFormat="1" ht="33.6" customHeight="1">
      <c r="A58" s="547">
        <f t="shared" si="3"/>
        <v>13</v>
      </c>
      <c r="B58" s="574" t="s">
        <v>775</v>
      </c>
      <c r="C58" s="647" t="s">
        <v>746</v>
      </c>
      <c r="D58" s="647"/>
      <c r="E58" s="647"/>
      <c r="F58" s="397" t="s">
        <v>742</v>
      </c>
      <c r="G58" s="559">
        <v>5628</v>
      </c>
      <c r="H58" s="561">
        <v>4992</v>
      </c>
      <c r="I58" s="564">
        <f t="shared" si="2"/>
        <v>636</v>
      </c>
      <c r="J58" s="556" t="s">
        <v>806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9" customFormat="1" ht="33.6" customHeight="1">
      <c r="A59" s="547">
        <f t="shared" si="3"/>
        <v>14</v>
      </c>
      <c r="B59" s="574" t="s">
        <v>775</v>
      </c>
      <c r="C59" s="647" t="s">
        <v>747</v>
      </c>
      <c r="D59" s="647"/>
      <c r="E59" s="647"/>
      <c r="F59" s="397" t="s">
        <v>742</v>
      </c>
      <c r="G59" s="559">
        <v>1170</v>
      </c>
      <c r="H59" s="561">
        <v>1170</v>
      </c>
      <c r="I59" s="564">
        <f t="shared" si="2"/>
        <v>0</v>
      </c>
      <c r="J59" s="548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9" customFormat="1" ht="33.6" customHeight="1">
      <c r="A60" s="547">
        <f t="shared" si="3"/>
        <v>15</v>
      </c>
      <c r="B60" s="574" t="s">
        <v>776</v>
      </c>
      <c r="C60" s="647" t="s">
        <v>748</v>
      </c>
      <c r="D60" s="647"/>
      <c r="E60" s="647"/>
      <c r="F60" s="397" t="s">
        <v>742</v>
      </c>
      <c r="G60" s="559">
        <v>26</v>
      </c>
      <c r="H60" s="561">
        <v>26</v>
      </c>
      <c r="I60" s="564">
        <f t="shared" si="2"/>
        <v>0</v>
      </c>
      <c r="J60" s="548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9" customFormat="1" ht="33.6" customHeight="1">
      <c r="A61" s="547">
        <f t="shared" si="3"/>
        <v>16</v>
      </c>
      <c r="B61" s="574" t="s">
        <v>776</v>
      </c>
      <c r="C61" s="647" t="s">
        <v>749</v>
      </c>
      <c r="D61" s="647"/>
      <c r="E61" s="647"/>
      <c r="F61" s="397" t="s">
        <v>742</v>
      </c>
      <c r="G61" s="559">
        <v>169</v>
      </c>
      <c r="H61" s="561">
        <v>169</v>
      </c>
      <c r="I61" s="564">
        <f t="shared" si="2"/>
        <v>0</v>
      </c>
      <c r="J61" s="548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9" customFormat="1" ht="33.6" customHeight="1">
      <c r="A62" s="547">
        <f t="shared" si="3"/>
        <v>17</v>
      </c>
      <c r="B62" s="574" t="s">
        <v>776</v>
      </c>
      <c r="C62" s="647" t="s">
        <v>750</v>
      </c>
      <c r="D62" s="647"/>
      <c r="E62" s="647"/>
      <c r="F62" s="397" t="s">
        <v>742</v>
      </c>
      <c r="G62" s="559">
        <v>340</v>
      </c>
      <c r="H62" s="561">
        <v>340</v>
      </c>
      <c r="I62" s="564">
        <f t="shared" si="2"/>
        <v>0</v>
      </c>
      <c r="J62" s="548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9" customFormat="1" ht="33.6" customHeight="1">
      <c r="A63" s="547">
        <f t="shared" si="3"/>
        <v>18</v>
      </c>
      <c r="B63" s="574" t="s">
        <v>776</v>
      </c>
      <c r="C63" s="647" t="s">
        <v>751</v>
      </c>
      <c r="D63" s="647"/>
      <c r="E63" s="647"/>
      <c r="F63" s="397" t="s">
        <v>742</v>
      </c>
      <c r="G63" s="559">
        <v>88</v>
      </c>
      <c r="H63" s="561">
        <v>88</v>
      </c>
      <c r="I63" s="564">
        <f t="shared" si="2"/>
        <v>0</v>
      </c>
      <c r="J63" s="548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9" customFormat="1" ht="33.6" customHeight="1">
      <c r="A64" s="547">
        <f t="shared" si="3"/>
        <v>19</v>
      </c>
      <c r="B64" s="574" t="s">
        <v>776</v>
      </c>
      <c r="C64" s="647" t="s">
        <v>752</v>
      </c>
      <c r="D64" s="647"/>
      <c r="E64" s="647"/>
      <c r="F64" s="397" t="s">
        <v>742</v>
      </c>
      <c r="G64" s="559">
        <v>81</v>
      </c>
      <c r="H64" s="561">
        <v>81</v>
      </c>
      <c r="I64" s="564">
        <f t="shared" si="2"/>
        <v>0</v>
      </c>
      <c r="J64" s="548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9" customFormat="1" ht="33.6" customHeight="1">
      <c r="A65" s="547">
        <f t="shared" si="3"/>
        <v>20</v>
      </c>
      <c r="B65" s="574" t="s">
        <v>777</v>
      </c>
      <c r="C65" s="647" t="s">
        <v>753</v>
      </c>
      <c r="D65" s="647"/>
      <c r="E65" s="647"/>
      <c r="F65" s="397" t="s">
        <v>740</v>
      </c>
      <c r="G65" s="559">
        <v>50.48</v>
      </c>
      <c r="H65" s="560">
        <v>50.223999999999997</v>
      </c>
      <c r="I65" s="566">
        <f t="shared" si="2"/>
        <v>0.25600000000000023</v>
      </c>
      <c r="J65" s="550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9" customFormat="1" ht="33.6" customHeight="1">
      <c r="A66" s="547">
        <f t="shared" si="3"/>
        <v>21</v>
      </c>
      <c r="B66" s="574" t="s">
        <v>777</v>
      </c>
      <c r="C66" s="647" t="s">
        <v>754</v>
      </c>
      <c r="D66" s="647"/>
      <c r="E66" s="647"/>
      <c r="F66" s="397" t="s">
        <v>742</v>
      </c>
      <c r="G66" s="559">
        <v>88</v>
      </c>
      <c r="H66" s="561">
        <v>88</v>
      </c>
      <c r="I66" s="564">
        <f t="shared" si="2"/>
        <v>0</v>
      </c>
      <c r="J66" s="548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9" customFormat="1" ht="33.6" customHeight="1">
      <c r="A67" s="547">
        <f t="shared" si="3"/>
        <v>22</v>
      </c>
      <c r="B67" s="574" t="s">
        <v>777</v>
      </c>
      <c r="C67" s="647" t="s">
        <v>755</v>
      </c>
      <c r="D67" s="647"/>
      <c r="E67" s="647"/>
      <c r="F67" s="397" t="s">
        <v>743</v>
      </c>
      <c r="G67" s="559">
        <v>2</v>
      </c>
      <c r="H67" s="561">
        <v>2</v>
      </c>
      <c r="I67" s="564">
        <f t="shared" si="2"/>
        <v>0</v>
      </c>
      <c r="J67" s="548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9" customFormat="1" ht="33.6" customHeight="1">
      <c r="A68" s="547">
        <f t="shared" si="3"/>
        <v>23</v>
      </c>
      <c r="B68" s="574" t="s">
        <v>777</v>
      </c>
      <c r="C68" s="647" t="s">
        <v>756</v>
      </c>
      <c r="D68" s="647"/>
      <c r="E68" s="647"/>
      <c r="F68" s="397" t="s">
        <v>743</v>
      </c>
      <c r="G68" s="559">
        <v>11</v>
      </c>
      <c r="H68" s="561">
        <v>11</v>
      </c>
      <c r="I68" s="564">
        <f t="shared" si="2"/>
        <v>0</v>
      </c>
      <c r="J68" s="548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9" customFormat="1" ht="33.6" customHeight="1">
      <c r="A69" s="547">
        <f t="shared" si="3"/>
        <v>24</v>
      </c>
      <c r="B69" s="574" t="s">
        <v>777</v>
      </c>
      <c r="C69" s="647" t="s">
        <v>757</v>
      </c>
      <c r="D69" s="647"/>
      <c r="E69" s="647"/>
      <c r="F69" s="397" t="s">
        <v>743</v>
      </c>
      <c r="G69" s="559">
        <v>27</v>
      </c>
      <c r="H69" s="561">
        <v>27</v>
      </c>
      <c r="I69" s="564">
        <f t="shared" si="2"/>
        <v>0</v>
      </c>
      <c r="J69" s="548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9" customFormat="1" ht="43.2" customHeight="1">
      <c r="A70" s="547">
        <f t="shared" si="3"/>
        <v>25</v>
      </c>
      <c r="B70" s="574" t="s">
        <v>777</v>
      </c>
      <c r="C70" s="647" t="s">
        <v>796</v>
      </c>
      <c r="D70" s="647"/>
      <c r="E70" s="647"/>
      <c r="F70" s="397" t="s">
        <v>743</v>
      </c>
      <c r="G70" s="559">
        <v>0</v>
      </c>
      <c r="H70" s="561">
        <v>0</v>
      </c>
      <c r="I70" s="564">
        <f t="shared" si="2"/>
        <v>0</v>
      </c>
      <c r="J70" s="548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9" customFormat="1" ht="33.6" customHeight="1">
      <c r="A71" s="547">
        <f t="shared" si="3"/>
        <v>26</v>
      </c>
      <c r="B71" s="574" t="s">
        <v>777</v>
      </c>
      <c r="C71" s="647" t="s">
        <v>758</v>
      </c>
      <c r="D71" s="647"/>
      <c r="E71" s="647"/>
      <c r="F71" s="397" t="s">
        <v>742</v>
      </c>
      <c r="G71" s="559">
        <v>489</v>
      </c>
      <c r="H71" s="561">
        <v>489</v>
      </c>
      <c r="I71" s="564">
        <f t="shared" si="2"/>
        <v>0</v>
      </c>
      <c r="J71" s="556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9" customFormat="1" ht="33.6" customHeight="1">
      <c r="A72" s="547">
        <f t="shared" si="3"/>
        <v>27</v>
      </c>
      <c r="B72" s="574" t="s">
        <v>777</v>
      </c>
      <c r="C72" s="647" t="s">
        <v>759</v>
      </c>
      <c r="D72" s="647"/>
      <c r="E72" s="647"/>
      <c r="F72" s="397" t="s">
        <v>742</v>
      </c>
      <c r="G72" s="559">
        <v>457</v>
      </c>
      <c r="H72" s="561">
        <v>457</v>
      </c>
      <c r="I72" s="564">
        <f t="shared" si="2"/>
        <v>0</v>
      </c>
      <c r="J72" s="556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9" customFormat="1" ht="33.6" customHeight="1">
      <c r="A73" s="547">
        <f t="shared" si="3"/>
        <v>28</v>
      </c>
      <c r="B73" s="574" t="s">
        <v>777</v>
      </c>
      <c r="C73" s="647" t="s">
        <v>760</v>
      </c>
      <c r="D73" s="647"/>
      <c r="E73" s="647"/>
      <c r="F73" s="397" t="s">
        <v>742</v>
      </c>
      <c r="G73" s="559">
        <v>13</v>
      </c>
      <c r="H73" s="561">
        <v>13</v>
      </c>
      <c r="I73" s="564">
        <f t="shared" si="2"/>
        <v>0</v>
      </c>
      <c r="J73" s="548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9" customFormat="1" ht="33.6" customHeight="1">
      <c r="A74" s="547">
        <f t="shared" si="3"/>
        <v>29</v>
      </c>
      <c r="B74" s="574" t="s">
        <v>778</v>
      </c>
      <c r="C74" s="647" t="s">
        <v>795</v>
      </c>
      <c r="D74" s="647"/>
      <c r="E74" s="647"/>
      <c r="F74" s="397" t="s">
        <v>742</v>
      </c>
      <c r="G74" s="559">
        <v>0</v>
      </c>
      <c r="H74" s="561">
        <v>0</v>
      </c>
      <c r="I74" s="564">
        <f t="shared" si="2"/>
        <v>0</v>
      </c>
      <c r="J74" s="548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9" customFormat="1" ht="39.6" customHeight="1">
      <c r="A75" s="547">
        <f t="shared" si="3"/>
        <v>30</v>
      </c>
      <c r="B75" s="574" t="s">
        <v>778</v>
      </c>
      <c r="C75" s="647" t="s">
        <v>794</v>
      </c>
      <c r="D75" s="647"/>
      <c r="E75" s="647"/>
      <c r="F75" s="397" t="s">
        <v>742</v>
      </c>
      <c r="G75" s="559">
        <v>7</v>
      </c>
      <c r="H75" s="561">
        <v>0</v>
      </c>
      <c r="I75" s="564">
        <f t="shared" si="2"/>
        <v>7</v>
      </c>
      <c r="J75" s="556" t="s">
        <v>806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9" customFormat="1" ht="33.6" customHeight="1">
      <c r="A76" s="547">
        <f t="shared" si="3"/>
        <v>31</v>
      </c>
      <c r="B76" s="574" t="s">
        <v>779</v>
      </c>
      <c r="C76" s="647" t="s">
        <v>761</v>
      </c>
      <c r="D76" s="647"/>
      <c r="E76" s="647"/>
      <c r="F76" s="397" t="s">
        <v>742</v>
      </c>
      <c r="G76" s="559">
        <v>127</v>
      </c>
      <c r="H76" s="561">
        <v>127</v>
      </c>
      <c r="I76" s="564">
        <f t="shared" si="2"/>
        <v>0</v>
      </c>
      <c r="J76" s="548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9" customFormat="1" ht="33.6" customHeight="1">
      <c r="A77" s="547">
        <f t="shared" si="3"/>
        <v>32</v>
      </c>
      <c r="B77" s="574" t="s">
        <v>779</v>
      </c>
      <c r="C77" s="647" t="s">
        <v>762</v>
      </c>
      <c r="D77" s="647"/>
      <c r="E77" s="647"/>
      <c r="F77" s="397" t="s">
        <v>742</v>
      </c>
      <c r="G77" s="559">
        <v>127</v>
      </c>
      <c r="H77" s="561">
        <v>127</v>
      </c>
      <c r="I77" s="564">
        <f t="shared" si="2"/>
        <v>0</v>
      </c>
      <c r="J77" s="548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9" customFormat="1" ht="33.6" customHeight="1">
      <c r="A78" s="547">
        <f t="shared" si="3"/>
        <v>33</v>
      </c>
      <c r="B78" s="574" t="s">
        <v>779</v>
      </c>
      <c r="C78" s="647" t="s">
        <v>763</v>
      </c>
      <c r="D78" s="647"/>
      <c r="E78" s="647"/>
      <c r="F78" s="397" t="s">
        <v>743</v>
      </c>
      <c r="G78" s="559">
        <v>254</v>
      </c>
      <c r="H78" s="561">
        <v>254</v>
      </c>
      <c r="I78" s="564">
        <f t="shared" si="2"/>
        <v>0</v>
      </c>
      <c r="J78" s="548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9" customFormat="1" ht="33.6" customHeight="1">
      <c r="A79" s="547">
        <f t="shared" si="3"/>
        <v>34</v>
      </c>
      <c r="B79" s="574" t="s">
        <v>779</v>
      </c>
      <c r="C79" s="647" t="s">
        <v>764</v>
      </c>
      <c r="D79" s="647"/>
      <c r="E79" s="647"/>
      <c r="F79" s="397" t="s">
        <v>743</v>
      </c>
      <c r="G79" s="559">
        <v>127</v>
      </c>
      <c r="H79" s="561">
        <v>127</v>
      </c>
      <c r="I79" s="564">
        <f t="shared" si="2"/>
        <v>0</v>
      </c>
      <c r="J79" s="548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9" customFormat="1" ht="33.6" customHeight="1">
      <c r="A80" s="547">
        <f t="shared" si="3"/>
        <v>35</v>
      </c>
      <c r="B80" s="574" t="s">
        <v>779</v>
      </c>
      <c r="C80" s="647" t="s">
        <v>765</v>
      </c>
      <c r="D80" s="647"/>
      <c r="E80" s="647"/>
      <c r="F80" s="397" t="s">
        <v>743</v>
      </c>
      <c r="G80" s="559">
        <v>127</v>
      </c>
      <c r="H80" s="561">
        <v>127</v>
      </c>
      <c r="I80" s="564">
        <f t="shared" si="2"/>
        <v>0</v>
      </c>
      <c r="J80" s="548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49" customFormat="1" ht="33.6" customHeight="1" thickBot="1">
      <c r="A81" s="551">
        <f t="shared" ref="A81" si="4">A80+1</f>
        <v>36</v>
      </c>
      <c r="B81" s="575" t="s">
        <v>779</v>
      </c>
      <c r="C81" s="648" t="s">
        <v>766</v>
      </c>
      <c r="D81" s="648"/>
      <c r="E81" s="648"/>
      <c r="F81" s="540" t="s">
        <v>743</v>
      </c>
      <c r="G81" s="562">
        <v>176</v>
      </c>
      <c r="H81" s="563">
        <v>176</v>
      </c>
      <c r="I81" s="567">
        <f t="shared" si="2"/>
        <v>0</v>
      </c>
      <c r="J81" s="552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49" customFormat="1">
      <c r="B82" s="553"/>
      <c r="C82" s="554"/>
      <c r="D82" s="555"/>
      <c r="E82" s="555"/>
      <c r="F82" s="555"/>
      <c r="G82" s="555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0">
    <mergeCell ref="A32:K32"/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J33:K33"/>
    <mergeCell ref="J34:K34"/>
    <mergeCell ref="F30:G30"/>
    <mergeCell ref="M16:N16"/>
    <mergeCell ref="M17:N17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A1:A4"/>
    <mergeCell ref="C2:E2"/>
    <mergeCell ref="C3:E3"/>
    <mergeCell ref="C4:E4"/>
    <mergeCell ref="A19:O19"/>
    <mergeCell ref="A8:L8"/>
    <mergeCell ref="M15:N15"/>
    <mergeCell ref="A14:N14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72:E72"/>
    <mergeCell ref="C71:E71"/>
    <mergeCell ref="C75:E75"/>
    <mergeCell ref="C74:E74"/>
    <mergeCell ref="C73:E73"/>
    <mergeCell ref="C76:E76"/>
    <mergeCell ref="C81:E81"/>
    <mergeCell ref="C80:E80"/>
    <mergeCell ref="C79:E79"/>
    <mergeCell ref="C78:E78"/>
    <mergeCell ref="C77:E77"/>
    <mergeCell ref="C45:E45"/>
    <mergeCell ref="C46:E46"/>
    <mergeCell ref="C51:E51"/>
    <mergeCell ref="C50:E50"/>
    <mergeCell ref="C49:E49"/>
    <mergeCell ref="C48:E48"/>
    <mergeCell ref="C47:E47"/>
    <mergeCell ref="B42:J42"/>
    <mergeCell ref="D35:E35"/>
    <mergeCell ref="F35:G35"/>
    <mergeCell ref="H35:I35"/>
    <mergeCell ref="J35:K35"/>
    <mergeCell ref="B38:G38"/>
    <mergeCell ref="B39:J39"/>
  </mergeCells>
  <phoneticPr fontId="93" type="noConversion"/>
  <conditionalFormatting sqref="D36:D37 C10:K11 D43 D82:D154">
    <cfRule type="cellIs" dxfId="65" priority="6" stopIfTrue="1" operator="greaterThan">
      <formula>600</formula>
    </cfRule>
  </conditionalFormatting>
  <conditionalFormatting sqref="D13">
    <cfRule type="cellIs" dxfId="64" priority="7" stopIfTrue="1" operator="greaterThan">
      <formula>600</formula>
    </cfRule>
  </conditionalFormatting>
  <conditionalFormatting sqref="D16:D18">
    <cfRule type="cellIs" dxfId="63" priority="3" stopIfTrue="1" operator="greaterThan">
      <formula>600</formula>
    </cfRule>
  </conditionalFormatting>
  <conditionalFormatting sqref="D25">
    <cfRule type="cellIs" dxfId="6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2"/>
  <sheetViews>
    <sheetView tabSelected="1" view="pageBreakPreview" topLeftCell="A124" zoomScale="65" zoomScaleNormal="70" zoomScaleSheetLayoutView="40" workbookViewId="0">
      <selection activeCell="K231" sqref="K231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49" t="s">
        <v>370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1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53" t="s">
        <v>383</v>
      </c>
      <c r="B7" s="754"/>
      <c r="C7" s="754"/>
      <c r="D7" s="754"/>
      <c r="E7" s="754"/>
      <c r="F7" s="754"/>
      <c r="G7" s="754"/>
      <c r="H7" s="754"/>
      <c r="I7" s="754"/>
      <c r="J7" s="754"/>
      <c r="K7" s="754"/>
      <c r="L7" s="754"/>
      <c r="M7" s="754"/>
      <c r="N7" s="755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866" t="s">
        <v>113</v>
      </c>
      <c r="N8" s="866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70"/>
      <c r="N9" s="671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72"/>
      <c r="N10" s="673"/>
    </row>
    <row r="11" spans="1:16" ht="21" customHeight="1" thickTop="1">
      <c r="A11" s="752" t="s">
        <v>101</v>
      </c>
      <c r="B11" s="752"/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42" t="s">
        <v>112</v>
      </c>
      <c r="H12" s="743"/>
      <c r="I12" s="743"/>
      <c r="J12" s="744"/>
      <c r="K12" s="162" t="s">
        <v>397</v>
      </c>
      <c r="L12" s="162" t="s">
        <v>398</v>
      </c>
      <c r="M12" s="162" t="s">
        <v>399</v>
      </c>
      <c r="N12" s="742" t="s">
        <v>400</v>
      </c>
      <c r="O12" s="743"/>
      <c r="P12" s="744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47" t="s">
        <v>402</v>
      </c>
      <c r="H13" s="748"/>
      <c r="I13" s="748"/>
      <c r="J13" s="748"/>
      <c r="K13" s="180">
        <v>45465</v>
      </c>
      <c r="L13" s="182" t="s">
        <v>446</v>
      </c>
      <c r="M13" s="178"/>
      <c r="N13" s="741"/>
      <c r="O13" s="741"/>
      <c r="P13" s="741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47" t="s">
        <v>402</v>
      </c>
      <c r="H14" s="748"/>
      <c r="I14" s="748"/>
      <c r="J14" s="748"/>
      <c r="K14" s="180">
        <v>45472</v>
      </c>
      <c r="L14" s="182" t="s">
        <v>446</v>
      </c>
      <c r="M14" s="178"/>
      <c r="N14" s="741"/>
      <c r="O14" s="741"/>
      <c r="P14" s="741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47" t="s">
        <v>402</v>
      </c>
      <c r="H15" s="748"/>
      <c r="I15" s="748"/>
      <c r="J15" s="748"/>
      <c r="K15" s="180">
        <v>45484</v>
      </c>
      <c r="L15" s="182" t="s">
        <v>446</v>
      </c>
      <c r="M15" s="178"/>
      <c r="N15" s="741"/>
      <c r="O15" s="741"/>
      <c r="P15" s="741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47" t="s">
        <v>402</v>
      </c>
      <c r="H16" s="748"/>
      <c r="I16" s="748"/>
      <c r="J16" s="748"/>
      <c r="K16" s="184">
        <v>45489</v>
      </c>
      <c r="L16" s="182" t="s">
        <v>447</v>
      </c>
      <c r="M16" s="182"/>
      <c r="N16" s="741"/>
      <c r="O16" s="741"/>
      <c r="P16" s="741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47" t="s">
        <v>402</v>
      </c>
      <c r="H17" s="748"/>
      <c r="I17" s="748"/>
      <c r="J17" s="748"/>
      <c r="K17" s="184">
        <v>45489</v>
      </c>
      <c r="L17" s="182" t="s">
        <v>443</v>
      </c>
      <c r="M17" s="182"/>
      <c r="N17" s="741"/>
      <c r="O17" s="741"/>
      <c r="P17" s="741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47" t="s">
        <v>402</v>
      </c>
      <c r="H18" s="748"/>
      <c r="I18" s="748"/>
      <c r="J18" s="748"/>
      <c r="K18" s="184">
        <v>45496</v>
      </c>
      <c r="L18" s="182" t="s">
        <v>449</v>
      </c>
      <c r="M18" s="182"/>
      <c r="N18" s="741"/>
      <c r="O18" s="741"/>
      <c r="P18" s="741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47" t="s">
        <v>402</v>
      </c>
      <c r="H19" s="748"/>
      <c r="I19" s="748"/>
      <c r="J19" s="748"/>
      <c r="K19" s="184">
        <v>45485</v>
      </c>
      <c r="L19" s="182" t="s">
        <v>443</v>
      </c>
      <c r="M19" s="182"/>
      <c r="N19" s="741"/>
      <c r="O19" s="741"/>
      <c r="P19" s="741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47" t="s">
        <v>402</v>
      </c>
      <c r="H20" s="748"/>
      <c r="I20" s="748"/>
      <c r="J20" s="748"/>
      <c r="K20" s="184">
        <v>45496</v>
      </c>
      <c r="L20" s="182" t="s">
        <v>443</v>
      </c>
      <c r="M20" s="182"/>
      <c r="N20" s="741"/>
      <c r="O20" s="741"/>
      <c r="P20" s="741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47" t="s">
        <v>402</v>
      </c>
      <c r="H21" s="748"/>
      <c r="I21" s="748"/>
      <c r="J21" s="748"/>
      <c r="K21" s="184">
        <v>45499</v>
      </c>
      <c r="L21" s="182" t="s">
        <v>450</v>
      </c>
      <c r="M21" s="182"/>
      <c r="N21" s="741"/>
      <c r="O21" s="741"/>
      <c r="P21" s="741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47" t="s">
        <v>402</v>
      </c>
      <c r="H22" s="748"/>
      <c r="I22" s="748"/>
      <c r="J22" s="748"/>
      <c r="K22" s="184">
        <v>45504</v>
      </c>
      <c r="L22" s="182" t="s">
        <v>451</v>
      </c>
      <c r="M22" s="182"/>
      <c r="N22" s="741"/>
      <c r="O22" s="741"/>
      <c r="P22" s="741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17" t="s">
        <v>402</v>
      </c>
      <c r="H23" s="718"/>
      <c r="I23" s="718"/>
      <c r="J23" s="718"/>
      <c r="K23" s="184">
        <v>45515</v>
      </c>
      <c r="L23" s="182" t="s">
        <v>450</v>
      </c>
      <c r="M23" s="182"/>
      <c r="N23" s="746"/>
      <c r="O23" s="741"/>
      <c r="P23" s="741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17" t="s">
        <v>402</v>
      </c>
      <c r="H24" s="718"/>
      <c r="I24" s="718"/>
      <c r="J24" s="718"/>
      <c r="K24" s="184">
        <v>45510</v>
      </c>
      <c r="L24" s="182" t="s">
        <v>450</v>
      </c>
      <c r="M24" s="182"/>
      <c r="N24" s="741"/>
      <c r="O24" s="741"/>
      <c r="P24" s="741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17" t="s">
        <v>402</v>
      </c>
      <c r="H25" s="718"/>
      <c r="I25" s="718"/>
      <c r="J25" s="718"/>
      <c r="K25" s="184">
        <v>45507</v>
      </c>
      <c r="L25" s="182" t="s">
        <v>451</v>
      </c>
      <c r="M25" s="182"/>
      <c r="N25" s="741"/>
      <c r="O25" s="741"/>
      <c r="P25" s="741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17" t="s">
        <v>402</v>
      </c>
      <c r="H26" s="718"/>
      <c r="I26" s="718"/>
      <c r="J26" s="718"/>
      <c r="K26" s="184">
        <v>45506</v>
      </c>
      <c r="L26" s="182" t="s">
        <v>449</v>
      </c>
      <c r="M26" s="182"/>
      <c r="N26" s="741"/>
      <c r="O26" s="741"/>
      <c r="P26" s="741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17" t="s">
        <v>402</v>
      </c>
      <c r="H27" s="718"/>
      <c r="I27" s="718"/>
      <c r="J27" s="718"/>
      <c r="K27" s="184">
        <v>45514</v>
      </c>
      <c r="L27" s="182" t="s">
        <v>451</v>
      </c>
      <c r="M27" s="182"/>
      <c r="N27" s="741"/>
      <c r="O27" s="741"/>
      <c r="P27" s="741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17" t="s">
        <v>402</v>
      </c>
      <c r="H28" s="718"/>
      <c r="I28" s="718"/>
      <c r="J28" s="718"/>
      <c r="K28" s="184">
        <v>45514</v>
      </c>
      <c r="L28" s="182" t="s">
        <v>449</v>
      </c>
      <c r="M28" s="182"/>
      <c r="N28" s="741"/>
      <c r="O28" s="741"/>
      <c r="P28" s="741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17" t="s">
        <v>402</v>
      </c>
      <c r="H29" s="718"/>
      <c r="I29" s="718"/>
      <c r="J29" s="718"/>
      <c r="K29" s="184">
        <v>45530</v>
      </c>
      <c r="L29" s="182" t="s">
        <v>451</v>
      </c>
      <c r="M29" s="182"/>
      <c r="N29" s="741"/>
      <c r="O29" s="741"/>
      <c r="P29" s="741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17" t="s">
        <v>402</v>
      </c>
      <c r="H30" s="718"/>
      <c r="I30" s="718"/>
      <c r="J30" s="718"/>
      <c r="K30" s="184">
        <v>45525</v>
      </c>
      <c r="L30" s="182" t="s">
        <v>450</v>
      </c>
      <c r="M30" s="182"/>
      <c r="N30" s="741"/>
      <c r="O30" s="741"/>
      <c r="P30" s="741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17" t="s">
        <v>402</v>
      </c>
      <c r="H31" s="718"/>
      <c r="I31" s="718"/>
      <c r="J31" s="718"/>
      <c r="K31" s="184">
        <v>45531</v>
      </c>
      <c r="L31" s="182" t="s">
        <v>450</v>
      </c>
      <c r="M31" s="182"/>
      <c r="N31" s="741"/>
      <c r="O31" s="741"/>
      <c r="P31" s="741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717" t="s">
        <v>402</v>
      </c>
      <c r="H32" s="718"/>
      <c r="I32" s="718"/>
      <c r="J32" s="718"/>
      <c r="K32" s="184">
        <v>45843</v>
      </c>
      <c r="L32" s="182" t="s">
        <v>599</v>
      </c>
      <c r="M32" s="182"/>
      <c r="N32" s="716"/>
      <c r="O32" s="716"/>
      <c r="P32" s="716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17" t="s">
        <v>402</v>
      </c>
      <c r="H33" s="718"/>
      <c r="I33" s="718"/>
      <c r="J33" s="718"/>
      <c r="K33" s="184">
        <v>45544</v>
      </c>
      <c r="L33" s="182" t="s">
        <v>451</v>
      </c>
      <c r="M33" s="182"/>
      <c r="N33" s="741"/>
      <c r="O33" s="741"/>
      <c r="P33" s="741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17" t="s">
        <v>402</v>
      </c>
      <c r="H34" s="718"/>
      <c r="I34" s="718"/>
      <c r="J34" s="718"/>
      <c r="K34" s="184">
        <v>45538</v>
      </c>
      <c r="L34" s="184" t="s">
        <v>450</v>
      </c>
      <c r="M34" s="182"/>
      <c r="N34" s="741"/>
      <c r="O34" s="741"/>
      <c r="P34" s="741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17" t="s">
        <v>402</v>
      </c>
      <c r="H35" s="718"/>
      <c r="I35" s="718"/>
      <c r="J35" s="718"/>
      <c r="K35" s="184">
        <v>45545</v>
      </c>
      <c r="L35" s="182" t="s">
        <v>450</v>
      </c>
      <c r="M35" s="182"/>
      <c r="N35" s="741"/>
      <c r="O35" s="741"/>
      <c r="P35" s="741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17" t="s">
        <v>402</v>
      </c>
      <c r="H36" s="718"/>
      <c r="I36" s="718"/>
      <c r="J36" s="718"/>
      <c r="K36" s="184">
        <v>45543</v>
      </c>
      <c r="L36" s="182" t="s">
        <v>475</v>
      </c>
      <c r="M36" s="182"/>
      <c r="N36" s="741"/>
      <c r="O36" s="741"/>
      <c r="P36" s="741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17" t="s">
        <v>402</v>
      </c>
      <c r="H37" s="718"/>
      <c r="I37" s="718"/>
      <c r="J37" s="718"/>
      <c r="K37" s="184">
        <v>45547</v>
      </c>
      <c r="L37" s="182" t="s">
        <v>475</v>
      </c>
      <c r="M37" s="182"/>
      <c r="N37" s="741"/>
      <c r="O37" s="741"/>
      <c r="P37" s="741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17" t="s">
        <v>402</v>
      </c>
      <c r="H38" s="718"/>
      <c r="I38" s="718"/>
      <c r="J38" s="718"/>
      <c r="K38" s="184">
        <v>45551</v>
      </c>
      <c r="L38" s="182" t="s">
        <v>475</v>
      </c>
      <c r="M38" s="182"/>
      <c r="N38" s="741"/>
      <c r="O38" s="741"/>
      <c r="P38" s="741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17" t="s">
        <v>402</v>
      </c>
      <c r="H39" s="718"/>
      <c r="I39" s="718"/>
      <c r="J39" s="718"/>
      <c r="K39" s="184">
        <v>45554</v>
      </c>
      <c r="L39" s="182" t="s">
        <v>475</v>
      </c>
      <c r="M39" s="182"/>
      <c r="N39" s="741"/>
      <c r="O39" s="741"/>
      <c r="P39" s="741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17" t="s">
        <v>402</v>
      </c>
      <c r="H40" s="718"/>
      <c r="I40" s="718"/>
      <c r="J40" s="718"/>
      <c r="K40" s="184">
        <v>45680</v>
      </c>
      <c r="L40" s="182" t="s">
        <v>592</v>
      </c>
      <c r="M40" s="182"/>
      <c r="N40" s="716"/>
      <c r="O40" s="716"/>
      <c r="P40" s="716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17" t="s">
        <v>402</v>
      </c>
      <c r="H41" s="718"/>
      <c r="I41" s="718"/>
      <c r="J41" s="718"/>
      <c r="K41" s="184">
        <v>45563</v>
      </c>
      <c r="L41" s="182" t="s">
        <v>475</v>
      </c>
      <c r="M41" s="182"/>
      <c r="N41" s="716"/>
      <c r="O41" s="716"/>
      <c r="P41" s="716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17" t="s">
        <v>402</v>
      </c>
      <c r="H42" s="718"/>
      <c r="I42" s="718"/>
      <c r="J42" s="718"/>
      <c r="K42" s="184">
        <v>45576</v>
      </c>
      <c r="L42" s="182" t="s">
        <v>475</v>
      </c>
      <c r="M42" s="182"/>
      <c r="N42" s="716"/>
      <c r="O42" s="716"/>
      <c r="P42" s="716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17" t="s">
        <v>402</v>
      </c>
      <c r="H43" s="718"/>
      <c r="I43" s="718"/>
      <c r="J43" s="718"/>
      <c r="K43" s="184">
        <v>45568</v>
      </c>
      <c r="L43" s="182" t="s">
        <v>475</v>
      </c>
      <c r="M43" s="182"/>
      <c r="N43" s="716"/>
      <c r="O43" s="716"/>
      <c r="P43" s="716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17" t="s">
        <v>402</v>
      </c>
      <c r="H44" s="718"/>
      <c r="I44" s="718"/>
      <c r="J44" s="718"/>
      <c r="K44" s="184">
        <v>45615</v>
      </c>
      <c r="L44" s="182" t="s">
        <v>492</v>
      </c>
      <c r="M44" s="182"/>
      <c r="N44" s="716"/>
      <c r="O44" s="716"/>
      <c r="P44" s="716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17" t="s">
        <v>402</v>
      </c>
      <c r="H45" s="718"/>
      <c r="I45" s="718"/>
      <c r="J45" s="718"/>
      <c r="K45" s="184">
        <v>45607</v>
      </c>
      <c r="L45" s="182" t="s">
        <v>495</v>
      </c>
      <c r="M45" s="182"/>
      <c r="N45" s="716"/>
      <c r="O45" s="716"/>
      <c r="P45" s="716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17" t="s">
        <v>402</v>
      </c>
      <c r="H46" s="718"/>
      <c r="I46" s="718"/>
      <c r="J46" s="718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17" t="s">
        <v>402</v>
      </c>
      <c r="H47" s="718"/>
      <c r="I47" s="718"/>
      <c r="J47" s="718"/>
      <c r="K47" s="184">
        <v>45594</v>
      </c>
      <c r="L47" s="182" t="s">
        <v>491</v>
      </c>
      <c r="M47" s="182"/>
      <c r="N47" s="741"/>
      <c r="O47" s="741"/>
      <c r="P47" s="741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17" t="s">
        <v>402</v>
      </c>
      <c r="H48" s="718"/>
      <c r="I48" s="718"/>
      <c r="J48" s="718"/>
      <c r="K48" s="184">
        <v>45600</v>
      </c>
      <c r="L48" s="182" t="s">
        <v>492</v>
      </c>
      <c r="M48" s="182"/>
      <c r="N48" s="741"/>
      <c r="O48" s="741"/>
      <c r="P48" s="741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17" t="s">
        <v>402</v>
      </c>
      <c r="H49" s="718"/>
      <c r="I49" s="718"/>
      <c r="J49" s="718"/>
      <c r="K49" s="184">
        <v>45618</v>
      </c>
      <c r="L49" s="182" t="s">
        <v>498</v>
      </c>
      <c r="M49" s="182"/>
      <c r="N49" s="716"/>
      <c r="O49" s="716"/>
      <c r="P49" s="716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17" t="s">
        <v>402</v>
      </c>
      <c r="H50" s="718"/>
      <c r="I50" s="718"/>
      <c r="J50" s="718"/>
      <c r="K50" s="184">
        <v>45623</v>
      </c>
      <c r="L50" s="182" t="s">
        <v>491</v>
      </c>
      <c r="M50" s="182"/>
      <c r="N50" s="716"/>
      <c r="O50" s="716"/>
      <c r="P50" s="716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17" t="s">
        <v>402</v>
      </c>
      <c r="H51" s="718"/>
      <c r="I51" s="718"/>
      <c r="J51" s="718"/>
      <c r="K51" s="184">
        <v>45652</v>
      </c>
      <c r="L51" s="182" t="s">
        <v>491</v>
      </c>
      <c r="M51" s="182"/>
      <c r="N51" s="716"/>
      <c r="O51" s="716"/>
      <c r="P51" s="716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17" t="s">
        <v>402</v>
      </c>
      <c r="H52" s="718"/>
      <c r="I52" s="718"/>
      <c r="J52" s="718"/>
      <c r="K52" s="184">
        <v>45698</v>
      </c>
      <c r="L52" s="182" t="s">
        <v>599</v>
      </c>
      <c r="M52" s="182"/>
      <c r="N52" s="716"/>
      <c r="O52" s="716"/>
      <c r="P52" s="716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17" t="s">
        <v>402</v>
      </c>
      <c r="H53" s="718"/>
      <c r="I53" s="718"/>
      <c r="J53" s="718"/>
      <c r="K53" s="184">
        <v>45650</v>
      </c>
      <c r="L53" s="182" t="s">
        <v>498</v>
      </c>
      <c r="M53" s="182"/>
      <c r="N53" s="716"/>
      <c r="O53" s="716"/>
      <c r="P53" s="716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17" t="s">
        <v>402</v>
      </c>
      <c r="H54" s="718"/>
      <c r="I54" s="718"/>
      <c r="J54" s="718"/>
      <c r="K54" s="184">
        <v>45631</v>
      </c>
      <c r="L54" s="182" t="s">
        <v>498</v>
      </c>
      <c r="M54" s="182"/>
      <c r="N54" s="716"/>
      <c r="O54" s="716"/>
      <c r="P54" s="716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17" t="s">
        <v>402</v>
      </c>
      <c r="H55" s="718"/>
      <c r="I55" s="718"/>
      <c r="J55" s="718"/>
      <c r="K55" s="184">
        <v>45644</v>
      </c>
      <c r="L55" s="182" t="s">
        <v>491</v>
      </c>
      <c r="M55" s="182"/>
      <c r="N55" s="716"/>
      <c r="O55" s="716"/>
      <c r="P55" s="716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17" t="s">
        <v>402</v>
      </c>
      <c r="H56" s="718"/>
      <c r="I56" s="718"/>
      <c r="J56" s="718"/>
      <c r="K56" s="184">
        <v>45646</v>
      </c>
      <c r="L56" s="182" t="s">
        <v>491</v>
      </c>
      <c r="M56" s="182"/>
      <c r="N56" s="716"/>
      <c r="O56" s="716"/>
      <c r="P56" s="716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17" t="s">
        <v>402</v>
      </c>
      <c r="H57" s="718"/>
      <c r="I57" s="718"/>
      <c r="J57" s="718"/>
      <c r="K57" s="184">
        <v>45656</v>
      </c>
      <c r="L57" s="182" t="s">
        <v>507</v>
      </c>
      <c r="M57" s="182"/>
      <c r="N57" s="716"/>
      <c r="O57" s="716"/>
      <c r="P57" s="716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17" t="s">
        <v>402</v>
      </c>
      <c r="H58" s="718"/>
      <c r="I58" s="718"/>
      <c r="J58" s="718"/>
      <c r="K58" s="184">
        <v>45678</v>
      </c>
      <c r="L58" s="182" t="s">
        <v>552</v>
      </c>
      <c r="M58" s="182"/>
      <c r="N58" s="716"/>
      <c r="O58" s="716"/>
      <c r="P58" s="716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17" t="s">
        <v>402</v>
      </c>
      <c r="H59" s="718"/>
      <c r="I59" s="718"/>
      <c r="J59" s="718"/>
      <c r="K59" s="184">
        <v>45668</v>
      </c>
      <c r="L59" s="182" t="s">
        <v>552</v>
      </c>
      <c r="M59" s="182"/>
      <c r="N59" s="716"/>
      <c r="O59" s="716"/>
      <c r="P59" s="716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17" t="s">
        <v>402</v>
      </c>
      <c r="H60" s="718"/>
      <c r="I60" s="718"/>
      <c r="J60" s="718"/>
      <c r="K60" s="184">
        <v>45670</v>
      </c>
      <c r="L60" s="182" t="s">
        <v>580</v>
      </c>
      <c r="M60" s="182"/>
      <c r="N60" s="716"/>
      <c r="O60" s="716"/>
      <c r="P60" s="716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17" t="s">
        <v>402</v>
      </c>
      <c r="H61" s="718"/>
      <c r="I61" s="718"/>
      <c r="J61" s="718"/>
      <c r="K61" s="184">
        <v>45737</v>
      </c>
      <c r="L61" s="182" t="s">
        <v>581</v>
      </c>
      <c r="M61" s="182"/>
      <c r="N61" s="716"/>
      <c r="O61" s="716"/>
      <c r="P61" s="716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17" t="s">
        <v>402</v>
      </c>
      <c r="H62" s="718"/>
      <c r="I62" s="718"/>
      <c r="J62" s="718"/>
      <c r="K62" s="184">
        <v>45670</v>
      </c>
      <c r="L62" s="182" t="s">
        <v>498</v>
      </c>
      <c r="M62" s="182"/>
      <c r="N62" s="716"/>
      <c r="O62" s="716"/>
      <c r="P62" s="716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717" t="s">
        <v>402</v>
      </c>
      <c r="H63" s="718"/>
      <c r="I63" s="718"/>
      <c r="J63" s="718"/>
      <c r="K63" s="184">
        <v>45810</v>
      </c>
      <c r="L63" s="182" t="s">
        <v>599</v>
      </c>
      <c r="M63" s="182"/>
      <c r="N63" s="756"/>
      <c r="O63" s="756"/>
      <c r="P63" s="756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17" t="s">
        <v>402</v>
      </c>
      <c r="H64" s="718"/>
      <c r="I64" s="718"/>
      <c r="J64" s="718"/>
      <c r="K64" s="184">
        <v>45681</v>
      </c>
      <c r="L64" s="182" t="s">
        <v>580</v>
      </c>
      <c r="M64" s="182"/>
      <c r="N64" s="716"/>
      <c r="O64" s="716"/>
      <c r="P64" s="716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17" t="s">
        <v>402</v>
      </c>
      <c r="H65" s="718"/>
      <c r="I65" s="718"/>
      <c r="J65" s="718"/>
      <c r="K65" s="184">
        <v>45691</v>
      </c>
      <c r="L65" s="182" t="s">
        <v>552</v>
      </c>
      <c r="M65" s="182"/>
      <c r="N65" s="716"/>
      <c r="O65" s="716"/>
      <c r="P65" s="716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17" t="s">
        <v>402</v>
      </c>
      <c r="H66" s="718"/>
      <c r="I66" s="718"/>
      <c r="J66" s="718"/>
      <c r="K66" s="184">
        <v>45689</v>
      </c>
      <c r="L66" s="182" t="s">
        <v>580</v>
      </c>
      <c r="M66" s="182"/>
      <c r="N66" s="716"/>
      <c r="O66" s="716"/>
      <c r="P66" s="716"/>
    </row>
    <row r="67" spans="1:16" s="153" customFormat="1" ht="33" customHeight="1">
      <c r="A67" s="182">
        <f t="shared" ref="A67:A132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17" t="s">
        <v>402</v>
      </c>
      <c r="H67" s="718"/>
      <c r="I67" s="718"/>
      <c r="J67" s="718"/>
      <c r="K67" s="184">
        <v>45707</v>
      </c>
      <c r="L67" s="182" t="s">
        <v>599</v>
      </c>
      <c r="M67" s="182"/>
      <c r="N67" s="716"/>
      <c r="O67" s="716"/>
      <c r="P67" s="716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17" t="s">
        <v>402</v>
      </c>
      <c r="H68" s="718"/>
      <c r="I68" s="718"/>
      <c r="J68" s="718"/>
      <c r="K68" s="184">
        <v>45708</v>
      </c>
      <c r="L68" s="182" t="s">
        <v>552</v>
      </c>
      <c r="M68" s="182"/>
      <c r="N68" s="716"/>
      <c r="O68" s="716"/>
      <c r="P68" s="716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17" t="s">
        <v>402</v>
      </c>
      <c r="H69" s="718"/>
      <c r="I69" s="718"/>
      <c r="J69" s="718"/>
      <c r="K69" s="184">
        <v>45704</v>
      </c>
      <c r="L69" s="182" t="s">
        <v>580</v>
      </c>
      <c r="M69" s="182"/>
      <c r="N69" s="716"/>
      <c r="O69" s="716"/>
      <c r="P69" s="716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17" t="s">
        <v>402</v>
      </c>
      <c r="H70" s="718"/>
      <c r="I70" s="718"/>
      <c r="J70" s="718"/>
      <c r="K70" s="184">
        <v>45712</v>
      </c>
      <c r="L70" s="182" t="s">
        <v>599</v>
      </c>
      <c r="M70" s="182"/>
      <c r="N70" s="716"/>
      <c r="O70" s="716"/>
      <c r="P70" s="716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17" t="s">
        <v>402</v>
      </c>
      <c r="H71" s="718"/>
      <c r="I71" s="718"/>
      <c r="J71" s="718"/>
      <c r="K71" s="184">
        <v>45717</v>
      </c>
      <c r="L71" s="182" t="s">
        <v>580</v>
      </c>
      <c r="M71" s="182"/>
      <c r="N71" s="716"/>
      <c r="O71" s="716"/>
      <c r="P71" s="716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17" t="s">
        <v>402</v>
      </c>
      <c r="H72" s="718"/>
      <c r="I72" s="718"/>
      <c r="J72" s="718"/>
      <c r="K72" s="184">
        <v>45718</v>
      </c>
      <c r="L72" s="182" t="s">
        <v>552</v>
      </c>
      <c r="M72" s="182"/>
      <c r="N72" s="716"/>
      <c r="O72" s="716"/>
      <c r="P72" s="716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17" t="s">
        <v>402</v>
      </c>
      <c r="H73" s="718"/>
      <c r="I73" s="718"/>
      <c r="J73" s="718"/>
      <c r="K73" s="184">
        <v>45721</v>
      </c>
      <c r="L73" s="182" t="s">
        <v>599</v>
      </c>
      <c r="M73" s="182"/>
      <c r="N73" s="716"/>
      <c r="O73" s="716"/>
      <c r="P73" s="716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17" t="s">
        <v>402</v>
      </c>
      <c r="H74" s="718"/>
      <c r="I74" s="718"/>
      <c r="J74" s="718"/>
      <c r="K74" s="184">
        <v>45740</v>
      </c>
      <c r="L74" s="182" t="s">
        <v>552</v>
      </c>
      <c r="M74" s="182"/>
      <c r="N74" s="757"/>
      <c r="O74" s="757"/>
      <c r="P74" s="757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17" t="s">
        <v>402</v>
      </c>
      <c r="H75" s="718"/>
      <c r="I75" s="718"/>
      <c r="J75" s="718"/>
      <c r="K75" s="184">
        <v>45788</v>
      </c>
      <c r="L75" s="182" t="s">
        <v>652</v>
      </c>
      <c r="M75" s="182"/>
      <c r="N75" s="757"/>
      <c r="O75" s="757"/>
      <c r="P75" s="757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17" t="s">
        <v>402</v>
      </c>
      <c r="H76" s="718"/>
      <c r="I76" s="718"/>
      <c r="J76" s="718"/>
      <c r="K76" s="184">
        <v>45726</v>
      </c>
      <c r="L76" s="182" t="s">
        <v>599</v>
      </c>
      <c r="M76" s="182"/>
      <c r="N76" s="716"/>
      <c r="O76" s="716"/>
      <c r="P76" s="716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17" t="s">
        <v>402</v>
      </c>
      <c r="H77" s="718"/>
      <c r="I77" s="718"/>
      <c r="J77" s="718"/>
      <c r="K77" s="184">
        <v>45728</v>
      </c>
      <c r="L77" s="182" t="s">
        <v>552</v>
      </c>
      <c r="M77" s="182"/>
      <c r="N77" s="716"/>
      <c r="O77" s="716"/>
      <c r="P77" s="716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17" t="s">
        <v>402</v>
      </c>
      <c r="H78" s="718"/>
      <c r="I78" s="718"/>
      <c r="J78" s="718"/>
      <c r="K78" s="184">
        <v>45751</v>
      </c>
      <c r="L78" s="182" t="s">
        <v>650</v>
      </c>
      <c r="M78" s="182"/>
      <c r="N78" s="757"/>
      <c r="O78" s="757"/>
      <c r="P78" s="757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17" t="s">
        <v>402</v>
      </c>
      <c r="H79" s="718"/>
      <c r="I79" s="718"/>
      <c r="J79" s="718"/>
      <c r="K79" s="184">
        <v>45735</v>
      </c>
      <c r="L79" s="182" t="s">
        <v>599</v>
      </c>
      <c r="M79" s="182"/>
      <c r="N79" s="757"/>
      <c r="O79" s="757"/>
      <c r="P79" s="757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17" t="s">
        <v>402</v>
      </c>
      <c r="H80" s="718"/>
      <c r="I80" s="718"/>
      <c r="J80" s="718"/>
      <c r="K80" s="184">
        <v>45740</v>
      </c>
      <c r="L80" s="182" t="s">
        <v>599</v>
      </c>
      <c r="M80" s="182"/>
      <c r="N80" s="757"/>
      <c r="O80" s="757"/>
      <c r="P80" s="757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717" t="s">
        <v>402</v>
      </c>
      <c r="H81" s="718"/>
      <c r="I81" s="718"/>
      <c r="J81" s="718"/>
      <c r="K81" s="184">
        <v>45751</v>
      </c>
      <c r="L81" s="182" t="s">
        <v>599</v>
      </c>
      <c r="M81" s="184"/>
      <c r="N81" s="757"/>
      <c r="O81" s="757"/>
      <c r="P81" s="757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717" t="s">
        <v>402</v>
      </c>
      <c r="H82" s="718"/>
      <c r="I82" s="718"/>
      <c r="J82" s="718"/>
      <c r="K82" s="184">
        <v>45758</v>
      </c>
      <c r="L82" s="182" t="s">
        <v>599</v>
      </c>
      <c r="M82" s="182"/>
      <c r="N82" s="757"/>
      <c r="O82" s="757"/>
      <c r="P82" s="757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717" t="s">
        <v>402</v>
      </c>
      <c r="H83" s="718"/>
      <c r="I83" s="718"/>
      <c r="J83" s="718"/>
      <c r="K83" s="184">
        <v>45782</v>
      </c>
      <c r="L83" s="182" t="s">
        <v>650</v>
      </c>
      <c r="M83" s="182"/>
      <c r="N83" s="757"/>
      <c r="O83" s="757"/>
      <c r="P83" s="757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717" t="s">
        <v>402</v>
      </c>
      <c r="H84" s="718"/>
      <c r="I84" s="718"/>
      <c r="J84" s="718"/>
      <c r="K84" s="184">
        <v>45778</v>
      </c>
      <c r="L84" s="182" t="s">
        <v>599</v>
      </c>
      <c r="M84" s="182"/>
      <c r="N84" s="760"/>
      <c r="O84" s="760"/>
      <c r="P84" s="760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17" t="s">
        <v>402</v>
      </c>
      <c r="H85" s="718"/>
      <c r="I85" s="718"/>
      <c r="J85" s="718"/>
      <c r="K85" s="184">
        <v>45765</v>
      </c>
      <c r="L85" s="182" t="s">
        <v>599</v>
      </c>
      <c r="M85" s="182"/>
      <c r="N85" s="757"/>
      <c r="O85" s="757"/>
      <c r="P85" s="757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717" t="s">
        <v>402</v>
      </c>
      <c r="H86" s="718"/>
      <c r="I86" s="718"/>
      <c r="J86" s="718"/>
      <c r="K86" s="184">
        <v>45800</v>
      </c>
      <c r="L86" s="182" t="s">
        <v>650</v>
      </c>
      <c r="M86" s="456"/>
      <c r="N86" s="757"/>
      <c r="O86" s="757"/>
      <c r="P86" s="757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717" t="s">
        <v>402</v>
      </c>
      <c r="H87" s="718"/>
      <c r="I87" s="718"/>
      <c r="J87" s="718"/>
      <c r="K87" s="184">
        <v>45792</v>
      </c>
      <c r="L87" s="182" t="s">
        <v>650</v>
      </c>
      <c r="M87" s="182"/>
      <c r="N87" s="757"/>
      <c r="O87" s="757"/>
      <c r="P87" s="757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717" t="s">
        <v>402</v>
      </c>
      <c r="H88" s="718"/>
      <c r="I88" s="718"/>
      <c r="J88" s="718"/>
      <c r="K88" s="184">
        <v>45796</v>
      </c>
      <c r="L88" s="182" t="s">
        <v>650</v>
      </c>
      <c r="M88" s="182"/>
      <c r="N88" s="758"/>
      <c r="O88" s="759"/>
      <c r="P88" s="759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717" t="s">
        <v>402</v>
      </c>
      <c r="H89" s="718"/>
      <c r="I89" s="718"/>
      <c r="J89" s="718"/>
      <c r="K89" s="184">
        <v>45772</v>
      </c>
      <c r="L89" s="182" t="s">
        <v>599</v>
      </c>
      <c r="M89" s="182"/>
      <c r="N89" s="758"/>
      <c r="O89" s="759"/>
      <c r="P89" s="759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717" t="s">
        <v>402</v>
      </c>
      <c r="H90" s="718"/>
      <c r="I90" s="718"/>
      <c r="J90" s="718"/>
      <c r="K90" s="184">
        <v>45791</v>
      </c>
      <c r="L90" s="182" t="s">
        <v>599</v>
      </c>
      <c r="M90" s="182"/>
      <c r="N90" s="758"/>
      <c r="O90" s="759"/>
      <c r="P90" s="759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717" t="s">
        <v>402</v>
      </c>
      <c r="H91" s="718"/>
      <c r="I91" s="718"/>
      <c r="J91" s="718"/>
      <c r="K91" s="184">
        <v>45803</v>
      </c>
      <c r="L91" s="182" t="s">
        <v>652</v>
      </c>
      <c r="M91" s="182"/>
      <c r="N91" s="758"/>
      <c r="O91" s="759"/>
      <c r="P91" s="759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17" t="s">
        <v>402</v>
      </c>
      <c r="H92" s="718"/>
      <c r="I92" s="718"/>
      <c r="J92" s="718"/>
      <c r="K92" s="184">
        <v>45800</v>
      </c>
      <c r="L92" s="182" t="s">
        <v>599</v>
      </c>
      <c r="M92" s="182"/>
      <c r="N92" s="758"/>
      <c r="O92" s="759"/>
      <c r="P92" s="759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717" t="s">
        <v>402</v>
      </c>
      <c r="H93" s="718"/>
      <c r="I93" s="718"/>
      <c r="J93" s="718"/>
      <c r="K93" s="184">
        <v>45811</v>
      </c>
      <c r="L93" s="182" t="s">
        <v>652</v>
      </c>
      <c r="M93" s="182"/>
      <c r="N93" s="757"/>
      <c r="O93" s="757"/>
      <c r="P93" s="757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17" t="s">
        <v>402</v>
      </c>
      <c r="H94" s="718"/>
      <c r="I94" s="718"/>
      <c r="J94" s="718"/>
      <c r="K94" s="184">
        <v>45801</v>
      </c>
      <c r="L94" s="182" t="s">
        <v>599</v>
      </c>
      <c r="M94" s="182"/>
      <c r="N94" s="758"/>
      <c r="O94" s="759"/>
      <c r="P94" s="759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717" t="s">
        <v>402</v>
      </c>
      <c r="H95" s="718"/>
      <c r="I95" s="718"/>
      <c r="J95" s="718"/>
      <c r="K95" s="184">
        <v>45817</v>
      </c>
      <c r="L95" s="182" t="s">
        <v>652</v>
      </c>
      <c r="M95" s="182"/>
      <c r="N95" s="757"/>
      <c r="O95" s="757"/>
      <c r="P95" s="757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717" t="s">
        <v>402</v>
      </c>
      <c r="H96" s="718"/>
      <c r="I96" s="718"/>
      <c r="J96" s="718"/>
      <c r="K96" s="184">
        <v>45809</v>
      </c>
      <c r="L96" s="182" t="s">
        <v>650</v>
      </c>
      <c r="M96" s="182"/>
      <c r="N96" s="757"/>
      <c r="O96" s="757"/>
      <c r="P96" s="757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717" t="s">
        <v>402</v>
      </c>
      <c r="H97" s="718"/>
      <c r="I97" s="718"/>
      <c r="J97" s="718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717" t="s">
        <v>402</v>
      </c>
      <c r="H98" s="718"/>
      <c r="I98" s="718"/>
      <c r="J98" s="718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17" t="s">
        <v>402</v>
      </c>
      <c r="H99" s="718"/>
      <c r="I99" s="718"/>
      <c r="J99" s="718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17" t="s">
        <v>402</v>
      </c>
      <c r="H100" s="718"/>
      <c r="I100" s="718"/>
      <c r="J100" s="718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717" t="s">
        <v>402</v>
      </c>
      <c r="H101" s="718"/>
      <c r="I101" s="718"/>
      <c r="J101" s="718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717" t="s">
        <v>402</v>
      </c>
      <c r="H102" s="718"/>
      <c r="I102" s="718"/>
      <c r="J102" s="718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717" t="s">
        <v>402</v>
      </c>
      <c r="H103" s="718"/>
      <c r="I103" s="718"/>
      <c r="J103" s="718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717" t="s">
        <v>402</v>
      </c>
      <c r="H104" s="718"/>
      <c r="I104" s="718"/>
      <c r="J104" s="718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717" t="s">
        <v>402</v>
      </c>
      <c r="H105" s="718"/>
      <c r="I105" s="718"/>
      <c r="J105" s="718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717" t="s">
        <v>402</v>
      </c>
      <c r="H106" s="718"/>
      <c r="I106" s="718"/>
      <c r="J106" s="718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17" t="s">
        <v>402</v>
      </c>
      <c r="H107" s="718"/>
      <c r="I107" s="718"/>
      <c r="J107" s="718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717" t="s">
        <v>402</v>
      </c>
      <c r="H108" s="718"/>
      <c r="I108" s="718"/>
      <c r="J108" s="718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717" t="s">
        <v>402</v>
      </c>
      <c r="H109" s="718"/>
      <c r="I109" s="718"/>
      <c r="J109" s="718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717" t="s">
        <v>402</v>
      </c>
      <c r="H110" s="718"/>
      <c r="I110" s="718"/>
      <c r="J110" s="718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717" t="s">
        <v>402</v>
      </c>
      <c r="H111" s="718"/>
      <c r="I111" s="718"/>
      <c r="J111" s="718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17" t="s">
        <v>402</v>
      </c>
      <c r="H112" s="718"/>
      <c r="I112" s="718"/>
      <c r="J112" s="718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717" t="s">
        <v>402</v>
      </c>
      <c r="H113" s="718"/>
      <c r="I113" s="718"/>
      <c r="J113" s="718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17" t="s">
        <v>402</v>
      </c>
      <c r="H114" s="718"/>
      <c r="I114" s="718"/>
      <c r="J114" s="718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717" t="s">
        <v>402</v>
      </c>
      <c r="H115" s="718"/>
      <c r="I115" s="718"/>
      <c r="J115" s="718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17" t="s">
        <v>402</v>
      </c>
      <c r="H116" s="718"/>
      <c r="I116" s="718"/>
      <c r="J116" s="718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717" t="s">
        <v>402</v>
      </c>
      <c r="H117" s="718"/>
      <c r="I117" s="718"/>
      <c r="J117" s="718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17" t="s">
        <v>402</v>
      </c>
      <c r="H118" s="718"/>
      <c r="I118" s="718"/>
      <c r="J118" s="718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717" t="s">
        <v>402</v>
      </c>
      <c r="H119" s="718"/>
      <c r="I119" s="718"/>
      <c r="J119" s="718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17" t="s">
        <v>402</v>
      </c>
      <c r="H120" s="718"/>
      <c r="I120" s="718"/>
      <c r="J120" s="718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17" t="s">
        <v>402</v>
      </c>
      <c r="H121" s="718"/>
      <c r="I121" s="718"/>
      <c r="J121" s="718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17" t="s">
        <v>402</v>
      </c>
      <c r="H122" s="718"/>
      <c r="I122" s="718"/>
      <c r="J122" s="718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717" t="s">
        <v>402</v>
      </c>
      <c r="H123" s="718"/>
      <c r="I123" s="718"/>
      <c r="J123" s="718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17" t="s">
        <v>402</v>
      </c>
      <c r="H124" s="718"/>
      <c r="I124" s="718"/>
      <c r="J124" s="718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17" t="s">
        <v>402</v>
      </c>
      <c r="H125" s="718"/>
      <c r="I125" s="718"/>
      <c r="J125" s="718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17" t="s">
        <v>402</v>
      </c>
      <c r="H126" s="718"/>
      <c r="I126" s="718"/>
      <c r="J126" s="718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717" t="s">
        <v>402</v>
      </c>
      <c r="H127" s="718"/>
      <c r="I127" s="718"/>
      <c r="J127" s="718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717" t="s">
        <v>402</v>
      </c>
      <c r="H128" s="718"/>
      <c r="I128" s="718"/>
      <c r="J128" s="718"/>
      <c r="K128" s="184">
        <v>45971</v>
      </c>
      <c r="L128" s="182" t="s">
        <v>808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717" t="s">
        <v>402</v>
      </c>
      <c r="H129" s="718"/>
      <c r="I129" s="718"/>
      <c r="J129" s="718"/>
      <c r="K129" s="184">
        <v>45976</v>
      </c>
      <c r="L129" s="182" t="s">
        <v>809</v>
      </c>
      <c r="M129" s="182"/>
      <c r="N129" s="451"/>
      <c r="O129" s="451"/>
      <c r="P129" s="451"/>
    </row>
    <row r="130" spans="1:16" s="153" customFormat="1" ht="33" customHeight="1">
      <c r="A130" s="182">
        <f t="shared" si="1"/>
        <v>118</v>
      </c>
      <c r="B130" s="183" t="s">
        <v>812</v>
      </c>
      <c r="C130" s="182" t="s">
        <v>814</v>
      </c>
      <c r="D130" s="182" t="s">
        <v>239</v>
      </c>
      <c r="E130" s="184">
        <v>45973</v>
      </c>
      <c r="F130" s="185">
        <v>32.22</v>
      </c>
      <c r="G130" s="717" t="s">
        <v>402</v>
      </c>
      <c r="H130" s="718"/>
      <c r="I130" s="718"/>
      <c r="J130" s="718"/>
      <c r="K130" s="184">
        <v>45982</v>
      </c>
      <c r="L130" s="182" t="s">
        <v>808</v>
      </c>
      <c r="M130" s="632"/>
      <c r="N130" s="451"/>
      <c r="O130" s="451"/>
      <c r="P130" s="451"/>
    </row>
    <row r="131" spans="1:16" s="153" customFormat="1" ht="33" customHeight="1">
      <c r="A131" s="486">
        <f t="shared" si="1"/>
        <v>119</v>
      </c>
      <c r="B131" s="609" t="s">
        <v>813</v>
      </c>
      <c r="C131" s="486" t="s">
        <v>504</v>
      </c>
      <c r="D131" s="486" t="s">
        <v>239</v>
      </c>
      <c r="E131" s="610">
        <v>45974</v>
      </c>
      <c r="F131" s="611">
        <v>28.1</v>
      </c>
      <c r="G131" s="706" t="s">
        <v>825</v>
      </c>
      <c r="H131" s="707"/>
      <c r="I131" s="707"/>
      <c r="J131" s="707"/>
      <c r="K131" s="610"/>
      <c r="L131" s="486" t="s">
        <v>809</v>
      </c>
      <c r="M131" s="619"/>
      <c r="N131" s="451"/>
      <c r="O131" s="451"/>
      <c r="P131" s="451"/>
    </row>
    <row r="132" spans="1:16" s="153" customFormat="1" ht="33" customHeight="1">
      <c r="A132" s="486">
        <f t="shared" si="1"/>
        <v>120</v>
      </c>
      <c r="B132" s="609" t="s">
        <v>616</v>
      </c>
      <c r="C132" s="486" t="s">
        <v>453</v>
      </c>
      <c r="D132" s="486" t="s">
        <v>239</v>
      </c>
      <c r="E132" s="610">
        <v>45985</v>
      </c>
      <c r="F132" s="611">
        <v>12.1</v>
      </c>
      <c r="G132" s="706" t="s">
        <v>824</v>
      </c>
      <c r="H132" s="707"/>
      <c r="I132" s="707"/>
      <c r="J132" s="707"/>
      <c r="K132" s="610"/>
      <c r="L132" s="486" t="s">
        <v>808</v>
      </c>
      <c r="M132" s="619"/>
      <c r="N132" s="451"/>
      <c r="O132" s="451"/>
      <c r="P132" s="451"/>
    </row>
    <row r="133" spans="1:16" s="153" customFormat="1" ht="21" customHeight="1">
      <c r="A133" s="283"/>
      <c r="B133" s="183"/>
      <c r="C133" s="182"/>
      <c r="D133" s="182"/>
      <c r="E133" s="284"/>
      <c r="F133" s="453"/>
      <c r="G133" s="454"/>
      <c r="H133" s="454"/>
      <c r="I133" s="454"/>
      <c r="J133" s="284"/>
      <c r="K133" s="182"/>
      <c r="L133" s="283"/>
      <c r="M133" s="154"/>
    </row>
    <row r="134" spans="1:16" ht="21" customHeight="1">
      <c r="A134" s="745" t="s">
        <v>103</v>
      </c>
      <c r="B134" s="745"/>
      <c r="C134" s="745"/>
      <c r="D134" s="745"/>
      <c r="E134" s="745"/>
      <c r="F134" s="745"/>
      <c r="G134" s="745"/>
      <c r="H134" s="745"/>
      <c r="I134" s="745"/>
      <c r="J134" s="745"/>
      <c r="K134" s="745"/>
      <c r="L134" s="745"/>
      <c r="M134" s="745"/>
      <c r="N134" s="745"/>
      <c r="O134" s="745"/>
      <c r="P134" s="745"/>
    </row>
    <row r="135" spans="1:16" s="45" customFormat="1" ht="28.95" customHeight="1" thickBot="1">
      <c r="A135" s="162" t="s">
        <v>403</v>
      </c>
      <c r="B135" s="162" t="s">
        <v>82</v>
      </c>
      <c r="C135" s="162" t="s">
        <v>60</v>
      </c>
      <c r="D135" s="162" t="s">
        <v>238</v>
      </c>
      <c r="E135" s="162" t="s">
        <v>714</v>
      </c>
      <c r="F135" s="162" t="s">
        <v>716</v>
      </c>
      <c r="G135" s="742" t="s">
        <v>112</v>
      </c>
      <c r="H135" s="743"/>
      <c r="I135" s="743"/>
      <c r="J135" s="744"/>
      <c r="K135" s="162" t="s">
        <v>715</v>
      </c>
      <c r="L135" s="162" t="s">
        <v>398</v>
      </c>
      <c r="M135" s="162" t="s">
        <v>399</v>
      </c>
      <c r="N135" s="742" t="s">
        <v>400</v>
      </c>
      <c r="O135" s="743"/>
      <c r="P135" s="744"/>
    </row>
    <row r="136" spans="1:16" s="271" customFormat="1" ht="21" customHeight="1">
      <c r="A136" s="283">
        <v>1</v>
      </c>
      <c r="B136" s="183" t="s">
        <v>16</v>
      </c>
      <c r="C136" s="182" t="s">
        <v>401</v>
      </c>
      <c r="D136" s="283" t="s">
        <v>239</v>
      </c>
      <c r="E136" s="284">
        <v>45574</v>
      </c>
      <c r="F136" s="285">
        <v>27.96</v>
      </c>
      <c r="G136" s="714" t="s">
        <v>402</v>
      </c>
      <c r="H136" s="714"/>
      <c r="I136" s="714"/>
      <c r="J136" s="714"/>
      <c r="K136" s="284">
        <v>45592</v>
      </c>
      <c r="L136" s="283" t="s">
        <v>490</v>
      </c>
      <c r="M136" s="283"/>
      <c r="N136" s="716"/>
      <c r="O136" s="716"/>
      <c r="P136" s="716"/>
    </row>
    <row r="137" spans="1:16" s="45" customFormat="1" ht="21" customHeight="1">
      <c r="A137" s="283">
        <v>2</v>
      </c>
      <c r="B137" s="183" t="s">
        <v>128</v>
      </c>
      <c r="C137" s="182" t="s">
        <v>401</v>
      </c>
      <c r="D137" s="283" t="s">
        <v>239</v>
      </c>
      <c r="E137" s="284">
        <v>45593</v>
      </c>
      <c r="F137" s="285">
        <v>27.96</v>
      </c>
      <c r="G137" s="714" t="s">
        <v>402</v>
      </c>
      <c r="H137" s="714"/>
      <c r="I137" s="714"/>
      <c r="J137" s="714"/>
      <c r="K137" s="284">
        <v>45601</v>
      </c>
      <c r="L137" s="283" t="s">
        <v>490</v>
      </c>
      <c r="M137" s="283"/>
      <c r="N137" s="741"/>
      <c r="O137" s="741"/>
      <c r="P137" s="741"/>
    </row>
    <row r="138" spans="1:16" s="271" customFormat="1" ht="21" customHeight="1">
      <c r="A138" s="283">
        <v>3</v>
      </c>
      <c r="B138" s="286" t="s">
        <v>494</v>
      </c>
      <c r="C138" s="182" t="s">
        <v>401</v>
      </c>
      <c r="D138" s="283" t="s">
        <v>239</v>
      </c>
      <c r="E138" s="284">
        <v>45601</v>
      </c>
      <c r="F138" s="285">
        <v>27.96</v>
      </c>
      <c r="G138" s="714" t="s">
        <v>402</v>
      </c>
      <c r="H138" s="714"/>
      <c r="I138" s="714"/>
      <c r="J138" s="714"/>
      <c r="K138" s="284">
        <v>45609</v>
      </c>
      <c r="L138" s="283" t="s">
        <v>490</v>
      </c>
      <c r="M138" s="283"/>
      <c r="N138" s="716"/>
      <c r="O138" s="716"/>
      <c r="P138" s="716"/>
    </row>
    <row r="139" spans="1:16" s="271" customFormat="1" ht="21" customHeight="1">
      <c r="A139" s="283">
        <v>4</v>
      </c>
      <c r="B139" s="286" t="s">
        <v>18</v>
      </c>
      <c r="C139" s="182" t="s">
        <v>401</v>
      </c>
      <c r="D139" s="283" t="s">
        <v>239</v>
      </c>
      <c r="E139" s="284">
        <v>45610</v>
      </c>
      <c r="F139" s="285">
        <v>27.96</v>
      </c>
      <c r="G139" s="714" t="s">
        <v>402</v>
      </c>
      <c r="H139" s="714"/>
      <c r="I139" s="714"/>
      <c r="J139" s="714"/>
      <c r="K139" s="284">
        <v>45615</v>
      </c>
      <c r="L139" s="283" t="s">
        <v>490</v>
      </c>
      <c r="M139" s="283"/>
      <c r="N139" s="716" t="s">
        <v>501</v>
      </c>
      <c r="O139" s="716"/>
      <c r="P139" s="716"/>
    </row>
    <row r="140" spans="1:16" s="271" customFormat="1" ht="21" customHeight="1">
      <c r="A140" s="283">
        <v>5</v>
      </c>
      <c r="B140" s="286" t="s">
        <v>133</v>
      </c>
      <c r="C140" s="182" t="s">
        <v>401</v>
      </c>
      <c r="D140" s="283" t="s">
        <v>239</v>
      </c>
      <c r="E140" s="284">
        <v>45615</v>
      </c>
      <c r="F140" s="285">
        <v>27.96</v>
      </c>
      <c r="G140" s="714" t="s">
        <v>402</v>
      </c>
      <c r="H140" s="714"/>
      <c r="I140" s="714"/>
      <c r="J140" s="714"/>
      <c r="K140" s="284">
        <v>45620</v>
      </c>
      <c r="L140" s="283" t="s">
        <v>490</v>
      </c>
      <c r="M140" s="283"/>
      <c r="N140" s="716" t="s">
        <v>109</v>
      </c>
      <c r="O140" s="716"/>
      <c r="P140" s="716"/>
    </row>
    <row r="141" spans="1:16" s="271" customFormat="1" ht="21" customHeight="1">
      <c r="A141" s="283">
        <v>6</v>
      </c>
      <c r="B141" s="286" t="s">
        <v>2</v>
      </c>
      <c r="C141" s="182" t="s">
        <v>401</v>
      </c>
      <c r="D141" s="283" t="s">
        <v>239</v>
      </c>
      <c r="E141" s="284">
        <v>45622</v>
      </c>
      <c r="F141" s="285">
        <v>27.96</v>
      </c>
      <c r="G141" s="714" t="s">
        <v>402</v>
      </c>
      <c r="H141" s="714"/>
      <c r="I141" s="714"/>
      <c r="J141" s="714"/>
      <c r="K141" s="284">
        <v>45627</v>
      </c>
      <c r="L141" s="283" t="s">
        <v>490</v>
      </c>
      <c r="M141" s="283"/>
      <c r="N141" s="716"/>
      <c r="O141" s="716"/>
      <c r="P141" s="716"/>
    </row>
    <row r="142" spans="1:16" s="271" customFormat="1" ht="21" customHeight="1">
      <c r="A142" s="283">
        <v>7</v>
      </c>
      <c r="B142" s="286" t="s">
        <v>49</v>
      </c>
      <c r="C142" s="182" t="s">
        <v>401</v>
      </c>
      <c r="D142" s="283" t="s">
        <v>239</v>
      </c>
      <c r="E142" s="284">
        <v>45628</v>
      </c>
      <c r="F142" s="285">
        <v>27.96</v>
      </c>
      <c r="G142" s="714" t="s">
        <v>402</v>
      </c>
      <c r="H142" s="714"/>
      <c r="I142" s="714"/>
      <c r="J142" s="714"/>
      <c r="K142" s="284">
        <v>45632</v>
      </c>
      <c r="L142" s="283" t="s">
        <v>490</v>
      </c>
      <c r="M142" s="283"/>
      <c r="N142" s="716"/>
      <c r="O142" s="716"/>
      <c r="P142" s="716"/>
    </row>
    <row r="143" spans="1:16" s="271" customFormat="1" ht="21" customHeight="1">
      <c r="A143" s="283">
        <v>8</v>
      </c>
      <c r="B143" s="286" t="s">
        <v>52</v>
      </c>
      <c r="C143" s="182" t="s">
        <v>401</v>
      </c>
      <c r="D143" s="283" t="s">
        <v>239</v>
      </c>
      <c r="E143" s="284">
        <v>45629</v>
      </c>
      <c r="F143" s="285">
        <v>27.96</v>
      </c>
      <c r="G143" s="714" t="s">
        <v>402</v>
      </c>
      <c r="H143" s="714"/>
      <c r="I143" s="714"/>
      <c r="J143" s="714"/>
      <c r="K143" s="284">
        <v>45637</v>
      </c>
      <c r="L143" s="283" t="s">
        <v>500</v>
      </c>
      <c r="M143" s="283"/>
      <c r="N143" s="716" t="s">
        <v>501</v>
      </c>
      <c r="O143" s="716"/>
      <c r="P143" s="716"/>
    </row>
    <row r="144" spans="1:16" s="271" customFormat="1" ht="21" customHeight="1">
      <c r="A144" s="283">
        <v>9</v>
      </c>
      <c r="B144" s="286" t="s">
        <v>147</v>
      </c>
      <c r="C144" s="182" t="s">
        <v>401</v>
      </c>
      <c r="D144" s="283" t="s">
        <v>239</v>
      </c>
      <c r="E144" s="284">
        <v>45632</v>
      </c>
      <c r="F144" s="285">
        <v>27.96</v>
      </c>
      <c r="G144" s="714" t="s">
        <v>402</v>
      </c>
      <c r="H144" s="714"/>
      <c r="I144" s="714"/>
      <c r="J144" s="714"/>
      <c r="K144" s="284">
        <v>45637</v>
      </c>
      <c r="L144" s="283" t="s">
        <v>490</v>
      </c>
      <c r="M144" s="283"/>
      <c r="N144" s="716"/>
      <c r="O144" s="716"/>
      <c r="P144" s="716"/>
    </row>
    <row r="145" spans="1:16" s="271" customFormat="1" ht="21" customHeight="1">
      <c r="A145" s="283">
        <v>10</v>
      </c>
      <c r="B145" s="286" t="s">
        <v>148</v>
      </c>
      <c r="C145" s="182" t="s">
        <v>444</v>
      </c>
      <c r="D145" s="283" t="s">
        <v>239</v>
      </c>
      <c r="E145" s="284">
        <v>45638</v>
      </c>
      <c r="F145" s="285">
        <v>29.12</v>
      </c>
      <c r="G145" s="714" t="s">
        <v>402</v>
      </c>
      <c r="H145" s="714"/>
      <c r="I145" s="714"/>
      <c r="J145" s="714"/>
      <c r="K145" s="371">
        <v>45644</v>
      </c>
      <c r="L145" s="283" t="s">
        <v>490</v>
      </c>
      <c r="M145" s="283"/>
      <c r="N145" s="716"/>
      <c r="O145" s="716"/>
      <c r="P145" s="716"/>
    </row>
    <row r="146" spans="1:16" s="271" customFormat="1" ht="21" customHeight="1">
      <c r="A146" s="283">
        <v>11</v>
      </c>
      <c r="B146" s="286" t="s">
        <v>51</v>
      </c>
      <c r="C146" s="182" t="s">
        <v>401</v>
      </c>
      <c r="D146" s="283" t="s">
        <v>239</v>
      </c>
      <c r="E146" s="284">
        <v>45638</v>
      </c>
      <c r="F146" s="285">
        <v>27.96</v>
      </c>
      <c r="G146" s="714" t="s">
        <v>402</v>
      </c>
      <c r="H146" s="714"/>
      <c r="I146" s="714"/>
      <c r="J146" s="714"/>
      <c r="K146" s="284">
        <v>45644</v>
      </c>
      <c r="L146" s="283" t="s">
        <v>500</v>
      </c>
      <c r="M146" s="283"/>
      <c r="N146" s="716"/>
      <c r="O146" s="716"/>
      <c r="P146" s="716"/>
    </row>
    <row r="147" spans="1:16" s="271" customFormat="1" ht="21" customHeight="1">
      <c r="A147" s="283">
        <v>12</v>
      </c>
      <c r="B147" s="286" t="s">
        <v>140</v>
      </c>
      <c r="C147" s="182" t="s">
        <v>444</v>
      </c>
      <c r="D147" s="283" t="s">
        <v>239</v>
      </c>
      <c r="E147" s="284">
        <v>45645</v>
      </c>
      <c r="F147" s="285">
        <v>29.12</v>
      </c>
      <c r="G147" s="714" t="s">
        <v>402</v>
      </c>
      <c r="H147" s="714"/>
      <c r="I147" s="714"/>
      <c r="J147" s="714"/>
      <c r="K147" s="284">
        <v>45653</v>
      </c>
      <c r="L147" s="283" t="s">
        <v>490</v>
      </c>
      <c r="M147" s="283"/>
      <c r="N147" s="716"/>
      <c r="O147" s="716"/>
      <c r="P147" s="716"/>
    </row>
    <row r="148" spans="1:16" s="271" customFormat="1" ht="21" customHeight="1">
      <c r="A148" s="283">
        <v>13</v>
      </c>
      <c r="B148" s="286" t="s">
        <v>136</v>
      </c>
      <c r="C148" s="182" t="s">
        <v>453</v>
      </c>
      <c r="D148" s="283" t="s">
        <v>239</v>
      </c>
      <c r="E148" s="284">
        <v>45645</v>
      </c>
      <c r="F148" s="285">
        <v>34.630000000000003</v>
      </c>
      <c r="G148" s="714" t="s">
        <v>402</v>
      </c>
      <c r="H148" s="714"/>
      <c r="I148" s="714"/>
      <c r="J148" s="714"/>
      <c r="K148" s="284">
        <v>45655</v>
      </c>
      <c r="L148" s="283" t="s">
        <v>500</v>
      </c>
      <c r="M148" s="283"/>
      <c r="N148" s="716"/>
      <c r="O148" s="716"/>
      <c r="P148" s="716"/>
    </row>
    <row r="149" spans="1:16" s="271" customFormat="1" ht="21" customHeight="1">
      <c r="A149" s="283">
        <v>14</v>
      </c>
      <c r="B149" s="286" t="s">
        <v>126</v>
      </c>
      <c r="C149" s="182" t="s">
        <v>401</v>
      </c>
      <c r="D149" s="283" t="s">
        <v>239</v>
      </c>
      <c r="E149" s="284">
        <v>45655</v>
      </c>
      <c r="F149" s="285">
        <v>27.96</v>
      </c>
      <c r="G149" s="714" t="s">
        <v>402</v>
      </c>
      <c r="H149" s="714"/>
      <c r="I149" s="714"/>
      <c r="J149" s="714"/>
      <c r="K149" s="284">
        <v>45296</v>
      </c>
      <c r="L149" s="283" t="s">
        <v>490</v>
      </c>
      <c r="M149" s="283"/>
      <c r="N149" s="716"/>
      <c r="O149" s="716"/>
      <c r="P149" s="716"/>
    </row>
    <row r="150" spans="1:16" s="271" customFormat="1" ht="21" customHeight="1">
      <c r="A150" s="283">
        <v>15</v>
      </c>
      <c r="B150" s="286" t="s">
        <v>143</v>
      </c>
      <c r="C150" s="182" t="s">
        <v>401</v>
      </c>
      <c r="D150" s="283" t="s">
        <v>239</v>
      </c>
      <c r="E150" s="284">
        <v>45656</v>
      </c>
      <c r="F150" s="285">
        <v>27.96</v>
      </c>
      <c r="G150" s="714" t="s">
        <v>402</v>
      </c>
      <c r="H150" s="714"/>
      <c r="I150" s="714"/>
      <c r="J150" s="714"/>
      <c r="K150" s="284">
        <v>45298</v>
      </c>
      <c r="L150" s="283" t="s">
        <v>500</v>
      </c>
      <c r="M150" s="283"/>
      <c r="N150" s="716"/>
      <c r="O150" s="716"/>
      <c r="P150" s="716"/>
    </row>
    <row r="151" spans="1:16" s="271" customFormat="1" ht="21" customHeight="1">
      <c r="A151" s="283">
        <v>16</v>
      </c>
      <c r="B151" s="286" t="s">
        <v>166</v>
      </c>
      <c r="C151" s="182" t="s">
        <v>401</v>
      </c>
      <c r="D151" s="283" t="s">
        <v>239</v>
      </c>
      <c r="E151" s="284">
        <v>45298</v>
      </c>
      <c r="F151" s="285">
        <v>27.96</v>
      </c>
      <c r="G151" s="714" t="s">
        <v>402</v>
      </c>
      <c r="H151" s="714"/>
      <c r="I151" s="714"/>
      <c r="J151" s="714"/>
      <c r="K151" s="284">
        <v>45668</v>
      </c>
      <c r="L151" s="283" t="s">
        <v>490</v>
      </c>
      <c r="M151" s="283"/>
      <c r="N151" s="716"/>
      <c r="O151" s="716"/>
      <c r="P151" s="716"/>
    </row>
    <row r="152" spans="1:16" s="271" customFormat="1" ht="21" customHeight="1">
      <c r="A152" s="283">
        <f t="shared" ref="A152:A157" si="2">A151+1</f>
        <v>17</v>
      </c>
      <c r="B152" s="286" t="s">
        <v>176</v>
      </c>
      <c r="C152" s="182" t="s">
        <v>401</v>
      </c>
      <c r="D152" s="283" t="s">
        <v>239</v>
      </c>
      <c r="E152" s="284">
        <v>45300</v>
      </c>
      <c r="F152" s="285">
        <v>27.96</v>
      </c>
      <c r="G152" s="714" t="s">
        <v>402</v>
      </c>
      <c r="H152" s="714"/>
      <c r="I152" s="714"/>
      <c r="J152" s="714"/>
      <c r="K152" s="284">
        <v>45672</v>
      </c>
      <c r="L152" s="283" t="s">
        <v>500</v>
      </c>
      <c r="M152" s="283"/>
      <c r="N152" s="716"/>
      <c r="O152" s="716"/>
      <c r="P152" s="716"/>
    </row>
    <row r="153" spans="1:16" s="271" customFormat="1" ht="21" customHeight="1">
      <c r="A153" s="283">
        <f t="shared" si="2"/>
        <v>18</v>
      </c>
      <c r="B153" s="286" t="s">
        <v>160</v>
      </c>
      <c r="C153" s="182" t="s">
        <v>444</v>
      </c>
      <c r="D153" s="283" t="s">
        <v>239</v>
      </c>
      <c r="E153" s="284">
        <v>45670</v>
      </c>
      <c r="F153" s="285">
        <v>29</v>
      </c>
      <c r="G153" s="714" t="s">
        <v>402</v>
      </c>
      <c r="H153" s="714"/>
      <c r="I153" s="714"/>
      <c r="J153" s="714"/>
      <c r="K153" s="284">
        <v>45675</v>
      </c>
      <c r="L153" s="283" t="s">
        <v>490</v>
      </c>
      <c r="M153" s="283"/>
      <c r="N153" s="716"/>
      <c r="O153" s="716"/>
      <c r="P153" s="716"/>
    </row>
    <row r="154" spans="1:16" s="271" customFormat="1" ht="21" customHeight="1">
      <c r="A154" s="283">
        <f t="shared" si="2"/>
        <v>19</v>
      </c>
      <c r="B154" s="286" t="s">
        <v>177</v>
      </c>
      <c r="C154" s="182" t="s">
        <v>444</v>
      </c>
      <c r="D154" s="283" t="s">
        <v>239</v>
      </c>
      <c r="E154" s="284">
        <v>45673</v>
      </c>
      <c r="F154" s="285">
        <v>29</v>
      </c>
      <c r="G154" s="714" t="s">
        <v>402</v>
      </c>
      <c r="H154" s="714"/>
      <c r="I154" s="714"/>
      <c r="J154" s="714"/>
      <c r="K154" s="284">
        <v>45680</v>
      </c>
      <c r="L154" s="283" t="s">
        <v>500</v>
      </c>
      <c r="M154" s="283"/>
      <c r="N154" s="716"/>
      <c r="O154" s="716"/>
      <c r="P154" s="716"/>
    </row>
    <row r="155" spans="1:16" s="271" customFormat="1" ht="21" customHeight="1">
      <c r="A155" s="283">
        <f t="shared" si="2"/>
        <v>20</v>
      </c>
      <c r="B155" s="286" t="s">
        <v>156</v>
      </c>
      <c r="C155" s="182" t="s">
        <v>401</v>
      </c>
      <c r="D155" s="283" t="s">
        <v>239</v>
      </c>
      <c r="E155" s="284">
        <v>45673</v>
      </c>
      <c r="F155" s="285">
        <v>28</v>
      </c>
      <c r="G155" s="714" t="s">
        <v>402</v>
      </c>
      <c r="H155" s="714"/>
      <c r="I155" s="714"/>
      <c r="J155" s="714"/>
      <c r="K155" s="284">
        <v>45680</v>
      </c>
      <c r="L155" s="283" t="s">
        <v>490</v>
      </c>
      <c r="M155" s="283"/>
      <c r="N155" s="716"/>
      <c r="O155" s="716"/>
      <c r="P155" s="716"/>
    </row>
    <row r="156" spans="1:16" s="271" customFormat="1" ht="27.6" customHeight="1">
      <c r="A156" s="283">
        <f t="shared" si="2"/>
        <v>21</v>
      </c>
      <c r="B156" s="286" t="s">
        <v>179</v>
      </c>
      <c r="C156" s="182" t="s">
        <v>444</v>
      </c>
      <c r="D156" s="283" t="s">
        <v>239</v>
      </c>
      <c r="E156" s="284">
        <v>45681</v>
      </c>
      <c r="F156" s="285">
        <v>29</v>
      </c>
      <c r="G156" s="714" t="s">
        <v>402</v>
      </c>
      <c r="H156" s="714"/>
      <c r="I156" s="714"/>
      <c r="J156" s="714"/>
      <c r="K156" s="284">
        <v>45699</v>
      </c>
      <c r="L156" s="283" t="s">
        <v>500</v>
      </c>
      <c r="M156" s="283"/>
      <c r="N156" s="719"/>
      <c r="O156" s="719"/>
      <c r="P156" s="719"/>
    </row>
    <row r="157" spans="1:16" s="271" customFormat="1" ht="21" customHeight="1">
      <c r="A157" s="283">
        <f t="shared" si="2"/>
        <v>22</v>
      </c>
      <c r="B157" s="286" t="s">
        <v>17</v>
      </c>
      <c r="C157" s="182" t="s">
        <v>401</v>
      </c>
      <c r="D157" s="283" t="s">
        <v>239</v>
      </c>
      <c r="E157" s="284">
        <v>45681</v>
      </c>
      <c r="F157" s="285">
        <v>28</v>
      </c>
      <c r="G157" s="714" t="s">
        <v>402</v>
      </c>
      <c r="H157" s="714"/>
      <c r="I157" s="714"/>
      <c r="J157" s="714"/>
      <c r="K157" s="284">
        <v>45687</v>
      </c>
      <c r="L157" s="283" t="s">
        <v>490</v>
      </c>
      <c r="M157" s="283"/>
      <c r="N157" s="715"/>
      <c r="O157" s="715"/>
      <c r="P157" s="715"/>
    </row>
    <row r="158" spans="1:16" s="271" customFormat="1" ht="21" customHeight="1">
      <c r="A158" s="283">
        <f t="shared" ref="A158:A200" si="3">A157+1</f>
        <v>23</v>
      </c>
      <c r="B158" s="286" t="s">
        <v>178</v>
      </c>
      <c r="C158" s="182" t="s">
        <v>401</v>
      </c>
      <c r="D158" s="283" t="s">
        <v>239</v>
      </c>
      <c r="E158" s="284">
        <v>45682</v>
      </c>
      <c r="F158" s="285">
        <v>28</v>
      </c>
      <c r="G158" s="714" t="s">
        <v>402</v>
      </c>
      <c r="H158" s="714"/>
      <c r="I158" s="714"/>
      <c r="J158" s="714"/>
      <c r="K158" s="284">
        <v>45690</v>
      </c>
      <c r="L158" s="283" t="s">
        <v>500</v>
      </c>
      <c r="M158" s="283"/>
      <c r="N158" s="716"/>
      <c r="O158" s="716"/>
      <c r="P158" s="716"/>
    </row>
    <row r="159" spans="1:16" s="271" customFormat="1" ht="21" customHeight="1">
      <c r="A159" s="283">
        <f t="shared" si="3"/>
        <v>24</v>
      </c>
      <c r="B159" s="286" t="s">
        <v>137</v>
      </c>
      <c r="C159" s="182" t="s">
        <v>444</v>
      </c>
      <c r="D159" s="283" t="s">
        <v>239</v>
      </c>
      <c r="E159" s="284">
        <v>45688</v>
      </c>
      <c r="F159" s="285">
        <v>29</v>
      </c>
      <c r="G159" s="714" t="s">
        <v>402</v>
      </c>
      <c r="H159" s="714"/>
      <c r="I159" s="714"/>
      <c r="J159" s="714"/>
      <c r="K159" s="284">
        <v>45693</v>
      </c>
      <c r="L159" s="283" t="s">
        <v>490</v>
      </c>
      <c r="M159" s="283"/>
      <c r="N159" s="716"/>
      <c r="O159" s="716"/>
      <c r="P159" s="716"/>
    </row>
    <row r="160" spans="1:16" s="271" customFormat="1" ht="27.6" customHeight="1">
      <c r="A160" s="283">
        <f t="shared" si="3"/>
        <v>25</v>
      </c>
      <c r="B160" s="286" t="s">
        <v>145</v>
      </c>
      <c r="C160" s="182" t="s">
        <v>452</v>
      </c>
      <c r="D160" s="283" t="s">
        <v>239</v>
      </c>
      <c r="E160" s="284">
        <v>45694</v>
      </c>
      <c r="F160" s="285">
        <v>33</v>
      </c>
      <c r="G160" s="714" t="s">
        <v>402</v>
      </c>
      <c r="H160" s="714"/>
      <c r="I160" s="714"/>
      <c r="J160" s="714"/>
      <c r="K160" s="284">
        <v>45699</v>
      </c>
      <c r="L160" s="283" t="s">
        <v>490</v>
      </c>
      <c r="M160" s="283"/>
      <c r="N160" s="719"/>
      <c r="O160" s="719"/>
      <c r="P160" s="719"/>
    </row>
    <row r="161" spans="1:16" s="271" customFormat="1" ht="27.6" customHeight="1">
      <c r="A161" s="283">
        <f t="shared" si="3"/>
        <v>26</v>
      </c>
      <c r="B161" s="286" t="s">
        <v>146</v>
      </c>
      <c r="C161" s="182" t="s">
        <v>444</v>
      </c>
      <c r="D161" s="283" t="s">
        <v>239</v>
      </c>
      <c r="E161" s="284">
        <v>45700</v>
      </c>
      <c r="F161" s="285">
        <v>29</v>
      </c>
      <c r="G161" s="714" t="s">
        <v>402</v>
      </c>
      <c r="H161" s="714"/>
      <c r="I161" s="714"/>
      <c r="J161" s="714"/>
      <c r="K161" s="284">
        <v>45705</v>
      </c>
      <c r="L161" s="283" t="s">
        <v>490</v>
      </c>
      <c r="M161" s="283"/>
      <c r="N161" s="719"/>
      <c r="O161" s="719"/>
      <c r="P161" s="719"/>
    </row>
    <row r="162" spans="1:16" s="271" customFormat="1" ht="27.6" customHeight="1">
      <c r="A162" s="283">
        <f t="shared" si="3"/>
        <v>27</v>
      </c>
      <c r="B162" s="286" t="s">
        <v>175</v>
      </c>
      <c r="C162" s="182" t="s">
        <v>444</v>
      </c>
      <c r="D162" s="283" t="s">
        <v>239</v>
      </c>
      <c r="E162" s="284">
        <v>45700</v>
      </c>
      <c r="F162" s="285">
        <v>29</v>
      </c>
      <c r="G162" s="714" t="s">
        <v>402</v>
      </c>
      <c r="H162" s="714"/>
      <c r="I162" s="714"/>
      <c r="J162" s="714"/>
      <c r="K162" s="284">
        <v>45708</v>
      </c>
      <c r="L162" s="283" t="s">
        <v>490</v>
      </c>
      <c r="M162" s="283"/>
      <c r="N162" s="719"/>
      <c r="O162" s="719"/>
      <c r="P162" s="719"/>
    </row>
    <row r="163" spans="1:16" s="271" customFormat="1" ht="27.6" customHeight="1">
      <c r="A163" s="283">
        <f t="shared" si="3"/>
        <v>28</v>
      </c>
      <c r="B163" s="286" t="s">
        <v>496</v>
      </c>
      <c r="C163" s="182" t="s">
        <v>476</v>
      </c>
      <c r="D163" s="283" t="s">
        <v>239</v>
      </c>
      <c r="E163" s="284">
        <v>45709</v>
      </c>
      <c r="F163" s="285">
        <v>45</v>
      </c>
      <c r="G163" s="714" t="s">
        <v>402</v>
      </c>
      <c r="H163" s="714"/>
      <c r="I163" s="714"/>
      <c r="J163" s="714"/>
      <c r="K163" s="284">
        <v>45714</v>
      </c>
      <c r="L163" s="283" t="s">
        <v>490</v>
      </c>
      <c r="M163" s="283"/>
      <c r="N163" s="719"/>
      <c r="O163" s="719"/>
      <c r="P163" s="719"/>
    </row>
    <row r="164" spans="1:16" s="271" customFormat="1" ht="27.6" customHeight="1">
      <c r="A164" s="283">
        <f t="shared" si="3"/>
        <v>29</v>
      </c>
      <c r="B164" s="286" t="s">
        <v>497</v>
      </c>
      <c r="C164" s="182" t="s">
        <v>476</v>
      </c>
      <c r="D164" s="283" t="s">
        <v>239</v>
      </c>
      <c r="E164" s="284">
        <v>45714</v>
      </c>
      <c r="F164" s="285">
        <v>45</v>
      </c>
      <c r="G164" s="714" t="s">
        <v>402</v>
      </c>
      <c r="H164" s="714"/>
      <c r="I164" s="714"/>
      <c r="J164" s="714"/>
      <c r="K164" s="284">
        <v>45719</v>
      </c>
      <c r="L164" s="283" t="s">
        <v>490</v>
      </c>
      <c r="M164" s="283"/>
      <c r="N164" s="719"/>
      <c r="O164" s="719"/>
      <c r="P164" s="719"/>
    </row>
    <row r="165" spans="1:16" s="271" customFormat="1" ht="27.6" customHeight="1">
      <c r="A165" s="283">
        <f t="shared" si="3"/>
        <v>30</v>
      </c>
      <c r="B165" s="286" t="s">
        <v>505</v>
      </c>
      <c r="C165" s="182" t="s">
        <v>476</v>
      </c>
      <c r="D165" s="283" t="s">
        <v>239</v>
      </c>
      <c r="E165" s="284">
        <v>45719</v>
      </c>
      <c r="F165" s="285">
        <v>45</v>
      </c>
      <c r="G165" s="714" t="s">
        <v>402</v>
      </c>
      <c r="H165" s="714"/>
      <c r="I165" s="714"/>
      <c r="J165" s="714"/>
      <c r="K165" s="284">
        <v>45724</v>
      </c>
      <c r="L165" s="283" t="s">
        <v>490</v>
      </c>
      <c r="M165" s="283"/>
      <c r="N165" s="719"/>
      <c r="O165" s="719"/>
      <c r="P165" s="719"/>
    </row>
    <row r="166" spans="1:16" s="271" customFormat="1" ht="27.6" customHeight="1">
      <c r="A166" s="283">
        <f t="shared" si="3"/>
        <v>31</v>
      </c>
      <c r="B166" s="286" t="s">
        <v>161</v>
      </c>
      <c r="C166" s="182" t="s">
        <v>401</v>
      </c>
      <c r="D166" s="283" t="s">
        <v>239</v>
      </c>
      <c r="E166" s="284">
        <v>45722</v>
      </c>
      <c r="F166" s="285">
        <v>28</v>
      </c>
      <c r="G166" s="714" t="s">
        <v>402</v>
      </c>
      <c r="H166" s="714"/>
      <c r="I166" s="714"/>
      <c r="J166" s="714"/>
      <c r="K166" s="284">
        <v>45727</v>
      </c>
      <c r="L166" s="283" t="s">
        <v>500</v>
      </c>
      <c r="M166" s="283"/>
      <c r="N166" s="719"/>
      <c r="O166" s="719"/>
      <c r="P166" s="719"/>
    </row>
    <row r="167" spans="1:16" s="271" customFormat="1" ht="27.6" customHeight="1">
      <c r="A167" s="283">
        <f t="shared" si="3"/>
        <v>32</v>
      </c>
      <c r="B167" s="286" t="s">
        <v>159</v>
      </c>
      <c r="C167" s="182" t="s">
        <v>476</v>
      </c>
      <c r="D167" s="283" t="s">
        <v>239</v>
      </c>
      <c r="E167" s="284">
        <v>45728</v>
      </c>
      <c r="F167" s="285">
        <v>45</v>
      </c>
      <c r="G167" s="714" t="s">
        <v>402</v>
      </c>
      <c r="H167" s="714"/>
      <c r="I167" s="714"/>
      <c r="J167" s="714"/>
      <c r="K167" s="284">
        <v>45733</v>
      </c>
      <c r="L167" s="283" t="s">
        <v>500</v>
      </c>
      <c r="M167" s="283"/>
      <c r="N167" s="719"/>
      <c r="O167" s="719"/>
      <c r="P167" s="719"/>
    </row>
    <row r="168" spans="1:16" s="271" customFormat="1" ht="27.6" customHeight="1">
      <c r="A168" s="283">
        <f t="shared" si="3"/>
        <v>33</v>
      </c>
      <c r="B168" s="286" t="s">
        <v>503</v>
      </c>
      <c r="C168" s="182" t="s">
        <v>504</v>
      </c>
      <c r="D168" s="283" t="s">
        <v>239</v>
      </c>
      <c r="E168" s="284">
        <v>45734</v>
      </c>
      <c r="F168" s="285">
        <v>54</v>
      </c>
      <c r="G168" s="714" t="s">
        <v>402</v>
      </c>
      <c r="H168" s="714"/>
      <c r="I168" s="714"/>
      <c r="J168" s="714"/>
      <c r="K168" s="284">
        <v>45739</v>
      </c>
      <c r="L168" s="283" t="s">
        <v>500</v>
      </c>
      <c r="M168" s="283"/>
      <c r="N168" s="719"/>
      <c r="O168" s="719"/>
      <c r="P168" s="719"/>
    </row>
    <row r="169" spans="1:16" s="271" customFormat="1" ht="27.6" customHeight="1">
      <c r="A169" s="283">
        <f t="shared" si="3"/>
        <v>34</v>
      </c>
      <c r="B169" s="286" t="s">
        <v>4</v>
      </c>
      <c r="C169" s="182" t="s">
        <v>506</v>
      </c>
      <c r="D169" s="283" t="s">
        <v>239</v>
      </c>
      <c r="E169" s="284">
        <v>45734</v>
      </c>
      <c r="F169" s="285">
        <v>52</v>
      </c>
      <c r="G169" s="714" t="s">
        <v>402</v>
      </c>
      <c r="H169" s="714"/>
      <c r="I169" s="714"/>
      <c r="J169" s="714"/>
      <c r="K169" s="284">
        <v>45744</v>
      </c>
      <c r="L169" s="283" t="s">
        <v>500</v>
      </c>
      <c r="M169" s="283"/>
      <c r="N169" s="719"/>
      <c r="O169" s="719"/>
      <c r="P169" s="719"/>
    </row>
    <row r="170" spans="1:16" s="271" customFormat="1" ht="27.6" customHeight="1">
      <c r="A170" s="283">
        <f t="shared" si="3"/>
        <v>35</v>
      </c>
      <c r="B170" s="286" t="s">
        <v>5</v>
      </c>
      <c r="C170" s="182" t="s">
        <v>401</v>
      </c>
      <c r="D170" s="283" t="s">
        <v>239</v>
      </c>
      <c r="E170" s="284">
        <v>45744</v>
      </c>
      <c r="F170" s="285">
        <v>28</v>
      </c>
      <c r="G170" s="714" t="s">
        <v>402</v>
      </c>
      <c r="H170" s="714"/>
      <c r="I170" s="714"/>
      <c r="J170" s="714"/>
      <c r="K170" s="284">
        <v>45748</v>
      </c>
      <c r="L170" s="283" t="s">
        <v>500</v>
      </c>
      <c r="M170" s="283"/>
      <c r="N170" s="719"/>
      <c r="O170" s="719"/>
      <c r="P170" s="719"/>
    </row>
    <row r="171" spans="1:16" s="271" customFormat="1" ht="27.6" customHeight="1">
      <c r="A171" s="283">
        <f t="shared" si="3"/>
        <v>36</v>
      </c>
      <c r="B171" s="286" t="s">
        <v>50</v>
      </c>
      <c r="C171" s="182" t="s">
        <v>444</v>
      </c>
      <c r="D171" s="283" t="s">
        <v>239</v>
      </c>
      <c r="E171" s="284">
        <v>45749</v>
      </c>
      <c r="F171" s="285">
        <v>29</v>
      </c>
      <c r="G171" s="714" t="s">
        <v>402</v>
      </c>
      <c r="H171" s="714"/>
      <c r="I171" s="714"/>
      <c r="J171" s="714"/>
      <c r="K171" s="284">
        <v>45752</v>
      </c>
      <c r="L171" s="283" t="s">
        <v>500</v>
      </c>
      <c r="M171" s="283"/>
      <c r="N171" s="719"/>
      <c r="O171" s="719"/>
      <c r="P171" s="719"/>
    </row>
    <row r="172" spans="1:16" s="271" customFormat="1" ht="27.6" customHeight="1">
      <c r="A172" s="283">
        <f t="shared" si="3"/>
        <v>37</v>
      </c>
      <c r="B172" s="286" t="s">
        <v>591</v>
      </c>
      <c r="C172" s="182" t="s">
        <v>590</v>
      </c>
      <c r="D172" s="283" t="s">
        <v>239</v>
      </c>
      <c r="E172" s="284">
        <v>45752</v>
      </c>
      <c r="F172" s="285">
        <v>47</v>
      </c>
      <c r="G172" s="714" t="s">
        <v>402</v>
      </c>
      <c r="H172" s="714"/>
      <c r="I172" s="714"/>
      <c r="J172" s="714"/>
      <c r="K172" s="284">
        <v>45757</v>
      </c>
      <c r="L172" s="283" t="s">
        <v>500</v>
      </c>
      <c r="M172" s="283"/>
      <c r="N172" s="719"/>
      <c r="O172" s="719"/>
      <c r="P172" s="719"/>
    </row>
    <row r="173" spans="1:16" s="271" customFormat="1" ht="27.6" customHeight="1">
      <c r="A173" s="283">
        <f t="shared" si="3"/>
        <v>38</v>
      </c>
      <c r="B173" s="286" t="s">
        <v>121</v>
      </c>
      <c r="C173" s="182" t="s">
        <v>595</v>
      </c>
      <c r="D173" s="283" t="s">
        <v>239</v>
      </c>
      <c r="E173" s="284">
        <v>45758</v>
      </c>
      <c r="F173" s="285">
        <v>54</v>
      </c>
      <c r="G173" s="714" t="s">
        <v>402</v>
      </c>
      <c r="H173" s="714"/>
      <c r="I173" s="714"/>
      <c r="J173" s="714"/>
      <c r="K173" s="284">
        <v>45768</v>
      </c>
      <c r="L173" s="283" t="s">
        <v>490</v>
      </c>
      <c r="M173" s="283"/>
      <c r="N173" s="719"/>
      <c r="O173" s="719"/>
      <c r="P173" s="719"/>
    </row>
    <row r="174" spans="1:16" s="271" customFormat="1" ht="27.6" customHeight="1">
      <c r="A174" s="283">
        <f t="shared" si="3"/>
        <v>39</v>
      </c>
      <c r="B174" s="286" t="s">
        <v>180</v>
      </c>
      <c r="C174" s="182" t="s">
        <v>444</v>
      </c>
      <c r="D174" s="283" t="s">
        <v>239</v>
      </c>
      <c r="E174" s="284">
        <v>45759</v>
      </c>
      <c r="F174" s="285">
        <v>29</v>
      </c>
      <c r="G174" s="714" t="s">
        <v>402</v>
      </c>
      <c r="H174" s="714"/>
      <c r="I174" s="714"/>
      <c r="J174" s="714"/>
      <c r="K174" s="284">
        <v>45765</v>
      </c>
      <c r="L174" s="283" t="s">
        <v>500</v>
      </c>
      <c r="M174" s="283"/>
      <c r="N174" s="719"/>
      <c r="O174" s="719"/>
      <c r="P174" s="719"/>
    </row>
    <row r="175" spans="1:16" s="271" customFormat="1" ht="27.6" customHeight="1">
      <c r="A175" s="283">
        <f t="shared" si="3"/>
        <v>40</v>
      </c>
      <c r="B175" s="286" t="s">
        <v>593</v>
      </c>
      <c r="C175" s="182" t="s">
        <v>594</v>
      </c>
      <c r="D175" s="283" t="s">
        <v>239</v>
      </c>
      <c r="E175" s="284">
        <v>45765</v>
      </c>
      <c r="F175" s="285">
        <v>45</v>
      </c>
      <c r="G175" s="714" t="s">
        <v>402</v>
      </c>
      <c r="H175" s="714"/>
      <c r="I175" s="714"/>
      <c r="J175" s="714"/>
      <c r="K175" s="284">
        <v>45773</v>
      </c>
      <c r="L175" s="283" t="s">
        <v>655</v>
      </c>
      <c r="M175" s="283"/>
      <c r="N175" s="720" t="s">
        <v>109</v>
      </c>
      <c r="O175" s="720"/>
      <c r="P175" s="720"/>
    </row>
    <row r="176" spans="1:16" s="271" customFormat="1" ht="27.6" customHeight="1">
      <c r="A176" s="283">
        <f t="shared" si="3"/>
        <v>41</v>
      </c>
      <c r="B176" s="286" t="s">
        <v>489</v>
      </c>
      <c r="C176" s="182" t="s">
        <v>476</v>
      </c>
      <c r="D176" s="283" t="s">
        <v>239</v>
      </c>
      <c r="E176" s="284">
        <v>45769</v>
      </c>
      <c r="F176" s="285">
        <v>45</v>
      </c>
      <c r="G176" s="714" t="s">
        <v>402</v>
      </c>
      <c r="H176" s="714"/>
      <c r="I176" s="714"/>
      <c r="J176" s="714"/>
      <c r="K176" s="284">
        <v>45776</v>
      </c>
      <c r="L176" s="283" t="s">
        <v>656</v>
      </c>
      <c r="M176" s="283"/>
      <c r="N176" s="761"/>
      <c r="O176" s="761"/>
      <c r="P176" s="761"/>
    </row>
    <row r="177" spans="1:16" s="271" customFormat="1" ht="27.6" customHeight="1">
      <c r="A177" s="283">
        <f t="shared" si="3"/>
        <v>42</v>
      </c>
      <c r="B177" s="286" t="s">
        <v>167</v>
      </c>
      <c r="C177" s="182" t="s">
        <v>453</v>
      </c>
      <c r="D177" s="283" t="s">
        <v>239</v>
      </c>
      <c r="E177" s="284">
        <v>45774</v>
      </c>
      <c r="F177" s="285">
        <v>34.630000000000003</v>
      </c>
      <c r="G177" s="714" t="s">
        <v>402</v>
      </c>
      <c r="H177" s="714"/>
      <c r="I177" s="714"/>
      <c r="J177" s="714"/>
      <c r="K177" s="284">
        <v>45780</v>
      </c>
      <c r="L177" s="283" t="s">
        <v>655</v>
      </c>
      <c r="M177" s="283"/>
      <c r="N177" s="761"/>
      <c r="O177" s="761"/>
      <c r="P177" s="761"/>
    </row>
    <row r="178" spans="1:16" s="271" customFormat="1" ht="27.6" customHeight="1">
      <c r="A178" s="283">
        <f t="shared" si="3"/>
        <v>43</v>
      </c>
      <c r="B178" s="286" t="s">
        <v>20</v>
      </c>
      <c r="C178" s="182" t="s">
        <v>444</v>
      </c>
      <c r="D178" s="283" t="s">
        <v>239</v>
      </c>
      <c r="E178" s="284">
        <v>45776</v>
      </c>
      <c r="F178" s="285">
        <v>29</v>
      </c>
      <c r="G178" s="714" t="s">
        <v>402</v>
      </c>
      <c r="H178" s="714"/>
      <c r="I178" s="714"/>
      <c r="J178" s="714"/>
      <c r="K178" s="284">
        <v>45784</v>
      </c>
      <c r="L178" s="283" t="s">
        <v>656</v>
      </c>
      <c r="M178" s="283"/>
      <c r="N178" s="761"/>
      <c r="O178" s="761"/>
      <c r="P178" s="761"/>
    </row>
    <row r="179" spans="1:16" s="271" customFormat="1" ht="27.6" customHeight="1">
      <c r="A179" s="283">
        <f t="shared" si="3"/>
        <v>44</v>
      </c>
      <c r="B179" s="286" t="s">
        <v>37</v>
      </c>
      <c r="C179" s="182" t="s">
        <v>401</v>
      </c>
      <c r="D179" s="283" t="s">
        <v>239</v>
      </c>
      <c r="E179" s="284">
        <v>45782</v>
      </c>
      <c r="F179" s="285">
        <v>28</v>
      </c>
      <c r="G179" s="714" t="s">
        <v>402</v>
      </c>
      <c r="H179" s="714"/>
      <c r="I179" s="714"/>
      <c r="J179" s="714"/>
      <c r="K179" s="284">
        <v>45787</v>
      </c>
      <c r="L179" s="283" t="s">
        <v>655</v>
      </c>
      <c r="M179" s="283"/>
      <c r="N179" s="723" t="s">
        <v>109</v>
      </c>
      <c r="O179" s="723"/>
      <c r="P179" s="723"/>
    </row>
    <row r="180" spans="1:16" s="271" customFormat="1" ht="27.6" customHeight="1">
      <c r="A180" s="283">
        <f t="shared" si="3"/>
        <v>45</v>
      </c>
      <c r="B180" s="286" t="s">
        <v>512</v>
      </c>
      <c r="C180" s="182" t="s">
        <v>476</v>
      </c>
      <c r="D180" s="283" t="s">
        <v>239</v>
      </c>
      <c r="E180" s="284">
        <v>45785</v>
      </c>
      <c r="F180" s="285">
        <v>45</v>
      </c>
      <c r="G180" s="714" t="s">
        <v>402</v>
      </c>
      <c r="H180" s="714"/>
      <c r="I180" s="714"/>
      <c r="J180" s="714"/>
      <c r="K180" s="284">
        <v>45794</v>
      </c>
      <c r="L180" s="283" t="s">
        <v>655</v>
      </c>
      <c r="M180" s="283"/>
      <c r="N180" s="723"/>
      <c r="O180" s="723"/>
      <c r="P180" s="723"/>
    </row>
    <row r="181" spans="1:16" s="271" customFormat="1" ht="27.6" customHeight="1">
      <c r="A181" s="283">
        <f t="shared" si="3"/>
        <v>46</v>
      </c>
      <c r="B181" s="286" t="s">
        <v>157</v>
      </c>
      <c r="C181" s="182" t="s">
        <v>452</v>
      </c>
      <c r="D181" s="283" t="s">
        <v>239</v>
      </c>
      <c r="E181" s="284">
        <v>45788</v>
      </c>
      <c r="F181" s="285">
        <v>33</v>
      </c>
      <c r="G181" s="714" t="s">
        <v>402</v>
      </c>
      <c r="H181" s="714"/>
      <c r="I181" s="714"/>
      <c r="J181" s="714"/>
      <c r="K181" s="284">
        <v>45796</v>
      </c>
      <c r="L181" s="283" t="s">
        <v>656</v>
      </c>
      <c r="M181" s="283"/>
      <c r="N181" s="723"/>
      <c r="O181" s="723"/>
      <c r="P181" s="723"/>
    </row>
    <row r="182" spans="1:16" s="271" customFormat="1" ht="27.6" customHeight="1">
      <c r="A182" s="283">
        <f t="shared" si="3"/>
        <v>47</v>
      </c>
      <c r="B182" s="286" t="s">
        <v>127</v>
      </c>
      <c r="C182" s="182" t="s">
        <v>448</v>
      </c>
      <c r="D182" s="283" t="s">
        <v>239</v>
      </c>
      <c r="E182" s="284">
        <v>45788</v>
      </c>
      <c r="F182" s="285">
        <v>27</v>
      </c>
      <c r="G182" s="714" t="s">
        <v>402</v>
      </c>
      <c r="H182" s="714"/>
      <c r="I182" s="714"/>
      <c r="J182" s="714"/>
      <c r="K182" s="284">
        <v>45803</v>
      </c>
      <c r="L182" s="283" t="s">
        <v>655</v>
      </c>
      <c r="M182" s="283"/>
      <c r="N182" s="723"/>
      <c r="O182" s="723"/>
      <c r="P182" s="723"/>
    </row>
    <row r="183" spans="1:16" s="271" customFormat="1" ht="27.6" customHeight="1">
      <c r="A183" s="283">
        <f t="shared" si="3"/>
        <v>48</v>
      </c>
      <c r="B183" s="286" t="s">
        <v>129</v>
      </c>
      <c r="C183" s="182" t="s">
        <v>444</v>
      </c>
      <c r="D183" s="283" t="s">
        <v>239</v>
      </c>
      <c r="E183" s="284">
        <v>45799</v>
      </c>
      <c r="F183" s="285">
        <v>29</v>
      </c>
      <c r="G183" s="714" t="s">
        <v>402</v>
      </c>
      <c r="H183" s="714"/>
      <c r="I183" s="714"/>
      <c r="J183" s="714"/>
      <c r="K183" s="284">
        <v>45805</v>
      </c>
      <c r="L183" s="283" t="s">
        <v>656</v>
      </c>
      <c r="M183" s="283"/>
      <c r="N183" s="723"/>
      <c r="O183" s="723"/>
      <c r="P183" s="723"/>
    </row>
    <row r="184" spans="1:16" s="271" customFormat="1" ht="27.6" customHeight="1">
      <c r="A184" s="283">
        <f t="shared" si="3"/>
        <v>49</v>
      </c>
      <c r="B184" s="286" t="s">
        <v>132</v>
      </c>
      <c r="C184" s="182" t="s">
        <v>448</v>
      </c>
      <c r="D184" s="283" t="s">
        <v>239</v>
      </c>
      <c r="E184" s="284">
        <v>45807</v>
      </c>
      <c r="F184" s="285">
        <v>27</v>
      </c>
      <c r="G184" s="714" t="s">
        <v>402</v>
      </c>
      <c r="H184" s="714"/>
      <c r="I184" s="714"/>
      <c r="J184" s="714"/>
      <c r="K184" s="284">
        <v>45812</v>
      </c>
      <c r="L184" s="283" t="s">
        <v>655</v>
      </c>
      <c r="M184" s="283"/>
      <c r="N184" s="722"/>
      <c r="O184" s="722"/>
      <c r="P184" s="722"/>
    </row>
    <row r="185" spans="1:16" s="271" customFormat="1" ht="27.6" customHeight="1">
      <c r="A185" s="283">
        <f t="shared" si="3"/>
        <v>50</v>
      </c>
      <c r="B185" s="286" t="s">
        <v>144</v>
      </c>
      <c r="C185" s="182" t="s">
        <v>448</v>
      </c>
      <c r="D185" s="283" t="s">
        <v>239</v>
      </c>
      <c r="E185" s="284">
        <v>45806</v>
      </c>
      <c r="F185" s="285">
        <v>27</v>
      </c>
      <c r="G185" s="714" t="s">
        <v>402</v>
      </c>
      <c r="H185" s="714"/>
      <c r="I185" s="714"/>
      <c r="J185" s="714"/>
      <c r="K185" s="284">
        <v>45810</v>
      </c>
      <c r="L185" s="283" t="s">
        <v>656</v>
      </c>
      <c r="M185" s="283"/>
      <c r="N185" s="722"/>
      <c r="O185" s="722"/>
      <c r="P185" s="722"/>
    </row>
    <row r="186" spans="1:16" s="271" customFormat="1" ht="27.6" customHeight="1">
      <c r="A186" s="283">
        <f t="shared" si="3"/>
        <v>51</v>
      </c>
      <c r="B186" s="286" t="s">
        <v>123</v>
      </c>
      <c r="C186" s="182" t="s">
        <v>448</v>
      </c>
      <c r="D186" s="283" t="s">
        <v>239</v>
      </c>
      <c r="E186" s="284">
        <v>45811</v>
      </c>
      <c r="F186" s="285">
        <v>27</v>
      </c>
      <c r="G186" s="714" t="s">
        <v>402</v>
      </c>
      <c r="H186" s="714"/>
      <c r="I186" s="714"/>
      <c r="J186" s="714"/>
      <c r="K186" s="284">
        <v>45816</v>
      </c>
      <c r="L186" s="283" t="s">
        <v>655</v>
      </c>
      <c r="M186" s="283"/>
      <c r="N186" s="722"/>
      <c r="O186" s="722"/>
      <c r="P186" s="722"/>
    </row>
    <row r="187" spans="1:16" s="271" customFormat="1" ht="27.6" customHeight="1">
      <c r="A187" s="283">
        <f t="shared" si="3"/>
        <v>52</v>
      </c>
      <c r="B187" s="286" t="s">
        <v>124</v>
      </c>
      <c r="C187" s="182" t="s">
        <v>448</v>
      </c>
      <c r="D187" s="283" t="s">
        <v>239</v>
      </c>
      <c r="E187" s="284">
        <v>45817</v>
      </c>
      <c r="F187" s="285">
        <v>27</v>
      </c>
      <c r="G187" s="714" t="s">
        <v>402</v>
      </c>
      <c r="H187" s="714"/>
      <c r="I187" s="714"/>
      <c r="J187" s="714"/>
      <c r="K187" s="284">
        <v>45820</v>
      </c>
      <c r="L187" s="283" t="s">
        <v>655</v>
      </c>
      <c r="M187" s="283"/>
      <c r="N187" s="722"/>
      <c r="O187" s="722"/>
      <c r="P187" s="722"/>
    </row>
    <row r="188" spans="1:16" s="271" customFormat="1" ht="27.6" customHeight="1">
      <c r="A188" s="283">
        <f t="shared" si="3"/>
        <v>53</v>
      </c>
      <c r="B188" s="286" t="s">
        <v>125</v>
      </c>
      <c r="C188" s="182" t="s">
        <v>448</v>
      </c>
      <c r="D188" s="283" t="s">
        <v>239</v>
      </c>
      <c r="E188" s="284">
        <v>45820</v>
      </c>
      <c r="F188" s="285">
        <v>27</v>
      </c>
      <c r="G188" s="714" t="s">
        <v>402</v>
      </c>
      <c r="H188" s="714"/>
      <c r="I188" s="714"/>
      <c r="J188" s="714"/>
      <c r="K188" s="284">
        <v>45825</v>
      </c>
      <c r="L188" s="283" t="s">
        <v>656</v>
      </c>
      <c r="M188" s="283"/>
      <c r="N188" s="722"/>
      <c r="O188" s="722"/>
      <c r="P188" s="722"/>
    </row>
    <row r="189" spans="1:16" s="271" customFormat="1" ht="27.6" customHeight="1">
      <c r="A189" s="283">
        <f t="shared" si="3"/>
        <v>54</v>
      </c>
      <c r="B189" s="468" t="s">
        <v>122</v>
      </c>
      <c r="C189" s="182" t="s">
        <v>668</v>
      </c>
      <c r="D189" s="283" t="s">
        <v>239</v>
      </c>
      <c r="E189" s="284">
        <v>45822</v>
      </c>
      <c r="F189" s="285">
        <v>56</v>
      </c>
      <c r="G189" s="714" t="s">
        <v>402</v>
      </c>
      <c r="H189" s="714"/>
      <c r="I189" s="714"/>
      <c r="J189" s="714"/>
      <c r="K189" s="184">
        <v>45832</v>
      </c>
      <c r="L189" s="283" t="s">
        <v>655</v>
      </c>
      <c r="M189" s="283"/>
      <c r="N189" s="722"/>
      <c r="O189" s="722"/>
      <c r="P189" s="722"/>
    </row>
    <row r="190" spans="1:16" s="271" customFormat="1" ht="27.6" customHeight="1">
      <c r="A190" s="283">
        <f t="shared" si="3"/>
        <v>55</v>
      </c>
      <c r="B190" s="468" t="s">
        <v>630</v>
      </c>
      <c r="C190" s="182" t="s">
        <v>631</v>
      </c>
      <c r="D190" s="283" t="s">
        <v>239</v>
      </c>
      <c r="E190" s="284">
        <v>45827</v>
      </c>
      <c r="F190" s="285">
        <v>47</v>
      </c>
      <c r="G190" s="714" t="s">
        <v>402</v>
      </c>
      <c r="H190" s="714"/>
      <c r="I190" s="714"/>
      <c r="J190" s="714"/>
      <c r="K190" s="184">
        <v>45839</v>
      </c>
      <c r="L190" s="283" t="s">
        <v>656</v>
      </c>
      <c r="M190" s="283"/>
      <c r="N190" s="722"/>
      <c r="O190" s="722"/>
      <c r="P190" s="722"/>
    </row>
    <row r="191" spans="1:16" s="271" customFormat="1" ht="27.6" customHeight="1">
      <c r="A191" s="283">
        <f t="shared" si="3"/>
        <v>56</v>
      </c>
      <c r="B191" s="468" t="s">
        <v>615</v>
      </c>
      <c r="C191" s="182" t="s">
        <v>401</v>
      </c>
      <c r="D191" s="283" t="s">
        <v>239</v>
      </c>
      <c r="E191" s="284">
        <v>45841</v>
      </c>
      <c r="F191" s="285">
        <v>28</v>
      </c>
      <c r="G191" s="714" t="s">
        <v>402</v>
      </c>
      <c r="H191" s="714"/>
      <c r="I191" s="714"/>
      <c r="J191" s="714"/>
      <c r="K191" s="184">
        <v>45850</v>
      </c>
      <c r="L191" s="479" t="s">
        <v>692</v>
      </c>
      <c r="M191" s="283"/>
      <c r="N191" s="722"/>
      <c r="O191" s="722"/>
      <c r="P191" s="722"/>
    </row>
    <row r="192" spans="1:16" s="271" customFormat="1" ht="27.6" customHeight="1">
      <c r="A192" s="283">
        <f t="shared" si="3"/>
        <v>57</v>
      </c>
      <c r="B192" s="468" t="s">
        <v>596</v>
      </c>
      <c r="C192" s="182" t="s">
        <v>595</v>
      </c>
      <c r="D192" s="283" t="s">
        <v>239</v>
      </c>
      <c r="E192" s="284">
        <v>45841</v>
      </c>
      <c r="F192" s="285">
        <v>54</v>
      </c>
      <c r="G192" s="714" t="s">
        <v>402</v>
      </c>
      <c r="H192" s="714"/>
      <c r="I192" s="714"/>
      <c r="J192" s="714"/>
      <c r="K192" s="184">
        <v>45859</v>
      </c>
      <c r="L192" s="283" t="s">
        <v>655</v>
      </c>
      <c r="M192" s="283"/>
      <c r="N192" s="722"/>
      <c r="O192" s="722"/>
      <c r="P192" s="722"/>
    </row>
    <row r="193" spans="1:16" s="271" customFormat="1" ht="27.6" customHeight="1">
      <c r="A193" s="283">
        <f t="shared" si="3"/>
        <v>58</v>
      </c>
      <c r="B193" s="468" t="s">
        <v>518</v>
      </c>
      <c r="C193" s="182" t="s">
        <v>590</v>
      </c>
      <c r="D193" s="283" t="s">
        <v>239</v>
      </c>
      <c r="E193" s="284">
        <v>45841</v>
      </c>
      <c r="F193" s="285">
        <v>47</v>
      </c>
      <c r="G193" s="714" t="s">
        <v>402</v>
      </c>
      <c r="H193" s="714"/>
      <c r="I193" s="714"/>
      <c r="J193" s="714"/>
      <c r="K193" s="184">
        <v>45852</v>
      </c>
      <c r="L193" s="283" t="s">
        <v>693</v>
      </c>
      <c r="M193" s="283"/>
      <c r="N193" s="722"/>
      <c r="O193" s="722"/>
      <c r="P193" s="722"/>
    </row>
    <row r="194" spans="1:16" s="271" customFormat="1" ht="27.6" customHeight="1">
      <c r="A194" s="283">
        <f t="shared" si="3"/>
        <v>59</v>
      </c>
      <c r="B194" s="468" t="s">
        <v>21</v>
      </c>
      <c r="C194" s="182" t="s">
        <v>401</v>
      </c>
      <c r="D194" s="283" t="s">
        <v>239</v>
      </c>
      <c r="E194" s="284">
        <v>45852</v>
      </c>
      <c r="F194" s="285">
        <v>28</v>
      </c>
      <c r="G194" s="714" t="s">
        <v>402</v>
      </c>
      <c r="H194" s="714"/>
      <c r="I194" s="714"/>
      <c r="J194" s="714"/>
      <c r="K194" s="184">
        <v>45858</v>
      </c>
      <c r="L194" s="479" t="s">
        <v>692</v>
      </c>
      <c r="M194" s="283"/>
      <c r="N194" s="722"/>
      <c r="O194" s="722"/>
      <c r="P194" s="722"/>
    </row>
    <row r="195" spans="1:16" s="271" customFormat="1" ht="27.6" customHeight="1">
      <c r="A195" s="283">
        <f t="shared" si="3"/>
        <v>60</v>
      </c>
      <c r="B195" s="468" t="s">
        <v>142</v>
      </c>
      <c r="C195" s="182" t="s">
        <v>453</v>
      </c>
      <c r="D195" s="283" t="s">
        <v>239</v>
      </c>
      <c r="E195" s="284">
        <v>45853</v>
      </c>
      <c r="F195" s="285">
        <v>34.6</v>
      </c>
      <c r="G195" s="714" t="s">
        <v>402</v>
      </c>
      <c r="H195" s="714"/>
      <c r="I195" s="714"/>
      <c r="J195" s="714"/>
      <c r="K195" s="184">
        <v>45861</v>
      </c>
      <c r="L195" s="479" t="s">
        <v>693</v>
      </c>
      <c r="M195" s="283"/>
      <c r="N195" s="722"/>
      <c r="O195" s="722"/>
      <c r="P195" s="722"/>
    </row>
    <row r="196" spans="1:16" s="271" customFormat="1" ht="27.6" customHeight="1">
      <c r="A196" s="283">
        <f t="shared" si="3"/>
        <v>61</v>
      </c>
      <c r="B196" s="468" t="s">
        <v>138</v>
      </c>
      <c r="C196" s="182" t="s">
        <v>453</v>
      </c>
      <c r="D196" s="283" t="s">
        <v>239</v>
      </c>
      <c r="E196" s="284">
        <v>45859</v>
      </c>
      <c r="F196" s="285">
        <v>34.6</v>
      </c>
      <c r="G196" s="714" t="s">
        <v>402</v>
      </c>
      <c r="H196" s="714"/>
      <c r="I196" s="714"/>
      <c r="J196" s="714"/>
      <c r="K196" s="184">
        <v>45869</v>
      </c>
      <c r="L196" s="479" t="s">
        <v>693</v>
      </c>
      <c r="M196" s="283"/>
      <c r="N196" s="722"/>
      <c r="O196" s="722"/>
      <c r="P196" s="722"/>
    </row>
    <row r="197" spans="1:16" s="271" customFormat="1" ht="27.6" customHeight="1">
      <c r="A197" s="283">
        <f t="shared" si="3"/>
        <v>62</v>
      </c>
      <c r="B197" s="468" t="s">
        <v>134</v>
      </c>
      <c r="C197" s="182" t="s">
        <v>401</v>
      </c>
      <c r="D197" s="283" t="s">
        <v>239</v>
      </c>
      <c r="E197" s="284">
        <v>45860</v>
      </c>
      <c r="F197" s="285">
        <v>28</v>
      </c>
      <c r="G197" s="714" t="s">
        <v>402</v>
      </c>
      <c r="H197" s="714"/>
      <c r="I197" s="714"/>
      <c r="J197" s="714"/>
      <c r="K197" s="184">
        <v>45868</v>
      </c>
      <c r="L197" s="479" t="s">
        <v>692</v>
      </c>
      <c r="M197" s="283"/>
      <c r="N197" s="722"/>
      <c r="O197" s="722"/>
      <c r="P197" s="722"/>
    </row>
    <row r="198" spans="1:16" s="271" customFormat="1" ht="27.6" customHeight="1">
      <c r="A198" s="283">
        <f t="shared" si="3"/>
        <v>63</v>
      </c>
      <c r="B198" s="468" t="s">
        <v>130</v>
      </c>
      <c r="C198" s="182" t="s">
        <v>444</v>
      </c>
      <c r="D198" s="283" t="s">
        <v>239</v>
      </c>
      <c r="E198" s="284">
        <v>45859</v>
      </c>
      <c r="F198" s="285">
        <v>29</v>
      </c>
      <c r="G198" s="714" t="s">
        <v>402</v>
      </c>
      <c r="H198" s="714"/>
      <c r="I198" s="714"/>
      <c r="J198" s="714"/>
      <c r="K198" s="184">
        <v>45876</v>
      </c>
      <c r="L198" s="283" t="s">
        <v>691</v>
      </c>
      <c r="M198" s="283"/>
      <c r="N198" s="722"/>
      <c r="O198" s="722"/>
      <c r="P198" s="722"/>
    </row>
    <row r="199" spans="1:16" s="271" customFormat="1" ht="27.6" customHeight="1">
      <c r="A199" s="283">
        <f t="shared" si="3"/>
        <v>64</v>
      </c>
      <c r="B199" s="468" t="s">
        <v>149</v>
      </c>
      <c r="C199" s="182" t="s">
        <v>444</v>
      </c>
      <c r="D199" s="283" t="s">
        <v>239</v>
      </c>
      <c r="E199" s="284">
        <v>45862</v>
      </c>
      <c r="F199" s="285">
        <v>29</v>
      </c>
      <c r="G199" s="714" t="s">
        <v>402</v>
      </c>
      <c r="H199" s="714"/>
      <c r="I199" s="714"/>
      <c r="J199" s="714"/>
      <c r="K199" s="184">
        <v>45875</v>
      </c>
      <c r="L199" s="283" t="s">
        <v>694</v>
      </c>
      <c r="M199" s="283"/>
      <c r="N199" s="724"/>
      <c r="O199" s="724"/>
      <c r="P199" s="724"/>
    </row>
    <row r="200" spans="1:16" s="271" customFormat="1" ht="27.6" customHeight="1">
      <c r="A200" s="283">
        <f t="shared" si="3"/>
        <v>65</v>
      </c>
      <c r="B200" s="468" t="s">
        <v>131</v>
      </c>
      <c r="C200" s="182" t="s">
        <v>444</v>
      </c>
      <c r="D200" s="283" t="s">
        <v>239</v>
      </c>
      <c r="E200" s="284">
        <v>45837</v>
      </c>
      <c r="F200" s="285">
        <v>29</v>
      </c>
      <c r="G200" s="714" t="s">
        <v>402</v>
      </c>
      <c r="H200" s="714"/>
      <c r="I200" s="714"/>
      <c r="J200" s="714"/>
      <c r="K200" s="184">
        <v>45876</v>
      </c>
      <c r="L200" s="479" t="s">
        <v>692</v>
      </c>
      <c r="M200" s="283"/>
      <c r="N200" s="724"/>
      <c r="O200" s="724"/>
      <c r="P200" s="724"/>
    </row>
    <row r="201" spans="1:16" s="429" customFormat="1" ht="27.6" customHeight="1">
      <c r="A201" s="478">
        <f>A200+1</f>
        <v>66</v>
      </c>
      <c r="B201" s="468" t="s">
        <v>19</v>
      </c>
      <c r="C201" s="436" t="s">
        <v>589</v>
      </c>
      <c r="D201" s="478" t="s">
        <v>239</v>
      </c>
      <c r="E201" s="284">
        <v>45875</v>
      </c>
      <c r="F201" s="285">
        <v>54</v>
      </c>
      <c r="G201" s="714" t="s">
        <v>402</v>
      </c>
      <c r="H201" s="714"/>
      <c r="I201" s="714"/>
      <c r="J201" s="714"/>
      <c r="K201" s="184">
        <v>45888</v>
      </c>
      <c r="L201" s="479" t="s">
        <v>693</v>
      </c>
      <c r="M201" s="478"/>
      <c r="N201" s="722"/>
      <c r="O201" s="722"/>
      <c r="P201" s="722"/>
    </row>
    <row r="202" spans="1:16" s="429" customFormat="1" ht="27.6" customHeight="1">
      <c r="A202" s="478">
        <f t="shared" ref="A202:A234" si="4">A201+1</f>
        <v>67</v>
      </c>
      <c r="B202" s="468" t="s">
        <v>139</v>
      </c>
      <c r="C202" s="182" t="s">
        <v>453</v>
      </c>
      <c r="D202" s="478" t="s">
        <v>239</v>
      </c>
      <c r="E202" s="284">
        <v>45876</v>
      </c>
      <c r="F202" s="285">
        <v>34.630000000000003</v>
      </c>
      <c r="G202" s="714" t="s">
        <v>402</v>
      </c>
      <c r="H202" s="714"/>
      <c r="I202" s="714"/>
      <c r="J202" s="714"/>
      <c r="K202" s="184">
        <v>45886</v>
      </c>
      <c r="L202" s="479" t="s">
        <v>692</v>
      </c>
      <c r="M202" s="478"/>
      <c r="N202" s="722"/>
      <c r="O202" s="722"/>
      <c r="P202" s="722"/>
    </row>
    <row r="203" spans="1:16" s="429" customFormat="1" ht="27.6" customHeight="1">
      <c r="A203" s="478">
        <f t="shared" si="4"/>
        <v>68</v>
      </c>
      <c r="B203" s="468" t="s">
        <v>605</v>
      </c>
      <c r="C203" s="182" t="s">
        <v>629</v>
      </c>
      <c r="D203" s="478" t="s">
        <v>239</v>
      </c>
      <c r="E203" s="284">
        <v>45876</v>
      </c>
      <c r="F203" s="285">
        <v>51.6</v>
      </c>
      <c r="G203" s="714" t="s">
        <v>402</v>
      </c>
      <c r="H203" s="714"/>
      <c r="I203" s="714"/>
      <c r="J203" s="714"/>
      <c r="K203" s="184">
        <v>45885</v>
      </c>
      <c r="L203" s="478" t="s">
        <v>690</v>
      </c>
      <c r="M203" s="478"/>
      <c r="N203" s="722"/>
      <c r="O203" s="722"/>
      <c r="P203" s="722"/>
    </row>
    <row r="204" spans="1:16" s="271" customFormat="1" ht="27.6" customHeight="1">
      <c r="A204" s="479">
        <f t="shared" si="4"/>
        <v>69</v>
      </c>
      <c r="B204" s="468" t="s">
        <v>165</v>
      </c>
      <c r="C204" s="182" t="s">
        <v>401</v>
      </c>
      <c r="D204" s="479" t="s">
        <v>239</v>
      </c>
      <c r="E204" s="284">
        <v>45878</v>
      </c>
      <c r="F204" s="285">
        <v>28</v>
      </c>
      <c r="G204" s="714" t="s">
        <v>402</v>
      </c>
      <c r="H204" s="714"/>
      <c r="I204" s="714"/>
      <c r="J204" s="714"/>
      <c r="K204" s="184">
        <v>45891</v>
      </c>
      <c r="L204" s="479" t="s">
        <v>691</v>
      </c>
      <c r="M204" s="479"/>
      <c r="N204" s="722"/>
      <c r="O204" s="722"/>
      <c r="P204" s="722"/>
    </row>
    <row r="205" spans="1:16" s="271" customFormat="1" ht="27.6" customHeight="1">
      <c r="A205" s="488">
        <f t="shared" si="4"/>
        <v>70</v>
      </c>
      <c r="B205" s="468" t="s">
        <v>8</v>
      </c>
      <c r="C205" s="182" t="s">
        <v>452</v>
      </c>
      <c r="D205" s="488" t="s">
        <v>239</v>
      </c>
      <c r="E205" s="284">
        <v>45885</v>
      </c>
      <c r="F205" s="285">
        <v>33</v>
      </c>
      <c r="G205" s="714" t="s">
        <v>402</v>
      </c>
      <c r="H205" s="714"/>
      <c r="I205" s="714"/>
      <c r="J205" s="714"/>
      <c r="K205" s="184">
        <v>45901</v>
      </c>
      <c r="L205" s="488" t="s">
        <v>690</v>
      </c>
      <c r="M205" s="488"/>
      <c r="N205" s="483"/>
      <c r="O205" s="483"/>
      <c r="P205" s="483"/>
    </row>
    <row r="206" spans="1:16" s="271" customFormat="1" ht="27.6" customHeight="1">
      <c r="A206" s="482">
        <f t="shared" si="4"/>
        <v>71</v>
      </c>
      <c r="B206" s="468" t="s">
        <v>150</v>
      </c>
      <c r="C206" s="182" t="s">
        <v>401</v>
      </c>
      <c r="D206" s="482" t="s">
        <v>239</v>
      </c>
      <c r="E206" s="284">
        <v>45887</v>
      </c>
      <c r="F206" s="285">
        <v>28</v>
      </c>
      <c r="G206" s="714" t="s">
        <v>402</v>
      </c>
      <c r="H206" s="714"/>
      <c r="I206" s="714"/>
      <c r="J206" s="714"/>
      <c r="K206" s="184">
        <v>45895</v>
      </c>
      <c r="L206" s="482" t="s">
        <v>692</v>
      </c>
      <c r="M206" s="482"/>
      <c r="N206" s="483"/>
      <c r="O206" s="483"/>
      <c r="P206" s="483"/>
    </row>
    <row r="207" spans="1:16" s="271" customFormat="1" ht="27.6" customHeight="1">
      <c r="A207" s="482">
        <f t="shared" si="4"/>
        <v>72</v>
      </c>
      <c r="B207" s="468" t="s">
        <v>660</v>
      </c>
      <c r="C207" s="182" t="s">
        <v>649</v>
      </c>
      <c r="D207" s="482" t="s">
        <v>239</v>
      </c>
      <c r="E207" s="284">
        <v>45888</v>
      </c>
      <c r="F207" s="285">
        <v>51.6</v>
      </c>
      <c r="G207" s="714" t="s">
        <v>402</v>
      </c>
      <c r="H207" s="714"/>
      <c r="I207" s="714"/>
      <c r="J207" s="714"/>
      <c r="K207" s="184">
        <v>45895</v>
      </c>
      <c r="L207" s="482" t="s">
        <v>690</v>
      </c>
      <c r="M207" s="482"/>
      <c r="N207" s="722"/>
      <c r="O207" s="722"/>
      <c r="P207" s="722"/>
    </row>
    <row r="208" spans="1:16" s="271" customFormat="1" ht="27.6" customHeight="1">
      <c r="A208" s="482">
        <f t="shared" si="4"/>
        <v>73</v>
      </c>
      <c r="B208" s="468" t="s">
        <v>155</v>
      </c>
      <c r="C208" s="182" t="s">
        <v>401</v>
      </c>
      <c r="D208" s="482" t="s">
        <v>239</v>
      </c>
      <c r="E208" s="284">
        <v>45891</v>
      </c>
      <c r="F208" s="285">
        <v>28</v>
      </c>
      <c r="G208" s="714" t="s">
        <v>402</v>
      </c>
      <c r="H208" s="714"/>
      <c r="I208" s="714"/>
      <c r="J208" s="714"/>
      <c r="K208" s="184">
        <v>45895</v>
      </c>
      <c r="L208" s="482" t="s">
        <v>693</v>
      </c>
      <c r="M208" s="482"/>
      <c r="N208" s="722"/>
      <c r="O208" s="722"/>
      <c r="P208" s="722"/>
    </row>
    <row r="209" spans="1:16" s="271" customFormat="1" ht="27.6" customHeight="1">
      <c r="A209" s="539">
        <f t="shared" si="4"/>
        <v>74</v>
      </c>
      <c r="B209" s="468" t="s">
        <v>559</v>
      </c>
      <c r="C209" s="182" t="s">
        <v>401</v>
      </c>
      <c r="D209" s="539" t="s">
        <v>239</v>
      </c>
      <c r="E209" s="284">
        <v>45895</v>
      </c>
      <c r="F209" s="285">
        <v>28</v>
      </c>
      <c r="G209" s="714" t="s">
        <v>402</v>
      </c>
      <c r="H209" s="714"/>
      <c r="I209" s="714"/>
      <c r="J209" s="714"/>
      <c r="K209" s="184">
        <v>45947</v>
      </c>
      <c r="L209" s="539" t="s">
        <v>693</v>
      </c>
      <c r="M209" s="539"/>
      <c r="N209" s="483"/>
      <c r="O209" s="483"/>
      <c r="P209" s="483"/>
    </row>
    <row r="210" spans="1:16" s="271" customFormat="1" ht="27.6" customHeight="1">
      <c r="A210" s="498">
        <f t="shared" si="4"/>
        <v>75</v>
      </c>
      <c r="B210" s="468" t="s">
        <v>119</v>
      </c>
      <c r="C210" s="182" t="s">
        <v>453</v>
      </c>
      <c r="D210" s="498" t="s">
        <v>239</v>
      </c>
      <c r="E210" s="284">
        <v>45900</v>
      </c>
      <c r="F210" s="285">
        <v>35</v>
      </c>
      <c r="G210" s="714" t="s">
        <v>402</v>
      </c>
      <c r="H210" s="714"/>
      <c r="I210" s="714"/>
      <c r="J210" s="714"/>
      <c r="K210" s="184">
        <v>45910</v>
      </c>
      <c r="L210" s="498" t="s">
        <v>692</v>
      </c>
      <c r="M210" s="498"/>
      <c r="N210" s="483"/>
      <c r="O210" s="483"/>
      <c r="P210" s="483"/>
    </row>
    <row r="211" spans="1:16" s="271" customFormat="1" ht="27.6" customHeight="1">
      <c r="A211" s="499">
        <f t="shared" si="4"/>
        <v>76</v>
      </c>
      <c r="B211" s="468" t="s">
        <v>607</v>
      </c>
      <c r="C211" s="182" t="s">
        <v>701</v>
      </c>
      <c r="D211" s="499" t="s">
        <v>239</v>
      </c>
      <c r="E211" s="284">
        <v>45901</v>
      </c>
      <c r="F211" s="285">
        <v>63</v>
      </c>
      <c r="G211" s="714" t="s">
        <v>402</v>
      </c>
      <c r="H211" s="714"/>
      <c r="I211" s="714"/>
      <c r="J211" s="714"/>
      <c r="K211" s="184">
        <v>45912</v>
      </c>
      <c r="L211" s="499" t="s">
        <v>693</v>
      </c>
      <c r="M211" s="499"/>
      <c r="N211" s="483"/>
      <c r="O211" s="483"/>
      <c r="P211" s="483"/>
    </row>
    <row r="212" spans="1:16" s="271" customFormat="1" ht="27.6" customHeight="1">
      <c r="A212" s="496">
        <f t="shared" si="4"/>
        <v>77</v>
      </c>
      <c r="B212" s="468" t="s">
        <v>164</v>
      </c>
      <c r="C212" s="182" t="s">
        <v>401</v>
      </c>
      <c r="D212" s="496" t="s">
        <v>239</v>
      </c>
      <c r="E212" s="284">
        <v>45903</v>
      </c>
      <c r="F212" s="285">
        <v>27.9</v>
      </c>
      <c r="G212" s="714" t="s">
        <v>402</v>
      </c>
      <c r="H212" s="714"/>
      <c r="I212" s="714"/>
      <c r="J212" s="714"/>
      <c r="K212" s="184">
        <v>45907</v>
      </c>
      <c r="L212" s="496" t="s">
        <v>690</v>
      </c>
      <c r="M212" s="496"/>
      <c r="N212" s="483"/>
      <c r="O212" s="483"/>
      <c r="P212" s="483"/>
    </row>
    <row r="213" spans="1:16" s="271" customFormat="1" ht="43.2" customHeight="1">
      <c r="A213" s="513">
        <f t="shared" si="4"/>
        <v>78</v>
      </c>
      <c r="B213" s="468" t="s">
        <v>651</v>
      </c>
      <c r="C213" s="182" t="s">
        <v>476</v>
      </c>
      <c r="D213" s="513" t="s">
        <v>239</v>
      </c>
      <c r="E213" s="284">
        <v>45905</v>
      </c>
      <c r="F213" s="285">
        <v>45</v>
      </c>
      <c r="G213" s="714" t="s">
        <v>402</v>
      </c>
      <c r="H213" s="714"/>
      <c r="I213" s="714"/>
      <c r="J213" s="714"/>
      <c r="K213" s="184">
        <v>45933</v>
      </c>
      <c r="L213" s="513" t="s">
        <v>691</v>
      </c>
      <c r="M213" s="513"/>
      <c r="N213" s="712"/>
      <c r="O213" s="713"/>
      <c r="P213" s="713"/>
    </row>
    <row r="214" spans="1:16" s="429" customFormat="1" ht="34.799999999999997" customHeight="1">
      <c r="A214" s="481">
        <f t="shared" si="4"/>
        <v>79</v>
      </c>
      <c r="B214" s="467" t="s">
        <v>163</v>
      </c>
      <c r="C214" s="486" t="s">
        <v>675</v>
      </c>
      <c r="D214" s="481" t="s">
        <v>239</v>
      </c>
      <c r="E214" s="428">
        <v>45908</v>
      </c>
      <c r="F214" s="427">
        <v>33</v>
      </c>
      <c r="G214" s="762" t="s">
        <v>706</v>
      </c>
      <c r="H214" s="763"/>
      <c r="I214" s="763"/>
      <c r="J214" s="764"/>
      <c r="K214" s="457"/>
      <c r="L214" s="481"/>
      <c r="M214" s="481"/>
      <c r="N214" s="710"/>
      <c r="O214" s="711"/>
      <c r="P214" s="711"/>
    </row>
    <row r="215" spans="1:16" s="271" customFormat="1" ht="27.6" customHeight="1">
      <c r="A215" s="501">
        <f t="shared" si="4"/>
        <v>80</v>
      </c>
      <c r="B215" s="468" t="s">
        <v>40</v>
      </c>
      <c r="C215" s="182" t="s">
        <v>444</v>
      </c>
      <c r="D215" s="501" t="s">
        <v>239</v>
      </c>
      <c r="E215" s="284">
        <v>45909</v>
      </c>
      <c r="F215" s="285">
        <v>29</v>
      </c>
      <c r="G215" s="714" t="s">
        <v>402</v>
      </c>
      <c r="H215" s="714"/>
      <c r="I215" s="714"/>
      <c r="J215" s="714"/>
      <c r="K215" s="184">
        <v>45913</v>
      </c>
      <c r="L215" s="501" t="s">
        <v>690</v>
      </c>
      <c r="M215" s="501"/>
      <c r="N215" s="483"/>
      <c r="O215" s="483"/>
      <c r="P215" s="483"/>
    </row>
    <row r="216" spans="1:16" s="271" customFormat="1" ht="27.6" customHeight="1">
      <c r="A216" s="513">
        <f t="shared" si="4"/>
        <v>81</v>
      </c>
      <c r="B216" s="468" t="s">
        <v>154</v>
      </c>
      <c r="C216" s="182" t="s">
        <v>452</v>
      </c>
      <c r="D216" s="513" t="s">
        <v>239</v>
      </c>
      <c r="E216" s="284">
        <v>45909</v>
      </c>
      <c r="F216" s="285">
        <v>33.299999999999997</v>
      </c>
      <c r="G216" s="714" t="s">
        <v>402</v>
      </c>
      <c r="H216" s="714"/>
      <c r="I216" s="714"/>
      <c r="J216" s="714"/>
      <c r="K216" s="184">
        <v>45930</v>
      </c>
      <c r="L216" s="513" t="s">
        <v>702</v>
      </c>
      <c r="M216" s="513"/>
      <c r="N216" s="483"/>
      <c r="O216" s="483"/>
      <c r="P216" s="483"/>
    </row>
    <row r="217" spans="1:16" s="271" customFormat="1" ht="27.6" customHeight="1">
      <c r="A217" s="507">
        <f t="shared" si="4"/>
        <v>82</v>
      </c>
      <c r="B217" s="468" t="s">
        <v>118</v>
      </c>
      <c r="C217" s="182" t="s">
        <v>452</v>
      </c>
      <c r="D217" s="507" t="s">
        <v>239</v>
      </c>
      <c r="E217" s="284">
        <v>45912</v>
      </c>
      <c r="F217" s="285">
        <v>33.299999999999997</v>
      </c>
      <c r="G217" s="714" t="s">
        <v>402</v>
      </c>
      <c r="H217" s="714"/>
      <c r="I217" s="714"/>
      <c r="J217" s="714"/>
      <c r="K217" s="184">
        <v>45922</v>
      </c>
      <c r="L217" s="507" t="s">
        <v>705</v>
      </c>
      <c r="M217" s="507"/>
      <c r="N217" s="483"/>
      <c r="O217" s="483"/>
      <c r="P217" s="483"/>
    </row>
    <row r="218" spans="1:16" s="271" customFormat="1" ht="27.6" customHeight="1">
      <c r="A218" s="509">
        <f t="shared" si="4"/>
        <v>83</v>
      </c>
      <c r="B218" s="468" t="s">
        <v>562</v>
      </c>
      <c r="C218" s="182" t="s">
        <v>649</v>
      </c>
      <c r="D218" s="509" t="s">
        <v>239</v>
      </c>
      <c r="E218" s="284">
        <v>45914</v>
      </c>
      <c r="F218" s="285">
        <v>51.7</v>
      </c>
      <c r="G218" s="714" t="s">
        <v>402</v>
      </c>
      <c r="H218" s="714"/>
      <c r="I218" s="714"/>
      <c r="J218" s="714"/>
      <c r="K218" s="184">
        <v>45925</v>
      </c>
      <c r="L218" s="509" t="s">
        <v>693</v>
      </c>
      <c r="M218" s="509"/>
      <c r="N218" s="483"/>
      <c r="O218" s="483"/>
      <c r="P218" s="483"/>
    </row>
    <row r="219" spans="1:16" s="271" customFormat="1" ht="34.799999999999997" customHeight="1">
      <c r="A219" s="508">
        <f t="shared" si="4"/>
        <v>84</v>
      </c>
      <c r="B219" s="468" t="s">
        <v>686</v>
      </c>
      <c r="C219" s="182" t="s">
        <v>598</v>
      </c>
      <c r="D219" s="508" t="s">
        <v>239</v>
      </c>
      <c r="E219" s="284">
        <v>45916</v>
      </c>
      <c r="F219" s="285">
        <v>60</v>
      </c>
      <c r="G219" s="714" t="s">
        <v>402</v>
      </c>
      <c r="H219" s="714"/>
      <c r="I219" s="714"/>
      <c r="J219" s="714"/>
      <c r="K219" s="184">
        <v>45923</v>
      </c>
      <c r="L219" s="508" t="s">
        <v>690</v>
      </c>
      <c r="M219" s="508"/>
      <c r="N219" s="712"/>
      <c r="O219" s="713"/>
      <c r="P219" s="713"/>
    </row>
    <row r="220" spans="1:16" s="271" customFormat="1" ht="34.799999999999997" customHeight="1">
      <c r="A220" s="513">
        <f t="shared" si="4"/>
        <v>85</v>
      </c>
      <c r="B220" s="468" t="s">
        <v>117</v>
      </c>
      <c r="C220" s="182" t="s">
        <v>448</v>
      </c>
      <c r="D220" s="513" t="s">
        <v>239</v>
      </c>
      <c r="E220" s="284">
        <v>45922</v>
      </c>
      <c r="F220" s="285">
        <v>27</v>
      </c>
      <c r="G220" s="714" t="s">
        <v>402</v>
      </c>
      <c r="H220" s="714"/>
      <c r="I220" s="714"/>
      <c r="J220" s="714"/>
      <c r="K220" s="184">
        <v>45930</v>
      </c>
      <c r="L220" s="513" t="s">
        <v>705</v>
      </c>
      <c r="M220" s="513"/>
      <c r="N220" s="712"/>
      <c r="O220" s="713"/>
      <c r="P220" s="713"/>
    </row>
    <row r="221" spans="1:16" s="271" customFormat="1" ht="34.799999999999997" customHeight="1">
      <c r="A221" s="513">
        <f t="shared" si="4"/>
        <v>86</v>
      </c>
      <c r="B221" s="468" t="s">
        <v>671</v>
      </c>
      <c r="C221" s="182" t="s">
        <v>672</v>
      </c>
      <c r="D221" s="513" t="s">
        <v>239</v>
      </c>
      <c r="E221" s="284">
        <v>45925</v>
      </c>
      <c r="F221" s="285">
        <v>50</v>
      </c>
      <c r="G221" s="714" t="s">
        <v>402</v>
      </c>
      <c r="H221" s="714"/>
      <c r="I221" s="714"/>
      <c r="J221" s="714"/>
      <c r="K221" s="184">
        <v>45931</v>
      </c>
      <c r="L221" s="513" t="s">
        <v>690</v>
      </c>
      <c r="M221" s="513"/>
      <c r="N221" s="712"/>
      <c r="O221" s="713"/>
      <c r="P221" s="713"/>
    </row>
    <row r="222" spans="1:16" s="271" customFormat="1" ht="34.799999999999997" customHeight="1">
      <c r="A222" s="530">
        <f t="shared" si="4"/>
        <v>87</v>
      </c>
      <c r="B222" s="468" t="s">
        <v>173</v>
      </c>
      <c r="C222" s="182" t="s">
        <v>448</v>
      </c>
      <c r="D222" s="530" t="s">
        <v>239</v>
      </c>
      <c r="E222" s="284">
        <v>45928</v>
      </c>
      <c r="F222" s="285">
        <v>27</v>
      </c>
      <c r="G222" s="714" t="s">
        <v>402</v>
      </c>
      <c r="H222" s="714"/>
      <c r="I222" s="714"/>
      <c r="J222" s="714"/>
      <c r="K222" s="184">
        <v>45935</v>
      </c>
      <c r="L222" s="530" t="s">
        <v>693</v>
      </c>
      <c r="M222" s="530"/>
      <c r="N222" s="712"/>
      <c r="O222" s="713"/>
      <c r="P222" s="713"/>
    </row>
    <row r="223" spans="1:16" s="271" customFormat="1" ht="34.799999999999997" customHeight="1">
      <c r="A223" s="539">
        <f t="shared" si="4"/>
        <v>88</v>
      </c>
      <c r="B223" s="468" t="s">
        <v>695</v>
      </c>
      <c r="C223" s="182" t="s">
        <v>696</v>
      </c>
      <c r="D223" s="539" t="s">
        <v>239</v>
      </c>
      <c r="E223" s="284">
        <v>45929</v>
      </c>
      <c r="F223" s="285">
        <v>60</v>
      </c>
      <c r="G223" s="714" t="s">
        <v>402</v>
      </c>
      <c r="H223" s="714"/>
      <c r="I223" s="714"/>
      <c r="J223" s="714"/>
      <c r="K223" s="184">
        <v>45947</v>
      </c>
      <c r="L223" s="539" t="s">
        <v>702</v>
      </c>
      <c r="M223" s="539"/>
      <c r="N223" s="712"/>
      <c r="O223" s="713"/>
      <c r="P223" s="713"/>
    </row>
    <row r="224" spans="1:16" s="271" customFormat="1" ht="34.799999999999997" customHeight="1">
      <c r="A224" s="539">
        <f t="shared" si="4"/>
        <v>89</v>
      </c>
      <c r="B224" s="468" t="s">
        <v>597</v>
      </c>
      <c r="C224" s="182" t="s">
        <v>598</v>
      </c>
      <c r="D224" s="539" t="s">
        <v>239</v>
      </c>
      <c r="E224" s="284">
        <v>45934</v>
      </c>
      <c r="F224" s="285">
        <v>60</v>
      </c>
      <c r="G224" s="714" t="s">
        <v>402</v>
      </c>
      <c r="H224" s="714"/>
      <c r="I224" s="714"/>
      <c r="J224" s="714"/>
      <c r="K224" s="184">
        <v>45947</v>
      </c>
      <c r="L224" s="539" t="s">
        <v>705</v>
      </c>
      <c r="M224" s="539"/>
      <c r="N224" s="712"/>
      <c r="O224" s="713"/>
      <c r="P224" s="713"/>
    </row>
    <row r="225" spans="1:16" s="271" customFormat="1" ht="34.799999999999997" customHeight="1">
      <c r="A225" s="615">
        <f t="shared" si="4"/>
        <v>90</v>
      </c>
      <c r="B225" s="468" t="s">
        <v>664</v>
      </c>
      <c r="C225" s="182" t="s">
        <v>116</v>
      </c>
      <c r="D225" s="615" t="s">
        <v>239</v>
      </c>
      <c r="E225" s="284">
        <v>45946</v>
      </c>
      <c r="F225" s="285">
        <v>89</v>
      </c>
      <c r="G225" s="714" t="s">
        <v>402</v>
      </c>
      <c r="H225" s="714"/>
      <c r="I225" s="714"/>
      <c r="J225" s="714"/>
      <c r="K225" s="184">
        <v>45968</v>
      </c>
      <c r="L225" s="615" t="s">
        <v>705</v>
      </c>
      <c r="M225" s="615"/>
      <c r="N225" s="712"/>
      <c r="O225" s="713"/>
      <c r="P225" s="713"/>
    </row>
    <row r="226" spans="1:16" s="429" customFormat="1" ht="34.799999999999997" customHeight="1">
      <c r="A226" s="481">
        <f t="shared" si="4"/>
        <v>91</v>
      </c>
      <c r="B226" s="467" t="s">
        <v>669</v>
      </c>
      <c r="C226" s="486" t="s">
        <v>116</v>
      </c>
      <c r="D226" s="481" t="s">
        <v>239</v>
      </c>
      <c r="E226" s="428">
        <v>45946</v>
      </c>
      <c r="F226" s="427">
        <v>89</v>
      </c>
      <c r="G226" s="708" t="s">
        <v>828</v>
      </c>
      <c r="H226" s="709"/>
      <c r="I226" s="709"/>
      <c r="J226" s="709"/>
      <c r="K226" s="457"/>
      <c r="L226" s="481" t="s">
        <v>702</v>
      </c>
      <c r="M226" s="481">
        <v>26</v>
      </c>
      <c r="N226" s="710"/>
      <c r="O226" s="711"/>
      <c r="P226" s="711"/>
    </row>
    <row r="227" spans="1:16" s="271" customFormat="1" ht="34.799999999999997" customHeight="1">
      <c r="A227" s="599">
        <f t="shared" si="4"/>
        <v>92</v>
      </c>
      <c r="B227" s="468" t="s">
        <v>561</v>
      </c>
      <c r="C227" s="182" t="s">
        <v>401</v>
      </c>
      <c r="D227" s="599" t="s">
        <v>239</v>
      </c>
      <c r="E227" s="284">
        <v>45948</v>
      </c>
      <c r="F227" s="285">
        <v>28</v>
      </c>
      <c r="G227" s="714" t="s">
        <v>402</v>
      </c>
      <c r="H227" s="714"/>
      <c r="I227" s="714"/>
      <c r="J227" s="714"/>
      <c r="K227" s="184">
        <v>45957</v>
      </c>
      <c r="L227" s="599" t="s">
        <v>693</v>
      </c>
      <c r="M227" s="599"/>
      <c r="N227" s="712"/>
      <c r="O227" s="713"/>
      <c r="P227" s="713"/>
    </row>
    <row r="228" spans="1:16" s="271" customFormat="1" ht="34.799999999999997" customHeight="1">
      <c r="A228" s="613">
        <f t="shared" si="4"/>
        <v>93</v>
      </c>
      <c r="B228" s="468" t="s">
        <v>162</v>
      </c>
      <c r="C228" s="182" t="s">
        <v>401</v>
      </c>
      <c r="D228" s="613" t="s">
        <v>239</v>
      </c>
      <c r="E228" s="284">
        <v>45959</v>
      </c>
      <c r="F228" s="285">
        <v>28</v>
      </c>
      <c r="G228" s="714" t="s">
        <v>402</v>
      </c>
      <c r="H228" s="714"/>
      <c r="I228" s="714"/>
      <c r="J228" s="714"/>
      <c r="K228" s="184">
        <v>45967</v>
      </c>
      <c r="L228" s="613" t="s">
        <v>693</v>
      </c>
      <c r="M228" s="613"/>
      <c r="N228" s="712"/>
      <c r="O228" s="713"/>
      <c r="P228" s="713"/>
    </row>
    <row r="229" spans="1:16" s="271" customFormat="1" ht="34.799999999999997" customHeight="1">
      <c r="A229" s="616">
        <f t="shared" si="4"/>
        <v>94</v>
      </c>
      <c r="B229" s="468" t="s">
        <v>158</v>
      </c>
      <c r="C229" s="182" t="s">
        <v>401</v>
      </c>
      <c r="D229" s="616" t="s">
        <v>239</v>
      </c>
      <c r="E229" s="284">
        <v>45965</v>
      </c>
      <c r="F229" s="285">
        <v>28</v>
      </c>
      <c r="G229" s="714" t="s">
        <v>402</v>
      </c>
      <c r="H229" s="714"/>
      <c r="I229" s="714"/>
      <c r="J229" s="714"/>
      <c r="K229" s="184">
        <v>45973</v>
      </c>
      <c r="L229" s="616" t="s">
        <v>693</v>
      </c>
      <c r="M229" s="616"/>
      <c r="N229" s="712"/>
      <c r="O229" s="713"/>
      <c r="P229" s="713"/>
    </row>
    <row r="230" spans="1:16" s="271" customFormat="1" ht="34.799999999999997" customHeight="1">
      <c r="A230" s="616">
        <f t="shared" si="4"/>
        <v>95</v>
      </c>
      <c r="B230" s="468" t="s">
        <v>151</v>
      </c>
      <c r="C230" s="182" t="s">
        <v>401</v>
      </c>
      <c r="D230" s="616" t="s">
        <v>239</v>
      </c>
      <c r="E230" s="284">
        <v>45967</v>
      </c>
      <c r="F230" s="285">
        <v>28</v>
      </c>
      <c r="G230" s="714" t="s">
        <v>402</v>
      </c>
      <c r="H230" s="714"/>
      <c r="I230" s="714"/>
      <c r="J230" s="714"/>
      <c r="K230" s="184">
        <v>45974</v>
      </c>
      <c r="L230" s="616" t="s">
        <v>702</v>
      </c>
      <c r="M230" s="616"/>
      <c r="N230" s="712"/>
      <c r="O230" s="713"/>
      <c r="P230" s="713"/>
    </row>
    <row r="231" spans="1:16" s="271" customFormat="1" ht="34.799999999999997" customHeight="1">
      <c r="A231" s="630">
        <f t="shared" si="4"/>
        <v>96</v>
      </c>
      <c r="B231" s="468" t="s">
        <v>680</v>
      </c>
      <c r="C231" s="182" t="s">
        <v>594</v>
      </c>
      <c r="D231" s="630" t="s">
        <v>239</v>
      </c>
      <c r="E231" s="284">
        <v>45972</v>
      </c>
      <c r="F231" s="285">
        <v>45</v>
      </c>
      <c r="G231" s="714" t="s">
        <v>402</v>
      </c>
      <c r="H231" s="714"/>
      <c r="I231" s="714"/>
      <c r="J231" s="714"/>
      <c r="K231" s="184">
        <v>45979</v>
      </c>
      <c r="L231" s="630" t="s">
        <v>705</v>
      </c>
      <c r="M231" s="630"/>
      <c r="N231" s="712"/>
      <c r="O231" s="713"/>
      <c r="P231" s="713"/>
    </row>
    <row r="232" spans="1:16" s="271" customFormat="1" ht="34.799999999999997" customHeight="1">
      <c r="A232" s="630">
        <f t="shared" si="4"/>
        <v>97</v>
      </c>
      <c r="B232" s="468" t="s">
        <v>120</v>
      </c>
      <c r="C232" s="182" t="s">
        <v>444</v>
      </c>
      <c r="D232" s="630" t="s">
        <v>239</v>
      </c>
      <c r="E232" s="284">
        <v>45973</v>
      </c>
      <c r="F232" s="285">
        <v>29</v>
      </c>
      <c r="G232" s="714" t="s">
        <v>402</v>
      </c>
      <c r="H232" s="714"/>
      <c r="I232" s="714"/>
      <c r="J232" s="714"/>
      <c r="K232" s="184">
        <v>45982</v>
      </c>
      <c r="L232" s="630" t="s">
        <v>693</v>
      </c>
      <c r="M232" s="630"/>
      <c r="N232" s="712"/>
      <c r="O232" s="713"/>
      <c r="P232" s="713"/>
    </row>
    <row r="233" spans="1:16" s="429" customFormat="1" ht="34.799999999999997" customHeight="1">
      <c r="A233" s="481">
        <f t="shared" si="4"/>
        <v>98</v>
      </c>
      <c r="B233" s="467" t="s">
        <v>168</v>
      </c>
      <c r="C233" s="486" t="s">
        <v>444</v>
      </c>
      <c r="D233" s="481" t="s">
        <v>239</v>
      </c>
      <c r="E233" s="428">
        <v>45982</v>
      </c>
      <c r="F233" s="427">
        <v>29</v>
      </c>
      <c r="G233" s="708" t="s">
        <v>827</v>
      </c>
      <c r="H233" s="709"/>
      <c r="I233" s="709"/>
      <c r="J233" s="709"/>
      <c r="K233" s="610"/>
      <c r="L233" s="481" t="s">
        <v>705</v>
      </c>
      <c r="M233" s="481">
        <v>33</v>
      </c>
      <c r="N233" s="710"/>
      <c r="O233" s="711"/>
      <c r="P233" s="711"/>
    </row>
    <row r="234" spans="1:16" s="429" customFormat="1" ht="34.799999999999997" customHeight="1">
      <c r="A234" s="481">
        <f t="shared" si="4"/>
        <v>99</v>
      </c>
      <c r="B234" s="467" t="s">
        <v>153</v>
      </c>
      <c r="C234" s="486" t="s">
        <v>401</v>
      </c>
      <c r="D234" s="481" t="s">
        <v>239</v>
      </c>
      <c r="E234" s="428">
        <v>45984</v>
      </c>
      <c r="F234" s="427">
        <v>28</v>
      </c>
      <c r="G234" s="708" t="s">
        <v>826</v>
      </c>
      <c r="H234" s="709"/>
      <c r="I234" s="709"/>
      <c r="J234" s="709"/>
      <c r="K234" s="610"/>
      <c r="L234" s="481" t="s">
        <v>693</v>
      </c>
      <c r="M234" s="481">
        <v>30</v>
      </c>
      <c r="N234" s="710"/>
      <c r="O234" s="711"/>
      <c r="P234" s="711"/>
    </row>
    <row r="235" spans="1:16" s="2" customFormat="1" ht="21" customHeight="1" thickBot="1">
      <c r="A235" s="45"/>
      <c r="B235" s="151"/>
      <c r="F235" s="152"/>
      <c r="G235" s="721"/>
      <c r="H235" s="721"/>
      <c r="I235" s="721"/>
      <c r="J235" s="721"/>
      <c r="N235" s="721"/>
      <c r="O235" s="721"/>
      <c r="P235" s="721"/>
    </row>
    <row r="236" spans="1:16" ht="21" customHeight="1" thickBot="1">
      <c r="A236" s="874" t="s">
        <v>104</v>
      </c>
      <c r="B236" s="875"/>
      <c r="C236" s="875"/>
      <c r="D236" s="875"/>
      <c r="E236" s="875"/>
      <c r="F236" s="875"/>
      <c r="G236" s="875"/>
      <c r="H236" s="875"/>
      <c r="I236" s="875"/>
      <c r="J236" s="875"/>
      <c r="K236" s="875"/>
      <c r="L236" s="875"/>
      <c r="M236" s="875"/>
      <c r="N236" s="875"/>
      <c r="O236" s="875"/>
      <c r="P236" s="876"/>
    </row>
    <row r="237" spans="1:16" ht="52.2" customHeight="1" thickBot="1">
      <c r="A237" s="620" t="s">
        <v>394</v>
      </c>
      <c r="B237" s="625" t="s">
        <v>110</v>
      </c>
      <c r="C237" s="633" t="s">
        <v>404</v>
      </c>
      <c r="D237" s="728" t="s">
        <v>112</v>
      </c>
      <c r="E237" s="728"/>
      <c r="F237" s="728"/>
      <c r="G237" s="728"/>
      <c r="H237" s="633" t="s">
        <v>398</v>
      </c>
      <c r="I237" s="633" t="s">
        <v>830</v>
      </c>
      <c r="J237" s="633" t="s">
        <v>817</v>
      </c>
      <c r="K237" s="633" t="s">
        <v>818</v>
      </c>
      <c r="L237" s="633" t="s">
        <v>819</v>
      </c>
      <c r="M237" s="633" t="s">
        <v>820</v>
      </c>
      <c r="N237" s="633" t="s">
        <v>821</v>
      </c>
      <c r="O237" s="633" t="s">
        <v>399</v>
      </c>
      <c r="P237" s="868" t="s">
        <v>113</v>
      </c>
    </row>
    <row r="238" spans="1:16" s="271" customFormat="1" ht="27.6" customHeight="1">
      <c r="A238" s="621">
        <v>1</v>
      </c>
      <c r="B238" s="626" t="s">
        <v>708</v>
      </c>
      <c r="C238" s="89">
        <v>1.1060000000000001</v>
      </c>
      <c r="D238" s="729" t="s">
        <v>402</v>
      </c>
      <c r="E238" s="729"/>
      <c r="F238" s="729"/>
      <c r="G238" s="729"/>
      <c r="H238" s="47" t="s">
        <v>709</v>
      </c>
      <c r="I238" s="284">
        <v>45920</v>
      </c>
      <c r="J238" s="284">
        <v>45925</v>
      </c>
      <c r="K238" s="284">
        <v>45928</v>
      </c>
      <c r="L238" s="284">
        <v>45943</v>
      </c>
      <c r="M238" s="284">
        <v>45945</v>
      </c>
      <c r="N238" s="284">
        <v>45949</v>
      </c>
      <c r="O238" s="631"/>
      <c r="P238" s="869"/>
    </row>
    <row r="239" spans="1:16" s="271" customFormat="1" ht="30" customHeight="1">
      <c r="A239" s="622">
        <v>2</v>
      </c>
      <c r="B239" s="626" t="s">
        <v>711</v>
      </c>
      <c r="C239" s="89">
        <v>2.4729999999999999</v>
      </c>
      <c r="D239" s="729" t="s">
        <v>402</v>
      </c>
      <c r="E239" s="729"/>
      <c r="F239" s="729"/>
      <c r="G239" s="729"/>
      <c r="H239" s="47" t="s">
        <v>709</v>
      </c>
      <c r="I239" s="284">
        <v>45930</v>
      </c>
      <c r="J239" s="284">
        <v>45933</v>
      </c>
      <c r="K239" s="284">
        <v>45936</v>
      </c>
      <c r="L239" s="630"/>
      <c r="M239" s="630"/>
      <c r="N239" s="631"/>
      <c r="O239" s="154"/>
      <c r="P239" s="870"/>
    </row>
    <row r="240" spans="1:16" s="271" customFormat="1" ht="35.4" customHeight="1">
      <c r="A240" s="622">
        <v>3</v>
      </c>
      <c r="B240" s="626" t="s">
        <v>713</v>
      </c>
      <c r="C240" s="89">
        <v>2.4260000000000002</v>
      </c>
      <c r="D240" s="730" t="s">
        <v>781</v>
      </c>
      <c r="E240" s="730"/>
      <c r="F240" s="730"/>
      <c r="G240" s="730"/>
      <c r="H240" s="47" t="s">
        <v>709</v>
      </c>
      <c r="I240" s="284">
        <v>45940</v>
      </c>
      <c r="J240" s="630"/>
      <c r="K240" s="630"/>
      <c r="L240" s="630"/>
      <c r="M240" s="630"/>
      <c r="N240" s="631"/>
      <c r="O240" s="865"/>
      <c r="P240" s="871"/>
    </row>
    <row r="241" spans="1:16" s="271" customFormat="1" ht="35.4" customHeight="1">
      <c r="A241" s="622">
        <v>4</v>
      </c>
      <c r="B241" s="626" t="s">
        <v>782</v>
      </c>
      <c r="C241" s="89">
        <v>4.4800000000000004</v>
      </c>
      <c r="D241" s="729" t="s">
        <v>402</v>
      </c>
      <c r="E241" s="729"/>
      <c r="F241" s="729"/>
      <c r="G241" s="729"/>
      <c r="H241" s="47" t="s">
        <v>709</v>
      </c>
      <c r="I241" s="284">
        <v>45954</v>
      </c>
      <c r="J241" s="284">
        <v>45968</v>
      </c>
      <c r="K241" s="284">
        <v>45978</v>
      </c>
      <c r="L241" s="630"/>
      <c r="M241" s="630"/>
      <c r="N241" s="631"/>
      <c r="O241" s="631">
        <v>50</v>
      </c>
      <c r="P241" s="871"/>
    </row>
    <row r="242" spans="1:16" s="271" customFormat="1" ht="35.4" customHeight="1">
      <c r="A242" s="623">
        <v>5</v>
      </c>
      <c r="B242" s="626" t="s">
        <v>801</v>
      </c>
      <c r="C242" s="89">
        <v>1.98</v>
      </c>
      <c r="D242" s="864" t="s">
        <v>829</v>
      </c>
      <c r="E242" s="864"/>
      <c r="F242" s="864"/>
      <c r="G242" s="864"/>
      <c r="H242" s="47" t="s">
        <v>709</v>
      </c>
      <c r="I242" s="284">
        <v>45959</v>
      </c>
      <c r="J242" s="630"/>
      <c r="K242" s="630"/>
      <c r="L242" s="630"/>
      <c r="M242" s="630"/>
      <c r="N242" s="631"/>
      <c r="O242" s="865"/>
      <c r="P242" s="871"/>
    </row>
    <row r="243" spans="1:16" s="271" customFormat="1" ht="35.4" customHeight="1" thickBot="1">
      <c r="A243" s="624">
        <v>6</v>
      </c>
      <c r="B243" s="627" t="s">
        <v>807</v>
      </c>
      <c r="C243" s="600">
        <v>0.48</v>
      </c>
      <c r="D243" s="740" t="s">
        <v>699</v>
      </c>
      <c r="E243" s="740"/>
      <c r="F243" s="740"/>
      <c r="G243" s="740"/>
      <c r="H243" s="603" t="s">
        <v>709</v>
      </c>
      <c r="I243" s="867">
        <v>45954</v>
      </c>
      <c r="J243" s="867">
        <v>45962</v>
      </c>
      <c r="K243" s="867">
        <v>45964</v>
      </c>
      <c r="L243" s="867">
        <v>45971</v>
      </c>
      <c r="M243" s="867">
        <v>45978</v>
      </c>
      <c r="N243" s="601"/>
      <c r="O243" s="872"/>
      <c r="P243" s="873"/>
    </row>
    <row r="244" spans="1:16" s="153" customFormat="1" ht="35.4" customHeight="1">
      <c r="A244" s="604"/>
      <c r="B244" s="605"/>
      <c r="C244" s="606"/>
      <c r="D244" s="607"/>
      <c r="E244" s="607"/>
      <c r="F244" s="607"/>
      <c r="G244" s="607"/>
      <c r="H244" s="607"/>
      <c r="I244" s="604"/>
      <c r="J244" s="608"/>
      <c r="K244" s="608"/>
    </row>
    <row r="245" spans="1:16" ht="21" customHeight="1"/>
    <row r="246" spans="1:16" ht="21" customHeight="1"/>
    <row r="247" spans="1:16" ht="21" customHeight="1">
      <c r="A247" s="737" t="s">
        <v>405</v>
      </c>
      <c r="B247" s="738"/>
      <c r="C247" s="738"/>
      <c r="D247" s="738"/>
      <c r="E247" s="738"/>
      <c r="F247" s="738"/>
      <c r="G247" s="738"/>
      <c r="H247" s="738"/>
      <c r="I247" s="738"/>
      <c r="J247" s="739"/>
    </row>
    <row r="248" spans="1:16" ht="28.95" customHeight="1" thickBot="1">
      <c r="A248" s="162" t="s">
        <v>394</v>
      </c>
      <c r="B248" s="162" t="s">
        <v>110</v>
      </c>
      <c r="C248" s="162" t="s">
        <v>404</v>
      </c>
      <c r="D248" s="731" t="s">
        <v>112</v>
      </c>
      <c r="E248" s="732"/>
      <c r="F248" s="732"/>
      <c r="G248" s="733"/>
      <c r="H248" s="162" t="s">
        <v>398</v>
      </c>
      <c r="I248" s="162" t="s">
        <v>399</v>
      </c>
      <c r="J248" s="162" t="s">
        <v>113</v>
      </c>
      <c r="K248" s="153"/>
      <c r="L248" s="153"/>
      <c r="M248" s="153"/>
      <c r="N248" s="153"/>
      <c r="O248" s="153"/>
      <c r="P248" s="153"/>
    </row>
    <row r="249" spans="1:16" ht="21" customHeight="1">
      <c r="A249" s="43"/>
      <c r="B249" s="150"/>
      <c r="C249" s="89"/>
      <c r="D249" s="734"/>
      <c r="E249" s="735"/>
      <c r="F249" s="735"/>
      <c r="G249" s="736"/>
      <c r="H249" s="47"/>
      <c r="I249" s="43"/>
      <c r="J249" s="154"/>
    </row>
    <row r="250" spans="1:16" ht="21" customHeight="1">
      <c r="A250" s="43"/>
      <c r="B250" s="150"/>
      <c r="C250" s="89"/>
      <c r="D250" s="725"/>
      <c r="E250" s="726"/>
      <c r="F250" s="726"/>
      <c r="G250" s="727"/>
      <c r="H250" s="47"/>
      <c r="I250" s="43"/>
      <c r="J250" s="154"/>
    </row>
    <row r="251" spans="1:16" ht="21" customHeight="1">
      <c r="A251" s="43"/>
      <c r="B251" s="150"/>
      <c r="C251" s="89"/>
      <c r="D251" s="725"/>
      <c r="E251" s="726"/>
      <c r="F251" s="726"/>
      <c r="G251" s="727"/>
      <c r="H251" s="47"/>
      <c r="I251" s="43"/>
      <c r="J251" s="154"/>
    </row>
    <row r="252" spans="1:16" ht="21" customHeight="1">
      <c r="A252" s="43"/>
      <c r="B252" s="155"/>
      <c r="C252" s="156"/>
      <c r="D252" s="725"/>
      <c r="E252" s="726"/>
      <c r="F252" s="726"/>
      <c r="G252" s="727"/>
      <c r="H252" s="157"/>
      <c r="I252" s="90"/>
      <c r="J252" s="158"/>
    </row>
  </sheetData>
  <autoFilter ref="A135:P218">
    <filterColumn colId="6" showButton="0"/>
    <filterColumn colId="7" showButton="0"/>
    <filterColumn colId="8" showButton="0"/>
    <filterColumn colId="13" showButton="0"/>
    <filterColumn colId="14" showButton="0"/>
  </autoFilter>
  <mergeCells count="418">
    <mergeCell ref="G132:J132"/>
    <mergeCell ref="G233:J233"/>
    <mergeCell ref="N233:P233"/>
    <mergeCell ref="G234:J234"/>
    <mergeCell ref="N234:P234"/>
    <mergeCell ref="A236:P236"/>
    <mergeCell ref="N223:P223"/>
    <mergeCell ref="G221:J221"/>
    <mergeCell ref="N221:P221"/>
    <mergeCell ref="N220:P220"/>
    <mergeCell ref="N219:P219"/>
    <mergeCell ref="N225:P225"/>
    <mergeCell ref="N226:P226"/>
    <mergeCell ref="G225:J225"/>
    <mergeCell ref="G227:J227"/>
    <mergeCell ref="N184:P184"/>
    <mergeCell ref="N187:P187"/>
    <mergeCell ref="N181:P181"/>
    <mergeCell ref="N178:P178"/>
    <mergeCell ref="N213:P213"/>
    <mergeCell ref="N214:P214"/>
    <mergeCell ref="G217:J217"/>
    <mergeCell ref="G214:J214"/>
    <mergeCell ref="G213:J213"/>
    <mergeCell ref="N194:P194"/>
    <mergeCell ref="G192:J192"/>
    <mergeCell ref="N192:P192"/>
    <mergeCell ref="G191:J191"/>
    <mergeCell ref="N191:P191"/>
    <mergeCell ref="N204:P204"/>
    <mergeCell ref="G201:J201"/>
    <mergeCell ref="N201:P201"/>
    <mergeCell ref="G197:J197"/>
    <mergeCell ref="N197:P197"/>
    <mergeCell ref="G198:J198"/>
    <mergeCell ref="N198:P198"/>
    <mergeCell ref="N195:P195"/>
    <mergeCell ref="G196:J196"/>
    <mergeCell ref="N196:P196"/>
    <mergeCell ref="G175:J175"/>
    <mergeCell ref="N183:P183"/>
    <mergeCell ref="G183:J183"/>
    <mergeCell ref="N177:P177"/>
    <mergeCell ref="N176:P176"/>
    <mergeCell ref="N182:P182"/>
    <mergeCell ref="G181:J181"/>
    <mergeCell ref="G179:J179"/>
    <mergeCell ref="G178:J178"/>
    <mergeCell ref="G176:J176"/>
    <mergeCell ref="N179:P179"/>
    <mergeCell ref="G180:J180"/>
    <mergeCell ref="G139:J139"/>
    <mergeCell ref="G136:J136"/>
    <mergeCell ref="N150:P150"/>
    <mergeCell ref="G145:J145"/>
    <mergeCell ref="N147:P147"/>
    <mergeCell ref="G143:J143"/>
    <mergeCell ref="N145:P145"/>
    <mergeCell ref="N148:P148"/>
    <mergeCell ref="N146:P146"/>
    <mergeCell ref="G146:J146"/>
    <mergeCell ref="G144:J144"/>
    <mergeCell ref="G147:J147"/>
    <mergeCell ref="G140:J140"/>
    <mergeCell ref="G138:J138"/>
    <mergeCell ref="G125:J125"/>
    <mergeCell ref="G118:J118"/>
    <mergeCell ref="N136:P136"/>
    <mergeCell ref="G171:J171"/>
    <mergeCell ref="G142:J142"/>
    <mergeCell ref="N142:P142"/>
    <mergeCell ref="N158:P158"/>
    <mergeCell ref="G154:J154"/>
    <mergeCell ref="N156:P156"/>
    <mergeCell ref="N154:P154"/>
    <mergeCell ref="N152:P152"/>
    <mergeCell ref="N166:P166"/>
    <mergeCell ref="N159:P159"/>
    <mergeCell ref="N155:P155"/>
    <mergeCell ref="N162:P162"/>
    <mergeCell ref="N163:P163"/>
    <mergeCell ref="G153:J153"/>
    <mergeCell ref="N144:P144"/>
    <mergeCell ref="G141:J141"/>
    <mergeCell ref="N138:P138"/>
    <mergeCell ref="G137:J137"/>
    <mergeCell ref="N140:P140"/>
    <mergeCell ref="N137:P137"/>
    <mergeCell ref="N141:P141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2:P42"/>
    <mergeCell ref="N37:P37"/>
    <mergeCell ref="G30:J30"/>
    <mergeCell ref="G35:J35"/>
    <mergeCell ref="N35:P35"/>
    <mergeCell ref="G23:J23"/>
    <mergeCell ref="G211:J211"/>
    <mergeCell ref="G212:J212"/>
    <mergeCell ref="G202:J202"/>
    <mergeCell ref="G135:J135"/>
    <mergeCell ref="A134:P134"/>
    <mergeCell ref="N185:P185"/>
    <mergeCell ref="N139:P139"/>
    <mergeCell ref="N135:P135"/>
    <mergeCell ref="N143:P143"/>
    <mergeCell ref="G156:J156"/>
    <mergeCell ref="G157:J157"/>
    <mergeCell ref="G152:J152"/>
    <mergeCell ref="G159:J159"/>
    <mergeCell ref="G158:J158"/>
    <mergeCell ref="N165:P165"/>
    <mergeCell ref="G164:J164"/>
    <mergeCell ref="N164:P164"/>
    <mergeCell ref="G169:J169"/>
    <mergeCell ref="G184:J184"/>
    <mergeCell ref="G190:J190"/>
    <mergeCell ref="G188:J188"/>
    <mergeCell ref="G185:J185"/>
    <mergeCell ref="G194:J194"/>
    <mergeCell ref="G218:J218"/>
    <mergeCell ref="G219:J219"/>
    <mergeCell ref="G220:J220"/>
    <mergeCell ref="G204:J204"/>
    <mergeCell ref="G222:J222"/>
    <mergeCell ref="G224:J224"/>
    <mergeCell ref="G186:J186"/>
    <mergeCell ref="G228:J228"/>
    <mergeCell ref="G229:J229"/>
    <mergeCell ref="G230:J230"/>
    <mergeCell ref="G200:J200"/>
    <mergeCell ref="G199:J199"/>
    <mergeCell ref="G223:J223"/>
    <mergeCell ref="N190:P190"/>
    <mergeCell ref="N188:P188"/>
    <mergeCell ref="N186:P186"/>
    <mergeCell ref="D252:G252"/>
    <mergeCell ref="D237:G237"/>
    <mergeCell ref="D238:G238"/>
    <mergeCell ref="D239:G239"/>
    <mergeCell ref="D240:G240"/>
    <mergeCell ref="D241:G241"/>
    <mergeCell ref="D248:G248"/>
    <mergeCell ref="D249:G249"/>
    <mergeCell ref="D250:G250"/>
    <mergeCell ref="D251:G251"/>
    <mergeCell ref="A247:J247"/>
    <mergeCell ref="D243:G243"/>
    <mergeCell ref="D242:G242"/>
    <mergeCell ref="G187:J187"/>
    <mergeCell ref="G226:J226"/>
    <mergeCell ref="G195:J195"/>
    <mergeCell ref="N202:P202"/>
    <mergeCell ref="N200:P200"/>
    <mergeCell ref="N227:P227"/>
    <mergeCell ref="N224:P224"/>
    <mergeCell ref="N222:P222"/>
    <mergeCell ref="N151:P151"/>
    <mergeCell ref="G155:J155"/>
    <mergeCell ref="G150:J150"/>
    <mergeCell ref="N235:P235"/>
    <mergeCell ref="G235:J235"/>
    <mergeCell ref="G203:J203"/>
    <mergeCell ref="N203:P203"/>
    <mergeCell ref="G177:J177"/>
    <mergeCell ref="N180:P180"/>
    <mergeCell ref="G205:J205"/>
    <mergeCell ref="G206:J206"/>
    <mergeCell ref="G207:J207"/>
    <mergeCell ref="N207:P207"/>
    <mergeCell ref="G208:J208"/>
    <mergeCell ref="N208:P208"/>
    <mergeCell ref="G193:J193"/>
    <mergeCell ref="N193:P193"/>
    <mergeCell ref="G209:J209"/>
    <mergeCell ref="G215:J215"/>
    <mergeCell ref="G216:J216"/>
    <mergeCell ref="G210:J210"/>
    <mergeCell ref="G189:J189"/>
    <mergeCell ref="N189:P189"/>
    <mergeCell ref="N199:P199"/>
    <mergeCell ref="G128:J128"/>
    <mergeCell ref="G129:J129"/>
    <mergeCell ref="N228:P228"/>
    <mergeCell ref="N169:P169"/>
    <mergeCell ref="G174:J174"/>
    <mergeCell ref="N173:P173"/>
    <mergeCell ref="G172:J172"/>
    <mergeCell ref="G182:J182"/>
    <mergeCell ref="G160:J160"/>
    <mergeCell ref="N171:P171"/>
    <mergeCell ref="G161:J161"/>
    <mergeCell ref="N175:P175"/>
    <mergeCell ref="G173:J173"/>
    <mergeCell ref="N174:P174"/>
    <mergeCell ref="N167:P167"/>
    <mergeCell ref="N170:P170"/>
    <mergeCell ref="G168:J168"/>
    <mergeCell ref="G167:J167"/>
    <mergeCell ref="N168:P168"/>
    <mergeCell ref="G165:J165"/>
    <mergeCell ref="N160:P160"/>
    <mergeCell ref="N161:P161"/>
    <mergeCell ref="N172:P172"/>
    <mergeCell ref="G170:J170"/>
    <mergeCell ref="G130:J130"/>
    <mergeCell ref="G131:J131"/>
    <mergeCell ref="G231:J231"/>
    <mergeCell ref="N231:P231"/>
    <mergeCell ref="G232:J232"/>
    <mergeCell ref="N232:P232"/>
    <mergeCell ref="N230:P230"/>
    <mergeCell ref="N229:P229"/>
    <mergeCell ref="G162:J162"/>
    <mergeCell ref="G163:J163"/>
    <mergeCell ref="G166:J166"/>
    <mergeCell ref="G151:J151"/>
    <mergeCell ref="G148:J148"/>
    <mergeCell ref="G149:J149"/>
    <mergeCell ref="N157:P157"/>
    <mergeCell ref="N149:P149"/>
    <mergeCell ref="N153:P153"/>
  </mergeCells>
  <phoneticPr fontId="93" type="noConversion"/>
  <conditionalFormatting sqref="B13:B37 B40:B50">
    <cfRule type="duplicateValues" dxfId="61" priority="108"/>
  </conditionalFormatting>
  <conditionalFormatting sqref="B51:B70">
    <cfRule type="duplicateValues" dxfId="60" priority="110"/>
  </conditionalFormatting>
  <conditionalFormatting sqref="B71:B127">
    <cfRule type="duplicateValues" dxfId="59" priority="112"/>
  </conditionalFormatting>
  <conditionalFormatting sqref="B133">
    <cfRule type="duplicateValues" dxfId="58" priority="49"/>
  </conditionalFormatting>
  <conditionalFormatting sqref="B238:B240">
    <cfRule type="duplicateValues" dxfId="57" priority="104" stopIfTrue="1"/>
    <cfRule type="duplicateValues" dxfId="56" priority="105" stopIfTrue="1"/>
  </conditionalFormatting>
  <conditionalFormatting sqref="B249:B251">
    <cfRule type="duplicateValues" dxfId="55" priority="100" stopIfTrue="1"/>
    <cfRule type="duplicateValues" dxfId="54" priority="101" stopIfTrue="1"/>
  </conditionalFormatting>
  <conditionalFormatting sqref="B252">
    <cfRule type="duplicateValues" dxfId="53" priority="102" stopIfTrue="1"/>
    <cfRule type="duplicateValues" dxfId="52" priority="103" stopIfTrue="1"/>
  </conditionalFormatting>
  <conditionalFormatting sqref="D6">
    <cfRule type="cellIs" dxfId="51" priority="54" stopIfTrue="1" operator="greaterThan">
      <formula>600</formula>
    </cfRule>
  </conditionalFormatting>
  <conditionalFormatting sqref="D9:D10">
    <cfRule type="cellIs" dxfId="50" priority="45" stopIfTrue="1" operator="greaterThan">
      <formula>600</formula>
    </cfRule>
  </conditionalFormatting>
  <conditionalFormatting sqref="C3:K4">
    <cfRule type="cellIs" dxfId="49" priority="5" stopIfTrue="1" operator="greaterThan">
      <formula>600</formula>
    </cfRule>
  </conditionalFormatting>
  <conditionalFormatting sqref="B241:B244">
    <cfRule type="duplicateValues" dxfId="48" priority="3" stopIfTrue="1"/>
    <cfRule type="duplicateValues" dxfId="47" priority="4" stopIfTrue="1"/>
  </conditionalFormatting>
  <conditionalFormatting sqref="B128">
    <cfRule type="duplicateValues" dxfId="46" priority="2"/>
  </conditionalFormatting>
  <conditionalFormatting sqref="B129:B132">
    <cfRule type="duplicateValues" dxfId="45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topLeftCell="A19" zoomScale="80" zoomScaleNormal="80" workbookViewId="0">
      <selection activeCell="L93" sqref="L93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45" t="s">
        <v>103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42" t="s">
        <v>112</v>
      </c>
      <c r="H2" s="743"/>
      <c r="I2" s="743"/>
      <c r="J2" s="744"/>
      <c r="K2" s="162" t="s">
        <v>715</v>
      </c>
      <c r="L2" s="162" t="s">
        <v>398</v>
      </c>
      <c r="M2" s="162" t="s">
        <v>399</v>
      </c>
      <c r="N2" s="767" t="s">
        <v>400</v>
      </c>
      <c r="O2" s="768"/>
      <c r="P2" s="769"/>
    </row>
    <row r="3" spans="1:16">
      <c r="A3" s="568">
        <v>1</v>
      </c>
      <c r="B3" s="569" t="s">
        <v>16</v>
      </c>
      <c r="C3" s="568" t="s">
        <v>401</v>
      </c>
      <c r="D3" s="568" t="s">
        <v>239</v>
      </c>
      <c r="E3" s="570">
        <v>45574</v>
      </c>
      <c r="F3" s="571">
        <v>27.96</v>
      </c>
      <c r="G3" s="766" t="s">
        <v>402</v>
      </c>
      <c r="H3" s="766"/>
      <c r="I3" s="766"/>
      <c r="J3" s="766"/>
      <c r="K3" s="570">
        <v>45592</v>
      </c>
      <c r="L3" s="568" t="s">
        <v>490</v>
      </c>
      <c r="M3" s="531"/>
      <c r="N3" s="716"/>
      <c r="O3" s="716"/>
      <c r="P3" s="716"/>
    </row>
    <row r="4" spans="1:16">
      <c r="A4" s="568">
        <v>2</v>
      </c>
      <c r="B4" s="569" t="s">
        <v>128</v>
      </c>
      <c r="C4" s="568" t="s">
        <v>401</v>
      </c>
      <c r="D4" s="568" t="s">
        <v>239</v>
      </c>
      <c r="E4" s="570">
        <v>45593</v>
      </c>
      <c r="F4" s="571">
        <v>27.96</v>
      </c>
      <c r="G4" s="766" t="s">
        <v>402</v>
      </c>
      <c r="H4" s="766"/>
      <c r="I4" s="766"/>
      <c r="J4" s="766"/>
      <c r="K4" s="570">
        <v>45601</v>
      </c>
      <c r="L4" s="568" t="s">
        <v>490</v>
      </c>
      <c r="M4" s="531"/>
      <c r="N4" s="741"/>
      <c r="O4" s="741"/>
      <c r="P4" s="741"/>
    </row>
    <row r="5" spans="1:16">
      <c r="A5" s="568">
        <v>3</v>
      </c>
      <c r="B5" s="572" t="s">
        <v>494</v>
      </c>
      <c r="C5" s="568" t="s">
        <v>401</v>
      </c>
      <c r="D5" s="568" t="s">
        <v>239</v>
      </c>
      <c r="E5" s="570">
        <v>45601</v>
      </c>
      <c r="F5" s="571">
        <v>27.96</v>
      </c>
      <c r="G5" s="766" t="s">
        <v>402</v>
      </c>
      <c r="H5" s="766"/>
      <c r="I5" s="766"/>
      <c r="J5" s="766"/>
      <c r="K5" s="570">
        <v>45609</v>
      </c>
      <c r="L5" s="568" t="s">
        <v>490</v>
      </c>
      <c r="M5" s="531"/>
      <c r="N5" s="716"/>
      <c r="O5" s="716"/>
      <c r="P5" s="716"/>
    </row>
    <row r="6" spans="1:16">
      <c r="A6" s="568">
        <v>4</v>
      </c>
      <c r="B6" s="572" t="s">
        <v>18</v>
      </c>
      <c r="C6" s="568" t="s">
        <v>401</v>
      </c>
      <c r="D6" s="568" t="s">
        <v>239</v>
      </c>
      <c r="E6" s="570">
        <v>45610</v>
      </c>
      <c r="F6" s="571">
        <v>27.96</v>
      </c>
      <c r="G6" s="766" t="s">
        <v>402</v>
      </c>
      <c r="H6" s="766"/>
      <c r="I6" s="766"/>
      <c r="J6" s="766"/>
      <c r="K6" s="570">
        <v>45615</v>
      </c>
      <c r="L6" s="568" t="s">
        <v>490</v>
      </c>
      <c r="M6" s="531"/>
      <c r="N6" s="716" t="s">
        <v>501</v>
      </c>
      <c r="O6" s="716"/>
      <c r="P6" s="716"/>
    </row>
    <row r="7" spans="1:16">
      <c r="A7" s="568">
        <v>5</v>
      </c>
      <c r="B7" s="572" t="s">
        <v>133</v>
      </c>
      <c r="C7" s="568" t="s">
        <v>401</v>
      </c>
      <c r="D7" s="568" t="s">
        <v>239</v>
      </c>
      <c r="E7" s="570">
        <v>45615</v>
      </c>
      <c r="F7" s="571">
        <v>27.96</v>
      </c>
      <c r="G7" s="766" t="s">
        <v>402</v>
      </c>
      <c r="H7" s="766"/>
      <c r="I7" s="766"/>
      <c r="J7" s="766"/>
      <c r="K7" s="570">
        <v>45620</v>
      </c>
      <c r="L7" s="568" t="s">
        <v>490</v>
      </c>
      <c r="M7" s="531"/>
      <c r="N7" s="716" t="s">
        <v>109</v>
      </c>
      <c r="O7" s="716"/>
      <c r="P7" s="716"/>
    </row>
    <row r="8" spans="1:16">
      <c r="A8" s="568">
        <v>6</v>
      </c>
      <c r="B8" s="572" t="s">
        <v>2</v>
      </c>
      <c r="C8" s="568" t="s">
        <v>401</v>
      </c>
      <c r="D8" s="568" t="s">
        <v>239</v>
      </c>
      <c r="E8" s="570">
        <v>45622</v>
      </c>
      <c r="F8" s="571">
        <v>27.96</v>
      </c>
      <c r="G8" s="766" t="s">
        <v>402</v>
      </c>
      <c r="H8" s="766"/>
      <c r="I8" s="766"/>
      <c r="J8" s="766"/>
      <c r="K8" s="570">
        <v>45627</v>
      </c>
      <c r="L8" s="568" t="s">
        <v>490</v>
      </c>
      <c r="M8" s="531"/>
      <c r="N8" s="716"/>
      <c r="O8" s="716"/>
      <c r="P8" s="716"/>
    </row>
    <row r="9" spans="1:16">
      <c r="A9" s="568">
        <v>7</v>
      </c>
      <c r="B9" s="572" t="s">
        <v>49</v>
      </c>
      <c r="C9" s="568" t="s">
        <v>401</v>
      </c>
      <c r="D9" s="568" t="s">
        <v>239</v>
      </c>
      <c r="E9" s="570">
        <v>45628</v>
      </c>
      <c r="F9" s="571">
        <v>27.96</v>
      </c>
      <c r="G9" s="766" t="s">
        <v>402</v>
      </c>
      <c r="H9" s="766"/>
      <c r="I9" s="766"/>
      <c r="J9" s="766"/>
      <c r="K9" s="570">
        <v>45632</v>
      </c>
      <c r="L9" s="568" t="s">
        <v>490</v>
      </c>
      <c r="M9" s="531"/>
      <c r="N9" s="716"/>
      <c r="O9" s="716"/>
      <c r="P9" s="716"/>
    </row>
    <row r="10" spans="1:16">
      <c r="A10" s="568">
        <v>8</v>
      </c>
      <c r="B10" s="572" t="s">
        <v>52</v>
      </c>
      <c r="C10" s="568" t="s">
        <v>401</v>
      </c>
      <c r="D10" s="568" t="s">
        <v>239</v>
      </c>
      <c r="E10" s="570">
        <v>45629</v>
      </c>
      <c r="F10" s="571">
        <v>27.96</v>
      </c>
      <c r="G10" s="766" t="s">
        <v>402</v>
      </c>
      <c r="H10" s="766"/>
      <c r="I10" s="766"/>
      <c r="J10" s="766"/>
      <c r="K10" s="570">
        <v>45637</v>
      </c>
      <c r="L10" s="568" t="s">
        <v>500</v>
      </c>
      <c r="M10" s="531"/>
      <c r="N10" s="716" t="s">
        <v>501</v>
      </c>
      <c r="O10" s="716"/>
      <c r="P10" s="716"/>
    </row>
    <row r="11" spans="1:16">
      <c r="A11" s="568">
        <v>9</v>
      </c>
      <c r="B11" s="572" t="s">
        <v>147</v>
      </c>
      <c r="C11" s="568" t="s">
        <v>401</v>
      </c>
      <c r="D11" s="568" t="s">
        <v>239</v>
      </c>
      <c r="E11" s="570">
        <v>45632</v>
      </c>
      <c r="F11" s="571">
        <v>27.96</v>
      </c>
      <c r="G11" s="766" t="s">
        <v>402</v>
      </c>
      <c r="H11" s="766"/>
      <c r="I11" s="766"/>
      <c r="J11" s="766"/>
      <c r="K11" s="570">
        <v>45637</v>
      </c>
      <c r="L11" s="568" t="s">
        <v>490</v>
      </c>
      <c r="M11" s="531"/>
      <c r="N11" s="716"/>
      <c r="O11" s="716"/>
      <c r="P11" s="716"/>
    </row>
    <row r="12" spans="1:16">
      <c r="A12" s="568">
        <v>10</v>
      </c>
      <c r="B12" s="572" t="s">
        <v>148</v>
      </c>
      <c r="C12" s="568" t="s">
        <v>444</v>
      </c>
      <c r="D12" s="568" t="s">
        <v>239</v>
      </c>
      <c r="E12" s="570">
        <v>45638</v>
      </c>
      <c r="F12" s="571">
        <v>29.12</v>
      </c>
      <c r="G12" s="766" t="s">
        <v>402</v>
      </c>
      <c r="H12" s="766"/>
      <c r="I12" s="766"/>
      <c r="J12" s="766"/>
      <c r="K12" s="573">
        <v>45644</v>
      </c>
      <c r="L12" s="568" t="s">
        <v>490</v>
      </c>
      <c r="M12" s="531"/>
      <c r="N12" s="716"/>
      <c r="O12" s="716"/>
      <c r="P12" s="716"/>
    </row>
    <row r="13" spans="1:16">
      <c r="A13" s="568">
        <v>11</v>
      </c>
      <c r="B13" s="572" t="s">
        <v>51</v>
      </c>
      <c r="C13" s="568" t="s">
        <v>401</v>
      </c>
      <c r="D13" s="568" t="s">
        <v>239</v>
      </c>
      <c r="E13" s="570">
        <v>45638</v>
      </c>
      <c r="F13" s="571">
        <v>27.96</v>
      </c>
      <c r="G13" s="766" t="s">
        <v>402</v>
      </c>
      <c r="H13" s="766"/>
      <c r="I13" s="766"/>
      <c r="J13" s="766"/>
      <c r="K13" s="570">
        <v>45644</v>
      </c>
      <c r="L13" s="568" t="s">
        <v>500</v>
      </c>
      <c r="M13" s="531"/>
      <c r="N13" s="716"/>
      <c r="O13" s="716"/>
      <c r="P13" s="716"/>
    </row>
    <row r="14" spans="1:16">
      <c r="A14" s="568">
        <v>12</v>
      </c>
      <c r="B14" s="572" t="s">
        <v>140</v>
      </c>
      <c r="C14" s="568" t="s">
        <v>444</v>
      </c>
      <c r="D14" s="568" t="s">
        <v>239</v>
      </c>
      <c r="E14" s="570">
        <v>45645</v>
      </c>
      <c r="F14" s="571">
        <v>29.12</v>
      </c>
      <c r="G14" s="766" t="s">
        <v>402</v>
      </c>
      <c r="H14" s="766"/>
      <c r="I14" s="766"/>
      <c r="J14" s="766"/>
      <c r="K14" s="570">
        <v>45653</v>
      </c>
      <c r="L14" s="568" t="s">
        <v>490</v>
      </c>
      <c r="M14" s="531"/>
      <c r="N14" s="716"/>
      <c r="O14" s="716"/>
      <c r="P14" s="716"/>
    </row>
    <row r="15" spans="1:16">
      <c r="A15" s="568">
        <v>13</v>
      </c>
      <c r="B15" s="572" t="s">
        <v>136</v>
      </c>
      <c r="C15" s="568" t="s">
        <v>453</v>
      </c>
      <c r="D15" s="568" t="s">
        <v>239</v>
      </c>
      <c r="E15" s="570">
        <v>45645</v>
      </c>
      <c r="F15" s="571">
        <v>34.630000000000003</v>
      </c>
      <c r="G15" s="766" t="s">
        <v>402</v>
      </c>
      <c r="H15" s="766"/>
      <c r="I15" s="766"/>
      <c r="J15" s="766"/>
      <c r="K15" s="570">
        <v>45655</v>
      </c>
      <c r="L15" s="568" t="s">
        <v>500</v>
      </c>
      <c r="M15" s="531"/>
      <c r="N15" s="716"/>
      <c r="O15" s="716"/>
      <c r="P15" s="716"/>
    </row>
    <row r="16" spans="1:16">
      <c r="A16" s="568">
        <v>14</v>
      </c>
      <c r="B16" s="572" t="s">
        <v>126</v>
      </c>
      <c r="C16" s="568" t="s">
        <v>401</v>
      </c>
      <c r="D16" s="568" t="s">
        <v>239</v>
      </c>
      <c r="E16" s="570">
        <v>45655</v>
      </c>
      <c r="F16" s="571">
        <v>27.96</v>
      </c>
      <c r="G16" s="766" t="s">
        <v>402</v>
      </c>
      <c r="H16" s="766"/>
      <c r="I16" s="766"/>
      <c r="J16" s="766"/>
      <c r="K16" s="570">
        <v>45662</v>
      </c>
      <c r="L16" s="568" t="s">
        <v>490</v>
      </c>
      <c r="M16" s="531"/>
      <c r="N16" s="716"/>
      <c r="O16" s="716"/>
      <c r="P16" s="716"/>
    </row>
    <row r="17" spans="1:16">
      <c r="A17" s="568">
        <v>15</v>
      </c>
      <c r="B17" s="572" t="s">
        <v>143</v>
      </c>
      <c r="C17" s="568" t="s">
        <v>401</v>
      </c>
      <c r="D17" s="568" t="s">
        <v>239</v>
      </c>
      <c r="E17" s="570">
        <v>45656</v>
      </c>
      <c r="F17" s="571">
        <v>27.96</v>
      </c>
      <c r="G17" s="766" t="s">
        <v>402</v>
      </c>
      <c r="H17" s="766"/>
      <c r="I17" s="766"/>
      <c r="J17" s="766"/>
      <c r="K17" s="570">
        <v>45664</v>
      </c>
      <c r="L17" s="568" t="s">
        <v>500</v>
      </c>
      <c r="M17" s="531"/>
      <c r="N17" s="716"/>
      <c r="O17" s="716"/>
      <c r="P17" s="716"/>
    </row>
    <row r="18" spans="1:16">
      <c r="A18" s="568">
        <v>16</v>
      </c>
      <c r="B18" s="572" t="s">
        <v>166</v>
      </c>
      <c r="C18" s="568" t="s">
        <v>401</v>
      </c>
      <c r="D18" s="568" t="s">
        <v>239</v>
      </c>
      <c r="E18" s="570">
        <v>45298</v>
      </c>
      <c r="F18" s="571">
        <v>27.96</v>
      </c>
      <c r="G18" s="766" t="s">
        <v>402</v>
      </c>
      <c r="H18" s="766"/>
      <c r="I18" s="766"/>
      <c r="J18" s="766"/>
      <c r="K18" s="570">
        <v>45668</v>
      </c>
      <c r="L18" s="568" t="s">
        <v>490</v>
      </c>
      <c r="M18" s="531"/>
      <c r="N18" s="716"/>
      <c r="O18" s="716"/>
      <c r="P18" s="716"/>
    </row>
    <row r="19" spans="1:16">
      <c r="A19" s="568">
        <f t="shared" ref="A19:A67" si="0">A18+1</f>
        <v>17</v>
      </c>
      <c r="B19" s="572" t="s">
        <v>176</v>
      </c>
      <c r="C19" s="568" t="s">
        <v>401</v>
      </c>
      <c r="D19" s="568" t="s">
        <v>239</v>
      </c>
      <c r="E19" s="570">
        <v>45300</v>
      </c>
      <c r="F19" s="571">
        <v>27.96</v>
      </c>
      <c r="G19" s="766" t="s">
        <v>402</v>
      </c>
      <c r="H19" s="766"/>
      <c r="I19" s="766"/>
      <c r="J19" s="766"/>
      <c r="K19" s="570">
        <v>45672</v>
      </c>
      <c r="L19" s="568" t="s">
        <v>500</v>
      </c>
      <c r="M19" s="531"/>
      <c r="N19" s="716"/>
      <c r="O19" s="716"/>
      <c r="P19" s="716"/>
    </row>
    <row r="20" spans="1:16">
      <c r="A20" s="568">
        <f t="shared" si="0"/>
        <v>18</v>
      </c>
      <c r="B20" s="572" t="s">
        <v>160</v>
      </c>
      <c r="C20" s="568" t="s">
        <v>444</v>
      </c>
      <c r="D20" s="568" t="s">
        <v>239</v>
      </c>
      <c r="E20" s="570">
        <v>45670</v>
      </c>
      <c r="F20" s="571">
        <v>29</v>
      </c>
      <c r="G20" s="766" t="s">
        <v>402</v>
      </c>
      <c r="H20" s="766"/>
      <c r="I20" s="766"/>
      <c r="J20" s="766"/>
      <c r="K20" s="570">
        <v>45675</v>
      </c>
      <c r="L20" s="568" t="s">
        <v>490</v>
      </c>
      <c r="M20" s="531"/>
      <c r="N20" s="716"/>
      <c r="O20" s="716"/>
      <c r="P20" s="716"/>
    </row>
    <row r="21" spans="1:16">
      <c r="A21" s="568">
        <f t="shared" si="0"/>
        <v>19</v>
      </c>
      <c r="B21" s="572" t="s">
        <v>177</v>
      </c>
      <c r="C21" s="568" t="s">
        <v>444</v>
      </c>
      <c r="D21" s="568" t="s">
        <v>239</v>
      </c>
      <c r="E21" s="570">
        <v>45673</v>
      </c>
      <c r="F21" s="571">
        <v>29</v>
      </c>
      <c r="G21" s="766" t="s">
        <v>402</v>
      </c>
      <c r="H21" s="766"/>
      <c r="I21" s="766"/>
      <c r="J21" s="766"/>
      <c r="K21" s="570">
        <v>45680</v>
      </c>
      <c r="L21" s="568" t="s">
        <v>500</v>
      </c>
      <c r="M21" s="531"/>
      <c r="N21" s="716"/>
      <c r="O21" s="716"/>
      <c r="P21" s="716"/>
    </row>
    <row r="22" spans="1:16">
      <c r="A22" s="568">
        <f t="shared" si="0"/>
        <v>20</v>
      </c>
      <c r="B22" s="572" t="s">
        <v>156</v>
      </c>
      <c r="C22" s="568" t="s">
        <v>401</v>
      </c>
      <c r="D22" s="568" t="s">
        <v>239</v>
      </c>
      <c r="E22" s="570">
        <v>45673</v>
      </c>
      <c r="F22" s="571">
        <v>28</v>
      </c>
      <c r="G22" s="766" t="s">
        <v>402</v>
      </c>
      <c r="H22" s="766"/>
      <c r="I22" s="766"/>
      <c r="J22" s="766"/>
      <c r="K22" s="570">
        <v>45680</v>
      </c>
      <c r="L22" s="568" t="s">
        <v>490</v>
      </c>
      <c r="M22" s="531"/>
      <c r="N22" s="716"/>
      <c r="O22" s="716"/>
      <c r="P22" s="716"/>
    </row>
    <row r="23" spans="1:16">
      <c r="A23" s="568">
        <f t="shared" si="0"/>
        <v>21</v>
      </c>
      <c r="B23" s="572" t="s">
        <v>179</v>
      </c>
      <c r="C23" s="568" t="s">
        <v>444</v>
      </c>
      <c r="D23" s="568" t="s">
        <v>239</v>
      </c>
      <c r="E23" s="570">
        <v>45681</v>
      </c>
      <c r="F23" s="571">
        <v>29</v>
      </c>
      <c r="G23" s="766" t="s">
        <v>402</v>
      </c>
      <c r="H23" s="766"/>
      <c r="I23" s="766"/>
      <c r="J23" s="766"/>
      <c r="K23" s="570">
        <v>45699</v>
      </c>
      <c r="L23" s="568" t="s">
        <v>500</v>
      </c>
      <c r="M23" s="531"/>
      <c r="N23" s="719"/>
      <c r="O23" s="719"/>
      <c r="P23" s="719"/>
    </row>
    <row r="24" spans="1:16">
      <c r="A24" s="568">
        <f t="shared" si="0"/>
        <v>22</v>
      </c>
      <c r="B24" s="572" t="s">
        <v>17</v>
      </c>
      <c r="C24" s="568" t="s">
        <v>401</v>
      </c>
      <c r="D24" s="568" t="s">
        <v>239</v>
      </c>
      <c r="E24" s="570">
        <v>45681</v>
      </c>
      <c r="F24" s="571">
        <v>28</v>
      </c>
      <c r="G24" s="766" t="s">
        <v>402</v>
      </c>
      <c r="H24" s="766"/>
      <c r="I24" s="766"/>
      <c r="J24" s="766"/>
      <c r="K24" s="570">
        <v>45687</v>
      </c>
      <c r="L24" s="568" t="s">
        <v>490</v>
      </c>
      <c r="M24" s="531"/>
      <c r="N24" s="715"/>
      <c r="O24" s="715"/>
      <c r="P24" s="715"/>
    </row>
    <row r="25" spans="1:16">
      <c r="A25" s="568">
        <f t="shared" si="0"/>
        <v>23</v>
      </c>
      <c r="B25" s="572" t="s">
        <v>178</v>
      </c>
      <c r="C25" s="568" t="s">
        <v>401</v>
      </c>
      <c r="D25" s="568" t="s">
        <v>239</v>
      </c>
      <c r="E25" s="570">
        <v>45682</v>
      </c>
      <c r="F25" s="571">
        <v>28</v>
      </c>
      <c r="G25" s="766" t="s">
        <v>402</v>
      </c>
      <c r="H25" s="766"/>
      <c r="I25" s="766"/>
      <c r="J25" s="766"/>
      <c r="K25" s="570">
        <v>45690</v>
      </c>
      <c r="L25" s="568" t="s">
        <v>500</v>
      </c>
      <c r="M25" s="531"/>
      <c r="N25" s="716"/>
      <c r="O25" s="716"/>
      <c r="P25" s="716"/>
    </row>
    <row r="26" spans="1:16">
      <c r="A26" s="568">
        <f t="shared" si="0"/>
        <v>24</v>
      </c>
      <c r="B26" s="572" t="s">
        <v>137</v>
      </c>
      <c r="C26" s="568" t="s">
        <v>444</v>
      </c>
      <c r="D26" s="568" t="s">
        <v>239</v>
      </c>
      <c r="E26" s="570">
        <v>45688</v>
      </c>
      <c r="F26" s="571">
        <v>29</v>
      </c>
      <c r="G26" s="766" t="s">
        <v>402</v>
      </c>
      <c r="H26" s="766"/>
      <c r="I26" s="766"/>
      <c r="J26" s="766"/>
      <c r="K26" s="570">
        <v>45693</v>
      </c>
      <c r="L26" s="568" t="s">
        <v>490</v>
      </c>
      <c r="M26" s="531"/>
      <c r="N26" s="716"/>
      <c r="O26" s="716"/>
      <c r="P26" s="716"/>
    </row>
    <row r="27" spans="1:16">
      <c r="A27" s="568">
        <f t="shared" si="0"/>
        <v>25</v>
      </c>
      <c r="B27" s="572" t="s">
        <v>145</v>
      </c>
      <c r="C27" s="568" t="s">
        <v>452</v>
      </c>
      <c r="D27" s="568" t="s">
        <v>239</v>
      </c>
      <c r="E27" s="570">
        <v>45694</v>
      </c>
      <c r="F27" s="571">
        <v>33</v>
      </c>
      <c r="G27" s="766" t="s">
        <v>402</v>
      </c>
      <c r="H27" s="766"/>
      <c r="I27" s="766"/>
      <c r="J27" s="766"/>
      <c r="K27" s="570">
        <v>45699</v>
      </c>
      <c r="L27" s="568" t="s">
        <v>490</v>
      </c>
      <c r="M27" s="531"/>
      <c r="N27" s="719"/>
      <c r="O27" s="719"/>
      <c r="P27" s="719"/>
    </row>
    <row r="28" spans="1:16">
      <c r="A28" s="568">
        <f t="shared" si="0"/>
        <v>26</v>
      </c>
      <c r="B28" s="572" t="s">
        <v>146</v>
      </c>
      <c r="C28" s="568" t="s">
        <v>444</v>
      </c>
      <c r="D28" s="568" t="s">
        <v>239</v>
      </c>
      <c r="E28" s="570">
        <v>45700</v>
      </c>
      <c r="F28" s="571">
        <v>29</v>
      </c>
      <c r="G28" s="766" t="s">
        <v>402</v>
      </c>
      <c r="H28" s="766"/>
      <c r="I28" s="766"/>
      <c r="J28" s="766"/>
      <c r="K28" s="570">
        <v>45705</v>
      </c>
      <c r="L28" s="568" t="s">
        <v>490</v>
      </c>
      <c r="M28" s="531"/>
      <c r="N28" s="719"/>
      <c r="O28" s="719"/>
      <c r="P28" s="719"/>
    </row>
    <row r="29" spans="1:16">
      <c r="A29" s="568">
        <f t="shared" si="0"/>
        <v>27</v>
      </c>
      <c r="B29" s="572" t="s">
        <v>175</v>
      </c>
      <c r="C29" s="568" t="s">
        <v>444</v>
      </c>
      <c r="D29" s="568" t="s">
        <v>239</v>
      </c>
      <c r="E29" s="570">
        <v>45700</v>
      </c>
      <c r="F29" s="571">
        <v>29</v>
      </c>
      <c r="G29" s="766" t="s">
        <v>402</v>
      </c>
      <c r="H29" s="766"/>
      <c r="I29" s="766"/>
      <c r="J29" s="766"/>
      <c r="K29" s="570">
        <v>45708</v>
      </c>
      <c r="L29" s="568" t="s">
        <v>490</v>
      </c>
      <c r="M29" s="531"/>
      <c r="N29" s="719"/>
      <c r="O29" s="719"/>
      <c r="P29" s="719"/>
    </row>
    <row r="30" spans="1:16">
      <c r="A30" s="568">
        <f t="shared" si="0"/>
        <v>28</v>
      </c>
      <c r="B30" s="572" t="s">
        <v>496</v>
      </c>
      <c r="C30" s="568" t="s">
        <v>476</v>
      </c>
      <c r="D30" s="568" t="s">
        <v>239</v>
      </c>
      <c r="E30" s="570">
        <v>45709</v>
      </c>
      <c r="F30" s="571">
        <v>45</v>
      </c>
      <c r="G30" s="766" t="s">
        <v>402</v>
      </c>
      <c r="H30" s="766"/>
      <c r="I30" s="766"/>
      <c r="J30" s="766"/>
      <c r="K30" s="570">
        <v>45714</v>
      </c>
      <c r="L30" s="568" t="s">
        <v>490</v>
      </c>
      <c r="M30" s="531"/>
      <c r="N30" s="719"/>
      <c r="O30" s="719"/>
      <c r="P30" s="719"/>
    </row>
    <row r="31" spans="1:16">
      <c r="A31" s="568">
        <f t="shared" si="0"/>
        <v>29</v>
      </c>
      <c r="B31" s="572" t="s">
        <v>497</v>
      </c>
      <c r="C31" s="568" t="s">
        <v>476</v>
      </c>
      <c r="D31" s="568" t="s">
        <v>239</v>
      </c>
      <c r="E31" s="570">
        <v>45714</v>
      </c>
      <c r="F31" s="571">
        <v>45</v>
      </c>
      <c r="G31" s="766" t="s">
        <v>402</v>
      </c>
      <c r="H31" s="766"/>
      <c r="I31" s="766"/>
      <c r="J31" s="766"/>
      <c r="K31" s="570">
        <v>45719</v>
      </c>
      <c r="L31" s="568" t="s">
        <v>490</v>
      </c>
      <c r="M31" s="531"/>
      <c r="N31" s="719"/>
      <c r="O31" s="719"/>
      <c r="P31" s="719"/>
    </row>
    <row r="32" spans="1:16">
      <c r="A32" s="568">
        <f t="shared" si="0"/>
        <v>30</v>
      </c>
      <c r="B32" s="572" t="s">
        <v>505</v>
      </c>
      <c r="C32" s="568" t="s">
        <v>476</v>
      </c>
      <c r="D32" s="568" t="s">
        <v>239</v>
      </c>
      <c r="E32" s="570">
        <v>45719</v>
      </c>
      <c r="F32" s="571">
        <v>45</v>
      </c>
      <c r="G32" s="766" t="s">
        <v>402</v>
      </c>
      <c r="H32" s="766"/>
      <c r="I32" s="766"/>
      <c r="J32" s="766"/>
      <c r="K32" s="570">
        <v>45724</v>
      </c>
      <c r="L32" s="568" t="s">
        <v>490</v>
      </c>
      <c r="M32" s="531"/>
      <c r="N32" s="719"/>
      <c r="O32" s="719"/>
      <c r="P32" s="719"/>
    </row>
    <row r="33" spans="1:16">
      <c r="A33" s="568">
        <f t="shared" si="0"/>
        <v>31</v>
      </c>
      <c r="B33" s="572" t="s">
        <v>161</v>
      </c>
      <c r="C33" s="568" t="s">
        <v>401</v>
      </c>
      <c r="D33" s="568" t="s">
        <v>239</v>
      </c>
      <c r="E33" s="570">
        <v>45722</v>
      </c>
      <c r="F33" s="571">
        <v>28</v>
      </c>
      <c r="G33" s="766" t="s">
        <v>402</v>
      </c>
      <c r="H33" s="766"/>
      <c r="I33" s="766"/>
      <c r="J33" s="766"/>
      <c r="K33" s="570">
        <v>45727</v>
      </c>
      <c r="L33" s="568" t="s">
        <v>500</v>
      </c>
      <c r="M33" s="531"/>
      <c r="N33" s="719"/>
      <c r="O33" s="719"/>
      <c r="P33" s="719"/>
    </row>
    <row r="34" spans="1:16">
      <c r="A34" s="568">
        <f t="shared" si="0"/>
        <v>32</v>
      </c>
      <c r="B34" s="572" t="s">
        <v>159</v>
      </c>
      <c r="C34" s="568" t="s">
        <v>476</v>
      </c>
      <c r="D34" s="568" t="s">
        <v>239</v>
      </c>
      <c r="E34" s="570">
        <v>45728</v>
      </c>
      <c r="F34" s="571">
        <v>45</v>
      </c>
      <c r="G34" s="766" t="s">
        <v>402</v>
      </c>
      <c r="H34" s="766"/>
      <c r="I34" s="766"/>
      <c r="J34" s="766"/>
      <c r="K34" s="570">
        <v>45733</v>
      </c>
      <c r="L34" s="568" t="s">
        <v>500</v>
      </c>
      <c r="M34" s="531"/>
      <c r="N34" s="719"/>
      <c r="O34" s="719"/>
      <c r="P34" s="719"/>
    </row>
    <row r="35" spans="1:16">
      <c r="A35" s="568">
        <f t="shared" si="0"/>
        <v>33</v>
      </c>
      <c r="B35" s="572" t="s">
        <v>503</v>
      </c>
      <c r="C35" s="568" t="s">
        <v>504</v>
      </c>
      <c r="D35" s="568" t="s">
        <v>239</v>
      </c>
      <c r="E35" s="570">
        <v>45734</v>
      </c>
      <c r="F35" s="571">
        <v>54</v>
      </c>
      <c r="G35" s="766" t="s">
        <v>402</v>
      </c>
      <c r="H35" s="766"/>
      <c r="I35" s="766"/>
      <c r="J35" s="766"/>
      <c r="K35" s="570">
        <v>45739</v>
      </c>
      <c r="L35" s="568" t="s">
        <v>500</v>
      </c>
      <c r="M35" s="531"/>
      <c r="N35" s="719"/>
      <c r="O35" s="719"/>
      <c r="P35" s="719"/>
    </row>
    <row r="36" spans="1:16">
      <c r="A36" s="568">
        <f t="shared" si="0"/>
        <v>34</v>
      </c>
      <c r="B36" s="572" t="s">
        <v>4</v>
      </c>
      <c r="C36" s="568" t="s">
        <v>506</v>
      </c>
      <c r="D36" s="568" t="s">
        <v>239</v>
      </c>
      <c r="E36" s="570">
        <v>45734</v>
      </c>
      <c r="F36" s="571">
        <v>52</v>
      </c>
      <c r="G36" s="766" t="s">
        <v>402</v>
      </c>
      <c r="H36" s="766"/>
      <c r="I36" s="766"/>
      <c r="J36" s="766"/>
      <c r="K36" s="570">
        <v>45744</v>
      </c>
      <c r="L36" s="568" t="s">
        <v>500</v>
      </c>
      <c r="M36" s="531"/>
      <c r="N36" s="719"/>
      <c r="O36" s="719"/>
      <c r="P36" s="719"/>
    </row>
    <row r="37" spans="1:16">
      <c r="A37" s="568">
        <f t="shared" si="0"/>
        <v>35</v>
      </c>
      <c r="B37" s="572" t="s">
        <v>5</v>
      </c>
      <c r="C37" s="568" t="s">
        <v>401</v>
      </c>
      <c r="D37" s="568" t="s">
        <v>239</v>
      </c>
      <c r="E37" s="570">
        <v>45744</v>
      </c>
      <c r="F37" s="571">
        <v>28</v>
      </c>
      <c r="G37" s="766" t="s">
        <v>402</v>
      </c>
      <c r="H37" s="766"/>
      <c r="I37" s="766"/>
      <c r="J37" s="766"/>
      <c r="K37" s="570">
        <v>45748</v>
      </c>
      <c r="L37" s="568" t="s">
        <v>500</v>
      </c>
      <c r="M37" s="531"/>
      <c r="N37" s="719"/>
      <c r="O37" s="719"/>
      <c r="P37" s="719"/>
    </row>
    <row r="38" spans="1:16">
      <c r="A38" s="568">
        <f t="shared" si="0"/>
        <v>36</v>
      </c>
      <c r="B38" s="572" t="s">
        <v>50</v>
      </c>
      <c r="C38" s="568" t="s">
        <v>444</v>
      </c>
      <c r="D38" s="568" t="s">
        <v>239</v>
      </c>
      <c r="E38" s="570">
        <v>45749</v>
      </c>
      <c r="F38" s="571">
        <v>29</v>
      </c>
      <c r="G38" s="766" t="s">
        <v>402</v>
      </c>
      <c r="H38" s="766"/>
      <c r="I38" s="766"/>
      <c r="J38" s="766"/>
      <c r="K38" s="570">
        <v>45752</v>
      </c>
      <c r="L38" s="568" t="s">
        <v>500</v>
      </c>
      <c r="M38" s="531"/>
      <c r="N38" s="719"/>
      <c r="O38" s="719"/>
      <c r="P38" s="719"/>
    </row>
    <row r="39" spans="1:16">
      <c r="A39" s="568">
        <f t="shared" si="0"/>
        <v>37</v>
      </c>
      <c r="B39" s="572" t="s">
        <v>591</v>
      </c>
      <c r="C39" s="568" t="s">
        <v>590</v>
      </c>
      <c r="D39" s="568" t="s">
        <v>239</v>
      </c>
      <c r="E39" s="570">
        <v>45752</v>
      </c>
      <c r="F39" s="571">
        <v>47</v>
      </c>
      <c r="G39" s="766" t="s">
        <v>402</v>
      </c>
      <c r="H39" s="766"/>
      <c r="I39" s="766"/>
      <c r="J39" s="766"/>
      <c r="K39" s="570">
        <v>45757</v>
      </c>
      <c r="L39" s="568" t="s">
        <v>500</v>
      </c>
      <c r="M39" s="531"/>
      <c r="N39" s="719"/>
      <c r="O39" s="719"/>
      <c r="P39" s="719"/>
    </row>
    <row r="40" spans="1:16">
      <c r="A40" s="568">
        <f t="shared" si="0"/>
        <v>38</v>
      </c>
      <c r="B40" s="572" t="s">
        <v>121</v>
      </c>
      <c r="C40" s="568" t="s">
        <v>595</v>
      </c>
      <c r="D40" s="568" t="s">
        <v>239</v>
      </c>
      <c r="E40" s="570">
        <v>45758</v>
      </c>
      <c r="F40" s="571">
        <v>54</v>
      </c>
      <c r="G40" s="766" t="s">
        <v>402</v>
      </c>
      <c r="H40" s="766"/>
      <c r="I40" s="766"/>
      <c r="J40" s="766"/>
      <c r="K40" s="570">
        <v>45768</v>
      </c>
      <c r="L40" s="568" t="s">
        <v>490</v>
      </c>
      <c r="M40" s="531"/>
      <c r="N40" s="719"/>
      <c r="O40" s="719"/>
      <c r="P40" s="719"/>
    </row>
    <row r="41" spans="1:16">
      <c r="A41" s="568">
        <f t="shared" si="0"/>
        <v>39</v>
      </c>
      <c r="B41" s="572" t="s">
        <v>180</v>
      </c>
      <c r="C41" s="568" t="s">
        <v>444</v>
      </c>
      <c r="D41" s="568" t="s">
        <v>239</v>
      </c>
      <c r="E41" s="570">
        <v>45759</v>
      </c>
      <c r="F41" s="571">
        <v>29</v>
      </c>
      <c r="G41" s="766" t="s">
        <v>402</v>
      </c>
      <c r="H41" s="766"/>
      <c r="I41" s="766"/>
      <c r="J41" s="766"/>
      <c r="K41" s="570">
        <v>45765</v>
      </c>
      <c r="L41" s="568" t="s">
        <v>500</v>
      </c>
      <c r="M41" s="531"/>
      <c r="N41" s="719"/>
      <c r="O41" s="719"/>
      <c r="P41" s="719"/>
    </row>
    <row r="42" spans="1:16" ht="18">
      <c r="A42" s="568">
        <f t="shared" si="0"/>
        <v>40</v>
      </c>
      <c r="B42" s="572" t="s">
        <v>593</v>
      </c>
      <c r="C42" s="568" t="s">
        <v>594</v>
      </c>
      <c r="D42" s="568" t="s">
        <v>239</v>
      </c>
      <c r="E42" s="570">
        <v>45765</v>
      </c>
      <c r="F42" s="571">
        <v>45</v>
      </c>
      <c r="G42" s="766" t="s">
        <v>402</v>
      </c>
      <c r="H42" s="766"/>
      <c r="I42" s="766"/>
      <c r="J42" s="766"/>
      <c r="K42" s="570">
        <v>45773</v>
      </c>
      <c r="L42" s="568" t="s">
        <v>655</v>
      </c>
      <c r="M42" s="531"/>
      <c r="N42" s="720" t="s">
        <v>109</v>
      </c>
      <c r="O42" s="720"/>
      <c r="P42" s="720"/>
    </row>
    <row r="43" spans="1:16" ht="28.8">
      <c r="A43" s="568">
        <f t="shared" si="0"/>
        <v>41</v>
      </c>
      <c r="B43" s="572" t="s">
        <v>489</v>
      </c>
      <c r="C43" s="568" t="s">
        <v>476</v>
      </c>
      <c r="D43" s="568" t="s">
        <v>239</v>
      </c>
      <c r="E43" s="570">
        <v>45769</v>
      </c>
      <c r="F43" s="571">
        <v>45</v>
      </c>
      <c r="G43" s="766" t="s">
        <v>402</v>
      </c>
      <c r="H43" s="766"/>
      <c r="I43" s="766"/>
      <c r="J43" s="766"/>
      <c r="K43" s="570">
        <v>45776</v>
      </c>
      <c r="L43" s="568" t="s">
        <v>656</v>
      </c>
      <c r="M43" s="531"/>
      <c r="N43" s="761"/>
      <c r="O43" s="761"/>
      <c r="P43" s="761"/>
    </row>
    <row r="44" spans="1:16" ht="28.8">
      <c r="A44" s="568">
        <f t="shared" si="0"/>
        <v>42</v>
      </c>
      <c r="B44" s="572" t="s">
        <v>167</v>
      </c>
      <c r="C44" s="568" t="s">
        <v>453</v>
      </c>
      <c r="D44" s="568" t="s">
        <v>239</v>
      </c>
      <c r="E44" s="570">
        <v>45774</v>
      </c>
      <c r="F44" s="571">
        <v>34.630000000000003</v>
      </c>
      <c r="G44" s="766" t="s">
        <v>402</v>
      </c>
      <c r="H44" s="766"/>
      <c r="I44" s="766"/>
      <c r="J44" s="766"/>
      <c r="K44" s="570">
        <v>45780</v>
      </c>
      <c r="L44" s="568" t="s">
        <v>655</v>
      </c>
      <c r="M44" s="531"/>
      <c r="N44" s="761"/>
      <c r="O44" s="761"/>
      <c r="P44" s="761"/>
    </row>
    <row r="45" spans="1:16" ht="28.8">
      <c r="A45" s="568">
        <f t="shared" si="0"/>
        <v>43</v>
      </c>
      <c r="B45" s="572" t="s">
        <v>20</v>
      </c>
      <c r="C45" s="568" t="s">
        <v>444</v>
      </c>
      <c r="D45" s="568" t="s">
        <v>239</v>
      </c>
      <c r="E45" s="570">
        <v>45776</v>
      </c>
      <c r="F45" s="571">
        <v>29</v>
      </c>
      <c r="G45" s="766" t="s">
        <v>402</v>
      </c>
      <c r="H45" s="766"/>
      <c r="I45" s="766"/>
      <c r="J45" s="766"/>
      <c r="K45" s="570">
        <v>45784</v>
      </c>
      <c r="L45" s="568" t="s">
        <v>656</v>
      </c>
      <c r="M45" s="531"/>
      <c r="N45" s="761"/>
      <c r="O45" s="761"/>
      <c r="P45" s="761"/>
    </row>
    <row r="46" spans="1:16" ht="21">
      <c r="A46" s="568">
        <f t="shared" si="0"/>
        <v>44</v>
      </c>
      <c r="B46" s="572" t="s">
        <v>37</v>
      </c>
      <c r="C46" s="568" t="s">
        <v>401</v>
      </c>
      <c r="D46" s="568" t="s">
        <v>239</v>
      </c>
      <c r="E46" s="570">
        <v>45782</v>
      </c>
      <c r="F46" s="571">
        <v>28</v>
      </c>
      <c r="G46" s="766" t="s">
        <v>402</v>
      </c>
      <c r="H46" s="766"/>
      <c r="I46" s="766"/>
      <c r="J46" s="766"/>
      <c r="K46" s="570">
        <v>45787</v>
      </c>
      <c r="L46" s="568" t="s">
        <v>655</v>
      </c>
      <c r="M46" s="531"/>
      <c r="N46" s="723" t="s">
        <v>109</v>
      </c>
      <c r="O46" s="723"/>
      <c r="P46" s="723"/>
    </row>
    <row r="47" spans="1:16" ht="21">
      <c r="A47" s="568">
        <f t="shared" si="0"/>
        <v>45</v>
      </c>
      <c r="B47" s="572" t="s">
        <v>512</v>
      </c>
      <c r="C47" s="568" t="s">
        <v>476</v>
      </c>
      <c r="D47" s="568" t="s">
        <v>239</v>
      </c>
      <c r="E47" s="570">
        <v>45785</v>
      </c>
      <c r="F47" s="571">
        <v>45</v>
      </c>
      <c r="G47" s="766" t="s">
        <v>402</v>
      </c>
      <c r="H47" s="766"/>
      <c r="I47" s="766"/>
      <c r="J47" s="766"/>
      <c r="K47" s="570">
        <v>45794</v>
      </c>
      <c r="L47" s="568" t="s">
        <v>655</v>
      </c>
      <c r="M47" s="531"/>
      <c r="N47" s="723"/>
      <c r="O47" s="723"/>
      <c r="P47" s="723"/>
    </row>
    <row r="48" spans="1:16" ht="21">
      <c r="A48" s="568">
        <f t="shared" si="0"/>
        <v>46</v>
      </c>
      <c r="B48" s="572" t="s">
        <v>157</v>
      </c>
      <c r="C48" s="568" t="s">
        <v>452</v>
      </c>
      <c r="D48" s="568" t="s">
        <v>239</v>
      </c>
      <c r="E48" s="570">
        <v>45788</v>
      </c>
      <c r="F48" s="571">
        <v>33</v>
      </c>
      <c r="G48" s="766" t="s">
        <v>402</v>
      </c>
      <c r="H48" s="766"/>
      <c r="I48" s="766"/>
      <c r="J48" s="766"/>
      <c r="K48" s="570">
        <v>45796</v>
      </c>
      <c r="L48" s="568" t="s">
        <v>656</v>
      </c>
      <c r="M48" s="531"/>
      <c r="N48" s="723"/>
      <c r="O48" s="723"/>
      <c r="P48" s="723"/>
    </row>
    <row r="49" spans="1:16" ht="21">
      <c r="A49" s="568">
        <f t="shared" si="0"/>
        <v>47</v>
      </c>
      <c r="B49" s="572" t="s">
        <v>127</v>
      </c>
      <c r="C49" s="568" t="s">
        <v>448</v>
      </c>
      <c r="D49" s="568" t="s">
        <v>239</v>
      </c>
      <c r="E49" s="570">
        <v>45788</v>
      </c>
      <c r="F49" s="571">
        <v>27</v>
      </c>
      <c r="G49" s="766" t="s">
        <v>402</v>
      </c>
      <c r="H49" s="766"/>
      <c r="I49" s="766"/>
      <c r="J49" s="766"/>
      <c r="K49" s="570">
        <v>45803</v>
      </c>
      <c r="L49" s="568" t="s">
        <v>655</v>
      </c>
      <c r="M49" s="531"/>
      <c r="N49" s="723"/>
      <c r="O49" s="723"/>
      <c r="P49" s="723"/>
    </row>
    <row r="50" spans="1:16" ht="21">
      <c r="A50" s="568">
        <f t="shared" si="0"/>
        <v>48</v>
      </c>
      <c r="B50" s="572" t="s">
        <v>129</v>
      </c>
      <c r="C50" s="568" t="s">
        <v>444</v>
      </c>
      <c r="D50" s="568" t="s">
        <v>239</v>
      </c>
      <c r="E50" s="570">
        <v>45799</v>
      </c>
      <c r="F50" s="571">
        <v>29</v>
      </c>
      <c r="G50" s="766" t="s">
        <v>402</v>
      </c>
      <c r="H50" s="766"/>
      <c r="I50" s="766"/>
      <c r="J50" s="766"/>
      <c r="K50" s="570">
        <v>45805</v>
      </c>
      <c r="L50" s="568" t="s">
        <v>656</v>
      </c>
      <c r="M50" s="531"/>
      <c r="N50" s="723"/>
      <c r="O50" s="723"/>
      <c r="P50" s="723"/>
    </row>
    <row r="51" spans="1:16" ht="25.8">
      <c r="A51" s="568">
        <f t="shared" si="0"/>
        <v>49</v>
      </c>
      <c r="B51" s="572" t="s">
        <v>132</v>
      </c>
      <c r="C51" s="568" t="s">
        <v>448</v>
      </c>
      <c r="D51" s="568" t="s">
        <v>239</v>
      </c>
      <c r="E51" s="570">
        <v>45807</v>
      </c>
      <c r="F51" s="571">
        <v>27</v>
      </c>
      <c r="G51" s="766" t="s">
        <v>402</v>
      </c>
      <c r="H51" s="766"/>
      <c r="I51" s="766"/>
      <c r="J51" s="766"/>
      <c r="K51" s="570">
        <v>45812</v>
      </c>
      <c r="L51" s="568" t="s">
        <v>655</v>
      </c>
      <c r="M51" s="531"/>
      <c r="N51" s="722"/>
      <c r="O51" s="722"/>
      <c r="P51" s="722"/>
    </row>
    <row r="52" spans="1:16" ht="25.8">
      <c r="A52" s="568">
        <f t="shared" si="0"/>
        <v>50</v>
      </c>
      <c r="B52" s="572" t="s">
        <v>144</v>
      </c>
      <c r="C52" s="568" t="s">
        <v>448</v>
      </c>
      <c r="D52" s="568" t="s">
        <v>239</v>
      </c>
      <c r="E52" s="570">
        <v>45806</v>
      </c>
      <c r="F52" s="571">
        <v>27</v>
      </c>
      <c r="G52" s="766" t="s">
        <v>402</v>
      </c>
      <c r="H52" s="766"/>
      <c r="I52" s="766"/>
      <c r="J52" s="766"/>
      <c r="K52" s="570">
        <v>45810</v>
      </c>
      <c r="L52" s="568" t="s">
        <v>656</v>
      </c>
      <c r="M52" s="531"/>
      <c r="N52" s="722"/>
      <c r="O52" s="722"/>
      <c r="P52" s="722"/>
    </row>
    <row r="53" spans="1:16" ht="25.8">
      <c r="A53" s="568">
        <f t="shared" si="0"/>
        <v>51</v>
      </c>
      <c r="B53" s="572" t="s">
        <v>123</v>
      </c>
      <c r="C53" s="568" t="s">
        <v>448</v>
      </c>
      <c r="D53" s="568" t="s">
        <v>239</v>
      </c>
      <c r="E53" s="570">
        <v>45811</v>
      </c>
      <c r="F53" s="571">
        <v>27</v>
      </c>
      <c r="G53" s="766" t="s">
        <v>402</v>
      </c>
      <c r="H53" s="766"/>
      <c r="I53" s="766"/>
      <c r="J53" s="766"/>
      <c r="K53" s="570">
        <v>45816</v>
      </c>
      <c r="L53" s="568" t="s">
        <v>655</v>
      </c>
      <c r="M53" s="531"/>
      <c r="N53" s="722"/>
      <c r="O53" s="722"/>
      <c r="P53" s="722"/>
    </row>
    <row r="54" spans="1:16" ht="25.8">
      <c r="A54" s="568">
        <f t="shared" si="0"/>
        <v>52</v>
      </c>
      <c r="B54" s="572" t="s">
        <v>124</v>
      </c>
      <c r="C54" s="568" t="s">
        <v>448</v>
      </c>
      <c r="D54" s="568" t="s">
        <v>239</v>
      </c>
      <c r="E54" s="570">
        <v>45817</v>
      </c>
      <c r="F54" s="571">
        <v>27</v>
      </c>
      <c r="G54" s="766" t="s">
        <v>402</v>
      </c>
      <c r="H54" s="766"/>
      <c r="I54" s="766"/>
      <c r="J54" s="766"/>
      <c r="K54" s="570">
        <v>45820</v>
      </c>
      <c r="L54" s="568" t="s">
        <v>655</v>
      </c>
      <c r="M54" s="531"/>
      <c r="N54" s="722"/>
      <c r="O54" s="722"/>
      <c r="P54" s="722"/>
    </row>
    <row r="55" spans="1:16" ht="25.8">
      <c r="A55" s="568">
        <f t="shared" si="0"/>
        <v>53</v>
      </c>
      <c r="B55" s="572" t="s">
        <v>125</v>
      </c>
      <c r="C55" s="568" t="s">
        <v>448</v>
      </c>
      <c r="D55" s="568" t="s">
        <v>239</v>
      </c>
      <c r="E55" s="570">
        <v>45820</v>
      </c>
      <c r="F55" s="571">
        <v>27</v>
      </c>
      <c r="G55" s="766" t="s">
        <v>402</v>
      </c>
      <c r="H55" s="766"/>
      <c r="I55" s="766"/>
      <c r="J55" s="766"/>
      <c r="K55" s="570">
        <v>45825</v>
      </c>
      <c r="L55" s="568" t="s">
        <v>656</v>
      </c>
      <c r="M55" s="531"/>
      <c r="N55" s="722"/>
      <c r="O55" s="722"/>
      <c r="P55" s="722"/>
    </row>
    <row r="56" spans="1:16" ht="25.8">
      <c r="A56" s="568">
        <f t="shared" si="0"/>
        <v>54</v>
      </c>
      <c r="B56" s="569" t="s">
        <v>122</v>
      </c>
      <c r="C56" s="568" t="s">
        <v>668</v>
      </c>
      <c r="D56" s="568" t="s">
        <v>239</v>
      </c>
      <c r="E56" s="570">
        <v>45822</v>
      </c>
      <c r="F56" s="571">
        <v>56</v>
      </c>
      <c r="G56" s="766" t="s">
        <v>402</v>
      </c>
      <c r="H56" s="766"/>
      <c r="I56" s="766"/>
      <c r="J56" s="766"/>
      <c r="K56" s="570">
        <v>45832</v>
      </c>
      <c r="L56" s="568" t="s">
        <v>655</v>
      </c>
      <c r="M56" s="531"/>
      <c r="N56" s="722"/>
      <c r="O56" s="722"/>
      <c r="P56" s="722"/>
    </row>
    <row r="57" spans="1:16" ht="25.8">
      <c r="A57" s="568">
        <f t="shared" si="0"/>
        <v>55</v>
      </c>
      <c r="B57" s="569" t="s">
        <v>630</v>
      </c>
      <c r="C57" s="568" t="s">
        <v>631</v>
      </c>
      <c r="D57" s="568" t="s">
        <v>239</v>
      </c>
      <c r="E57" s="570">
        <v>45827</v>
      </c>
      <c r="F57" s="571">
        <v>47</v>
      </c>
      <c r="G57" s="766" t="s">
        <v>402</v>
      </c>
      <c r="H57" s="766"/>
      <c r="I57" s="766"/>
      <c r="J57" s="766"/>
      <c r="K57" s="570">
        <v>45839</v>
      </c>
      <c r="L57" s="568" t="s">
        <v>656</v>
      </c>
      <c r="M57" s="531"/>
      <c r="N57" s="722"/>
      <c r="O57" s="722"/>
      <c r="P57" s="722"/>
    </row>
    <row r="58" spans="1:16" ht="25.8">
      <c r="A58" s="568">
        <f t="shared" si="0"/>
        <v>56</v>
      </c>
      <c r="B58" s="569" t="s">
        <v>615</v>
      </c>
      <c r="C58" s="568" t="s">
        <v>401</v>
      </c>
      <c r="D58" s="568" t="s">
        <v>239</v>
      </c>
      <c r="E58" s="570">
        <v>45841</v>
      </c>
      <c r="F58" s="571">
        <v>28</v>
      </c>
      <c r="G58" s="766" t="s">
        <v>402</v>
      </c>
      <c r="H58" s="766"/>
      <c r="I58" s="766"/>
      <c r="J58" s="766"/>
      <c r="K58" s="570">
        <v>45850</v>
      </c>
      <c r="L58" s="568" t="s">
        <v>692</v>
      </c>
      <c r="M58" s="531"/>
      <c r="N58" s="722"/>
      <c r="O58" s="722"/>
      <c r="P58" s="722"/>
    </row>
    <row r="59" spans="1:16" ht="25.8">
      <c r="A59" s="568">
        <f t="shared" si="0"/>
        <v>57</v>
      </c>
      <c r="B59" s="569" t="s">
        <v>596</v>
      </c>
      <c r="C59" s="568" t="s">
        <v>595</v>
      </c>
      <c r="D59" s="568" t="s">
        <v>239</v>
      </c>
      <c r="E59" s="570">
        <v>45841</v>
      </c>
      <c r="F59" s="571">
        <v>54</v>
      </c>
      <c r="G59" s="766" t="s">
        <v>402</v>
      </c>
      <c r="H59" s="766"/>
      <c r="I59" s="766"/>
      <c r="J59" s="766"/>
      <c r="K59" s="570">
        <v>45859</v>
      </c>
      <c r="L59" s="568" t="s">
        <v>655</v>
      </c>
      <c r="M59" s="531"/>
      <c r="N59" s="722"/>
      <c r="O59" s="722"/>
      <c r="P59" s="722"/>
    </row>
    <row r="60" spans="1:16" ht="25.8">
      <c r="A60" s="568">
        <f t="shared" si="0"/>
        <v>58</v>
      </c>
      <c r="B60" s="569" t="s">
        <v>518</v>
      </c>
      <c r="C60" s="568" t="s">
        <v>590</v>
      </c>
      <c r="D60" s="568" t="s">
        <v>239</v>
      </c>
      <c r="E60" s="570">
        <v>45841</v>
      </c>
      <c r="F60" s="571">
        <v>47</v>
      </c>
      <c r="G60" s="766" t="s">
        <v>402</v>
      </c>
      <c r="H60" s="766"/>
      <c r="I60" s="766"/>
      <c r="J60" s="766"/>
      <c r="K60" s="570">
        <v>45852</v>
      </c>
      <c r="L60" s="568" t="s">
        <v>693</v>
      </c>
      <c r="M60" s="531"/>
      <c r="N60" s="722"/>
      <c r="O60" s="722"/>
      <c r="P60" s="722"/>
    </row>
    <row r="61" spans="1:16" ht="25.8">
      <c r="A61" s="568">
        <f t="shared" si="0"/>
        <v>59</v>
      </c>
      <c r="B61" s="569" t="s">
        <v>21</v>
      </c>
      <c r="C61" s="568" t="s">
        <v>401</v>
      </c>
      <c r="D61" s="568" t="s">
        <v>239</v>
      </c>
      <c r="E61" s="570">
        <v>45852</v>
      </c>
      <c r="F61" s="571">
        <v>28</v>
      </c>
      <c r="G61" s="766" t="s">
        <v>402</v>
      </c>
      <c r="H61" s="766"/>
      <c r="I61" s="766"/>
      <c r="J61" s="766"/>
      <c r="K61" s="570">
        <v>45858</v>
      </c>
      <c r="L61" s="568" t="s">
        <v>692</v>
      </c>
      <c r="M61" s="531"/>
      <c r="N61" s="722"/>
      <c r="O61" s="722"/>
      <c r="P61" s="722"/>
    </row>
    <row r="62" spans="1:16" ht="25.8">
      <c r="A62" s="568">
        <f t="shared" si="0"/>
        <v>60</v>
      </c>
      <c r="B62" s="569" t="s">
        <v>142</v>
      </c>
      <c r="C62" s="568" t="s">
        <v>453</v>
      </c>
      <c r="D62" s="568" t="s">
        <v>239</v>
      </c>
      <c r="E62" s="570">
        <v>45853</v>
      </c>
      <c r="F62" s="571">
        <v>34.6</v>
      </c>
      <c r="G62" s="766" t="s">
        <v>402</v>
      </c>
      <c r="H62" s="766"/>
      <c r="I62" s="766"/>
      <c r="J62" s="766"/>
      <c r="K62" s="570">
        <v>45861</v>
      </c>
      <c r="L62" s="568" t="s">
        <v>693</v>
      </c>
      <c r="M62" s="531"/>
      <c r="N62" s="722"/>
      <c r="O62" s="722"/>
      <c r="P62" s="722"/>
    </row>
    <row r="63" spans="1:16" ht="25.8">
      <c r="A63" s="568">
        <f t="shared" si="0"/>
        <v>61</v>
      </c>
      <c r="B63" s="569" t="s">
        <v>138</v>
      </c>
      <c r="C63" s="568" t="s">
        <v>453</v>
      </c>
      <c r="D63" s="568" t="s">
        <v>239</v>
      </c>
      <c r="E63" s="570">
        <v>45859</v>
      </c>
      <c r="F63" s="571">
        <v>34.6</v>
      </c>
      <c r="G63" s="766" t="s">
        <v>402</v>
      </c>
      <c r="H63" s="766"/>
      <c r="I63" s="766"/>
      <c r="J63" s="766"/>
      <c r="K63" s="570">
        <v>45869</v>
      </c>
      <c r="L63" s="568" t="s">
        <v>693</v>
      </c>
      <c r="M63" s="531"/>
      <c r="N63" s="722"/>
      <c r="O63" s="722"/>
      <c r="P63" s="722"/>
    </row>
    <row r="64" spans="1:16" ht="25.8">
      <c r="A64" s="568">
        <f t="shared" si="0"/>
        <v>62</v>
      </c>
      <c r="B64" s="569" t="s">
        <v>134</v>
      </c>
      <c r="C64" s="568" t="s">
        <v>401</v>
      </c>
      <c r="D64" s="568" t="s">
        <v>239</v>
      </c>
      <c r="E64" s="570">
        <v>45860</v>
      </c>
      <c r="F64" s="571">
        <v>28</v>
      </c>
      <c r="G64" s="766" t="s">
        <v>402</v>
      </c>
      <c r="H64" s="766"/>
      <c r="I64" s="766"/>
      <c r="J64" s="766"/>
      <c r="K64" s="570">
        <v>45868</v>
      </c>
      <c r="L64" s="568" t="s">
        <v>692</v>
      </c>
      <c r="M64" s="531"/>
      <c r="N64" s="722"/>
      <c r="O64" s="722"/>
      <c r="P64" s="722"/>
    </row>
    <row r="65" spans="1:16" ht="25.8">
      <c r="A65" s="568">
        <f t="shared" si="0"/>
        <v>63</v>
      </c>
      <c r="B65" s="569" t="s">
        <v>130</v>
      </c>
      <c r="C65" s="568" t="s">
        <v>444</v>
      </c>
      <c r="D65" s="568" t="s">
        <v>239</v>
      </c>
      <c r="E65" s="570">
        <v>45859</v>
      </c>
      <c r="F65" s="571">
        <v>29</v>
      </c>
      <c r="G65" s="766" t="s">
        <v>402</v>
      </c>
      <c r="H65" s="766"/>
      <c r="I65" s="766"/>
      <c r="J65" s="766"/>
      <c r="K65" s="570">
        <v>45876</v>
      </c>
      <c r="L65" s="568" t="s">
        <v>691</v>
      </c>
      <c r="M65" s="531"/>
      <c r="N65" s="722"/>
      <c r="O65" s="722"/>
      <c r="P65" s="722"/>
    </row>
    <row r="66" spans="1:16" ht="15.6">
      <c r="A66" s="568">
        <f t="shared" si="0"/>
        <v>64</v>
      </c>
      <c r="B66" s="569" t="s">
        <v>149</v>
      </c>
      <c r="C66" s="568" t="s">
        <v>444</v>
      </c>
      <c r="D66" s="568" t="s">
        <v>239</v>
      </c>
      <c r="E66" s="570">
        <v>45862</v>
      </c>
      <c r="F66" s="571">
        <v>29</v>
      </c>
      <c r="G66" s="766" t="s">
        <v>402</v>
      </c>
      <c r="H66" s="766"/>
      <c r="I66" s="766"/>
      <c r="J66" s="766"/>
      <c r="K66" s="570">
        <v>45875</v>
      </c>
      <c r="L66" s="568" t="s">
        <v>694</v>
      </c>
      <c r="M66" s="531"/>
      <c r="N66" s="724"/>
      <c r="O66" s="724"/>
      <c r="P66" s="724"/>
    </row>
    <row r="67" spans="1:16" ht="15.6">
      <c r="A67" s="568">
        <f t="shared" si="0"/>
        <v>65</v>
      </c>
      <c r="B67" s="569" t="s">
        <v>131</v>
      </c>
      <c r="C67" s="568" t="s">
        <v>444</v>
      </c>
      <c r="D67" s="568" t="s">
        <v>239</v>
      </c>
      <c r="E67" s="570">
        <v>45837</v>
      </c>
      <c r="F67" s="571">
        <v>29</v>
      </c>
      <c r="G67" s="766" t="s">
        <v>402</v>
      </c>
      <c r="H67" s="766"/>
      <c r="I67" s="766"/>
      <c r="J67" s="766"/>
      <c r="K67" s="570">
        <v>45876</v>
      </c>
      <c r="L67" s="568" t="s">
        <v>692</v>
      </c>
      <c r="M67" s="531"/>
      <c r="N67" s="724"/>
      <c r="O67" s="724"/>
      <c r="P67" s="724"/>
    </row>
    <row r="68" spans="1:16" ht="25.8">
      <c r="A68" s="568">
        <f>A67+1</f>
        <v>66</v>
      </c>
      <c r="B68" s="569" t="s">
        <v>19</v>
      </c>
      <c r="C68" s="568" t="s">
        <v>589</v>
      </c>
      <c r="D68" s="568" t="s">
        <v>239</v>
      </c>
      <c r="E68" s="570">
        <v>45875</v>
      </c>
      <c r="F68" s="571">
        <v>54</v>
      </c>
      <c r="G68" s="766" t="s">
        <v>402</v>
      </c>
      <c r="H68" s="766"/>
      <c r="I68" s="766"/>
      <c r="J68" s="766"/>
      <c r="K68" s="570">
        <v>45888</v>
      </c>
      <c r="L68" s="568" t="s">
        <v>693</v>
      </c>
      <c r="M68" s="531"/>
      <c r="N68" s="722"/>
      <c r="O68" s="722"/>
      <c r="P68" s="722"/>
    </row>
    <row r="69" spans="1:16" ht="25.8">
      <c r="A69" s="568">
        <f t="shared" ref="A69:A99" si="1">A68+1</f>
        <v>67</v>
      </c>
      <c r="B69" s="569" t="s">
        <v>139</v>
      </c>
      <c r="C69" s="568" t="s">
        <v>453</v>
      </c>
      <c r="D69" s="568" t="s">
        <v>239</v>
      </c>
      <c r="E69" s="570">
        <v>45876</v>
      </c>
      <c r="F69" s="571">
        <v>34.630000000000003</v>
      </c>
      <c r="G69" s="766" t="s">
        <v>402</v>
      </c>
      <c r="H69" s="766"/>
      <c r="I69" s="766"/>
      <c r="J69" s="766"/>
      <c r="K69" s="570">
        <v>45886</v>
      </c>
      <c r="L69" s="568" t="s">
        <v>692</v>
      </c>
      <c r="M69" s="531"/>
      <c r="N69" s="722"/>
      <c r="O69" s="722"/>
      <c r="P69" s="722"/>
    </row>
    <row r="70" spans="1:16" ht="25.8">
      <c r="A70" s="568">
        <f t="shared" si="1"/>
        <v>68</v>
      </c>
      <c r="B70" s="569" t="s">
        <v>605</v>
      </c>
      <c r="C70" s="568" t="s">
        <v>629</v>
      </c>
      <c r="D70" s="568" t="s">
        <v>239</v>
      </c>
      <c r="E70" s="570">
        <v>45876</v>
      </c>
      <c r="F70" s="571">
        <v>51.6</v>
      </c>
      <c r="G70" s="766" t="s">
        <v>402</v>
      </c>
      <c r="H70" s="766"/>
      <c r="I70" s="766"/>
      <c r="J70" s="766"/>
      <c r="K70" s="570">
        <v>45885</v>
      </c>
      <c r="L70" s="568" t="s">
        <v>690</v>
      </c>
      <c r="M70" s="531"/>
      <c r="N70" s="722"/>
      <c r="O70" s="722"/>
      <c r="P70" s="722"/>
    </row>
    <row r="71" spans="1:16" ht="25.8">
      <c r="A71" s="568">
        <f t="shared" si="1"/>
        <v>69</v>
      </c>
      <c r="B71" s="569" t="s">
        <v>165</v>
      </c>
      <c r="C71" s="568" t="s">
        <v>401</v>
      </c>
      <c r="D71" s="568" t="s">
        <v>239</v>
      </c>
      <c r="E71" s="570">
        <v>45878</v>
      </c>
      <c r="F71" s="571">
        <v>28</v>
      </c>
      <c r="G71" s="766" t="s">
        <v>402</v>
      </c>
      <c r="H71" s="766"/>
      <c r="I71" s="766"/>
      <c r="J71" s="766"/>
      <c r="K71" s="570">
        <v>45891</v>
      </c>
      <c r="L71" s="568" t="s">
        <v>691</v>
      </c>
      <c r="M71" s="531"/>
      <c r="N71" s="722"/>
      <c r="O71" s="722"/>
      <c r="P71" s="722"/>
    </row>
    <row r="72" spans="1:16" ht="25.8">
      <c r="A72" s="568">
        <f t="shared" si="1"/>
        <v>70</v>
      </c>
      <c r="B72" s="569" t="s">
        <v>8</v>
      </c>
      <c r="C72" s="568" t="s">
        <v>452</v>
      </c>
      <c r="D72" s="568" t="s">
        <v>239</v>
      </c>
      <c r="E72" s="570">
        <v>45885</v>
      </c>
      <c r="F72" s="571">
        <v>33</v>
      </c>
      <c r="G72" s="766" t="s">
        <v>402</v>
      </c>
      <c r="H72" s="766"/>
      <c r="I72" s="766"/>
      <c r="J72" s="766"/>
      <c r="K72" s="570">
        <v>45901</v>
      </c>
      <c r="L72" s="568" t="s">
        <v>690</v>
      </c>
      <c r="M72" s="531"/>
      <c r="N72" s="722"/>
      <c r="O72" s="722"/>
      <c r="P72" s="722"/>
    </row>
    <row r="73" spans="1:16" ht="25.8">
      <c r="A73" s="568">
        <f t="shared" si="1"/>
        <v>71</v>
      </c>
      <c r="B73" s="569" t="s">
        <v>150</v>
      </c>
      <c r="C73" s="568" t="s">
        <v>401</v>
      </c>
      <c r="D73" s="568" t="s">
        <v>239</v>
      </c>
      <c r="E73" s="570">
        <v>45887</v>
      </c>
      <c r="F73" s="571">
        <v>28</v>
      </c>
      <c r="G73" s="766" t="s">
        <v>402</v>
      </c>
      <c r="H73" s="766"/>
      <c r="I73" s="766"/>
      <c r="J73" s="766"/>
      <c r="K73" s="570">
        <v>45895</v>
      </c>
      <c r="L73" s="568" t="s">
        <v>692</v>
      </c>
      <c r="M73" s="531"/>
      <c r="N73" s="722"/>
      <c r="O73" s="722"/>
      <c r="P73" s="722"/>
    </row>
    <row r="74" spans="1:16" ht="25.8">
      <c r="A74" s="568">
        <f t="shared" si="1"/>
        <v>72</v>
      </c>
      <c r="B74" s="569" t="s">
        <v>660</v>
      </c>
      <c r="C74" s="568" t="s">
        <v>649</v>
      </c>
      <c r="D74" s="568" t="s">
        <v>239</v>
      </c>
      <c r="E74" s="570">
        <v>45888</v>
      </c>
      <c r="F74" s="571">
        <v>51.6</v>
      </c>
      <c r="G74" s="766" t="s">
        <v>402</v>
      </c>
      <c r="H74" s="766"/>
      <c r="I74" s="766"/>
      <c r="J74" s="766"/>
      <c r="K74" s="570">
        <v>45895</v>
      </c>
      <c r="L74" s="568" t="s">
        <v>690</v>
      </c>
      <c r="M74" s="531"/>
      <c r="N74" s="722"/>
      <c r="O74" s="722"/>
      <c r="P74" s="722"/>
    </row>
    <row r="75" spans="1:16" ht="25.8">
      <c r="A75" s="568">
        <f t="shared" si="1"/>
        <v>73</v>
      </c>
      <c r="B75" s="569" t="s">
        <v>155</v>
      </c>
      <c r="C75" s="568" t="s">
        <v>401</v>
      </c>
      <c r="D75" s="568" t="s">
        <v>239</v>
      </c>
      <c r="E75" s="570">
        <v>45891</v>
      </c>
      <c r="F75" s="571">
        <v>28</v>
      </c>
      <c r="G75" s="766" t="s">
        <v>402</v>
      </c>
      <c r="H75" s="766"/>
      <c r="I75" s="766"/>
      <c r="J75" s="766"/>
      <c r="K75" s="570">
        <v>45895</v>
      </c>
      <c r="L75" s="568" t="s">
        <v>693</v>
      </c>
      <c r="M75" s="531"/>
      <c r="N75" s="722"/>
      <c r="O75" s="722"/>
      <c r="P75" s="722"/>
    </row>
    <row r="76" spans="1:16" s="271" customFormat="1" ht="27.6" customHeight="1">
      <c r="A76" s="539">
        <f t="shared" si="1"/>
        <v>74</v>
      </c>
      <c r="B76" s="468" t="s">
        <v>559</v>
      </c>
      <c r="C76" s="182" t="s">
        <v>401</v>
      </c>
      <c r="D76" s="539" t="s">
        <v>239</v>
      </c>
      <c r="E76" s="284">
        <v>45895</v>
      </c>
      <c r="F76" s="285">
        <v>28</v>
      </c>
      <c r="G76" s="714" t="s">
        <v>402</v>
      </c>
      <c r="H76" s="714"/>
      <c r="I76" s="714"/>
      <c r="J76" s="714"/>
      <c r="K76" s="184">
        <v>45947</v>
      </c>
      <c r="L76" s="539" t="s">
        <v>693</v>
      </c>
      <c r="M76" s="539"/>
      <c r="N76" s="722"/>
      <c r="O76" s="722"/>
      <c r="P76" s="722"/>
    </row>
    <row r="77" spans="1:16" s="271" customFormat="1" ht="27.6" customHeight="1">
      <c r="A77" s="599">
        <f t="shared" si="1"/>
        <v>75</v>
      </c>
      <c r="B77" s="468" t="s">
        <v>119</v>
      </c>
      <c r="C77" s="182" t="s">
        <v>453</v>
      </c>
      <c r="D77" s="599" t="s">
        <v>239</v>
      </c>
      <c r="E77" s="284">
        <v>45900</v>
      </c>
      <c r="F77" s="285">
        <v>35</v>
      </c>
      <c r="G77" s="714" t="s">
        <v>402</v>
      </c>
      <c r="H77" s="714"/>
      <c r="I77" s="714"/>
      <c r="J77" s="714"/>
      <c r="K77" s="184">
        <v>45910</v>
      </c>
      <c r="L77" s="599" t="s">
        <v>692</v>
      </c>
      <c r="M77" s="599"/>
      <c r="N77" s="614"/>
      <c r="O77" s="614"/>
      <c r="P77" s="614"/>
    </row>
    <row r="78" spans="1:16" s="271" customFormat="1" ht="27.6" customHeight="1">
      <c r="A78" s="599">
        <f t="shared" si="1"/>
        <v>76</v>
      </c>
      <c r="B78" s="468" t="s">
        <v>607</v>
      </c>
      <c r="C78" s="182" t="s">
        <v>701</v>
      </c>
      <c r="D78" s="599" t="s">
        <v>239</v>
      </c>
      <c r="E78" s="284">
        <v>45901</v>
      </c>
      <c r="F78" s="285">
        <v>63</v>
      </c>
      <c r="G78" s="714" t="s">
        <v>402</v>
      </c>
      <c r="H78" s="714"/>
      <c r="I78" s="714"/>
      <c r="J78" s="714"/>
      <c r="K78" s="184">
        <v>45912</v>
      </c>
      <c r="L78" s="599" t="s">
        <v>693</v>
      </c>
      <c r="M78" s="599"/>
      <c r="N78" s="614"/>
      <c r="O78" s="614"/>
      <c r="P78" s="614"/>
    </row>
    <row r="79" spans="1:16" s="271" customFormat="1" ht="27.6" customHeight="1">
      <c r="A79" s="599">
        <f t="shared" si="1"/>
        <v>77</v>
      </c>
      <c r="B79" s="468" t="s">
        <v>164</v>
      </c>
      <c r="C79" s="182" t="s">
        <v>401</v>
      </c>
      <c r="D79" s="599" t="s">
        <v>239</v>
      </c>
      <c r="E79" s="284">
        <v>45903</v>
      </c>
      <c r="F79" s="285">
        <v>27.9</v>
      </c>
      <c r="G79" s="714" t="s">
        <v>402</v>
      </c>
      <c r="H79" s="714"/>
      <c r="I79" s="714"/>
      <c r="J79" s="714"/>
      <c r="K79" s="184">
        <v>45907</v>
      </c>
      <c r="L79" s="599" t="s">
        <v>690</v>
      </c>
      <c r="M79" s="599"/>
      <c r="N79" s="614"/>
      <c r="O79" s="614"/>
      <c r="P79" s="614"/>
    </row>
    <row r="80" spans="1:16" s="271" customFormat="1" ht="43.2" customHeight="1">
      <c r="A80" s="599">
        <f t="shared" si="1"/>
        <v>78</v>
      </c>
      <c r="B80" s="468" t="s">
        <v>651</v>
      </c>
      <c r="C80" s="182" t="s">
        <v>476</v>
      </c>
      <c r="D80" s="599" t="s">
        <v>239</v>
      </c>
      <c r="E80" s="284">
        <v>45905</v>
      </c>
      <c r="F80" s="285">
        <v>45</v>
      </c>
      <c r="G80" s="714" t="s">
        <v>402</v>
      </c>
      <c r="H80" s="714"/>
      <c r="I80" s="714"/>
      <c r="J80" s="714"/>
      <c r="K80" s="184">
        <v>45933</v>
      </c>
      <c r="L80" s="599" t="s">
        <v>691</v>
      </c>
      <c r="M80" s="599"/>
      <c r="N80" s="647"/>
      <c r="O80" s="647"/>
      <c r="P80" s="647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6" t="s">
        <v>675</v>
      </c>
      <c r="D81" s="481" t="s">
        <v>239</v>
      </c>
      <c r="E81" s="428">
        <v>45908</v>
      </c>
      <c r="F81" s="427">
        <v>33</v>
      </c>
      <c r="G81" s="762" t="s">
        <v>706</v>
      </c>
      <c r="H81" s="763"/>
      <c r="I81" s="763"/>
      <c r="J81" s="764"/>
      <c r="K81" s="457"/>
      <c r="L81" s="481" t="s">
        <v>690</v>
      </c>
      <c r="M81" s="481"/>
      <c r="N81" s="765"/>
      <c r="O81" s="765"/>
      <c r="P81" s="765"/>
    </row>
    <row r="82" spans="1:16" s="271" customFormat="1" ht="27.6" customHeight="1">
      <c r="A82" s="599">
        <f t="shared" si="1"/>
        <v>80</v>
      </c>
      <c r="B82" s="468" t="s">
        <v>40</v>
      </c>
      <c r="C82" s="182" t="s">
        <v>444</v>
      </c>
      <c r="D82" s="599" t="s">
        <v>239</v>
      </c>
      <c r="E82" s="284">
        <v>45909</v>
      </c>
      <c r="F82" s="285">
        <v>29</v>
      </c>
      <c r="G82" s="714" t="s">
        <v>402</v>
      </c>
      <c r="H82" s="714"/>
      <c r="I82" s="714"/>
      <c r="J82" s="714"/>
      <c r="K82" s="184">
        <v>45913</v>
      </c>
      <c r="L82" s="599" t="s">
        <v>690</v>
      </c>
      <c r="M82" s="599"/>
      <c r="N82" s="614"/>
      <c r="O82" s="614"/>
      <c r="P82" s="614"/>
    </row>
    <row r="83" spans="1:16" s="271" customFormat="1" ht="27.6" customHeight="1">
      <c r="A83" s="599">
        <f t="shared" si="1"/>
        <v>81</v>
      </c>
      <c r="B83" s="468" t="s">
        <v>154</v>
      </c>
      <c r="C83" s="182" t="s">
        <v>452</v>
      </c>
      <c r="D83" s="599" t="s">
        <v>239</v>
      </c>
      <c r="E83" s="284">
        <v>45909</v>
      </c>
      <c r="F83" s="285">
        <v>33.299999999999997</v>
      </c>
      <c r="G83" s="714" t="s">
        <v>402</v>
      </c>
      <c r="H83" s="714"/>
      <c r="I83" s="714"/>
      <c r="J83" s="714"/>
      <c r="K83" s="184">
        <v>45930</v>
      </c>
      <c r="L83" s="599" t="s">
        <v>702</v>
      </c>
      <c r="M83" s="599"/>
      <c r="N83" s="614"/>
      <c r="O83" s="614"/>
      <c r="P83" s="614"/>
    </row>
    <row r="84" spans="1:16" s="271" customFormat="1" ht="27.6" customHeight="1">
      <c r="A84" s="599">
        <f t="shared" si="1"/>
        <v>82</v>
      </c>
      <c r="B84" s="468" t="s">
        <v>118</v>
      </c>
      <c r="C84" s="182" t="s">
        <v>452</v>
      </c>
      <c r="D84" s="599" t="s">
        <v>239</v>
      </c>
      <c r="E84" s="284">
        <v>45912</v>
      </c>
      <c r="F84" s="285">
        <v>33.299999999999997</v>
      </c>
      <c r="G84" s="714" t="s">
        <v>402</v>
      </c>
      <c r="H84" s="714"/>
      <c r="I84" s="714"/>
      <c r="J84" s="714"/>
      <c r="K84" s="184">
        <v>45922</v>
      </c>
      <c r="L84" s="599" t="s">
        <v>705</v>
      </c>
      <c r="M84" s="599"/>
      <c r="N84" s="614"/>
      <c r="O84" s="614"/>
      <c r="P84" s="614"/>
    </row>
    <row r="85" spans="1:16" s="271" customFormat="1" ht="27.6" customHeight="1">
      <c r="A85" s="599">
        <f t="shared" si="1"/>
        <v>83</v>
      </c>
      <c r="B85" s="468" t="s">
        <v>562</v>
      </c>
      <c r="C85" s="182" t="s">
        <v>649</v>
      </c>
      <c r="D85" s="599" t="s">
        <v>239</v>
      </c>
      <c r="E85" s="284">
        <v>45914</v>
      </c>
      <c r="F85" s="285">
        <v>51.7</v>
      </c>
      <c r="G85" s="714" t="s">
        <v>402</v>
      </c>
      <c r="H85" s="714"/>
      <c r="I85" s="714"/>
      <c r="J85" s="714"/>
      <c r="K85" s="184">
        <v>45925</v>
      </c>
      <c r="L85" s="599" t="s">
        <v>693</v>
      </c>
      <c r="M85" s="599"/>
      <c r="N85" s="614"/>
      <c r="O85" s="614"/>
      <c r="P85" s="614"/>
    </row>
    <row r="86" spans="1:16" s="271" customFormat="1" ht="34.799999999999997" customHeight="1">
      <c r="A86" s="599">
        <f t="shared" si="1"/>
        <v>84</v>
      </c>
      <c r="B86" s="468" t="s">
        <v>686</v>
      </c>
      <c r="C86" s="182" t="s">
        <v>598</v>
      </c>
      <c r="D86" s="599" t="s">
        <v>239</v>
      </c>
      <c r="E86" s="284">
        <v>45916</v>
      </c>
      <c r="F86" s="285">
        <v>60</v>
      </c>
      <c r="G86" s="714" t="s">
        <v>402</v>
      </c>
      <c r="H86" s="714"/>
      <c r="I86" s="714"/>
      <c r="J86" s="714"/>
      <c r="K86" s="184">
        <v>45923</v>
      </c>
      <c r="L86" s="599" t="s">
        <v>690</v>
      </c>
      <c r="M86" s="599"/>
      <c r="N86" s="647"/>
      <c r="O86" s="647"/>
      <c r="P86" s="647"/>
    </row>
    <row r="87" spans="1:16" s="271" customFormat="1" ht="34.799999999999997" customHeight="1">
      <c r="A87" s="599">
        <f t="shared" si="1"/>
        <v>85</v>
      </c>
      <c r="B87" s="468" t="s">
        <v>117</v>
      </c>
      <c r="C87" s="182" t="s">
        <v>448</v>
      </c>
      <c r="D87" s="599" t="s">
        <v>239</v>
      </c>
      <c r="E87" s="284">
        <v>45922</v>
      </c>
      <c r="F87" s="285">
        <v>27</v>
      </c>
      <c r="G87" s="714" t="s">
        <v>402</v>
      </c>
      <c r="H87" s="714"/>
      <c r="I87" s="714"/>
      <c r="J87" s="714"/>
      <c r="K87" s="184">
        <v>45930</v>
      </c>
      <c r="L87" s="599" t="s">
        <v>705</v>
      </c>
      <c r="M87" s="599"/>
      <c r="N87" s="647"/>
      <c r="O87" s="647"/>
      <c r="P87" s="647"/>
    </row>
    <row r="88" spans="1:16" s="271" customFormat="1" ht="34.799999999999997" customHeight="1">
      <c r="A88" s="599">
        <f t="shared" si="1"/>
        <v>86</v>
      </c>
      <c r="B88" s="468" t="s">
        <v>671</v>
      </c>
      <c r="C88" s="182" t="s">
        <v>672</v>
      </c>
      <c r="D88" s="599" t="s">
        <v>239</v>
      </c>
      <c r="E88" s="284">
        <v>45925</v>
      </c>
      <c r="F88" s="285">
        <v>50</v>
      </c>
      <c r="G88" s="714" t="s">
        <v>402</v>
      </c>
      <c r="H88" s="714"/>
      <c r="I88" s="714"/>
      <c r="J88" s="714"/>
      <c r="K88" s="184">
        <v>45931</v>
      </c>
      <c r="L88" s="599" t="s">
        <v>690</v>
      </c>
      <c r="M88" s="599"/>
      <c r="N88" s="647"/>
      <c r="O88" s="647"/>
      <c r="P88" s="647"/>
    </row>
    <row r="89" spans="1:16" s="271" customFormat="1" ht="34.799999999999997" customHeight="1">
      <c r="A89" s="599">
        <f t="shared" si="1"/>
        <v>87</v>
      </c>
      <c r="B89" s="468" t="s">
        <v>173</v>
      </c>
      <c r="C89" s="182" t="s">
        <v>448</v>
      </c>
      <c r="D89" s="599" t="s">
        <v>239</v>
      </c>
      <c r="E89" s="284">
        <v>45928</v>
      </c>
      <c r="F89" s="285">
        <v>27</v>
      </c>
      <c r="G89" s="714" t="s">
        <v>402</v>
      </c>
      <c r="H89" s="714"/>
      <c r="I89" s="714"/>
      <c r="J89" s="714"/>
      <c r="K89" s="184">
        <v>45935</v>
      </c>
      <c r="L89" s="599" t="s">
        <v>693</v>
      </c>
      <c r="M89" s="599"/>
      <c r="N89" s="647"/>
      <c r="O89" s="647"/>
      <c r="P89" s="647"/>
    </row>
    <row r="90" spans="1:16" s="271" customFormat="1" ht="34.799999999999997" customHeight="1">
      <c r="A90" s="599">
        <f t="shared" si="1"/>
        <v>88</v>
      </c>
      <c r="B90" s="468" t="s">
        <v>695</v>
      </c>
      <c r="C90" s="182" t="s">
        <v>696</v>
      </c>
      <c r="D90" s="599" t="s">
        <v>239</v>
      </c>
      <c r="E90" s="284">
        <v>45929</v>
      </c>
      <c r="F90" s="285">
        <v>60</v>
      </c>
      <c r="G90" s="714" t="s">
        <v>402</v>
      </c>
      <c r="H90" s="714"/>
      <c r="I90" s="714"/>
      <c r="J90" s="714"/>
      <c r="K90" s="184">
        <v>45947</v>
      </c>
      <c r="L90" s="599" t="s">
        <v>702</v>
      </c>
      <c r="M90" s="599"/>
      <c r="N90" s="647"/>
      <c r="O90" s="647"/>
      <c r="P90" s="647"/>
    </row>
    <row r="91" spans="1:16" s="271" customFormat="1" ht="34.799999999999997" customHeight="1">
      <c r="A91" s="599">
        <f t="shared" si="1"/>
        <v>89</v>
      </c>
      <c r="B91" s="468" t="s">
        <v>597</v>
      </c>
      <c r="C91" s="182" t="s">
        <v>598</v>
      </c>
      <c r="D91" s="599" t="s">
        <v>239</v>
      </c>
      <c r="E91" s="284">
        <v>45934</v>
      </c>
      <c r="F91" s="285">
        <v>60</v>
      </c>
      <c r="G91" s="714" t="s">
        <v>402</v>
      </c>
      <c r="H91" s="714"/>
      <c r="I91" s="714"/>
      <c r="J91" s="714"/>
      <c r="K91" s="184">
        <v>45947</v>
      </c>
      <c r="L91" s="599" t="s">
        <v>705</v>
      </c>
      <c r="M91" s="599"/>
      <c r="N91" s="647"/>
      <c r="O91" s="647"/>
      <c r="P91" s="647"/>
    </row>
    <row r="92" spans="1:16" s="271" customFormat="1" ht="34.799999999999997" customHeight="1">
      <c r="A92" s="615">
        <f t="shared" si="1"/>
        <v>90</v>
      </c>
      <c r="B92" s="468" t="s">
        <v>664</v>
      </c>
      <c r="C92" s="182" t="s">
        <v>116</v>
      </c>
      <c r="D92" s="615" t="s">
        <v>239</v>
      </c>
      <c r="E92" s="284">
        <v>45946</v>
      </c>
      <c r="F92" s="285">
        <v>89</v>
      </c>
      <c r="G92" s="714" t="s">
        <v>402</v>
      </c>
      <c r="H92" s="714"/>
      <c r="I92" s="714"/>
      <c r="J92" s="714"/>
      <c r="K92" s="184">
        <v>45968</v>
      </c>
      <c r="L92" s="615" t="s">
        <v>705</v>
      </c>
      <c r="M92" s="615"/>
      <c r="N92" s="647"/>
      <c r="O92" s="647"/>
      <c r="P92" s="647"/>
    </row>
    <row r="93" spans="1:16" s="429" customFormat="1" ht="34.799999999999997" customHeight="1">
      <c r="A93" s="481">
        <f t="shared" si="1"/>
        <v>91</v>
      </c>
      <c r="B93" s="467" t="s">
        <v>669</v>
      </c>
      <c r="C93" s="486" t="s">
        <v>116</v>
      </c>
      <c r="D93" s="481" t="s">
        <v>239</v>
      </c>
      <c r="E93" s="428">
        <v>45946</v>
      </c>
      <c r="F93" s="427">
        <v>89</v>
      </c>
      <c r="G93" s="708" t="s">
        <v>803</v>
      </c>
      <c r="H93" s="709"/>
      <c r="I93" s="709"/>
      <c r="J93" s="709"/>
      <c r="K93" s="457"/>
      <c r="L93" s="481" t="s">
        <v>702</v>
      </c>
      <c r="M93" s="481">
        <v>26</v>
      </c>
      <c r="N93" s="765"/>
      <c r="O93" s="765"/>
      <c r="P93" s="765"/>
    </row>
    <row r="94" spans="1:16" s="271" customFormat="1" ht="34.799999999999997" customHeight="1">
      <c r="A94" s="616">
        <f t="shared" si="1"/>
        <v>92</v>
      </c>
      <c r="B94" s="468" t="s">
        <v>561</v>
      </c>
      <c r="C94" s="182" t="s">
        <v>401</v>
      </c>
      <c r="D94" s="616" t="s">
        <v>239</v>
      </c>
      <c r="E94" s="284">
        <v>45948</v>
      </c>
      <c r="F94" s="285">
        <v>28</v>
      </c>
      <c r="G94" s="714" t="s">
        <v>402</v>
      </c>
      <c r="H94" s="714"/>
      <c r="I94" s="714"/>
      <c r="J94" s="714"/>
      <c r="K94" s="184">
        <v>45957</v>
      </c>
      <c r="L94" s="616" t="s">
        <v>693</v>
      </c>
      <c r="M94" s="616"/>
      <c r="N94" s="647"/>
      <c r="O94" s="647"/>
      <c r="P94" s="647"/>
    </row>
    <row r="95" spans="1:16" s="271" customFormat="1" ht="34.799999999999997" customHeight="1">
      <c r="A95" s="616">
        <f t="shared" si="1"/>
        <v>93</v>
      </c>
      <c r="B95" s="468" t="s">
        <v>162</v>
      </c>
      <c r="C95" s="182" t="s">
        <v>401</v>
      </c>
      <c r="D95" s="616" t="s">
        <v>239</v>
      </c>
      <c r="E95" s="284">
        <v>45959</v>
      </c>
      <c r="F95" s="285">
        <v>28</v>
      </c>
      <c r="G95" s="714" t="s">
        <v>402</v>
      </c>
      <c r="H95" s="714"/>
      <c r="I95" s="714"/>
      <c r="J95" s="714"/>
      <c r="K95" s="184">
        <v>45967</v>
      </c>
      <c r="L95" s="616" t="s">
        <v>693</v>
      </c>
      <c r="M95" s="616"/>
      <c r="N95" s="647"/>
      <c r="O95" s="647"/>
      <c r="P95" s="647"/>
    </row>
    <row r="96" spans="1:16" s="271" customFormat="1" ht="34.799999999999997" customHeight="1">
      <c r="A96" s="616">
        <f t="shared" si="1"/>
        <v>94</v>
      </c>
      <c r="B96" s="468" t="s">
        <v>158</v>
      </c>
      <c r="C96" s="182" t="s">
        <v>401</v>
      </c>
      <c r="D96" s="616" t="s">
        <v>239</v>
      </c>
      <c r="E96" s="284">
        <v>45965</v>
      </c>
      <c r="F96" s="285">
        <v>28</v>
      </c>
      <c r="G96" s="714" t="s">
        <v>402</v>
      </c>
      <c r="H96" s="714"/>
      <c r="I96" s="714"/>
      <c r="J96" s="714"/>
      <c r="K96" s="184">
        <v>45973</v>
      </c>
      <c r="L96" s="616" t="s">
        <v>693</v>
      </c>
      <c r="M96" s="616"/>
      <c r="N96" s="647"/>
      <c r="O96" s="647"/>
      <c r="P96" s="647"/>
    </row>
    <row r="97" spans="1:16" s="271" customFormat="1" ht="34.799999999999997" customHeight="1">
      <c r="A97" s="616">
        <f t="shared" si="1"/>
        <v>95</v>
      </c>
      <c r="B97" s="468" t="s">
        <v>151</v>
      </c>
      <c r="C97" s="182" t="s">
        <v>401</v>
      </c>
      <c r="D97" s="616" t="s">
        <v>239</v>
      </c>
      <c r="E97" s="284">
        <v>45967</v>
      </c>
      <c r="F97" s="285">
        <v>28</v>
      </c>
      <c r="G97" s="714" t="s">
        <v>402</v>
      </c>
      <c r="H97" s="714"/>
      <c r="I97" s="714"/>
      <c r="J97" s="714"/>
      <c r="K97" s="184">
        <v>45974</v>
      </c>
      <c r="L97" s="616" t="s">
        <v>702</v>
      </c>
      <c r="M97" s="616"/>
      <c r="N97" s="647"/>
      <c r="O97" s="647"/>
      <c r="P97" s="647"/>
    </row>
    <row r="98" spans="1:16" s="429" customFormat="1" ht="34.799999999999997" customHeight="1">
      <c r="A98" s="481">
        <f t="shared" si="1"/>
        <v>96</v>
      </c>
      <c r="B98" s="467" t="s">
        <v>680</v>
      </c>
      <c r="C98" s="486" t="s">
        <v>594</v>
      </c>
      <c r="D98" s="481" t="s">
        <v>239</v>
      </c>
      <c r="E98" s="428">
        <v>45967</v>
      </c>
      <c r="F98" s="427">
        <v>45</v>
      </c>
      <c r="G98" s="708" t="s">
        <v>815</v>
      </c>
      <c r="H98" s="709"/>
      <c r="I98" s="709"/>
      <c r="J98" s="709"/>
      <c r="K98" s="457"/>
      <c r="L98" s="481" t="s">
        <v>705</v>
      </c>
      <c r="M98" s="481">
        <v>33</v>
      </c>
      <c r="N98" s="765"/>
      <c r="O98" s="765"/>
      <c r="P98" s="765"/>
    </row>
    <row r="99" spans="1:16" s="429" customFormat="1" ht="34.799999999999997" customHeight="1">
      <c r="A99" s="481">
        <f t="shared" si="1"/>
        <v>97</v>
      </c>
      <c r="B99" s="467" t="s">
        <v>120</v>
      </c>
      <c r="C99" s="486" t="s">
        <v>444</v>
      </c>
      <c r="D99" s="481" t="s">
        <v>239</v>
      </c>
      <c r="E99" s="428">
        <v>45967</v>
      </c>
      <c r="F99" s="427">
        <v>29</v>
      </c>
      <c r="G99" s="708" t="s">
        <v>816</v>
      </c>
      <c r="H99" s="709"/>
      <c r="I99" s="709"/>
      <c r="J99" s="709"/>
      <c r="K99" s="457"/>
      <c r="L99" s="481" t="s">
        <v>693</v>
      </c>
      <c r="M99" s="481">
        <v>30</v>
      </c>
      <c r="N99" s="765"/>
      <c r="O99" s="765"/>
      <c r="P99" s="765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190"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0:J80"/>
    <mergeCell ref="N80:P80"/>
    <mergeCell ref="G81:J81"/>
    <mergeCell ref="N81:P81"/>
    <mergeCell ref="G82:J82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25:J25"/>
    <mergeCell ref="N25:P25"/>
    <mergeCell ref="G20:J20"/>
    <mergeCell ref="N20:P20"/>
    <mergeCell ref="G21:J21"/>
    <mergeCell ref="N21:P21"/>
    <mergeCell ref="G22:J22"/>
    <mergeCell ref="N22:P22"/>
    <mergeCell ref="G17:J17"/>
    <mergeCell ref="N17:P17"/>
    <mergeCell ref="G18:J18"/>
    <mergeCell ref="N18:P18"/>
    <mergeCell ref="G23:J23"/>
    <mergeCell ref="N23:P23"/>
    <mergeCell ref="G24:J24"/>
    <mergeCell ref="N24:P24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2:J12"/>
    <mergeCell ref="N12:P12"/>
    <mergeCell ref="G13:J13"/>
    <mergeCell ref="N13:P13"/>
    <mergeCell ref="G92:J92"/>
    <mergeCell ref="N92:P92"/>
    <mergeCell ref="G93:J93"/>
    <mergeCell ref="N93:P93"/>
    <mergeCell ref="G94:J94"/>
    <mergeCell ref="N94:P94"/>
    <mergeCell ref="G19:J19"/>
    <mergeCell ref="N19:P19"/>
    <mergeCell ref="G14:J14"/>
    <mergeCell ref="N14:P14"/>
    <mergeCell ref="G15:J15"/>
    <mergeCell ref="N15:P15"/>
    <mergeCell ref="G26:J26"/>
    <mergeCell ref="N26:P26"/>
    <mergeCell ref="G27:J27"/>
    <mergeCell ref="N27:P27"/>
    <mergeCell ref="G28:J28"/>
    <mergeCell ref="N28:P28"/>
    <mergeCell ref="G16:J16"/>
    <mergeCell ref="N16:P16"/>
    <mergeCell ref="G98:J98"/>
    <mergeCell ref="N98:P98"/>
    <mergeCell ref="G99:J99"/>
    <mergeCell ref="N99:P99"/>
    <mergeCell ref="G97:J97"/>
    <mergeCell ref="N97:P97"/>
    <mergeCell ref="G96:J96"/>
    <mergeCell ref="N96:P96"/>
    <mergeCell ref="G95:J95"/>
    <mergeCell ref="N95:P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70" zoomScale="80" zoomScaleNormal="100" zoomScaleSheetLayoutView="80" workbookViewId="0">
      <selection activeCell="X104" sqref="X104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38"/>
    </row>
    <row r="2" spans="1:37" s="46" customFormat="1" ht="23.4" thickBot="1">
      <c r="A2" s="127"/>
      <c r="B2" s="775" t="s">
        <v>235</v>
      </c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201"/>
    </row>
    <row r="3" spans="1:37" s="206" customFormat="1" ht="13.95" customHeight="1" thickBot="1">
      <c r="A3" s="369"/>
      <c r="B3" s="781" t="s">
        <v>435</v>
      </c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782"/>
      <c r="O3" s="782"/>
      <c r="P3" s="782"/>
      <c r="Q3" s="783"/>
      <c r="R3" s="128"/>
      <c r="S3" s="202"/>
      <c r="T3" s="203"/>
      <c r="U3" s="780"/>
      <c r="V3" s="780"/>
      <c r="W3" s="10"/>
      <c r="AA3" s="370"/>
    </row>
    <row r="4" spans="1:37" s="206" customFormat="1" ht="13.95" customHeight="1" thickBot="1">
      <c r="A4" s="369"/>
      <c r="B4" s="784" t="s">
        <v>436</v>
      </c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785"/>
      <c r="O4" s="785"/>
      <c r="P4" s="785"/>
      <c r="Q4" s="786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787" t="s">
        <v>371</v>
      </c>
      <c r="D5" s="787"/>
      <c r="E5" s="787"/>
      <c r="F5" s="787"/>
      <c r="G5" s="787" t="s">
        <v>438</v>
      </c>
      <c r="H5" s="787"/>
      <c r="I5" s="787" t="s">
        <v>439</v>
      </c>
      <c r="J5" s="787"/>
      <c r="K5" s="787"/>
      <c r="L5" s="787" t="s">
        <v>55</v>
      </c>
      <c r="M5" s="787"/>
      <c r="N5" s="787"/>
      <c r="O5" s="787" t="s">
        <v>57</v>
      </c>
      <c r="P5" s="787"/>
      <c r="Q5" s="788"/>
      <c r="R5" s="128"/>
      <c r="S5" s="202"/>
      <c r="T5" s="203"/>
      <c r="U5" s="780"/>
      <c r="V5" s="780"/>
      <c r="W5" s="10"/>
      <c r="AA5" s="370"/>
    </row>
    <row r="6" spans="1:37" s="206" customFormat="1" ht="13.95" customHeight="1">
      <c r="A6" s="369"/>
      <c r="B6" s="160">
        <v>1</v>
      </c>
      <c r="C6" s="779" t="s">
        <v>392</v>
      </c>
      <c r="D6" s="779"/>
      <c r="E6" s="779"/>
      <c r="F6" s="779"/>
      <c r="G6" s="779" t="s">
        <v>108</v>
      </c>
      <c r="H6" s="779"/>
      <c r="I6" s="779">
        <v>47.84</v>
      </c>
      <c r="J6" s="779"/>
      <c r="K6" s="779"/>
      <c r="L6" s="779">
        <v>47.84</v>
      </c>
      <c r="M6" s="779"/>
      <c r="N6" s="779"/>
      <c r="O6" s="779">
        <f t="shared" ref="O6:O12" si="0">I6-L6</f>
        <v>0</v>
      </c>
      <c r="P6" s="779"/>
      <c r="Q6" s="789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777" t="s">
        <v>237</v>
      </c>
      <c r="D7" s="777"/>
      <c r="E7" s="777"/>
      <c r="F7" s="777"/>
      <c r="G7" s="777" t="s">
        <v>108</v>
      </c>
      <c r="H7" s="777"/>
      <c r="I7" s="779">
        <v>47.84</v>
      </c>
      <c r="J7" s="779"/>
      <c r="K7" s="779"/>
      <c r="L7" s="779">
        <v>47.84</v>
      </c>
      <c r="M7" s="779"/>
      <c r="N7" s="779"/>
      <c r="O7" s="777">
        <f t="shared" si="0"/>
        <v>0</v>
      </c>
      <c r="P7" s="777"/>
      <c r="Q7" s="778"/>
      <c r="R7" s="128"/>
      <c r="S7" s="202"/>
      <c r="T7" s="203"/>
      <c r="U7" s="780"/>
      <c r="V7" s="780"/>
      <c r="W7" s="10"/>
      <c r="AA7" s="370"/>
    </row>
    <row r="8" spans="1:37" s="206" customFormat="1" ht="13.95" customHeight="1">
      <c r="A8" s="369"/>
      <c r="B8" s="161">
        <v>3</v>
      </c>
      <c r="C8" s="777" t="s">
        <v>101</v>
      </c>
      <c r="D8" s="777"/>
      <c r="E8" s="777"/>
      <c r="F8" s="777"/>
      <c r="G8" s="777" t="s">
        <v>107</v>
      </c>
      <c r="H8" s="777"/>
      <c r="I8" s="777">
        <v>127</v>
      </c>
      <c r="J8" s="777"/>
      <c r="K8" s="777"/>
      <c r="L8" s="777">
        <v>118</v>
      </c>
      <c r="M8" s="777"/>
      <c r="N8" s="777"/>
      <c r="O8" s="777">
        <f t="shared" si="0"/>
        <v>9</v>
      </c>
      <c r="P8" s="777"/>
      <c r="Q8" s="778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777" t="s">
        <v>102</v>
      </c>
      <c r="D9" s="777"/>
      <c r="E9" s="777"/>
      <c r="F9" s="777"/>
      <c r="G9" s="777" t="s">
        <v>107</v>
      </c>
      <c r="H9" s="777"/>
      <c r="I9" s="777">
        <v>127</v>
      </c>
      <c r="J9" s="777"/>
      <c r="K9" s="777"/>
      <c r="L9" s="777">
        <v>113</v>
      </c>
      <c r="M9" s="777"/>
      <c r="N9" s="777"/>
      <c r="O9" s="777">
        <f t="shared" si="0"/>
        <v>14</v>
      </c>
      <c r="P9" s="777"/>
      <c r="Q9" s="778"/>
      <c r="R9" s="128"/>
      <c r="S9" s="202"/>
      <c r="T9" s="203"/>
      <c r="U9" s="780"/>
      <c r="V9" s="780"/>
      <c r="W9" s="10"/>
      <c r="AA9" s="370"/>
    </row>
    <row r="10" spans="1:37" s="206" customFormat="1" ht="13.95" customHeight="1">
      <c r="A10" s="369"/>
      <c r="B10" s="161">
        <v>5</v>
      </c>
      <c r="C10" s="777" t="s">
        <v>103</v>
      </c>
      <c r="D10" s="777"/>
      <c r="E10" s="777"/>
      <c r="F10" s="777"/>
      <c r="G10" s="777" t="s">
        <v>107</v>
      </c>
      <c r="H10" s="777"/>
      <c r="I10" s="777">
        <v>127</v>
      </c>
      <c r="J10" s="777"/>
      <c r="K10" s="777"/>
      <c r="L10" s="777">
        <v>95</v>
      </c>
      <c r="M10" s="777"/>
      <c r="N10" s="777"/>
      <c r="O10" s="777">
        <f t="shared" si="0"/>
        <v>32</v>
      </c>
      <c r="P10" s="777"/>
      <c r="Q10" s="778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777" t="s">
        <v>440</v>
      </c>
      <c r="D11" s="777"/>
      <c r="E11" s="777"/>
      <c r="F11" s="777"/>
      <c r="G11" s="777" t="s">
        <v>108</v>
      </c>
      <c r="H11" s="777"/>
      <c r="I11" s="777">
        <v>47.84</v>
      </c>
      <c r="J11" s="777"/>
      <c r="K11" s="777"/>
      <c r="L11" s="777">
        <v>8.5399999999999991</v>
      </c>
      <c r="M11" s="777"/>
      <c r="N11" s="777"/>
      <c r="O11" s="777">
        <f t="shared" si="0"/>
        <v>39.300000000000004</v>
      </c>
      <c r="P11" s="777"/>
      <c r="Q11" s="778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773" t="s">
        <v>442</v>
      </c>
      <c r="D12" s="773"/>
      <c r="E12" s="773"/>
      <c r="F12" s="773"/>
      <c r="G12" s="773" t="s">
        <v>107</v>
      </c>
      <c r="H12" s="773"/>
      <c r="I12" s="773">
        <v>47.84</v>
      </c>
      <c r="J12" s="773"/>
      <c r="K12" s="773"/>
      <c r="L12" s="773">
        <f>1.106+0.48</f>
        <v>1.5860000000000001</v>
      </c>
      <c r="M12" s="773"/>
      <c r="N12" s="773"/>
      <c r="O12" s="773">
        <f t="shared" si="0"/>
        <v>46.254000000000005</v>
      </c>
      <c r="P12" s="773"/>
      <c r="Q12" s="774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798"/>
      <c r="C13" s="799"/>
      <c r="D13" s="799"/>
      <c r="E13" s="799"/>
      <c r="F13" s="799"/>
      <c r="G13" s="799"/>
      <c r="H13" s="799"/>
      <c r="I13" s="799"/>
      <c r="J13" s="799"/>
      <c r="K13" s="799"/>
      <c r="L13" s="799"/>
      <c r="M13" s="799"/>
      <c r="N13" s="799"/>
      <c r="O13" s="799"/>
      <c r="P13" s="799"/>
      <c r="Q13" s="799"/>
      <c r="R13" s="799"/>
      <c r="S13" s="799"/>
      <c r="T13" s="799"/>
      <c r="U13" s="799"/>
      <c r="V13" s="799"/>
      <c r="W13" s="800"/>
      <c r="AK13" s="9" t="s">
        <v>98</v>
      </c>
    </row>
    <row r="14" spans="1:37" ht="13.8">
      <c r="A14" s="11"/>
      <c r="B14" s="798" t="s">
        <v>195</v>
      </c>
      <c r="C14" s="799"/>
      <c r="D14" s="799"/>
      <c r="E14" s="799"/>
      <c r="F14" s="799"/>
      <c r="G14" s="799"/>
      <c r="H14" s="799"/>
      <c r="I14" s="799"/>
      <c r="J14" s="799"/>
      <c r="K14" s="799"/>
      <c r="L14" s="799"/>
      <c r="M14" s="799"/>
      <c r="N14" s="799"/>
      <c r="O14" s="799"/>
      <c r="P14" s="799"/>
      <c r="Q14" s="799"/>
      <c r="R14" s="799"/>
      <c r="S14" s="799"/>
      <c r="T14" s="799"/>
      <c r="U14" s="799"/>
      <c r="V14" s="799"/>
      <c r="W14" s="800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805">
        <f>(D17)/1000</f>
        <v>0.249635</v>
      </c>
      <c r="D22" s="805"/>
      <c r="E22" s="805"/>
      <c r="F22" s="790"/>
      <c r="G22" s="790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  <c r="S22" s="790"/>
      <c r="T22" s="790"/>
      <c r="U22" s="790"/>
      <c r="V22" s="790"/>
      <c r="W22" s="129"/>
    </row>
    <row r="23" spans="1:29" s="31" customFormat="1" ht="11.55" customHeight="1">
      <c r="A23" s="61"/>
      <c r="B23" s="61"/>
      <c r="D23" s="792" t="s">
        <v>197</v>
      </c>
      <c r="E23" s="792"/>
      <c r="F23" s="792"/>
      <c r="G23" s="219"/>
      <c r="H23" s="219"/>
      <c r="J23" s="218" t="s">
        <v>198</v>
      </c>
      <c r="P23" s="219"/>
      <c r="Q23" s="219"/>
      <c r="R23" s="219"/>
      <c r="S23" s="796" t="s">
        <v>199</v>
      </c>
      <c r="T23" s="796"/>
      <c r="U23" s="796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L26</f>
        <v>385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790">
        <f>(F17+H17+J17+L17+N17+P17+R17+T17+V17+D26+H26+F26+J26)/1000</f>
        <v>4.9324240000000001</v>
      </c>
      <c r="D31" s="790"/>
      <c r="E31" s="790"/>
      <c r="F31" s="790"/>
      <c r="G31" s="790"/>
      <c r="H31" s="790"/>
      <c r="I31" s="790"/>
      <c r="J31" s="790"/>
      <c r="K31" s="790"/>
      <c r="L31" s="109"/>
      <c r="M31" s="220"/>
      <c r="N31" s="220"/>
      <c r="O31" s="220"/>
      <c r="P31" s="804"/>
      <c r="Q31" s="804"/>
      <c r="R31" s="804"/>
      <c r="S31" s="804"/>
      <c r="T31" s="804"/>
      <c r="U31" s="804"/>
      <c r="V31" s="804"/>
      <c r="W31" s="110"/>
    </row>
    <row r="32" spans="1:29" s="31" customFormat="1" ht="15.75" customHeight="1">
      <c r="A32" s="61"/>
      <c r="B32" s="65"/>
      <c r="C32" s="792" t="s">
        <v>199</v>
      </c>
      <c r="D32" s="792"/>
      <c r="E32" s="792"/>
      <c r="O32" s="803"/>
      <c r="P32" s="803"/>
      <c r="Q32" s="803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798" t="s">
        <v>194</v>
      </c>
      <c r="C34" s="799"/>
      <c r="D34" s="799"/>
      <c r="E34" s="799"/>
      <c r="F34" s="799"/>
      <c r="G34" s="799"/>
      <c r="H34" s="799"/>
      <c r="I34" s="799"/>
      <c r="J34" s="799"/>
      <c r="K34" s="799"/>
      <c r="L34" s="799"/>
      <c r="M34" s="799"/>
      <c r="N34" s="799"/>
      <c r="O34" s="799"/>
      <c r="P34" s="799"/>
      <c r="Q34" s="799"/>
      <c r="R34" s="799"/>
      <c r="S34" s="799"/>
      <c r="T34" s="799"/>
      <c r="U34" s="799"/>
      <c r="V34" s="799"/>
      <c r="W34" s="800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385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2208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D37+F37+H37+J37</f>
        <v>1598.4580000000001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01">
        <f>(L26+D37+F37+H37+J37)/1000</f>
        <v>1.9834580000000002</v>
      </c>
      <c r="D42" s="802"/>
      <c r="E42" s="801"/>
      <c r="F42" s="801"/>
      <c r="G42" s="801"/>
      <c r="H42" s="801"/>
      <c r="I42" s="801"/>
      <c r="J42" s="801"/>
      <c r="K42" s="801"/>
      <c r="L42" s="801"/>
      <c r="M42" s="801"/>
      <c r="N42" s="801"/>
      <c r="O42" s="801"/>
      <c r="P42" s="801"/>
      <c r="Q42" s="801"/>
      <c r="R42" s="801"/>
      <c r="S42" s="801"/>
      <c r="T42" s="801"/>
      <c r="U42" s="801"/>
      <c r="V42" s="801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797" t="s">
        <v>200</v>
      </c>
      <c r="H43" s="797"/>
      <c r="I43" s="118"/>
      <c r="J43" s="118"/>
      <c r="K43" s="118"/>
      <c r="L43" s="797"/>
      <c r="M43" s="797"/>
      <c r="N43" s="118"/>
      <c r="O43" s="118"/>
      <c r="P43" s="118"/>
      <c r="Q43" s="225"/>
      <c r="R43" s="225"/>
      <c r="S43" s="225"/>
      <c r="T43" s="797" t="s">
        <v>202</v>
      </c>
      <c r="U43" s="797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790">
        <f>SUM(L37+N37+P37+R37+T37+H46+J46+L46+N46+D46+V37+F46)/1000</f>
        <v>4.4800200000000006</v>
      </c>
      <c r="D51" s="790"/>
      <c r="E51" s="790"/>
      <c r="F51" s="790"/>
      <c r="G51" s="790"/>
      <c r="H51" s="790"/>
      <c r="I51" s="790"/>
      <c r="J51" s="790"/>
      <c r="K51" s="790"/>
      <c r="L51" s="790"/>
      <c r="M51" s="790"/>
      <c r="N51" s="790"/>
      <c r="O51" s="790">
        <f>(P46+R46)/1000</f>
        <v>0.77731500000000009</v>
      </c>
      <c r="P51" s="790"/>
      <c r="Q51" s="790"/>
      <c r="R51" s="790"/>
      <c r="S51" s="790"/>
      <c r="T51" s="790"/>
      <c r="U51" s="790"/>
      <c r="V51" s="790"/>
      <c r="W51" s="106"/>
    </row>
    <row r="52" spans="1:29" s="99" customFormat="1" ht="12" customHeight="1">
      <c r="A52" s="102"/>
      <c r="B52" s="100"/>
      <c r="C52" s="792"/>
      <c r="D52" s="792"/>
      <c r="E52" s="792"/>
      <c r="F52" s="231"/>
      <c r="G52" s="231"/>
      <c r="H52" s="231"/>
      <c r="I52" s="231"/>
      <c r="J52" s="808" t="s">
        <v>203</v>
      </c>
      <c r="K52" s="808"/>
      <c r="L52" s="808"/>
      <c r="M52" s="231"/>
      <c r="N52" s="231"/>
      <c r="O52" s="811"/>
      <c r="P52" s="811"/>
      <c r="Q52" s="811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790">
        <f>SUM(T46+V46+D55+F55)/1000</f>
        <v>1.7277819999999999</v>
      </c>
      <c r="D60" s="790"/>
      <c r="E60" s="790"/>
      <c r="F60" s="790"/>
      <c r="G60" s="790">
        <f>SUM(H55+J55)/1000</f>
        <v>0.83175999999999994</v>
      </c>
      <c r="H60" s="790"/>
      <c r="I60" s="790"/>
      <c r="J60" s="790"/>
      <c r="K60" s="790">
        <f>SUM(L55)/1000</f>
        <v>0.23086999999999999</v>
      </c>
      <c r="L60" s="790"/>
      <c r="M60" s="790"/>
      <c r="N60" s="790"/>
      <c r="O60" s="790"/>
      <c r="P60" s="790"/>
      <c r="Q60" s="790"/>
      <c r="R60" s="790"/>
      <c r="S60" s="790"/>
      <c r="T60" s="790"/>
      <c r="U60" s="790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792"/>
      <c r="K61" s="792"/>
      <c r="L61" s="792"/>
      <c r="M61" s="231"/>
      <c r="N61" s="231"/>
      <c r="O61" s="231"/>
      <c r="P61" s="231"/>
      <c r="Q61" s="231"/>
      <c r="R61" s="793" t="s">
        <v>211</v>
      </c>
      <c r="S61" s="793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2"/>
      <c r="F65" s="231">
        <f>VLOOKUP(E68,[18]TS!$B$10:$D$253,3,0)</f>
        <v>380</v>
      </c>
      <c r="G65" s="231"/>
      <c r="H65" s="231">
        <f>VLOOKUP(G68,[18]TS!$B$10:$D$253,3,0)</f>
        <v>475</v>
      </c>
      <c r="I65" s="512"/>
      <c r="J65" s="231">
        <f>VLOOKUP(I68,[18]TS!$B$10:$D$253,3,0)</f>
        <v>380</v>
      </c>
      <c r="K65" s="512"/>
      <c r="L65" s="231">
        <f>VLOOKUP(K68,[18]TS!$B$10:$D$253,3,0)</f>
        <v>390</v>
      </c>
      <c r="M65" s="512"/>
      <c r="N65" s="231">
        <f>VLOOKUP(M68,[18]TS!$B$10:$D$253,3,0)</f>
        <v>465</v>
      </c>
      <c r="O65" s="512"/>
      <c r="P65" s="231">
        <f>VLOOKUP(O68,[18]TS!$B$10:$D$253,3,0)</f>
        <v>383.20800000000003</v>
      </c>
      <c r="Q65" s="214"/>
      <c r="R65" s="510">
        <f>VLOOKUP(Q68,[18]TS!$B$10:$D$253,3,0)</f>
        <v>380</v>
      </c>
      <c r="S65" s="511"/>
      <c r="T65" s="510">
        <f>VLOOKUP(S68,[18]TS!$B$10:$D$253,3,0)</f>
        <v>348</v>
      </c>
      <c r="U65" s="511"/>
      <c r="V65" s="510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790">
        <f>SUM(N55+P55+R55+T55+V55+D65)/1000</f>
        <v>2.4264510000000001</v>
      </c>
      <c r="D70" s="790"/>
      <c r="E70" s="790">
        <f>SUM(F65+H65+J65+L65+N65+P65)/1000</f>
        <v>2.4732080000000001</v>
      </c>
      <c r="F70" s="790"/>
      <c r="G70" s="790"/>
      <c r="H70" s="790"/>
      <c r="I70" s="790"/>
      <c r="J70" s="790"/>
      <c r="K70" s="790"/>
      <c r="L70" s="790"/>
      <c r="M70" s="790"/>
      <c r="N70" s="790"/>
      <c r="O70" s="790"/>
      <c r="P70" s="790"/>
      <c r="Q70" s="790"/>
      <c r="R70" s="790">
        <f>SUM(R65+T65+V65)/1000</f>
        <v>1.1057840000000001</v>
      </c>
      <c r="S70" s="790"/>
      <c r="T70" s="790"/>
      <c r="U70" s="790"/>
      <c r="V70" s="790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792" t="s">
        <v>213</v>
      </c>
      <c r="U71" s="792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8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1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8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790">
        <f>SUM(D74+F74+H74+J74)/1000</f>
        <v>1.4447999999999999</v>
      </c>
      <c r="D79" s="790"/>
      <c r="E79" s="790"/>
      <c r="F79" s="790"/>
      <c r="G79" s="790"/>
      <c r="H79" s="790"/>
      <c r="I79" s="790"/>
      <c r="J79" s="790"/>
      <c r="K79" s="790"/>
      <c r="L79" s="790">
        <f>SUM(N74+L74)/1000</f>
        <v>0.69755800000000001</v>
      </c>
      <c r="M79" s="790"/>
      <c r="N79" s="790"/>
      <c r="O79" s="790"/>
      <c r="P79" s="790">
        <f>SUM(P74+R74+T74+V74)/1000</f>
        <v>1.514518</v>
      </c>
      <c r="Q79" s="790"/>
      <c r="R79" s="790"/>
      <c r="S79" s="790"/>
      <c r="T79" s="790"/>
      <c r="U79" s="790"/>
      <c r="V79" s="790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46</v>
      </c>
      <c r="AA79" s="96">
        <f t="shared" si="2"/>
        <v>0</v>
      </c>
      <c r="AB79" s="96">
        <f t="shared" si="2"/>
        <v>8539.0120000000006</v>
      </c>
      <c r="AC79" s="97" t="s">
        <v>93</v>
      </c>
    </row>
    <row r="80" spans="1:35" s="99" customFormat="1" ht="17.25" customHeight="1">
      <c r="A80" s="102"/>
      <c r="B80" s="100"/>
      <c r="C80" s="792" t="s">
        <v>213</v>
      </c>
      <c r="D80" s="792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792" t="s">
        <v>215</v>
      </c>
      <c r="U80" s="792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2</v>
      </c>
      <c r="AA80" s="94">
        <f t="shared" si="2"/>
        <v>0</v>
      </c>
      <c r="AB80" s="94">
        <f t="shared" si="2"/>
        <v>1598.4580000000001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46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790"/>
      <c r="D88" s="790"/>
      <c r="E88" s="790"/>
      <c r="F88" s="790"/>
      <c r="G88" s="790"/>
      <c r="H88" s="790"/>
      <c r="I88" s="790"/>
      <c r="J88" s="790"/>
      <c r="K88" s="790"/>
      <c r="L88" s="790"/>
      <c r="M88" s="790"/>
      <c r="N88" s="790"/>
      <c r="O88" s="790"/>
      <c r="P88" s="790"/>
      <c r="Q88" s="790"/>
      <c r="R88" s="790"/>
      <c r="S88" s="790"/>
      <c r="T88" s="790"/>
      <c r="U88" s="790"/>
      <c r="V88" s="790"/>
      <c r="W88" s="93"/>
    </row>
    <row r="89" spans="1:29" s="99" customFormat="1" ht="17.25" customHeight="1" thickBot="1">
      <c r="A89" s="102"/>
      <c r="B89" s="113"/>
      <c r="C89" s="794" t="s">
        <v>215</v>
      </c>
      <c r="D89" s="794"/>
      <c r="E89" s="794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794" t="s">
        <v>217</v>
      </c>
      <c r="V89" s="794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7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1</v>
      </c>
      <c r="AA96" s="9">
        <f>Z93-AA94-AA95-AA93</f>
        <v>7</v>
      </c>
      <c r="AC96" s="9" t="s">
        <v>95</v>
      </c>
    </row>
    <row r="97" spans="1:33" s="91" customFormat="1" ht="16.5" customHeight="1">
      <c r="A97" s="130"/>
      <c r="B97" s="92"/>
      <c r="C97" s="790">
        <f>SUM(D83+F83+H83+J83+L83+N83+P83+R83+T83+V83+D92+F92+H92+J92+L92+N92)/1000</f>
        <v>6.292249</v>
      </c>
      <c r="D97" s="790"/>
      <c r="E97" s="790"/>
      <c r="F97" s="790"/>
      <c r="G97" s="790"/>
      <c r="H97" s="790"/>
      <c r="I97" s="790"/>
      <c r="J97" s="790"/>
      <c r="K97" s="790"/>
      <c r="L97" s="790"/>
      <c r="M97" s="790"/>
      <c r="N97" s="790"/>
      <c r="O97" s="790">
        <f>(P92+R92)/1000</f>
        <v>0.81344499999999997</v>
      </c>
      <c r="P97" s="790"/>
      <c r="Q97" s="790"/>
      <c r="R97" s="790"/>
      <c r="S97" s="790"/>
      <c r="T97" s="790"/>
      <c r="U97" s="790"/>
      <c r="V97" s="790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792" t="s">
        <v>218</v>
      </c>
      <c r="K98" s="792"/>
      <c r="L98" s="231"/>
      <c r="M98" s="231"/>
      <c r="N98" s="246" t="s">
        <v>210</v>
      </c>
      <c r="O98" s="231"/>
      <c r="P98" s="231"/>
      <c r="Q98" s="231"/>
      <c r="R98" s="231"/>
      <c r="S98" s="231"/>
      <c r="T98" s="792" t="s">
        <v>219</v>
      </c>
      <c r="U98" s="792"/>
      <c r="V98" s="792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634" t="s">
        <v>239</v>
      </c>
      <c r="H102" s="31"/>
      <c r="I102" s="442"/>
      <c r="J102" s="63"/>
      <c r="K102" s="119"/>
      <c r="L102" s="31"/>
      <c r="M102" s="618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6</v>
      </c>
      <c r="Y102" s="9">
        <v>4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119"/>
      <c r="H103" s="31"/>
      <c r="I103" s="119"/>
      <c r="J103" s="31"/>
      <c r="K103" s="119"/>
      <c r="L103" s="31"/>
      <c r="M103" s="119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v>2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2</v>
      </c>
      <c r="Z105" s="9">
        <f>X102-Z102-Z103-Z104</f>
        <v>3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790">
        <f>(T92+V92+D101+F101+H101+J101)/1000</f>
        <v>2.3581080000000001</v>
      </c>
      <c r="D106" s="790"/>
      <c r="E106" s="790"/>
      <c r="F106" s="790"/>
      <c r="G106" s="790"/>
      <c r="H106" s="790"/>
      <c r="I106" s="790"/>
      <c r="J106" s="790"/>
      <c r="K106" s="790"/>
      <c r="L106" s="791">
        <f>L101/1000</f>
        <v>0.41721900000000001</v>
      </c>
      <c r="M106" s="791"/>
      <c r="N106" s="791">
        <f>N101/1000</f>
        <v>0.24960199999999999</v>
      </c>
      <c r="O106" s="791"/>
      <c r="P106" s="791">
        <f>P101/1000</f>
        <v>0.33360199999999995</v>
      </c>
      <c r="Q106" s="791"/>
      <c r="R106" s="790">
        <f>SUM(R101+T101+V101)/1000</f>
        <v>1.034098</v>
      </c>
      <c r="S106" s="790"/>
      <c r="T106" s="790"/>
      <c r="U106" s="790"/>
      <c r="V106" s="790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10" t="s">
        <v>220</v>
      </c>
      <c r="U107" s="810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791">
        <f>D110/1000</f>
        <v>0.25861600000000001</v>
      </c>
      <c r="D115" s="791"/>
      <c r="E115" s="791"/>
      <c r="F115" s="791">
        <f>SUM(F110+H110+J110+L110+N110)/1000</f>
        <v>1.8366929999999999</v>
      </c>
      <c r="G115" s="791"/>
      <c r="H115" s="791"/>
      <c r="I115" s="791"/>
      <c r="J115" s="791"/>
      <c r="K115" s="791"/>
      <c r="L115" s="791"/>
      <c r="M115" s="791"/>
      <c r="N115" s="791"/>
      <c r="O115" s="791"/>
      <c r="P115" s="791"/>
      <c r="Q115" s="791"/>
      <c r="R115" s="791"/>
      <c r="S115" s="791"/>
      <c r="T115" s="791"/>
      <c r="U115" s="791"/>
      <c r="V115" s="791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791">
        <f>SUM(P110+D119+R110+T110+V110+F119+H119)/1000</f>
        <v>2.7044899999999998</v>
      </c>
      <c r="D124" s="791"/>
      <c r="E124" s="791"/>
      <c r="F124" s="791"/>
      <c r="G124" s="791"/>
      <c r="H124" s="791"/>
      <c r="I124" s="791"/>
      <c r="J124" s="791">
        <f>(J119+L119+N119+P119)/1000</f>
        <v>1.5064919999999999</v>
      </c>
      <c r="K124" s="791"/>
      <c r="L124" s="791"/>
      <c r="M124" s="791"/>
      <c r="N124" s="791"/>
      <c r="O124" s="791"/>
      <c r="P124" s="791"/>
      <c r="Q124" s="791"/>
      <c r="R124" s="791"/>
      <c r="S124" s="791"/>
      <c r="T124" s="791"/>
      <c r="U124" s="791"/>
      <c r="V124" s="791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792" t="s">
        <v>222</v>
      </c>
      <c r="O125" s="792"/>
      <c r="P125" s="231"/>
      <c r="Q125" s="231"/>
      <c r="R125" s="231"/>
      <c r="S125" s="792"/>
      <c r="T125" s="792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770">
        <f>(R119+T119+V119+D129)/1000</f>
        <v>1.5358099999999999</v>
      </c>
      <c r="D134" s="771"/>
      <c r="E134" s="770">
        <f>F129/1000</f>
        <v>0.203902</v>
      </c>
      <c r="F134" s="772"/>
      <c r="G134" s="771"/>
      <c r="H134" s="791">
        <f>(H129+J129)/1000</f>
        <v>0.70279600000000009</v>
      </c>
      <c r="I134" s="791"/>
      <c r="J134" s="791"/>
      <c r="K134" s="791"/>
      <c r="L134" s="770">
        <f>(L129+N129+P129+R129+T129)/1000</f>
        <v>1.941201</v>
      </c>
      <c r="M134" s="772"/>
      <c r="N134" s="772"/>
      <c r="O134" s="772"/>
      <c r="P134" s="772"/>
      <c r="Q134" s="772"/>
      <c r="R134" s="772"/>
      <c r="S134" s="772"/>
      <c r="T134" s="772"/>
      <c r="U134" s="771"/>
      <c r="V134" s="770">
        <f>V129/1000</f>
        <v>0.35808600000000002</v>
      </c>
      <c r="W134" s="771"/>
    </row>
    <row r="135" spans="1:29" s="99" customFormat="1" ht="17.25" customHeight="1" thickBot="1">
      <c r="A135" s="132"/>
      <c r="B135" s="113"/>
      <c r="C135" s="794" t="s">
        <v>223</v>
      </c>
      <c r="D135" s="794"/>
      <c r="E135" s="794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12" t="s">
        <v>625</v>
      </c>
      <c r="D144" s="813"/>
      <c r="E144" s="813"/>
      <c r="F144" s="813"/>
      <c r="G144" s="813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54</v>
      </c>
      <c r="Y147" s="52">
        <f t="shared" si="3"/>
        <v>49</v>
      </c>
      <c r="Z147" s="52">
        <f t="shared" si="3"/>
        <v>34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2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5</v>
      </c>
      <c r="Z150" s="52">
        <f t="shared" si="3"/>
        <v>18</v>
      </c>
      <c r="AA150" s="52">
        <f t="shared" si="3"/>
        <v>34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118</v>
      </c>
      <c r="Y152" s="53">
        <f t="shared" si="4"/>
        <v>113</v>
      </c>
      <c r="Z152" s="53">
        <f t="shared" si="4"/>
        <v>95</v>
      </c>
      <c r="AA152" s="53">
        <f t="shared" si="4"/>
        <v>0</v>
      </c>
      <c r="AB152" s="53">
        <f t="shared" si="4"/>
        <v>8539.0120000000006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2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1983.4580000000001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5</v>
      </c>
      <c r="Z155" s="53">
        <f t="shared" si="4"/>
        <v>19</v>
      </c>
      <c r="AA155" s="53">
        <f t="shared" si="4"/>
        <v>95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09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09"/>
      <c r="E159" s="137"/>
      <c r="F159" s="138" t="s">
        <v>78</v>
      </c>
      <c r="G159" s="135" t="s">
        <v>60</v>
      </c>
      <c r="H159" s="138"/>
      <c r="I159" s="87"/>
      <c r="J159" s="806" t="s">
        <v>208</v>
      </c>
      <c r="K159" s="807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14" t="s">
        <v>114</v>
      </c>
      <c r="C167" s="815"/>
      <c r="D167" s="815"/>
      <c r="E167" s="815"/>
      <c r="F167" s="815"/>
      <c r="G167" s="815"/>
      <c r="H167" s="815"/>
      <c r="I167" s="815"/>
      <c r="J167" s="815"/>
      <c r="K167" s="815"/>
      <c r="L167" s="815"/>
      <c r="M167" s="815"/>
      <c r="N167" s="815"/>
      <c r="O167" s="815"/>
      <c r="P167" s="815"/>
      <c r="Q167" s="815"/>
      <c r="R167" s="815"/>
      <c r="S167" s="815"/>
      <c r="T167" s="815"/>
      <c r="U167" s="815"/>
      <c r="V167" s="815"/>
      <c r="W167" s="816"/>
    </row>
    <row r="168" spans="2:23" ht="17.55" customHeight="1">
      <c r="B168" s="826" t="s">
        <v>99</v>
      </c>
      <c r="C168" s="817" t="s">
        <v>100</v>
      </c>
      <c r="D168" s="829" t="s">
        <v>97</v>
      </c>
      <c r="E168" s="829" t="s">
        <v>111</v>
      </c>
      <c r="F168" s="817" t="s">
        <v>101</v>
      </c>
      <c r="G168" s="817"/>
      <c r="H168" s="817"/>
      <c r="I168" s="817"/>
      <c r="J168" s="817"/>
      <c r="K168" s="817" t="s">
        <v>102</v>
      </c>
      <c r="L168" s="817"/>
      <c r="M168" s="817"/>
      <c r="N168" s="817" t="s">
        <v>103</v>
      </c>
      <c r="O168" s="817"/>
      <c r="P168" s="817"/>
      <c r="Q168" s="817"/>
      <c r="R168" s="817"/>
      <c r="S168" s="817" t="s">
        <v>104</v>
      </c>
      <c r="T168" s="817"/>
      <c r="U168" s="817"/>
      <c r="V168" s="817"/>
      <c r="W168" s="818"/>
    </row>
    <row r="169" spans="2:23" ht="21.75" customHeight="1">
      <c r="B169" s="827"/>
      <c r="C169" s="828"/>
      <c r="D169" s="830"/>
      <c r="E169" s="830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24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</f>
        <v>0</v>
      </c>
      <c r="T170" s="519">
        <f>AB34/1000</f>
        <v>0.38500000000000001</v>
      </c>
      <c r="U170" s="519">
        <f>AB35</f>
        <v>0</v>
      </c>
      <c r="V170" s="519">
        <f>AB36</f>
        <v>0</v>
      </c>
      <c r="W170" s="520">
        <f>E170-S170</f>
        <v>5.5670590000000004</v>
      </c>
    </row>
    <row r="171" spans="2:23" s="49" customFormat="1" ht="28.95" customHeight="1" thickBot="1">
      <c r="B171" s="825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5">
        <f t="shared" si="6"/>
        <v>0</v>
      </c>
      <c r="T171" s="521">
        <f t="shared" si="6"/>
        <v>0.38500000000000001</v>
      </c>
      <c r="U171" s="521">
        <f t="shared" si="6"/>
        <v>0</v>
      </c>
      <c r="V171" s="521">
        <f t="shared" si="6"/>
        <v>0</v>
      </c>
      <c r="W171" s="522">
        <f t="shared" si="6"/>
        <v>5.5670590000000004</v>
      </c>
    </row>
    <row r="172" spans="2:23" s="258" customFormat="1" ht="22.5" customHeight="1">
      <c r="B172" s="819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46</v>
      </c>
      <c r="O172" s="257">
        <f>Z80</f>
        <v>2</v>
      </c>
      <c r="P172" s="257">
        <f>Z81</f>
        <v>0</v>
      </c>
      <c r="Q172" s="257">
        <v>4</v>
      </c>
      <c r="R172" s="256">
        <f t="shared" ref="R172:R173" si="8">D172-N172</f>
        <v>4</v>
      </c>
      <c r="S172" s="516">
        <f>AB79/1000</f>
        <v>8.5390120000000014</v>
      </c>
      <c r="T172" s="523">
        <f>AB80/1000</f>
        <v>1.5984580000000002</v>
      </c>
      <c r="U172" s="523">
        <f>AB81/1000</f>
        <v>2.4264510000000001</v>
      </c>
      <c r="V172" s="523">
        <f>AB82</f>
        <v>0</v>
      </c>
      <c r="W172" s="524">
        <f t="shared" ref="W172:W173" si="9">E172-S172</f>
        <v>10.769512000000001</v>
      </c>
    </row>
    <row r="173" spans="2:23" s="258" customFormat="1" ht="22.5" customHeight="1">
      <c r="B173" s="820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54</v>
      </c>
      <c r="G173" s="259">
        <f>X148</f>
        <v>2</v>
      </c>
      <c r="H173" s="259">
        <f>X149</f>
        <v>0</v>
      </c>
      <c r="I173" s="259">
        <f>X150</f>
        <v>0</v>
      </c>
      <c r="J173" s="255">
        <f t="shared" si="7"/>
        <v>8</v>
      </c>
      <c r="K173" s="255">
        <f>Y147</f>
        <v>49</v>
      </c>
      <c r="L173" s="259">
        <f>Y149</f>
        <v>0</v>
      </c>
      <c r="M173" s="274">
        <f t="shared" si="5"/>
        <v>13</v>
      </c>
      <c r="N173" s="255">
        <f>Z147</f>
        <v>34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28</v>
      </c>
      <c r="S173" s="517">
        <f>AB147/1000</f>
        <v>0</v>
      </c>
      <c r="T173" s="519">
        <f>AB148/1000</f>
        <v>0</v>
      </c>
      <c r="U173" s="519">
        <f>AB149</f>
        <v>0</v>
      </c>
      <c r="V173" s="519">
        <f>AB150</f>
        <v>0</v>
      </c>
      <c r="W173" s="520">
        <f t="shared" si="9"/>
        <v>22.960121000000001</v>
      </c>
    </row>
    <row r="174" spans="2:23" s="263" customFormat="1" ht="22.5" customHeight="1">
      <c r="B174" s="821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103</v>
      </c>
      <c r="G174" s="262">
        <f t="shared" si="10"/>
        <v>2</v>
      </c>
      <c r="H174" s="262">
        <f t="shared" si="10"/>
        <v>0</v>
      </c>
      <c r="I174" s="262">
        <f t="shared" si="10"/>
        <v>0</v>
      </c>
      <c r="J174" s="262">
        <f t="shared" si="10"/>
        <v>9</v>
      </c>
      <c r="K174" s="262">
        <f t="shared" si="10"/>
        <v>98</v>
      </c>
      <c r="L174" s="262">
        <f t="shared" si="10"/>
        <v>0</v>
      </c>
      <c r="M174" s="262">
        <f t="shared" si="10"/>
        <v>14</v>
      </c>
      <c r="N174" s="262">
        <f t="shared" si="10"/>
        <v>80</v>
      </c>
      <c r="O174" s="262">
        <f t="shared" si="10"/>
        <v>3</v>
      </c>
      <c r="P174" s="262">
        <f t="shared" si="10"/>
        <v>1</v>
      </c>
      <c r="Q174" s="262">
        <f t="shared" si="10"/>
        <v>5</v>
      </c>
      <c r="R174" s="262">
        <f t="shared" si="10"/>
        <v>32</v>
      </c>
      <c r="S174" s="518">
        <f t="shared" si="10"/>
        <v>8.5390120000000014</v>
      </c>
      <c r="T174" s="525">
        <f t="shared" si="10"/>
        <v>1.5984580000000002</v>
      </c>
      <c r="U174" s="525">
        <f t="shared" si="10"/>
        <v>2.4264510000000001</v>
      </c>
      <c r="V174" s="525">
        <f t="shared" si="10"/>
        <v>0</v>
      </c>
      <c r="W174" s="526">
        <f t="shared" si="10"/>
        <v>33.729633</v>
      </c>
    </row>
    <row r="175" spans="2:23" s="266" customFormat="1" ht="25.5" customHeight="1" thickBot="1">
      <c r="B175" s="822" t="s">
        <v>11</v>
      </c>
      <c r="C175" s="823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118</v>
      </c>
      <c r="G175" s="265">
        <f t="shared" si="11"/>
        <v>2</v>
      </c>
      <c r="H175" s="265">
        <f t="shared" si="11"/>
        <v>0</v>
      </c>
      <c r="I175" s="265">
        <f t="shared" si="11"/>
        <v>0</v>
      </c>
      <c r="J175" s="265">
        <f t="shared" si="11"/>
        <v>9</v>
      </c>
      <c r="K175" s="265">
        <f>K171+K174</f>
        <v>113</v>
      </c>
      <c r="L175" s="265">
        <f t="shared" si="11"/>
        <v>0</v>
      </c>
      <c r="M175" s="265">
        <f t="shared" si="11"/>
        <v>14</v>
      </c>
      <c r="N175" s="265">
        <f t="shared" si="11"/>
        <v>95</v>
      </c>
      <c r="O175" s="265">
        <f t="shared" si="11"/>
        <v>3</v>
      </c>
      <c r="P175" s="265">
        <f t="shared" si="11"/>
        <v>1</v>
      </c>
      <c r="Q175" s="265">
        <v>6</v>
      </c>
      <c r="R175" s="265">
        <f t="shared" si="11"/>
        <v>32</v>
      </c>
      <c r="S175" s="628">
        <f t="shared" si="11"/>
        <v>8.5390120000000014</v>
      </c>
      <c r="T175" s="629">
        <f t="shared" si="11"/>
        <v>1.9834580000000002</v>
      </c>
      <c r="U175" s="629">
        <f t="shared" si="11"/>
        <v>2.4264510000000001</v>
      </c>
      <c r="V175" s="527">
        <f t="shared" si="11"/>
        <v>0</v>
      </c>
      <c r="W175" s="528">
        <f t="shared" si="11"/>
        <v>39.296692</v>
      </c>
    </row>
    <row r="177" spans="7:7">
      <c r="G177" s="50"/>
    </row>
    <row r="180" spans="7:7">
      <c r="G180" s="50"/>
    </row>
  </sheetData>
  <mergeCells count="129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4"/>
  <sheetViews>
    <sheetView zoomScale="80" zoomScaleNormal="80" workbookViewId="0">
      <selection activeCell="C10" sqref="C10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31" t="s">
        <v>634</v>
      </c>
      <c r="B1" s="832"/>
      <c r="C1" s="832"/>
      <c r="D1" s="832"/>
      <c r="E1" s="832"/>
      <c r="F1" s="832"/>
      <c r="G1" s="832"/>
      <c r="H1" s="832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616</v>
      </c>
      <c r="C5" s="436" t="s">
        <v>458</v>
      </c>
      <c r="D5" s="436" t="s">
        <v>642</v>
      </c>
      <c r="E5" s="436" t="s">
        <v>641</v>
      </c>
      <c r="F5" s="284" t="s">
        <v>56</v>
      </c>
      <c r="G5" s="602" t="s">
        <v>810</v>
      </c>
      <c r="H5" s="602" t="s">
        <v>810</v>
      </c>
    </row>
    <row r="6" spans="1:8" ht="19.95" customHeight="1">
      <c r="A6" s="43">
        <f t="shared" ref="A6:A12" si="0">A5+1</f>
        <v>3</v>
      </c>
      <c r="B6" s="436" t="s">
        <v>617</v>
      </c>
      <c r="C6" s="436" t="s">
        <v>508</v>
      </c>
      <c r="D6" s="436" t="s">
        <v>642</v>
      </c>
      <c r="E6" s="436" t="s">
        <v>641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43">
        <f t="shared" si="0"/>
        <v>4</v>
      </c>
      <c r="B7" s="435" t="s">
        <v>41</v>
      </c>
      <c r="C7" s="435" t="s">
        <v>468</v>
      </c>
      <c r="D7" s="435" t="s">
        <v>643</v>
      </c>
      <c r="E7" s="435" t="s">
        <v>641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43">
        <f t="shared" si="0"/>
        <v>5</v>
      </c>
      <c r="B8" s="435" t="s">
        <v>42</v>
      </c>
      <c r="C8" s="435" t="s">
        <v>469</v>
      </c>
      <c r="D8" s="435" t="s">
        <v>643</v>
      </c>
      <c r="E8" s="435" t="s">
        <v>641</v>
      </c>
      <c r="F8" s="284" t="s">
        <v>56</v>
      </c>
      <c r="G8" s="602" t="s">
        <v>810</v>
      </c>
      <c r="H8" s="602" t="s">
        <v>810</v>
      </c>
    </row>
    <row r="9" spans="1:8" ht="19.95" customHeight="1">
      <c r="A9" s="631">
        <f t="shared" si="0"/>
        <v>6</v>
      </c>
      <c r="B9" s="435" t="s">
        <v>54</v>
      </c>
      <c r="C9" s="435" t="s">
        <v>472</v>
      </c>
      <c r="D9" s="435" t="s">
        <v>644</v>
      </c>
      <c r="E9" s="435" t="s">
        <v>645</v>
      </c>
      <c r="F9" s="283" t="s">
        <v>61</v>
      </c>
      <c r="G9" s="440" t="s">
        <v>61</v>
      </c>
      <c r="H9" s="441" t="s">
        <v>637</v>
      </c>
    </row>
    <row r="10" spans="1:8" ht="19.95" customHeight="1">
      <c r="A10" s="631">
        <f t="shared" si="0"/>
        <v>7</v>
      </c>
      <c r="B10" s="436" t="s">
        <v>556</v>
      </c>
      <c r="C10" s="436" t="s">
        <v>457</v>
      </c>
      <c r="D10" s="436" t="s">
        <v>646</v>
      </c>
      <c r="E10" s="436" t="s">
        <v>645</v>
      </c>
      <c r="F10" s="283" t="s">
        <v>61</v>
      </c>
      <c r="G10" s="440" t="s">
        <v>61</v>
      </c>
      <c r="H10" s="441" t="s">
        <v>637</v>
      </c>
    </row>
    <row r="11" spans="1:8" ht="19.95" customHeight="1">
      <c r="A11" s="631">
        <f t="shared" si="0"/>
        <v>8</v>
      </c>
      <c r="B11" s="436" t="s">
        <v>560</v>
      </c>
      <c r="C11" s="436" t="s">
        <v>455</v>
      </c>
      <c r="D11" s="436" t="s">
        <v>647</v>
      </c>
      <c r="E11" s="436" t="s">
        <v>645</v>
      </c>
      <c r="F11" s="283" t="s">
        <v>61</v>
      </c>
      <c r="G11" s="440" t="s">
        <v>61</v>
      </c>
      <c r="H11" s="441" t="s">
        <v>637</v>
      </c>
    </row>
    <row r="12" spans="1:8" ht="19.95" customHeight="1">
      <c r="A12" s="631">
        <f t="shared" si="0"/>
        <v>9</v>
      </c>
      <c r="B12" s="435" t="s">
        <v>608</v>
      </c>
      <c r="C12" s="435" t="s">
        <v>511</v>
      </c>
      <c r="D12" s="435" t="s">
        <v>648</v>
      </c>
      <c r="E12" s="435" t="s">
        <v>645</v>
      </c>
      <c r="F12" s="283" t="s">
        <v>61</v>
      </c>
      <c r="G12" s="440" t="s">
        <v>61</v>
      </c>
      <c r="H12" s="441" t="s">
        <v>637</v>
      </c>
    </row>
    <row r="13" spans="1:8">
      <c r="A13" s="43"/>
      <c r="B13" s="438" t="s">
        <v>618</v>
      </c>
      <c r="C13" s="438" t="s">
        <v>618</v>
      </c>
      <c r="D13" s="435" t="s">
        <v>648</v>
      </c>
      <c r="E13" s="435" t="s">
        <v>645</v>
      </c>
      <c r="F13" s="283"/>
      <c r="G13" s="283"/>
      <c r="H13" s="283"/>
    </row>
    <row r="14" spans="1:8">
      <c r="A14" s="43"/>
      <c r="B14" s="436"/>
      <c r="C14" s="436"/>
      <c r="D14" s="436"/>
      <c r="E14" s="436"/>
      <c r="F14" s="283"/>
      <c r="G14" s="283"/>
      <c r="H14" s="283"/>
    </row>
  </sheetData>
  <autoFilter ref="A3:AD13"/>
  <mergeCells count="1">
    <mergeCell ref="A1:H1"/>
  </mergeCells>
  <conditionalFormatting sqref="H1:H4 H9:H1048576 H6:H7">
    <cfRule type="containsText" dxfId="44" priority="17" operator="containsText" text="Pending">
      <formula>NOT(ISERROR(SEARCH("Pending",H1)))</formula>
    </cfRule>
  </conditionalFormatting>
  <conditionalFormatting sqref="F6:F7 H4 H9:H14 F9:F14 H6:H7">
    <cfRule type="containsText" dxfId="43" priority="31" operator="containsText" text="WIP">
      <formula>NOT(ISERROR(SEARCH("WIP",F4)))</formula>
    </cfRule>
    <cfRule type="containsText" dxfId="42" priority="32" operator="containsText" text="ROW">
      <formula>NOT(ISERROR(SEARCH("ROW",F4)))</formula>
    </cfRule>
    <cfRule type="containsText" dxfId="41" priority="33" operator="containsText" text="Pending">
      <formula>NOT(ISERROR(SEARCH("Pending",F4)))</formula>
    </cfRule>
    <cfRule type="containsText" dxfId="40" priority="34" operator="containsText" text="Completed">
      <formula>NOT(ISERROR(SEARCH("Completed",F4)))</formula>
    </cfRule>
  </conditionalFormatting>
  <conditionalFormatting sqref="F8">
    <cfRule type="containsText" dxfId="39" priority="6" operator="containsText" text="PENDING">
      <formula>NOT(ISERROR(SEARCH("PENDING",F8)))</formula>
    </cfRule>
    <cfRule type="containsText" dxfId="38" priority="7" operator="containsText" text="COMPLETED">
      <formula>NOT(ISERROR(SEARCH("COMPLETED",F8)))</formula>
    </cfRule>
    <cfRule type="cellIs" dxfId="37" priority="8" operator="greaterThan">
      <formula>0</formula>
    </cfRule>
  </conditionalFormatting>
  <conditionalFormatting sqref="F8">
    <cfRule type="containsText" dxfId="36" priority="5" operator="containsText" text="WIP">
      <formula>NOT(ISERROR(SEARCH("WIP",F8)))</formula>
    </cfRule>
  </conditionalFormatting>
  <conditionalFormatting sqref="F5">
    <cfRule type="containsText" dxfId="35" priority="2" operator="containsText" text="PENDING">
      <formula>NOT(ISERROR(SEARCH("PENDING",F5)))</formula>
    </cfRule>
    <cfRule type="containsText" dxfId="34" priority="3" operator="containsText" text="COMPLETED">
      <formula>NOT(ISERROR(SEARCH("COMPLETED",F5)))</formula>
    </cfRule>
    <cfRule type="cellIs" dxfId="33" priority="4" operator="greaterThan">
      <formula>0</formula>
    </cfRule>
  </conditionalFormatting>
  <conditionalFormatting sqref="F5">
    <cfRule type="containsText" dxfId="32" priority="1" operator="containsText" text="WIP">
      <formula>NOT(ISERROR(SEARCH("WIP",F5)))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7"/>
  <sheetViews>
    <sheetView topLeftCell="A22" workbookViewId="0">
      <selection activeCell="A13" sqref="A13:A37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4">
        <v>1</v>
      </c>
      <c r="B6" s="437" t="s">
        <v>22</v>
      </c>
      <c r="C6" s="437" t="s">
        <v>554</v>
      </c>
      <c r="D6" s="284" t="s">
        <v>700</v>
      </c>
      <c r="E6" s="284" t="s">
        <v>700</v>
      </c>
      <c r="F6" s="440" t="s">
        <v>61</v>
      </c>
      <c r="G6" s="441" t="s">
        <v>637</v>
      </c>
    </row>
    <row r="7" spans="1:7">
      <c r="A7" s="514">
        <f t="shared" ref="A7:A37" si="0">A6+1</f>
        <v>2</v>
      </c>
      <c r="B7" s="437" t="s">
        <v>29</v>
      </c>
      <c r="C7" s="437" t="s">
        <v>509</v>
      </c>
      <c r="D7" s="284" t="s">
        <v>699</v>
      </c>
      <c r="E7" s="284" t="s">
        <v>56</v>
      </c>
      <c r="F7" s="487" t="s">
        <v>56</v>
      </c>
      <c r="G7" s="602" t="s">
        <v>804</v>
      </c>
    </row>
    <row r="8" spans="1:7" ht="15.6">
      <c r="A8" s="617">
        <f t="shared" si="0"/>
        <v>3</v>
      </c>
      <c r="B8" s="436" t="s">
        <v>152</v>
      </c>
      <c r="C8" s="436" t="s">
        <v>457</v>
      </c>
      <c r="D8" s="284" t="s">
        <v>699</v>
      </c>
      <c r="E8" s="284" t="s">
        <v>700</v>
      </c>
      <c r="F8" s="440" t="s">
        <v>61</v>
      </c>
      <c r="G8" s="441" t="s">
        <v>637</v>
      </c>
    </row>
    <row r="9" spans="1:7" ht="15.6">
      <c r="A9" s="617">
        <f t="shared" si="0"/>
        <v>4</v>
      </c>
      <c r="B9" s="436" t="s">
        <v>153</v>
      </c>
      <c r="C9" s="436" t="s">
        <v>455</v>
      </c>
      <c r="D9" s="284" t="s">
        <v>699</v>
      </c>
      <c r="E9" s="284" t="s">
        <v>56</v>
      </c>
      <c r="F9" s="487" t="s">
        <v>56</v>
      </c>
      <c r="G9" s="602" t="s">
        <v>804</v>
      </c>
    </row>
    <row r="10" spans="1:7" ht="15.6">
      <c r="A10" s="617">
        <f t="shared" si="0"/>
        <v>5</v>
      </c>
      <c r="B10" s="436" t="s">
        <v>6</v>
      </c>
      <c r="C10" s="436" t="s">
        <v>457</v>
      </c>
      <c r="D10" s="284" t="s">
        <v>699</v>
      </c>
      <c r="E10" s="284" t="s">
        <v>700</v>
      </c>
      <c r="F10" s="440" t="s">
        <v>61</v>
      </c>
      <c r="G10" s="441" t="s">
        <v>637</v>
      </c>
    </row>
    <row r="11" spans="1:7" ht="15.6">
      <c r="A11" s="617">
        <f t="shared" si="0"/>
        <v>6</v>
      </c>
      <c r="B11" s="436" t="s">
        <v>163</v>
      </c>
      <c r="C11" s="436" t="s">
        <v>508</v>
      </c>
      <c r="D11" s="284" t="s">
        <v>699</v>
      </c>
      <c r="E11" s="284" t="s">
        <v>700</v>
      </c>
      <c r="F11" s="440" t="s">
        <v>61</v>
      </c>
      <c r="G11" s="500" t="s">
        <v>637</v>
      </c>
    </row>
    <row r="12" spans="1:7" ht="15.6">
      <c r="A12" s="617">
        <f t="shared" si="0"/>
        <v>7</v>
      </c>
      <c r="B12" s="435" t="s">
        <v>38</v>
      </c>
      <c r="C12" s="435" t="s">
        <v>469</v>
      </c>
      <c r="D12" s="284" t="s">
        <v>699</v>
      </c>
      <c r="E12" s="284" t="s">
        <v>700</v>
      </c>
      <c r="F12" s="440" t="s">
        <v>61</v>
      </c>
      <c r="G12" s="441" t="s">
        <v>637</v>
      </c>
    </row>
    <row r="13" spans="1:7" ht="15.6">
      <c r="A13" s="617">
        <f t="shared" si="0"/>
        <v>8</v>
      </c>
      <c r="B13" s="436" t="s">
        <v>168</v>
      </c>
      <c r="C13" s="436" t="s">
        <v>456</v>
      </c>
      <c r="D13" s="284" t="s">
        <v>699</v>
      </c>
      <c r="E13" s="284" t="s">
        <v>56</v>
      </c>
      <c r="F13" s="487" t="s">
        <v>56</v>
      </c>
      <c r="G13" s="602" t="s">
        <v>804</v>
      </c>
    </row>
    <row r="14" spans="1:7" ht="15.6">
      <c r="A14" s="631">
        <f t="shared" si="0"/>
        <v>9</v>
      </c>
      <c r="B14" s="436" t="s">
        <v>616</v>
      </c>
      <c r="C14" s="436" t="s">
        <v>458</v>
      </c>
      <c r="D14" s="284" t="s">
        <v>700</v>
      </c>
      <c r="E14" s="284" t="s">
        <v>700</v>
      </c>
      <c r="F14" s="440" t="s">
        <v>61</v>
      </c>
      <c r="G14" s="441" t="s">
        <v>637</v>
      </c>
    </row>
    <row r="15" spans="1:7" ht="15.6">
      <c r="A15" s="631">
        <f t="shared" si="0"/>
        <v>10</v>
      </c>
      <c r="B15" s="436" t="s">
        <v>617</v>
      </c>
      <c r="C15" s="436" t="s">
        <v>508</v>
      </c>
      <c r="D15" s="284" t="s">
        <v>700</v>
      </c>
      <c r="E15" s="284" t="s">
        <v>700</v>
      </c>
      <c r="F15" s="440" t="s">
        <v>61</v>
      </c>
      <c r="G15" s="441" t="s">
        <v>637</v>
      </c>
    </row>
    <row r="16" spans="1:7" ht="15.6">
      <c r="A16" s="631">
        <f t="shared" si="0"/>
        <v>11</v>
      </c>
      <c r="B16" s="435" t="s">
        <v>41</v>
      </c>
      <c r="C16" s="435" t="s">
        <v>468</v>
      </c>
      <c r="D16" s="284" t="s">
        <v>700</v>
      </c>
      <c r="E16" s="284" t="s">
        <v>700</v>
      </c>
      <c r="F16" s="440" t="s">
        <v>61</v>
      </c>
      <c r="G16" s="441" t="s">
        <v>637</v>
      </c>
    </row>
    <row r="17" spans="1:7" ht="15.6">
      <c r="A17" s="631">
        <f t="shared" si="0"/>
        <v>12</v>
      </c>
      <c r="B17" s="435" t="s">
        <v>42</v>
      </c>
      <c r="C17" s="435" t="s">
        <v>469</v>
      </c>
      <c r="D17" s="284" t="s">
        <v>699</v>
      </c>
      <c r="E17" s="284" t="s">
        <v>700</v>
      </c>
      <c r="F17" s="440" t="s">
        <v>61</v>
      </c>
      <c r="G17" s="441" t="s">
        <v>637</v>
      </c>
    </row>
    <row r="18" spans="1:7" ht="15.6">
      <c r="A18" s="631">
        <f t="shared" si="0"/>
        <v>13</v>
      </c>
      <c r="B18" s="435" t="s">
        <v>43</v>
      </c>
      <c r="C18" s="435" t="s">
        <v>470</v>
      </c>
      <c r="D18" s="284" t="s">
        <v>699</v>
      </c>
      <c r="E18" s="284" t="s">
        <v>700</v>
      </c>
      <c r="F18" s="440" t="s">
        <v>61</v>
      </c>
      <c r="G18" s="441" t="s">
        <v>637</v>
      </c>
    </row>
    <row r="19" spans="1:7" ht="15.6">
      <c r="A19" s="631">
        <f t="shared" si="0"/>
        <v>14</v>
      </c>
      <c r="B19" s="436" t="s">
        <v>171</v>
      </c>
      <c r="C19" s="436" t="s">
        <v>457</v>
      </c>
      <c r="D19" s="284" t="s">
        <v>699</v>
      </c>
      <c r="E19" s="284" t="s">
        <v>700</v>
      </c>
      <c r="F19" s="440" t="s">
        <v>61</v>
      </c>
      <c r="G19" s="441" t="s">
        <v>637</v>
      </c>
    </row>
    <row r="20" spans="1:7" ht="15.6">
      <c r="A20" s="631">
        <f t="shared" si="0"/>
        <v>15</v>
      </c>
      <c r="B20" s="436" t="s">
        <v>172</v>
      </c>
      <c r="C20" s="436" t="s">
        <v>457</v>
      </c>
      <c r="D20" s="284" t="s">
        <v>699</v>
      </c>
      <c r="E20" s="284" t="s">
        <v>700</v>
      </c>
      <c r="F20" s="440" t="s">
        <v>61</v>
      </c>
      <c r="G20" s="441" t="s">
        <v>637</v>
      </c>
    </row>
    <row r="21" spans="1:7" ht="15.6">
      <c r="A21" s="631">
        <f t="shared" si="0"/>
        <v>16</v>
      </c>
      <c r="B21" s="436" t="s">
        <v>174</v>
      </c>
      <c r="C21" s="436" t="s">
        <v>457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31">
        <f t="shared" si="0"/>
        <v>17</v>
      </c>
      <c r="B22" s="436" t="s">
        <v>181</v>
      </c>
      <c r="C22" s="436" t="s">
        <v>455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31">
        <f t="shared" si="0"/>
        <v>18</v>
      </c>
      <c r="B23" s="436" t="s">
        <v>182</v>
      </c>
      <c r="C23" s="436" t="s">
        <v>457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31">
        <f t="shared" si="0"/>
        <v>19</v>
      </c>
      <c r="B24" s="436" t="s">
        <v>183</v>
      </c>
      <c r="C24" s="436" t="s">
        <v>465</v>
      </c>
      <c r="D24" s="284" t="s">
        <v>699</v>
      </c>
      <c r="E24" s="284" t="s">
        <v>700</v>
      </c>
      <c r="F24" s="440" t="s">
        <v>61</v>
      </c>
      <c r="G24" s="441" t="s">
        <v>637</v>
      </c>
    </row>
    <row r="25" spans="1:7" ht="15.6">
      <c r="A25" s="631">
        <f t="shared" si="0"/>
        <v>20</v>
      </c>
      <c r="B25" s="436" t="s">
        <v>184</v>
      </c>
      <c r="C25" s="436" t="s">
        <v>457</v>
      </c>
      <c r="D25" s="284" t="s">
        <v>699</v>
      </c>
      <c r="E25" s="284" t="s">
        <v>700</v>
      </c>
      <c r="F25" s="440" t="s">
        <v>61</v>
      </c>
      <c r="G25" s="441" t="s">
        <v>637</v>
      </c>
    </row>
    <row r="26" spans="1:7" ht="15.6">
      <c r="A26" s="631">
        <f t="shared" si="0"/>
        <v>21</v>
      </c>
      <c r="B26" s="435" t="s">
        <v>185</v>
      </c>
      <c r="C26" s="435" t="s">
        <v>463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31">
        <f t="shared" si="0"/>
        <v>22</v>
      </c>
      <c r="B27" s="435" t="s">
        <v>54</v>
      </c>
      <c r="C27" s="435" t="s">
        <v>472</v>
      </c>
      <c r="D27" s="284" t="s">
        <v>700</v>
      </c>
      <c r="E27" s="284" t="s">
        <v>700</v>
      </c>
      <c r="F27" s="440" t="s">
        <v>61</v>
      </c>
      <c r="G27" s="441" t="s">
        <v>637</v>
      </c>
    </row>
    <row r="28" spans="1:7" ht="15.6">
      <c r="A28" s="631">
        <f t="shared" si="0"/>
        <v>23</v>
      </c>
      <c r="B28" s="436" t="s">
        <v>186</v>
      </c>
      <c r="C28" s="436" t="s">
        <v>508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31">
        <f t="shared" si="0"/>
        <v>24</v>
      </c>
      <c r="B29" s="436" t="s">
        <v>187</v>
      </c>
      <c r="C29" s="436" t="s">
        <v>455</v>
      </c>
      <c r="D29" s="284" t="s">
        <v>699</v>
      </c>
      <c r="E29" s="284" t="s">
        <v>700</v>
      </c>
      <c r="F29" s="440" t="s">
        <v>61</v>
      </c>
      <c r="G29" s="441" t="s">
        <v>637</v>
      </c>
    </row>
    <row r="30" spans="1:7" ht="15.6">
      <c r="A30" s="631">
        <f t="shared" si="0"/>
        <v>25</v>
      </c>
      <c r="B30" s="436" t="s">
        <v>188</v>
      </c>
      <c r="C30" s="436" t="s">
        <v>457</v>
      </c>
      <c r="D30" s="284" t="s">
        <v>699</v>
      </c>
      <c r="E30" s="284" t="s">
        <v>700</v>
      </c>
      <c r="F30" s="440" t="s">
        <v>61</v>
      </c>
      <c r="G30" s="441" t="s">
        <v>637</v>
      </c>
    </row>
    <row r="31" spans="1:7" ht="15.6">
      <c r="A31" s="631">
        <f t="shared" si="0"/>
        <v>26</v>
      </c>
      <c r="B31" s="435" t="s">
        <v>553</v>
      </c>
      <c r="C31" s="435" t="s">
        <v>554</v>
      </c>
      <c r="D31" s="284" t="s">
        <v>699</v>
      </c>
      <c r="E31" s="284" t="s">
        <v>700</v>
      </c>
      <c r="F31" s="440" t="s">
        <v>61</v>
      </c>
      <c r="G31" s="441" t="s">
        <v>637</v>
      </c>
    </row>
    <row r="32" spans="1:7" ht="15.6">
      <c r="A32" s="631">
        <f t="shared" si="0"/>
        <v>27</v>
      </c>
      <c r="B32" s="435" t="s">
        <v>555</v>
      </c>
      <c r="C32" s="435" t="s">
        <v>554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31">
        <f t="shared" si="0"/>
        <v>28</v>
      </c>
      <c r="B33" s="436" t="s">
        <v>556</v>
      </c>
      <c r="C33" s="436" t="s">
        <v>457</v>
      </c>
      <c r="D33" s="284" t="s">
        <v>700</v>
      </c>
      <c r="E33" s="284" t="s">
        <v>700</v>
      </c>
      <c r="F33" s="440" t="s">
        <v>61</v>
      </c>
      <c r="G33" s="441" t="s">
        <v>637</v>
      </c>
    </row>
    <row r="34" spans="1:7" ht="15.6">
      <c r="A34" s="631">
        <f t="shared" si="0"/>
        <v>29</v>
      </c>
      <c r="B34" s="435" t="s">
        <v>557</v>
      </c>
      <c r="C34" s="435" t="s">
        <v>462</v>
      </c>
      <c r="D34" s="284" t="s">
        <v>699</v>
      </c>
      <c r="E34" s="284" t="s">
        <v>700</v>
      </c>
      <c r="F34" s="440" t="s">
        <v>61</v>
      </c>
      <c r="G34" s="441" t="s">
        <v>637</v>
      </c>
    </row>
    <row r="35" spans="1:7" ht="15.6">
      <c r="A35" s="631">
        <f t="shared" si="0"/>
        <v>30</v>
      </c>
      <c r="B35" s="436" t="s">
        <v>558</v>
      </c>
      <c r="C35" s="436" t="s">
        <v>465</v>
      </c>
      <c r="D35" s="284" t="s">
        <v>699</v>
      </c>
      <c r="E35" s="284" t="s">
        <v>700</v>
      </c>
      <c r="F35" s="440" t="s">
        <v>61</v>
      </c>
      <c r="G35" s="441" t="s">
        <v>637</v>
      </c>
    </row>
    <row r="36" spans="1:7" ht="15.6">
      <c r="A36" s="631">
        <f t="shared" si="0"/>
        <v>31</v>
      </c>
      <c r="B36" s="436" t="s">
        <v>560</v>
      </c>
      <c r="C36" s="436" t="s">
        <v>455</v>
      </c>
      <c r="D36" s="284" t="s">
        <v>700</v>
      </c>
      <c r="E36" s="284" t="s">
        <v>700</v>
      </c>
      <c r="F36" s="440" t="s">
        <v>61</v>
      </c>
      <c r="G36" s="441" t="s">
        <v>637</v>
      </c>
    </row>
    <row r="37" spans="1:7" ht="15.6">
      <c r="A37" s="631">
        <f t="shared" si="0"/>
        <v>32</v>
      </c>
      <c r="B37" s="435" t="s">
        <v>608</v>
      </c>
      <c r="C37" s="435" t="s">
        <v>511</v>
      </c>
      <c r="D37" s="284" t="s">
        <v>700</v>
      </c>
      <c r="E37" s="284" t="s">
        <v>700</v>
      </c>
      <c r="F37" s="440" t="s">
        <v>61</v>
      </c>
      <c r="G37" s="441" t="s">
        <v>637</v>
      </c>
    </row>
  </sheetData>
  <autoFilter ref="A5:G37"/>
  <conditionalFormatting sqref="D6:E6 D8:E8 D7 D14:E37 D10:E12 D9 D13">
    <cfRule type="containsText" dxfId="31" priority="142" operator="containsText" text="PENDING">
      <formula>NOT(ISERROR(SEARCH("PENDING",D6)))</formula>
    </cfRule>
    <cfRule type="containsText" dxfId="30" priority="143" operator="containsText" text="COMPLETED">
      <formula>NOT(ISERROR(SEARCH("COMPLETED",D6)))</formula>
    </cfRule>
    <cfRule type="cellIs" dxfId="29" priority="150" operator="greaterThan">
      <formula>0</formula>
    </cfRule>
  </conditionalFormatting>
  <conditionalFormatting sqref="G4:G5">
    <cfRule type="containsText" dxfId="28" priority="144" operator="containsText" text="Pending">
      <formula>NOT(ISERROR(SEARCH("Pending",G4)))</formula>
    </cfRule>
  </conditionalFormatting>
  <conditionalFormatting sqref="E6 E8 E14:E37 E10:E12">
    <cfRule type="containsText" dxfId="27" priority="141" operator="containsText" text="WIP">
      <formula>NOT(ISERROR(SEARCH("WIP",E6)))</formula>
    </cfRule>
  </conditionalFormatting>
  <conditionalFormatting sqref="G6 G8 G14:G37 G10:G12">
    <cfRule type="containsText" dxfId="26" priority="136" operator="containsText" text="Pending">
      <formula>NOT(ISERROR(SEARCH("Pending",G6)))</formula>
    </cfRule>
  </conditionalFormatting>
  <conditionalFormatting sqref="G6 G8 G14:G37 G10:G12">
    <cfRule type="containsText" dxfId="25" priority="137" operator="containsText" text="WIP">
      <formula>NOT(ISERROR(SEARCH("WIP",G6)))</formula>
    </cfRule>
    <cfRule type="containsText" dxfId="24" priority="138" operator="containsText" text="ROW">
      <formula>NOT(ISERROR(SEARCH("ROW",G6)))</formula>
    </cfRule>
    <cfRule type="containsText" dxfId="23" priority="139" operator="containsText" text="Pending">
      <formula>NOT(ISERROR(SEARCH("Pending",G6)))</formula>
    </cfRule>
    <cfRule type="containsText" dxfId="22" priority="140" operator="containsText" text="Completed">
      <formula>NOT(ISERROR(SEARCH("Completed",G6)))</formula>
    </cfRule>
  </conditionalFormatting>
  <conditionalFormatting sqref="E7">
    <cfRule type="containsText" dxfId="21" priority="34" operator="containsText" text="PENDING">
      <formula>NOT(ISERROR(SEARCH("PENDING",E7)))</formula>
    </cfRule>
    <cfRule type="containsText" dxfId="20" priority="35" operator="containsText" text="COMPLETED">
      <formula>NOT(ISERROR(SEARCH("COMPLETED",E7)))</formula>
    </cfRule>
    <cfRule type="cellIs" dxfId="19" priority="36" operator="greaterThan">
      <formula>0</formula>
    </cfRule>
  </conditionalFormatting>
  <conditionalFormatting sqref="E7">
    <cfRule type="containsText" dxfId="18" priority="33" operator="containsText" text="WIP">
      <formula>NOT(ISERROR(SEARCH("WIP",E7)))</formula>
    </cfRule>
  </conditionalFormatting>
  <conditionalFormatting sqref="E9">
    <cfRule type="containsText" dxfId="9" priority="6" operator="containsText" text="PENDING">
      <formula>NOT(ISERROR(SEARCH("PENDING",E9)))</formula>
    </cfRule>
    <cfRule type="containsText" dxfId="8" priority="7" operator="containsText" text="COMPLETED">
      <formula>NOT(ISERROR(SEARCH("COMPLETED",E9)))</formula>
    </cfRule>
    <cfRule type="cellIs" dxfId="7" priority="8" operator="greaterThan">
      <formula>0</formula>
    </cfRule>
  </conditionalFormatting>
  <conditionalFormatting sqref="E9">
    <cfRule type="containsText" dxfId="6" priority="5" operator="containsText" text="WIP">
      <formula>NOT(ISERROR(SEARCH("WIP",E9)))</formula>
    </cfRule>
  </conditionalFormatting>
  <conditionalFormatting sqref="E13">
    <cfRule type="containsText" dxfId="5" priority="2" operator="containsText" text="PENDING">
      <formula>NOT(ISERROR(SEARCH("PENDING",E13)))</formula>
    </cfRule>
    <cfRule type="containsText" dxfId="4" priority="3" operator="containsText" text="COMPLETED">
      <formula>NOT(ISERROR(SEARCH("COMPLETED",E13)))</formula>
    </cfRule>
    <cfRule type="cellIs" dxfId="3" priority="4" operator="greaterThan">
      <formula>0</formula>
    </cfRule>
  </conditionalFormatting>
  <conditionalFormatting sqref="E13">
    <cfRule type="containsText" dxfId="2" priority="1" operator="containsText" text="WIP">
      <formula>NOT(ISERROR(SEARCH("WIP",E13)))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D10" sqref="D10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39" t="s">
        <v>520</v>
      </c>
      <c r="B2" s="840"/>
      <c r="C2" s="840"/>
      <c r="D2" s="840"/>
      <c r="E2" s="840"/>
      <c r="F2" s="840"/>
      <c r="G2" s="840"/>
      <c r="H2" s="840"/>
      <c r="I2" s="840"/>
      <c r="J2" s="841"/>
    </row>
    <row r="3" spans="1:12" ht="15.6">
      <c r="A3" s="835" t="s">
        <v>513</v>
      </c>
      <c r="B3" s="836" t="s">
        <v>514</v>
      </c>
      <c r="C3" s="836"/>
      <c r="D3" s="837" t="s">
        <v>600</v>
      </c>
      <c r="E3" s="837" t="s">
        <v>601</v>
      </c>
      <c r="F3" s="837" t="s">
        <v>602</v>
      </c>
      <c r="G3" s="837" t="s">
        <v>603</v>
      </c>
      <c r="H3" s="836" t="s">
        <v>109</v>
      </c>
      <c r="I3" s="836" t="s">
        <v>501</v>
      </c>
      <c r="J3" s="842" t="s">
        <v>515</v>
      </c>
    </row>
    <row r="4" spans="1:12" ht="26.55" customHeight="1">
      <c r="A4" s="835"/>
      <c r="B4" s="389" t="s">
        <v>516</v>
      </c>
      <c r="C4" s="389" t="s">
        <v>517</v>
      </c>
      <c r="D4" s="838"/>
      <c r="E4" s="838"/>
      <c r="F4" s="838"/>
      <c r="G4" s="838"/>
      <c r="H4" s="836"/>
      <c r="I4" s="836"/>
      <c r="J4" s="842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9">
        <v>1</v>
      </c>
      <c r="I5" s="489">
        <v>1</v>
      </c>
      <c r="J5" s="490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9">
        <v>1</v>
      </c>
      <c r="I6" s="489">
        <v>1</v>
      </c>
      <c r="J6" s="490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9">
        <v>0</v>
      </c>
      <c r="I7" s="489">
        <v>0</v>
      </c>
      <c r="J7" s="490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9">
        <v>2</v>
      </c>
      <c r="I8" s="489">
        <v>6</v>
      </c>
      <c r="J8" s="490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392">
        <v>1983.46</v>
      </c>
      <c r="E9" s="393">
        <v>4</v>
      </c>
      <c r="F9" s="395">
        <f t="shared" si="2"/>
        <v>1983.46</v>
      </c>
      <c r="G9" s="395"/>
      <c r="H9" s="489">
        <v>5</v>
      </c>
      <c r="I9" s="489">
        <v>3</v>
      </c>
      <c r="J9" s="490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612">
        <v>4480.0200000000004</v>
      </c>
      <c r="E10" s="393">
        <v>11</v>
      </c>
      <c r="F10" s="395">
        <f t="shared" si="2"/>
        <v>4480.0200000000004</v>
      </c>
      <c r="G10" s="395"/>
      <c r="H10" s="489">
        <v>8</v>
      </c>
      <c r="I10" s="489">
        <v>3</v>
      </c>
      <c r="J10" s="490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612">
        <v>480</v>
      </c>
      <c r="E11" s="393">
        <v>0</v>
      </c>
      <c r="F11" s="395"/>
      <c r="G11" s="395">
        <f t="shared" ref="G11:G12" si="3">D11</f>
        <v>480</v>
      </c>
      <c r="H11" s="489">
        <v>0</v>
      </c>
      <c r="I11" s="489">
        <v>0</v>
      </c>
      <c r="J11" s="490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9">
        <v>0</v>
      </c>
      <c r="I12" s="489">
        <v>0</v>
      </c>
      <c r="J12" s="490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9">
        <v>2</v>
      </c>
      <c r="I13" s="489">
        <v>2</v>
      </c>
      <c r="J13" s="490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9">
        <v>4</v>
      </c>
      <c r="I14" s="489">
        <v>2</v>
      </c>
      <c r="J14" s="490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9">
        <v>1</v>
      </c>
      <c r="I15" s="489">
        <v>0</v>
      </c>
      <c r="J15" s="490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9">
        <v>2</v>
      </c>
      <c r="I16" s="489">
        <v>2</v>
      </c>
      <c r="J16" s="490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612">
        <v>2473.21</v>
      </c>
      <c r="E17" s="393">
        <v>5</v>
      </c>
      <c r="F17" s="395">
        <f t="shared" si="5"/>
        <v>2473.21</v>
      </c>
      <c r="G17" s="395"/>
      <c r="H17" s="489">
        <v>2</v>
      </c>
      <c r="I17" s="489">
        <v>1</v>
      </c>
      <c r="J17" s="490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612">
        <v>1105.78</v>
      </c>
      <c r="E18" s="393">
        <v>2</v>
      </c>
      <c r="F18" s="395">
        <f t="shared" si="5"/>
        <v>1105.78</v>
      </c>
      <c r="G18" s="395"/>
      <c r="H18" s="489">
        <v>2</v>
      </c>
      <c r="I18" s="489">
        <v>3</v>
      </c>
      <c r="J18" s="490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9">
        <v>4</v>
      </c>
      <c r="I19" s="489">
        <v>1</v>
      </c>
      <c r="J19" s="490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9">
        <v>2</v>
      </c>
      <c r="I20" s="489">
        <v>2</v>
      </c>
      <c r="J20" s="490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9">
        <v>0</v>
      </c>
      <c r="I21" s="489">
        <v>0</v>
      </c>
      <c r="J21" s="490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9">
        <v>5</v>
      </c>
      <c r="I22" s="489">
        <v>2</v>
      </c>
      <c r="J22" s="490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9">
        <v>5</v>
      </c>
      <c r="I23" s="489">
        <v>6</v>
      </c>
      <c r="J23" s="490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9">
        <v>8</v>
      </c>
      <c r="I24" s="489">
        <v>4</v>
      </c>
      <c r="J24" s="490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9">
        <v>3</v>
      </c>
      <c r="I25" s="489">
        <v>1</v>
      </c>
      <c r="J25" s="490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9">
        <v>5</v>
      </c>
      <c r="I26" s="489">
        <v>4</v>
      </c>
      <c r="J26" s="490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9">
        <v>3</v>
      </c>
      <c r="I27" s="489"/>
      <c r="J27" s="490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9">
        <v>2</v>
      </c>
      <c r="I28" s="489">
        <v>0</v>
      </c>
      <c r="J28" s="490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9">
        <v>0</v>
      </c>
      <c r="I29" s="489">
        <v>3</v>
      </c>
      <c r="J29" s="490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9">
        <v>0</v>
      </c>
      <c r="I30" s="489">
        <v>0</v>
      </c>
      <c r="J30" s="490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9">
        <v>1</v>
      </c>
      <c r="I31" s="489">
        <v>0</v>
      </c>
      <c r="J31" s="490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9">
        <v>0</v>
      </c>
      <c r="I32" s="489">
        <v>0</v>
      </c>
      <c r="J32" s="490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9">
        <v>11</v>
      </c>
      <c r="I33" s="489">
        <v>12</v>
      </c>
      <c r="J33" s="490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9">
        <v>13</v>
      </c>
      <c r="I34" s="489">
        <v>5</v>
      </c>
      <c r="J34" s="490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9">
        <v>4</v>
      </c>
      <c r="I35" s="489">
        <v>2</v>
      </c>
      <c r="J35" s="490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91">
        <v>0</v>
      </c>
      <c r="I36" s="491">
        <v>3</v>
      </c>
      <c r="J36" s="492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91">
        <v>10</v>
      </c>
      <c r="I37" s="491">
        <v>3</v>
      </c>
      <c r="J37" s="492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91">
        <v>0</v>
      </c>
      <c r="I38" s="491">
        <v>0</v>
      </c>
      <c r="J38" s="492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91">
        <v>5</v>
      </c>
      <c r="I39" s="491">
        <v>1</v>
      </c>
      <c r="J39" s="492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91">
        <v>10</v>
      </c>
      <c r="I40" s="491">
        <v>1</v>
      </c>
      <c r="J40" s="492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91">
        <v>1</v>
      </c>
      <c r="I41" s="489">
        <v>0</v>
      </c>
      <c r="J41" s="490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9">
        <v>0</v>
      </c>
      <c r="I42" s="491">
        <v>1</v>
      </c>
      <c r="J42" s="490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9">
        <v>0</v>
      </c>
      <c r="I43" s="491">
        <v>1</v>
      </c>
      <c r="J43" s="490">
        <v>0</v>
      </c>
    </row>
    <row r="44" spans="1:15" s="404" customFormat="1" ht="15" thickBot="1">
      <c r="A44" s="833" t="s">
        <v>58</v>
      </c>
      <c r="B44" s="834"/>
      <c r="C44" s="834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3">
        <f>SUM(H5:H43)</f>
        <v>122</v>
      </c>
      <c r="I44" s="493">
        <f>SUM(I5:I43)</f>
        <v>76</v>
      </c>
      <c r="J44" s="494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43" t="s">
        <v>521</v>
      </c>
      <c r="B1" s="844"/>
      <c r="C1" s="844"/>
      <c r="D1" s="289"/>
      <c r="E1" s="289"/>
      <c r="F1" s="288"/>
      <c r="G1" s="290"/>
      <c r="H1" s="288"/>
      <c r="I1" s="291"/>
      <c r="J1" s="292"/>
    </row>
    <row r="2" spans="1:10" s="293" customFormat="1" ht="18">
      <c r="A2" s="845" t="str">
        <f>[19]Transmittal!B11</f>
        <v>765kV D/c  Koppal II (PS)-Raichur (Part-1) transmission line project</v>
      </c>
      <c r="B2" s="846"/>
      <c r="C2" s="846"/>
      <c r="D2" s="846"/>
      <c r="E2" s="846"/>
      <c r="F2" s="846"/>
      <c r="G2" s="847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48" t="s">
        <v>534</v>
      </c>
      <c r="B11" s="849"/>
      <c r="C11" s="849"/>
      <c r="D11" s="849"/>
      <c r="E11" s="849"/>
      <c r="F11" s="849"/>
      <c r="G11" s="849"/>
      <c r="H11" s="849"/>
      <c r="I11" s="850"/>
      <c r="J11" s="318"/>
    </row>
    <row r="12" spans="1:10" s="308" customFormat="1" ht="54">
      <c r="A12" s="503" t="s">
        <v>437</v>
      </c>
      <c r="B12" s="504" t="s">
        <v>535</v>
      </c>
      <c r="C12" s="504" t="s">
        <v>536</v>
      </c>
      <c r="D12" s="504" t="s">
        <v>537</v>
      </c>
      <c r="E12" s="504" t="s">
        <v>538</v>
      </c>
      <c r="F12" s="504" t="s">
        <v>611</v>
      </c>
      <c r="G12" s="504" t="s">
        <v>612</v>
      </c>
      <c r="H12" s="505" t="s">
        <v>613</v>
      </c>
      <c r="I12" s="505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502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502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502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502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502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502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502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502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502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6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8" customFormat="1" ht="28.8">
      <c r="A1" s="537" t="s">
        <v>406</v>
      </c>
      <c r="B1" s="537" t="s">
        <v>411</v>
      </c>
      <c r="C1" s="537" t="s">
        <v>414</v>
      </c>
      <c r="D1" s="537" t="s">
        <v>477</v>
      </c>
      <c r="E1" s="537" t="s">
        <v>717</v>
      </c>
      <c r="F1" s="537" t="s">
        <v>419</v>
      </c>
      <c r="G1" s="537" t="s">
        <v>413</v>
      </c>
      <c r="H1" s="537" t="s">
        <v>417</v>
      </c>
      <c r="I1" s="537" t="s">
        <v>421</v>
      </c>
      <c r="J1" s="537" t="s">
        <v>718</v>
      </c>
      <c r="K1" s="537" t="s">
        <v>719</v>
      </c>
    </row>
    <row r="2" spans="1:11" ht="43.2">
      <c r="A2" s="452" t="s">
        <v>721</v>
      </c>
      <c r="B2" s="533" t="s">
        <v>722</v>
      </c>
      <c r="C2" s="452" t="s">
        <v>720</v>
      </c>
      <c r="D2" s="532" t="s">
        <v>478</v>
      </c>
      <c r="E2" s="532" t="s">
        <v>416</v>
      </c>
      <c r="F2" s="452" t="s">
        <v>723</v>
      </c>
      <c r="G2" s="452" t="s">
        <v>811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4"/>
      <c r="B3" s="534"/>
      <c r="C3" s="534"/>
      <c r="D3" s="534"/>
      <c r="E3" s="534"/>
      <c r="F3" s="534"/>
      <c r="G3" s="534"/>
      <c r="H3" s="534"/>
      <c r="I3" s="534"/>
      <c r="J3" s="535" t="s">
        <v>723</v>
      </c>
      <c r="K3" s="452" t="s">
        <v>726</v>
      </c>
    </row>
    <row r="4" spans="1:1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452" t="s">
        <v>727</v>
      </c>
    </row>
    <row r="5" spans="1:11">
      <c r="A5" s="534"/>
      <c r="B5" s="534"/>
      <c r="C5" s="534"/>
      <c r="D5" s="534"/>
      <c r="E5" s="534"/>
      <c r="F5" s="534"/>
      <c r="G5" s="534"/>
      <c r="H5" s="534"/>
      <c r="I5" s="534"/>
      <c r="J5" s="534"/>
      <c r="K5" s="452" t="s">
        <v>728</v>
      </c>
    </row>
    <row r="6" spans="1:11">
      <c r="A6" s="534"/>
      <c r="B6" s="534"/>
      <c r="C6" s="534"/>
      <c r="D6" s="534"/>
      <c r="E6" s="534"/>
      <c r="F6" s="534"/>
      <c r="G6" s="534"/>
      <c r="H6" s="534"/>
      <c r="I6" s="534"/>
      <c r="J6" s="534"/>
      <c r="K6" s="452" t="s">
        <v>729</v>
      </c>
    </row>
    <row r="7" spans="1:11">
      <c r="A7" s="534"/>
      <c r="B7" s="534"/>
      <c r="C7" s="534"/>
      <c r="D7" s="534"/>
      <c r="E7" s="534"/>
      <c r="F7" s="534"/>
      <c r="G7" s="534"/>
      <c r="H7" s="534"/>
      <c r="I7" s="534"/>
      <c r="J7" s="534"/>
      <c r="K7" s="452" t="s">
        <v>730</v>
      </c>
    </row>
    <row r="8" spans="1:11">
      <c r="A8" s="534"/>
      <c r="B8" s="534"/>
      <c r="C8" s="534"/>
      <c r="D8" s="534"/>
      <c r="E8" s="534"/>
      <c r="F8" s="534"/>
      <c r="G8" s="534"/>
      <c r="H8" s="534"/>
      <c r="I8" s="534"/>
      <c r="J8" s="534"/>
      <c r="K8" s="452" t="s">
        <v>731</v>
      </c>
    </row>
    <row r="9" spans="1:11">
      <c r="A9" s="534"/>
      <c r="B9" s="534"/>
      <c r="C9" s="534"/>
      <c r="D9" s="534"/>
      <c r="E9" s="534"/>
      <c r="F9" s="534"/>
      <c r="G9" s="534"/>
      <c r="H9" s="534"/>
      <c r="I9" s="534"/>
      <c r="J9" s="534"/>
      <c r="K9" s="452" t="s">
        <v>732</v>
      </c>
    </row>
    <row r="10" spans="1:11">
      <c r="A10" s="534"/>
      <c r="B10" s="534"/>
      <c r="C10" s="534"/>
      <c r="D10" s="534"/>
      <c r="E10" s="534"/>
      <c r="F10" s="534"/>
      <c r="G10" s="534"/>
      <c r="H10" s="534"/>
      <c r="I10" s="534"/>
      <c r="J10" s="534"/>
      <c r="K10" s="452" t="s">
        <v>733</v>
      </c>
    </row>
    <row r="11" spans="1:11">
      <c r="A11" s="534"/>
      <c r="B11" s="534"/>
      <c r="C11" s="534"/>
      <c r="D11" s="534"/>
      <c r="E11" s="534"/>
      <c r="F11" s="534"/>
      <c r="G11" s="534"/>
      <c r="H11" s="534"/>
      <c r="I11" s="534"/>
      <c r="J11" s="534"/>
      <c r="K11" s="452" t="s">
        <v>734</v>
      </c>
    </row>
    <row r="12" spans="1:11">
      <c r="A12" s="534"/>
      <c r="B12" s="534"/>
      <c r="C12" s="534"/>
      <c r="D12" s="534"/>
      <c r="E12" s="534"/>
      <c r="F12" s="534"/>
      <c r="G12" s="534"/>
      <c r="H12" s="534"/>
      <c r="I12" s="534"/>
      <c r="J12" s="534"/>
      <c r="K12" s="452" t="s">
        <v>735</v>
      </c>
    </row>
    <row r="13" spans="1:11">
      <c r="A13" s="534"/>
      <c r="B13" s="534"/>
      <c r="C13" s="534"/>
      <c r="D13" s="534"/>
      <c r="E13" s="534"/>
      <c r="F13" s="534"/>
      <c r="G13" s="534"/>
      <c r="H13" s="534"/>
      <c r="I13" s="534"/>
      <c r="J13" s="534"/>
      <c r="K13" s="534"/>
    </row>
    <row r="14" spans="1:11">
      <c r="A14" s="534"/>
      <c r="B14" s="534"/>
      <c r="C14" s="534"/>
      <c r="D14" s="534"/>
      <c r="E14" s="534"/>
      <c r="F14" s="534"/>
      <c r="G14" s="534"/>
      <c r="H14" s="534"/>
      <c r="I14" s="534"/>
      <c r="J14" s="534"/>
      <c r="K14" s="534"/>
    </row>
    <row r="15" spans="1:11">
      <c r="A15" s="536"/>
      <c r="B15" s="536"/>
      <c r="C15" s="536"/>
      <c r="D15" s="536"/>
      <c r="E15" s="536"/>
      <c r="F15" s="536"/>
      <c r="G15" s="536"/>
      <c r="H15" s="536"/>
      <c r="I15" s="536"/>
      <c r="J15" s="536"/>
      <c r="K15" s="536"/>
    </row>
    <row r="16" spans="1:11">
      <c r="A16" s="536"/>
      <c r="B16" s="536"/>
      <c r="C16" s="536"/>
      <c r="D16" s="536"/>
      <c r="E16" s="536"/>
      <c r="F16" s="536"/>
      <c r="G16" s="536"/>
      <c r="H16" s="536"/>
      <c r="I16" s="536"/>
      <c r="J16" s="536"/>
      <c r="K16" s="536"/>
    </row>
    <row r="17" spans="1:11">
      <c r="A17" s="536"/>
      <c r="B17" s="536"/>
      <c r="C17" s="536"/>
      <c r="D17" s="536"/>
      <c r="E17" s="536"/>
      <c r="F17" s="536"/>
      <c r="G17" s="536"/>
      <c r="H17" s="536"/>
      <c r="I17" s="536"/>
      <c r="J17" s="536"/>
      <c r="K17" s="536"/>
    </row>
    <row r="18" spans="1:11">
      <c r="A18" s="536"/>
      <c r="B18" s="536"/>
      <c r="C18" s="536"/>
      <c r="D18" s="536"/>
      <c r="E18" s="536"/>
      <c r="F18" s="536"/>
      <c r="G18" s="536"/>
      <c r="H18" s="536"/>
      <c r="I18" s="536"/>
      <c r="J18" s="536"/>
      <c r="K18" s="536"/>
    </row>
    <row r="19" spans="1:11">
      <c r="A19" s="536"/>
      <c r="B19" s="536"/>
      <c r="C19" s="536"/>
      <c r="D19" s="536"/>
      <c r="E19" s="536"/>
      <c r="F19" s="536"/>
      <c r="G19" s="536"/>
      <c r="H19" s="536"/>
      <c r="I19" s="536"/>
      <c r="J19" s="536"/>
      <c r="K19" s="536"/>
    </row>
    <row r="20" spans="1:11">
      <c r="A20" s="536"/>
      <c r="B20" s="536"/>
      <c r="C20" s="536"/>
      <c r="D20" s="536"/>
      <c r="E20" s="536"/>
      <c r="F20" s="536"/>
      <c r="G20" s="536"/>
      <c r="H20" s="536"/>
      <c r="I20" s="536"/>
      <c r="J20" s="536"/>
      <c r="K20" s="5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54" t="s">
        <v>234</v>
      </c>
      <c r="B6" s="854"/>
      <c r="C6" s="854"/>
      <c r="D6" s="854"/>
      <c r="E6" s="854"/>
      <c r="F6" s="854"/>
    </row>
    <row r="7" spans="1:27" ht="15" thickBot="1"/>
    <row r="8" spans="1:27" ht="15" customHeight="1">
      <c r="A8" s="855" t="s">
        <v>12</v>
      </c>
      <c r="B8" s="857" t="s">
        <v>13</v>
      </c>
      <c r="C8" s="859" t="s">
        <v>14</v>
      </c>
      <c r="D8" s="861" t="s">
        <v>15</v>
      </c>
    </row>
    <row r="9" spans="1:27" ht="15" thickBot="1">
      <c r="A9" s="856"/>
      <c r="B9" s="858"/>
      <c r="C9" s="860"/>
      <c r="D9" s="862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51"/>
      <c r="G10" s="851"/>
      <c r="H10" s="851"/>
      <c r="I10" s="851"/>
      <c r="J10" s="851"/>
      <c r="K10" s="852"/>
      <c r="L10" s="852"/>
      <c r="M10" s="852"/>
      <c r="N10" s="852"/>
      <c r="O10" s="852"/>
      <c r="P10" s="852"/>
      <c r="Q10" s="852"/>
      <c r="R10" s="852"/>
      <c r="S10" s="853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51"/>
      <c r="G26" s="851"/>
      <c r="H26" s="851"/>
      <c r="I26" s="851"/>
      <c r="J26" s="851"/>
      <c r="K26" s="852"/>
      <c r="L26" s="852"/>
      <c r="M26" s="852"/>
      <c r="N26" s="852"/>
      <c r="O26" s="852"/>
      <c r="P26" s="852"/>
      <c r="Q26" s="852"/>
      <c r="R26" s="852"/>
      <c r="S26" s="853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54" t="s">
        <v>234</v>
      </c>
      <c r="B6" s="854"/>
      <c r="C6" s="854"/>
      <c r="D6" s="854"/>
      <c r="E6" s="854"/>
      <c r="F6" s="854"/>
    </row>
    <row r="7" spans="1:27" ht="15" thickBot="1"/>
    <row r="8" spans="1:27" ht="15" customHeight="1">
      <c r="A8" s="855" t="s">
        <v>12</v>
      </c>
      <c r="B8" s="857" t="s">
        <v>13</v>
      </c>
      <c r="C8" s="859" t="s">
        <v>14</v>
      </c>
      <c r="D8" s="861" t="s">
        <v>15</v>
      </c>
    </row>
    <row r="9" spans="1:27" ht="15" thickBot="1">
      <c r="A9" s="856"/>
      <c r="B9" s="858"/>
      <c r="C9" s="860"/>
      <c r="D9" s="862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63"/>
      <c r="G10" s="851"/>
      <c r="H10" s="851"/>
      <c r="I10" s="851"/>
      <c r="J10" s="851"/>
      <c r="K10" s="852"/>
      <c r="L10" s="852"/>
      <c r="M10" s="852"/>
      <c r="N10" s="852"/>
      <c r="O10" s="852"/>
      <c r="P10" s="852"/>
      <c r="Q10" s="852"/>
      <c r="R10" s="852"/>
      <c r="S10" s="853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51"/>
      <c r="G26" s="851"/>
      <c r="H26" s="851"/>
      <c r="I26" s="851"/>
      <c r="J26" s="851"/>
      <c r="K26" s="852"/>
      <c r="L26" s="852"/>
      <c r="M26" s="852"/>
      <c r="N26" s="852"/>
      <c r="O26" s="852"/>
      <c r="P26" s="852"/>
      <c r="Q26" s="852"/>
      <c r="R26" s="852"/>
      <c r="S26" s="853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2025-11-24T17:59:31Z</dcterms:modified>
</cp:coreProperties>
</file>